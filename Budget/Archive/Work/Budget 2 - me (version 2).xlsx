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53e58ec19cdc2f8/Documents/Budget/"/>
    </mc:Choice>
  </mc:AlternateContent>
  <xr:revisionPtr revIDLastSave="221" documentId="13_ncr:1_{FD7E33D2-D9FB-4959-92F8-B3310CC277E9}" xr6:coauthVersionLast="47" xr6:coauthVersionMax="47" xr10:uidLastSave="{142A74A6-AECE-41DF-BEB8-00C117B2B77D}"/>
  <bookViews>
    <workbookView xWindow="3855" yWindow="3855" windowWidth="28800" windowHeight="11385" tabRatio="706" activeTab="2" xr2:uid="{00000000-000D-0000-FFFF-FFFF00000000}"/>
  </bookViews>
  <sheets>
    <sheet name="Wells Fargo" sheetId="16" r:id="rId1"/>
    <sheet name="Discover" sheetId="13" r:id="rId2"/>
    <sheet name="Sheet1" sheetId="25" r:id="rId3"/>
    <sheet name="Subscriptions" sheetId="15" r:id="rId4"/>
    <sheet name="Cash Flow" sheetId="17" r:id="rId5"/>
    <sheet name="Waterfall" sheetId="18" r:id="rId6"/>
    <sheet name="Debts" sheetId="19" r:id="rId7"/>
    <sheet name="Avidia Deposits" sheetId="23" r:id="rId8"/>
    <sheet name="Categories - WIP" sheetId="24" state="hidden" r:id="rId9"/>
    <sheet name="PERSONAL BUDGET - WIP" sheetId="22" state="hidden" r:id="rId10"/>
  </sheets>
  <externalReferences>
    <externalReference r:id="rId11"/>
    <externalReference r:id="rId12"/>
  </externalReferences>
  <definedNames>
    <definedName name="_xlnm._FilterDatabase" localSheetId="1" hidden="1">Discover!$A$1:$K$903</definedName>
    <definedName name="_xlnm._FilterDatabase" localSheetId="0" hidden="1">'Wells Fargo'!$A$1:$G$147</definedName>
    <definedName name="allowance">#REF!</definedName>
    <definedName name="AprSun1">DATE(CalendarYear,4,1)-WEEKDAY(DATE(CalendarYear,4,1))</definedName>
    <definedName name="AugSun1">DATE(CalendarYear,8,1)-WEEKDAY(DATE(CalendarYear,8,1))</definedName>
    <definedName name="budget" localSheetId="1">'[1]Pivot (2021)'!$A$2</definedName>
    <definedName name="Budget">#REF!</definedName>
    <definedName name="CalendarYear">[0]!Year1</definedName>
    <definedName name="Categories">[2]!TableAssetAllocation[Category]</definedName>
    <definedName name="DecSun1">DATE(CalendarYear,12,1)-WEEKDAY(DATE(CalendarYear,12,1))</definedName>
    <definedName name="Expense_Categories">'Categories - WIP'!$A$2:$A$12</definedName>
    <definedName name="Expense_Lookup">Discover!$Q:$R</definedName>
    <definedName name="FebSun1">DATE(CalendarYear,2,1)-WEEKDAY(DATE(CalendarYear,2,1))</definedName>
    <definedName name="fixed">#REF!</definedName>
    <definedName name="income">#REF!</definedName>
    <definedName name="JanSun1">DATE(CalendarYear,1,1)-WEEKDAY(DATE(CalendarYear,1,1))</definedName>
    <definedName name="JulSun1">DATE(CalendarYear,7,1)-WEEKDAY(DATE(CalendarYear,7,1))</definedName>
    <definedName name="JunSun1">DATE(CalendarYear,6,1)-WEEKDAY(DATE(CalendarYear,6,1))</definedName>
    <definedName name="LastCol">COUNTA('PERSONAL BUDGET - WIP'!$4:$4)+1</definedName>
    <definedName name="MarSun1">DATE(CalendarYear,3,1)-WEEKDAY(DATE(CalendarYear,3,1))</definedName>
    <definedName name="MaySun1">DATE(CalendarYear,5,1)-WEEKDAY(DATE(CalendarYear,5,1))</definedName>
    <definedName name="NovSun1">DATE(CalendarYear,11,1)-WEEKDAY(DATE(CalendarYear,11,1))</definedName>
    <definedName name="OctSun1">DATE(CalendarYear,10,1)-WEEKDAY(DATE(CalendarYear,10,1))</definedName>
    <definedName name="PrintArea_SET">OFFSET('PERSONAL BUDGET - WIP'!$C$2,,,MATCH(REPT("z",255),'PERSONAL BUDGET - WIP'!$C:$C),LastCol)</definedName>
    <definedName name="Robinhood">#REF!</definedName>
    <definedName name="SepSun1">DATE(CalendarYear,9,1)-WEEKDAY(DATE(CalendarYear,9,1))</definedName>
    <definedName name="StartMonth">#REF!</definedName>
    <definedName name="Tail_Rent">'[1]2021 Income'!#REF!</definedName>
    <definedName name="Title2">#REF!</definedName>
    <definedName name="valdate">#REF!</definedName>
    <definedName name="Year1">VALUE(LEFT(#REF!,4))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25" l="1"/>
  <c r="G9" i="25"/>
  <c r="G8" i="25"/>
  <c r="H8" i="25"/>
  <c r="I8" i="25"/>
  <c r="G6" i="25"/>
  <c r="G7" i="25" s="1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Y74" i="17"/>
  <c r="Z74" i="17"/>
  <c r="AA74" i="17"/>
  <c r="AB74" i="17"/>
  <c r="AC74" i="17"/>
  <c r="AD74" i="17"/>
  <c r="AE74" i="17"/>
  <c r="AF74" i="17"/>
  <c r="AG74" i="17"/>
  <c r="AH74" i="17"/>
  <c r="AI74" i="17"/>
  <c r="AJ74" i="17"/>
  <c r="AK74" i="17"/>
  <c r="AL74" i="17"/>
  <c r="AM74" i="17"/>
  <c r="AN74" i="17"/>
  <c r="AO74" i="17"/>
  <c r="AP74" i="17"/>
  <c r="AQ74" i="17"/>
  <c r="AR74" i="17"/>
  <c r="AS74" i="17"/>
  <c r="AT74" i="17"/>
  <c r="AU74" i="17"/>
  <c r="AV74" i="17"/>
  <c r="AW74" i="17"/>
  <c r="AX74" i="17"/>
  <c r="AY74" i="17"/>
  <c r="AZ74" i="17"/>
  <c r="BA74" i="17"/>
  <c r="BB74" i="17"/>
  <c r="BC74" i="17"/>
  <c r="BD74" i="17"/>
  <c r="BE74" i="17"/>
  <c r="BF74" i="17"/>
  <c r="BG74" i="17"/>
  <c r="BH74" i="17"/>
  <c r="BI74" i="17"/>
  <c r="D74" i="17"/>
  <c r="C66" i="17"/>
  <c r="B66" i="17" s="1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G66" i="17"/>
  <c r="BH66" i="17"/>
  <c r="BI66" i="17"/>
  <c r="G52" i="18"/>
  <c r="G46" i="18"/>
  <c r="G47" i="18"/>
  <c r="G48" i="18"/>
  <c r="G49" i="18"/>
  <c r="G50" i="18"/>
  <c r="G51" i="18"/>
  <c r="A216" i="16"/>
  <c r="B216" i="16"/>
  <c r="A217" i="16"/>
  <c r="B217" i="16"/>
  <c r="A218" i="16"/>
  <c r="B218" i="16"/>
  <c r="A219" i="16"/>
  <c r="B219" i="16"/>
  <c r="A220" i="16"/>
  <c r="B220" i="16"/>
  <c r="A221" i="16"/>
  <c r="B221" i="16"/>
  <c r="A222" i="16"/>
  <c r="B222" i="16"/>
  <c r="A223" i="16"/>
  <c r="B223" i="16"/>
  <c r="A224" i="16"/>
  <c r="B224" i="16"/>
  <c r="A225" i="16"/>
  <c r="B225" i="16"/>
  <c r="A226" i="16"/>
  <c r="B226" i="16"/>
  <c r="A227" i="16"/>
  <c r="B227" i="16"/>
  <c r="A228" i="16"/>
  <c r="B228" i="16"/>
  <c r="A229" i="16"/>
  <c r="B229" i="16"/>
  <c r="A230" i="16"/>
  <c r="B230" i="16"/>
  <c r="A231" i="16"/>
  <c r="B231" i="16"/>
  <c r="A232" i="16"/>
  <c r="B232" i="16"/>
  <c r="A233" i="16"/>
  <c r="B233" i="16"/>
  <c r="A234" i="16"/>
  <c r="B234" i="16"/>
  <c r="A235" i="16"/>
  <c r="B235" i="16"/>
  <c r="A236" i="16"/>
  <c r="B236" i="16"/>
  <c r="A237" i="16"/>
  <c r="B237" i="16"/>
  <c r="A238" i="16"/>
  <c r="B238" i="16"/>
  <c r="A239" i="16"/>
  <c r="B239" i="16"/>
  <c r="A240" i="16"/>
  <c r="B240" i="16"/>
  <c r="A241" i="16"/>
  <c r="B241" i="16"/>
  <c r="A242" i="16"/>
  <c r="B242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A778" i="13"/>
  <c r="B778" i="13"/>
  <c r="A779" i="13"/>
  <c r="B779" i="13"/>
  <c r="A780" i="13"/>
  <c r="B780" i="13"/>
  <c r="A781" i="13"/>
  <c r="B781" i="13"/>
  <c r="A782" i="13"/>
  <c r="B782" i="13"/>
  <c r="A783" i="13"/>
  <c r="B783" i="13"/>
  <c r="A784" i="13"/>
  <c r="B784" i="13"/>
  <c r="A785" i="13"/>
  <c r="B785" i="13"/>
  <c r="A786" i="13"/>
  <c r="B786" i="13"/>
  <c r="A787" i="13"/>
  <c r="B787" i="13"/>
  <c r="A788" i="13"/>
  <c r="B788" i="13"/>
  <c r="A789" i="13"/>
  <c r="B789" i="13"/>
  <c r="A790" i="13"/>
  <c r="B790" i="13"/>
  <c r="A791" i="13"/>
  <c r="B791" i="13"/>
  <c r="A792" i="13"/>
  <c r="B792" i="13"/>
  <c r="A793" i="13"/>
  <c r="B793" i="13"/>
  <c r="A794" i="13"/>
  <c r="B794" i="13"/>
  <c r="A795" i="13"/>
  <c r="B795" i="13"/>
  <c r="A796" i="13"/>
  <c r="B796" i="13"/>
  <c r="A797" i="13"/>
  <c r="B797" i="13"/>
  <c r="A798" i="13"/>
  <c r="B798" i="13"/>
  <c r="A799" i="13"/>
  <c r="B799" i="13"/>
  <c r="A800" i="13"/>
  <c r="B800" i="13"/>
  <c r="A801" i="13"/>
  <c r="B801" i="13"/>
  <c r="A802" i="13"/>
  <c r="B802" i="13"/>
  <c r="A803" i="13"/>
  <c r="B803" i="13"/>
  <c r="A804" i="13"/>
  <c r="B804" i="13"/>
  <c r="A805" i="13"/>
  <c r="B805" i="13"/>
  <c r="A806" i="13"/>
  <c r="B806" i="13"/>
  <c r="A807" i="13"/>
  <c r="B807" i="13"/>
  <c r="A808" i="13"/>
  <c r="B808" i="13"/>
  <c r="A809" i="13"/>
  <c r="B809" i="13"/>
  <c r="A810" i="13"/>
  <c r="B810" i="13"/>
  <c r="A811" i="13"/>
  <c r="B811" i="13"/>
  <c r="A812" i="13"/>
  <c r="B812" i="13"/>
  <c r="A813" i="13"/>
  <c r="B813" i="13"/>
  <c r="A814" i="13"/>
  <c r="B814" i="13"/>
  <c r="A815" i="13"/>
  <c r="B815" i="13"/>
  <c r="A816" i="13"/>
  <c r="B816" i="13"/>
  <c r="A817" i="13"/>
  <c r="B817" i="13"/>
  <c r="A818" i="13"/>
  <c r="B818" i="13"/>
  <c r="A819" i="13"/>
  <c r="B819" i="13"/>
  <c r="A820" i="13"/>
  <c r="B820" i="13"/>
  <c r="A821" i="13"/>
  <c r="B821" i="13"/>
  <c r="A822" i="13"/>
  <c r="B822" i="13"/>
  <c r="A823" i="13"/>
  <c r="B823" i="13"/>
  <c r="A824" i="13"/>
  <c r="B824" i="13"/>
  <c r="A825" i="13"/>
  <c r="B825" i="13"/>
  <c r="A826" i="13"/>
  <c r="B826" i="13"/>
  <c r="A827" i="13"/>
  <c r="B827" i="13"/>
  <c r="A828" i="13"/>
  <c r="B828" i="13"/>
  <c r="A829" i="13"/>
  <c r="B829" i="13"/>
  <c r="A830" i="13"/>
  <c r="B830" i="13"/>
  <c r="A831" i="13"/>
  <c r="B831" i="13"/>
  <c r="A832" i="13"/>
  <c r="B832" i="13"/>
  <c r="A833" i="13"/>
  <c r="B833" i="13"/>
  <c r="A834" i="13"/>
  <c r="B834" i="13"/>
  <c r="A835" i="13"/>
  <c r="B835" i="13"/>
  <c r="A836" i="13"/>
  <c r="B836" i="13"/>
  <c r="A837" i="13"/>
  <c r="B837" i="13"/>
  <c r="A838" i="13"/>
  <c r="B838" i="13"/>
  <c r="A839" i="13"/>
  <c r="B839" i="13"/>
  <c r="A840" i="13"/>
  <c r="B840" i="13"/>
  <c r="A841" i="13"/>
  <c r="B841" i="13"/>
  <c r="A842" i="13"/>
  <c r="B842" i="13"/>
  <c r="A843" i="13"/>
  <c r="B843" i="13"/>
  <c r="A844" i="13"/>
  <c r="B844" i="13"/>
  <c r="A845" i="13"/>
  <c r="B845" i="13"/>
  <c r="A846" i="13"/>
  <c r="B846" i="13"/>
  <c r="A847" i="13"/>
  <c r="B847" i="13"/>
  <c r="A848" i="13"/>
  <c r="B848" i="13"/>
  <c r="A849" i="13"/>
  <c r="B849" i="13"/>
  <c r="A850" i="13"/>
  <c r="B850" i="13"/>
  <c r="A851" i="13"/>
  <c r="B851" i="13"/>
  <c r="A852" i="13"/>
  <c r="B852" i="13"/>
  <c r="A853" i="13"/>
  <c r="B853" i="13"/>
  <c r="A854" i="13"/>
  <c r="B854" i="13"/>
  <c r="A855" i="13"/>
  <c r="B855" i="13"/>
  <c r="A856" i="13"/>
  <c r="B856" i="13"/>
  <c r="A857" i="13"/>
  <c r="B857" i="13"/>
  <c r="A858" i="13"/>
  <c r="B858" i="13"/>
  <c r="A859" i="13"/>
  <c r="B859" i="13"/>
  <c r="A860" i="13"/>
  <c r="B860" i="13"/>
  <c r="A861" i="13"/>
  <c r="B861" i="13"/>
  <c r="A862" i="13"/>
  <c r="B862" i="13"/>
  <c r="A863" i="13"/>
  <c r="B863" i="13"/>
  <c r="A864" i="13"/>
  <c r="B864" i="13"/>
  <c r="A865" i="13"/>
  <c r="B865" i="13"/>
  <c r="A866" i="13"/>
  <c r="B866" i="13"/>
  <c r="A867" i="13"/>
  <c r="B867" i="13"/>
  <c r="A868" i="13"/>
  <c r="B868" i="13"/>
  <c r="A869" i="13"/>
  <c r="B869" i="13"/>
  <c r="A870" i="13"/>
  <c r="B870" i="13"/>
  <c r="A871" i="13"/>
  <c r="B871" i="13"/>
  <c r="A872" i="13"/>
  <c r="B872" i="13"/>
  <c r="A873" i="13"/>
  <c r="B873" i="13"/>
  <c r="A874" i="13"/>
  <c r="B874" i="13"/>
  <c r="A875" i="13"/>
  <c r="B875" i="13"/>
  <c r="A876" i="13"/>
  <c r="B876" i="13"/>
  <c r="A877" i="13"/>
  <c r="B877" i="13"/>
  <c r="A878" i="13"/>
  <c r="B878" i="13"/>
  <c r="A879" i="13"/>
  <c r="B879" i="13"/>
  <c r="A880" i="13"/>
  <c r="B880" i="13"/>
  <c r="A881" i="13"/>
  <c r="B881" i="13"/>
  <c r="A882" i="13"/>
  <c r="B882" i="13"/>
  <c r="A883" i="13"/>
  <c r="B883" i="13"/>
  <c r="A884" i="13"/>
  <c r="B884" i="13"/>
  <c r="A885" i="13"/>
  <c r="B885" i="13"/>
  <c r="A886" i="13"/>
  <c r="B886" i="13"/>
  <c r="A887" i="13"/>
  <c r="B887" i="13"/>
  <c r="A888" i="13"/>
  <c r="B888" i="13"/>
  <c r="A889" i="13"/>
  <c r="B889" i="13"/>
  <c r="A890" i="13"/>
  <c r="B890" i="13"/>
  <c r="A891" i="13"/>
  <c r="B891" i="13"/>
  <c r="A892" i="13"/>
  <c r="B892" i="13"/>
  <c r="A893" i="13"/>
  <c r="B893" i="13"/>
  <c r="A894" i="13"/>
  <c r="B894" i="13"/>
  <c r="A895" i="13"/>
  <c r="B895" i="13"/>
  <c r="A896" i="13"/>
  <c r="B896" i="13"/>
  <c r="A897" i="13"/>
  <c r="B897" i="13"/>
  <c r="A898" i="13"/>
  <c r="B898" i="13"/>
  <c r="A899" i="13"/>
  <c r="B899" i="13"/>
  <c r="A900" i="13"/>
  <c r="B900" i="13"/>
  <c r="A901" i="13"/>
  <c r="B901" i="13"/>
  <c r="A902" i="13"/>
  <c r="B902" i="13"/>
  <c r="A903" i="13"/>
  <c r="B903" i="13"/>
  <c r="G41" i="18"/>
  <c r="G42" i="18"/>
  <c r="G43" i="18"/>
  <c r="G44" i="18"/>
  <c r="G45" i="18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A183" i="16"/>
  <c r="B183" i="16"/>
  <c r="A184" i="16"/>
  <c r="B184" i="16"/>
  <c r="A185" i="16"/>
  <c r="B185" i="16"/>
  <c r="A186" i="16"/>
  <c r="B186" i="16"/>
  <c r="A187" i="16"/>
  <c r="B187" i="16"/>
  <c r="A188" i="16"/>
  <c r="B188" i="16"/>
  <c r="A189" i="16"/>
  <c r="B189" i="16"/>
  <c r="A190" i="16"/>
  <c r="B190" i="16"/>
  <c r="A191" i="16"/>
  <c r="B191" i="16"/>
  <c r="A192" i="16"/>
  <c r="B192" i="16"/>
  <c r="A193" i="16"/>
  <c r="B193" i="16"/>
  <c r="A194" i="16"/>
  <c r="B194" i="16"/>
  <c r="A195" i="16"/>
  <c r="B195" i="16"/>
  <c r="A196" i="16"/>
  <c r="B196" i="16"/>
  <c r="A197" i="16"/>
  <c r="B197" i="16"/>
  <c r="A198" i="16"/>
  <c r="B198" i="16"/>
  <c r="A199" i="16"/>
  <c r="B199" i="16"/>
  <c r="A200" i="16"/>
  <c r="B200" i="16"/>
  <c r="A201" i="16"/>
  <c r="B201" i="16"/>
  <c r="A202" i="16"/>
  <c r="B202" i="16"/>
  <c r="A203" i="16"/>
  <c r="B203" i="16"/>
  <c r="A204" i="16"/>
  <c r="B204" i="16"/>
  <c r="A205" i="16"/>
  <c r="B205" i="16"/>
  <c r="A206" i="16"/>
  <c r="B206" i="16"/>
  <c r="A207" i="16"/>
  <c r="B207" i="16"/>
  <c r="A208" i="16"/>
  <c r="B208" i="16"/>
  <c r="A209" i="16"/>
  <c r="B209" i="16"/>
  <c r="A210" i="16"/>
  <c r="B210" i="16"/>
  <c r="A211" i="16"/>
  <c r="B211" i="16"/>
  <c r="A212" i="16"/>
  <c r="B212" i="16"/>
  <c r="A213" i="16"/>
  <c r="B213" i="16"/>
  <c r="A214" i="16"/>
  <c r="B214" i="16"/>
  <c r="A215" i="16"/>
  <c r="B215" i="16"/>
  <c r="A667" i="13"/>
  <c r="B667" i="13"/>
  <c r="A668" i="13"/>
  <c r="B668" i="13"/>
  <c r="A669" i="13"/>
  <c r="B669" i="13"/>
  <c r="A670" i="13"/>
  <c r="B670" i="13"/>
  <c r="A671" i="13"/>
  <c r="B671" i="13"/>
  <c r="A672" i="13"/>
  <c r="B672" i="13"/>
  <c r="A673" i="13"/>
  <c r="B673" i="13"/>
  <c r="A674" i="13"/>
  <c r="B674" i="13"/>
  <c r="A675" i="13"/>
  <c r="B675" i="13"/>
  <c r="A676" i="13"/>
  <c r="B676" i="13"/>
  <c r="A677" i="13"/>
  <c r="B677" i="13"/>
  <c r="A678" i="13"/>
  <c r="B678" i="13"/>
  <c r="A679" i="13"/>
  <c r="B679" i="13"/>
  <c r="A680" i="13"/>
  <c r="B680" i="13"/>
  <c r="A681" i="13"/>
  <c r="B681" i="13"/>
  <c r="A682" i="13"/>
  <c r="B682" i="13"/>
  <c r="A683" i="13"/>
  <c r="B683" i="13"/>
  <c r="A684" i="13"/>
  <c r="B684" i="13"/>
  <c r="A685" i="13"/>
  <c r="B685" i="13"/>
  <c r="A686" i="13"/>
  <c r="B686" i="13"/>
  <c r="A687" i="13"/>
  <c r="B687" i="13"/>
  <c r="A688" i="13"/>
  <c r="B688" i="13"/>
  <c r="A689" i="13"/>
  <c r="B689" i="13"/>
  <c r="A690" i="13"/>
  <c r="B690" i="13"/>
  <c r="A691" i="13"/>
  <c r="B691" i="13"/>
  <c r="A692" i="13"/>
  <c r="B692" i="13"/>
  <c r="A693" i="13"/>
  <c r="B693" i="13"/>
  <c r="A694" i="13"/>
  <c r="B694" i="13"/>
  <c r="A695" i="13"/>
  <c r="B695" i="13"/>
  <c r="A696" i="13"/>
  <c r="B696" i="13"/>
  <c r="A697" i="13"/>
  <c r="B697" i="13"/>
  <c r="A698" i="13"/>
  <c r="B698" i="13"/>
  <c r="A699" i="13"/>
  <c r="B699" i="13"/>
  <c r="A700" i="13"/>
  <c r="B700" i="13"/>
  <c r="A701" i="13"/>
  <c r="B701" i="13"/>
  <c r="A702" i="13"/>
  <c r="B702" i="13"/>
  <c r="A703" i="13"/>
  <c r="B703" i="13"/>
  <c r="A704" i="13"/>
  <c r="B704" i="13"/>
  <c r="A705" i="13"/>
  <c r="B705" i="13"/>
  <c r="A706" i="13"/>
  <c r="B706" i="13"/>
  <c r="A707" i="13"/>
  <c r="B707" i="13"/>
  <c r="A708" i="13"/>
  <c r="B708" i="13"/>
  <c r="A709" i="13"/>
  <c r="B709" i="13"/>
  <c r="A710" i="13"/>
  <c r="B710" i="13"/>
  <c r="A711" i="13"/>
  <c r="B711" i="13"/>
  <c r="A712" i="13"/>
  <c r="B712" i="13"/>
  <c r="A713" i="13"/>
  <c r="B713" i="13"/>
  <c r="A714" i="13"/>
  <c r="B714" i="13"/>
  <c r="A715" i="13"/>
  <c r="B715" i="13"/>
  <c r="A716" i="13"/>
  <c r="B716" i="13"/>
  <c r="A717" i="13"/>
  <c r="B717" i="13"/>
  <c r="A718" i="13"/>
  <c r="B718" i="13"/>
  <c r="A719" i="13"/>
  <c r="B719" i="13"/>
  <c r="A720" i="13"/>
  <c r="B720" i="13"/>
  <c r="A721" i="13"/>
  <c r="B721" i="13"/>
  <c r="A722" i="13"/>
  <c r="B722" i="13"/>
  <c r="A723" i="13"/>
  <c r="B723" i="13"/>
  <c r="A724" i="13"/>
  <c r="B724" i="13"/>
  <c r="A725" i="13"/>
  <c r="B725" i="13"/>
  <c r="A726" i="13"/>
  <c r="B726" i="13"/>
  <c r="A727" i="13"/>
  <c r="B727" i="13"/>
  <c r="A728" i="13"/>
  <c r="B728" i="13"/>
  <c r="A729" i="13"/>
  <c r="B729" i="13"/>
  <c r="A730" i="13"/>
  <c r="B730" i="13"/>
  <c r="A731" i="13"/>
  <c r="B731" i="13"/>
  <c r="A732" i="13"/>
  <c r="B732" i="13"/>
  <c r="A733" i="13"/>
  <c r="B733" i="13"/>
  <c r="A734" i="13"/>
  <c r="B734" i="13"/>
  <c r="A735" i="13"/>
  <c r="B735" i="13"/>
  <c r="A736" i="13"/>
  <c r="B736" i="13"/>
  <c r="A737" i="13"/>
  <c r="B737" i="13"/>
  <c r="A738" i="13"/>
  <c r="B738" i="13"/>
  <c r="A739" i="13"/>
  <c r="B739" i="13"/>
  <c r="A740" i="13"/>
  <c r="B740" i="13"/>
  <c r="A741" i="13"/>
  <c r="B741" i="13"/>
  <c r="A742" i="13"/>
  <c r="B742" i="13"/>
  <c r="A743" i="13"/>
  <c r="B743" i="13"/>
  <c r="A744" i="13"/>
  <c r="B744" i="13"/>
  <c r="A745" i="13"/>
  <c r="B745" i="13"/>
  <c r="A746" i="13"/>
  <c r="B746" i="13"/>
  <c r="A747" i="13"/>
  <c r="B747" i="13"/>
  <c r="A748" i="13"/>
  <c r="B748" i="13"/>
  <c r="A749" i="13"/>
  <c r="B749" i="13"/>
  <c r="A750" i="13"/>
  <c r="B750" i="13"/>
  <c r="A751" i="13"/>
  <c r="B751" i="13"/>
  <c r="A752" i="13"/>
  <c r="B752" i="13"/>
  <c r="A753" i="13"/>
  <c r="B753" i="13"/>
  <c r="A754" i="13"/>
  <c r="B754" i="13"/>
  <c r="A755" i="13"/>
  <c r="B755" i="13"/>
  <c r="A756" i="13"/>
  <c r="B756" i="13"/>
  <c r="A757" i="13"/>
  <c r="B757" i="13"/>
  <c r="A758" i="13"/>
  <c r="B758" i="13"/>
  <c r="A759" i="13"/>
  <c r="B759" i="13"/>
  <c r="A760" i="13"/>
  <c r="B760" i="13"/>
  <c r="A761" i="13"/>
  <c r="B761" i="13"/>
  <c r="A762" i="13"/>
  <c r="B762" i="13"/>
  <c r="A763" i="13"/>
  <c r="B763" i="13"/>
  <c r="A764" i="13"/>
  <c r="B764" i="13"/>
  <c r="A765" i="13"/>
  <c r="B765" i="13"/>
  <c r="A766" i="13"/>
  <c r="B766" i="13"/>
  <c r="A767" i="13"/>
  <c r="B767" i="13"/>
  <c r="A768" i="13"/>
  <c r="B768" i="13"/>
  <c r="A769" i="13"/>
  <c r="B769" i="13"/>
  <c r="A770" i="13"/>
  <c r="B770" i="13"/>
  <c r="A771" i="13"/>
  <c r="B771" i="13"/>
  <c r="A772" i="13"/>
  <c r="B772" i="13"/>
  <c r="A773" i="13"/>
  <c r="B773" i="13"/>
  <c r="A774" i="13"/>
  <c r="B774" i="13"/>
  <c r="A775" i="13"/>
  <c r="B775" i="13"/>
  <c r="A776" i="13"/>
  <c r="B776" i="13"/>
  <c r="A777" i="13"/>
  <c r="B777" i="13"/>
  <c r="F690" i="13"/>
  <c r="F689" i="13"/>
  <c r="AD23" i="13" l="1"/>
  <c r="G38" i="18"/>
  <c r="G39" i="18"/>
  <c r="G40" i="18"/>
  <c r="A175" i="16"/>
  <c r="B175" i="16"/>
  <c r="A176" i="16"/>
  <c r="B176" i="16"/>
  <c r="A177" i="16"/>
  <c r="B177" i="16"/>
  <c r="A178" i="16"/>
  <c r="B178" i="16"/>
  <c r="A179" i="16"/>
  <c r="B179" i="16"/>
  <c r="A180" i="16"/>
  <c r="B180" i="16"/>
  <c r="A181" i="16"/>
  <c r="B181" i="16"/>
  <c r="A182" i="16"/>
  <c r="B182" i="16"/>
  <c r="D175" i="16"/>
  <c r="D176" i="16"/>
  <c r="D177" i="16"/>
  <c r="D178" i="16"/>
  <c r="D179" i="16"/>
  <c r="D180" i="16"/>
  <c r="D181" i="16"/>
  <c r="D182" i="16"/>
  <c r="A555" i="13" l="1"/>
  <c r="B555" i="13"/>
  <c r="A556" i="13"/>
  <c r="B556" i="13"/>
  <c r="F557" i="13"/>
  <c r="F556" i="13"/>
  <c r="F555" i="13"/>
  <c r="A578" i="13"/>
  <c r="B578" i="13"/>
  <c r="A579" i="13"/>
  <c r="B579" i="13"/>
  <c r="A580" i="13"/>
  <c r="B580" i="13"/>
  <c r="A581" i="13"/>
  <c r="B581" i="13"/>
  <c r="A582" i="13"/>
  <c r="B582" i="13"/>
  <c r="A583" i="13"/>
  <c r="B583" i="13"/>
  <c r="A584" i="13"/>
  <c r="B584" i="13"/>
  <c r="A585" i="13"/>
  <c r="B585" i="13"/>
  <c r="A586" i="13"/>
  <c r="B586" i="13"/>
  <c r="A587" i="13"/>
  <c r="B587" i="13"/>
  <c r="A588" i="13"/>
  <c r="B588" i="13"/>
  <c r="A589" i="13"/>
  <c r="B589" i="13"/>
  <c r="A590" i="13"/>
  <c r="B590" i="13"/>
  <c r="A591" i="13"/>
  <c r="B591" i="13"/>
  <c r="A592" i="13"/>
  <c r="B592" i="13"/>
  <c r="A593" i="13"/>
  <c r="B593" i="13"/>
  <c r="A594" i="13"/>
  <c r="B594" i="13"/>
  <c r="A595" i="13"/>
  <c r="B595" i="13"/>
  <c r="A596" i="13"/>
  <c r="B596" i="13"/>
  <c r="A597" i="13"/>
  <c r="B597" i="13"/>
  <c r="A598" i="13"/>
  <c r="B598" i="13"/>
  <c r="A599" i="13"/>
  <c r="B599" i="13"/>
  <c r="A600" i="13"/>
  <c r="B600" i="13"/>
  <c r="A601" i="13"/>
  <c r="B601" i="13"/>
  <c r="A602" i="13"/>
  <c r="B602" i="13"/>
  <c r="A603" i="13"/>
  <c r="B603" i="13"/>
  <c r="A604" i="13"/>
  <c r="B604" i="13"/>
  <c r="A605" i="13"/>
  <c r="B605" i="13"/>
  <c r="A606" i="13"/>
  <c r="B606" i="13"/>
  <c r="A607" i="13"/>
  <c r="B607" i="13"/>
  <c r="A608" i="13"/>
  <c r="B608" i="13"/>
  <c r="A609" i="13"/>
  <c r="B609" i="13"/>
  <c r="A610" i="13"/>
  <c r="B610" i="13"/>
  <c r="A611" i="13"/>
  <c r="B611" i="13"/>
  <c r="A612" i="13"/>
  <c r="B612" i="13"/>
  <c r="A613" i="13"/>
  <c r="B613" i="13"/>
  <c r="A614" i="13"/>
  <c r="B614" i="13"/>
  <c r="A615" i="13"/>
  <c r="B615" i="13"/>
  <c r="A616" i="13"/>
  <c r="B616" i="13"/>
  <c r="A617" i="13"/>
  <c r="B617" i="13"/>
  <c r="A618" i="13"/>
  <c r="B618" i="13"/>
  <c r="A619" i="13"/>
  <c r="B619" i="13"/>
  <c r="A620" i="13"/>
  <c r="B620" i="13"/>
  <c r="A621" i="13"/>
  <c r="B621" i="13"/>
  <c r="A622" i="13"/>
  <c r="B622" i="13"/>
  <c r="A623" i="13"/>
  <c r="B623" i="13"/>
  <c r="A624" i="13"/>
  <c r="B624" i="13"/>
  <c r="A625" i="13"/>
  <c r="B625" i="13"/>
  <c r="A626" i="13"/>
  <c r="B626" i="13"/>
  <c r="A627" i="13"/>
  <c r="B627" i="13"/>
  <c r="A628" i="13"/>
  <c r="B628" i="13"/>
  <c r="A629" i="13"/>
  <c r="B629" i="13"/>
  <c r="A630" i="13"/>
  <c r="B630" i="13"/>
  <c r="A631" i="13"/>
  <c r="B631" i="13"/>
  <c r="A632" i="13"/>
  <c r="B632" i="13"/>
  <c r="A633" i="13"/>
  <c r="B633" i="13"/>
  <c r="A634" i="13"/>
  <c r="B634" i="13"/>
  <c r="A635" i="13"/>
  <c r="B635" i="13"/>
  <c r="A636" i="13"/>
  <c r="B636" i="13"/>
  <c r="A637" i="13"/>
  <c r="B637" i="13"/>
  <c r="A638" i="13"/>
  <c r="B638" i="13"/>
  <c r="A639" i="13"/>
  <c r="B639" i="13"/>
  <c r="A640" i="13"/>
  <c r="B640" i="13"/>
  <c r="A641" i="13"/>
  <c r="B641" i="13"/>
  <c r="A642" i="13"/>
  <c r="B642" i="13"/>
  <c r="A643" i="13"/>
  <c r="B643" i="13"/>
  <c r="A644" i="13"/>
  <c r="B644" i="13"/>
  <c r="A645" i="13"/>
  <c r="B645" i="13"/>
  <c r="A646" i="13"/>
  <c r="B646" i="13"/>
  <c r="A647" i="13"/>
  <c r="B647" i="13"/>
  <c r="A648" i="13"/>
  <c r="B648" i="13"/>
  <c r="A649" i="13"/>
  <c r="B649" i="13"/>
  <c r="A650" i="13"/>
  <c r="B650" i="13"/>
  <c r="A651" i="13"/>
  <c r="B651" i="13"/>
  <c r="A652" i="13"/>
  <c r="B652" i="13"/>
  <c r="A653" i="13"/>
  <c r="B653" i="13"/>
  <c r="A654" i="13"/>
  <c r="B654" i="13"/>
  <c r="A655" i="13"/>
  <c r="B655" i="13"/>
  <c r="A656" i="13"/>
  <c r="B656" i="13"/>
  <c r="A657" i="13"/>
  <c r="B657" i="13"/>
  <c r="A658" i="13"/>
  <c r="B658" i="13"/>
  <c r="A659" i="13"/>
  <c r="B659" i="13"/>
  <c r="A660" i="13"/>
  <c r="B660" i="13"/>
  <c r="A661" i="13"/>
  <c r="B661" i="13"/>
  <c r="A662" i="13"/>
  <c r="B662" i="13"/>
  <c r="A663" i="13"/>
  <c r="B663" i="13"/>
  <c r="A664" i="13"/>
  <c r="B664" i="13"/>
  <c r="A665" i="13"/>
  <c r="B665" i="13"/>
  <c r="A666" i="13"/>
  <c r="B666" i="13"/>
  <c r="G34" i="18"/>
  <c r="G35" i="18"/>
  <c r="G36" i="18"/>
  <c r="G37" i="18"/>
  <c r="A164" i="16"/>
  <c r="B164" i="16"/>
  <c r="A165" i="16"/>
  <c r="B165" i="16"/>
  <c r="A166" i="16"/>
  <c r="B166" i="16"/>
  <c r="A167" i="16"/>
  <c r="B167" i="16"/>
  <c r="A168" i="16"/>
  <c r="B168" i="16"/>
  <c r="A169" i="16"/>
  <c r="B169" i="16"/>
  <c r="A170" i="16"/>
  <c r="B170" i="16"/>
  <c r="A171" i="16"/>
  <c r="B171" i="16"/>
  <c r="A172" i="16"/>
  <c r="B172" i="16"/>
  <c r="A173" i="16"/>
  <c r="B173" i="16"/>
  <c r="A174" i="16"/>
  <c r="B174" i="16"/>
  <c r="D164" i="16"/>
  <c r="D165" i="16"/>
  <c r="D166" i="16"/>
  <c r="D167" i="16"/>
  <c r="D168" i="16"/>
  <c r="D169" i="16"/>
  <c r="D170" i="16"/>
  <c r="D171" i="16"/>
  <c r="D172" i="16"/>
  <c r="D173" i="16"/>
  <c r="D174" i="16"/>
  <c r="A505" i="13"/>
  <c r="B505" i="13"/>
  <c r="A506" i="13"/>
  <c r="B506" i="13"/>
  <c r="A507" i="13"/>
  <c r="B507" i="13"/>
  <c r="A508" i="13"/>
  <c r="B508" i="13"/>
  <c r="A509" i="13"/>
  <c r="B509" i="13"/>
  <c r="A510" i="13"/>
  <c r="B510" i="13"/>
  <c r="A511" i="13"/>
  <c r="B511" i="13"/>
  <c r="A512" i="13"/>
  <c r="B512" i="13"/>
  <c r="A513" i="13"/>
  <c r="B513" i="13"/>
  <c r="A514" i="13"/>
  <c r="B514" i="13"/>
  <c r="A515" i="13"/>
  <c r="B515" i="13"/>
  <c r="A516" i="13"/>
  <c r="B516" i="13"/>
  <c r="A517" i="13"/>
  <c r="B517" i="13"/>
  <c r="A518" i="13"/>
  <c r="B518" i="13"/>
  <c r="A519" i="13"/>
  <c r="B519" i="13"/>
  <c r="A520" i="13"/>
  <c r="B520" i="13"/>
  <c r="A521" i="13"/>
  <c r="B521" i="13"/>
  <c r="A522" i="13"/>
  <c r="B522" i="13"/>
  <c r="A523" i="13"/>
  <c r="B523" i="13"/>
  <c r="A524" i="13"/>
  <c r="B524" i="13"/>
  <c r="A525" i="13"/>
  <c r="B525" i="13"/>
  <c r="A526" i="13"/>
  <c r="B526" i="13"/>
  <c r="A527" i="13"/>
  <c r="B527" i="13"/>
  <c r="A528" i="13"/>
  <c r="B528" i="13"/>
  <c r="A529" i="13"/>
  <c r="B529" i="13"/>
  <c r="A530" i="13"/>
  <c r="B530" i="13"/>
  <c r="A531" i="13"/>
  <c r="B531" i="13"/>
  <c r="A532" i="13"/>
  <c r="B532" i="13"/>
  <c r="A533" i="13"/>
  <c r="B533" i="13"/>
  <c r="A534" i="13"/>
  <c r="B534" i="13"/>
  <c r="A535" i="13"/>
  <c r="B535" i="13"/>
  <c r="A536" i="13"/>
  <c r="B536" i="13"/>
  <c r="A537" i="13"/>
  <c r="B537" i="13"/>
  <c r="A538" i="13"/>
  <c r="B538" i="13"/>
  <c r="A539" i="13"/>
  <c r="B539" i="13"/>
  <c r="A540" i="13"/>
  <c r="B540" i="13"/>
  <c r="A541" i="13"/>
  <c r="B541" i="13"/>
  <c r="A542" i="13"/>
  <c r="B542" i="13"/>
  <c r="A543" i="13"/>
  <c r="B543" i="13"/>
  <c r="A544" i="13"/>
  <c r="B544" i="13"/>
  <c r="A545" i="13"/>
  <c r="B545" i="13"/>
  <c r="A546" i="13"/>
  <c r="B546" i="13"/>
  <c r="A547" i="13"/>
  <c r="B547" i="13"/>
  <c r="A548" i="13"/>
  <c r="B548" i="13"/>
  <c r="A549" i="13"/>
  <c r="B549" i="13"/>
  <c r="A550" i="13"/>
  <c r="B550" i="13"/>
  <c r="A551" i="13"/>
  <c r="B551" i="13"/>
  <c r="A552" i="13"/>
  <c r="B552" i="13"/>
  <c r="A553" i="13"/>
  <c r="B553" i="13"/>
  <c r="A554" i="13"/>
  <c r="B554" i="13"/>
  <c r="A557" i="13"/>
  <c r="B557" i="13"/>
  <c r="A558" i="13"/>
  <c r="B558" i="13"/>
  <c r="A559" i="13"/>
  <c r="B559" i="13"/>
  <c r="A560" i="13"/>
  <c r="B560" i="13"/>
  <c r="A561" i="13"/>
  <c r="B561" i="13"/>
  <c r="A562" i="13"/>
  <c r="B562" i="13"/>
  <c r="A563" i="13"/>
  <c r="B563" i="13"/>
  <c r="A564" i="13"/>
  <c r="B564" i="13"/>
  <c r="A565" i="13"/>
  <c r="B565" i="13"/>
  <c r="A566" i="13"/>
  <c r="B566" i="13"/>
  <c r="A567" i="13"/>
  <c r="B567" i="13"/>
  <c r="A568" i="13"/>
  <c r="B568" i="13"/>
  <c r="A569" i="13"/>
  <c r="B569" i="13"/>
  <c r="A570" i="13"/>
  <c r="B570" i="13"/>
  <c r="A571" i="13"/>
  <c r="B571" i="13"/>
  <c r="A572" i="13"/>
  <c r="B572" i="13"/>
  <c r="A573" i="13"/>
  <c r="B573" i="13"/>
  <c r="A574" i="13"/>
  <c r="B574" i="13"/>
  <c r="A575" i="13"/>
  <c r="B575" i="13"/>
  <c r="A576" i="13"/>
  <c r="B576" i="13"/>
  <c r="A577" i="13"/>
  <c r="B577" i="13"/>
  <c r="G32" i="18"/>
  <c r="G33" i="18"/>
  <c r="A148" i="16"/>
  <c r="B148" i="16"/>
  <c r="A149" i="16"/>
  <c r="B149" i="16"/>
  <c r="A150" i="16"/>
  <c r="B150" i="16"/>
  <c r="A151" i="16"/>
  <c r="B151" i="16"/>
  <c r="A152" i="16"/>
  <c r="B152" i="16"/>
  <c r="A153" i="16"/>
  <c r="B153" i="16"/>
  <c r="A154" i="16"/>
  <c r="B154" i="16"/>
  <c r="A155" i="16"/>
  <c r="B155" i="16"/>
  <c r="A156" i="16"/>
  <c r="B156" i="16"/>
  <c r="A157" i="16"/>
  <c r="B157" i="16"/>
  <c r="A158" i="16"/>
  <c r="B158" i="16"/>
  <c r="A159" i="16"/>
  <c r="B159" i="16"/>
  <c r="A160" i="16"/>
  <c r="B160" i="16"/>
  <c r="A161" i="16"/>
  <c r="B161" i="16"/>
  <c r="A162" i="16"/>
  <c r="B162" i="16"/>
  <c r="A163" i="16"/>
  <c r="B163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A468" i="13"/>
  <c r="B468" i="13"/>
  <c r="A469" i="13"/>
  <c r="B469" i="13"/>
  <c r="A470" i="13"/>
  <c r="B470" i="13"/>
  <c r="A471" i="13"/>
  <c r="B471" i="13"/>
  <c r="A472" i="13"/>
  <c r="B472" i="13"/>
  <c r="A473" i="13"/>
  <c r="B473" i="13"/>
  <c r="A474" i="13"/>
  <c r="B474" i="13"/>
  <c r="A475" i="13"/>
  <c r="B475" i="13"/>
  <c r="A476" i="13"/>
  <c r="B476" i="13"/>
  <c r="A477" i="13"/>
  <c r="B477" i="13"/>
  <c r="A478" i="13"/>
  <c r="B478" i="13"/>
  <c r="A479" i="13"/>
  <c r="B479" i="13"/>
  <c r="A480" i="13"/>
  <c r="B480" i="13"/>
  <c r="A481" i="13"/>
  <c r="B481" i="13"/>
  <c r="A482" i="13"/>
  <c r="B482" i="13"/>
  <c r="A483" i="13"/>
  <c r="B483" i="13"/>
  <c r="A484" i="13"/>
  <c r="B484" i="13"/>
  <c r="A485" i="13"/>
  <c r="B485" i="13"/>
  <c r="A486" i="13"/>
  <c r="B486" i="13"/>
  <c r="A487" i="13"/>
  <c r="B487" i="13"/>
  <c r="A488" i="13"/>
  <c r="B488" i="13"/>
  <c r="A489" i="13"/>
  <c r="B489" i="13"/>
  <c r="A490" i="13"/>
  <c r="B490" i="13"/>
  <c r="A491" i="13"/>
  <c r="B491" i="13"/>
  <c r="A492" i="13"/>
  <c r="B492" i="13"/>
  <c r="A493" i="13"/>
  <c r="B493" i="13"/>
  <c r="A494" i="13"/>
  <c r="B494" i="13"/>
  <c r="A495" i="13"/>
  <c r="B495" i="13"/>
  <c r="A496" i="13"/>
  <c r="B496" i="13"/>
  <c r="A497" i="13"/>
  <c r="B497" i="13"/>
  <c r="A498" i="13"/>
  <c r="B498" i="13"/>
  <c r="A499" i="13"/>
  <c r="B499" i="13"/>
  <c r="A500" i="13"/>
  <c r="B500" i="13"/>
  <c r="A501" i="13"/>
  <c r="B501" i="13"/>
  <c r="A502" i="13"/>
  <c r="B502" i="13"/>
  <c r="A503" i="13"/>
  <c r="B503" i="13"/>
  <c r="A504" i="13"/>
  <c r="B504" i="13"/>
  <c r="A447" i="13"/>
  <c r="B447" i="13"/>
  <c r="A448" i="13"/>
  <c r="B448" i="13"/>
  <c r="A449" i="13"/>
  <c r="B449" i="13"/>
  <c r="A450" i="13"/>
  <c r="B450" i="13"/>
  <c r="A451" i="13"/>
  <c r="B451" i="13"/>
  <c r="A452" i="13"/>
  <c r="B452" i="13"/>
  <c r="A453" i="13"/>
  <c r="B453" i="13"/>
  <c r="A454" i="13"/>
  <c r="B454" i="13"/>
  <c r="A455" i="13"/>
  <c r="B455" i="13"/>
  <c r="A456" i="13"/>
  <c r="B456" i="13"/>
  <c r="A457" i="13"/>
  <c r="B457" i="13"/>
  <c r="A458" i="13"/>
  <c r="B458" i="13"/>
  <c r="A459" i="13"/>
  <c r="B459" i="13"/>
  <c r="A460" i="13"/>
  <c r="B460" i="13"/>
  <c r="A461" i="13"/>
  <c r="B461" i="13"/>
  <c r="A462" i="13"/>
  <c r="B462" i="13"/>
  <c r="A463" i="13"/>
  <c r="B463" i="13"/>
  <c r="A464" i="13"/>
  <c r="B464" i="13"/>
  <c r="A465" i="13"/>
  <c r="B465" i="13"/>
  <c r="A466" i="13"/>
  <c r="B466" i="13"/>
  <c r="A467" i="13"/>
  <c r="B467" i="13"/>
  <c r="D3" i="22"/>
  <c r="E3" i="22" s="1"/>
  <c r="F3" i="22" s="1"/>
  <c r="G3" i="22" s="1"/>
  <c r="H3" i="22" s="1"/>
  <c r="I3" i="22" s="1"/>
  <c r="J3" i="22" s="1"/>
  <c r="K3" i="22" s="1"/>
  <c r="L3" i="22" s="1"/>
  <c r="M3" i="22" s="1"/>
  <c r="N3" i="22" s="1"/>
  <c r="O3" i="22" s="1"/>
  <c r="P90" i="22"/>
  <c r="P89" i="22"/>
  <c r="P88" i="22"/>
  <c r="P83" i="22"/>
  <c r="P82" i="22"/>
  <c r="P81" i="22"/>
  <c r="P80" i="22"/>
  <c r="P75" i="22"/>
  <c r="P74" i="22"/>
  <c r="P73" i="22"/>
  <c r="P72" i="22"/>
  <c r="P67" i="22"/>
  <c r="P66" i="22"/>
  <c r="P65" i="22"/>
  <c r="P64" i="22"/>
  <c r="P63" i="22"/>
  <c r="P62" i="22"/>
  <c r="P57" i="22"/>
  <c r="P56" i="22"/>
  <c r="P55" i="22"/>
  <c r="P50" i="22"/>
  <c r="P49" i="22"/>
  <c r="P48" i="22"/>
  <c r="P47" i="22"/>
  <c r="P46" i="22"/>
  <c r="P41" i="22"/>
  <c r="P40" i="22"/>
  <c r="P39" i="22"/>
  <c r="P38" i="22"/>
  <c r="P37" i="22"/>
  <c r="P36" i="22"/>
  <c r="P31" i="22"/>
  <c r="P30" i="22"/>
  <c r="Q2" i="22"/>
  <c r="A2" i="15" a="1"/>
  <c r="C60" i="18"/>
  <c r="C59" i="18"/>
  <c r="C58" i="18"/>
  <c r="C57" i="18"/>
  <c r="C56" i="18"/>
  <c r="C55" i="18"/>
  <c r="C54" i="18"/>
  <c r="C53" i="18"/>
  <c r="C52" i="18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G31" i="18"/>
  <c r="C31" i="18"/>
  <c r="G30" i="18"/>
  <c r="C30" i="18"/>
  <c r="G29" i="18"/>
  <c r="C29" i="18"/>
  <c r="G28" i="18"/>
  <c r="C28" i="18"/>
  <c r="G27" i="18"/>
  <c r="C27" i="18"/>
  <c r="G26" i="18"/>
  <c r="C26" i="18"/>
  <c r="G25" i="18"/>
  <c r="C25" i="18"/>
  <c r="G24" i="18"/>
  <c r="C24" i="18"/>
  <c r="G23" i="18"/>
  <c r="C23" i="18"/>
  <c r="G22" i="18"/>
  <c r="C22" i="18"/>
  <c r="G21" i="18"/>
  <c r="C21" i="18"/>
  <c r="G20" i="18"/>
  <c r="C20" i="18"/>
  <c r="G19" i="18"/>
  <c r="C19" i="18"/>
  <c r="G18" i="18"/>
  <c r="C18" i="18"/>
  <c r="G17" i="18"/>
  <c r="C17" i="18"/>
  <c r="G16" i="18"/>
  <c r="C16" i="18"/>
  <c r="G15" i="18"/>
  <c r="C15" i="18"/>
  <c r="G14" i="18"/>
  <c r="C14" i="18"/>
  <c r="G13" i="18"/>
  <c r="C13" i="18"/>
  <c r="G12" i="18"/>
  <c r="C12" i="18"/>
  <c r="G11" i="18"/>
  <c r="C11" i="18"/>
  <c r="G10" i="18"/>
  <c r="C10" i="18"/>
  <c r="G9" i="18"/>
  <c r="C9" i="18"/>
  <c r="G8" i="18"/>
  <c r="C8" i="18"/>
  <c r="G7" i="18"/>
  <c r="C7" i="18"/>
  <c r="G6" i="18"/>
  <c r="C6" i="18"/>
  <c r="G5" i="18"/>
  <c r="C5" i="18"/>
  <c r="G4" i="18"/>
  <c r="C4" i="18"/>
  <c r="G3" i="18"/>
  <c r="C3" i="18"/>
  <c r="E2" i="18"/>
  <c r="H2" i="18" s="1"/>
  <c r="C2" i="18"/>
  <c r="C75" i="17"/>
  <c r="A4" i="17" a="1"/>
  <c r="B446" i="13"/>
  <c r="A446" i="13"/>
  <c r="B445" i="13"/>
  <c r="A445" i="13"/>
  <c r="B444" i="13"/>
  <c r="A444" i="13"/>
  <c r="B443" i="13"/>
  <c r="A443" i="13"/>
  <c r="B442" i="13"/>
  <c r="A442" i="13"/>
  <c r="B441" i="13"/>
  <c r="A441" i="13"/>
  <c r="B440" i="13"/>
  <c r="A440" i="13"/>
  <c r="B439" i="13"/>
  <c r="A439" i="13"/>
  <c r="B438" i="13"/>
  <c r="A438" i="13"/>
  <c r="B437" i="13"/>
  <c r="A437" i="13"/>
  <c r="B436" i="13"/>
  <c r="A436" i="13"/>
  <c r="B435" i="13"/>
  <c r="A435" i="13"/>
  <c r="B434" i="13"/>
  <c r="A434" i="13"/>
  <c r="B433" i="13"/>
  <c r="A433" i="13"/>
  <c r="B432" i="13"/>
  <c r="A432" i="13"/>
  <c r="B431" i="13"/>
  <c r="A431" i="13"/>
  <c r="B430" i="13"/>
  <c r="A430" i="13"/>
  <c r="B429" i="13"/>
  <c r="A429" i="13"/>
  <c r="B428" i="13"/>
  <c r="A428" i="13"/>
  <c r="B427" i="13"/>
  <c r="A427" i="13"/>
  <c r="B426" i="13"/>
  <c r="A426" i="13"/>
  <c r="B425" i="13"/>
  <c r="A425" i="13"/>
  <c r="B424" i="13"/>
  <c r="A424" i="13"/>
  <c r="B423" i="13"/>
  <c r="A423" i="13"/>
  <c r="B422" i="13"/>
  <c r="A422" i="13"/>
  <c r="B421" i="13"/>
  <c r="A421" i="13"/>
  <c r="B420" i="13"/>
  <c r="A420" i="13"/>
  <c r="B419" i="13"/>
  <c r="A419" i="13"/>
  <c r="B418" i="13"/>
  <c r="A418" i="13"/>
  <c r="B417" i="13"/>
  <c r="A417" i="13"/>
  <c r="B416" i="13"/>
  <c r="A416" i="13"/>
  <c r="B415" i="13"/>
  <c r="A415" i="13"/>
  <c r="B414" i="13"/>
  <c r="A414" i="13"/>
  <c r="B413" i="13"/>
  <c r="A413" i="13"/>
  <c r="B412" i="13"/>
  <c r="A412" i="13"/>
  <c r="B411" i="13"/>
  <c r="A411" i="13"/>
  <c r="B410" i="13"/>
  <c r="A410" i="13"/>
  <c r="B409" i="13"/>
  <c r="A409" i="13"/>
  <c r="B408" i="13"/>
  <c r="A408" i="13"/>
  <c r="B407" i="13"/>
  <c r="A407" i="13"/>
  <c r="B406" i="13"/>
  <c r="A406" i="13"/>
  <c r="B405" i="13"/>
  <c r="A405" i="13"/>
  <c r="B404" i="13"/>
  <c r="A404" i="13"/>
  <c r="B403" i="13"/>
  <c r="A403" i="13"/>
  <c r="B402" i="13"/>
  <c r="A402" i="13"/>
  <c r="B401" i="13"/>
  <c r="A401" i="13"/>
  <c r="B400" i="13"/>
  <c r="A400" i="13"/>
  <c r="B399" i="13"/>
  <c r="A399" i="13"/>
  <c r="B398" i="13"/>
  <c r="A398" i="13"/>
  <c r="B397" i="13"/>
  <c r="A397" i="13"/>
  <c r="B396" i="13"/>
  <c r="A396" i="13"/>
  <c r="B395" i="13"/>
  <c r="A395" i="13"/>
  <c r="B394" i="13"/>
  <c r="A394" i="13"/>
  <c r="B393" i="13"/>
  <c r="A393" i="13"/>
  <c r="B392" i="13"/>
  <c r="A392" i="13"/>
  <c r="B391" i="13"/>
  <c r="A391" i="13"/>
  <c r="B390" i="13"/>
  <c r="A390" i="13"/>
  <c r="B389" i="13"/>
  <c r="A389" i="13"/>
  <c r="B388" i="13"/>
  <c r="A388" i="13"/>
  <c r="B387" i="13"/>
  <c r="A387" i="13"/>
  <c r="B386" i="13"/>
  <c r="A386" i="13"/>
  <c r="B385" i="13"/>
  <c r="A385" i="13"/>
  <c r="B384" i="13"/>
  <c r="A384" i="13"/>
  <c r="B383" i="13"/>
  <c r="A383" i="13"/>
  <c r="B382" i="13"/>
  <c r="A382" i="13"/>
  <c r="B381" i="13"/>
  <c r="A381" i="13"/>
  <c r="B380" i="13"/>
  <c r="A380" i="13"/>
  <c r="B379" i="13"/>
  <c r="A379" i="13"/>
  <c r="B378" i="13"/>
  <c r="A378" i="13"/>
  <c r="B377" i="13"/>
  <c r="A377" i="13"/>
  <c r="B376" i="13"/>
  <c r="A376" i="13"/>
  <c r="B375" i="13"/>
  <c r="A375" i="13"/>
  <c r="B374" i="13"/>
  <c r="A374" i="13"/>
  <c r="B373" i="13"/>
  <c r="A373" i="13"/>
  <c r="B372" i="13"/>
  <c r="A372" i="13"/>
  <c r="B371" i="13"/>
  <c r="A371" i="13"/>
  <c r="B370" i="13"/>
  <c r="A370" i="13"/>
  <c r="B369" i="13"/>
  <c r="A369" i="13"/>
  <c r="B368" i="13"/>
  <c r="A368" i="13"/>
  <c r="B367" i="13"/>
  <c r="A367" i="13"/>
  <c r="B366" i="13"/>
  <c r="A366" i="13"/>
  <c r="B365" i="13"/>
  <c r="A365" i="13"/>
  <c r="B364" i="13"/>
  <c r="A364" i="13"/>
  <c r="B363" i="13"/>
  <c r="A363" i="13"/>
  <c r="B362" i="13"/>
  <c r="A362" i="13"/>
  <c r="B361" i="13"/>
  <c r="A361" i="13"/>
  <c r="B360" i="13"/>
  <c r="A360" i="13"/>
  <c r="B359" i="13"/>
  <c r="A359" i="13"/>
  <c r="B358" i="13"/>
  <c r="A358" i="13"/>
  <c r="B357" i="13"/>
  <c r="A357" i="13"/>
  <c r="B356" i="13"/>
  <c r="A356" i="13"/>
  <c r="B355" i="13"/>
  <c r="A355" i="13"/>
  <c r="B354" i="13"/>
  <c r="A354" i="13"/>
  <c r="B353" i="13"/>
  <c r="A353" i="13"/>
  <c r="B352" i="13"/>
  <c r="A352" i="13"/>
  <c r="B351" i="13"/>
  <c r="A351" i="13"/>
  <c r="B350" i="13"/>
  <c r="A350" i="13"/>
  <c r="B349" i="13"/>
  <c r="A349" i="13"/>
  <c r="B348" i="13"/>
  <c r="A348" i="13"/>
  <c r="B347" i="13"/>
  <c r="A347" i="13"/>
  <c r="B346" i="13"/>
  <c r="A346" i="13"/>
  <c r="B345" i="13"/>
  <c r="A345" i="13"/>
  <c r="B344" i="13"/>
  <c r="A344" i="13"/>
  <c r="B343" i="13"/>
  <c r="A343" i="13"/>
  <c r="B342" i="13"/>
  <c r="A342" i="13"/>
  <c r="B341" i="13"/>
  <c r="A341" i="13"/>
  <c r="B340" i="13"/>
  <c r="A340" i="13"/>
  <c r="B339" i="13"/>
  <c r="A339" i="13"/>
  <c r="B338" i="13"/>
  <c r="A338" i="13"/>
  <c r="B337" i="13"/>
  <c r="A337" i="13"/>
  <c r="B336" i="13"/>
  <c r="A336" i="13"/>
  <c r="B335" i="13"/>
  <c r="A335" i="13"/>
  <c r="B334" i="13"/>
  <c r="A334" i="13"/>
  <c r="B333" i="13"/>
  <c r="A333" i="13"/>
  <c r="B332" i="13"/>
  <c r="A332" i="13"/>
  <c r="B331" i="13"/>
  <c r="A331" i="13"/>
  <c r="B330" i="13"/>
  <c r="A330" i="13"/>
  <c r="B329" i="13"/>
  <c r="A329" i="13"/>
  <c r="B328" i="13"/>
  <c r="A328" i="13"/>
  <c r="B327" i="13"/>
  <c r="A327" i="13"/>
  <c r="B326" i="13"/>
  <c r="A326" i="13"/>
  <c r="B325" i="13"/>
  <c r="A325" i="13"/>
  <c r="B324" i="13"/>
  <c r="A324" i="13"/>
  <c r="B323" i="13"/>
  <c r="A323" i="13"/>
  <c r="B322" i="13"/>
  <c r="A322" i="13"/>
  <c r="B321" i="13"/>
  <c r="A321" i="13"/>
  <c r="B320" i="13"/>
  <c r="A320" i="13"/>
  <c r="B319" i="13"/>
  <c r="A319" i="13"/>
  <c r="B318" i="13"/>
  <c r="A318" i="13"/>
  <c r="B317" i="13"/>
  <c r="A317" i="13"/>
  <c r="B316" i="13"/>
  <c r="A316" i="13"/>
  <c r="B315" i="13"/>
  <c r="A315" i="13"/>
  <c r="B314" i="13"/>
  <c r="A314" i="13"/>
  <c r="B313" i="13"/>
  <c r="A313" i="13"/>
  <c r="B312" i="13"/>
  <c r="A312" i="13"/>
  <c r="B311" i="13"/>
  <c r="A311" i="13"/>
  <c r="B310" i="13"/>
  <c r="A310" i="13"/>
  <c r="B309" i="13"/>
  <c r="A309" i="13"/>
  <c r="B308" i="13"/>
  <c r="A308" i="13"/>
  <c r="B307" i="13"/>
  <c r="A307" i="13"/>
  <c r="B306" i="13"/>
  <c r="A306" i="13"/>
  <c r="B305" i="13"/>
  <c r="A305" i="13"/>
  <c r="B304" i="13"/>
  <c r="A304" i="13"/>
  <c r="B303" i="13"/>
  <c r="A303" i="13"/>
  <c r="B302" i="13"/>
  <c r="A302" i="13"/>
  <c r="B301" i="13"/>
  <c r="A301" i="13"/>
  <c r="B300" i="13"/>
  <c r="A300" i="13"/>
  <c r="B299" i="13"/>
  <c r="A299" i="13"/>
  <c r="B298" i="13"/>
  <c r="A298" i="13"/>
  <c r="B297" i="13"/>
  <c r="A297" i="13"/>
  <c r="B296" i="13"/>
  <c r="A296" i="13"/>
  <c r="B295" i="13"/>
  <c r="A295" i="13"/>
  <c r="B294" i="13"/>
  <c r="A294" i="13"/>
  <c r="B293" i="13"/>
  <c r="A293" i="13"/>
  <c r="B292" i="13"/>
  <c r="A292" i="13"/>
  <c r="B291" i="13"/>
  <c r="A291" i="13"/>
  <c r="B290" i="13"/>
  <c r="A290" i="13"/>
  <c r="B289" i="13"/>
  <c r="A289" i="13"/>
  <c r="B288" i="13"/>
  <c r="A288" i="13"/>
  <c r="B287" i="13"/>
  <c r="A287" i="13"/>
  <c r="B286" i="13"/>
  <c r="A286" i="13"/>
  <c r="B285" i="13"/>
  <c r="A285" i="13"/>
  <c r="B284" i="13"/>
  <c r="A284" i="13"/>
  <c r="B283" i="13"/>
  <c r="A283" i="13"/>
  <c r="B282" i="13"/>
  <c r="A282" i="13"/>
  <c r="B281" i="13"/>
  <c r="A281" i="13"/>
  <c r="B280" i="13"/>
  <c r="A280" i="13"/>
  <c r="B279" i="13"/>
  <c r="A279" i="13"/>
  <c r="B278" i="13"/>
  <c r="A278" i="13"/>
  <c r="B277" i="13"/>
  <c r="A277" i="13"/>
  <c r="B276" i="13"/>
  <c r="A276" i="13"/>
  <c r="B275" i="13"/>
  <c r="A275" i="13"/>
  <c r="B274" i="13"/>
  <c r="A274" i="13"/>
  <c r="B273" i="13"/>
  <c r="A273" i="13"/>
  <c r="B272" i="13"/>
  <c r="A272" i="13"/>
  <c r="B271" i="13"/>
  <c r="A271" i="13"/>
  <c r="B270" i="13"/>
  <c r="A270" i="13"/>
  <c r="B269" i="13"/>
  <c r="A269" i="13"/>
  <c r="B268" i="13"/>
  <c r="A268" i="13"/>
  <c r="B267" i="13"/>
  <c r="A267" i="13"/>
  <c r="B266" i="13"/>
  <c r="A266" i="13"/>
  <c r="B265" i="13"/>
  <c r="A265" i="13"/>
  <c r="B264" i="13"/>
  <c r="A264" i="13"/>
  <c r="B263" i="13"/>
  <c r="A263" i="13"/>
  <c r="B262" i="13"/>
  <c r="A262" i="13"/>
  <c r="B261" i="13"/>
  <c r="A261" i="13"/>
  <c r="B260" i="13"/>
  <c r="A260" i="13"/>
  <c r="B259" i="13"/>
  <c r="A259" i="13"/>
  <c r="B258" i="13"/>
  <c r="A258" i="13"/>
  <c r="B257" i="13"/>
  <c r="A257" i="13"/>
  <c r="B256" i="13"/>
  <c r="A256" i="13"/>
  <c r="B255" i="13"/>
  <c r="A255" i="13"/>
  <c r="B254" i="13"/>
  <c r="A254" i="13"/>
  <c r="B253" i="13"/>
  <c r="A253" i="13"/>
  <c r="B252" i="13"/>
  <c r="A252" i="13"/>
  <c r="B251" i="13"/>
  <c r="A251" i="13"/>
  <c r="B250" i="13"/>
  <c r="A250" i="13"/>
  <c r="B249" i="13"/>
  <c r="A249" i="13"/>
  <c r="B248" i="13"/>
  <c r="A248" i="13"/>
  <c r="B247" i="13"/>
  <c r="A247" i="13"/>
  <c r="B246" i="13"/>
  <c r="A246" i="13"/>
  <c r="B245" i="13"/>
  <c r="A245" i="13"/>
  <c r="B244" i="13"/>
  <c r="A244" i="13"/>
  <c r="B243" i="13"/>
  <c r="A243" i="13"/>
  <c r="B242" i="13"/>
  <c r="A242" i="13"/>
  <c r="B241" i="13"/>
  <c r="A241" i="13"/>
  <c r="B240" i="13"/>
  <c r="A240" i="13"/>
  <c r="B239" i="13"/>
  <c r="A239" i="13"/>
  <c r="B238" i="13"/>
  <c r="A238" i="13"/>
  <c r="B237" i="13"/>
  <c r="A237" i="13"/>
  <c r="B236" i="13"/>
  <c r="A236" i="13"/>
  <c r="B235" i="13"/>
  <c r="A235" i="13"/>
  <c r="B234" i="13"/>
  <c r="A234" i="13"/>
  <c r="B233" i="13"/>
  <c r="A233" i="13"/>
  <c r="B232" i="13"/>
  <c r="A232" i="13"/>
  <c r="B231" i="13"/>
  <c r="A231" i="13"/>
  <c r="B230" i="13"/>
  <c r="A230" i="13"/>
  <c r="B229" i="13"/>
  <c r="A229" i="13"/>
  <c r="B228" i="13"/>
  <c r="A228" i="13"/>
  <c r="B227" i="13"/>
  <c r="A227" i="13"/>
  <c r="B226" i="13"/>
  <c r="A226" i="13"/>
  <c r="B225" i="13"/>
  <c r="A225" i="13"/>
  <c r="B224" i="13"/>
  <c r="A224" i="13"/>
  <c r="B223" i="13"/>
  <c r="A223" i="13"/>
  <c r="B222" i="13"/>
  <c r="A222" i="13"/>
  <c r="B221" i="13"/>
  <c r="A221" i="13"/>
  <c r="B220" i="13"/>
  <c r="A220" i="13"/>
  <c r="B219" i="13"/>
  <c r="A219" i="13"/>
  <c r="B218" i="13"/>
  <c r="A218" i="13"/>
  <c r="B217" i="13"/>
  <c r="A217" i="13"/>
  <c r="B216" i="13"/>
  <c r="A216" i="13"/>
  <c r="B215" i="13"/>
  <c r="A215" i="13"/>
  <c r="B214" i="13"/>
  <c r="A214" i="13"/>
  <c r="B213" i="13"/>
  <c r="A213" i="13"/>
  <c r="B212" i="13"/>
  <c r="A212" i="13"/>
  <c r="B211" i="13"/>
  <c r="A211" i="13"/>
  <c r="B210" i="13"/>
  <c r="A210" i="13"/>
  <c r="B209" i="13"/>
  <c r="A209" i="13"/>
  <c r="B208" i="13"/>
  <c r="A208" i="13"/>
  <c r="B207" i="13"/>
  <c r="A207" i="13"/>
  <c r="B206" i="13"/>
  <c r="A206" i="13"/>
  <c r="B205" i="13"/>
  <c r="A205" i="13"/>
  <c r="B204" i="13"/>
  <c r="A204" i="13"/>
  <c r="B203" i="13"/>
  <c r="A203" i="13"/>
  <c r="B202" i="13"/>
  <c r="A202" i="13"/>
  <c r="B201" i="13"/>
  <c r="A201" i="13"/>
  <c r="B200" i="13"/>
  <c r="A200" i="13"/>
  <c r="B199" i="13"/>
  <c r="A199" i="13"/>
  <c r="B198" i="13"/>
  <c r="A198" i="13"/>
  <c r="B197" i="13"/>
  <c r="A197" i="13"/>
  <c r="B196" i="13"/>
  <c r="A196" i="13"/>
  <c r="B195" i="13"/>
  <c r="A195" i="13"/>
  <c r="B194" i="13"/>
  <c r="A194" i="13"/>
  <c r="B193" i="13"/>
  <c r="A193" i="13"/>
  <c r="B192" i="13"/>
  <c r="A192" i="13"/>
  <c r="B191" i="13"/>
  <c r="A191" i="13"/>
  <c r="B190" i="13"/>
  <c r="A190" i="13"/>
  <c r="B189" i="13"/>
  <c r="A189" i="13"/>
  <c r="B188" i="13"/>
  <c r="A188" i="13"/>
  <c r="B187" i="13"/>
  <c r="A187" i="13"/>
  <c r="B186" i="13"/>
  <c r="A186" i="13"/>
  <c r="B185" i="13"/>
  <c r="A185" i="13"/>
  <c r="B184" i="13"/>
  <c r="A184" i="13"/>
  <c r="B183" i="13"/>
  <c r="A183" i="13"/>
  <c r="B182" i="13"/>
  <c r="A182" i="13"/>
  <c r="B181" i="13"/>
  <c r="A181" i="13"/>
  <c r="B180" i="13"/>
  <c r="A180" i="13"/>
  <c r="B179" i="13"/>
  <c r="A179" i="13"/>
  <c r="B178" i="13"/>
  <c r="A178" i="13"/>
  <c r="B177" i="13"/>
  <c r="A177" i="13"/>
  <c r="B176" i="13"/>
  <c r="A176" i="13"/>
  <c r="B175" i="13"/>
  <c r="A175" i="13"/>
  <c r="B174" i="13"/>
  <c r="A174" i="13"/>
  <c r="B173" i="13"/>
  <c r="A173" i="13"/>
  <c r="B172" i="13"/>
  <c r="A172" i="13"/>
  <c r="B171" i="13"/>
  <c r="A171" i="13"/>
  <c r="B170" i="13"/>
  <c r="A170" i="13"/>
  <c r="B169" i="13"/>
  <c r="A169" i="13"/>
  <c r="B168" i="13"/>
  <c r="A168" i="13"/>
  <c r="B167" i="13"/>
  <c r="A167" i="13"/>
  <c r="B166" i="13"/>
  <c r="A166" i="13"/>
  <c r="B165" i="13"/>
  <c r="A165" i="13"/>
  <c r="B164" i="13"/>
  <c r="A164" i="13"/>
  <c r="B163" i="13"/>
  <c r="A163" i="13"/>
  <c r="B162" i="13"/>
  <c r="A162" i="13"/>
  <c r="B161" i="13"/>
  <c r="A161" i="13"/>
  <c r="B160" i="13"/>
  <c r="A160" i="13"/>
  <c r="B159" i="13"/>
  <c r="A159" i="13"/>
  <c r="B158" i="13"/>
  <c r="A158" i="13"/>
  <c r="B157" i="13"/>
  <c r="A157" i="13"/>
  <c r="B156" i="13"/>
  <c r="A156" i="13"/>
  <c r="B155" i="13"/>
  <c r="A155" i="13"/>
  <c r="B154" i="13"/>
  <c r="A154" i="13"/>
  <c r="B153" i="13"/>
  <c r="A153" i="13"/>
  <c r="B152" i="13"/>
  <c r="A152" i="13"/>
  <c r="B151" i="13"/>
  <c r="A151" i="13"/>
  <c r="B150" i="13"/>
  <c r="A150" i="13"/>
  <c r="B149" i="13"/>
  <c r="A149" i="13"/>
  <c r="B148" i="13"/>
  <c r="A148" i="13"/>
  <c r="B147" i="13"/>
  <c r="A147" i="13"/>
  <c r="B146" i="13"/>
  <c r="A146" i="13"/>
  <c r="B145" i="13"/>
  <c r="A145" i="13"/>
  <c r="B144" i="13"/>
  <c r="A144" i="13"/>
  <c r="B143" i="13"/>
  <c r="A143" i="13"/>
  <c r="B142" i="13"/>
  <c r="A142" i="13"/>
  <c r="B141" i="13"/>
  <c r="A141" i="13"/>
  <c r="B140" i="13"/>
  <c r="A140" i="13"/>
  <c r="B139" i="13"/>
  <c r="A139" i="13"/>
  <c r="B138" i="13"/>
  <c r="A138" i="13"/>
  <c r="B137" i="13"/>
  <c r="A137" i="13"/>
  <c r="B136" i="13"/>
  <c r="A136" i="13"/>
  <c r="B135" i="13"/>
  <c r="A135" i="13"/>
  <c r="B134" i="13"/>
  <c r="A134" i="13"/>
  <c r="B133" i="13"/>
  <c r="A133" i="13"/>
  <c r="B132" i="13"/>
  <c r="A132" i="13"/>
  <c r="B131" i="13"/>
  <c r="A131" i="13"/>
  <c r="B130" i="13"/>
  <c r="A130" i="13"/>
  <c r="B129" i="13"/>
  <c r="A129" i="13"/>
  <c r="B128" i="13"/>
  <c r="A128" i="13"/>
  <c r="B127" i="13"/>
  <c r="A127" i="13"/>
  <c r="B126" i="13"/>
  <c r="A126" i="13"/>
  <c r="B125" i="13"/>
  <c r="A125" i="13"/>
  <c r="B124" i="13"/>
  <c r="A124" i="13"/>
  <c r="B123" i="13"/>
  <c r="A123" i="13"/>
  <c r="B122" i="13"/>
  <c r="A122" i="13"/>
  <c r="B121" i="13"/>
  <c r="A121" i="13"/>
  <c r="B120" i="13"/>
  <c r="A120" i="13"/>
  <c r="B119" i="13"/>
  <c r="A119" i="13"/>
  <c r="B118" i="13"/>
  <c r="A118" i="13"/>
  <c r="B117" i="13"/>
  <c r="A117" i="13"/>
  <c r="B116" i="13"/>
  <c r="A116" i="13"/>
  <c r="B115" i="13"/>
  <c r="A115" i="13"/>
  <c r="B114" i="13"/>
  <c r="A114" i="13"/>
  <c r="B113" i="13"/>
  <c r="A113" i="13"/>
  <c r="B112" i="13"/>
  <c r="A112" i="13"/>
  <c r="B111" i="13"/>
  <c r="A111" i="13"/>
  <c r="B110" i="13"/>
  <c r="A110" i="13"/>
  <c r="B109" i="13"/>
  <c r="A109" i="13"/>
  <c r="B108" i="13"/>
  <c r="A108" i="13"/>
  <c r="B107" i="13"/>
  <c r="A107" i="13"/>
  <c r="B106" i="13"/>
  <c r="A106" i="13"/>
  <c r="B105" i="13"/>
  <c r="A105" i="13"/>
  <c r="B104" i="13"/>
  <c r="A104" i="13"/>
  <c r="B103" i="13"/>
  <c r="A103" i="13"/>
  <c r="B102" i="13"/>
  <c r="A102" i="13"/>
  <c r="B101" i="13"/>
  <c r="A101" i="13"/>
  <c r="B100" i="13"/>
  <c r="A100" i="13"/>
  <c r="B99" i="13"/>
  <c r="A99" i="13"/>
  <c r="B98" i="13"/>
  <c r="A98" i="13"/>
  <c r="B97" i="13"/>
  <c r="A97" i="13"/>
  <c r="B96" i="13"/>
  <c r="A96" i="13"/>
  <c r="B95" i="13"/>
  <c r="A95" i="13"/>
  <c r="B94" i="13"/>
  <c r="A94" i="13"/>
  <c r="B93" i="13"/>
  <c r="A93" i="13"/>
  <c r="B92" i="13"/>
  <c r="A92" i="13"/>
  <c r="B91" i="13"/>
  <c r="A91" i="13"/>
  <c r="B90" i="13"/>
  <c r="A90" i="13"/>
  <c r="B89" i="13"/>
  <c r="A89" i="13"/>
  <c r="B88" i="13"/>
  <c r="A88" i="13"/>
  <c r="B87" i="13"/>
  <c r="A87" i="13"/>
  <c r="B86" i="13"/>
  <c r="A86" i="13"/>
  <c r="B85" i="13"/>
  <c r="A85" i="13"/>
  <c r="B84" i="13"/>
  <c r="A84" i="13"/>
  <c r="B83" i="13"/>
  <c r="A83" i="13"/>
  <c r="B82" i="13"/>
  <c r="A82" i="13"/>
  <c r="B81" i="13"/>
  <c r="A81" i="13"/>
  <c r="B80" i="13"/>
  <c r="A80" i="13"/>
  <c r="B79" i="13"/>
  <c r="A79" i="13"/>
  <c r="B78" i="13"/>
  <c r="A78" i="13"/>
  <c r="B77" i="13"/>
  <c r="A77" i="13"/>
  <c r="B76" i="13"/>
  <c r="A76" i="13"/>
  <c r="B75" i="13"/>
  <c r="A75" i="13"/>
  <c r="B74" i="13"/>
  <c r="A74" i="13"/>
  <c r="B73" i="13"/>
  <c r="A73" i="13"/>
  <c r="B72" i="13"/>
  <c r="A72" i="13"/>
  <c r="B71" i="13"/>
  <c r="A71" i="13"/>
  <c r="B70" i="13"/>
  <c r="A70" i="13"/>
  <c r="B69" i="13"/>
  <c r="A69" i="13"/>
  <c r="B68" i="13"/>
  <c r="A68" i="13"/>
  <c r="B67" i="13"/>
  <c r="A67" i="13"/>
  <c r="B66" i="13"/>
  <c r="A66" i="13"/>
  <c r="B65" i="13"/>
  <c r="A65" i="13"/>
  <c r="B64" i="13"/>
  <c r="A64" i="13"/>
  <c r="B63" i="13"/>
  <c r="A63" i="13"/>
  <c r="B62" i="13"/>
  <c r="A62" i="13"/>
  <c r="B61" i="13"/>
  <c r="A61" i="13"/>
  <c r="B60" i="13"/>
  <c r="A60" i="13"/>
  <c r="B59" i="13"/>
  <c r="A59" i="13"/>
  <c r="B58" i="13"/>
  <c r="A58" i="13"/>
  <c r="B57" i="13"/>
  <c r="A57" i="13"/>
  <c r="B56" i="13"/>
  <c r="A56" i="13"/>
  <c r="B55" i="13"/>
  <c r="A55" i="13"/>
  <c r="B54" i="13"/>
  <c r="A54" i="13"/>
  <c r="B53" i="13"/>
  <c r="A53" i="13"/>
  <c r="B52" i="13"/>
  <c r="A52" i="13"/>
  <c r="B51" i="13"/>
  <c r="A51" i="13"/>
  <c r="B50" i="13"/>
  <c r="A50" i="13"/>
  <c r="B49" i="13"/>
  <c r="A49" i="13"/>
  <c r="B48" i="13"/>
  <c r="A48" i="13"/>
  <c r="B47" i="13"/>
  <c r="A47" i="13"/>
  <c r="B46" i="13"/>
  <c r="A46" i="13"/>
  <c r="B45" i="13"/>
  <c r="A45" i="13"/>
  <c r="B44" i="13"/>
  <c r="A44" i="13"/>
  <c r="B43" i="13"/>
  <c r="A43" i="13"/>
  <c r="B42" i="13"/>
  <c r="A42" i="13"/>
  <c r="B41" i="13"/>
  <c r="A41" i="13"/>
  <c r="B40" i="13"/>
  <c r="A40" i="13"/>
  <c r="B39" i="13"/>
  <c r="A39" i="13"/>
  <c r="B38" i="13"/>
  <c r="A38" i="13"/>
  <c r="B37" i="13"/>
  <c r="A37" i="13"/>
  <c r="B36" i="13"/>
  <c r="A36" i="13"/>
  <c r="B35" i="13"/>
  <c r="A35" i="13"/>
  <c r="B34" i="13"/>
  <c r="A34" i="13"/>
  <c r="B33" i="13"/>
  <c r="A33" i="13"/>
  <c r="B32" i="13"/>
  <c r="A32" i="13"/>
  <c r="B31" i="13"/>
  <c r="A31" i="13"/>
  <c r="B30" i="13"/>
  <c r="A30" i="13"/>
  <c r="B29" i="13"/>
  <c r="A29" i="13"/>
  <c r="B28" i="13"/>
  <c r="A28" i="13"/>
  <c r="B27" i="13"/>
  <c r="A27" i="13"/>
  <c r="B26" i="13"/>
  <c r="A26" i="13"/>
  <c r="B25" i="13"/>
  <c r="A25" i="13"/>
  <c r="B24" i="13"/>
  <c r="A24" i="13"/>
  <c r="B23" i="13"/>
  <c r="A23" i="13"/>
  <c r="B22" i="13"/>
  <c r="A22" i="13"/>
  <c r="B21" i="13"/>
  <c r="A21" i="13"/>
  <c r="B20" i="13"/>
  <c r="A20" i="13"/>
  <c r="B19" i="13"/>
  <c r="A19" i="13"/>
  <c r="B18" i="13"/>
  <c r="A18" i="13"/>
  <c r="B17" i="13"/>
  <c r="A17" i="13"/>
  <c r="B16" i="13"/>
  <c r="A16" i="13"/>
  <c r="B15" i="13"/>
  <c r="A15" i="13"/>
  <c r="B14" i="13"/>
  <c r="A14" i="13"/>
  <c r="B13" i="13"/>
  <c r="A13" i="13"/>
  <c r="B12" i="13"/>
  <c r="A12" i="13"/>
  <c r="B11" i="13"/>
  <c r="A11" i="13"/>
  <c r="B10" i="13"/>
  <c r="A10" i="13"/>
  <c r="B9" i="13"/>
  <c r="A9" i="13"/>
  <c r="B8" i="13"/>
  <c r="A8" i="13"/>
  <c r="B7" i="13"/>
  <c r="A7" i="13"/>
  <c r="B6" i="13"/>
  <c r="A6" i="13"/>
  <c r="Q5" i="13" a="1"/>
  <c r="B5" i="13"/>
  <c r="A5" i="13"/>
  <c r="B4" i="13"/>
  <c r="A4" i="13"/>
  <c r="I3" i="13"/>
  <c r="I4" i="13" s="1"/>
  <c r="I5" i="13" s="1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I30" i="13" s="1"/>
  <c r="I31" i="13" s="1"/>
  <c r="I32" i="13" s="1"/>
  <c r="I33" i="13" s="1"/>
  <c r="I34" i="13" s="1"/>
  <c r="I35" i="13" s="1"/>
  <c r="I36" i="13" s="1"/>
  <c r="I37" i="13" s="1"/>
  <c r="I38" i="13" s="1"/>
  <c r="I39" i="13" s="1"/>
  <c r="I40" i="13" s="1"/>
  <c r="I41" i="13" s="1"/>
  <c r="I42" i="13" s="1"/>
  <c r="I43" i="13" s="1"/>
  <c r="I44" i="13" s="1"/>
  <c r="I45" i="13" s="1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I58" i="13" s="1"/>
  <c r="I59" i="13" s="1"/>
  <c r="I60" i="13" s="1"/>
  <c r="I61" i="13" s="1"/>
  <c r="I62" i="13" s="1"/>
  <c r="I63" i="13" s="1"/>
  <c r="I64" i="13" s="1"/>
  <c r="I65" i="13" s="1"/>
  <c r="I66" i="13" s="1"/>
  <c r="I67" i="13" s="1"/>
  <c r="I68" i="13" s="1"/>
  <c r="I69" i="13" s="1"/>
  <c r="I70" i="13" s="1"/>
  <c r="I71" i="13" s="1"/>
  <c r="I72" i="13" s="1"/>
  <c r="I73" i="13" s="1"/>
  <c r="I74" i="13" s="1"/>
  <c r="I75" i="13" s="1"/>
  <c r="I76" i="13" s="1"/>
  <c r="I77" i="13" s="1"/>
  <c r="I78" i="13" s="1"/>
  <c r="I79" i="13" s="1"/>
  <c r="I80" i="13" s="1"/>
  <c r="I81" i="13" s="1"/>
  <c r="I82" i="13" s="1"/>
  <c r="I83" i="13" s="1"/>
  <c r="I84" i="13" s="1"/>
  <c r="I85" i="13" s="1"/>
  <c r="I86" i="13" s="1"/>
  <c r="I87" i="13" s="1"/>
  <c r="I88" i="13" s="1"/>
  <c r="I89" i="13" s="1"/>
  <c r="I90" i="13" s="1"/>
  <c r="I91" i="13" s="1"/>
  <c r="I92" i="13" s="1"/>
  <c r="I93" i="13" s="1"/>
  <c r="I94" i="13" s="1"/>
  <c r="I95" i="13" s="1"/>
  <c r="I96" i="13" s="1"/>
  <c r="I97" i="13" s="1"/>
  <c r="I98" i="13" s="1"/>
  <c r="I99" i="13" s="1"/>
  <c r="I100" i="13" s="1"/>
  <c r="I101" i="13" s="1"/>
  <c r="I102" i="13" s="1"/>
  <c r="I103" i="13" s="1"/>
  <c r="I104" i="13" s="1"/>
  <c r="I105" i="13" s="1"/>
  <c r="I106" i="13" s="1"/>
  <c r="I107" i="13" s="1"/>
  <c r="I108" i="13" s="1"/>
  <c r="I109" i="13" s="1"/>
  <c r="I110" i="13" s="1"/>
  <c r="I111" i="13" s="1"/>
  <c r="I112" i="13" s="1"/>
  <c r="I113" i="13" s="1"/>
  <c r="I114" i="13" s="1"/>
  <c r="I115" i="13" s="1"/>
  <c r="I116" i="13" s="1"/>
  <c r="I117" i="13" s="1"/>
  <c r="I118" i="13" s="1"/>
  <c r="I119" i="13" s="1"/>
  <c r="I120" i="13" s="1"/>
  <c r="I121" i="13" s="1"/>
  <c r="I122" i="13" s="1"/>
  <c r="I123" i="13" s="1"/>
  <c r="I124" i="13" s="1"/>
  <c r="I125" i="13" s="1"/>
  <c r="I126" i="13" s="1"/>
  <c r="I127" i="13" s="1"/>
  <c r="I128" i="13" s="1"/>
  <c r="I129" i="13" s="1"/>
  <c r="I130" i="13" s="1"/>
  <c r="I131" i="13" s="1"/>
  <c r="I132" i="13" s="1"/>
  <c r="I133" i="13" s="1"/>
  <c r="I134" i="13" s="1"/>
  <c r="I135" i="13" s="1"/>
  <c r="I136" i="13" s="1"/>
  <c r="I137" i="13" s="1"/>
  <c r="I138" i="13" s="1"/>
  <c r="I139" i="13" s="1"/>
  <c r="I140" i="13" s="1"/>
  <c r="I141" i="13" s="1"/>
  <c r="I142" i="13" s="1"/>
  <c r="I143" i="13" s="1"/>
  <c r="I144" i="13" s="1"/>
  <c r="I145" i="13" s="1"/>
  <c r="I146" i="13" s="1"/>
  <c r="I147" i="13" s="1"/>
  <c r="I148" i="13" s="1"/>
  <c r="I149" i="13" s="1"/>
  <c r="I150" i="13" s="1"/>
  <c r="I151" i="13" s="1"/>
  <c r="I152" i="13" s="1"/>
  <c r="I153" i="13" s="1"/>
  <c r="I154" i="13" s="1"/>
  <c r="I155" i="13" s="1"/>
  <c r="I156" i="13" s="1"/>
  <c r="I157" i="13" s="1"/>
  <c r="I158" i="13" s="1"/>
  <c r="I159" i="13" s="1"/>
  <c r="I160" i="13" s="1"/>
  <c r="I161" i="13" s="1"/>
  <c r="I162" i="13" s="1"/>
  <c r="I163" i="13" s="1"/>
  <c r="I164" i="13" s="1"/>
  <c r="I165" i="13" s="1"/>
  <c r="I166" i="13" s="1"/>
  <c r="I167" i="13" s="1"/>
  <c r="I168" i="13" s="1"/>
  <c r="I169" i="13" s="1"/>
  <c r="I170" i="13" s="1"/>
  <c r="I171" i="13" s="1"/>
  <c r="I172" i="13" s="1"/>
  <c r="I173" i="13" s="1"/>
  <c r="I174" i="13" s="1"/>
  <c r="I175" i="13" s="1"/>
  <c r="I176" i="13" s="1"/>
  <c r="I177" i="13" s="1"/>
  <c r="I178" i="13" s="1"/>
  <c r="I179" i="13" s="1"/>
  <c r="I180" i="13" s="1"/>
  <c r="I181" i="13" s="1"/>
  <c r="I182" i="13" s="1"/>
  <c r="I183" i="13" s="1"/>
  <c r="I184" i="13" s="1"/>
  <c r="I185" i="13" s="1"/>
  <c r="I186" i="13" s="1"/>
  <c r="I187" i="13" s="1"/>
  <c r="I188" i="13" s="1"/>
  <c r="I189" i="13" s="1"/>
  <c r="I190" i="13" s="1"/>
  <c r="I191" i="13" s="1"/>
  <c r="I192" i="13" s="1"/>
  <c r="I193" i="13" s="1"/>
  <c r="I194" i="13" s="1"/>
  <c r="I195" i="13" s="1"/>
  <c r="I196" i="13" s="1"/>
  <c r="I197" i="13" s="1"/>
  <c r="I198" i="13" s="1"/>
  <c r="I199" i="13" s="1"/>
  <c r="I200" i="13" s="1"/>
  <c r="I201" i="13" s="1"/>
  <c r="I202" i="13" s="1"/>
  <c r="I203" i="13" s="1"/>
  <c r="I204" i="13" s="1"/>
  <c r="I205" i="13" s="1"/>
  <c r="I206" i="13" s="1"/>
  <c r="I207" i="13" s="1"/>
  <c r="I208" i="13" s="1"/>
  <c r="I209" i="13" s="1"/>
  <c r="I210" i="13" s="1"/>
  <c r="I211" i="13" s="1"/>
  <c r="I212" i="13" s="1"/>
  <c r="I213" i="13" s="1"/>
  <c r="I214" i="13" s="1"/>
  <c r="I215" i="13" s="1"/>
  <c r="I216" i="13" s="1"/>
  <c r="I217" i="13" s="1"/>
  <c r="I218" i="13" s="1"/>
  <c r="I219" i="13" s="1"/>
  <c r="I220" i="13" s="1"/>
  <c r="I221" i="13" s="1"/>
  <c r="I222" i="13" s="1"/>
  <c r="I223" i="13" s="1"/>
  <c r="I224" i="13" s="1"/>
  <c r="I225" i="13" s="1"/>
  <c r="I226" i="13" s="1"/>
  <c r="I227" i="13" s="1"/>
  <c r="I228" i="13" s="1"/>
  <c r="I229" i="13" s="1"/>
  <c r="I230" i="13" s="1"/>
  <c r="I231" i="13" s="1"/>
  <c r="I232" i="13" s="1"/>
  <c r="I233" i="13" s="1"/>
  <c r="I234" i="13" s="1"/>
  <c r="I235" i="13" s="1"/>
  <c r="I236" i="13" s="1"/>
  <c r="I237" i="13" s="1"/>
  <c r="I238" i="13" s="1"/>
  <c r="I239" i="13" s="1"/>
  <c r="I240" i="13" s="1"/>
  <c r="I241" i="13" s="1"/>
  <c r="I242" i="13" s="1"/>
  <c r="I243" i="13" s="1"/>
  <c r="I244" i="13" s="1"/>
  <c r="I245" i="13" s="1"/>
  <c r="I246" i="13" s="1"/>
  <c r="I247" i="13" s="1"/>
  <c r="I248" i="13" s="1"/>
  <c r="I249" i="13" s="1"/>
  <c r="I250" i="13" s="1"/>
  <c r="I251" i="13" s="1"/>
  <c r="I252" i="13" s="1"/>
  <c r="I253" i="13" s="1"/>
  <c r="I254" i="13" s="1"/>
  <c r="I255" i="13" s="1"/>
  <c r="I256" i="13" s="1"/>
  <c r="I257" i="13" s="1"/>
  <c r="I258" i="13" s="1"/>
  <c r="I259" i="13" s="1"/>
  <c r="I260" i="13" s="1"/>
  <c r="I261" i="13" s="1"/>
  <c r="I262" i="13" s="1"/>
  <c r="I263" i="13" s="1"/>
  <c r="I264" i="13" s="1"/>
  <c r="I265" i="13" s="1"/>
  <c r="I266" i="13" s="1"/>
  <c r="I267" i="13" s="1"/>
  <c r="I268" i="13" s="1"/>
  <c r="I269" i="13" s="1"/>
  <c r="I270" i="13" s="1"/>
  <c r="I271" i="13" s="1"/>
  <c r="I272" i="13" s="1"/>
  <c r="I273" i="13" s="1"/>
  <c r="I274" i="13" s="1"/>
  <c r="I275" i="13" s="1"/>
  <c r="I276" i="13" s="1"/>
  <c r="I277" i="13" s="1"/>
  <c r="I278" i="13" s="1"/>
  <c r="I279" i="13" s="1"/>
  <c r="I280" i="13" s="1"/>
  <c r="I281" i="13" s="1"/>
  <c r="I282" i="13" s="1"/>
  <c r="I283" i="13" s="1"/>
  <c r="I284" i="13" s="1"/>
  <c r="I285" i="13" s="1"/>
  <c r="I286" i="13" s="1"/>
  <c r="I287" i="13" s="1"/>
  <c r="I288" i="13" s="1"/>
  <c r="I289" i="13" s="1"/>
  <c r="I290" i="13" s="1"/>
  <c r="I291" i="13" s="1"/>
  <c r="I292" i="13" s="1"/>
  <c r="I293" i="13" s="1"/>
  <c r="I294" i="13" s="1"/>
  <c r="I295" i="13" s="1"/>
  <c r="I296" i="13" s="1"/>
  <c r="I297" i="13" s="1"/>
  <c r="I298" i="13" s="1"/>
  <c r="I299" i="13" s="1"/>
  <c r="I300" i="13" s="1"/>
  <c r="I301" i="13" s="1"/>
  <c r="I302" i="13" s="1"/>
  <c r="I303" i="13" s="1"/>
  <c r="I304" i="13" s="1"/>
  <c r="I305" i="13" s="1"/>
  <c r="I306" i="13" s="1"/>
  <c r="I307" i="13" s="1"/>
  <c r="I308" i="13" s="1"/>
  <c r="I309" i="13" s="1"/>
  <c r="I310" i="13" s="1"/>
  <c r="I311" i="13" s="1"/>
  <c r="I312" i="13" s="1"/>
  <c r="I313" i="13" s="1"/>
  <c r="I314" i="13" s="1"/>
  <c r="I315" i="13" s="1"/>
  <c r="I316" i="13" s="1"/>
  <c r="I317" i="13" s="1"/>
  <c r="I318" i="13" s="1"/>
  <c r="I319" i="13" s="1"/>
  <c r="I320" i="13" s="1"/>
  <c r="I321" i="13" s="1"/>
  <c r="I322" i="13" s="1"/>
  <c r="I323" i="13" s="1"/>
  <c r="I324" i="13" s="1"/>
  <c r="I325" i="13" s="1"/>
  <c r="I326" i="13" s="1"/>
  <c r="I327" i="13" s="1"/>
  <c r="I328" i="13" s="1"/>
  <c r="I329" i="13" s="1"/>
  <c r="I330" i="13" s="1"/>
  <c r="I331" i="13" s="1"/>
  <c r="I332" i="13" s="1"/>
  <c r="I333" i="13" s="1"/>
  <c r="I334" i="13" s="1"/>
  <c r="I335" i="13" s="1"/>
  <c r="I336" i="13" s="1"/>
  <c r="I337" i="13" s="1"/>
  <c r="I338" i="13" s="1"/>
  <c r="I339" i="13" s="1"/>
  <c r="I340" i="13" s="1"/>
  <c r="I341" i="13" s="1"/>
  <c r="I342" i="13" s="1"/>
  <c r="I343" i="13" s="1"/>
  <c r="I344" i="13" s="1"/>
  <c r="I345" i="13" s="1"/>
  <c r="I346" i="13" s="1"/>
  <c r="I347" i="13" s="1"/>
  <c r="I348" i="13" s="1"/>
  <c r="I349" i="13" s="1"/>
  <c r="I350" i="13" s="1"/>
  <c r="I351" i="13" s="1"/>
  <c r="I352" i="13" s="1"/>
  <c r="I353" i="13" s="1"/>
  <c r="I354" i="13" s="1"/>
  <c r="I355" i="13" s="1"/>
  <c r="I356" i="13" s="1"/>
  <c r="I357" i="13" s="1"/>
  <c r="I358" i="13" s="1"/>
  <c r="I359" i="13" s="1"/>
  <c r="I360" i="13" s="1"/>
  <c r="I361" i="13" s="1"/>
  <c r="I362" i="13" s="1"/>
  <c r="I363" i="13" s="1"/>
  <c r="I364" i="13" s="1"/>
  <c r="I365" i="13" s="1"/>
  <c r="I366" i="13" s="1"/>
  <c r="I367" i="13" s="1"/>
  <c r="I368" i="13" s="1"/>
  <c r="I369" i="13" s="1"/>
  <c r="I370" i="13" s="1"/>
  <c r="I371" i="13" s="1"/>
  <c r="I372" i="13" s="1"/>
  <c r="I373" i="13" s="1"/>
  <c r="I374" i="13" s="1"/>
  <c r="I375" i="13" s="1"/>
  <c r="I376" i="13" s="1"/>
  <c r="I377" i="13" s="1"/>
  <c r="I378" i="13" s="1"/>
  <c r="I379" i="13" s="1"/>
  <c r="I380" i="13" s="1"/>
  <c r="I381" i="13" s="1"/>
  <c r="I382" i="13" s="1"/>
  <c r="I383" i="13" s="1"/>
  <c r="I384" i="13" s="1"/>
  <c r="I385" i="13" s="1"/>
  <c r="I386" i="13" s="1"/>
  <c r="I387" i="13" s="1"/>
  <c r="I388" i="13" s="1"/>
  <c r="I389" i="13" s="1"/>
  <c r="I390" i="13" s="1"/>
  <c r="I391" i="13" s="1"/>
  <c r="I392" i="13" s="1"/>
  <c r="I393" i="13" s="1"/>
  <c r="I394" i="13" s="1"/>
  <c r="I395" i="13" s="1"/>
  <c r="I396" i="13" s="1"/>
  <c r="I397" i="13" s="1"/>
  <c r="I398" i="13" s="1"/>
  <c r="I399" i="13" s="1"/>
  <c r="I400" i="13" s="1"/>
  <c r="I401" i="13" s="1"/>
  <c r="I402" i="13" s="1"/>
  <c r="I403" i="13" s="1"/>
  <c r="I404" i="13" s="1"/>
  <c r="I405" i="13" s="1"/>
  <c r="I406" i="13" s="1"/>
  <c r="I407" i="13" s="1"/>
  <c r="I408" i="13" s="1"/>
  <c r="I409" i="13" s="1"/>
  <c r="I410" i="13" s="1"/>
  <c r="I411" i="13" s="1"/>
  <c r="I412" i="13" s="1"/>
  <c r="I413" i="13" s="1"/>
  <c r="I414" i="13" s="1"/>
  <c r="I415" i="13" s="1"/>
  <c r="I416" i="13" s="1"/>
  <c r="I417" i="13" s="1"/>
  <c r="I418" i="13" s="1"/>
  <c r="I419" i="13" s="1"/>
  <c r="I420" i="13" s="1"/>
  <c r="I421" i="13" s="1"/>
  <c r="I422" i="13" s="1"/>
  <c r="I423" i="13" s="1"/>
  <c r="I424" i="13" s="1"/>
  <c r="I425" i="13" s="1"/>
  <c r="I426" i="13" s="1"/>
  <c r="I427" i="13" s="1"/>
  <c r="I428" i="13" s="1"/>
  <c r="I429" i="13" s="1"/>
  <c r="I430" i="13" s="1"/>
  <c r="I431" i="13" s="1"/>
  <c r="I432" i="13" s="1"/>
  <c r="I433" i="13" s="1"/>
  <c r="I434" i="13" s="1"/>
  <c r="I435" i="13" s="1"/>
  <c r="I436" i="13" s="1"/>
  <c r="I437" i="13" s="1"/>
  <c r="I438" i="13" s="1"/>
  <c r="I439" i="13" s="1"/>
  <c r="I440" i="13" s="1"/>
  <c r="I441" i="13" s="1"/>
  <c r="I442" i="13" s="1"/>
  <c r="I443" i="13" s="1"/>
  <c r="I444" i="13" s="1"/>
  <c r="I445" i="13" s="1"/>
  <c r="I446" i="13" s="1"/>
  <c r="I447" i="13" s="1"/>
  <c r="I448" i="13" s="1"/>
  <c r="I449" i="13" s="1"/>
  <c r="I450" i="13" s="1"/>
  <c r="I451" i="13" s="1"/>
  <c r="I452" i="13" s="1"/>
  <c r="I453" i="13" s="1"/>
  <c r="I454" i="13" s="1"/>
  <c r="I455" i="13" s="1"/>
  <c r="I456" i="13" s="1"/>
  <c r="I457" i="13" s="1"/>
  <c r="I458" i="13" s="1"/>
  <c r="I459" i="13" s="1"/>
  <c r="I460" i="13" s="1"/>
  <c r="I461" i="13" s="1"/>
  <c r="I462" i="13" s="1"/>
  <c r="I463" i="13" s="1"/>
  <c r="I464" i="13" s="1"/>
  <c r="I465" i="13" s="1"/>
  <c r="I466" i="13" s="1"/>
  <c r="I467" i="13" s="1"/>
  <c r="I468" i="13" s="1"/>
  <c r="I469" i="13" s="1"/>
  <c r="I470" i="13" s="1"/>
  <c r="I471" i="13" s="1"/>
  <c r="I472" i="13" s="1"/>
  <c r="I473" i="13" s="1"/>
  <c r="I474" i="13" s="1"/>
  <c r="I475" i="13" s="1"/>
  <c r="I476" i="13" s="1"/>
  <c r="I477" i="13" s="1"/>
  <c r="I478" i="13" s="1"/>
  <c r="I479" i="13" s="1"/>
  <c r="I480" i="13" s="1"/>
  <c r="I481" i="13" s="1"/>
  <c r="I482" i="13" s="1"/>
  <c r="I483" i="13" s="1"/>
  <c r="I484" i="13" s="1"/>
  <c r="I485" i="13" s="1"/>
  <c r="I486" i="13" s="1"/>
  <c r="I487" i="13" s="1"/>
  <c r="I488" i="13" s="1"/>
  <c r="I489" i="13" s="1"/>
  <c r="I490" i="13" s="1"/>
  <c r="I491" i="13" s="1"/>
  <c r="I492" i="13" s="1"/>
  <c r="I493" i="13" s="1"/>
  <c r="I494" i="13" s="1"/>
  <c r="I495" i="13" s="1"/>
  <c r="I496" i="13" s="1"/>
  <c r="I497" i="13" s="1"/>
  <c r="I498" i="13" s="1"/>
  <c r="I499" i="13" s="1"/>
  <c r="I500" i="13" s="1"/>
  <c r="I501" i="13" s="1"/>
  <c r="I502" i="13" s="1"/>
  <c r="I503" i="13" s="1"/>
  <c r="I504" i="13" s="1"/>
  <c r="I505" i="13" s="1"/>
  <c r="I506" i="13" s="1"/>
  <c r="I507" i="13" s="1"/>
  <c r="I508" i="13" s="1"/>
  <c r="I509" i="13" s="1"/>
  <c r="I510" i="13" s="1"/>
  <c r="I511" i="13" s="1"/>
  <c r="I512" i="13" s="1"/>
  <c r="I513" i="13" s="1"/>
  <c r="I514" i="13" s="1"/>
  <c r="I515" i="13" s="1"/>
  <c r="I516" i="13" s="1"/>
  <c r="I517" i="13" s="1"/>
  <c r="I518" i="13" s="1"/>
  <c r="I519" i="13" s="1"/>
  <c r="I520" i="13" s="1"/>
  <c r="I521" i="13" s="1"/>
  <c r="I522" i="13" s="1"/>
  <c r="I523" i="13" s="1"/>
  <c r="I524" i="13" s="1"/>
  <c r="I525" i="13" s="1"/>
  <c r="I526" i="13" s="1"/>
  <c r="I527" i="13" s="1"/>
  <c r="I528" i="13" s="1"/>
  <c r="I529" i="13" s="1"/>
  <c r="I530" i="13" s="1"/>
  <c r="I531" i="13" s="1"/>
  <c r="I532" i="13" s="1"/>
  <c r="I533" i="13" s="1"/>
  <c r="I534" i="13" s="1"/>
  <c r="I535" i="13" s="1"/>
  <c r="I536" i="13" s="1"/>
  <c r="I537" i="13" s="1"/>
  <c r="I538" i="13" s="1"/>
  <c r="I539" i="13" s="1"/>
  <c r="I540" i="13" s="1"/>
  <c r="I541" i="13" s="1"/>
  <c r="I542" i="13" s="1"/>
  <c r="I543" i="13" s="1"/>
  <c r="I544" i="13" s="1"/>
  <c r="I545" i="13" s="1"/>
  <c r="I546" i="13" s="1"/>
  <c r="I547" i="13" s="1"/>
  <c r="I548" i="13" s="1"/>
  <c r="I549" i="13" s="1"/>
  <c r="I550" i="13" s="1"/>
  <c r="I551" i="13" s="1"/>
  <c r="I552" i="13" s="1"/>
  <c r="I553" i="13" s="1"/>
  <c r="I554" i="13" s="1"/>
  <c r="I555" i="13" s="1"/>
  <c r="I556" i="13" s="1"/>
  <c r="I557" i="13" s="1"/>
  <c r="B3" i="13"/>
  <c r="A3" i="13"/>
  <c r="B2" i="13"/>
  <c r="A2" i="13"/>
  <c r="D147" i="16"/>
  <c r="B147" i="16"/>
  <c r="A147" i="16"/>
  <c r="D146" i="16"/>
  <c r="B146" i="16"/>
  <c r="A146" i="16"/>
  <c r="D145" i="16"/>
  <c r="B145" i="16"/>
  <c r="A145" i="16"/>
  <c r="D144" i="16"/>
  <c r="B144" i="16"/>
  <c r="A144" i="16"/>
  <c r="D143" i="16"/>
  <c r="B143" i="16"/>
  <c r="A143" i="16"/>
  <c r="D142" i="16"/>
  <c r="B142" i="16"/>
  <c r="A142" i="16"/>
  <c r="D141" i="16"/>
  <c r="B141" i="16"/>
  <c r="A141" i="16"/>
  <c r="D140" i="16"/>
  <c r="B140" i="16"/>
  <c r="A140" i="16"/>
  <c r="D139" i="16"/>
  <c r="B139" i="16"/>
  <c r="A139" i="16"/>
  <c r="D138" i="16"/>
  <c r="B138" i="16"/>
  <c r="A138" i="16"/>
  <c r="D137" i="16"/>
  <c r="B137" i="16"/>
  <c r="A137" i="16"/>
  <c r="D136" i="16"/>
  <c r="B136" i="16"/>
  <c r="A136" i="16"/>
  <c r="D135" i="16"/>
  <c r="B135" i="16"/>
  <c r="A135" i="16"/>
  <c r="D134" i="16"/>
  <c r="B134" i="16"/>
  <c r="A134" i="16"/>
  <c r="D133" i="16"/>
  <c r="B133" i="16"/>
  <c r="A133" i="16"/>
  <c r="D132" i="16"/>
  <c r="B132" i="16"/>
  <c r="A132" i="16"/>
  <c r="D131" i="16"/>
  <c r="B131" i="16"/>
  <c r="A131" i="16"/>
  <c r="D130" i="16"/>
  <c r="B130" i="16"/>
  <c r="A130" i="16"/>
  <c r="D129" i="16"/>
  <c r="B129" i="16"/>
  <c r="A129" i="16"/>
  <c r="D128" i="16"/>
  <c r="B128" i="16"/>
  <c r="A128" i="16"/>
  <c r="B127" i="16"/>
  <c r="A127" i="16"/>
  <c r="B126" i="16"/>
  <c r="A126" i="16"/>
  <c r="B125" i="16"/>
  <c r="A125" i="16"/>
  <c r="B124" i="16"/>
  <c r="A124" i="16"/>
  <c r="B123" i="16"/>
  <c r="A123" i="16"/>
  <c r="B122" i="16"/>
  <c r="A122" i="16"/>
  <c r="B121" i="16"/>
  <c r="A121" i="16"/>
  <c r="B120" i="16"/>
  <c r="A120" i="16"/>
  <c r="B119" i="16"/>
  <c r="A119" i="16"/>
  <c r="B118" i="16"/>
  <c r="A118" i="16"/>
  <c r="B117" i="16"/>
  <c r="A117" i="16"/>
  <c r="B116" i="16"/>
  <c r="A116" i="16"/>
  <c r="B115" i="16"/>
  <c r="A115" i="16"/>
  <c r="B114" i="16"/>
  <c r="A114" i="16"/>
  <c r="B113" i="16"/>
  <c r="A113" i="16"/>
  <c r="B112" i="16"/>
  <c r="A112" i="16"/>
  <c r="B111" i="16"/>
  <c r="A111" i="16"/>
  <c r="B110" i="16"/>
  <c r="A110" i="16"/>
  <c r="B109" i="16"/>
  <c r="A109" i="16"/>
  <c r="B108" i="16"/>
  <c r="A108" i="16"/>
  <c r="B107" i="16"/>
  <c r="A107" i="16"/>
  <c r="B106" i="16"/>
  <c r="A106" i="16"/>
  <c r="B105" i="16"/>
  <c r="A105" i="16"/>
  <c r="B104" i="16"/>
  <c r="A104" i="16"/>
  <c r="B103" i="16"/>
  <c r="A103" i="16"/>
  <c r="B102" i="16"/>
  <c r="A102" i="16"/>
  <c r="B101" i="16"/>
  <c r="A101" i="16"/>
  <c r="B100" i="16"/>
  <c r="A100" i="16"/>
  <c r="B99" i="16"/>
  <c r="A99" i="16"/>
  <c r="B98" i="16"/>
  <c r="A98" i="16"/>
  <c r="B97" i="16"/>
  <c r="A97" i="16"/>
  <c r="B96" i="16"/>
  <c r="A96" i="16"/>
  <c r="B95" i="16"/>
  <c r="A95" i="16"/>
  <c r="B94" i="16"/>
  <c r="A94" i="16"/>
  <c r="B93" i="16"/>
  <c r="A93" i="16"/>
  <c r="B92" i="16"/>
  <c r="A92" i="16"/>
  <c r="B91" i="16"/>
  <c r="A91" i="16"/>
  <c r="B90" i="16"/>
  <c r="A90" i="16"/>
  <c r="B89" i="16"/>
  <c r="A89" i="16"/>
  <c r="B88" i="16"/>
  <c r="A88" i="16"/>
  <c r="B87" i="16"/>
  <c r="A87" i="16"/>
  <c r="B86" i="16"/>
  <c r="A86" i="16"/>
  <c r="B85" i="16"/>
  <c r="A85" i="16"/>
  <c r="B84" i="16"/>
  <c r="A84" i="16"/>
  <c r="B83" i="16"/>
  <c r="A83" i="16"/>
  <c r="B82" i="16"/>
  <c r="A82" i="16"/>
  <c r="B81" i="16"/>
  <c r="A81" i="16"/>
  <c r="B80" i="16"/>
  <c r="A80" i="16"/>
  <c r="B79" i="16"/>
  <c r="A79" i="16"/>
  <c r="B78" i="16"/>
  <c r="A78" i="16"/>
  <c r="B77" i="16"/>
  <c r="A77" i="16"/>
  <c r="B76" i="16"/>
  <c r="A76" i="16"/>
  <c r="B75" i="16"/>
  <c r="A75" i="16"/>
  <c r="B74" i="16"/>
  <c r="A74" i="16"/>
  <c r="B73" i="16"/>
  <c r="A73" i="16"/>
  <c r="B72" i="16"/>
  <c r="A72" i="16"/>
  <c r="B71" i="16"/>
  <c r="A71" i="16"/>
  <c r="B70" i="16"/>
  <c r="A70" i="16"/>
  <c r="B69" i="16"/>
  <c r="A69" i="16"/>
  <c r="B68" i="16"/>
  <c r="A68" i="16"/>
  <c r="B67" i="16"/>
  <c r="A67" i="16"/>
  <c r="B66" i="16"/>
  <c r="A66" i="16"/>
  <c r="B65" i="16"/>
  <c r="A65" i="16"/>
  <c r="B64" i="16"/>
  <c r="A64" i="16"/>
  <c r="B63" i="16"/>
  <c r="A63" i="16"/>
  <c r="B62" i="16"/>
  <c r="A62" i="16"/>
  <c r="B61" i="16"/>
  <c r="A61" i="16"/>
  <c r="B60" i="16"/>
  <c r="A60" i="16"/>
  <c r="B59" i="16"/>
  <c r="A59" i="16"/>
  <c r="B58" i="16"/>
  <c r="A58" i="16"/>
  <c r="B57" i="16"/>
  <c r="A57" i="16"/>
  <c r="B56" i="16"/>
  <c r="A56" i="16"/>
  <c r="B55" i="16"/>
  <c r="A55" i="16"/>
  <c r="B54" i="16"/>
  <c r="A54" i="16"/>
  <c r="B53" i="16"/>
  <c r="A53" i="16"/>
  <c r="B52" i="16"/>
  <c r="A52" i="16"/>
  <c r="B51" i="16"/>
  <c r="A51" i="16"/>
  <c r="B50" i="16"/>
  <c r="A50" i="16"/>
  <c r="B49" i="16"/>
  <c r="A49" i="16"/>
  <c r="B48" i="16"/>
  <c r="A48" i="16"/>
  <c r="B47" i="16"/>
  <c r="A47" i="16"/>
  <c r="B46" i="16"/>
  <c r="A46" i="16"/>
  <c r="B45" i="16"/>
  <c r="A45" i="16"/>
  <c r="B44" i="16"/>
  <c r="A44" i="16"/>
  <c r="B43" i="16"/>
  <c r="A43" i="16"/>
  <c r="B42" i="16"/>
  <c r="A42" i="16"/>
  <c r="B41" i="16"/>
  <c r="A41" i="16"/>
  <c r="B40" i="16"/>
  <c r="A40" i="16"/>
  <c r="B39" i="16"/>
  <c r="A39" i="16"/>
  <c r="B38" i="16"/>
  <c r="A38" i="16"/>
  <c r="B37" i="16"/>
  <c r="A37" i="16"/>
  <c r="B36" i="16"/>
  <c r="A36" i="16"/>
  <c r="B35" i="16"/>
  <c r="A35" i="16"/>
  <c r="B34" i="16"/>
  <c r="A34" i="16"/>
  <c r="B33" i="16"/>
  <c r="A33" i="16"/>
  <c r="B32" i="16"/>
  <c r="A32" i="16"/>
  <c r="B31" i="16"/>
  <c r="A31" i="16"/>
  <c r="B30" i="16"/>
  <c r="A30" i="16"/>
  <c r="B29" i="16"/>
  <c r="A29" i="16"/>
  <c r="B28" i="16"/>
  <c r="A28" i="16"/>
  <c r="B27" i="16"/>
  <c r="A27" i="16"/>
  <c r="B26" i="16"/>
  <c r="A26" i="16"/>
  <c r="B25" i="16"/>
  <c r="A25" i="16"/>
  <c r="B24" i="16"/>
  <c r="A24" i="16"/>
  <c r="B23" i="16"/>
  <c r="A23" i="16"/>
  <c r="B22" i="16"/>
  <c r="A22" i="16"/>
  <c r="B21" i="16"/>
  <c r="A21" i="16"/>
  <c r="B20" i="16"/>
  <c r="A20" i="16"/>
  <c r="B19" i="16"/>
  <c r="A19" i="16"/>
  <c r="B18" i="16"/>
  <c r="A18" i="16"/>
  <c r="B17" i="16"/>
  <c r="A17" i="16"/>
  <c r="B16" i="16"/>
  <c r="A16" i="16"/>
  <c r="B15" i="16"/>
  <c r="A15" i="16"/>
  <c r="B14" i="16"/>
  <c r="A14" i="16"/>
  <c r="B13" i="16"/>
  <c r="A13" i="16"/>
  <c r="B12" i="16"/>
  <c r="A12" i="16"/>
  <c r="B11" i="16"/>
  <c r="A11" i="16"/>
  <c r="B10" i="16"/>
  <c r="A10" i="16"/>
  <c r="B9" i="16"/>
  <c r="A9" i="16"/>
  <c r="B8" i="16"/>
  <c r="A8" i="16"/>
  <c r="B7" i="16"/>
  <c r="A7" i="16"/>
  <c r="B6" i="16"/>
  <c r="A6" i="16"/>
  <c r="B5" i="16"/>
  <c r="A5" i="16"/>
  <c r="B4" i="16"/>
  <c r="A4" i="16"/>
  <c r="B3" i="16"/>
  <c r="A3" i="16"/>
  <c r="B2" i="16"/>
  <c r="A2" i="16"/>
  <c r="AC11" i="13" l="1"/>
  <c r="AC13" i="13"/>
  <c r="AC14" i="13"/>
  <c r="AC15" i="13"/>
  <c r="AC16" i="13"/>
  <c r="AC17" i="13"/>
  <c r="AC18" i="13"/>
  <c r="AC20" i="13"/>
  <c r="AC19" i="13"/>
  <c r="AC21" i="13"/>
  <c r="AC6" i="13"/>
  <c r="AC7" i="13"/>
  <c r="AC8" i="13"/>
  <c r="AC9" i="13"/>
  <c r="AC10" i="13"/>
  <c r="AC12" i="13"/>
  <c r="H65" i="17"/>
  <c r="X65" i="17"/>
  <c r="AN65" i="17"/>
  <c r="BD65" i="17"/>
  <c r="I65" i="17"/>
  <c r="Y65" i="17"/>
  <c r="AO65" i="17"/>
  <c r="BE65" i="17"/>
  <c r="J65" i="17"/>
  <c r="Z65" i="17"/>
  <c r="AP65" i="17"/>
  <c r="BF65" i="17"/>
  <c r="K65" i="17"/>
  <c r="AA65" i="17"/>
  <c r="AQ65" i="17"/>
  <c r="BG65" i="17"/>
  <c r="L65" i="17"/>
  <c r="AB65" i="17"/>
  <c r="AR65" i="17"/>
  <c r="BH65" i="17"/>
  <c r="M65" i="17"/>
  <c r="AC65" i="17"/>
  <c r="AS65" i="17"/>
  <c r="BI65" i="17"/>
  <c r="U65" i="17"/>
  <c r="N65" i="17"/>
  <c r="AD65" i="17"/>
  <c r="AT65" i="17"/>
  <c r="O65" i="17"/>
  <c r="AE65" i="17"/>
  <c r="AU65" i="17"/>
  <c r="P65" i="17"/>
  <c r="AF65" i="17"/>
  <c r="AV65" i="17"/>
  <c r="Q65" i="17"/>
  <c r="AG65" i="17"/>
  <c r="AW65" i="17"/>
  <c r="R65" i="17"/>
  <c r="AH65" i="17"/>
  <c r="AX65" i="17"/>
  <c r="AK65" i="17"/>
  <c r="C65" i="17"/>
  <c r="S65" i="17"/>
  <c r="AI65" i="17"/>
  <c r="AY65" i="17"/>
  <c r="BA65" i="17"/>
  <c r="D65" i="17"/>
  <c r="T65" i="17"/>
  <c r="AJ65" i="17"/>
  <c r="AZ65" i="17"/>
  <c r="E65" i="17"/>
  <c r="F65" i="17"/>
  <c r="V65" i="17"/>
  <c r="AL65" i="17"/>
  <c r="BB65" i="17"/>
  <c r="G65" i="17"/>
  <c r="W65" i="17"/>
  <c r="AM65" i="17"/>
  <c r="BC65" i="17"/>
  <c r="Q62" i="17"/>
  <c r="AG62" i="17"/>
  <c r="AW62" i="17"/>
  <c r="F63" i="17"/>
  <c r="V63" i="17"/>
  <c r="AL63" i="17"/>
  <c r="BB63" i="17"/>
  <c r="K64" i="17"/>
  <c r="AA64" i="17"/>
  <c r="AQ64" i="17"/>
  <c r="BG64" i="17"/>
  <c r="AH62" i="17"/>
  <c r="AX62" i="17"/>
  <c r="W63" i="17"/>
  <c r="BC63" i="17"/>
  <c r="L64" i="17"/>
  <c r="BH64" i="17"/>
  <c r="R62" i="17"/>
  <c r="AM63" i="17"/>
  <c r="AR64" i="17"/>
  <c r="C62" i="17"/>
  <c r="S62" i="17"/>
  <c r="AI62" i="17"/>
  <c r="AY62" i="17"/>
  <c r="H63" i="17"/>
  <c r="X63" i="17"/>
  <c r="AN63" i="17"/>
  <c r="BD63" i="17"/>
  <c r="M64" i="17"/>
  <c r="AC64" i="17"/>
  <c r="AS64" i="17"/>
  <c r="BI64" i="17"/>
  <c r="U62" i="17"/>
  <c r="BA62" i="17"/>
  <c r="Z63" i="17"/>
  <c r="BF63" i="17"/>
  <c r="AE64" i="17"/>
  <c r="K63" i="17"/>
  <c r="AF64" i="17"/>
  <c r="D62" i="17"/>
  <c r="T62" i="17"/>
  <c r="AJ62" i="17"/>
  <c r="AZ62" i="17"/>
  <c r="I63" i="17"/>
  <c r="Y63" i="17"/>
  <c r="AO63" i="17"/>
  <c r="BE63" i="17"/>
  <c r="N64" i="17"/>
  <c r="AD64" i="17"/>
  <c r="AT64" i="17"/>
  <c r="E62" i="17"/>
  <c r="J63" i="17"/>
  <c r="AP63" i="17"/>
  <c r="O64" i="17"/>
  <c r="BB62" i="17"/>
  <c r="AK62" i="17"/>
  <c r="AU64" i="17"/>
  <c r="F62" i="17"/>
  <c r="V62" i="17"/>
  <c r="AL62" i="17"/>
  <c r="AA63" i="17"/>
  <c r="AQ63" i="17"/>
  <c r="BG63" i="17"/>
  <c r="P64" i="17"/>
  <c r="G62" i="17"/>
  <c r="W62" i="17"/>
  <c r="AM62" i="17"/>
  <c r="BC62" i="17"/>
  <c r="L63" i="17"/>
  <c r="AB63" i="17"/>
  <c r="AR63" i="17"/>
  <c r="BH63" i="17"/>
  <c r="Q64" i="17"/>
  <c r="AG64" i="17"/>
  <c r="AW64" i="17"/>
  <c r="H62" i="17"/>
  <c r="X62" i="17"/>
  <c r="AN62" i="17"/>
  <c r="BD62" i="17"/>
  <c r="M63" i="17"/>
  <c r="AC63" i="17"/>
  <c r="AS63" i="17"/>
  <c r="BI63" i="17"/>
  <c r="R64" i="17"/>
  <c r="AH64" i="17"/>
  <c r="AX64" i="17"/>
  <c r="Z62" i="17"/>
  <c r="AP62" i="17"/>
  <c r="O63" i="17"/>
  <c r="AU63" i="17"/>
  <c r="T64" i="17"/>
  <c r="AI63" i="17"/>
  <c r="I62" i="17"/>
  <c r="Y62" i="17"/>
  <c r="AO62" i="17"/>
  <c r="BE62" i="17"/>
  <c r="N63" i="17"/>
  <c r="AD63" i="17"/>
  <c r="AT63" i="17"/>
  <c r="C64" i="17"/>
  <c r="S64" i="17"/>
  <c r="AI64" i="17"/>
  <c r="AY64" i="17"/>
  <c r="BF62" i="17"/>
  <c r="AE63" i="17"/>
  <c r="D64" i="17"/>
  <c r="AJ64" i="17"/>
  <c r="AY63" i="17"/>
  <c r="J62" i="17"/>
  <c r="AZ64" i="17"/>
  <c r="K62" i="17"/>
  <c r="AA62" i="17"/>
  <c r="AQ62" i="17"/>
  <c r="BG62" i="17"/>
  <c r="P63" i="17"/>
  <c r="AF63" i="17"/>
  <c r="AV63" i="17"/>
  <c r="E64" i="17"/>
  <c r="U64" i="17"/>
  <c r="AK64" i="17"/>
  <c r="BA64" i="17"/>
  <c r="AC62" i="17"/>
  <c r="BI62" i="17"/>
  <c r="AH63" i="17"/>
  <c r="G64" i="17"/>
  <c r="BC64" i="17"/>
  <c r="H64" i="17"/>
  <c r="L62" i="17"/>
  <c r="AB62" i="17"/>
  <c r="AR62" i="17"/>
  <c r="BH62" i="17"/>
  <c r="Q63" i="17"/>
  <c r="AG63" i="17"/>
  <c r="AW63" i="17"/>
  <c r="F64" i="17"/>
  <c r="V64" i="17"/>
  <c r="AL64" i="17"/>
  <c r="BB64" i="17"/>
  <c r="M62" i="17"/>
  <c r="R63" i="17"/>
  <c r="AX63" i="17"/>
  <c r="W64" i="17"/>
  <c r="X64" i="17"/>
  <c r="AS62" i="17"/>
  <c r="AM64" i="17"/>
  <c r="N62" i="17"/>
  <c r="AD62" i="17"/>
  <c r="AT62" i="17"/>
  <c r="C63" i="17"/>
  <c r="S63" i="17"/>
  <c r="AN64" i="17"/>
  <c r="BD64" i="17"/>
  <c r="O62" i="17"/>
  <c r="AE62" i="17"/>
  <c r="AU62" i="17"/>
  <c r="D63" i="17"/>
  <c r="T63" i="17"/>
  <c r="AJ63" i="17"/>
  <c r="AZ63" i="17"/>
  <c r="I64" i="17"/>
  <c r="Y64" i="17"/>
  <c r="AO64" i="17"/>
  <c r="BE64" i="17"/>
  <c r="P62" i="17"/>
  <c r="AF62" i="17"/>
  <c r="AV62" i="17"/>
  <c r="E63" i="17"/>
  <c r="U63" i="17"/>
  <c r="AK63" i="17"/>
  <c r="BA63" i="17"/>
  <c r="J64" i="17"/>
  <c r="Z64" i="17"/>
  <c r="AP64" i="17"/>
  <c r="BF64" i="17"/>
  <c r="G63" i="17"/>
  <c r="AB64" i="17"/>
  <c r="AV64" i="17"/>
  <c r="I38" i="15"/>
  <c r="K39" i="15"/>
  <c r="M40" i="15"/>
  <c r="M39" i="15"/>
  <c r="J38" i="15"/>
  <c r="L39" i="15"/>
  <c r="N40" i="15"/>
  <c r="K38" i="15"/>
  <c r="O40" i="15"/>
  <c r="L38" i="15"/>
  <c r="N39" i="15"/>
  <c r="P40" i="15"/>
  <c r="M38" i="15"/>
  <c r="O39" i="15"/>
  <c r="Q40" i="15"/>
  <c r="N38" i="15"/>
  <c r="P39" i="15"/>
  <c r="R40" i="15"/>
  <c r="J39" i="15"/>
  <c r="O38" i="15"/>
  <c r="Q39" i="15"/>
  <c r="S40" i="15"/>
  <c r="P38" i="15"/>
  <c r="R39" i="15"/>
  <c r="Q38" i="15"/>
  <c r="S39" i="15"/>
  <c r="R38" i="15"/>
  <c r="E40" i="15"/>
  <c r="S38" i="15"/>
  <c r="F40" i="15"/>
  <c r="E39" i="15"/>
  <c r="H40" i="15"/>
  <c r="L40" i="15"/>
  <c r="F39" i="15"/>
  <c r="I40" i="15"/>
  <c r="E38" i="15"/>
  <c r="H39" i="15"/>
  <c r="J40" i="15"/>
  <c r="F38" i="15"/>
  <c r="I39" i="15"/>
  <c r="K40" i="15"/>
  <c r="H38" i="15"/>
  <c r="Q11" i="15"/>
  <c r="Q27" i="15"/>
  <c r="Q28" i="15"/>
  <c r="Q26" i="15"/>
  <c r="Q12" i="15"/>
  <c r="Q13" i="15"/>
  <c r="Q29" i="15"/>
  <c r="Q30" i="15"/>
  <c r="Q37" i="15"/>
  <c r="Q23" i="15"/>
  <c r="Q14" i="15"/>
  <c r="Q15" i="15"/>
  <c r="Q31" i="15"/>
  <c r="Q16" i="15"/>
  <c r="Q32" i="15"/>
  <c r="Q20" i="15"/>
  <c r="Q24" i="15"/>
  <c r="Q17" i="15"/>
  <c r="Q33" i="15"/>
  <c r="Q35" i="15"/>
  <c r="Q18" i="15"/>
  <c r="Q34" i="15"/>
  <c r="Q19" i="15"/>
  <c r="Q36" i="15"/>
  <c r="Q3" i="15"/>
  <c r="Q10" i="15"/>
  <c r="Q4" i="15"/>
  <c r="Q25" i="15"/>
  <c r="Q5" i="15"/>
  <c r="Q21" i="15"/>
  <c r="Q8" i="15"/>
  <c r="Q6" i="15"/>
  <c r="Q22" i="15"/>
  <c r="Q7" i="15"/>
  <c r="Q9" i="15"/>
  <c r="J61" i="17"/>
  <c r="Z61" i="17"/>
  <c r="AP61" i="17"/>
  <c r="BF61" i="17"/>
  <c r="O55" i="17"/>
  <c r="AE55" i="17"/>
  <c r="AU55" i="17"/>
  <c r="D56" i="17"/>
  <c r="T56" i="17"/>
  <c r="AJ56" i="17"/>
  <c r="AZ56" i="17"/>
  <c r="I57" i="17"/>
  <c r="Y57" i="17"/>
  <c r="AO57" i="17"/>
  <c r="BE57" i="17"/>
  <c r="N58" i="17"/>
  <c r="AD58" i="17"/>
  <c r="AT58" i="17"/>
  <c r="C59" i="17"/>
  <c r="S59" i="17"/>
  <c r="AI59" i="17"/>
  <c r="AY59" i="17"/>
  <c r="H60" i="17"/>
  <c r="X60" i="17"/>
  <c r="AN60" i="17"/>
  <c r="BD60" i="17"/>
  <c r="BH60" i="17"/>
  <c r="K61" i="17"/>
  <c r="AA61" i="17"/>
  <c r="AQ61" i="17"/>
  <c r="BG61" i="17"/>
  <c r="P55" i="17"/>
  <c r="AF55" i="17"/>
  <c r="AV55" i="17"/>
  <c r="E56" i="17"/>
  <c r="U56" i="17"/>
  <c r="AK56" i="17"/>
  <c r="BA56" i="17"/>
  <c r="J57" i="17"/>
  <c r="Z57" i="17"/>
  <c r="AP57" i="17"/>
  <c r="BF57" i="17"/>
  <c r="O58" i="17"/>
  <c r="AE58" i="17"/>
  <c r="AU58" i="17"/>
  <c r="D59" i="17"/>
  <c r="T59" i="17"/>
  <c r="AJ59" i="17"/>
  <c r="AZ59" i="17"/>
  <c r="I60" i="17"/>
  <c r="Y60" i="17"/>
  <c r="AO60" i="17"/>
  <c r="BE60" i="17"/>
  <c r="AB60" i="17"/>
  <c r="L61" i="17"/>
  <c r="AB61" i="17"/>
  <c r="AR61" i="17"/>
  <c r="BH61" i="17"/>
  <c r="Q55" i="17"/>
  <c r="AG55" i="17"/>
  <c r="AW55" i="17"/>
  <c r="F56" i="17"/>
  <c r="V56" i="17"/>
  <c r="AL56" i="17"/>
  <c r="BB56" i="17"/>
  <c r="K57" i="17"/>
  <c r="AA57" i="17"/>
  <c r="AQ57" i="17"/>
  <c r="BG57" i="17"/>
  <c r="P58" i="17"/>
  <c r="AF58" i="17"/>
  <c r="AV58" i="17"/>
  <c r="E59" i="17"/>
  <c r="U59" i="17"/>
  <c r="AK59" i="17"/>
  <c r="BA59" i="17"/>
  <c r="J60" i="17"/>
  <c r="Z60" i="17"/>
  <c r="AP60" i="17"/>
  <c r="BF60" i="17"/>
  <c r="AR60" i="17"/>
  <c r="M61" i="17"/>
  <c r="AC61" i="17"/>
  <c r="AS61" i="17"/>
  <c r="BI61" i="17"/>
  <c r="R55" i="17"/>
  <c r="AH55" i="17"/>
  <c r="AX55" i="17"/>
  <c r="G56" i="17"/>
  <c r="W56" i="17"/>
  <c r="AM56" i="17"/>
  <c r="BC56" i="17"/>
  <c r="L57" i="17"/>
  <c r="AB57" i="17"/>
  <c r="AR57" i="17"/>
  <c r="BH57" i="17"/>
  <c r="Q58" i="17"/>
  <c r="AG58" i="17"/>
  <c r="AW58" i="17"/>
  <c r="F59" i="17"/>
  <c r="V59" i="17"/>
  <c r="AL59" i="17"/>
  <c r="BB59" i="17"/>
  <c r="K60" i="17"/>
  <c r="AA60" i="17"/>
  <c r="AQ60" i="17"/>
  <c r="BG60" i="17"/>
  <c r="N61" i="17"/>
  <c r="AD61" i="17"/>
  <c r="AT61" i="17"/>
  <c r="C55" i="17"/>
  <c r="S55" i="17"/>
  <c r="AI55" i="17"/>
  <c r="AY55" i="17"/>
  <c r="H56" i="17"/>
  <c r="X56" i="17"/>
  <c r="AN56" i="17"/>
  <c r="BD56" i="17"/>
  <c r="M57" i="17"/>
  <c r="AC57" i="17"/>
  <c r="AS57" i="17"/>
  <c r="BI57" i="17"/>
  <c r="R58" i="17"/>
  <c r="AH58" i="17"/>
  <c r="AX58" i="17"/>
  <c r="G59" i="17"/>
  <c r="W59" i="17"/>
  <c r="AM59" i="17"/>
  <c r="BC59" i="17"/>
  <c r="L60" i="17"/>
  <c r="O61" i="17"/>
  <c r="AE61" i="17"/>
  <c r="AU61" i="17"/>
  <c r="D55" i="17"/>
  <c r="T55" i="17"/>
  <c r="AJ55" i="17"/>
  <c r="AZ55" i="17"/>
  <c r="I56" i="17"/>
  <c r="Y56" i="17"/>
  <c r="AO56" i="17"/>
  <c r="BE56" i="17"/>
  <c r="N57" i="17"/>
  <c r="AD57" i="17"/>
  <c r="AT57" i="17"/>
  <c r="C58" i="17"/>
  <c r="S58" i="17"/>
  <c r="AI58" i="17"/>
  <c r="AY58" i="17"/>
  <c r="H59" i="17"/>
  <c r="X59" i="17"/>
  <c r="AN59" i="17"/>
  <c r="BD59" i="17"/>
  <c r="M60" i="17"/>
  <c r="AC60" i="17"/>
  <c r="AS60" i="17"/>
  <c r="BI60" i="17"/>
  <c r="P61" i="17"/>
  <c r="AF61" i="17"/>
  <c r="AV61" i="17"/>
  <c r="E55" i="17"/>
  <c r="U55" i="17"/>
  <c r="AK55" i="17"/>
  <c r="BA55" i="17"/>
  <c r="J56" i="17"/>
  <c r="Z56" i="17"/>
  <c r="AP56" i="17"/>
  <c r="BF56" i="17"/>
  <c r="O57" i="17"/>
  <c r="AE57" i="17"/>
  <c r="AU57" i="17"/>
  <c r="D58" i="17"/>
  <c r="T58" i="17"/>
  <c r="AJ58" i="17"/>
  <c r="AZ58" i="17"/>
  <c r="I59" i="17"/>
  <c r="Y59" i="17"/>
  <c r="AO59" i="17"/>
  <c r="BE59" i="17"/>
  <c r="N60" i="17"/>
  <c r="AD60" i="17"/>
  <c r="AT60" i="17"/>
  <c r="Q61" i="17"/>
  <c r="AG61" i="17"/>
  <c r="AW61" i="17"/>
  <c r="F55" i="17"/>
  <c r="V55" i="17"/>
  <c r="AL55" i="17"/>
  <c r="BB55" i="17"/>
  <c r="K56" i="17"/>
  <c r="AA56" i="17"/>
  <c r="AQ56" i="17"/>
  <c r="BG56" i="17"/>
  <c r="P57" i="17"/>
  <c r="AF57" i="17"/>
  <c r="AV57" i="17"/>
  <c r="E58" i="17"/>
  <c r="U58" i="17"/>
  <c r="AK58" i="17"/>
  <c r="BA58" i="17"/>
  <c r="J59" i="17"/>
  <c r="Z59" i="17"/>
  <c r="AP59" i="17"/>
  <c r="BF59" i="17"/>
  <c r="O60" i="17"/>
  <c r="AE60" i="17"/>
  <c r="AU60" i="17"/>
  <c r="R61" i="17"/>
  <c r="AH61" i="17"/>
  <c r="AX61" i="17"/>
  <c r="G55" i="17"/>
  <c r="W55" i="17"/>
  <c r="AM55" i="17"/>
  <c r="BC55" i="17"/>
  <c r="L56" i="17"/>
  <c r="AB56" i="17"/>
  <c r="AR56" i="17"/>
  <c r="BH56" i="17"/>
  <c r="Q57" i="17"/>
  <c r="AG57" i="17"/>
  <c r="AW57" i="17"/>
  <c r="F58" i="17"/>
  <c r="V58" i="17"/>
  <c r="AL58" i="17"/>
  <c r="BB58" i="17"/>
  <c r="K59" i="17"/>
  <c r="AA59" i="17"/>
  <c r="AQ59" i="17"/>
  <c r="BG59" i="17"/>
  <c r="P60" i="17"/>
  <c r="AF60" i="17"/>
  <c r="AV60" i="17"/>
  <c r="S60" i="17"/>
  <c r="AY60" i="17"/>
  <c r="C61" i="17"/>
  <c r="S61" i="17"/>
  <c r="AI61" i="17"/>
  <c r="AY61" i="17"/>
  <c r="H55" i="17"/>
  <c r="X55" i="17"/>
  <c r="AN55" i="17"/>
  <c r="BD55" i="17"/>
  <c r="M56" i="17"/>
  <c r="AC56" i="17"/>
  <c r="AS56" i="17"/>
  <c r="BI56" i="17"/>
  <c r="R57" i="17"/>
  <c r="AH57" i="17"/>
  <c r="AX57" i="17"/>
  <c r="G58" i="17"/>
  <c r="W58" i="17"/>
  <c r="AM58" i="17"/>
  <c r="BC58" i="17"/>
  <c r="L59" i="17"/>
  <c r="AB59" i="17"/>
  <c r="AR59" i="17"/>
  <c r="BH59" i="17"/>
  <c r="Q60" i="17"/>
  <c r="AG60" i="17"/>
  <c r="AW60" i="17"/>
  <c r="C60" i="17"/>
  <c r="D61" i="17"/>
  <c r="T61" i="17"/>
  <c r="AJ61" i="17"/>
  <c r="AZ61" i="17"/>
  <c r="I55" i="17"/>
  <c r="Y55" i="17"/>
  <c r="AO55" i="17"/>
  <c r="BE55" i="17"/>
  <c r="N56" i="17"/>
  <c r="AD56" i="17"/>
  <c r="AT56" i="17"/>
  <c r="C57" i="17"/>
  <c r="S57" i="17"/>
  <c r="AI57" i="17"/>
  <c r="AY57" i="17"/>
  <c r="H58" i="17"/>
  <c r="X58" i="17"/>
  <c r="AN58" i="17"/>
  <c r="BD58" i="17"/>
  <c r="M59" i="17"/>
  <c r="AC59" i="17"/>
  <c r="AS59" i="17"/>
  <c r="BI59" i="17"/>
  <c r="R60" i="17"/>
  <c r="AH60" i="17"/>
  <c r="AX60" i="17"/>
  <c r="AT59" i="17"/>
  <c r="E61" i="17"/>
  <c r="U61" i="17"/>
  <c r="AK61" i="17"/>
  <c r="BA61" i="17"/>
  <c r="J55" i="17"/>
  <c r="Z55" i="17"/>
  <c r="AP55" i="17"/>
  <c r="BF55" i="17"/>
  <c r="O56" i="17"/>
  <c r="AE56" i="17"/>
  <c r="AU56" i="17"/>
  <c r="D57" i="17"/>
  <c r="T57" i="17"/>
  <c r="AJ57" i="17"/>
  <c r="AZ57" i="17"/>
  <c r="I58" i="17"/>
  <c r="Y58" i="17"/>
  <c r="AO58" i="17"/>
  <c r="BE58" i="17"/>
  <c r="N59" i="17"/>
  <c r="AD59" i="17"/>
  <c r="AI60" i="17"/>
  <c r="F61" i="17"/>
  <c r="V61" i="17"/>
  <c r="AL61" i="17"/>
  <c r="BB61" i="17"/>
  <c r="K55" i="17"/>
  <c r="AA55" i="17"/>
  <c r="AQ55" i="17"/>
  <c r="BG55" i="17"/>
  <c r="P56" i="17"/>
  <c r="AF56" i="17"/>
  <c r="AV56" i="17"/>
  <c r="E57" i="17"/>
  <c r="U57" i="17"/>
  <c r="AK57" i="17"/>
  <c r="BA57" i="17"/>
  <c r="J58" i="17"/>
  <c r="Z58" i="17"/>
  <c r="AP58" i="17"/>
  <c r="BF58" i="17"/>
  <c r="O59" i="17"/>
  <c r="AE59" i="17"/>
  <c r="AU59" i="17"/>
  <c r="D60" i="17"/>
  <c r="T60" i="17"/>
  <c r="AJ60" i="17"/>
  <c r="AZ60" i="17"/>
  <c r="G61" i="17"/>
  <c r="W61" i="17"/>
  <c r="AM61" i="17"/>
  <c r="BC61" i="17"/>
  <c r="L55" i="17"/>
  <c r="AB55" i="17"/>
  <c r="AR55" i="17"/>
  <c r="BH55" i="17"/>
  <c r="Q56" i="17"/>
  <c r="AG56" i="17"/>
  <c r="AW56" i="17"/>
  <c r="F57" i="17"/>
  <c r="V57" i="17"/>
  <c r="AL57" i="17"/>
  <c r="BB57" i="17"/>
  <c r="K58" i="17"/>
  <c r="AA58" i="17"/>
  <c r="AQ58" i="17"/>
  <c r="BG58" i="17"/>
  <c r="P59" i="17"/>
  <c r="AF59" i="17"/>
  <c r="AV59" i="17"/>
  <c r="E60" i="17"/>
  <c r="U60" i="17"/>
  <c r="AK60" i="17"/>
  <c r="BA60" i="17"/>
  <c r="H61" i="17"/>
  <c r="X61" i="17"/>
  <c r="AN61" i="17"/>
  <c r="BD61" i="17"/>
  <c r="M55" i="17"/>
  <c r="AC55" i="17"/>
  <c r="AS55" i="17"/>
  <c r="BI55" i="17"/>
  <c r="R56" i="17"/>
  <c r="AH56" i="17"/>
  <c r="AX56" i="17"/>
  <c r="G57" i="17"/>
  <c r="W57" i="17"/>
  <c r="AM57" i="17"/>
  <c r="BC57" i="17"/>
  <c r="L58" i="17"/>
  <c r="AB58" i="17"/>
  <c r="AR58" i="17"/>
  <c r="BH58" i="17"/>
  <c r="Q59" i="17"/>
  <c r="AG59" i="17"/>
  <c r="AW59" i="17"/>
  <c r="F60" i="17"/>
  <c r="V60" i="17"/>
  <c r="AL60" i="17"/>
  <c r="BB60" i="17"/>
  <c r="I61" i="17"/>
  <c r="Y61" i="17"/>
  <c r="AO61" i="17"/>
  <c r="BE61" i="17"/>
  <c r="N55" i="17"/>
  <c r="AD55" i="17"/>
  <c r="AT55" i="17"/>
  <c r="C56" i="17"/>
  <c r="S56" i="17"/>
  <c r="AI56" i="17"/>
  <c r="AY56" i="17"/>
  <c r="H57" i="17"/>
  <c r="X57" i="17"/>
  <c r="AN57" i="17"/>
  <c r="BD57" i="17"/>
  <c r="M58" i="17"/>
  <c r="AC58" i="17"/>
  <c r="AS58" i="17"/>
  <c r="BI58" i="17"/>
  <c r="R59" i="17"/>
  <c r="AH59" i="17"/>
  <c r="AX59" i="17"/>
  <c r="G60" i="17"/>
  <c r="W60" i="17"/>
  <c r="AM60" i="17"/>
  <c r="BC60" i="17"/>
  <c r="Y43" i="17"/>
  <c r="P54" i="17"/>
  <c r="AF54" i="17"/>
  <c r="AV54" i="17"/>
  <c r="Q54" i="17"/>
  <c r="AG54" i="17"/>
  <c r="AW54" i="17"/>
  <c r="R54" i="17"/>
  <c r="AH54" i="17"/>
  <c r="AX54" i="17"/>
  <c r="C54" i="17"/>
  <c r="S54" i="17"/>
  <c r="AI54" i="17"/>
  <c r="AY54" i="17"/>
  <c r="BF54" i="17"/>
  <c r="BG54" i="17"/>
  <c r="AC54" i="17"/>
  <c r="BI54" i="17"/>
  <c r="AS54" i="17"/>
  <c r="D54" i="17"/>
  <c r="T54" i="17"/>
  <c r="AJ54" i="17"/>
  <c r="AZ54" i="17"/>
  <c r="U54" i="17"/>
  <c r="BA54" i="17"/>
  <c r="BB54" i="17"/>
  <c r="W54" i="17"/>
  <c r="X54" i="17"/>
  <c r="I54" i="17"/>
  <c r="BE54" i="17"/>
  <c r="AA54" i="17"/>
  <c r="AR54" i="17"/>
  <c r="O54" i="17"/>
  <c r="E54" i="17"/>
  <c r="AK54" i="17"/>
  <c r="AL54" i="17"/>
  <c r="AM54" i="17"/>
  <c r="BD54" i="17"/>
  <c r="Y54" i="17"/>
  <c r="AP54" i="17"/>
  <c r="AB54" i="17"/>
  <c r="AU54" i="17"/>
  <c r="F54" i="17"/>
  <c r="V54" i="17"/>
  <c r="G54" i="17"/>
  <c r="BC54" i="17"/>
  <c r="AN54" i="17"/>
  <c r="AO54" i="17"/>
  <c r="Z54" i="17"/>
  <c r="AQ54" i="17"/>
  <c r="AT54" i="17"/>
  <c r="H54" i="17"/>
  <c r="BH54" i="17"/>
  <c r="J54" i="17"/>
  <c r="K54" i="17"/>
  <c r="AE54" i="17"/>
  <c r="L54" i="17"/>
  <c r="AD54" i="17"/>
  <c r="M54" i="17"/>
  <c r="N54" i="17"/>
  <c r="AB11" i="13"/>
  <c r="AB12" i="13"/>
  <c r="AB13" i="13"/>
  <c r="AB14" i="13"/>
  <c r="AB15" i="13"/>
  <c r="AB16" i="13"/>
  <c r="AB17" i="13"/>
  <c r="AB18" i="13"/>
  <c r="AB19" i="13"/>
  <c r="AB20" i="13"/>
  <c r="AB10" i="13"/>
  <c r="AB21" i="13"/>
  <c r="AB7" i="13"/>
  <c r="AB6" i="13"/>
  <c r="AB8" i="13"/>
  <c r="AB9" i="13"/>
  <c r="S13" i="15"/>
  <c r="S29" i="15"/>
  <c r="R9" i="15"/>
  <c r="R25" i="15"/>
  <c r="S14" i="15"/>
  <c r="S30" i="15"/>
  <c r="R10" i="15"/>
  <c r="R26" i="15"/>
  <c r="S15" i="15"/>
  <c r="S31" i="15"/>
  <c r="R11" i="15"/>
  <c r="R27" i="15"/>
  <c r="S16" i="15"/>
  <c r="S32" i="15"/>
  <c r="R12" i="15"/>
  <c r="R28" i="15"/>
  <c r="S17" i="15"/>
  <c r="S33" i="15"/>
  <c r="R13" i="15"/>
  <c r="R29" i="15"/>
  <c r="S18" i="15"/>
  <c r="S34" i="15"/>
  <c r="R14" i="15"/>
  <c r="R30" i="15"/>
  <c r="S3" i="15"/>
  <c r="S19" i="15"/>
  <c r="S35" i="15"/>
  <c r="R15" i="15"/>
  <c r="R31" i="15"/>
  <c r="S4" i="15"/>
  <c r="S20" i="15"/>
  <c r="S36" i="15"/>
  <c r="R16" i="15"/>
  <c r="R32" i="15"/>
  <c r="S5" i="15"/>
  <c r="S21" i="15"/>
  <c r="S37" i="15"/>
  <c r="R17" i="15"/>
  <c r="R33" i="15"/>
  <c r="S6" i="15"/>
  <c r="S22" i="15"/>
  <c r="R18" i="15"/>
  <c r="R34" i="15"/>
  <c r="S7" i="15"/>
  <c r="S23" i="15"/>
  <c r="R3" i="15"/>
  <c r="R19" i="15"/>
  <c r="R35" i="15"/>
  <c r="S8" i="15"/>
  <c r="S24" i="15"/>
  <c r="R4" i="15"/>
  <c r="R20" i="15"/>
  <c r="R36" i="15"/>
  <c r="R24" i="15"/>
  <c r="S9" i="15"/>
  <c r="S25" i="15"/>
  <c r="R5" i="15"/>
  <c r="R21" i="15"/>
  <c r="R37" i="15"/>
  <c r="R8" i="15"/>
  <c r="S10" i="15"/>
  <c r="S26" i="15"/>
  <c r="R6" i="15"/>
  <c r="R22" i="15"/>
  <c r="S28" i="15"/>
  <c r="S11" i="15"/>
  <c r="S27" i="15"/>
  <c r="R7" i="15"/>
  <c r="R23" i="15"/>
  <c r="S12" i="15"/>
  <c r="I13" i="15"/>
  <c r="E37" i="15"/>
  <c r="F37" i="15"/>
  <c r="H37" i="15"/>
  <c r="I37" i="15"/>
  <c r="J37" i="15"/>
  <c r="K37" i="15"/>
  <c r="L37" i="15"/>
  <c r="M37" i="15"/>
  <c r="N37" i="15"/>
  <c r="O37" i="15"/>
  <c r="P37" i="15"/>
  <c r="S20" i="13"/>
  <c r="AA20" i="13"/>
  <c r="AA18" i="13"/>
  <c r="AA21" i="13"/>
  <c r="AA7" i="13"/>
  <c r="AA6" i="13"/>
  <c r="AA17" i="13"/>
  <c r="AA8" i="13"/>
  <c r="AA9" i="13"/>
  <c r="AA19" i="13"/>
  <c r="AA10" i="13"/>
  <c r="AA11" i="13"/>
  <c r="AA12" i="13"/>
  <c r="AA13" i="13"/>
  <c r="AA16" i="13"/>
  <c r="AA14" i="13"/>
  <c r="AA15" i="13"/>
  <c r="BI53" i="17"/>
  <c r="AS53" i="17"/>
  <c r="AC53" i="17"/>
  <c r="M53" i="17"/>
  <c r="BC52" i="17"/>
  <c r="AM52" i="17"/>
  <c r="W52" i="17"/>
  <c r="G52" i="17"/>
  <c r="AW51" i="17"/>
  <c r="AG51" i="17"/>
  <c r="Q51" i="17"/>
  <c r="BG50" i="17"/>
  <c r="AQ50" i="17"/>
  <c r="AA50" i="17"/>
  <c r="K50" i="17"/>
  <c r="X52" i="17"/>
  <c r="BH53" i="17"/>
  <c r="AR53" i="17"/>
  <c r="AB53" i="17"/>
  <c r="L53" i="17"/>
  <c r="BB52" i="17"/>
  <c r="AL52" i="17"/>
  <c r="V52" i="17"/>
  <c r="F52" i="17"/>
  <c r="AV51" i="17"/>
  <c r="AF51" i="17"/>
  <c r="P51" i="17"/>
  <c r="BF50" i="17"/>
  <c r="AP50" i="17"/>
  <c r="Z50" i="17"/>
  <c r="J50" i="17"/>
  <c r="AH51" i="17"/>
  <c r="BG53" i="17"/>
  <c r="AQ53" i="17"/>
  <c r="AA53" i="17"/>
  <c r="K53" i="17"/>
  <c r="BA52" i="17"/>
  <c r="AK52" i="17"/>
  <c r="U52" i="17"/>
  <c r="E52" i="17"/>
  <c r="AU51" i="17"/>
  <c r="AE51" i="17"/>
  <c r="O51" i="17"/>
  <c r="BE50" i="17"/>
  <c r="AO50" i="17"/>
  <c r="Y50" i="17"/>
  <c r="I50" i="17"/>
  <c r="AN52" i="17"/>
  <c r="BF53" i="17"/>
  <c r="AP53" i="17"/>
  <c r="Z53" i="17"/>
  <c r="J53" i="17"/>
  <c r="AZ52" i="17"/>
  <c r="AJ52" i="17"/>
  <c r="T52" i="17"/>
  <c r="D52" i="17"/>
  <c r="AT51" i="17"/>
  <c r="AD51" i="17"/>
  <c r="N51" i="17"/>
  <c r="BD50" i="17"/>
  <c r="AN50" i="17"/>
  <c r="X50" i="17"/>
  <c r="H50" i="17"/>
  <c r="AD53" i="17"/>
  <c r="AX51" i="17"/>
  <c r="BE53" i="17"/>
  <c r="AO53" i="17"/>
  <c r="Y53" i="17"/>
  <c r="I53" i="17"/>
  <c r="AY52" i="17"/>
  <c r="AI52" i="17"/>
  <c r="S52" i="17"/>
  <c r="BI51" i="17"/>
  <c r="AS51" i="17"/>
  <c r="AC51" i="17"/>
  <c r="M51" i="17"/>
  <c r="BC50" i="17"/>
  <c r="AM50" i="17"/>
  <c r="W50" i="17"/>
  <c r="G50" i="17"/>
  <c r="C53" i="17"/>
  <c r="BD52" i="17"/>
  <c r="R51" i="17"/>
  <c r="AB50" i="17"/>
  <c r="BD53" i="17"/>
  <c r="AN53" i="17"/>
  <c r="X53" i="17"/>
  <c r="H53" i="17"/>
  <c r="AX52" i="17"/>
  <c r="AH52" i="17"/>
  <c r="R52" i="17"/>
  <c r="BH51" i="17"/>
  <c r="AR51" i="17"/>
  <c r="AB51" i="17"/>
  <c r="L51" i="17"/>
  <c r="BB50" i="17"/>
  <c r="AL50" i="17"/>
  <c r="V50" i="17"/>
  <c r="F50" i="17"/>
  <c r="AT53" i="17"/>
  <c r="H52" i="17"/>
  <c r="AR50" i="17"/>
  <c r="L50" i="17"/>
  <c r="BC53" i="17"/>
  <c r="AM53" i="17"/>
  <c r="W53" i="17"/>
  <c r="G53" i="17"/>
  <c r="AW52" i="17"/>
  <c r="AG52" i="17"/>
  <c r="Q52" i="17"/>
  <c r="BG51" i="17"/>
  <c r="AQ51" i="17"/>
  <c r="AA51" i="17"/>
  <c r="K51" i="17"/>
  <c r="BA50" i="17"/>
  <c r="AK50" i="17"/>
  <c r="U50" i="17"/>
  <c r="E50" i="17"/>
  <c r="N53" i="17"/>
  <c r="BH50" i="17"/>
  <c r="BB53" i="17"/>
  <c r="AL53" i="17"/>
  <c r="V53" i="17"/>
  <c r="F53" i="17"/>
  <c r="AV52" i="17"/>
  <c r="AF52" i="17"/>
  <c r="P52" i="17"/>
  <c r="BF51" i="17"/>
  <c r="AP51" i="17"/>
  <c r="Z51" i="17"/>
  <c r="J51" i="17"/>
  <c r="AZ50" i="17"/>
  <c r="AJ50" i="17"/>
  <c r="T50" i="17"/>
  <c r="D50" i="17"/>
  <c r="BA53" i="17"/>
  <c r="AK53" i="17"/>
  <c r="U53" i="17"/>
  <c r="E53" i="17"/>
  <c r="AU52" i="17"/>
  <c r="AE52" i="17"/>
  <c r="O52" i="17"/>
  <c r="BE51" i="17"/>
  <c r="AO51" i="17"/>
  <c r="Y51" i="17"/>
  <c r="I51" i="17"/>
  <c r="AY50" i="17"/>
  <c r="AI50" i="17"/>
  <c r="S50" i="17"/>
  <c r="AZ53" i="17"/>
  <c r="AJ53" i="17"/>
  <c r="T53" i="17"/>
  <c r="D53" i="17"/>
  <c r="AT52" i="17"/>
  <c r="AD52" i="17"/>
  <c r="N52" i="17"/>
  <c r="BD51" i="17"/>
  <c r="AN51" i="17"/>
  <c r="X51" i="17"/>
  <c r="H51" i="17"/>
  <c r="AX50" i="17"/>
  <c r="AH50" i="17"/>
  <c r="R50" i="17"/>
  <c r="AY53" i="17"/>
  <c r="AI53" i="17"/>
  <c r="S53" i="17"/>
  <c r="BI52" i="17"/>
  <c r="AS52" i="17"/>
  <c r="AC52" i="17"/>
  <c r="M52" i="17"/>
  <c r="BC51" i="17"/>
  <c r="AM51" i="17"/>
  <c r="W51" i="17"/>
  <c r="G51" i="17"/>
  <c r="AW50" i="17"/>
  <c r="AG50" i="17"/>
  <c r="Q50" i="17"/>
  <c r="R53" i="17"/>
  <c r="AB52" i="17"/>
  <c r="AL51" i="17"/>
  <c r="AV50" i="17"/>
  <c r="C52" i="17"/>
  <c r="AW53" i="17"/>
  <c r="AG53" i="17"/>
  <c r="Q53" i="17"/>
  <c r="BG52" i="17"/>
  <c r="AQ52" i="17"/>
  <c r="AA52" i="17"/>
  <c r="K52" i="17"/>
  <c r="BA51" i="17"/>
  <c r="AK51" i="17"/>
  <c r="U51" i="17"/>
  <c r="E51" i="17"/>
  <c r="AU50" i="17"/>
  <c r="AE50" i="17"/>
  <c r="O50" i="17"/>
  <c r="AH53" i="17"/>
  <c r="AR52" i="17"/>
  <c r="BB51" i="17"/>
  <c r="F51" i="17"/>
  <c r="P50" i="17"/>
  <c r="C51" i="17"/>
  <c r="AV53" i="17"/>
  <c r="AF53" i="17"/>
  <c r="P53" i="17"/>
  <c r="BF52" i="17"/>
  <c r="AP52" i="17"/>
  <c r="Z52" i="17"/>
  <c r="J52" i="17"/>
  <c r="AZ51" i="17"/>
  <c r="AJ51" i="17"/>
  <c r="T51" i="17"/>
  <c r="D51" i="17"/>
  <c r="AT50" i="17"/>
  <c r="AD50" i="17"/>
  <c r="N50" i="17"/>
  <c r="AX53" i="17"/>
  <c r="BH52" i="17"/>
  <c r="L52" i="17"/>
  <c r="V51" i="17"/>
  <c r="AF50" i="17"/>
  <c r="C50" i="17"/>
  <c r="AU53" i="17"/>
  <c r="AE53" i="17"/>
  <c r="O53" i="17"/>
  <c r="BE52" i="17"/>
  <c r="AO52" i="17"/>
  <c r="Y52" i="17"/>
  <c r="I52" i="17"/>
  <c r="AY51" i="17"/>
  <c r="AI51" i="17"/>
  <c r="S51" i="17"/>
  <c r="BI50" i="17"/>
  <c r="AS50" i="17"/>
  <c r="AC50" i="17"/>
  <c r="M50" i="17"/>
  <c r="D25" i="15" a="1"/>
  <c r="D25" i="15" s="1"/>
  <c r="D8" i="15" a="1"/>
  <c r="D8" i="15" s="1"/>
  <c r="N84" i="22"/>
  <c r="N85" i="22" s="1"/>
  <c r="D24" i="15" a="1"/>
  <c r="D24" i="15" s="1"/>
  <c r="D7" i="15" a="1"/>
  <c r="D7" i="15" s="1"/>
  <c r="D27" i="15" a="1"/>
  <c r="D27" i="15" s="1"/>
  <c r="D23" i="15" a="1"/>
  <c r="D23" i="15" s="1"/>
  <c r="D6" i="15" a="1"/>
  <c r="D6" i="15" s="1"/>
  <c r="D22" i="15" a="1"/>
  <c r="D22" i="15" s="1"/>
  <c r="D5" i="15" a="1"/>
  <c r="D5" i="15" s="1"/>
  <c r="D26" i="15" a="1"/>
  <c r="D26" i="15" s="1"/>
  <c r="D21" i="15" a="1"/>
  <c r="D21" i="15" s="1"/>
  <c r="D4" i="15" a="1"/>
  <c r="D4" i="15" s="1"/>
  <c r="D20" i="15" a="1"/>
  <c r="D20" i="15" s="1"/>
  <c r="D3" i="15" a="1"/>
  <c r="D3" i="15" s="1"/>
  <c r="D19" i="15" a="1"/>
  <c r="D19" i="15" s="1"/>
  <c r="D18" i="15" a="1"/>
  <c r="D18" i="15" s="1"/>
  <c r="D36" i="15" a="1"/>
  <c r="D36" i="15" s="1"/>
  <c r="D17" i="15" a="1"/>
  <c r="D17" i="15" s="1"/>
  <c r="D35" i="15" a="1"/>
  <c r="D35" i="15" s="1"/>
  <c r="D16" i="15" a="1"/>
  <c r="D16" i="15" s="1"/>
  <c r="D34" i="15" a="1"/>
  <c r="D34" i="15" s="1"/>
  <c r="D14" i="15" a="1"/>
  <c r="D14" i="15" s="1"/>
  <c r="D33" i="15" a="1"/>
  <c r="D33" i="15" s="1"/>
  <c r="D13" i="15" a="1"/>
  <c r="D13" i="15" s="1"/>
  <c r="D32" i="15" a="1"/>
  <c r="D32" i="15" s="1"/>
  <c r="D12" i="15" a="1"/>
  <c r="D12" i="15" s="1"/>
  <c r="D31" i="15" a="1"/>
  <c r="D31" i="15" s="1"/>
  <c r="D11" i="15" a="1"/>
  <c r="D11" i="15" s="1"/>
  <c r="D30" i="15" a="1"/>
  <c r="D30" i="15" s="1"/>
  <c r="D10" i="15" a="1"/>
  <c r="D10" i="15" s="1"/>
  <c r="D29" i="15" a="1"/>
  <c r="D29" i="15" s="1"/>
  <c r="D9" i="15" a="1"/>
  <c r="D9" i="15" s="1"/>
  <c r="D28" i="15" a="1"/>
  <c r="D28" i="15" s="1"/>
  <c r="J36" i="15"/>
  <c r="P22" i="15"/>
  <c r="P6" i="15"/>
  <c r="I36" i="15"/>
  <c r="P21" i="15"/>
  <c r="P5" i="15"/>
  <c r="H36" i="15"/>
  <c r="P36" i="15"/>
  <c r="P20" i="15"/>
  <c r="P4" i="15"/>
  <c r="F36" i="15"/>
  <c r="P35" i="15"/>
  <c r="P19" i="15"/>
  <c r="P3" i="15"/>
  <c r="E36" i="15"/>
  <c r="P34" i="15"/>
  <c r="P18" i="15"/>
  <c r="O35" i="15"/>
  <c r="P33" i="15"/>
  <c r="P17" i="15"/>
  <c r="P23" i="15"/>
  <c r="N35" i="15"/>
  <c r="P32" i="15"/>
  <c r="P16" i="15"/>
  <c r="M35" i="15"/>
  <c r="P31" i="15"/>
  <c r="P15" i="15"/>
  <c r="L35" i="15"/>
  <c r="P30" i="15"/>
  <c r="P14" i="15"/>
  <c r="K35" i="15"/>
  <c r="P29" i="15"/>
  <c r="P13" i="15"/>
  <c r="J35" i="15"/>
  <c r="P28" i="15"/>
  <c r="P12" i="15"/>
  <c r="K36" i="15"/>
  <c r="O36" i="15"/>
  <c r="I35" i="15"/>
  <c r="P27" i="15"/>
  <c r="P11" i="15"/>
  <c r="N36" i="15"/>
  <c r="H35" i="15"/>
  <c r="P26" i="15"/>
  <c r="P10" i="15"/>
  <c r="M36" i="15"/>
  <c r="F35" i="15"/>
  <c r="P25" i="15"/>
  <c r="P9" i="15"/>
  <c r="P7" i="15"/>
  <c r="L36" i="15"/>
  <c r="E35" i="15"/>
  <c r="P24" i="15"/>
  <c r="P8" i="15"/>
  <c r="I558" i="13"/>
  <c r="I559" i="13" s="1"/>
  <c r="I560" i="13" s="1"/>
  <c r="I561" i="13" s="1"/>
  <c r="I562" i="13" s="1"/>
  <c r="I563" i="13" s="1"/>
  <c r="I564" i="13" s="1"/>
  <c r="I565" i="13" s="1"/>
  <c r="I566" i="13" s="1"/>
  <c r="I567" i="13" s="1"/>
  <c r="I568" i="13" s="1"/>
  <c r="I569" i="13" s="1"/>
  <c r="I570" i="13" s="1"/>
  <c r="I571" i="13" s="1"/>
  <c r="I572" i="13" s="1"/>
  <c r="I573" i="13" s="1"/>
  <c r="I574" i="13" s="1"/>
  <c r="I575" i="13" s="1"/>
  <c r="I576" i="13" s="1"/>
  <c r="I577" i="13" s="1"/>
  <c r="I578" i="13" s="1"/>
  <c r="I579" i="13" s="1"/>
  <c r="I580" i="13" s="1"/>
  <c r="I581" i="13" s="1"/>
  <c r="I582" i="13" s="1"/>
  <c r="I583" i="13" s="1"/>
  <c r="I584" i="13" s="1"/>
  <c r="I585" i="13" s="1"/>
  <c r="I586" i="13" s="1"/>
  <c r="I587" i="13" s="1"/>
  <c r="I588" i="13" s="1"/>
  <c r="I589" i="13" s="1"/>
  <c r="I590" i="13" s="1"/>
  <c r="I591" i="13" s="1"/>
  <c r="I592" i="13" s="1"/>
  <c r="I593" i="13" s="1"/>
  <c r="I594" i="13" s="1"/>
  <c r="I595" i="13" s="1"/>
  <c r="I596" i="13" s="1"/>
  <c r="I597" i="13" s="1"/>
  <c r="I598" i="13" s="1"/>
  <c r="I599" i="13" s="1"/>
  <c r="I600" i="13" s="1"/>
  <c r="I601" i="13" s="1"/>
  <c r="I602" i="13" s="1"/>
  <c r="I603" i="13" s="1"/>
  <c r="I604" i="13" s="1"/>
  <c r="I605" i="13" s="1"/>
  <c r="I606" i="13" s="1"/>
  <c r="I607" i="13" s="1"/>
  <c r="I608" i="13" s="1"/>
  <c r="I609" i="13" s="1"/>
  <c r="I610" i="13" s="1"/>
  <c r="I611" i="13" s="1"/>
  <c r="I612" i="13" s="1"/>
  <c r="I613" i="13" s="1"/>
  <c r="I614" i="13" s="1"/>
  <c r="I615" i="13" s="1"/>
  <c r="I616" i="13" s="1"/>
  <c r="I617" i="13" s="1"/>
  <c r="I618" i="13" s="1"/>
  <c r="I619" i="13" s="1"/>
  <c r="I620" i="13" s="1"/>
  <c r="I621" i="13" s="1"/>
  <c r="I622" i="13" s="1"/>
  <c r="I623" i="13" s="1"/>
  <c r="I624" i="13" s="1"/>
  <c r="I625" i="13" s="1"/>
  <c r="I626" i="13" s="1"/>
  <c r="I627" i="13" s="1"/>
  <c r="I628" i="13" s="1"/>
  <c r="I629" i="13" s="1"/>
  <c r="I630" i="13" s="1"/>
  <c r="I631" i="13" s="1"/>
  <c r="I632" i="13" s="1"/>
  <c r="I633" i="13" s="1"/>
  <c r="I634" i="13" s="1"/>
  <c r="I635" i="13" s="1"/>
  <c r="I636" i="13" s="1"/>
  <c r="I637" i="13" s="1"/>
  <c r="I638" i="13" s="1"/>
  <c r="I639" i="13" s="1"/>
  <c r="I640" i="13" s="1"/>
  <c r="I641" i="13" s="1"/>
  <c r="I642" i="13" s="1"/>
  <c r="I643" i="13" s="1"/>
  <c r="I644" i="13" s="1"/>
  <c r="I645" i="13" s="1"/>
  <c r="I646" i="13" s="1"/>
  <c r="I647" i="13" s="1"/>
  <c r="I648" i="13" s="1"/>
  <c r="I649" i="13" s="1"/>
  <c r="I650" i="13" s="1"/>
  <c r="I651" i="13" s="1"/>
  <c r="I652" i="13" s="1"/>
  <c r="I653" i="13" s="1"/>
  <c r="I654" i="13" s="1"/>
  <c r="I655" i="13" s="1"/>
  <c r="I656" i="13" s="1"/>
  <c r="I657" i="13" s="1"/>
  <c r="I658" i="13" s="1"/>
  <c r="I659" i="13" s="1"/>
  <c r="I660" i="13" s="1"/>
  <c r="I661" i="13" s="1"/>
  <c r="I662" i="13" s="1"/>
  <c r="I663" i="13" s="1"/>
  <c r="I664" i="13" s="1"/>
  <c r="I665" i="13" s="1"/>
  <c r="I666" i="13" s="1"/>
  <c r="I667" i="13" s="1"/>
  <c r="I668" i="13" s="1"/>
  <c r="I669" i="13" s="1"/>
  <c r="I670" i="13" s="1"/>
  <c r="I671" i="13" s="1"/>
  <c r="I672" i="13" s="1"/>
  <c r="I673" i="13" s="1"/>
  <c r="I674" i="13" s="1"/>
  <c r="I675" i="13" s="1"/>
  <c r="I676" i="13" s="1"/>
  <c r="I677" i="13" s="1"/>
  <c r="I678" i="13" s="1"/>
  <c r="I679" i="13" s="1"/>
  <c r="I680" i="13" s="1"/>
  <c r="I681" i="13" s="1"/>
  <c r="I682" i="13" s="1"/>
  <c r="I683" i="13" s="1"/>
  <c r="I684" i="13" s="1"/>
  <c r="I685" i="13" s="1"/>
  <c r="I686" i="13" s="1"/>
  <c r="I687" i="13" s="1"/>
  <c r="I688" i="13" s="1"/>
  <c r="I689" i="13" s="1"/>
  <c r="F34" i="15"/>
  <c r="I32" i="15"/>
  <c r="L30" i="15"/>
  <c r="O28" i="15"/>
  <c r="O12" i="15"/>
  <c r="E34" i="15"/>
  <c r="H32" i="15"/>
  <c r="K30" i="15"/>
  <c r="O27" i="15"/>
  <c r="O11" i="15"/>
  <c r="N33" i="15"/>
  <c r="J30" i="15"/>
  <c r="O26" i="15"/>
  <c r="O10" i="15"/>
  <c r="M33" i="15"/>
  <c r="F32" i="15"/>
  <c r="I30" i="15"/>
  <c r="O25" i="15"/>
  <c r="O9" i="15"/>
  <c r="L33" i="15"/>
  <c r="E32" i="15"/>
  <c r="H30" i="15"/>
  <c r="O24" i="15"/>
  <c r="O8" i="15"/>
  <c r="O23" i="15"/>
  <c r="O7" i="15"/>
  <c r="K33" i="15"/>
  <c r="N31" i="15"/>
  <c r="F30" i="15"/>
  <c r="J33" i="15"/>
  <c r="M31" i="15"/>
  <c r="E30" i="15"/>
  <c r="O22" i="15"/>
  <c r="O6" i="15"/>
  <c r="I33" i="15"/>
  <c r="L31" i="15"/>
  <c r="N29" i="15"/>
  <c r="O21" i="15"/>
  <c r="O5" i="15"/>
  <c r="H33" i="15"/>
  <c r="K31" i="15"/>
  <c r="M29" i="15"/>
  <c r="O20" i="15"/>
  <c r="O4" i="15"/>
  <c r="N34" i="15"/>
  <c r="F33" i="15"/>
  <c r="J31" i="15"/>
  <c r="L29" i="15"/>
  <c r="O19" i="15"/>
  <c r="O3" i="15"/>
  <c r="M34" i="15"/>
  <c r="E33" i="15"/>
  <c r="I31" i="15"/>
  <c r="K29" i="15"/>
  <c r="O34" i="15"/>
  <c r="O18" i="15"/>
  <c r="L34" i="15"/>
  <c r="N32" i="15"/>
  <c r="H31" i="15"/>
  <c r="J29" i="15"/>
  <c r="O33" i="15"/>
  <c r="O17" i="15"/>
  <c r="K34" i="15"/>
  <c r="M32" i="15"/>
  <c r="F31" i="15"/>
  <c r="I29" i="15"/>
  <c r="O32" i="15"/>
  <c r="O16" i="15"/>
  <c r="J34" i="15"/>
  <c r="L32" i="15"/>
  <c r="E31" i="15"/>
  <c r="H29" i="15"/>
  <c r="O31" i="15"/>
  <c r="O15" i="15"/>
  <c r="I34" i="15"/>
  <c r="K32" i="15"/>
  <c r="N30" i="15"/>
  <c r="F29" i="15"/>
  <c r="O30" i="15"/>
  <c r="O14" i="15"/>
  <c r="H34" i="15"/>
  <c r="J32" i="15"/>
  <c r="M30" i="15"/>
  <c r="E29" i="15"/>
  <c r="O29" i="15"/>
  <c r="O13" i="15"/>
  <c r="AK48" i="17"/>
  <c r="AF47" i="17"/>
  <c r="BE49" i="17"/>
  <c r="AO49" i="17"/>
  <c r="Y49" i="17"/>
  <c r="I49" i="17"/>
  <c r="AZ48" i="17"/>
  <c r="AJ48" i="17"/>
  <c r="T48" i="17"/>
  <c r="D48" i="17"/>
  <c r="AU47" i="17"/>
  <c r="AE47" i="17"/>
  <c r="O47" i="17"/>
  <c r="E48" i="17"/>
  <c r="BD49" i="17"/>
  <c r="AN49" i="17"/>
  <c r="X49" i="17"/>
  <c r="H49" i="17"/>
  <c r="AY48" i="17"/>
  <c r="AI48" i="17"/>
  <c r="S48" i="17"/>
  <c r="C48" i="17"/>
  <c r="AT47" i="17"/>
  <c r="AD47" i="17"/>
  <c r="N47" i="17"/>
  <c r="BC49" i="17"/>
  <c r="AM49" i="17"/>
  <c r="W49" i="17"/>
  <c r="G49" i="17"/>
  <c r="AX48" i="17"/>
  <c r="AH48" i="17"/>
  <c r="R48" i="17"/>
  <c r="BI47" i="17"/>
  <c r="AS47" i="17"/>
  <c r="AC47" i="17"/>
  <c r="M47" i="17"/>
  <c r="J49" i="17"/>
  <c r="U48" i="17"/>
  <c r="P47" i="17"/>
  <c r="BB49" i="17"/>
  <c r="AL49" i="17"/>
  <c r="V49" i="17"/>
  <c r="F49" i="17"/>
  <c r="AW48" i="17"/>
  <c r="AG48" i="17"/>
  <c r="Q48" i="17"/>
  <c r="BH47" i="17"/>
  <c r="AR47" i="17"/>
  <c r="AB47" i="17"/>
  <c r="L47" i="17"/>
  <c r="AP49" i="17"/>
  <c r="AV47" i="17"/>
  <c r="BA49" i="17"/>
  <c r="AK49" i="17"/>
  <c r="U49" i="17"/>
  <c r="E49" i="17"/>
  <c r="AV48" i="17"/>
  <c r="AF48" i="17"/>
  <c r="P48" i="17"/>
  <c r="BG47" i="17"/>
  <c r="AQ47" i="17"/>
  <c r="AA47" i="17"/>
  <c r="K47" i="17"/>
  <c r="AZ49" i="17"/>
  <c r="AJ49" i="17"/>
  <c r="T49" i="17"/>
  <c r="D49" i="17"/>
  <c r="AU48" i="17"/>
  <c r="AE48" i="17"/>
  <c r="O48" i="17"/>
  <c r="BF47" i="17"/>
  <c r="AP47" i="17"/>
  <c r="Z47" i="17"/>
  <c r="J47" i="17"/>
  <c r="BA48" i="17"/>
  <c r="AY49" i="17"/>
  <c r="AI49" i="17"/>
  <c r="S49" i="17"/>
  <c r="C49" i="17"/>
  <c r="AT48" i="17"/>
  <c r="AD48" i="17"/>
  <c r="N48" i="17"/>
  <c r="BE47" i="17"/>
  <c r="AO47" i="17"/>
  <c r="Y47" i="17"/>
  <c r="I47" i="17"/>
  <c r="AX49" i="17"/>
  <c r="AH49" i="17"/>
  <c r="R49" i="17"/>
  <c r="BI48" i="17"/>
  <c r="AS48" i="17"/>
  <c r="AC48" i="17"/>
  <c r="M48" i="17"/>
  <c r="BD47" i="17"/>
  <c r="AN47" i="17"/>
  <c r="X47" i="17"/>
  <c r="H47" i="17"/>
  <c r="AW49" i="17"/>
  <c r="AG49" i="17"/>
  <c r="Q49" i="17"/>
  <c r="BH48" i="17"/>
  <c r="AR48" i="17"/>
  <c r="AB48" i="17"/>
  <c r="L48" i="17"/>
  <c r="BC47" i="17"/>
  <c r="AM47" i="17"/>
  <c r="W47" i="17"/>
  <c r="G47" i="17"/>
  <c r="BF49" i="17"/>
  <c r="AV49" i="17"/>
  <c r="AF49" i="17"/>
  <c r="P49" i="17"/>
  <c r="BG48" i="17"/>
  <c r="AQ48" i="17"/>
  <c r="AA48" i="17"/>
  <c r="K48" i="17"/>
  <c r="BB47" i="17"/>
  <c r="AL47" i="17"/>
  <c r="V47" i="17"/>
  <c r="F47" i="17"/>
  <c r="Z49" i="17"/>
  <c r="AU49" i="17"/>
  <c r="AE49" i="17"/>
  <c r="O49" i="17"/>
  <c r="BF48" i="17"/>
  <c r="AP48" i="17"/>
  <c r="Z48" i="17"/>
  <c r="J48" i="17"/>
  <c r="BA47" i="17"/>
  <c r="AK47" i="17"/>
  <c r="U47" i="17"/>
  <c r="E47" i="17"/>
  <c r="AT49" i="17"/>
  <c r="AD49" i="17"/>
  <c r="N49" i="17"/>
  <c r="BE48" i="17"/>
  <c r="AO48" i="17"/>
  <c r="Y48" i="17"/>
  <c r="I48" i="17"/>
  <c r="AZ47" i="17"/>
  <c r="AJ47" i="17"/>
  <c r="T47" i="17"/>
  <c r="D47" i="17"/>
  <c r="BI49" i="17"/>
  <c r="AS49" i="17"/>
  <c r="AC49" i="17"/>
  <c r="M49" i="17"/>
  <c r="BD48" i="17"/>
  <c r="AN48" i="17"/>
  <c r="X48" i="17"/>
  <c r="H48" i="17"/>
  <c r="AY47" i="17"/>
  <c r="AI47" i="17"/>
  <c r="S47" i="17"/>
  <c r="C47" i="17"/>
  <c r="BH49" i="17"/>
  <c r="AR49" i="17"/>
  <c r="AB49" i="17"/>
  <c r="L49" i="17"/>
  <c r="BC48" i="17"/>
  <c r="AM48" i="17"/>
  <c r="W48" i="17"/>
  <c r="G48" i="17"/>
  <c r="AX47" i="17"/>
  <c r="AH47" i="17"/>
  <c r="R47" i="17"/>
  <c r="BG49" i="17"/>
  <c r="AQ49" i="17"/>
  <c r="AA49" i="17"/>
  <c r="K49" i="17"/>
  <c r="BB48" i="17"/>
  <c r="AL48" i="17"/>
  <c r="V48" i="17"/>
  <c r="F48" i="17"/>
  <c r="AW47" i="17"/>
  <c r="AG47" i="17"/>
  <c r="Q47" i="17"/>
  <c r="G58" i="22"/>
  <c r="G59" i="22" s="1"/>
  <c r="H51" i="22"/>
  <c r="H52" i="22" s="1"/>
  <c r="E32" i="22"/>
  <c r="E33" i="22" s="1"/>
  <c r="D58" i="22"/>
  <c r="D59" i="22" s="1"/>
  <c r="J58" i="22"/>
  <c r="J59" i="22" s="1"/>
  <c r="J91" i="22"/>
  <c r="J92" i="22" s="1"/>
  <c r="I76" i="22"/>
  <c r="I77" i="22" s="1"/>
  <c r="E68" i="22"/>
  <c r="E69" i="22" s="1"/>
  <c r="D76" i="22"/>
  <c r="D77" i="22" s="1"/>
  <c r="M68" i="22"/>
  <c r="M69" i="22" s="1"/>
  <c r="Z21" i="13"/>
  <c r="Z20" i="13"/>
  <c r="Z19" i="13"/>
  <c r="Z18" i="13"/>
  <c r="Z17" i="13"/>
  <c r="Z16" i="13"/>
  <c r="Z15" i="13"/>
  <c r="Z14" i="13"/>
  <c r="Z13" i="13"/>
  <c r="Z12" i="13"/>
  <c r="Z11" i="13"/>
  <c r="Z10" i="13"/>
  <c r="Z9" i="13"/>
  <c r="Z8" i="13"/>
  <c r="Z6" i="13"/>
  <c r="Z7" i="13"/>
  <c r="F58" i="22"/>
  <c r="F59" i="22" s="1"/>
  <c r="O76" i="22"/>
  <c r="O77" i="22" s="1"/>
  <c r="M84" i="22"/>
  <c r="M85" i="22" s="1"/>
  <c r="I91" i="22"/>
  <c r="I92" i="22" s="1"/>
  <c r="E58" i="22"/>
  <c r="E59" i="22" s="1"/>
  <c r="N76" i="22"/>
  <c r="N77" i="22" s="1"/>
  <c r="L84" i="22"/>
  <c r="L85" i="22" s="1"/>
  <c r="H91" i="22"/>
  <c r="H92" i="22" s="1"/>
  <c r="D68" i="22"/>
  <c r="D69" i="22" s="1"/>
  <c r="M76" i="22"/>
  <c r="M77" i="22" s="1"/>
  <c r="K84" i="22"/>
  <c r="K85" i="22" s="1"/>
  <c r="G91" i="22"/>
  <c r="G92" i="22" s="1"/>
  <c r="L76" i="22"/>
  <c r="L77" i="22" s="1"/>
  <c r="J84" i="22"/>
  <c r="J85" i="22" s="1"/>
  <c r="F91" i="22"/>
  <c r="F92" i="22" s="1"/>
  <c r="O68" i="22"/>
  <c r="O69" i="22" s="1"/>
  <c r="K76" i="22"/>
  <c r="K77" i="22" s="1"/>
  <c r="I84" i="22"/>
  <c r="I85" i="22" s="1"/>
  <c r="E91" i="22"/>
  <c r="E92" i="22" s="1"/>
  <c r="N68" i="22"/>
  <c r="N69" i="22" s="1"/>
  <c r="J76" i="22"/>
  <c r="J77" i="22" s="1"/>
  <c r="H84" i="22"/>
  <c r="H85" i="22" s="1"/>
  <c r="G84" i="22"/>
  <c r="G85" i="22" s="1"/>
  <c r="O58" i="22"/>
  <c r="O59" i="22" s="1"/>
  <c r="L68" i="22"/>
  <c r="L69" i="22" s="1"/>
  <c r="H76" i="22"/>
  <c r="H77" i="22" s="1"/>
  <c r="F84" i="22"/>
  <c r="F85" i="22" s="1"/>
  <c r="D32" i="22"/>
  <c r="D33" i="22" s="1"/>
  <c r="N58" i="22"/>
  <c r="N59" i="22" s="1"/>
  <c r="K68" i="22"/>
  <c r="K69" i="22" s="1"/>
  <c r="G76" i="22"/>
  <c r="G77" i="22" s="1"/>
  <c r="E84" i="22"/>
  <c r="E85" i="22" s="1"/>
  <c r="M58" i="22"/>
  <c r="M59" i="22" s="1"/>
  <c r="J68" i="22"/>
  <c r="J69" i="22" s="1"/>
  <c r="F76" i="22"/>
  <c r="F77" i="22" s="1"/>
  <c r="D91" i="22"/>
  <c r="D92" i="22" s="1"/>
  <c r="M42" i="22"/>
  <c r="M43" i="22" s="1"/>
  <c r="L58" i="22"/>
  <c r="L59" i="22" s="1"/>
  <c r="I68" i="22"/>
  <c r="I69" i="22" s="1"/>
  <c r="E76" i="22"/>
  <c r="E77" i="22" s="1"/>
  <c r="O91" i="22"/>
  <c r="O92" i="22" s="1"/>
  <c r="K58" i="22"/>
  <c r="K59" i="22" s="1"/>
  <c r="H68" i="22"/>
  <c r="H69" i="22" s="1"/>
  <c r="N91" i="22"/>
  <c r="N92" i="22" s="1"/>
  <c r="G68" i="22"/>
  <c r="G69" i="22" s="1"/>
  <c r="M91" i="22"/>
  <c r="M92" i="22" s="1"/>
  <c r="I58" i="22"/>
  <c r="I59" i="22" s="1"/>
  <c r="F68" i="22"/>
  <c r="F69" i="22" s="1"/>
  <c r="D84" i="22"/>
  <c r="D85" i="22" s="1"/>
  <c r="L91" i="22"/>
  <c r="L92" i="22" s="1"/>
  <c r="H58" i="22"/>
  <c r="H59" i="22" s="1"/>
  <c r="O84" i="22"/>
  <c r="O85" i="22" s="1"/>
  <c r="K91" i="22"/>
  <c r="K92" i="22" s="1"/>
  <c r="E26" i="22"/>
  <c r="O32" i="22"/>
  <c r="O33" i="22" s="1"/>
  <c r="K42" i="22"/>
  <c r="K43" i="22" s="1"/>
  <c r="G51" i="22"/>
  <c r="G52" i="22" s="1"/>
  <c r="L42" i="22"/>
  <c r="L43" i="22" s="1"/>
  <c r="D26" i="22"/>
  <c r="N32" i="22"/>
  <c r="N33" i="22" s="1"/>
  <c r="J42" i="22"/>
  <c r="J43" i="22" s="1"/>
  <c r="F51" i="22"/>
  <c r="F52" i="22" s="1"/>
  <c r="M32" i="22"/>
  <c r="M33" i="22" s="1"/>
  <c r="I42" i="22"/>
  <c r="I43" i="22" s="1"/>
  <c r="E51" i="22"/>
  <c r="E52" i="22" s="1"/>
  <c r="L32" i="22"/>
  <c r="L33" i="22" s="1"/>
  <c r="H42" i="22"/>
  <c r="H43" i="22" s="1"/>
  <c r="O26" i="22"/>
  <c r="K32" i="22"/>
  <c r="K33" i="22" s="1"/>
  <c r="G42" i="22"/>
  <c r="G43" i="22" s="1"/>
  <c r="N26" i="22"/>
  <c r="J32" i="22"/>
  <c r="J33" i="22" s="1"/>
  <c r="F42" i="22"/>
  <c r="F43" i="22" s="1"/>
  <c r="M26" i="22"/>
  <c r="I32" i="22"/>
  <c r="I33" i="22" s="1"/>
  <c r="E42" i="22"/>
  <c r="E43" i="22" s="1"/>
  <c r="L26" i="22"/>
  <c r="H32" i="22"/>
  <c r="H33" i="22" s="1"/>
  <c r="D51" i="22"/>
  <c r="D52" i="22" s="1"/>
  <c r="K26" i="22"/>
  <c r="G32" i="22"/>
  <c r="G33" i="22" s="1"/>
  <c r="O51" i="22"/>
  <c r="O52" i="22" s="1"/>
  <c r="J26" i="22"/>
  <c r="F32" i="22"/>
  <c r="F33" i="22" s="1"/>
  <c r="N51" i="22"/>
  <c r="N52" i="22" s="1"/>
  <c r="I26" i="22"/>
  <c r="M51" i="22"/>
  <c r="M52" i="22" s="1"/>
  <c r="H26" i="22"/>
  <c r="D42" i="22"/>
  <c r="D43" i="22" s="1"/>
  <c r="L51" i="22"/>
  <c r="L52" i="22" s="1"/>
  <c r="G26" i="22"/>
  <c r="O42" i="22"/>
  <c r="O43" i="22" s="1"/>
  <c r="K51" i="22"/>
  <c r="K52" i="22" s="1"/>
  <c r="F26" i="22"/>
  <c r="N42" i="22"/>
  <c r="N43" i="22" s="1"/>
  <c r="J51" i="22"/>
  <c r="J52" i="22" s="1"/>
  <c r="I51" i="22"/>
  <c r="I52" i="22" s="1"/>
  <c r="J28" i="15"/>
  <c r="H28" i="15"/>
  <c r="F28" i="15"/>
  <c r="E28" i="15"/>
  <c r="I28" i="15"/>
  <c r="N28" i="15"/>
  <c r="M28" i="15"/>
  <c r="L28" i="15"/>
  <c r="K28" i="15"/>
  <c r="E24" i="15"/>
  <c r="O8" i="22" a="1"/>
  <c r="O8" i="22" s="1"/>
  <c r="G8" i="22" a="1"/>
  <c r="G8" i="22" s="1"/>
  <c r="J8" i="22" a="1"/>
  <c r="J8" i="22" s="1"/>
  <c r="I8" i="22" a="1"/>
  <c r="I8" i="22" s="1"/>
  <c r="H8" i="22" a="1"/>
  <c r="H8" i="22" s="1"/>
  <c r="F8" i="22" a="1"/>
  <c r="F8" i="22" s="1"/>
  <c r="G9" i="22" a="1"/>
  <c r="G9" i="22" s="1"/>
  <c r="F9" i="22" a="1"/>
  <c r="F9" i="22" s="1"/>
  <c r="E9" i="22" a="1"/>
  <c r="E9" i="22" s="1"/>
  <c r="E8" i="22" a="1"/>
  <c r="E8" i="22" s="1"/>
  <c r="D9" i="22" a="1"/>
  <c r="D9" i="22" s="1"/>
  <c r="O9" i="22" a="1"/>
  <c r="O9" i="22" s="1"/>
  <c r="N9" i="22" a="1"/>
  <c r="N9" i="22" s="1"/>
  <c r="D7" i="22" a="1"/>
  <c r="D7" i="22" s="1"/>
  <c r="M9" i="22" a="1"/>
  <c r="M9" i="22" s="1"/>
  <c r="D8" i="22" a="1"/>
  <c r="D8" i="22" s="1"/>
  <c r="L9" i="22" a="1"/>
  <c r="L9" i="22" s="1"/>
  <c r="N8" i="22" a="1"/>
  <c r="N8" i="22" s="1"/>
  <c r="K9" i="22" a="1"/>
  <c r="K9" i="22" s="1"/>
  <c r="M8" i="22" a="1"/>
  <c r="M8" i="22" s="1"/>
  <c r="J9" i="22" a="1"/>
  <c r="J9" i="22" s="1"/>
  <c r="L8" i="22" a="1"/>
  <c r="L8" i="22" s="1"/>
  <c r="I9" i="22" a="1"/>
  <c r="I9" i="22" s="1"/>
  <c r="K8" i="22" a="1"/>
  <c r="K8" i="22" s="1"/>
  <c r="H9" i="22" a="1"/>
  <c r="H9" i="22" s="1"/>
  <c r="O7" i="22" a="1"/>
  <c r="O7" i="22" s="1"/>
  <c r="D18" i="22"/>
  <c r="D19" i="22"/>
  <c r="O19" i="22"/>
  <c r="N19" i="22"/>
  <c r="M19" i="22"/>
  <c r="L19" i="22"/>
  <c r="K19" i="22"/>
  <c r="J19" i="22"/>
  <c r="I19" i="22"/>
  <c r="H19" i="22"/>
  <c r="G19" i="22"/>
  <c r="F19" i="22"/>
  <c r="E19" i="22"/>
  <c r="E18" i="22"/>
  <c r="O18" i="22"/>
  <c r="N18" i="22"/>
  <c r="M18" i="22"/>
  <c r="L18" i="22"/>
  <c r="K18" i="22"/>
  <c r="J18" i="22"/>
  <c r="I18" i="22"/>
  <c r="H18" i="22"/>
  <c r="G18" i="22"/>
  <c r="F18" i="22"/>
  <c r="D14" i="22" a="1"/>
  <c r="D14" i="22" s="1"/>
  <c r="O14" i="22" a="1"/>
  <c r="O14" i="22" s="1"/>
  <c r="O15" i="22" s="1"/>
  <c r="N14" i="22" a="1"/>
  <c r="N14" i="22" s="1"/>
  <c r="N15" i="22" s="1"/>
  <c r="M14" i="22" a="1"/>
  <c r="M14" i="22" s="1"/>
  <c r="M15" i="22" s="1"/>
  <c r="L14" i="22" a="1"/>
  <c r="L14" i="22" s="1"/>
  <c r="L15" i="22" s="1"/>
  <c r="J14" i="22" a="1"/>
  <c r="J14" i="22" s="1"/>
  <c r="J15" i="22" s="1"/>
  <c r="H14" i="22" a="1"/>
  <c r="H14" i="22" s="1"/>
  <c r="H15" i="22" s="1"/>
  <c r="G14" i="22" a="1"/>
  <c r="G14" i="22" s="1"/>
  <c r="G15" i="22" s="1"/>
  <c r="F14" i="22" a="1"/>
  <c r="F14" i="22" s="1"/>
  <c r="F15" i="22" s="1"/>
  <c r="E14" i="22" a="1"/>
  <c r="E14" i="22" s="1"/>
  <c r="E15" i="22" s="1"/>
  <c r="I14" i="22" a="1"/>
  <c r="I14" i="22" s="1"/>
  <c r="I15" i="22" s="1"/>
  <c r="K14" i="22" a="1"/>
  <c r="K14" i="22" s="1"/>
  <c r="K15" i="22" s="1"/>
  <c r="Y17" i="13"/>
  <c r="S11" i="13"/>
  <c r="T18" i="13"/>
  <c r="X7" i="13"/>
  <c r="V6" i="13"/>
  <c r="U12" i="13"/>
  <c r="Y8" i="13"/>
  <c r="S19" i="13"/>
  <c r="V14" i="13"/>
  <c r="W13" i="13"/>
  <c r="U20" i="13"/>
  <c r="X15" i="13"/>
  <c r="Y9" i="13"/>
  <c r="W21" i="13"/>
  <c r="T10" i="13"/>
  <c r="Y16" i="13"/>
  <c r="W6" i="13"/>
  <c r="W14" i="13"/>
  <c r="K18" i="15"/>
  <c r="E11" i="15"/>
  <c r="S8" i="13"/>
  <c r="U11" i="13"/>
  <c r="S16" i="13"/>
  <c r="U19" i="13"/>
  <c r="Y6" i="13"/>
  <c r="T8" i="13"/>
  <c r="W19" i="13"/>
  <c r="M6" i="15"/>
  <c r="X19" i="13"/>
  <c r="V8" i="13"/>
  <c r="Y11" i="13"/>
  <c r="S13" i="13"/>
  <c r="V16" i="13"/>
  <c r="Y19" i="13"/>
  <c r="S21" i="13"/>
  <c r="I3" i="15"/>
  <c r="E7" i="15"/>
  <c r="W11" i="13"/>
  <c r="Y14" i="13"/>
  <c r="T16" i="13"/>
  <c r="E3" i="15"/>
  <c r="K10" i="15"/>
  <c r="U8" i="13"/>
  <c r="X11" i="13"/>
  <c r="U16" i="13"/>
  <c r="W8" i="13"/>
  <c r="S10" i="13"/>
  <c r="U13" i="13"/>
  <c r="W16" i="13"/>
  <c r="S18" i="13"/>
  <c r="U21" i="13"/>
  <c r="K3" i="15"/>
  <c r="K11" i="15"/>
  <c r="M7" i="15"/>
  <c r="M11" i="15"/>
  <c r="I12" i="15"/>
  <c r="X13" i="13"/>
  <c r="U18" i="13"/>
  <c r="K12" i="15"/>
  <c r="X21" i="13"/>
  <c r="E4" i="15"/>
  <c r="Q5" i="13"/>
  <c r="S7" i="13"/>
  <c r="AE7" i="13" s="1"/>
  <c r="Y13" i="13"/>
  <c r="V18" i="13"/>
  <c r="S12" i="13"/>
  <c r="W18" i="13"/>
  <c r="I4" i="15"/>
  <c r="I8" i="15"/>
  <c r="M12" i="15"/>
  <c r="V19" i="13"/>
  <c r="V15" i="13"/>
  <c r="V11" i="13"/>
  <c r="V7" i="13"/>
  <c r="X20" i="13"/>
  <c r="T19" i="13"/>
  <c r="X16" i="13"/>
  <c r="T15" i="13"/>
  <c r="X12" i="13"/>
  <c r="T11" i="13"/>
  <c r="X8" i="13"/>
  <c r="T7" i="13"/>
  <c r="V21" i="13"/>
  <c r="V17" i="13"/>
  <c r="V13" i="13"/>
  <c r="V9" i="13"/>
  <c r="T21" i="13"/>
  <c r="X18" i="13"/>
  <c r="T17" i="13"/>
  <c r="X14" i="13"/>
  <c r="T13" i="13"/>
  <c r="X10" i="13"/>
  <c r="T9" i="13"/>
  <c r="X6" i="13"/>
  <c r="U10" i="13"/>
  <c r="V10" i="13"/>
  <c r="S15" i="13"/>
  <c r="Y21" i="13"/>
  <c r="U7" i="13"/>
  <c r="W10" i="13"/>
  <c r="U15" i="13"/>
  <c r="W7" i="13"/>
  <c r="Y10" i="13"/>
  <c r="T12" i="13"/>
  <c r="W15" i="13"/>
  <c r="Y18" i="13"/>
  <c r="T20" i="13"/>
  <c r="K4" i="15"/>
  <c r="M8" i="15"/>
  <c r="E13" i="15"/>
  <c r="M26" i="15"/>
  <c r="I25" i="15"/>
  <c r="M22" i="15"/>
  <c r="I21" i="15"/>
  <c r="E20" i="15"/>
  <c r="M18" i="15"/>
  <c r="I17" i="15"/>
  <c r="E16" i="15"/>
  <c r="K14" i="15"/>
  <c r="L26" i="15"/>
  <c r="H25" i="15"/>
  <c r="L22" i="15"/>
  <c r="H21" i="15"/>
  <c r="L18" i="15"/>
  <c r="H17" i="15"/>
  <c r="J14" i="15"/>
  <c r="F13" i="15"/>
  <c r="N11" i="15"/>
  <c r="J10" i="15"/>
  <c r="F9" i="15"/>
  <c r="N7" i="15"/>
  <c r="J6" i="15"/>
  <c r="F5" i="15"/>
  <c r="N3" i="15"/>
  <c r="N27" i="15"/>
  <c r="J26" i="15"/>
  <c r="F25" i="15"/>
  <c r="N23" i="15"/>
  <c r="J22" i="15"/>
  <c r="F21" i="15"/>
  <c r="N19" i="15"/>
  <c r="J18" i="15"/>
  <c r="F17" i="15"/>
  <c r="N15" i="15"/>
  <c r="H14" i="15"/>
  <c r="L11" i="15"/>
  <c r="H10" i="15"/>
  <c r="L7" i="15"/>
  <c r="H6" i="15"/>
  <c r="L3" i="15"/>
  <c r="M27" i="15"/>
  <c r="I26" i="15"/>
  <c r="E25" i="15"/>
  <c r="M23" i="15"/>
  <c r="I22" i="15"/>
  <c r="E21" i="15"/>
  <c r="M19" i="15"/>
  <c r="I18" i="15"/>
  <c r="E17" i="15"/>
  <c r="M15" i="15"/>
  <c r="L27" i="15"/>
  <c r="H26" i="15"/>
  <c r="L23" i="15"/>
  <c r="H22" i="15"/>
  <c r="L19" i="15"/>
  <c r="H18" i="15"/>
  <c r="L15" i="15"/>
  <c r="F14" i="15"/>
  <c r="N12" i="15"/>
  <c r="J11" i="15"/>
  <c r="F10" i="15"/>
  <c r="N8" i="15"/>
  <c r="J7" i="15"/>
  <c r="F6" i="15"/>
  <c r="N4" i="15"/>
  <c r="J3" i="15"/>
  <c r="K27" i="15"/>
  <c r="J27" i="15"/>
  <c r="F26" i="15"/>
  <c r="N24" i="15"/>
  <c r="J23" i="15"/>
  <c r="F22" i="15"/>
  <c r="N20" i="15"/>
  <c r="J19" i="15"/>
  <c r="F18" i="15"/>
  <c r="N16" i="15"/>
  <c r="J15" i="15"/>
  <c r="L12" i="15"/>
  <c r="H11" i="15"/>
  <c r="L8" i="15"/>
  <c r="H7" i="15"/>
  <c r="L4" i="15"/>
  <c r="H3" i="15"/>
  <c r="I27" i="15"/>
  <c r="E26" i="15"/>
  <c r="M24" i="15"/>
  <c r="I23" i="15"/>
  <c r="E22" i="15"/>
  <c r="G22" i="15" s="1"/>
  <c r="M20" i="15"/>
  <c r="I19" i="15"/>
  <c r="E18" i="15"/>
  <c r="M16" i="15"/>
  <c r="I15" i="15"/>
  <c r="H27" i="15"/>
  <c r="L24" i="15"/>
  <c r="H23" i="15"/>
  <c r="L20" i="15"/>
  <c r="H19" i="15"/>
  <c r="L16" i="15"/>
  <c r="H15" i="15"/>
  <c r="N13" i="15"/>
  <c r="J12" i="15"/>
  <c r="F11" i="15"/>
  <c r="N9" i="15"/>
  <c r="J8" i="15"/>
  <c r="F7" i="15"/>
  <c r="N5" i="15"/>
  <c r="J4" i="15"/>
  <c r="F3" i="15"/>
  <c r="A2" i="15"/>
  <c r="F27" i="15"/>
  <c r="N25" i="15"/>
  <c r="J24" i="15"/>
  <c r="F23" i="15"/>
  <c r="N21" i="15"/>
  <c r="J20" i="15"/>
  <c r="F19" i="15"/>
  <c r="N17" i="15"/>
  <c r="J16" i="15"/>
  <c r="F15" i="15"/>
  <c r="L13" i="15"/>
  <c r="H12" i="15"/>
  <c r="L9" i="15"/>
  <c r="H8" i="15"/>
  <c r="L5" i="15"/>
  <c r="H4" i="15"/>
  <c r="E27" i="15"/>
  <c r="M25" i="15"/>
  <c r="I24" i="15"/>
  <c r="E23" i="15"/>
  <c r="G23" i="15" s="1"/>
  <c r="M21" i="15"/>
  <c r="I20" i="15"/>
  <c r="E19" i="15"/>
  <c r="M17" i="15"/>
  <c r="I16" i="15"/>
  <c r="E15" i="15"/>
  <c r="K13" i="15"/>
  <c r="L25" i="15"/>
  <c r="H24" i="15"/>
  <c r="L21" i="15"/>
  <c r="H20" i="15"/>
  <c r="L17" i="15"/>
  <c r="H16" i="15"/>
  <c r="N14" i="15"/>
  <c r="J13" i="15"/>
  <c r="F12" i="15"/>
  <c r="N10" i="15"/>
  <c r="J9" i="15"/>
  <c r="F8" i="15"/>
  <c r="N6" i="15"/>
  <c r="J5" i="15"/>
  <c r="F4" i="15"/>
  <c r="N26" i="15"/>
  <c r="J25" i="15"/>
  <c r="F24" i="15"/>
  <c r="N22" i="15"/>
  <c r="J21" i="15"/>
  <c r="F20" i="15"/>
  <c r="N18" i="15"/>
  <c r="J17" i="15"/>
  <c r="F16" i="15"/>
  <c r="L14" i="15"/>
  <c r="H13" i="15"/>
  <c r="L10" i="15"/>
  <c r="H9" i="15"/>
  <c r="L6" i="15"/>
  <c r="H5" i="15"/>
  <c r="K19" i="15"/>
  <c r="E14" i="15"/>
  <c r="K7" i="15"/>
  <c r="K24" i="15"/>
  <c r="M13" i="15"/>
  <c r="E10" i="15"/>
  <c r="I7" i="15"/>
  <c r="M4" i="15"/>
  <c r="K23" i="15"/>
  <c r="K22" i="15"/>
  <c r="E12" i="15"/>
  <c r="E9" i="15"/>
  <c r="I6" i="15"/>
  <c r="M3" i="15"/>
  <c r="K21" i="15"/>
  <c r="I11" i="15"/>
  <c r="K8" i="15"/>
  <c r="K20" i="15"/>
  <c r="M10" i="15"/>
  <c r="E8" i="15"/>
  <c r="I5" i="15"/>
  <c r="K26" i="15"/>
  <c r="K25" i="15"/>
  <c r="I14" i="15"/>
  <c r="K5" i="15"/>
  <c r="I9" i="15"/>
  <c r="M14" i="15"/>
  <c r="S9" i="13"/>
  <c r="S6" i="13"/>
  <c r="S14" i="13"/>
  <c r="U17" i="13"/>
  <c r="W20" i="13"/>
  <c r="T6" i="13"/>
  <c r="W9" i="13"/>
  <c r="Y12" i="13"/>
  <c r="T14" i="13"/>
  <c r="W17" i="13"/>
  <c r="Y20" i="13"/>
  <c r="M5" i="15"/>
  <c r="K9" i="15"/>
  <c r="K15" i="15"/>
  <c r="E5" i="15"/>
  <c r="Y7" i="13"/>
  <c r="V12" i="13"/>
  <c r="Y15" i="13"/>
  <c r="S17" i="13"/>
  <c r="V20" i="13"/>
  <c r="U9" i="13"/>
  <c r="W12" i="13"/>
  <c r="U6" i="13"/>
  <c r="X9" i="13"/>
  <c r="U14" i="13"/>
  <c r="X17" i="13"/>
  <c r="E6" i="15"/>
  <c r="M9" i="15"/>
  <c r="K16" i="15"/>
  <c r="K17" i="15"/>
  <c r="K6" i="15"/>
  <c r="I10" i="15"/>
  <c r="N7" i="22" a="1"/>
  <c r="N7" i="22" s="1"/>
  <c r="M7" i="22" a="1"/>
  <c r="M7" i="22" s="1"/>
  <c r="L7" i="22" a="1"/>
  <c r="L7" i="22" s="1"/>
  <c r="K7" i="22" a="1"/>
  <c r="K7" i="22" s="1"/>
  <c r="J7" i="22" a="1"/>
  <c r="J7" i="22" s="1"/>
  <c r="I7" i="22" a="1"/>
  <c r="I7" i="22" s="1"/>
  <c r="H7" i="22" a="1"/>
  <c r="H7" i="22" s="1"/>
  <c r="G7" i="22" a="1"/>
  <c r="G7" i="22" s="1"/>
  <c r="F7" i="22" a="1"/>
  <c r="F7" i="22" s="1"/>
  <c r="E7" i="22" a="1"/>
  <c r="E7" i="22" s="1"/>
  <c r="AG6" i="17"/>
  <c r="AO8" i="17"/>
  <c r="AI13" i="17"/>
  <c r="AZ15" i="17"/>
  <c r="AW19" i="17"/>
  <c r="AF6" i="17"/>
  <c r="AH13" i="17"/>
  <c r="AY15" i="17"/>
  <c r="AV6" i="17"/>
  <c r="BD8" i="17"/>
  <c r="AY13" i="17"/>
  <c r="D17" i="17"/>
  <c r="AX19" i="17"/>
  <c r="AW6" i="17"/>
  <c r="BE8" i="17"/>
  <c r="AZ13" i="17"/>
  <c r="V17" i="17"/>
  <c r="G20" i="17"/>
  <c r="AN8" i="17"/>
  <c r="AE19" i="17"/>
  <c r="D7" i="17"/>
  <c r="AF10" i="17"/>
  <c r="H14" i="17"/>
  <c r="W17" i="17"/>
  <c r="Z20" i="17"/>
  <c r="E7" i="17"/>
  <c r="D11" i="17"/>
  <c r="I14" i="17"/>
  <c r="AO17" i="17"/>
  <c r="AR20" i="17"/>
  <c r="L5" i="17"/>
  <c r="T7" i="17"/>
  <c r="E11" i="17"/>
  <c r="Y14" i="17"/>
  <c r="AP17" i="17"/>
  <c r="T21" i="17"/>
  <c r="M5" i="17"/>
  <c r="U7" i="17"/>
  <c r="T11" i="17"/>
  <c r="Z14" i="17"/>
  <c r="BG17" i="17"/>
  <c r="AL21" i="17"/>
  <c r="AB5" i="17"/>
  <c r="AJ7" i="17"/>
  <c r="U11" i="17"/>
  <c r="AP14" i="17"/>
  <c r="BH17" i="17"/>
  <c r="BE21" i="17"/>
  <c r="AT16" i="17"/>
  <c r="AL22" i="17"/>
  <c r="X23" i="17"/>
  <c r="AA12" i="17"/>
  <c r="Q10" i="17"/>
  <c r="AC5" i="17"/>
  <c r="AK7" i="17"/>
  <c r="AJ11" i="17"/>
  <c r="AQ14" i="17"/>
  <c r="R18" i="17"/>
  <c r="AC24" i="17"/>
  <c r="BI9" i="17"/>
  <c r="AR5" i="17"/>
  <c r="AZ7" i="17"/>
  <c r="AK11" i="17"/>
  <c r="BG14" i="17"/>
  <c r="S18" i="17"/>
  <c r="AK26" i="17"/>
  <c r="AS5" i="17"/>
  <c r="BA7" i="17"/>
  <c r="AZ11" i="17"/>
  <c r="BH14" i="17"/>
  <c r="AJ18" i="17"/>
  <c r="BC28" i="17"/>
  <c r="BH5" i="17"/>
  <c r="H8" i="17"/>
  <c r="BA11" i="17"/>
  <c r="P15" i="17"/>
  <c r="AK18" i="17"/>
  <c r="T32" i="17"/>
  <c r="BI5" i="17"/>
  <c r="I8" i="17"/>
  <c r="AQ12" i="17"/>
  <c r="Q15" i="17"/>
  <c r="BB18" i="17"/>
  <c r="AU35" i="17"/>
  <c r="P6" i="17"/>
  <c r="X8" i="17"/>
  <c r="Q13" i="17"/>
  <c r="AG15" i="17"/>
  <c r="L19" i="17"/>
  <c r="Q6" i="17"/>
  <c r="Y8" i="17"/>
  <c r="R13" i="17"/>
  <c r="AH15" i="17"/>
  <c r="AD19" i="17"/>
  <c r="AG10" i="17"/>
  <c r="AR12" i="17"/>
  <c r="AV10" i="17"/>
  <c r="BH12" i="17"/>
  <c r="AW10" i="17"/>
  <c r="BI12" i="17"/>
  <c r="O22" i="17"/>
  <c r="L9" i="17"/>
  <c r="M9" i="17"/>
  <c r="AB9" i="17"/>
  <c r="J16" i="17"/>
  <c r="AC9" i="17"/>
  <c r="K16" i="17"/>
  <c r="AR9" i="17"/>
  <c r="AB16" i="17"/>
  <c r="AS9" i="17"/>
  <c r="AC16" i="17"/>
  <c r="BH9" i="17"/>
  <c r="H12" i="17"/>
  <c r="J12" i="17"/>
  <c r="P10" i="17"/>
  <c r="Z12" i="17"/>
  <c r="E17" i="17"/>
  <c r="M19" i="17"/>
  <c r="H20" i="17"/>
  <c r="AS20" i="17"/>
  <c r="U21" i="17"/>
  <c r="BF21" i="17"/>
  <c r="AM22" i="17"/>
  <c r="AR24" i="17"/>
  <c r="AZ26" i="17"/>
  <c r="R29" i="17"/>
  <c r="BI36" i="17"/>
  <c r="N5" i="17"/>
  <c r="AD5" i="17"/>
  <c r="AT5" i="17"/>
  <c r="R6" i="17"/>
  <c r="AH6" i="17"/>
  <c r="AX6" i="17"/>
  <c r="F7" i="17"/>
  <c r="V7" i="17"/>
  <c r="AL7" i="17"/>
  <c r="BB7" i="17"/>
  <c r="J8" i="17"/>
  <c r="Z8" i="17"/>
  <c r="AP8" i="17"/>
  <c r="BF8" i="17"/>
  <c r="N9" i="17"/>
  <c r="AD9" i="17"/>
  <c r="AT9" i="17"/>
  <c r="R10" i="17"/>
  <c r="AH10" i="17"/>
  <c r="AX10" i="17"/>
  <c r="F11" i="17"/>
  <c r="V11" i="17"/>
  <c r="AL11" i="17"/>
  <c r="BB11" i="17"/>
  <c r="K12" i="17"/>
  <c r="AB12" i="17"/>
  <c r="AS12" i="17"/>
  <c r="S13" i="17"/>
  <c r="AJ13" i="17"/>
  <c r="BA13" i="17"/>
  <c r="J14" i="17"/>
  <c r="AA14" i="17"/>
  <c r="AR14" i="17"/>
  <c r="BI14" i="17"/>
  <c r="R15" i="17"/>
  <c r="AI15" i="17"/>
  <c r="BB15" i="17"/>
  <c r="L16" i="17"/>
  <c r="AD16" i="17"/>
  <c r="AV16" i="17"/>
  <c r="F17" i="17"/>
  <c r="Y17" i="17"/>
  <c r="AQ17" i="17"/>
  <c r="T18" i="17"/>
  <c r="AL18" i="17"/>
  <c r="BD18" i="17"/>
  <c r="N19" i="17"/>
  <c r="AG19" i="17"/>
  <c r="AY19" i="17"/>
  <c r="J20" i="17"/>
  <c r="AB20" i="17"/>
  <c r="AT20" i="17"/>
  <c r="D21" i="17"/>
  <c r="V21" i="17"/>
  <c r="AO21" i="17"/>
  <c r="BG21" i="17"/>
  <c r="R22" i="17"/>
  <c r="AP22" i="17"/>
  <c r="AA23" i="17"/>
  <c r="AS24" i="17"/>
  <c r="BA26" i="17"/>
  <c r="V29" i="17"/>
  <c r="AS32" i="17"/>
  <c r="F37" i="17"/>
  <c r="AU16" i="17"/>
  <c r="BC18" i="17"/>
  <c r="AA20" i="17"/>
  <c r="C21" i="17"/>
  <c r="AM21" i="17"/>
  <c r="P22" i="17"/>
  <c r="Y23" i="17"/>
  <c r="AR32" i="17"/>
  <c r="O5" i="17"/>
  <c r="AE5" i="17"/>
  <c r="AU5" i="17"/>
  <c r="C6" i="17"/>
  <c r="S6" i="17"/>
  <c r="AI6" i="17"/>
  <c r="AY6" i="17"/>
  <c r="G7" i="17"/>
  <c r="W7" i="17"/>
  <c r="AM7" i="17"/>
  <c r="BC7" i="17"/>
  <c r="K8" i="17"/>
  <c r="AA8" i="17"/>
  <c r="AQ8" i="17"/>
  <c r="BG8" i="17"/>
  <c r="O9" i="17"/>
  <c r="AE9" i="17"/>
  <c r="AU9" i="17"/>
  <c r="C10" i="17"/>
  <c r="S10" i="17"/>
  <c r="AI10" i="17"/>
  <c r="AY10" i="17"/>
  <c r="G11" i="17"/>
  <c r="W11" i="17"/>
  <c r="AM11" i="17"/>
  <c r="BC11" i="17"/>
  <c r="L12" i="17"/>
  <c r="AC12" i="17"/>
  <c r="AT12" i="17"/>
  <c r="C13" i="17"/>
  <c r="T13" i="17"/>
  <c r="AK13" i="17"/>
  <c r="BB13" i="17"/>
  <c r="K14" i="17"/>
  <c r="AB14" i="17"/>
  <c r="AS14" i="17"/>
  <c r="S15" i="17"/>
  <c r="AJ15" i="17"/>
  <c r="BC15" i="17"/>
  <c r="M16" i="17"/>
  <c r="AE16" i="17"/>
  <c r="AW16" i="17"/>
  <c r="G17" i="17"/>
  <c r="Z17" i="17"/>
  <c r="AR17" i="17"/>
  <c r="C18" i="17"/>
  <c r="U18" i="17"/>
  <c r="AM18" i="17"/>
  <c r="BE18" i="17"/>
  <c r="O19" i="17"/>
  <c r="AH19" i="17"/>
  <c r="AZ19" i="17"/>
  <c r="K20" i="17"/>
  <c r="AC20" i="17"/>
  <c r="AU20" i="17"/>
  <c r="E21" i="17"/>
  <c r="W21" i="17"/>
  <c r="AP21" i="17"/>
  <c r="BH21" i="17"/>
  <c r="S22" i="17"/>
  <c r="AQ22" i="17"/>
  <c r="AD23" i="17"/>
  <c r="BH24" i="17"/>
  <c r="H27" i="17"/>
  <c r="AR29" i="17"/>
  <c r="J33" i="17"/>
  <c r="I39" i="17"/>
  <c r="P5" i="17"/>
  <c r="AF5" i="17"/>
  <c r="AV5" i="17"/>
  <c r="D6" i="17"/>
  <c r="T6" i="17"/>
  <c r="AJ6" i="17"/>
  <c r="AZ6" i="17"/>
  <c r="H7" i="17"/>
  <c r="X7" i="17"/>
  <c r="AN7" i="17"/>
  <c r="BD7" i="17"/>
  <c r="L8" i="17"/>
  <c r="AB8" i="17"/>
  <c r="AR8" i="17"/>
  <c r="BH8" i="17"/>
  <c r="P9" i="17"/>
  <c r="AF9" i="17"/>
  <c r="AV9" i="17"/>
  <c r="D10" i="17"/>
  <c r="T10" i="17"/>
  <c r="AJ10" i="17"/>
  <c r="AZ10" i="17"/>
  <c r="H11" i="17"/>
  <c r="X11" i="17"/>
  <c r="AN11" i="17"/>
  <c r="BD11" i="17"/>
  <c r="M12" i="17"/>
  <c r="AD12" i="17"/>
  <c r="AU12" i="17"/>
  <c r="D13" i="17"/>
  <c r="U13" i="17"/>
  <c r="AL13" i="17"/>
  <c r="BC13" i="17"/>
  <c r="L14" i="17"/>
  <c r="AC14" i="17"/>
  <c r="AT14" i="17"/>
  <c r="C15" i="17"/>
  <c r="T15" i="17"/>
  <c r="AL15" i="17"/>
  <c r="BD15" i="17"/>
  <c r="N16" i="17"/>
  <c r="AF16" i="17"/>
  <c r="AX16" i="17"/>
  <c r="I17" i="17"/>
  <c r="AA17" i="17"/>
  <c r="AT17" i="17"/>
  <c r="D18" i="17"/>
  <c r="V18" i="17"/>
  <c r="AN18" i="17"/>
  <c r="BF18" i="17"/>
  <c r="Q19" i="17"/>
  <c r="AI19" i="17"/>
  <c r="BB19" i="17"/>
  <c r="L20" i="17"/>
  <c r="AD20" i="17"/>
  <c r="AV20" i="17"/>
  <c r="F21" i="17"/>
  <c r="Y21" i="17"/>
  <c r="AQ21" i="17"/>
  <c r="T22" i="17"/>
  <c r="AY22" i="17"/>
  <c r="AE23" i="17"/>
  <c r="BI24" i="17"/>
  <c r="I27" i="17"/>
  <c r="AU29" i="17"/>
  <c r="K33" i="17"/>
  <c r="N39" i="17"/>
  <c r="Q5" i="17"/>
  <c r="AG5" i="17"/>
  <c r="AW5" i="17"/>
  <c r="E6" i="17"/>
  <c r="U6" i="17"/>
  <c r="AK6" i="17"/>
  <c r="BA6" i="17"/>
  <c r="I7" i="17"/>
  <c r="Y7" i="17"/>
  <c r="AO7" i="17"/>
  <c r="BE7" i="17"/>
  <c r="M8" i="17"/>
  <c r="AC8" i="17"/>
  <c r="AS8" i="17"/>
  <c r="BI8" i="17"/>
  <c r="Q9" i="17"/>
  <c r="AG9" i="17"/>
  <c r="AW9" i="17"/>
  <c r="E10" i="17"/>
  <c r="U10" i="17"/>
  <c r="AK10" i="17"/>
  <c r="BA10" i="17"/>
  <c r="I11" i="17"/>
  <c r="Y11" i="17"/>
  <c r="AO11" i="17"/>
  <c r="BE11" i="17"/>
  <c r="N12" i="17"/>
  <c r="AE12" i="17"/>
  <c r="AV12" i="17"/>
  <c r="E13" i="17"/>
  <c r="V13" i="17"/>
  <c r="AM13" i="17"/>
  <c r="BD13" i="17"/>
  <c r="M14" i="17"/>
  <c r="AD14" i="17"/>
  <c r="AU14" i="17"/>
  <c r="D15" i="17"/>
  <c r="V15" i="17"/>
  <c r="AM15" i="17"/>
  <c r="BE15" i="17"/>
  <c r="O16" i="17"/>
  <c r="AG16" i="17"/>
  <c r="AY16" i="17"/>
  <c r="J17" i="17"/>
  <c r="AB17" i="17"/>
  <c r="AU17" i="17"/>
  <c r="E18" i="17"/>
  <c r="W18" i="17"/>
  <c r="AO18" i="17"/>
  <c r="BG18" i="17"/>
  <c r="R19" i="17"/>
  <c r="AJ19" i="17"/>
  <c r="BC19" i="17"/>
  <c r="M20" i="17"/>
  <c r="AE20" i="17"/>
  <c r="AW20" i="17"/>
  <c r="G21" i="17"/>
  <c r="Z21" i="17"/>
  <c r="AR21" i="17"/>
  <c r="C22" i="17"/>
  <c r="U22" i="17"/>
  <c r="AZ22" i="17"/>
  <c r="AN23" i="17"/>
  <c r="P25" i="17"/>
  <c r="X27" i="17"/>
  <c r="K30" i="17"/>
  <c r="AH33" i="17"/>
  <c r="Q41" i="17"/>
  <c r="R5" i="17"/>
  <c r="AH5" i="17"/>
  <c r="AX5" i="17"/>
  <c r="F6" i="17"/>
  <c r="V6" i="17"/>
  <c r="AL6" i="17"/>
  <c r="BB6" i="17"/>
  <c r="J7" i="17"/>
  <c r="Z7" i="17"/>
  <c r="AP7" i="17"/>
  <c r="BF7" i="17"/>
  <c r="N8" i="17"/>
  <c r="AD8" i="17"/>
  <c r="AT8" i="17"/>
  <c r="R9" i="17"/>
  <c r="AH9" i="17"/>
  <c r="AX9" i="17"/>
  <c r="F10" i="17"/>
  <c r="V10" i="17"/>
  <c r="AL10" i="17"/>
  <c r="BB10" i="17"/>
  <c r="J11" i="17"/>
  <c r="Z11" i="17"/>
  <c r="AP11" i="17"/>
  <c r="BF11" i="17"/>
  <c r="O12" i="17"/>
  <c r="AF12" i="17"/>
  <c r="AW12" i="17"/>
  <c r="F13" i="17"/>
  <c r="W13" i="17"/>
  <c r="AN13" i="17"/>
  <c r="BE13" i="17"/>
  <c r="N14" i="17"/>
  <c r="AE14" i="17"/>
  <c r="AV14" i="17"/>
  <c r="F15" i="17"/>
  <c r="W15" i="17"/>
  <c r="AN15" i="17"/>
  <c r="BF15" i="17"/>
  <c r="P16" i="17"/>
  <c r="AH16" i="17"/>
  <c r="BA16" i="17"/>
  <c r="K17" i="17"/>
  <c r="AD17" i="17"/>
  <c r="AV17" i="17"/>
  <c r="F18" i="17"/>
  <c r="X18" i="17"/>
  <c r="AP18" i="17"/>
  <c r="BI18" i="17"/>
  <c r="S19" i="17"/>
  <c r="AL19" i="17"/>
  <c r="BD19" i="17"/>
  <c r="N20" i="17"/>
  <c r="AF20" i="17"/>
  <c r="AX20" i="17"/>
  <c r="I21" i="17"/>
  <c r="AA21" i="17"/>
  <c r="AT21" i="17"/>
  <c r="D22" i="17"/>
  <c r="V22" i="17"/>
  <c r="BA22" i="17"/>
  <c r="AO23" i="17"/>
  <c r="Q25" i="17"/>
  <c r="Y27" i="17"/>
  <c r="L30" i="17"/>
  <c r="AL33" i="17"/>
  <c r="V41" i="17"/>
  <c r="C5" i="17"/>
  <c r="S5" i="17"/>
  <c r="AI5" i="17"/>
  <c r="AY5" i="17"/>
  <c r="G6" i="17"/>
  <c r="W6" i="17"/>
  <c r="AM6" i="17"/>
  <c r="BC6" i="17"/>
  <c r="K7" i="17"/>
  <c r="AA7" i="17"/>
  <c r="AQ7" i="17"/>
  <c r="BG7" i="17"/>
  <c r="O8" i="17"/>
  <c r="AE8" i="17"/>
  <c r="AU8" i="17"/>
  <c r="C9" i="17"/>
  <c r="S9" i="17"/>
  <c r="AI9" i="17"/>
  <c r="AY9" i="17"/>
  <c r="G10" i="17"/>
  <c r="W10" i="17"/>
  <c r="AM10" i="17"/>
  <c r="BC10" i="17"/>
  <c r="K11" i="17"/>
  <c r="AA11" i="17"/>
  <c r="AQ11" i="17"/>
  <c r="BG11" i="17"/>
  <c r="P12" i="17"/>
  <c r="AG12" i="17"/>
  <c r="AX12" i="17"/>
  <c r="G13" i="17"/>
  <c r="X13" i="17"/>
  <c r="AO13" i="17"/>
  <c r="BF13" i="17"/>
  <c r="O14" i="17"/>
  <c r="AF14" i="17"/>
  <c r="AX14" i="17"/>
  <c r="G15" i="17"/>
  <c r="X15" i="17"/>
  <c r="AO15" i="17"/>
  <c r="BG15" i="17"/>
  <c r="Q16" i="17"/>
  <c r="AI16" i="17"/>
  <c r="BB16" i="17"/>
  <c r="L17" i="17"/>
  <c r="AE17" i="17"/>
  <c r="AW17" i="17"/>
  <c r="G18" i="17"/>
  <c r="Y18" i="17"/>
  <c r="AQ18" i="17"/>
  <c r="T19" i="17"/>
  <c r="AM19" i="17"/>
  <c r="BE19" i="17"/>
  <c r="O20" i="17"/>
  <c r="AG20" i="17"/>
  <c r="AY20" i="17"/>
  <c r="J21" i="17"/>
  <c r="AB21" i="17"/>
  <c r="AU21" i="17"/>
  <c r="E22" i="17"/>
  <c r="W22" i="17"/>
  <c r="BC22" i="17"/>
  <c r="AQ23" i="17"/>
  <c r="AF25" i="17"/>
  <c r="AN27" i="17"/>
  <c r="AJ30" i="17"/>
  <c r="BH33" i="17"/>
  <c r="BE46" i="17"/>
  <c r="AO46" i="17"/>
  <c r="Y46" i="17"/>
  <c r="I46" i="17"/>
  <c r="BA45" i="17"/>
  <c r="AK45" i="17"/>
  <c r="U45" i="17"/>
  <c r="E45" i="17"/>
  <c r="AW44" i="17"/>
  <c r="AG44" i="17"/>
  <c r="Q44" i="17"/>
  <c r="BI43" i="17"/>
  <c r="AS43" i="17"/>
  <c r="AC43" i="17"/>
  <c r="M43" i="17"/>
  <c r="BE42" i="17"/>
  <c r="AO42" i="17"/>
  <c r="Y42" i="17"/>
  <c r="I42" i="17"/>
  <c r="BA41" i="17"/>
  <c r="AK41" i="17"/>
  <c r="U41" i="17"/>
  <c r="E41" i="17"/>
  <c r="AW40" i="17"/>
  <c r="AG40" i="17"/>
  <c r="Q40" i="17"/>
  <c r="BI39" i="17"/>
  <c r="AS39" i="17"/>
  <c r="AC39" i="17"/>
  <c r="M39" i="17"/>
  <c r="BE38" i="17"/>
  <c r="AO38" i="17"/>
  <c r="Y38" i="17"/>
  <c r="I38" i="17"/>
  <c r="BA37" i="17"/>
  <c r="AK37" i="17"/>
  <c r="U37" i="17"/>
  <c r="E37" i="17"/>
  <c r="AW36" i="17"/>
  <c r="AG36" i="17"/>
  <c r="Q36" i="17"/>
  <c r="BI35" i="17"/>
  <c r="AS35" i="17"/>
  <c r="AC35" i="17"/>
  <c r="M35" i="17"/>
  <c r="BE34" i="17"/>
  <c r="AO34" i="17"/>
  <c r="Y34" i="17"/>
  <c r="I34" i="17"/>
  <c r="BA33" i="17"/>
  <c r="AK33" i="17"/>
  <c r="U33" i="17"/>
  <c r="E33" i="17"/>
  <c r="AW32" i="17"/>
  <c r="AG32" i="17"/>
  <c r="Q32" i="17"/>
  <c r="BI31" i="17"/>
  <c r="AS31" i="17"/>
  <c r="AC31" i="17"/>
  <c r="M31" i="17"/>
  <c r="BE30" i="17"/>
  <c r="AO30" i="17"/>
  <c r="Y30" i="17"/>
  <c r="I30" i="17"/>
  <c r="BA29" i="17"/>
  <c r="AK29" i="17"/>
  <c r="U29" i="17"/>
  <c r="E29" i="17"/>
  <c r="AW28" i="17"/>
  <c r="AG28" i="17"/>
  <c r="Q28" i="17"/>
  <c r="BI27" i="17"/>
  <c r="AS27" i="17"/>
  <c r="BD46" i="17"/>
  <c r="AN46" i="17"/>
  <c r="X46" i="17"/>
  <c r="H46" i="17"/>
  <c r="AZ45" i="17"/>
  <c r="AJ45" i="17"/>
  <c r="T45" i="17"/>
  <c r="D45" i="17"/>
  <c r="AV44" i="17"/>
  <c r="AF44" i="17"/>
  <c r="P44" i="17"/>
  <c r="BH43" i="17"/>
  <c r="AR43" i="17"/>
  <c r="AB43" i="17"/>
  <c r="L43" i="17"/>
  <c r="BD42" i="17"/>
  <c r="AN42" i="17"/>
  <c r="X42" i="17"/>
  <c r="H42" i="17"/>
  <c r="AZ41" i="17"/>
  <c r="AJ41" i="17"/>
  <c r="T41" i="17"/>
  <c r="D41" i="17"/>
  <c r="AV40" i="17"/>
  <c r="AF40" i="17"/>
  <c r="P40" i="17"/>
  <c r="BH39" i="17"/>
  <c r="AR39" i="17"/>
  <c r="AB39" i="17"/>
  <c r="L39" i="17"/>
  <c r="BD38" i="17"/>
  <c r="AN38" i="17"/>
  <c r="X38" i="17"/>
  <c r="H38" i="17"/>
  <c r="AZ37" i="17"/>
  <c r="AJ37" i="17"/>
  <c r="T37" i="17"/>
  <c r="D37" i="17"/>
  <c r="AV36" i="17"/>
  <c r="AF36" i="17"/>
  <c r="P36" i="17"/>
  <c r="BH35" i="17"/>
  <c r="AR35" i="17"/>
  <c r="AB35" i="17"/>
  <c r="L35" i="17"/>
  <c r="BD34" i="17"/>
  <c r="AN34" i="17"/>
  <c r="X34" i="17"/>
  <c r="H34" i="17"/>
  <c r="AZ33" i="17"/>
  <c r="AJ33" i="17"/>
  <c r="T33" i="17"/>
  <c r="D33" i="17"/>
  <c r="AV32" i="17"/>
  <c r="AF32" i="17"/>
  <c r="P32" i="17"/>
  <c r="BH31" i="17"/>
  <c r="AR31" i="17"/>
  <c r="AB31" i="17"/>
  <c r="L31" i="17"/>
  <c r="BD30" i="17"/>
  <c r="AN30" i="17"/>
  <c r="X30" i="17"/>
  <c r="H30" i="17"/>
  <c r="AZ29" i="17"/>
  <c r="AJ29" i="17"/>
  <c r="T29" i="17"/>
  <c r="D29" i="17"/>
  <c r="AV28" i="17"/>
  <c r="BC46" i="17"/>
  <c r="AM46" i="17"/>
  <c r="W46" i="17"/>
  <c r="G46" i="17"/>
  <c r="AY45" i="17"/>
  <c r="AI45" i="17"/>
  <c r="S45" i="17"/>
  <c r="C45" i="17"/>
  <c r="AU44" i="17"/>
  <c r="AE44" i="17"/>
  <c r="O44" i="17"/>
  <c r="BG43" i="17"/>
  <c r="AQ43" i="17"/>
  <c r="AA43" i="17"/>
  <c r="K43" i="17"/>
  <c r="BC42" i="17"/>
  <c r="AM42" i="17"/>
  <c r="W42" i="17"/>
  <c r="G42" i="17"/>
  <c r="AY41" i="17"/>
  <c r="AI41" i="17"/>
  <c r="S41" i="17"/>
  <c r="C41" i="17"/>
  <c r="AU40" i="17"/>
  <c r="AE40" i="17"/>
  <c r="O40" i="17"/>
  <c r="BG39" i="17"/>
  <c r="AQ39" i="17"/>
  <c r="AA39" i="17"/>
  <c r="K39" i="17"/>
  <c r="BC38" i="17"/>
  <c r="AM38" i="17"/>
  <c r="W38" i="17"/>
  <c r="G38" i="17"/>
  <c r="AY37" i="17"/>
  <c r="AI37" i="17"/>
  <c r="S37" i="17"/>
  <c r="C37" i="17"/>
  <c r="AU36" i="17"/>
  <c r="AE36" i="17"/>
  <c r="O36" i="17"/>
  <c r="BG35" i="17"/>
  <c r="AQ35" i="17"/>
  <c r="AA35" i="17"/>
  <c r="K35" i="17"/>
  <c r="BC34" i="17"/>
  <c r="AM34" i="17"/>
  <c r="W34" i="17"/>
  <c r="G34" i="17"/>
  <c r="AY33" i="17"/>
  <c r="AI33" i="17"/>
  <c r="S33" i="17"/>
  <c r="C33" i="17"/>
  <c r="AU32" i="17"/>
  <c r="AE32" i="17"/>
  <c r="O32" i="17"/>
  <c r="BG31" i="17"/>
  <c r="AQ31" i="17"/>
  <c r="AA31" i="17"/>
  <c r="K31" i="17"/>
  <c r="BC30" i="17"/>
  <c r="AM30" i="17"/>
  <c r="W30" i="17"/>
  <c r="G30" i="17"/>
  <c r="AY29" i="17"/>
  <c r="AI29" i="17"/>
  <c r="S29" i="17"/>
  <c r="C29" i="17"/>
  <c r="BB46" i="17"/>
  <c r="AL46" i="17"/>
  <c r="V46" i="17"/>
  <c r="F46" i="17"/>
  <c r="AX45" i="17"/>
  <c r="AH45" i="17"/>
  <c r="R45" i="17"/>
  <c r="AT44" i="17"/>
  <c r="AD44" i="17"/>
  <c r="N44" i="17"/>
  <c r="BF43" i="17"/>
  <c r="AP43" i="17"/>
  <c r="Z43" i="17"/>
  <c r="J43" i="17"/>
  <c r="BB42" i="17"/>
  <c r="AL42" i="17"/>
  <c r="V42" i="17"/>
  <c r="F42" i="17"/>
  <c r="AX41" i="17"/>
  <c r="AH41" i="17"/>
  <c r="R41" i="17"/>
  <c r="AT40" i="17"/>
  <c r="AD40" i="17"/>
  <c r="N40" i="17"/>
  <c r="BF39" i="17"/>
  <c r="AP39" i="17"/>
  <c r="Z39" i="17"/>
  <c r="J39" i="17"/>
  <c r="BB38" i="17"/>
  <c r="AL38" i="17"/>
  <c r="V38" i="17"/>
  <c r="F38" i="17"/>
  <c r="AX37" i="17"/>
  <c r="AH37" i="17"/>
  <c r="R37" i="17"/>
  <c r="AT36" i="17"/>
  <c r="AD36" i="17"/>
  <c r="N36" i="17"/>
  <c r="AZ46" i="17"/>
  <c r="AJ46" i="17"/>
  <c r="T46" i="17"/>
  <c r="D46" i="17"/>
  <c r="AV45" i="17"/>
  <c r="AF45" i="17"/>
  <c r="P45" i="17"/>
  <c r="BH44" i="17"/>
  <c r="AR44" i="17"/>
  <c r="AB44" i="17"/>
  <c r="L44" i="17"/>
  <c r="BD43" i="17"/>
  <c r="AN43" i="17"/>
  <c r="X43" i="17"/>
  <c r="H43" i="17"/>
  <c r="AZ42" i="17"/>
  <c r="AJ42" i="17"/>
  <c r="T42" i="17"/>
  <c r="D42" i="17"/>
  <c r="AV41" i="17"/>
  <c r="AF41" i="17"/>
  <c r="P41" i="17"/>
  <c r="BH40" i="17"/>
  <c r="AR40" i="17"/>
  <c r="AB40" i="17"/>
  <c r="L40" i="17"/>
  <c r="BD39" i="17"/>
  <c r="AN39" i="17"/>
  <c r="X39" i="17"/>
  <c r="H39" i="17"/>
  <c r="AZ38" i="17"/>
  <c r="AJ38" i="17"/>
  <c r="T38" i="17"/>
  <c r="D38" i="17"/>
  <c r="AV37" i="17"/>
  <c r="AF37" i="17"/>
  <c r="P37" i="17"/>
  <c r="BH36" i="17"/>
  <c r="AR36" i="17"/>
  <c r="AB36" i="17"/>
  <c r="L36" i="17"/>
  <c r="AY46" i="17"/>
  <c r="AI46" i="17"/>
  <c r="S46" i="17"/>
  <c r="C46" i="17"/>
  <c r="AU45" i="17"/>
  <c r="AE45" i="17"/>
  <c r="O45" i="17"/>
  <c r="BG44" i="17"/>
  <c r="AQ44" i="17"/>
  <c r="AA44" i="17"/>
  <c r="K44" i="17"/>
  <c r="BC43" i="17"/>
  <c r="AM43" i="17"/>
  <c r="W43" i="17"/>
  <c r="G43" i="17"/>
  <c r="AY42" i="17"/>
  <c r="AI42" i="17"/>
  <c r="S42" i="17"/>
  <c r="C42" i="17"/>
  <c r="AU41" i="17"/>
  <c r="AE41" i="17"/>
  <c r="O41" i="17"/>
  <c r="BG40" i="17"/>
  <c r="AQ40" i="17"/>
  <c r="AA40" i="17"/>
  <c r="K40" i="17"/>
  <c r="BC39" i="17"/>
  <c r="AM39" i="17"/>
  <c r="W39" i="17"/>
  <c r="G39" i="17"/>
  <c r="AY38" i="17"/>
  <c r="AI38" i="17"/>
  <c r="S38" i="17"/>
  <c r="C38" i="17"/>
  <c r="AU37" i="17"/>
  <c r="AE37" i="17"/>
  <c r="O37" i="17"/>
  <c r="BG36" i="17"/>
  <c r="AQ36" i="17"/>
  <c r="AA36" i="17"/>
  <c r="K36" i="17"/>
  <c r="BC35" i="17"/>
  <c r="AX46" i="17"/>
  <c r="AH46" i="17"/>
  <c r="R46" i="17"/>
  <c r="AT45" i="17"/>
  <c r="AD45" i="17"/>
  <c r="N45" i="17"/>
  <c r="BF44" i="17"/>
  <c r="AP44" i="17"/>
  <c r="Z44" i="17"/>
  <c r="J44" i="17"/>
  <c r="BB43" i="17"/>
  <c r="AL43" i="17"/>
  <c r="V43" i="17"/>
  <c r="F43" i="17"/>
  <c r="AX42" i="17"/>
  <c r="AH42" i="17"/>
  <c r="R42" i="17"/>
  <c r="AT41" i="17"/>
  <c r="AD41" i="17"/>
  <c r="N41" i="17"/>
  <c r="BF40" i="17"/>
  <c r="AP40" i="17"/>
  <c r="Z40" i="17"/>
  <c r="J40" i="17"/>
  <c r="BB39" i="17"/>
  <c r="AL39" i="17"/>
  <c r="V39" i="17"/>
  <c r="F39" i="17"/>
  <c r="AX38" i="17"/>
  <c r="AH38" i="17"/>
  <c r="R38" i="17"/>
  <c r="AT37" i="17"/>
  <c r="AD37" i="17"/>
  <c r="N37" i="17"/>
  <c r="BF36" i="17"/>
  <c r="AP36" i="17"/>
  <c r="Z36" i="17"/>
  <c r="J36" i="17"/>
  <c r="BB35" i="17"/>
  <c r="AL35" i="17"/>
  <c r="V35" i="17"/>
  <c r="F35" i="17"/>
  <c r="AX34" i="17"/>
  <c r="AH34" i="17"/>
  <c r="R34" i="17"/>
  <c r="AT33" i="17"/>
  <c r="AD33" i="17"/>
  <c r="N33" i="17"/>
  <c r="BF32" i="17"/>
  <c r="AP32" i="17"/>
  <c r="Z32" i="17"/>
  <c r="J32" i="17"/>
  <c r="BB31" i="17"/>
  <c r="AL31" i="17"/>
  <c r="V31" i="17"/>
  <c r="F31" i="17"/>
  <c r="AX30" i="17"/>
  <c r="AH30" i="17"/>
  <c r="R30" i="17"/>
  <c r="AT29" i="17"/>
  <c r="AD29" i="17"/>
  <c r="N29" i="17"/>
  <c r="BF28" i="17"/>
  <c r="AW46" i="17"/>
  <c r="AG46" i="17"/>
  <c r="Q46" i="17"/>
  <c r="BI45" i="17"/>
  <c r="AS45" i="17"/>
  <c r="AC45" i="17"/>
  <c r="M45" i="17"/>
  <c r="BE44" i="17"/>
  <c r="AO44" i="17"/>
  <c r="Y44" i="17"/>
  <c r="I44" i="17"/>
  <c r="BA43" i="17"/>
  <c r="AK43" i="17"/>
  <c r="U43" i="17"/>
  <c r="E43" i="17"/>
  <c r="AW42" i="17"/>
  <c r="AG42" i="17"/>
  <c r="Q42" i="17"/>
  <c r="BI41" i="17"/>
  <c r="AS41" i="17"/>
  <c r="AC41" i="17"/>
  <c r="M41" i="17"/>
  <c r="BE40" i="17"/>
  <c r="AO40" i="17"/>
  <c r="Y40" i="17"/>
  <c r="I40" i="17"/>
  <c r="BA39" i="17"/>
  <c r="AK39" i="17"/>
  <c r="U39" i="17"/>
  <c r="E39" i="17"/>
  <c r="AW38" i="17"/>
  <c r="AG38" i="17"/>
  <c r="Q38" i="17"/>
  <c r="BI37" i="17"/>
  <c r="AS37" i="17"/>
  <c r="AC37" i="17"/>
  <c r="M37" i="17"/>
  <c r="BE36" i="17"/>
  <c r="AO36" i="17"/>
  <c r="Y36" i="17"/>
  <c r="I36" i="17"/>
  <c r="BA35" i="17"/>
  <c r="AK35" i="17"/>
  <c r="U35" i="17"/>
  <c r="E35" i="17"/>
  <c r="AW34" i="17"/>
  <c r="AG34" i="17"/>
  <c r="Q34" i="17"/>
  <c r="BI33" i="17"/>
  <c r="AS33" i="17"/>
  <c r="AC33" i="17"/>
  <c r="M33" i="17"/>
  <c r="BE32" i="17"/>
  <c r="AO32" i="17"/>
  <c r="Y32" i="17"/>
  <c r="I32" i="17"/>
  <c r="BA31" i="17"/>
  <c r="AK31" i="17"/>
  <c r="U31" i="17"/>
  <c r="E31" i="17"/>
  <c r="AW30" i="17"/>
  <c r="AG30" i="17"/>
  <c r="Q30" i="17"/>
  <c r="BI29" i="17"/>
  <c r="AS29" i="17"/>
  <c r="AC29" i="17"/>
  <c r="M29" i="17"/>
  <c r="BE28" i="17"/>
  <c r="AO28" i="17"/>
  <c r="Y28" i="17"/>
  <c r="I28" i="17"/>
  <c r="BA27" i="17"/>
  <c r="AV46" i="17"/>
  <c r="AF46" i="17"/>
  <c r="P46" i="17"/>
  <c r="BH45" i="17"/>
  <c r="AR45" i="17"/>
  <c r="AB45" i="17"/>
  <c r="L45" i="17"/>
  <c r="BD44" i="17"/>
  <c r="AN44" i="17"/>
  <c r="X44" i="17"/>
  <c r="H44" i="17"/>
  <c r="AZ43" i="17"/>
  <c r="AJ43" i="17"/>
  <c r="T43" i="17"/>
  <c r="D43" i="17"/>
  <c r="AV42" i="17"/>
  <c r="AF42" i="17"/>
  <c r="P42" i="17"/>
  <c r="BH41" i="17"/>
  <c r="AR41" i="17"/>
  <c r="AB41" i="17"/>
  <c r="L41" i="17"/>
  <c r="BD40" i="17"/>
  <c r="AN40" i="17"/>
  <c r="X40" i="17"/>
  <c r="H40" i="17"/>
  <c r="AZ39" i="17"/>
  <c r="AJ39" i="17"/>
  <c r="T39" i="17"/>
  <c r="D39" i="17"/>
  <c r="AV38" i="17"/>
  <c r="AF38" i="17"/>
  <c r="P38" i="17"/>
  <c r="BH37" i="17"/>
  <c r="AR37" i="17"/>
  <c r="AB37" i="17"/>
  <c r="L37" i="17"/>
  <c r="BD36" i="17"/>
  <c r="AN36" i="17"/>
  <c r="X36" i="17"/>
  <c r="H36" i="17"/>
  <c r="AZ35" i="17"/>
  <c r="AJ35" i="17"/>
  <c r="AU46" i="17"/>
  <c r="AE46" i="17"/>
  <c r="O46" i="17"/>
  <c r="BG45" i="17"/>
  <c r="AQ45" i="17"/>
  <c r="AA45" i="17"/>
  <c r="K45" i="17"/>
  <c r="BC44" i="17"/>
  <c r="AM44" i="17"/>
  <c r="W44" i="17"/>
  <c r="G44" i="17"/>
  <c r="AY43" i="17"/>
  <c r="AI43" i="17"/>
  <c r="S43" i="17"/>
  <c r="C43" i="17"/>
  <c r="AU42" i="17"/>
  <c r="AE42" i="17"/>
  <c r="O42" i="17"/>
  <c r="BG41" i="17"/>
  <c r="AQ41" i="17"/>
  <c r="AA41" i="17"/>
  <c r="K41" i="17"/>
  <c r="BC40" i="17"/>
  <c r="AM40" i="17"/>
  <c r="W40" i="17"/>
  <c r="G40" i="17"/>
  <c r="AY39" i="17"/>
  <c r="AI39" i="17"/>
  <c r="S39" i="17"/>
  <c r="C39" i="17"/>
  <c r="AU38" i="17"/>
  <c r="AE38" i="17"/>
  <c r="O38" i="17"/>
  <c r="BG37" i="17"/>
  <c r="AQ37" i="17"/>
  <c r="AA37" i="17"/>
  <c r="K37" i="17"/>
  <c r="BC36" i="17"/>
  <c r="AM36" i="17"/>
  <c r="W36" i="17"/>
  <c r="G36" i="17"/>
  <c r="AY35" i="17"/>
  <c r="AT46" i="17"/>
  <c r="AD46" i="17"/>
  <c r="N46" i="17"/>
  <c r="BF45" i="17"/>
  <c r="AP45" i="17"/>
  <c r="Z45" i="17"/>
  <c r="J45" i="17"/>
  <c r="BB44" i="17"/>
  <c r="AL44" i="17"/>
  <c r="V44" i="17"/>
  <c r="F44" i="17"/>
  <c r="AX43" i="17"/>
  <c r="AH43" i="17"/>
  <c r="R43" i="17"/>
  <c r="AT42" i="17"/>
  <c r="AD42" i="17"/>
  <c r="N42" i="17"/>
  <c r="BF41" i="17"/>
  <c r="AP41" i="17"/>
  <c r="Z41" i="17"/>
  <c r="J41" i="17"/>
  <c r="BB40" i="17"/>
  <c r="AL40" i="17"/>
  <c r="V40" i="17"/>
  <c r="F40" i="17"/>
  <c r="AX39" i="17"/>
  <c r="AH39" i="17"/>
  <c r="R39" i="17"/>
  <c r="AT38" i="17"/>
  <c r="AD38" i="17"/>
  <c r="N38" i="17"/>
  <c r="BF37" i="17"/>
  <c r="AP37" i="17"/>
  <c r="Z37" i="17"/>
  <c r="J37" i="17"/>
  <c r="BB36" i="17"/>
  <c r="AL36" i="17"/>
  <c r="BI46" i="17"/>
  <c r="AS46" i="17"/>
  <c r="AC46" i="17"/>
  <c r="M46" i="17"/>
  <c r="BE45" i="17"/>
  <c r="AO45" i="17"/>
  <c r="Y45" i="17"/>
  <c r="I45" i="17"/>
  <c r="BA44" i="17"/>
  <c r="AK44" i="17"/>
  <c r="U44" i="17"/>
  <c r="E44" i="17"/>
  <c r="AW43" i="17"/>
  <c r="AG43" i="17"/>
  <c r="Q43" i="17"/>
  <c r="BI42" i="17"/>
  <c r="AS42" i="17"/>
  <c r="AC42" i="17"/>
  <c r="M42" i="17"/>
  <c r="BE41" i="17"/>
  <c r="AO41" i="17"/>
  <c r="Y41" i="17"/>
  <c r="I41" i="17"/>
  <c r="BA40" i="17"/>
  <c r="AK40" i="17"/>
  <c r="U40" i="17"/>
  <c r="E40" i="17"/>
  <c r="AW39" i="17"/>
  <c r="AG39" i="17"/>
  <c r="Q39" i="17"/>
  <c r="BI38" i="17"/>
  <c r="AS38" i="17"/>
  <c r="AC38" i="17"/>
  <c r="M38" i="17"/>
  <c r="BE37" i="17"/>
  <c r="AO37" i="17"/>
  <c r="Y37" i="17"/>
  <c r="I37" i="17"/>
  <c r="BA36" i="17"/>
  <c r="AK36" i="17"/>
  <c r="U36" i="17"/>
  <c r="E36" i="17"/>
  <c r="AW35" i="17"/>
  <c r="AG35" i="17"/>
  <c r="Q35" i="17"/>
  <c r="BI34" i="17"/>
  <c r="AS34" i="17"/>
  <c r="AC34" i="17"/>
  <c r="M34" i="17"/>
  <c r="BE33" i="17"/>
  <c r="AO33" i="17"/>
  <c r="Y33" i="17"/>
  <c r="I33" i="17"/>
  <c r="BA32" i="17"/>
  <c r="AK32" i="17"/>
  <c r="U32" i="17"/>
  <c r="E32" i="17"/>
  <c r="AW31" i="17"/>
  <c r="AG31" i="17"/>
  <c r="Q31" i="17"/>
  <c r="BI30" i="17"/>
  <c r="AS30" i="17"/>
  <c r="AC30" i="17"/>
  <c r="M30" i="17"/>
  <c r="BE29" i="17"/>
  <c r="AO29" i="17"/>
  <c r="Y29" i="17"/>
  <c r="I29" i="17"/>
  <c r="BH46" i="17"/>
  <c r="AR46" i="17"/>
  <c r="AB46" i="17"/>
  <c r="L46" i="17"/>
  <c r="BD45" i="17"/>
  <c r="AN45" i="17"/>
  <c r="X45" i="17"/>
  <c r="H45" i="17"/>
  <c r="AZ44" i="17"/>
  <c r="AJ44" i="17"/>
  <c r="T44" i="17"/>
  <c r="D44" i="17"/>
  <c r="AV43" i="17"/>
  <c r="AF43" i="17"/>
  <c r="P43" i="17"/>
  <c r="BH42" i="17"/>
  <c r="AR42" i="17"/>
  <c r="AB42" i="17"/>
  <c r="L42" i="17"/>
  <c r="BD41" i="17"/>
  <c r="AN41" i="17"/>
  <c r="X41" i="17"/>
  <c r="H41" i="17"/>
  <c r="AZ40" i="17"/>
  <c r="AJ40" i="17"/>
  <c r="T40" i="17"/>
  <c r="D40" i="17"/>
  <c r="AV39" i="17"/>
  <c r="AF39" i="17"/>
  <c r="P39" i="17"/>
  <c r="BH38" i="17"/>
  <c r="AR38" i="17"/>
  <c r="AB38" i="17"/>
  <c r="L38" i="17"/>
  <c r="BD37" i="17"/>
  <c r="AN37" i="17"/>
  <c r="X37" i="17"/>
  <c r="H37" i="17"/>
  <c r="AZ36" i="17"/>
  <c r="AJ36" i="17"/>
  <c r="T36" i="17"/>
  <c r="D36" i="17"/>
  <c r="BG46" i="17"/>
  <c r="AQ46" i="17"/>
  <c r="AA46" i="17"/>
  <c r="K46" i="17"/>
  <c r="BC45" i="17"/>
  <c r="AM45" i="17"/>
  <c r="W45" i="17"/>
  <c r="G45" i="17"/>
  <c r="AY44" i="17"/>
  <c r="AI44" i="17"/>
  <c r="S44" i="17"/>
  <c r="C44" i="17"/>
  <c r="AU43" i="17"/>
  <c r="AE43" i="17"/>
  <c r="O43" i="17"/>
  <c r="BG42" i="17"/>
  <c r="AQ42" i="17"/>
  <c r="AA42" i="17"/>
  <c r="K42" i="17"/>
  <c r="BC41" i="17"/>
  <c r="AM41" i="17"/>
  <c r="W41" i="17"/>
  <c r="G41" i="17"/>
  <c r="AY40" i="17"/>
  <c r="AI40" i="17"/>
  <c r="S40" i="17"/>
  <c r="C40" i="17"/>
  <c r="AU39" i="17"/>
  <c r="AE39" i="17"/>
  <c r="O39" i="17"/>
  <c r="BG38" i="17"/>
  <c r="AQ38" i="17"/>
  <c r="AA38" i="17"/>
  <c r="K38" i="17"/>
  <c r="BC37" i="17"/>
  <c r="AM37" i="17"/>
  <c r="W37" i="17"/>
  <c r="G37" i="17"/>
  <c r="AY36" i="17"/>
  <c r="AI36" i="17"/>
  <c r="S36" i="17"/>
  <c r="C36" i="17"/>
  <c r="Q45" i="17"/>
  <c r="I43" i="17"/>
  <c r="BI40" i="17"/>
  <c r="BA38" i="17"/>
  <c r="AS36" i="17"/>
  <c r="AO35" i="17"/>
  <c r="O35" i="17"/>
  <c r="AV34" i="17"/>
  <c r="V34" i="17"/>
  <c r="BF33" i="17"/>
  <c r="AF33" i="17"/>
  <c r="G33" i="17"/>
  <c r="AN32" i="17"/>
  <c r="N32" i="17"/>
  <c r="AX31" i="17"/>
  <c r="X31" i="17"/>
  <c r="BG30" i="17"/>
  <c r="AF30" i="17"/>
  <c r="F30" i="17"/>
  <c r="AP29" i="17"/>
  <c r="P29" i="17"/>
  <c r="AZ28" i="17"/>
  <c r="AF28" i="17"/>
  <c r="N28" i="17"/>
  <c r="BD27" i="17"/>
  <c r="AL27" i="17"/>
  <c r="V27" i="17"/>
  <c r="F27" i="17"/>
  <c r="AX26" i="17"/>
  <c r="AH26" i="17"/>
  <c r="R26" i="17"/>
  <c r="AT25" i="17"/>
  <c r="AD25" i="17"/>
  <c r="N25" i="17"/>
  <c r="BF24" i="17"/>
  <c r="AP24" i="17"/>
  <c r="Z24" i="17"/>
  <c r="J24" i="17"/>
  <c r="BB23" i="17"/>
  <c r="AL23" i="17"/>
  <c r="V23" i="17"/>
  <c r="F23" i="17"/>
  <c r="AX22" i="17"/>
  <c r="AH22" i="17"/>
  <c r="F45" i="17"/>
  <c r="BF42" i="17"/>
  <c r="AX40" i="17"/>
  <c r="AP38" i="17"/>
  <c r="AH36" i="17"/>
  <c r="AN35" i="17"/>
  <c r="N35" i="17"/>
  <c r="AU34" i="17"/>
  <c r="U34" i="17"/>
  <c r="BD33" i="17"/>
  <c r="AE33" i="17"/>
  <c r="F33" i="17"/>
  <c r="AM32" i="17"/>
  <c r="M32" i="17"/>
  <c r="AV31" i="17"/>
  <c r="W31" i="17"/>
  <c r="BF30" i="17"/>
  <c r="AE30" i="17"/>
  <c r="E30" i="17"/>
  <c r="AN29" i="17"/>
  <c r="O29" i="17"/>
  <c r="AY28" i="17"/>
  <c r="AE28" i="17"/>
  <c r="M28" i="17"/>
  <c r="BC27" i="17"/>
  <c r="AK27" i="17"/>
  <c r="U27" i="17"/>
  <c r="E27" i="17"/>
  <c r="AW26" i="17"/>
  <c r="AG26" i="17"/>
  <c r="Q26" i="17"/>
  <c r="BI25" i="17"/>
  <c r="AS25" i="17"/>
  <c r="AC25" i="17"/>
  <c r="M25" i="17"/>
  <c r="BE24" i="17"/>
  <c r="AO24" i="17"/>
  <c r="Y24" i="17"/>
  <c r="I24" i="17"/>
  <c r="BA23" i="17"/>
  <c r="AK23" i="17"/>
  <c r="U23" i="17"/>
  <c r="E23" i="17"/>
  <c r="AW22" i="17"/>
  <c r="AG22" i="17"/>
  <c r="Q22" i="17"/>
  <c r="BI21" i="17"/>
  <c r="AS21" i="17"/>
  <c r="AC21" i="17"/>
  <c r="M21" i="17"/>
  <c r="BE20" i="17"/>
  <c r="AO20" i="17"/>
  <c r="Y20" i="17"/>
  <c r="I20" i="17"/>
  <c r="BA19" i="17"/>
  <c r="AK19" i="17"/>
  <c r="U19" i="17"/>
  <c r="E19" i="17"/>
  <c r="AW18" i="17"/>
  <c r="AG18" i="17"/>
  <c r="Q18" i="17"/>
  <c r="BI17" i="17"/>
  <c r="AS17" i="17"/>
  <c r="AC17" i="17"/>
  <c r="M17" i="17"/>
  <c r="BE16" i="17"/>
  <c r="AO16" i="17"/>
  <c r="Y16" i="17"/>
  <c r="I16" i="17"/>
  <c r="BA15" i="17"/>
  <c r="AK15" i="17"/>
  <c r="U15" i="17"/>
  <c r="E15" i="17"/>
  <c r="AW14" i="17"/>
  <c r="AG14" i="17"/>
  <c r="Q14" i="17"/>
  <c r="BI13" i="17"/>
  <c r="AS13" i="17"/>
  <c r="AC13" i="17"/>
  <c r="M13" i="17"/>
  <c r="BE12" i="17"/>
  <c r="AO12" i="17"/>
  <c r="Y12" i="17"/>
  <c r="I12" i="17"/>
  <c r="BI44" i="17"/>
  <c r="BA42" i="17"/>
  <c r="AS40" i="17"/>
  <c r="AK38" i="17"/>
  <c r="AC36" i="17"/>
  <c r="AM35" i="17"/>
  <c r="J35" i="17"/>
  <c r="AT34" i="17"/>
  <c r="T34" i="17"/>
  <c r="BC33" i="17"/>
  <c r="AB33" i="17"/>
  <c r="AL32" i="17"/>
  <c r="L32" i="17"/>
  <c r="AU31" i="17"/>
  <c r="T31" i="17"/>
  <c r="BB30" i="17"/>
  <c r="AD30" i="17"/>
  <c r="D30" i="17"/>
  <c r="AM29" i="17"/>
  <c r="L29" i="17"/>
  <c r="AX28" i="17"/>
  <c r="AD28" i="17"/>
  <c r="L28" i="17"/>
  <c r="BB27" i="17"/>
  <c r="AJ27" i="17"/>
  <c r="T27" i="17"/>
  <c r="D27" i="17"/>
  <c r="AV26" i="17"/>
  <c r="AF26" i="17"/>
  <c r="P26" i="17"/>
  <c r="BH25" i="17"/>
  <c r="AR25" i="17"/>
  <c r="AB25" i="17"/>
  <c r="L25" i="17"/>
  <c r="BD24" i="17"/>
  <c r="AN24" i="17"/>
  <c r="X24" i="17"/>
  <c r="H24" i="17"/>
  <c r="AZ23" i="17"/>
  <c r="AJ23" i="17"/>
  <c r="T23" i="17"/>
  <c r="D23" i="17"/>
  <c r="AV22" i="17"/>
  <c r="AF22" i="17"/>
  <c r="BF46" i="17"/>
  <c r="AX44" i="17"/>
  <c r="AP42" i="17"/>
  <c r="AH40" i="17"/>
  <c r="Z38" i="17"/>
  <c r="V36" i="17"/>
  <c r="AI35" i="17"/>
  <c r="I35" i="17"/>
  <c r="AR34" i="17"/>
  <c r="S34" i="17"/>
  <c r="BB33" i="17"/>
  <c r="AA33" i="17"/>
  <c r="BI32" i="17"/>
  <c r="AJ32" i="17"/>
  <c r="K32" i="17"/>
  <c r="AT31" i="17"/>
  <c r="S31" i="17"/>
  <c r="BA30" i="17"/>
  <c r="AB30" i="17"/>
  <c r="C30" i="17"/>
  <c r="AL29" i="17"/>
  <c r="K29" i="17"/>
  <c r="AU28" i="17"/>
  <c r="AC28" i="17"/>
  <c r="K28" i="17"/>
  <c r="AZ27" i="17"/>
  <c r="AI27" i="17"/>
  <c r="S27" i="17"/>
  <c r="C27" i="17"/>
  <c r="AU26" i="17"/>
  <c r="AE26" i="17"/>
  <c r="O26" i="17"/>
  <c r="BG25" i="17"/>
  <c r="AQ25" i="17"/>
  <c r="AA25" i="17"/>
  <c r="K25" i="17"/>
  <c r="BC24" i="17"/>
  <c r="AM24" i="17"/>
  <c r="W24" i="17"/>
  <c r="G24" i="17"/>
  <c r="AY23" i="17"/>
  <c r="AI23" i="17"/>
  <c r="S23" i="17"/>
  <c r="C23" i="17"/>
  <c r="AU22" i="17"/>
  <c r="BA46" i="17"/>
  <c r="AS44" i="17"/>
  <c r="AK42" i="17"/>
  <c r="AC40" i="17"/>
  <c r="U38" i="17"/>
  <c r="R36" i="17"/>
  <c r="AH35" i="17"/>
  <c r="H35" i="17"/>
  <c r="AQ34" i="17"/>
  <c r="P34" i="17"/>
  <c r="AX33" i="17"/>
  <c r="Z33" i="17"/>
  <c r="BH32" i="17"/>
  <c r="AI32" i="17"/>
  <c r="H32" i="17"/>
  <c r="AP31" i="17"/>
  <c r="R31" i="17"/>
  <c r="AZ30" i="17"/>
  <c r="AA30" i="17"/>
  <c r="BH29" i="17"/>
  <c r="AH29" i="17"/>
  <c r="J29" i="17"/>
  <c r="AT28" i="17"/>
  <c r="AB28" i="17"/>
  <c r="J28" i="17"/>
  <c r="AY27" i="17"/>
  <c r="AH27" i="17"/>
  <c r="R27" i="17"/>
  <c r="AT26" i="17"/>
  <c r="AD26" i="17"/>
  <c r="N26" i="17"/>
  <c r="BF25" i="17"/>
  <c r="AP25" i="17"/>
  <c r="Z25" i="17"/>
  <c r="J25" i="17"/>
  <c r="BB24" i="17"/>
  <c r="AL24" i="17"/>
  <c r="V24" i="17"/>
  <c r="F24" i="17"/>
  <c r="AX23" i="17"/>
  <c r="AH23" i="17"/>
  <c r="R23" i="17"/>
  <c r="AT22" i="17"/>
  <c r="AP46" i="17"/>
  <c r="AH44" i="17"/>
  <c r="Z42" i="17"/>
  <c r="R40" i="17"/>
  <c r="J38" i="17"/>
  <c r="M36" i="17"/>
  <c r="AF35" i="17"/>
  <c r="G35" i="17"/>
  <c r="AP34" i="17"/>
  <c r="O34" i="17"/>
  <c r="AW33" i="17"/>
  <c r="X33" i="17"/>
  <c r="BG32" i="17"/>
  <c r="AH32" i="17"/>
  <c r="G32" i="17"/>
  <c r="AO31" i="17"/>
  <c r="P31" i="17"/>
  <c r="AY30" i="17"/>
  <c r="Z30" i="17"/>
  <c r="BG29" i="17"/>
  <c r="AG29" i="17"/>
  <c r="H29" i="17"/>
  <c r="AS28" i="17"/>
  <c r="AA28" i="17"/>
  <c r="H28" i="17"/>
  <c r="AX27" i="17"/>
  <c r="AG27" i="17"/>
  <c r="Q27" i="17"/>
  <c r="BI26" i="17"/>
  <c r="AS26" i="17"/>
  <c r="AC26" i="17"/>
  <c r="M26" i="17"/>
  <c r="BE25" i="17"/>
  <c r="AO25" i="17"/>
  <c r="Y25" i="17"/>
  <c r="I25" i="17"/>
  <c r="BA24" i="17"/>
  <c r="AK24" i="17"/>
  <c r="U24" i="17"/>
  <c r="E24" i="17"/>
  <c r="AW23" i="17"/>
  <c r="AG23" i="17"/>
  <c r="Q23" i="17"/>
  <c r="BI22" i="17"/>
  <c r="AS22" i="17"/>
  <c r="AC22" i="17"/>
  <c r="AK46" i="17"/>
  <c r="AC44" i="17"/>
  <c r="U42" i="17"/>
  <c r="M40" i="17"/>
  <c r="E38" i="17"/>
  <c r="F36" i="17"/>
  <c r="AE35" i="17"/>
  <c r="D35" i="17"/>
  <c r="AL34" i="17"/>
  <c r="N34" i="17"/>
  <c r="AV33" i="17"/>
  <c r="W33" i="17"/>
  <c r="BD32" i="17"/>
  <c r="AD32" i="17"/>
  <c r="F32" i="17"/>
  <c r="AN31" i="17"/>
  <c r="O31" i="17"/>
  <c r="AV30" i="17"/>
  <c r="V30" i="17"/>
  <c r="BF29" i="17"/>
  <c r="AF29" i="17"/>
  <c r="G29" i="17"/>
  <c r="AR28" i="17"/>
  <c r="Z28" i="17"/>
  <c r="G28" i="17"/>
  <c r="AW27" i="17"/>
  <c r="AF27" i="17"/>
  <c r="P27" i="17"/>
  <c r="BH26" i="17"/>
  <c r="AR26" i="17"/>
  <c r="AB26" i="17"/>
  <c r="L26" i="17"/>
  <c r="BD25" i="17"/>
  <c r="AN25" i="17"/>
  <c r="X25" i="17"/>
  <c r="H25" i="17"/>
  <c r="AZ24" i="17"/>
  <c r="AJ24" i="17"/>
  <c r="T24" i="17"/>
  <c r="D24" i="17"/>
  <c r="AV23" i="17"/>
  <c r="AF23" i="17"/>
  <c r="P23" i="17"/>
  <c r="BH22" i="17"/>
  <c r="AR22" i="17"/>
  <c r="AB22" i="17"/>
  <c r="L22" i="17"/>
  <c r="BD21" i="17"/>
  <c r="AN21" i="17"/>
  <c r="X21" i="17"/>
  <c r="H21" i="17"/>
  <c r="AZ20" i="17"/>
  <c r="AJ20" i="17"/>
  <c r="T20" i="17"/>
  <c r="D20" i="17"/>
  <c r="AV19" i="17"/>
  <c r="AF19" i="17"/>
  <c r="P19" i="17"/>
  <c r="BH18" i="17"/>
  <c r="AR18" i="17"/>
  <c r="AB18" i="17"/>
  <c r="L18" i="17"/>
  <c r="BD17" i="17"/>
  <c r="AN17" i="17"/>
  <c r="X17" i="17"/>
  <c r="H17" i="17"/>
  <c r="AZ16" i="17"/>
  <c r="AJ16" i="17"/>
  <c r="T16" i="17"/>
  <c r="D16" i="17"/>
  <c r="AV15" i="17"/>
  <c r="Z46" i="17"/>
  <c r="R44" i="17"/>
  <c r="J42" i="17"/>
  <c r="BB37" i="17"/>
  <c r="AD35" i="17"/>
  <c r="C35" i="17"/>
  <c r="AK34" i="17"/>
  <c r="L34" i="17"/>
  <c r="AU33" i="17"/>
  <c r="V33" i="17"/>
  <c r="BC32" i="17"/>
  <c r="AC32" i="17"/>
  <c r="D32" i="17"/>
  <c r="AM31" i="17"/>
  <c r="N31" i="17"/>
  <c r="AU30" i="17"/>
  <c r="U30" i="17"/>
  <c r="BD29" i="17"/>
  <c r="AE29" i="17"/>
  <c r="F29" i="17"/>
  <c r="AQ28" i="17"/>
  <c r="X28" i="17"/>
  <c r="F28" i="17"/>
  <c r="AV27" i="17"/>
  <c r="AE27" i="17"/>
  <c r="O27" i="17"/>
  <c r="BG26" i="17"/>
  <c r="AQ26" i="17"/>
  <c r="AA26" i="17"/>
  <c r="K26" i="17"/>
  <c r="BC25" i="17"/>
  <c r="AM25" i="17"/>
  <c r="W25" i="17"/>
  <c r="G25" i="17"/>
  <c r="AY24" i="17"/>
  <c r="AI24" i="17"/>
  <c r="S24" i="17"/>
  <c r="U46" i="17"/>
  <c r="M44" i="17"/>
  <c r="E42" i="17"/>
  <c r="BE39" i="17"/>
  <c r="AW37" i="17"/>
  <c r="BF35" i="17"/>
  <c r="Z35" i="17"/>
  <c r="AJ34" i="17"/>
  <c r="K34" i="17"/>
  <c r="AR33" i="17"/>
  <c r="R33" i="17"/>
  <c r="BB32" i="17"/>
  <c r="AB32" i="17"/>
  <c r="C32" i="17"/>
  <c r="AJ31" i="17"/>
  <c r="J31" i="17"/>
  <c r="AT30" i="17"/>
  <c r="T30" i="17"/>
  <c r="BC29" i="17"/>
  <c r="AB29" i="17"/>
  <c r="AP28" i="17"/>
  <c r="W28" i="17"/>
  <c r="E28" i="17"/>
  <c r="AU27" i="17"/>
  <c r="AD27" i="17"/>
  <c r="N27" i="17"/>
  <c r="BF26" i="17"/>
  <c r="AP26" i="17"/>
  <c r="Z26" i="17"/>
  <c r="J26" i="17"/>
  <c r="BB25" i="17"/>
  <c r="AL25" i="17"/>
  <c r="V25" i="17"/>
  <c r="F25" i="17"/>
  <c r="AX24" i="17"/>
  <c r="AH24" i="17"/>
  <c r="R24" i="17"/>
  <c r="AT23" i="17"/>
  <c r="J46" i="17"/>
  <c r="BB41" i="17"/>
  <c r="AT39" i="17"/>
  <c r="AL37" i="17"/>
  <c r="BE35" i="17"/>
  <c r="Y35" i="17"/>
  <c r="BH34" i="17"/>
  <c r="AI34" i="17"/>
  <c r="J34" i="17"/>
  <c r="AQ33" i="17"/>
  <c r="Q33" i="17"/>
  <c r="AZ32" i="17"/>
  <c r="AA32" i="17"/>
  <c r="AI31" i="17"/>
  <c r="I31" i="17"/>
  <c r="AR30" i="17"/>
  <c r="S30" i="17"/>
  <c r="BB29" i="17"/>
  <c r="AA29" i="17"/>
  <c r="BI28" i="17"/>
  <c r="AN28" i="17"/>
  <c r="V28" i="17"/>
  <c r="D28" i="17"/>
  <c r="AT27" i="17"/>
  <c r="AC27" i="17"/>
  <c r="M27" i="17"/>
  <c r="BE26" i="17"/>
  <c r="AO26" i="17"/>
  <c r="Y26" i="17"/>
  <c r="I26" i="17"/>
  <c r="BA25" i="17"/>
  <c r="AK25" i="17"/>
  <c r="U25" i="17"/>
  <c r="E25" i="17"/>
  <c r="AW24" i="17"/>
  <c r="AG24" i="17"/>
  <c r="Q24" i="17"/>
  <c r="BI23" i="17"/>
  <c r="AS23" i="17"/>
  <c r="AC23" i="17"/>
  <c r="M23" i="17"/>
  <c r="BE22" i="17"/>
  <c r="AO22" i="17"/>
  <c r="E46" i="17"/>
  <c r="BE43" i="17"/>
  <c r="AW41" i="17"/>
  <c r="AO39" i="17"/>
  <c r="AG37" i="17"/>
  <c r="BD35" i="17"/>
  <c r="X35" i="17"/>
  <c r="BG34" i="17"/>
  <c r="AF34" i="17"/>
  <c r="F34" i="17"/>
  <c r="AP33" i="17"/>
  <c r="P33" i="17"/>
  <c r="AY32" i="17"/>
  <c r="X32" i="17"/>
  <c r="BF31" i="17"/>
  <c r="AH31" i="17"/>
  <c r="H31" i="17"/>
  <c r="AQ30" i="17"/>
  <c r="P30" i="17"/>
  <c r="AX29" i="17"/>
  <c r="Z29" i="17"/>
  <c r="BH28" i="17"/>
  <c r="AM28" i="17"/>
  <c r="U28" i="17"/>
  <c r="C28" i="17"/>
  <c r="AR27" i="17"/>
  <c r="AB27" i="17"/>
  <c r="L27" i="17"/>
  <c r="BD26" i="17"/>
  <c r="AN26" i="17"/>
  <c r="X26" i="17"/>
  <c r="H26" i="17"/>
  <c r="AZ25" i="17"/>
  <c r="AJ25" i="17"/>
  <c r="T25" i="17"/>
  <c r="D25" i="17"/>
  <c r="AV24" i="17"/>
  <c r="AF24" i="17"/>
  <c r="P24" i="17"/>
  <c r="BH23" i="17"/>
  <c r="AR23" i="17"/>
  <c r="AB23" i="17"/>
  <c r="L23" i="17"/>
  <c r="BD22" i="17"/>
  <c r="AN22" i="17"/>
  <c r="X22" i="17"/>
  <c r="BB45" i="17"/>
  <c r="AT43" i="17"/>
  <c r="AL41" i="17"/>
  <c r="AD39" i="17"/>
  <c r="V37" i="17"/>
  <c r="AX35" i="17"/>
  <c r="W35" i="17"/>
  <c r="BF34" i="17"/>
  <c r="AE34" i="17"/>
  <c r="E34" i="17"/>
  <c r="AN33" i="17"/>
  <c r="O33" i="17"/>
  <c r="AX32" i="17"/>
  <c r="W32" i="17"/>
  <c r="BE31" i="17"/>
  <c r="AF31" i="17"/>
  <c r="G31" i="17"/>
  <c r="AP30" i="17"/>
  <c r="O30" i="17"/>
  <c r="AW29" i="17"/>
  <c r="X29" i="17"/>
  <c r="BG28" i="17"/>
  <c r="AL28" i="17"/>
  <c r="T28" i="17"/>
  <c r="AQ27" i="17"/>
  <c r="AA27" i="17"/>
  <c r="K27" i="17"/>
  <c r="BC26" i="17"/>
  <c r="AM26" i="17"/>
  <c r="W26" i="17"/>
  <c r="G26" i="17"/>
  <c r="AY25" i="17"/>
  <c r="AI25" i="17"/>
  <c r="S25" i="17"/>
  <c r="C25" i="17"/>
  <c r="AU24" i="17"/>
  <c r="AE24" i="17"/>
  <c r="O24" i="17"/>
  <c r="AW45" i="17"/>
  <c r="AO43" i="17"/>
  <c r="AG41" i="17"/>
  <c r="Y39" i="17"/>
  <c r="Q37" i="17"/>
  <c r="AV35" i="17"/>
  <c r="T35" i="17"/>
  <c r="BB34" i="17"/>
  <c r="AD34" i="17"/>
  <c r="D34" i="17"/>
  <c r="AM33" i="17"/>
  <c r="L33" i="17"/>
  <c r="AT32" i="17"/>
  <c r="V32" i="17"/>
  <c r="BD31" i="17"/>
  <c r="AE31" i="17"/>
  <c r="D31" i="17"/>
  <c r="AL30" i="17"/>
  <c r="N30" i="17"/>
  <c r="AV29" i="17"/>
  <c r="W29" i="17"/>
  <c r="BD28" i="17"/>
  <c r="AK28" i="17"/>
  <c r="S28" i="17"/>
  <c r="BH27" i="17"/>
  <c r="AP27" i="17"/>
  <c r="Z27" i="17"/>
  <c r="J27" i="17"/>
  <c r="BB26" i="17"/>
  <c r="AL26" i="17"/>
  <c r="V26" i="17"/>
  <c r="F26" i="17"/>
  <c r="AX25" i="17"/>
  <c r="AH25" i="17"/>
  <c r="R25" i="17"/>
  <c r="AT24" i="17"/>
  <c r="AD24" i="17"/>
  <c r="N24" i="17"/>
  <c r="BF23" i="17"/>
  <c r="AP23" i="17"/>
  <c r="Z23" i="17"/>
  <c r="J23" i="17"/>
  <c r="BB22" i="17"/>
  <c r="V45" i="17"/>
  <c r="N43" i="17"/>
  <c r="F41" i="17"/>
  <c r="BF38" i="17"/>
  <c r="AX36" i="17"/>
  <c r="AP35" i="17"/>
  <c r="P35" i="17"/>
  <c r="AY34" i="17"/>
  <c r="Z34" i="17"/>
  <c r="BG33" i="17"/>
  <c r="AG33" i="17"/>
  <c r="H33" i="17"/>
  <c r="AQ32" i="17"/>
  <c r="R32" i="17"/>
  <c r="AY31" i="17"/>
  <c r="Y31" i="17"/>
  <c r="BH30" i="17"/>
  <c r="AI30" i="17"/>
  <c r="J30" i="17"/>
  <c r="AQ29" i="17"/>
  <c r="Q29" i="17"/>
  <c r="BA28" i="17"/>
  <c r="AH28" i="17"/>
  <c r="O28" i="17"/>
  <c r="BE27" i="17"/>
  <c r="AM27" i="17"/>
  <c r="W27" i="17"/>
  <c r="G27" i="17"/>
  <c r="AY26" i="17"/>
  <c r="AI26" i="17"/>
  <c r="S26" i="17"/>
  <c r="C26" i="17"/>
  <c r="AU25" i="17"/>
  <c r="AE25" i="17"/>
  <c r="O25" i="17"/>
  <c r="BG24" i="17"/>
  <c r="AQ24" i="17"/>
  <c r="AA24" i="17"/>
  <c r="K24" i="17"/>
  <c r="BC23" i="17"/>
  <c r="AM23" i="17"/>
  <c r="W23" i="17"/>
  <c r="D5" i="17"/>
  <c r="T5" i="17"/>
  <c r="AJ5" i="17"/>
  <c r="AZ5" i="17"/>
  <c r="H6" i="17"/>
  <c r="X6" i="17"/>
  <c r="AN6" i="17"/>
  <c r="BD6" i="17"/>
  <c r="L7" i="17"/>
  <c r="AB7" i="17"/>
  <c r="AR7" i="17"/>
  <c r="BH7" i="17"/>
  <c r="P8" i="17"/>
  <c r="AF8" i="17"/>
  <c r="AV8" i="17"/>
  <c r="D9" i="17"/>
  <c r="T9" i="17"/>
  <c r="AJ9" i="17"/>
  <c r="AZ9" i="17"/>
  <c r="H10" i="17"/>
  <c r="X10" i="17"/>
  <c r="AN10" i="17"/>
  <c r="BD10" i="17"/>
  <c r="L11" i="17"/>
  <c r="AB11" i="17"/>
  <c r="AR11" i="17"/>
  <c r="BH11" i="17"/>
  <c r="Q12" i="17"/>
  <c r="AH12" i="17"/>
  <c r="AY12" i="17"/>
  <c r="H13" i="17"/>
  <c r="Y13" i="17"/>
  <c r="AP13" i="17"/>
  <c r="BG13" i="17"/>
  <c r="P14" i="17"/>
  <c r="AH14" i="17"/>
  <c r="AY14" i="17"/>
  <c r="H15" i="17"/>
  <c r="Y15" i="17"/>
  <c r="AP15" i="17"/>
  <c r="BH15" i="17"/>
  <c r="R16" i="17"/>
  <c r="AK16" i="17"/>
  <c r="BC16" i="17"/>
  <c r="N17" i="17"/>
  <c r="AF17" i="17"/>
  <c r="AX17" i="17"/>
  <c r="H18" i="17"/>
  <c r="Z18" i="17"/>
  <c r="AS18" i="17"/>
  <c r="C19" i="17"/>
  <c r="V19" i="17"/>
  <c r="AN19" i="17"/>
  <c r="BF19" i="17"/>
  <c r="P20" i="17"/>
  <c r="AH20" i="17"/>
  <c r="BA20" i="17"/>
  <c r="K21" i="17"/>
  <c r="AD21" i="17"/>
  <c r="AV21" i="17"/>
  <c r="F22" i="17"/>
  <c r="Y22" i="17"/>
  <c r="BF22" i="17"/>
  <c r="AU23" i="17"/>
  <c r="AG25" i="17"/>
  <c r="AO27" i="17"/>
  <c r="AK30" i="17"/>
  <c r="C34" i="17"/>
  <c r="AD43" i="17"/>
  <c r="A4" i="17"/>
  <c r="O23" i="13" s="1"/>
  <c r="E5" i="17"/>
  <c r="U5" i="17"/>
  <c r="AK5" i="17"/>
  <c r="BA5" i="17"/>
  <c r="I6" i="17"/>
  <c r="Y6" i="17"/>
  <c r="AO6" i="17"/>
  <c r="BE6" i="17"/>
  <c r="M7" i="17"/>
  <c r="AC7" i="17"/>
  <c r="AS7" i="17"/>
  <c r="BI7" i="17"/>
  <c r="Q8" i="17"/>
  <c r="AG8" i="17"/>
  <c r="AW8" i="17"/>
  <c r="E9" i="17"/>
  <c r="U9" i="17"/>
  <c r="AK9" i="17"/>
  <c r="BA9" i="17"/>
  <c r="I10" i="17"/>
  <c r="Y10" i="17"/>
  <c r="AO10" i="17"/>
  <c r="BE10" i="17"/>
  <c r="M11" i="17"/>
  <c r="AC11" i="17"/>
  <c r="AS11" i="17"/>
  <c r="BI11" i="17"/>
  <c r="R12" i="17"/>
  <c r="AI12" i="17"/>
  <c r="AZ12" i="17"/>
  <c r="I13" i="17"/>
  <c r="Z13" i="17"/>
  <c r="AQ13" i="17"/>
  <c r="BH13" i="17"/>
  <c r="R14" i="17"/>
  <c r="AI14" i="17"/>
  <c r="AZ14" i="17"/>
  <c r="I15" i="17"/>
  <c r="Z15" i="17"/>
  <c r="AQ15" i="17"/>
  <c r="BI15" i="17"/>
  <c r="S16" i="17"/>
  <c r="AL16" i="17"/>
  <c r="BD16" i="17"/>
  <c r="O17" i="17"/>
  <c r="AG17" i="17"/>
  <c r="AY17" i="17"/>
  <c r="I18" i="17"/>
  <c r="AA18" i="17"/>
  <c r="AT18" i="17"/>
  <c r="D19" i="17"/>
  <c r="W19" i="17"/>
  <c r="AO19" i="17"/>
  <c r="BG19" i="17"/>
  <c r="Q20" i="17"/>
  <c r="AI20" i="17"/>
  <c r="BB20" i="17"/>
  <c r="L21" i="17"/>
  <c r="AE21" i="17"/>
  <c r="AW21" i="17"/>
  <c r="G22" i="17"/>
  <c r="Z22" i="17"/>
  <c r="BG22" i="17"/>
  <c r="BD23" i="17"/>
  <c r="AV25" i="17"/>
  <c r="BF27" i="17"/>
  <c r="AA34" i="17"/>
  <c r="AG45" i="17"/>
  <c r="F5" i="17"/>
  <c r="V5" i="17"/>
  <c r="AL5" i="17"/>
  <c r="BB5" i="17"/>
  <c r="J6" i="17"/>
  <c r="Z6" i="17"/>
  <c r="AP6" i="17"/>
  <c r="BF6" i="17"/>
  <c r="N7" i="17"/>
  <c r="AD7" i="17"/>
  <c r="AT7" i="17"/>
  <c r="R8" i="17"/>
  <c r="AH8" i="17"/>
  <c r="AX8" i="17"/>
  <c r="F9" i="17"/>
  <c r="V9" i="17"/>
  <c r="AL9" i="17"/>
  <c r="BB9" i="17"/>
  <c r="J10" i="17"/>
  <c r="Z10" i="17"/>
  <c r="AP10" i="17"/>
  <c r="BF10" i="17"/>
  <c r="N11" i="17"/>
  <c r="AD11" i="17"/>
  <c r="AT11" i="17"/>
  <c r="S12" i="17"/>
  <c r="AJ12" i="17"/>
  <c r="BA12" i="17"/>
  <c r="J13" i="17"/>
  <c r="AA13" i="17"/>
  <c r="AR13" i="17"/>
  <c r="S14" i="17"/>
  <c r="AJ14" i="17"/>
  <c r="BA14" i="17"/>
  <c r="J15" i="17"/>
  <c r="AA15" i="17"/>
  <c r="AR15" i="17"/>
  <c r="U16" i="17"/>
  <c r="AM16" i="17"/>
  <c r="BF16" i="17"/>
  <c r="P17" i="17"/>
  <c r="AH17" i="17"/>
  <c r="AZ17" i="17"/>
  <c r="J18" i="17"/>
  <c r="AC18" i="17"/>
  <c r="AU18" i="17"/>
  <c r="F19" i="17"/>
  <c r="X19" i="17"/>
  <c r="AP19" i="17"/>
  <c r="BH19" i="17"/>
  <c r="R20" i="17"/>
  <c r="AK20" i="17"/>
  <c r="BC20" i="17"/>
  <c r="N21" i="17"/>
  <c r="AF21" i="17"/>
  <c r="AX21" i="17"/>
  <c r="H22" i="17"/>
  <c r="AA22" i="17"/>
  <c r="G23" i="17"/>
  <c r="BE23" i="17"/>
  <c r="AW25" i="17"/>
  <c r="BG27" i="17"/>
  <c r="C31" i="17"/>
  <c r="AB34" i="17"/>
  <c r="AL45" i="17"/>
  <c r="G5" i="17"/>
  <c r="W5" i="17"/>
  <c r="AM5" i="17"/>
  <c r="BC5" i="17"/>
  <c r="K6" i="17"/>
  <c r="AA6" i="17"/>
  <c r="AQ6" i="17"/>
  <c r="BG6" i="17"/>
  <c r="O7" i="17"/>
  <c r="AE7" i="17"/>
  <c r="AU7" i="17"/>
  <c r="C8" i="17"/>
  <c r="S8" i="17"/>
  <c r="AI8" i="17"/>
  <c r="AY8" i="17"/>
  <c r="G9" i="17"/>
  <c r="W9" i="17"/>
  <c r="AM9" i="17"/>
  <c r="BC9" i="17"/>
  <c r="K10" i="17"/>
  <c r="AA10" i="17"/>
  <c r="AQ10" i="17"/>
  <c r="BG10" i="17"/>
  <c r="O11" i="17"/>
  <c r="AE11" i="17"/>
  <c r="AU11" i="17"/>
  <c r="C12" i="17"/>
  <c r="T12" i="17"/>
  <c r="AK12" i="17"/>
  <c r="BB12" i="17"/>
  <c r="K13" i="17"/>
  <c r="AB13" i="17"/>
  <c r="AT13" i="17"/>
  <c r="C14" i="17"/>
  <c r="T14" i="17"/>
  <c r="AK14" i="17"/>
  <c r="BB14" i="17"/>
  <c r="K15" i="17"/>
  <c r="AB15" i="17"/>
  <c r="AS15" i="17"/>
  <c r="C16" i="17"/>
  <c r="V16" i="17"/>
  <c r="AN16" i="17"/>
  <c r="BG16" i="17"/>
  <c r="Q17" i="17"/>
  <c r="AI17" i="17"/>
  <c r="BA17" i="17"/>
  <c r="K18" i="17"/>
  <c r="AD18" i="17"/>
  <c r="AV18" i="17"/>
  <c r="G19" i="17"/>
  <c r="Y19" i="17"/>
  <c r="AQ19" i="17"/>
  <c r="BI19" i="17"/>
  <c r="S20" i="17"/>
  <c r="AL20" i="17"/>
  <c r="BD20" i="17"/>
  <c r="O21" i="17"/>
  <c r="AG21" i="17"/>
  <c r="AY21" i="17"/>
  <c r="I22" i="17"/>
  <c r="AD22" i="17"/>
  <c r="H23" i="17"/>
  <c r="BG23" i="17"/>
  <c r="D26" i="17"/>
  <c r="P28" i="17"/>
  <c r="Z31" i="17"/>
  <c r="AZ34" i="17"/>
  <c r="E6" i="22" a="1"/>
  <c r="E6" i="22" s="1"/>
  <c r="F6" i="22" a="1"/>
  <c r="F6" i="22" s="1"/>
  <c r="G6" i="22" a="1"/>
  <c r="G6" i="22" s="1"/>
  <c r="H6" i="22" a="1"/>
  <c r="H6" i="22" s="1"/>
  <c r="I6" i="22" a="1"/>
  <c r="I6" i="22" s="1"/>
  <c r="J6" i="22" a="1"/>
  <c r="J6" i="22" s="1"/>
  <c r="K6" i="22" a="1"/>
  <c r="K6" i="22" s="1"/>
  <c r="L6" i="22" a="1"/>
  <c r="L6" i="22" s="1"/>
  <c r="M6" i="22" a="1"/>
  <c r="M6" i="22" s="1"/>
  <c r="N6" i="22" a="1"/>
  <c r="N6" i="22" s="1"/>
  <c r="O6" i="22" a="1"/>
  <c r="O6" i="22" s="1"/>
  <c r="D6" i="22" a="1"/>
  <c r="D6" i="22" s="1"/>
  <c r="H5" i="17"/>
  <c r="X5" i="17"/>
  <c r="AN5" i="17"/>
  <c r="BD5" i="17"/>
  <c r="L6" i="17"/>
  <c r="AB6" i="17"/>
  <c r="AR6" i="17"/>
  <c r="BH6" i="17"/>
  <c r="P7" i="17"/>
  <c r="AF7" i="17"/>
  <c r="AV7" i="17"/>
  <c r="D8" i="17"/>
  <c r="T8" i="17"/>
  <c r="AJ8" i="17"/>
  <c r="AZ8" i="17"/>
  <c r="H9" i="17"/>
  <c r="X9" i="17"/>
  <c r="AN9" i="17"/>
  <c r="BD9" i="17"/>
  <c r="L10" i="17"/>
  <c r="AB10" i="17"/>
  <c r="AR10" i="17"/>
  <c r="BH10" i="17"/>
  <c r="P11" i="17"/>
  <c r="AF11" i="17"/>
  <c r="AV11" i="17"/>
  <c r="D12" i="17"/>
  <c r="U12" i="17"/>
  <c r="AL12" i="17"/>
  <c r="BC12" i="17"/>
  <c r="L13" i="17"/>
  <c r="AD13" i="17"/>
  <c r="AU13" i="17"/>
  <c r="D14" i="17"/>
  <c r="U14" i="17"/>
  <c r="AL14" i="17"/>
  <c r="BC14" i="17"/>
  <c r="L15" i="17"/>
  <c r="AC15" i="17"/>
  <c r="AT15" i="17"/>
  <c r="E16" i="17"/>
  <c r="W16" i="17"/>
  <c r="AP16" i="17"/>
  <c r="BH16" i="17"/>
  <c r="R17" i="17"/>
  <c r="AJ17" i="17"/>
  <c r="BB17" i="17"/>
  <c r="M18" i="17"/>
  <c r="AE18" i="17"/>
  <c r="AX18" i="17"/>
  <c r="H19" i="17"/>
  <c r="Z19" i="17"/>
  <c r="AR19" i="17"/>
  <c r="U20" i="17"/>
  <c r="AM20" i="17"/>
  <c r="BF20" i="17"/>
  <c r="P21" i="17"/>
  <c r="AH21" i="17"/>
  <c r="AZ21" i="17"/>
  <c r="J22" i="17"/>
  <c r="AE22" i="17"/>
  <c r="I23" i="17"/>
  <c r="C24" i="17"/>
  <c r="E26" i="17"/>
  <c r="R28" i="17"/>
  <c r="AD31" i="17"/>
  <c r="BA34" i="17"/>
  <c r="I5" i="17"/>
  <c r="Y5" i="17"/>
  <c r="AO5" i="17"/>
  <c r="BE5" i="17"/>
  <c r="M6" i="17"/>
  <c r="AC6" i="17"/>
  <c r="AS6" i="17"/>
  <c r="BI6" i="17"/>
  <c r="Q7" i="17"/>
  <c r="AG7" i="17"/>
  <c r="AW7" i="17"/>
  <c r="E8" i="17"/>
  <c r="U8" i="17"/>
  <c r="AK8" i="17"/>
  <c r="BA8" i="17"/>
  <c r="I9" i="17"/>
  <c r="Y9" i="17"/>
  <c r="AO9" i="17"/>
  <c r="BE9" i="17"/>
  <c r="M10" i="17"/>
  <c r="AC10" i="17"/>
  <c r="AS10" i="17"/>
  <c r="BI10" i="17"/>
  <c r="Q11" i="17"/>
  <c r="AG11" i="17"/>
  <c r="AW11" i="17"/>
  <c r="E12" i="17"/>
  <c r="V12" i="17"/>
  <c r="AM12" i="17"/>
  <c r="BD12" i="17"/>
  <c r="N13" i="17"/>
  <c r="AE13" i="17"/>
  <c r="AV13" i="17"/>
  <c r="E14" i="17"/>
  <c r="V14" i="17"/>
  <c r="AM14" i="17"/>
  <c r="BD14" i="17"/>
  <c r="M15" i="17"/>
  <c r="AD15" i="17"/>
  <c r="AU15" i="17"/>
  <c r="F16" i="17"/>
  <c r="X16" i="17"/>
  <c r="AQ16" i="17"/>
  <c r="BI16" i="17"/>
  <c r="S17" i="17"/>
  <c r="AK17" i="17"/>
  <c r="BC17" i="17"/>
  <c r="N18" i="17"/>
  <c r="AF18" i="17"/>
  <c r="AY18" i="17"/>
  <c r="I19" i="17"/>
  <c r="AA19" i="17"/>
  <c r="AS19" i="17"/>
  <c r="C20" i="17"/>
  <c r="V20" i="17"/>
  <c r="AN20" i="17"/>
  <c r="BG20" i="17"/>
  <c r="Q21" i="17"/>
  <c r="AI21" i="17"/>
  <c r="BA21" i="17"/>
  <c r="K22" i="17"/>
  <c r="AI22" i="17"/>
  <c r="K23" i="17"/>
  <c r="L24" i="17"/>
  <c r="T26" i="17"/>
  <c r="AI28" i="17"/>
  <c r="AZ31" i="17"/>
  <c r="R35" i="17"/>
  <c r="J5" i="17"/>
  <c r="Z5" i="17"/>
  <c r="AP5" i="17"/>
  <c r="BF5" i="17"/>
  <c r="N6" i="17"/>
  <c r="AD6" i="17"/>
  <c r="AT6" i="17"/>
  <c r="R7" i="17"/>
  <c r="AH7" i="17"/>
  <c r="AX7" i="17"/>
  <c r="F8" i="17"/>
  <c r="V8" i="17"/>
  <c r="AL8" i="17"/>
  <c r="BB8" i="17"/>
  <c r="J9" i="17"/>
  <c r="Z9" i="17"/>
  <c r="AP9" i="17"/>
  <c r="BF9" i="17"/>
  <c r="N10" i="17"/>
  <c r="AD10" i="17"/>
  <c r="AT10" i="17"/>
  <c r="R11" i="17"/>
  <c r="AH11" i="17"/>
  <c r="AX11" i="17"/>
  <c r="F12" i="17"/>
  <c r="W12" i="17"/>
  <c r="AN12" i="17"/>
  <c r="BF12" i="17"/>
  <c r="O13" i="17"/>
  <c r="AF13" i="17"/>
  <c r="AW13" i="17"/>
  <c r="F14" i="17"/>
  <c r="W14" i="17"/>
  <c r="AN14" i="17"/>
  <c r="BE14" i="17"/>
  <c r="N15" i="17"/>
  <c r="AE15" i="17"/>
  <c r="AW15" i="17"/>
  <c r="G16" i="17"/>
  <c r="Z16" i="17"/>
  <c r="AR16" i="17"/>
  <c r="T17" i="17"/>
  <c r="AL17" i="17"/>
  <c r="BE17" i="17"/>
  <c r="O18" i="17"/>
  <c r="AH18" i="17"/>
  <c r="AZ18" i="17"/>
  <c r="J19" i="17"/>
  <c r="AB19" i="17"/>
  <c r="AT19" i="17"/>
  <c r="E20" i="17"/>
  <c r="W20" i="17"/>
  <c r="AP20" i="17"/>
  <c r="BH20" i="17"/>
  <c r="R21" i="17"/>
  <c r="AJ21" i="17"/>
  <c r="BB21" i="17"/>
  <c r="M22" i="17"/>
  <c r="AJ22" i="17"/>
  <c r="N23" i="17"/>
  <c r="M24" i="17"/>
  <c r="U26" i="17"/>
  <c r="AJ28" i="17"/>
  <c r="BC31" i="17"/>
  <c r="S35" i="17"/>
  <c r="K5" i="17"/>
  <c r="AA5" i="17"/>
  <c r="AQ5" i="17"/>
  <c r="BG5" i="17"/>
  <c r="O6" i="17"/>
  <c r="AE6" i="17"/>
  <c r="AU6" i="17"/>
  <c r="C7" i="17"/>
  <c r="S7" i="17"/>
  <c r="AI7" i="17"/>
  <c r="AY7" i="17"/>
  <c r="G8" i="17"/>
  <c r="W8" i="17"/>
  <c r="AM8" i="17"/>
  <c r="BC8" i="17"/>
  <c r="K9" i="17"/>
  <c r="AA9" i="17"/>
  <c r="AQ9" i="17"/>
  <c r="BG9" i="17"/>
  <c r="O10" i="17"/>
  <c r="AE10" i="17"/>
  <c r="AU10" i="17"/>
  <c r="C11" i="17"/>
  <c r="S11" i="17"/>
  <c r="AI11" i="17"/>
  <c r="AY11" i="17"/>
  <c r="G12" i="17"/>
  <c r="X12" i="17"/>
  <c r="AP12" i="17"/>
  <c r="BG12" i="17"/>
  <c r="P13" i="17"/>
  <c r="AG13" i="17"/>
  <c r="AX13" i="17"/>
  <c r="G14" i="17"/>
  <c r="X14" i="17"/>
  <c r="AO14" i="17"/>
  <c r="BF14" i="17"/>
  <c r="O15" i="17"/>
  <c r="AF15" i="17"/>
  <c r="AX15" i="17"/>
  <c r="H16" i="17"/>
  <c r="AA16" i="17"/>
  <c r="AS16" i="17"/>
  <c r="C17" i="17"/>
  <c r="U17" i="17"/>
  <c r="AM17" i="17"/>
  <c r="BF17" i="17"/>
  <c r="P18" i="17"/>
  <c r="AI18" i="17"/>
  <c r="BA18" i="17"/>
  <c r="K19" i="17"/>
  <c r="AC19" i="17"/>
  <c r="AU19" i="17"/>
  <c r="F20" i="17"/>
  <c r="X20" i="17"/>
  <c r="AQ20" i="17"/>
  <c r="BI20" i="17"/>
  <c r="S21" i="17"/>
  <c r="AK21" i="17"/>
  <c r="BC21" i="17"/>
  <c r="N22" i="17"/>
  <c r="AK22" i="17"/>
  <c r="O23" i="17"/>
  <c r="AB24" i="17"/>
  <c r="AJ26" i="17"/>
  <c r="BB28" i="17"/>
  <c r="S32" i="17"/>
  <c r="AT35" i="17"/>
  <c r="AC23" i="13" l="1"/>
  <c r="AC22" i="13"/>
  <c r="G40" i="15"/>
  <c r="AE19" i="13"/>
  <c r="AE16" i="13"/>
  <c r="AE8" i="13"/>
  <c r="AE12" i="13"/>
  <c r="AE18" i="13"/>
  <c r="AE11" i="13"/>
  <c r="AE20" i="13"/>
  <c r="AE17" i="13"/>
  <c r="AE14" i="13"/>
  <c r="AE21" i="13"/>
  <c r="AE9" i="13"/>
  <c r="AE15" i="13"/>
  <c r="AE13" i="13"/>
  <c r="AE10" i="13"/>
  <c r="B65" i="17"/>
  <c r="B63" i="17"/>
  <c r="B62" i="17"/>
  <c r="B64" i="17"/>
  <c r="G39" i="15"/>
  <c r="G38" i="15"/>
  <c r="H690" i="13"/>
  <c r="H778" i="13"/>
  <c r="H792" i="13"/>
  <c r="H808" i="13"/>
  <c r="H824" i="13"/>
  <c r="H840" i="13"/>
  <c r="H856" i="13"/>
  <c r="H872" i="13"/>
  <c r="H888" i="13"/>
  <c r="H809" i="13"/>
  <c r="H841" i="13"/>
  <c r="H873" i="13"/>
  <c r="H861" i="13"/>
  <c r="H793" i="13"/>
  <c r="H779" i="13"/>
  <c r="H794" i="13"/>
  <c r="H810" i="13"/>
  <c r="H826" i="13"/>
  <c r="H842" i="13"/>
  <c r="H858" i="13"/>
  <c r="H874" i="13"/>
  <c r="H890" i="13"/>
  <c r="H812" i="13"/>
  <c r="H860" i="13"/>
  <c r="H892" i="13"/>
  <c r="H877" i="13"/>
  <c r="H795" i="13"/>
  <c r="H811" i="13"/>
  <c r="H827" i="13"/>
  <c r="H843" i="13"/>
  <c r="H859" i="13"/>
  <c r="H875" i="13"/>
  <c r="H891" i="13"/>
  <c r="H796" i="13"/>
  <c r="H828" i="13"/>
  <c r="H844" i="13"/>
  <c r="H876" i="13"/>
  <c r="H813" i="13"/>
  <c r="H894" i="13"/>
  <c r="H780" i="13"/>
  <c r="H781" i="13"/>
  <c r="H797" i="13"/>
  <c r="H829" i="13"/>
  <c r="H893" i="13"/>
  <c r="H782" i="13"/>
  <c r="H798" i="13"/>
  <c r="H814" i="13"/>
  <c r="H830" i="13"/>
  <c r="H846" i="13"/>
  <c r="H862" i="13"/>
  <c r="H783" i="13"/>
  <c r="H799" i="13"/>
  <c r="H815" i="13"/>
  <c r="H831" i="13"/>
  <c r="H847" i="13"/>
  <c r="H863" i="13"/>
  <c r="H879" i="13"/>
  <c r="H895" i="13"/>
  <c r="H803" i="13"/>
  <c r="H867" i="13"/>
  <c r="H820" i="13"/>
  <c r="H869" i="13"/>
  <c r="H784" i="13"/>
  <c r="H800" i="13"/>
  <c r="H816" i="13"/>
  <c r="H832" i="13"/>
  <c r="H848" i="13"/>
  <c r="H864" i="13"/>
  <c r="H880" i="13"/>
  <c r="H896" i="13"/>
  <c r="H835" i="13"/>
  <c r="H852" i="13"/>
  <c r="H785" i="13"/>
  <c r="H801" i="13"/>
  <c r="H817" i="13"/>
  <c r="H833" i="13"/>
  <c r="H849" i="13"/>
  <c r="H865" i="13"/>
  <c r="H881" i="13"/>
  <c r="H897" i="13"/>
  <c r="H819" i="13"/>
  <c r="H883" i="13"/>
  <c r="H836" i="13"/>
  <c r="H900" i="13"/>
  <c r="H885" i="13"/>
  <c r="H786" i="13"/>
  <c r="H802" i="13"/>
  <c r="H818" i="13"/>
  <c r="H834" i="13"/>
  <c r="H850" i="13"/>
  <c r="H866" i="13"/>
  <c r="H882" i="13"/>
  <c r="H898" i="13"/>
  <c r="H851" i="13"/>
  <c r="H899" i="13"/>
  <c r="H868" i="13"/>
  <c r="H787" i="13"/>
  <c r="H788" i="13"/>
  <c r="H804" i="13"/>
  <c r="H884" i="13"/>
  <c r="H789" i="13"/>
  <c r="H805" i="13"/>
  <c r="H821" i="13"/>
  <c r="H837" i="13"/>
  <c r="H853" i="13"/>
  <c r="H901" i="13"/>
  <c r="H790" i="13"/>
  <c r="H806" i="13"/>
  <c r="H822" i="13"/>
  <c r="H838" i="13"/>
  <c r="H854" i="13"/>
  <c r="H870" i="13"/>
  <c r="H886" i="13"/>
  <c r="H902" i="13"/>
  <c r="H791" i="13"/>
  <c r="H807" i="13"/>
  <c r="H823" i="13"/>
  <c r="H839" i="13"/>
  <c r="H855" i="13"/>
  <c r="H871" i="13"/>
  <c r="H887" i="13"/>
  <c r="H903" i="13"/>
  <c r="H825" i="13"/>
  <c r="H857" i="13"/>
  <c r="H889" i="13"/>
  <c r="H845" i="13"/>
  <c r="H878" i="13"/>
  <c r="B57" i="17"/>
  <c r="B55" i="17"/>
  <c r="B56" i="17"/>
  <c r="B61" i="17"/>
  <c r="B54" i="17"/>
  <c r="B60" i="17"/>
  <c r="B59" i="17"/>
  <c r="B58" i="17"/>
  <c r="AB23" i="13"/>
  <c r="AB22" i="13"/>
  <c r="Y22" i="13"/>
  <c r="AA22" i="13"/>
  <c r="S2" i="15"/>
  <c r="S42" i="15" s="1"/>
  <c r="R2" i="15"/>
  <c r="R42" i="15" s="1"/>
  <c r="Q2" i="15"/>
  <c r="Q42" i="15" s="1"/>
  <c r="Z22" i="13"/>
  <c r="G37" i="15"/>
  <c r="I691" i="13"/>
  <c r="I692" i="13" s="1"/>
  <c r="I693" i="13" s="1"/>
  <c r="I694" i="13" s="1"/>
  <c r="I695" i="13" s="1"/>
  <c r="I696" i="13" s="1"/>
  <c r="I697" i="13" s="1"/>
  <c r="I698" i="13" s="1"/>
  <c r="I699" i="13" s="1"/>
  <c r="I700" i="13" s="1"/>
  <c r="I701" i="13" s="1"/>
  <c r="I702" i="13" s="1"/>
  <c r="I703" i="13" s="1"/>
  <c r="I704" i="13" s="1"/>
  <c r="I705" i="13" s="1"/>
  <c r="I706" i="13" s="1"/>
  <c r="I707" i="13" s="1"/>
  <c r="I708" i="13" s="1"/>
  <c r="I709" i="13" s="1"/>
  <c r="I710" i="13" s="1"/>
  <c r="I711" i="13" s="1"/>
  <c r="I712" i="13" s="1"/>
  <c r="I713" i="13" s="1"/>
  <c r="I714" i="13" s="1"/>
  <c r="I715" i="13" s="1"/>
  <c r="I716" i="13" s="1"/>
  <c r="I717" i="13" s="1"/>
  <c r="I718" i="13" s="1"/>
  <c r="I719" i="13" s="1"/>
  <c r="I720" i="13" s="1"/>
  <c r="I721" i="13" s="1"/>
  <c r="I722" i="13" s="1"/>
  <c r="I723" i="13" s="1"/>
  <c r="I724" i="13" s="1"/>
  <c r="I725" i="13" s="1"/>
  <c r="I726" i="13" s="1"/>
  <c r="I727" i="13" s="1"/>
  <c r="I728" i="13" s="1"/>
  <c r="I729" i="13" s="1"/>
  <c r="I730" i="13" s="1"/>
  <c r="I731" i="13" s="1"/>
  <c r="I732" i="13" s="1"/>
  <c r="I733" i="13" s="1"/>
  <c r="I734" i="13" s="1"/>
  <c r="I735" i="13" s="1"/>
  <c r="I736" i="13" s="1"/>
  <c r="I737" i="13" s="1"/>
  <c r="I738" i="13" s="1"/>
  <c r="I739" i="13" s="1"/>
  <c r="I740" i="13" s="1"/>
  <c r="I741" i="13" s="1"/>
  <c r="I742" i="13" s="1"/>
  <c r="I743" i="13" s="1"/>
  <c r="I744" i="13" s="1"/>
  <c r="I745" i="13" s="1"/>
  <c r="I746" i="13" s="1"/>
  <c r="I747" i="13" s="1"/>
  <c r="I748" i="13" s="1"/>
  <c r="I749" i="13" s="1"/>
  <c r="I750" i="13" s="1"/>
  <c r="I751" i="13" s="1"/>
  <c r="I752" i="13" s="1"/>
  <c r="I753" i="13" s="1"/>
  <c r="I754" i="13" s="1"/>
  <c r="I755" i="13" s="1"/>
  <c r="I756" i="13" s="1"/>
  <c r="I757" i="13" s="1"/>
  <c r="I758" i="13" s="1"/>
  <c r="I759" i="13" s="1"/>
  <c r="I760" i="13" s="1"/>
  <c r="I761" i="13" s="1"/>
  <c r="I762" i="13" s="1"/>
  <c r="I763" i="13" s="1"/>
  <c r="I764" i="13" s="1"/>
  <c r="I765" i="13" s="1"/>
  <c r="I766" i="13" s="1"/>
  <c r="I767" i="13" s="1"/>
  <c r="I768" i="13" s="1"/>
  <c r="I769" i="13" s="1"/>
  <c r="I770" i="13" s="1"/>
  <c r="I771" i="13" s="1"/>
  <c r="I772" i="13" s="1"/>
  <c r="I773" i="13" s="1"/>
  <c r="I774" i="13" s="1"/>
  <c r="I775" i="13" s="1"/>
  <c r="I776" i="13" s="1"/>
  <c r="I777" i="13" s="1"/>
  <c r="I778" i="13" s="1"/>
  <c r="I779" i="13" s="1"/>
  <c r="I780" i="13" s="1"/>
  <c r="I781" i="13" s="1"/>
  <c r="I782" i="13" s="1"/>
  <c r="I783" i="13" s="1"/>
  <c r="I784" i="13" s="1"/>
  <c r="I785" i="13" s="1"/>
  <c r="I786" i="13" s="1"/>
  <c r="I787" i="13" s="1"/>
  <c r="I788" i="13" s="1"/>
  <c r="I789" i="13" s="1"/>
  <c r="I790" i="13" s="1"/>
  <c r="I791" i="13" s="1"/>
  <c r="I792" i="13" s="1"/>
  <c r="I793" i="13" s="1"/>
  <c r="I794" i="13" s="1"/>
  <c r="I795" i="13" s="1"/>
  <c r="I796" i="13" s="1"/>
  <c r="I797" i="13" s="1"/>
  <c r="I798" i="13" s="1"/>
  <c r="I799" i="13" s="1"/>
  <c r="I800" i="13" s="1"/>
  <c r="I801" i="13" s="1"/>
  <c r="I802" i="13" s="1"/>
  <c r="I803" i="13" s="1"/>
  <c r="I804" i="13" s="1"/>
  <c r="I805" i="13" s="1"/>
  <c r="I806" i="13" s="1"/>
  <c r="I807" i="13" s="1"/>
  <c r="I808" i="13" s="1"/>
  <c r="I809" i="13" s="1"/>
  <c r="I810" i="13" s="1"/>
  <c r="I811" i="13" s="1"/>
  <c r="I812" i="13" s="1"/>
  <c r="I813" i="13" s="1"/>
  <c r="I814" i="13" s="1"/>
  <c r="I815" i="13" s="1"/>
  <c r="I816" i="13" s="1"/>
  <c r="I817" i="13" s="1"/>
  <c r="I818" i="13" s="1"/>
  <c r="I819" i="13" s="1"/>
  <c r="I820" i="13" s="1"/>
  <c r="I821" i="13" s="1"/>
  <c r="I822" i="13" s="1"/>
  <c r="I823" i="13" s="1"/>
  <c r="I824" i="13" s="1"/>
  <c r="I825" i="13" s="1"/>
  <c r="I826" i="13" s="1"/>
  <c r="I827" i="13" s="1"/>
  <c r="I828" i="13" s="1"/>
  <c r="I829" i="13" s="1"/>
  <c r="I830" i="13" s="1"/>
  <c r="I831" i="13" s="1"/>
  <c r="I832" i="13" s="1"/>
  <c r="I833" i="13" s="1"/>
  <c r="I834" i="13" s="1"/>
  <c r="I835" i="13" s="1"/>
  <c r="I836" i="13" s="1"/>
  <c r="I837" i="13" s="1"/>
  <c r="I838" i="13" s="1"/>
  <c r="I839" i="13" s="1"/>
  <c r="I840" i="13" s="1"/>
  <c r="I841" i="13" s="1"/>
  <c r="I842" i="13" s="1"/>
  <c r="I843" i="13" s="1"/>
  <c r="I844" i="13" s="1"/>
  <c r="I845" i="13" s="1"/>
  <c r="I846" i="13" s="1"/>
  <c r="I847" i="13" s="1"/>
  <c r="I848" i="13" s="1"/>
  <c r="I849" i="13" s="1"/>
  <c r="I850" i="13" s="1"/>
  <c r="I851" i="13" s="1"/>
  <c r="I852" i="13" s="1"/>
  <c r="I853" i="13" s="1"/>
  <c r="I854" i="13" s="1"/>
  <c r="I855" i="13" s="1"/>
  <c r="I856" i="13" s="1"/>
  <c r="I857" i="13" s="1"/>
  <c r="I858" i="13" s="1"/>
  <c r="I859" i="13" s="1"/>
  <c r="I860" i="13" s="1"/>
  <c r="I861" i="13" s="1"/>
  <c r="I862" i="13" s="1"/>
  <c r="I863" i="13" s="1"/>
  <c r="I864" i="13" s="1"/>
  <c r="I865" i="13" s="1"/>
  <c r="I866" i="13" s="1"/>
  <c r="I867" i="13" s="1"/>
  <c r="I868" i="13" s="1"/>
  <c r="I869" i="13" s="1"/>
  <c r="I870" i="13" s="1"/>
  <c r="I871" i="13" s="1"/>
  <c r="I872" i="13" s="1"/>
  <c r="I873" i="13" s="1"/>
  <c r="I874" i="13" s="1"/>
  <c r="I875" i="13" s="1"/>
  <c r="I876" i="13" s="1"/>
  <c r="I877" i="13" s="1"/>
  <c r="I878" i="13" s="1"/>
  <c r="I879" i="13" s="1"/>
  <c r="I880" i="13" s="1"/>
  <c r="I881" i="13" s="1"/>
  <c r="I882" i="13" s="1"/>
  <c r="I883" i="13" s="1"/>
  <c r="I884" i="13" s="1"/>
  <c r="I885" i="13" s="1"/>
  <c r="I886" i="13" s="1"/>
  <c r="I887" i="13" s="1"/>
  <c r="I888" i="13" s="1"/>
  <c r="I889" i="13" s="1"/>
  <c r="I890" i="13" s="1"/>
  <c r="I891" i="13" s="1"/>
  <c r="I892" i="13" s="1"/>
  <c r="I893" i="13" s="1"/>
  <c r="I894" i="13" s="1"/>
  <c r="I895" i="13" s="1"/>
  <c r="I896" i="13" s="1"/>
  <c r="I897" i="13" s="1"/>
  <c r="I898" i="13" s="1"/>
  <c r="I899" i="13" s="1"/>
  <c r="I900" i="13" s="1"/>
  <c r="I901" i="13" s="1"/>
  <c r="I902" i="13" s="1"/>
  <c r="I903" i="13" s="1"/>
  <c r="I690" i="13"/>
  <c r="H667" i="13"/>
  <c r="H681" i="13"/>
  <c r="H698" i="13"/>
  <c r="H714" i="13"/>
  <c r="H730" i="13"/>
  <c r="H746" i="13"/>
  <c r="H762" i="13"/>
  <c r="H682" i="13"/>
  <c r="H699" i="13"/>
  <c r="H715" i="13"/>
  <c r="H731" i="13"/>
  <c r="H747" i="13"/>
  <c r="H763" i="13"/>
  <c r="H668" i="13"/>
  <c r="H683" i="13"/>
  <c r="H700" i="13"/>
  <c r="H716" i="13"/>
  <c r="H732" i="13"/>
  <c r="H748" i="13"/>
  <c r="H764" i="13"/>
  <c r="H684" i="13"/>
  <c r="H701" i="13"/>
  <c r="H717" i="13"/>
  <c r="H733" i="13"/>
  <c r="H749" i="13"/>
  <c r="H765" i="13"/>
  <c r="H669" i="13"/>
  <c r="H685" i="13"/>
  <c r="H702" i="13"/>
  <c r="H718" i="13"/>
  <c r="H734" i="13"/>
  <c r="H750" i="13"/>
  <c r="H766" i="13"/>
  <c r="H670" i="13"/>
  <c r="H686" i="13"/>
  <c r="H703" i="13"/>
  <c r="H719" i="13"/>
  <c r="H735" i="13"/>
  <c r="H751" i="13"/>
  <c r="H767" i="13"/>
  <c r="H671" i="13"/>
  <c r="H687" i="13"/>
  <c r="H704" i="13"/>
  <c r="H720" i="13"/>
  <c r="H736" i="13"/>
  <c r="H752" i="13"/>
  <c r="H768" i="13"/>
  <c r="H672" i="13"/>
  <c r="H688" i="13"/>
  <c r="H705" i="13"/>
  <c r="H721" i="13"/>
  <c r="H737" i="13"/>
  <c r="H753" i="13"/>
  <c r="H769" i="13"/>
  <c r="H673" i="13"/>
  <c r="H689" i="13"/>
  <c r="H706" i="13"/>
  <c r="H722" i="13"/>
  <c r="H738" i="13"/>
  <c r="H754" i="13"/>
  <c r="H770" i="13"/>
  <c r="H674" i="13"/>
  <c r="H691" i="13"/>
  <c r="H707" i="13"/>
  <c r="H723" i="13"/>
  <c r="H739" i="13"/>
  <c r="H755" i="13"/>
  <c r="H771" i="13"/>
  <c r="H675" i="13"/>
  <c r="H692" i="13"/>
  <c r="H708" i="13"/>
  <c r="H724" i="13"/>
  <c r="H740" i="13"/>
  <c r="H756" i="13"/>
  <c r="H772" i="13"/>
  <c r="H676" i="13"/>
  <c r="H693" i="13"/>
  <c r="H709" i="13"/>
  <c r="H725" i="13"/>
  <c r="H741" i="13"/>
  <c r="H757" i="13"/>
  <c r="H773" i="13"/>
  <c r="H677" i="13"/>
  <c r="H694" i="13"/>
  <c r="H710" i="13"/>
  <c r="H726" i="13"/>
  <c r="H742" i="13"/>
  <c r="H758" i="13"/>
  <c r="H774" i="13"/>
  <c r="H678" i="13"/>
  <c r="H695" i="13"/>
  <c r="H711" i="13"/>
  <c r="H727" i="13"/>
  <c r="H743" i="13"/>
  <c r="H759" i="13"/>
  <c r="H775" i="13"/>
  <c r="H679" i="13"/>
  <c r="H696" i="13"/>
  <c r="H712" i="13"/>
  <c r="H728" i="13"/>
  <c r="H744" i="13"/>
  <c r="H760" i="13"/>
  <c r="H776" i="13"/>
  <c r="H680" i="13"/>
  <c r="H697" i="13"/>
  <c r="H713" i="13"/>
  <c r="H729" i="13"/>
  <c r="H745" i="13"/>
  <c r="H761" i="13"/>
  <c r="H777" i="13"/>
  <c r="AA23" i="13"/>
  <c r="B51" i="17"/>
  <c r="B50" i="17"/>
  <c r="B53" i="17"/>
  <c r="B52" i="17"/>
  <c r="G25" i="15"/>
  <c r="E2" i="15"/>
  <c r="E42" i="15" s="1"/>
  <c r="D2" i="15" a="1"/>
  <c r="D2" i="15" s="1"/>
  <c r="G35" i="15"/>
  <c r="H557" i="13"/>
  <c r="H555" i="13"/>
  <c r="H556" i="13"/>
  <c r="O2" i="15"/>
  <c r="O42" i="15" s="1"/>
  <c r="P2" i="15"/>
  <c r="P42" i="15" s="1"/>
  <c r="G36" i="15"/>
  <c r="G31" i="15"/>
  <c r="G32" i="15"/>
  <c r="H591" i="13"/>
  <c r="H607" i="13"/>
  <c r="H623" i="13"/>
  <c r="H639" i="13"/>
  <c r="H655" i="13"/>
  <c r="H592" i="13"/>
  <c r="H608" i="13"/>
  <c r="H624" i="13"/>
  <c r="H640" i="13"/>
  <c r="H656" i="13"/>
  <c r="H578" i="13"/>
  <c r="H593" i="13"/>
  <c r="H609" i="13"/>
  <c r="H625" i="13"/>
  <c r="H641" i="13"/>
  <c r="H657" i="13"/>
  <c r="H594" i="13"/>
  <c r="H610" i="13"/>
  <c r="H626" i="13"/>
  <c r="H642" i="13"/>
  <c r="H658" i="13"/>
  <c r="H579" i="13"/>
  <c r="H595" i="13"/>
  <c r="H611" i="13"/>
  <c r="H627" i="13"/>
  <c r="H643" i="13"/>
  <c r="H659" i="13"/>
  <c r="H580" i="13"/>
  <c r="H596" i="13"/>
  <c r="H612" i="13"/>
  <c r="H628" i="13"/>
  <c r="H644" i="13"/>
  <c r="H660" i="13"/>
  <c r="H581" i="13"/>
  <c r="H597" i="13"/>
  <c r="H613" i="13"/>
  <c r="H629" i="13"/>
  <c r="H645" i="13"/>
  <c r="H661" i="13"/>
  <c r="H582" i="13"/>
  <c r="H598" i="13"/>
  <c r="H614" i="13"/>
  <c r="H630" i="13"/>
  <c r="H646" i="13"/>
  <c r="H662" i="13"/>
  <c r="H583" i="13"/>
  <c r="H599" i="13"/>
  <c r="H615" i="13"/>
  <c r="H631" i="13"/>
  <c r="H647" i="13"/>
  <c r="H663" i="13"/>
  <c r="H584" i="13"/>
  <c r="H600" i="13"/>
  <c r="H616" i="13"/>
  <c r="H632" i="13"/>
  <c r="H648" i="13"/>
  <c r="H664" i="13"/>
  <c r="H585" i="13"/>
  <c r="H601" i="13"/>
  <c r="H617" i="13"/>
  <c r="H633" i="13"/>
  <c r="H649" i="13"/>
  <c r="H665" i="13"/>
  <c r="H586" i="13"/>
  <c r="H602" i="13"/>
  <c r="H618" i="13"/>
  <c r="H634" i="13"/>
  <c r="H650" i="13"/>
  <c r="H666" i="13"/>
  <c r="H587" i="13"/>
  <c r="H603" i="13"/>
  <c r="H619" i="13"/>
  <c r="H635" i="13"/>
  <c r="H651" i="13"/>
  <c r="H588" i="13"/>
  <c r="H604" i="13"/>
  <c r="H620" i="13"/>
  <c r="H636" i="13"/>
  <c r="H652" i="13"/>
  <c r="H589" i="13"/>
  <c r="H605" i="13"/>
  <c r="H621" i="13"/>
  <c r="H637" i="13"/>
  <c r="H653" i="13"/>
  <c r="H590" i="13"/>
  <c r="H606" i="13"/>
  <c r="H622" i="13"/>
  <c r="H638" i="13"/>
  <c r="H654" i="13"/>
  <c r="G33" i="15"/>
  <c r="G30" i="15"/>
  <c r="G29" i="15"/>
  <c r="G34" i="15"/>
  <c r="B48" i="17"/>
  <c r="B49" i="17"/>
  <c r="B47" i="17"/>
  <c r="H10" i="22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Z23" i="13"/>
  <c r="H520" i="13"/>
  <c r="H536" i="13"/>
  <c r="H552" i="13"/>
  <c r="H505" i="13"/>
  <c r="H521" i="13"/>
  <c r="H537" i="13"/>
  <c r="H553" i="13"/>
  <c r="H522" i="13"/>
  <c r="H538" i="13"/>
  <c r="H554" i="13"/>
  <c r="H506" i="13"/>
  <c r="H523" i="13"/>
  <c r="H539" i="13"/>
  <c r="H507" i="13"/>
  <c r="H524" i="13"/>
  <c r="H540" i="13"/>
  <c r="H558" i="13"/>
  <c r="H508" i="13"/>
  <c r="H525" i="13"/>
  <c r="H541" i="13"/>
  <c r="H535" i="13"/>
  <c r="H509" i="13"/>
  <c r="H526" i="13"/>
  <c r="H542" i="13"/>
  <c r="H560" i="13"/>
  <c r="H551" i="13"/>
  <c r="H510" i="13"/>
  <c r="H527" i="13"/>
  <c r="H543" i="13"/>
  <c r="H561" i="13"/>
  <c r="H512" i="13"/>
  <c r="H528" i="13"/>
  <c r="H544" i="13"/>
  <c r="H562" i="13"/>
  <c r="H513" i="13"/>
  <c r="H529" i="13"/>
  <c r="H545" i="13"/>
  <c r="H550" i="13"/>
  <c r="H514" i="13"/>
  <c r="H530" i="13"/>
  <c r="H546" i="13"/>
  <c r="H519" i="13"/>
  <c r="H515" i="13"/>
  <c r="H531" i="13"/>
  <c r="H547" i="13"/>
  <c r="H516" i="13"/>
  <c r="H532" i="13"/>
  <c r="H548" i="13"/>
  <c r="H534" i="13"/>
  <c r="H517" i="13"/>
  <c r="H533" i="13"/>
  <c r="H549" i="13"/>
  <c r="H518" i="13"/>
  <c r="F20" i="22"/>
  <c r="P68" i="22"/>
  <c r="P69" i="22" s="1"/>
  <c r="P76" i="22"/>
  <c r="P77" i="22" s="1"/>
  <c r="P84" i="22"/>
  <c r="P85" i="22" s="1"/>
  <c r="P91" i="22"/>
  <c r="P92" i="22" s="1"/>
  <c r="P32" i="22"/>
  <c r="P33" i="22" s="1"/>
  <c r="P42" i="22"/>
  <c r="P43" i="22" s="1"/>
  <c r="P51" i="22"/>
  <c r="P52" i="22" s="1"/>
  <c r="P58" i="22"/>
  <c r="P59" i="22" s="1"/>
  <c r="D20" i="22"/>
  <c r="H27" i="22"/>
  <c r="G28" i="15"/>
  <c r="H468" i="13"/>
  <c r="H483" i="13"/>
  <c r="H499" i="13"/>
  <c r="H484" i="13"/>
  <c r="H500" i="13"/>
  <c r="H469" i="13"/>
  <c r="H485" i="13"/>
  <c r="H501" i="13"/>
  <c r="H470" i="13"/>
  <c r="H486" i="13"/>
  <c r="H502" i="13"/>
  <c r="H471" i="13"/>
  <c r="H487" i="13"/>
  <c r="H503" i="13"/>
  <c r="H472" i="13"/>
  <c r="H488" i="13"/>
  <c r="H504" i="13"/>
  <c r="H473" i="13"/>
  <c r="H489" i="13"/>
  <c r="H474" i="13"/>
  <c r="H490" i="13"/>
  <c r="H475" i="13"/>
  <c r="H491" i="13"/>
  <c r="H476" i="13"/>
  <c r="H492" i="13"/>
  <c r="H477" i="13"/>
  <c r="H493" i="13"/>
  <c r="H478" i="13"/>
  <c r="H494" i="13"/>
  <c r="H479" i="13"/>
  <c r="H495" i="13"/>
  <c r="H480" i="13"/>
  <c r="H496" i="13"/>
  <c r="H481" i="13"/>
  <c r="H497" i="13"/>
  <c r="H482" i="13"/>
  <c r="H498" i="13"/>
  <c r="G21" i="15"/>
  <c r="N27" i="22"/>
  <c r="D27" i="22"/>
  <c r="G5" i="15"/>
  <c r="I27" i="22"/>
  <c r="E27" i="22"/>
  <c r="F27" i="22"/>
  <c r="L27" i="22"/>
  <c r="G27" i="22"/>
  <c r="P26" i="22"/>
  <c r="J27" i="22"/>
  <c r="P25" i="22"/>
  <c r="O27" i="22"/>
  <c r="M27" i="22"/>
  <c r="K27" i="22"/>
  <c r="H447" i="13"/>
  <c r="H462" i="13"/>
  <c r="H463" i="13"/>
  <c r="H448" i="13"/>
  <c r="H464" i="13"/>
  <c r="H449" i="13"/>
  <c r="H465" i="13"/>
  <c r="H450" i="13"/>
  <c r="H466" i="13"/>
  <c r="H451" i="13"/>
  <c r="H467" i="13"/>
  <c r="H452" i="13"/>
  <c r="H453" i="13"/>
  <c r="H454" i="13"/>
  <c r="H455" i="13"/>
  <c r="H456" i="13"/>
  <c r="H457" i="13"/>
  <c r="H458" i="13"/>
  <c r="H460" i="13"/>
  <c r="H461" i="13"/>
  <c r="H459" i="13"/>
  <c r="G9" i="15"/>
  <c r="G12" i="15"/>
  <c r="G10" i="15"/>
  <c r="P24" i="22"/>
  <c r="L20" i="22"/>
  <c r="L10" i="22"/>
  <c r="K10" i="22"/>
  <c r="I20" i="22"/>
  <c r="O10" i="22"/>
  <c r="J20" i="22"/>
  <c r="K20" i="22"/>
  <c r="K95" i="22" s="1"/>
  <c r="J10" i="22"/>
  <c r="P9" i="22"/>
  <c r="P8" i="22"/>
  <c r="H20" i="22"/>
  <c r="M20" i="22"/>
  <c r="N20" i="22"/>
  <c r="E20" i="22"/>
  <c r="E95" i="22" s="1"/>
  <c r="P23" i="22"/>
  <c r="I10" i="22"/>
  <c r="N10" i="22"/>
  <c r="G20" i="22"/>
  <c r="P19" i="22"/>
  <c r="O20" i="22"/>
  <c r="M10" i="22"/>
  <c r="G17" i="15"/>
  <c r="P18" i="22"/>
  <c r="F10" i="22"/>
  <c r="G10" i="22"/>
  <c r="P14" i="22"/>
  <c r="U22" i="13"/>
  <c r="V22" i="13"/>
  <c r="T22" i="13"/>
  <c r="X23" i="13"/>
  <c r="G14" i="15"/>
  <c r="V23" i="13"/>
  <c r="G6" i="15"/>
  <c r="G16" i="15"/>
  <c r="G8" i="15"/>
  <c r="G3" i="15"/>
  <c r="G20" i="15"/>
  <c r="W23" i="13"/>
  <c r="G15" i="15"/>
  <c r="G24" i="15"/>
  <c r="U23" i="13"/>
  <c r="G7" i="15"/>
  <c r="G19" i="15"/>
  <c r="G18" i="15"/>
  <c r="T23" i="13"/>
  <c r="G11" i="15"/>
  <c r="S22" i="13"/>
  <c r="S23" i="13"/>
  <c r="Y23" i="13"/>
  <c r="G13" i="15"/>
  <c r="X22" i="13"/>
  <c r="W22" i="13"/>
  <c r="G4" i="15"/>
  <c r="G27" i="15"/>
  <c r="G26" i="15"/>
  <c r="J2" i="15"/>
  <c r="J42" i="15" s="1"/>
  <c r="H2" i="15"/>
  <c r="H42" i="15" s="1"/>
  <c r="F2" i="15"/>
  <c r="N2" i="15"/>
  <c r="N42" i="15" s="1"/>
  <c r="L2" i="15"/>
  <c r="L42" i="15" s="1"/>
  <c r="M2" i="15"/>
  <c r="M42" i="15" s="1"/>
  <c r="I2" i="15"/>
  <c r="I42" i="15" s="1"/>
  <c r="K2" i="15"/>
  <c r="K42" i="15" s="1"/>
  <c r="H436" i="13"/>
  <c r="H420" i="13"/>
  <c r="H404" i="13"/>
  <c r="H388" i="13"/>
  <c r="H372" i="13"/>
  <c r="H356" i="13"/>
  <c r="H340" i="13"/>
  <c r="H324" i="13"/>
  <c r="H308" i="13"/>
  <c r="H292" i="13"/>
  <c r="H276" i="13"/>
  <c r="H260" i="13"/>
  <c r="H244" i="13"/>
  <c r="H228" i="13"/>
  <c r="H212" i="13"/>
  <c r="H196" i="13"/>
  <c r="H180" i="13"/>
  <c r="H164" i="13"/>
  <c r="H151" i="13"/>
  <c r="H135" i="13"/>
  <c r="H119" i="13"/>
  <c r="H442" i="13"/>
  <c r="H426" i="13"/>
  <c r="H410" i="13"/>
  <c r="H394" i="13"/>
  <c r="H378" i="13"/>
  <c r="H362" i="13"/>
  <c r="H346" i="13"/>
  <c r="H330" i="13"/>
  <c r="H314" i="13"/>
  <c r="H298" i="13"/>
  <c r="H282" i="13"/>
  <c r="H266" i="13"/>
  <c r="H250" i="13"/>
  <c r="H234" i="13"/>
  <c r="H218" i="13"/>
  <c r="H202" i="13"/>
  <c r="H186" i="13"/>
  <c r="H170" i="13"/>
  <c r="H141" i="13"/>
  <c r="H125" i="13"/>
  <c r="H109" i="13"/>
  <c r="H93" i="13"/>
  <c r="H77" i="13"/>
  <c r="H61" i="13"/>
  <c r="H45" i="13"/>
  <c r="H29" i="13"/>
  <c r="H4" i="13"/>
  <c r="H432" i="13"/>
  <c r="H416" i="13"/>
  <c r="H400" i="13"/>
  <c r="H384" i="13"/>
  <c r="H368" i="13"/>
  <c r="H352" i="13"/>
  <c r="H336" i="13"/>
  <c r="H320" i="13"/>
  <c r="H304" i="13"/>
  <c r="H288" i="13"/>
  <c r="H272" i="13"/>
  <c r="H256" i="13"/>
  <c r="H240" i="13"/>
  <c r="H224" i="13"/>
  <c r="H208" i="13"/>
  <c r="H192" i="13"/>
  <c r="H176" i="13"/>
  <c r="H160" i="13"/>
  <c r="H147" i="13"/>
  <c r="H131" i="13"/>
  <c r="H115" i="13"/>
  <c r="H99" i="13"/>
  <c r="H83" i="13"/>
  <c r="H67" i="13"/>
  <c r="H51" i="13"/>
  <c r="H35" i="13"/>
  <c r="H6" i="13"/>
  <c r="H438" i="13"/>
  <c r="H422" i="13"/>
  <c r="H406" i="13"/>
  <c r="H390" i="13"/>
  <c r="H374" i="13"/>
  <c r="H358" i="13"/>
  <c r="H342" i="13"/>
  <c r="H326" i="13"/>
  <c r="H310" i="13"/>
  <c r="H294" i="13"/>
  <c r="H278" i="13"/>
  <c r="H262" i="13"/>
  <c r="H246" i="13"/>
  <c r="H230" i="13"/>
  <c r="H214" i="13"/>
  <c r="H198" i="13"/>
  <c r="H182" i="13"/>
  <c r="H166" i="13"/>
  <c r="H153" i="13"/>
  <c r="H137" i="13"/>
  <c r="H121" i="13"/>
  <c r="H444" i="13"/>
  <c r="H428" i="13"/>
  <c r="H412" i="13"/>
  <c r="H396" i="13"/>
  <c r="H380" i="13"/>
  <c r="H364" i="13"/>
  <c r="H348" i="13"/>
  <c r="H332" i="13"/>
  <c r="H316" i="13"/>
  <c r="H300" i="13"/>
  <c r="H284" i="13"/>
  <c r="H268" i="13"/>
  <c r="H252" i="13"/>
  <c r="H236" i="13"/>
  <c r="H220" i="13"/>
  <c r="H204" i="13"/>
  <c r="H188" i="13"/>
  <c r="H172" i="13"/>
  <c r="H156" i="13"/>
  <c r="H143" i="13"/>
  <c r="H127" i="13"/>
  <c r="H111" i="13"/>
  <c r="H434" i="13"/>
  <c r="H418" i="13"/>
  <c r="H402" i="13"/>
  <c r="H386" i="13"/>
  <c r="H370" i="13"/>
  <c r="H354" i="13"/>
  <c r="H338" i="13"/>
  <c r="H322" i="13"/>
  <c r="H306" i="13"/>
  <c r="H290" i="13"/>
  <c r="H274" i="13"/>
  <c r="H258" i="13"/>
  <c r="H242" i="13"/>
  <c r="H226" i="13"/>
  <c r="H210" i="13"/>
  <c r="H194" i="13"/>
  <c r="H178" i="13"/>
  <c r="H162" i="13"/>
  <c r="H149" i="13"/>
  <c r="H133" i="13"/>
  <c r="H117" i="13"/>
  <c r="H101" i="13"/>
  <c r="H85" i="13"/>
  <c r="H69" i="13"/>
  <c r="H53" i="13"/>
  <c r="H37" i="13"/>
  <c r="H440" i="13"/>
  <c r="H424" i="13"/>
  <c r="H408" i="13"/>
  <c r="H392" i="13"/>
  <c r="H376" i="13"/>
  <c r="H360" i="13"/>
  <c r="H344" i="13"/>
  <c r="H328" i="13"/>
  <c r="H312" i="13"/>
  <c r="H296" i="13"/>
  <c r="H280" i="13"/>
  <c r="H264" i="13"/>
  <c r="H248" i="13"/>
  <c r="H232" i="13"/>
  <c r="H216" i="13"/>
  <c r="H200" i="13"/>
  <c r="H184" i="13"/>
  <c r="H168" i="13"/>
  <c r="H139" i="13"/>
  <c r="H123" i="13"/>
  <c r="H107" i="13"/>
  <c r="H91" i="13"/>
  <c r="H75" i="13"/>
  <c r="H59" i="13"/>
  <c r="H43" i="13"/>
  <c r="H27" i="13"/>
  <c r="H5" i="13"/>
  <c r="H446" i="13"/>
  <c r="H430" i="13"/>
  <c r="H414" i="13"/>
  <c r="H398" i="13"/>
  <c r="H382" i="13"/>
  <c r="H366" i="13"/>
  <c r="H350" i="13"/>
  <c r="H334" i="13"/>
  <c r="H318" i="13"/>
  <c r="H302" i="13"/>
  <c r="H286" i="13"/>
  <c r="H270" i="13"/>
  <c r="H254" i="13"/>
  <c r="H238" i="13"/>
  <c r="H222" i="13"/>
  <c r="H206" i="13"/>
  <c r="H190" i="13"/>
  <c r="H174" i="13"/>
  <c r="H158" i="13"/>
  <c r="H145" i="13"/>
  <c r="H129" i="13"/>
  <c r="H113" i="13"/>
  <c r="H97" i="13"/>
  <c r="H81" i="13"/>
  <c r="H65" i="13"/>
  <c r="H49" i="13"/>
  <c r="H33" i="13"/>
  <c r="H104" i="13"/>
  <c r="H150" i="13"/>
  <c r="H146" i="13"/>
  <c r="H142" i="13"/>
  <c r="H138" i="13"/>
  <c r="H134" i="13"/>
  <c r="H435" i="13"/>
  <c r="H405" i="13"/>
  <c r="H371" i="13"/>
  <c r="H341" i="13"/>
  <c r="H307" i="13"/>
  <c r="H277" i="13"/>
  <c r="H243" i="13"/>
  <c r="H213" i="13"/>
  <c r="H179" i="13"/>
  <c r="H132" i="13"/>
  <c r="H128" i="13"/>
  <c r="H124" i="13"/>
  <c r="H120" i="13"/>
  <c r="H116" i="13"/>
  <c r="H112" i="13"/>
  <c r="H86" i="13"/>
  <c r="H42" i="13"/>
  <c r="H31" i="13"/>
  <c r="H443" i="13"/>
  <c r="H413" i="13"/>
  <c r="H379" i="13"/>
  <c r="H315" i="13"/>
  <c r="H251" i="13"/>
  <c r="H221" i="13"/>
  <c r="H157" i="13"/>
  <c r="H100" i="13"/>
  <c r="H417" i="13"/>
  <c r="H383" i="13"/>
  <c r="H289" i="13"/>
  <c r="H255" i="13"/>
  <c r="H225" i="13"/>
  <c r="H161" i="13"/>
  <c r="H144" i="13"/>
  <c r="H89" i="13"/>
  <c r="H421" i="13"/>
  <c r="H387" i="13"/>
  <c r="H357" i="13"/>
  <c r="H259" i="13"/>
  <c r="H148" i="13"/>
  <c r="H439" i="13"/>
  <c r="H409" i="13"/>
  <c r="H375" i="13"/>
  <c r="H345" i="13"/>
  <c r="H311" i="13"/>
  <c r="H281" i="13"/>
  <c r="H247" i="13"/>
  <c r="H217" i="13"/>
  <c r="H183" i="13"/>
  <c r="H136" i="13"/>
  <c r="H108" i="13"/>
  <c r="H82" i="13"/>
  <c r="H60" i="13"/>
  <c r="H19" i="13"/>
  <c r="H11" i="13"/>
  <c r="H349" i="13"/>
  <c r="H285" i="13"/>
  <c r="H187" i="13"/>
  <c r="H140" i="13"/>
  <c r="H78" i="13"/>
  <c r="H71" i="13"/>
  <c r="H38" i="13"/>
  <c r="H353" i="13"/>
  <c r="H319" i="13"/>
  <c r="H191" i="13"/>
  <c r="H96" i="13"/>
  <c r="H56" i="13"/>
  <c r="H34" i="13"/>
  <c r="H22" i="13"/>
  <c r="H14" i="13"/>
  <c r="H3" i="13"/>
  <c r="H323" i="13"/>
  <c r="H293" i="13"/>
  <c r="H229" i="13"/>
  <c r="H195" i="13"/>
  <c r="H165" i="13"/>
  <c r="H425" i="13"/>
  <c r="H391" i="13"/>
  <c r="H361" i="13"/>
  <c r="H327" i="13"/>
  <c r="H297" i="13"/>
  <c r="H263" i="13"/>
  <c r="H233" i="13"/>
  <c r="H199" i="13"/>
  <c r="H169" i="13"/>
  <c r="H152" i="13"/>
  <c r="H92" i="13"/>
  <c r="H48" i="13"/>
  <c r="H41" i="13"/>
  <c r="H17" i="13"/>
  <c r="H9" i="13"/>
  <c r="H433" i="13"/>
  <c r="H399" i="13"/>
  <c r="H369" i="13"/>
  <c r="H335" i="13"/>
  <c r="H305" i="13"/>
  <c r="H271" i="13"/>
  <c r="H241" i="13"/>
  <c r="H207" i="13"/>
  <c r="H177" i="13"/>
  <c r="H88" i="13"/>
  <c r="H20" i="13"/>
  <c r="H12" i="13"/>
  <c r="H403" i="13"/>
  <c r="H373" i="13"/>
  <c r="H309" i="13"/>
  <c r="H275" i="13"/>
  <c r="H245" i="13"/>
  <c r="H211" i="13"/>
  <c r="H130" i="13"/>
  <c r="H118" i="13"/>
  <c r="H114" i="13"/>
  <c r="H84" i="13"/>
  <c r="H62" i="13"/>
  <c r="H429" i="13"/>
  <c r="H395" i="13"/>
  <c r="H365" i="13"/>
  <c r="H331" i="13"/>
  <c r="H301" i="13"/>
  <c r="H267" i="13"/>
  <c r="H237" i="13"/>
  <c r="H203" i="13"/>
  <c r="H173" i="13"/>
  <c r="H103" i="13"/>
  <c r="H70" i="13"/>
  <c r="H26" i="13"/>
  <c r="H66" i="13"/>
  <c r="H44" i="13"/>
  <c r="H2" i="13"/>
  <c r="H437" i="13"/>
  <c r="H339" i="13"/>
  <c r="H126" i="13"/>
  <c r="H110" i="13"/>
  <c r="H95" i="13"/>
  <c r="H407" i="13"/>
  <c r="H377" i="13"/>
  <c r="H313" i="13"/>
  <c r="H279" i="13"/>
  <c r="H215" i="13"/>
  <c r="H185" i="13"/>
  <c r="H106" i="13"/>
  <c r="H80" i="13"/>
  <c r="H73" i="13"/>
  <c r="H181" i="13"/>
  <c r="H122" i="13"/>
  <c r="H55" i="13"/>
  <c r="H441" i="13"/>
  <c r="H343" i="13"/>
  <c r="H249" i="13"/>
  <c r="H40" i="13"/>
  <c r="H445" i="13"/>
  <c r="H411" i="13"/>
  <c r="H381" i="13"/>
  <c r="H347" i="13"/>
  <c r="H317" i="13"/>
  <c r="H283" i="13"/>
  <c r="H253" i="13"/>
  <c r="H219" i="13"/>
  <c r="H189" i="13"/>
  <c r="H155" i="13"/>
  <c r="H102" i="13"/>
  <c r="H58" i="13"/>
  <c r="H47" i="13"/>
  <c r="H36" i="13"/>
  <c r="H419" i="13"/>
  <c r="H389" i="13"/>
  <c r="H355" i="13"/>
  <c r="H325" i="13"/>
  <c r="H291" i="13"/>
  <c r="H94" i="13"/>
  <c r="H87" i="13"/>
  <c r="H54" i="13"/>
  <c r="H329" i="13"/>
  <c r="H265" i="13"/>
  <c r="H231" i="13"/>
  <c r="H72" i="13"/>
  <c r="H50" i="13"/>
  <c r="H28" i="13"/>
  <c r="H171" i="13"/>
  <c r="H79" i="13"/>
  <c r="H415" i="13"/>
  <c r="H385" i="13"/>
  <c r="H351" i="13"/>
  <c r="H321" i="13"/>
  <c r="H287" i="13"/>
  <c r="H257" i="13"/>
  <c r="H223" i="13"/>
  <c r="H193" i="13"/>
  <c r="H159" i="13"/>
  <c r="H98" i="13"/>
  <c r="H76" i="13"/>
  <c r="H32" i="13"/>
  <c r="H25" i="13"/>
  <c r="H18" i="13"/>
  <c r="H10" i="13"/>
  <c r="H261" i="13"/>
  <c r="H227" i="13"/>
  <c r="H197" i="13"/>
  <c r="H163" i="13"/>
  <c r="H423" i="13"/>
  <c r="H393" i="13"/>
  <c r="H359" i="13"/>
  <c r="H295" i="13"/>
  <c r="H201" i="13"/>
  <c r="H167" i="13"/>
  <c r="H21" i="13"/>
  <c r="H13" i="13"/>
  <c r="H397" i="13"/>
  <c r="H363" i="13"/>
  <c r="H333" i="13"/>
  <c r="H269" i="13"/>
  <c r="H90" i="13"/>
  <c r="H68" i="13"/>
  <c r="H39" i="13"/>
  <c r="H427" i="13"/>
  <c r="H299" i="13"/>
  <c r="H235" i="13"/>
  <c r="H205" i="13"/>
  <c r="H105" i="13"/>
  <c r="H46" i="13"/>
  <c r="H431" i="13"/>
  <c r="H209" i="13"/>
  <c r="H273" i="13"/>
  <c r="H64" i="13"/>
  <c r="H24" i="13"/>
  <c r="H74" i="13"/>
  <c r="H367" i="13"/>
  <c r="H16" i="13"/>
  <c r="H63" i="13"/>
  <c r="H303" i="13"/>
  <c r="H23" i="13"/>
  <c r="H8" i="13"/>
  <c r="H57" i="13"/>
  <c r="H52" i="13"/>
  <c r="H239" i="13"/>
  <c r="H15" i="13"/>
  <c r="H401" i="13"/>
  <c r="H175" i="13"/>
  <c r="H7" i="13"/>
  <c r="H337" i="13"/>
  <c r="H30" i="13"/>
  <c r="P7" i="22"/>
  <c r="D15" i="22"/>
  <c r="E10" i="22"/>
  <c r="P6" i="22"/>
  <c r="B44" i="17"/>
  <c r="B45" i="17"/>
  <c r="B31" i="17"/>
  <c r="B40" i="17"/>
  <c r="B46" i="17"/>
  <c r="B41" i="17"/>
  <c r="B25" i="17"/>
  <c r="B30" i="17"/>
  <c r="B36" i="17"/>
  <c r="B42" i="17"/>
  <c r="B37" i="17"/>
  <c r="B6" i="17"/>
  <c r="B8" i="17"/>
  <c r="B35" i="17"/>
  <c r="B38" i="17"/>
  <c r="B33" i="17"/>
  <c r="B10" i="17"/>
  <c r="D10" i="22"/>
  <c r="B12" i="17"/>
  <c r="BC4" i="17"/>
  <c r="AM4" i="17"/>
  <c r="W4" i="17"/>
  <c r="G4" i="17"/>
  <c r="BB4" i="17"/>
  <c r="AL4" i="17"/>
  <c r="V4" i="17"/>
  <c r="F4" i="17"/>
  <c r="BA4" i="17"/>
  <c r="AK4" i="17"/>
  <c r="U4" i="17"/>
  <c r="E4" i="17"/>
  <c r="AZ4" i="17"/>
  <c r="AJ4" i="17"/>
  <c r="T4" i="17"/>
  <c r="D4" i="17"/>
  <c r="AY4" i="17"/>
  <c r="AI4" i="17"/>
  <c r="S4" i="17"/>
  <c r="C4" i="17"/>
  <c r="C74" i="17" s="1"/>
  <c r="AX4" i="17"/>
  <c r="AH4" i="17"/>
  <c r="R4" i="17"/>
  <c r="AW4" i="17"/>
  <c r="AG4" i="17"/>
  <c r="Q4" i="17"/>
  <c r="AV4" i="17"/>
  <c r="AF4" i="17"/>
  <c r="P4" i="17"/>
  <c r="AU4" i="17"/>
  <c r="AE4" i="17"/>
  <c r="O4" i="17"/>
  <c r="AT4" i="17"/>
  <c r="AD4" i="17"/>
  <c r="N4" i="17"/>
  <c r="BI4" i="17"/>
  <c r="AS4" i="17"/>
  <c r="AC4" i="17"/>
  <c r="M4" i="17"/>
  <c r="O16" i="13"/>
  <c r="BH4" i="17"/>
  <c r="AR4" i="17"/>
  <c r="AB4" i="17"/>
  <c r="L4" i="17"/>
  <c r="O21" i="13"/>
  <c r="BG4" i="17"/>
  <c r="AQ4" i="17"/>
  <c r="AA4" i="17"/>
  <c r="K4" i="17"/>
  <c r="BF4" i="17"/>
  <c r="AP4" i="17"/>
  <c r="Z4" i="17"/>
  <c r="J4" i="17"/>
  <c r="H4" i="17"/>
  <c r="O22" i="13"/>
  <c r="BE4" i="17"/>
  <c r="BD4" i="17"/>
  <c r="AO4" i="17"/>
  <c r="AN4" i="17"/>
  <c r="Y4" i="17"/>
  <c r="X4" i="17"/>
  <c r="I4" i="17"/>
  <c r="B26" i="17"/>
  <c r="B29" i="17"/>
  <c r="B22" i="17"/>
  <c r="B20" i="17"/>
  <c r="B16" i="17"/>
  <c r="B34" i="17"/>
  <c r="B32" i="17"/>
  <c r="B19" i="17"/>
  <c r="B5" i="17"/>
  <c r="B18" i="17"/>
  <c r="B13" i="17"/>
  <c r="B27" i="17"/>
  <c r="B9" i="17"/>
  <c r="O12" i="13" s="1"/>
  <c r="B17" i="17"/>
  <c r="B28" i="17"/>
  <c r="B23" i="17"/>
  <c r="O8" i="13" s="1"/>
  <c r="B43" i="17"/>
  <c r="B21" i="17"/>
  <c r="B39" i="17"/>
  <c r="O9" i="13" s="1"/>
  <c r="B14" i="17"/>
  <c r="B7" i="17"/>
  <c r="B11" i="17"/>
  <c r="B24" i="17"/>
  <c r="B15" i="17"/>
  <c r="D51" i="18" l="1"/>
  <c r="D39" i="18"/>
  <c r="D47" i="18"/>
  <c r="D40" i="18"/>
  <c r="D43" i="18"/>
  <c r="D55" i="18"/>
  <c r="D59" i="18"/>
  <c r="D52" i="18"/>
  <c r="D56" i="18"/>
  <c r="D48" i="18"/>
  <c r="D44" i="18"/>
  <c r="D49" i="18"/>
  <c r="D53" i="18"/>
  <c r="D60" i="18"/>
  <c r="D41" i="18"/>
  <c r="D57" i="18"/>
  <c r="D45" i="18"/>
  <c r="D50" i="18"/>
  <c r="D54" i="18"/>
  <c r="D42" i="18"/>
  <c r="D58" i="18"/>
  <c r="D46" i="18"/>
  <c r="D38" i="18"/>
  <c r="D35" i="18"/>
  <c r="D36" i="18"/>
  <c r="D37" i="18"/>
  <c r="D33" i="18"/>
  <c r="D34" i="18"/>
  <c r="O11" i="13"/>
  <c r="S59" i="22"/>
  <c r="S52" i="22"/>
  <c r="S92" i="22"/>
  <c r="S14" i="22"/>
  <c r="D32" i="18"/>
  <c r="D5" i="18"/>
  <c r="S43" i="22"/>
  <c r="D12" i="18"/>
  <c r="D17" i="18"/>
  <c r="D21" i="18"/>
  <c r="S33" i="22"/>
  <c r="D7" i="18"/>
  <c r="D28" i="18"/>
  <c r="D20" i="18"/>
  <c r="D9" i="18"/>
  <c r="S85" i="22"/>
  <c r="D16" i="18"/>
  <c r="D25" i="18"/>
  <c r="D6" i="18"/>
  <c r="S77" i="22"/>
  <c r="D13" i="18"/>
  <c r="D18" i="18"/>
  <c r="D22" i="18"/>
  <c r="S69" i="22"/>
  <c r="D29" i="18"/>
  <c r="D10" i="18"/>
  <c r="D14" i="18"/>
  <c r="D26" i="18"/>
  <c r="D30" i="18"/>
  <c r="D19" i="18"/>
  <c r="D8" i="18"/>
  <c r="D15" i="18"/>
  <c r="D27" i="18"/>
  <c r="D23" i="18"/>
  <c r="D24" i="18"/>
  <c r="D11" i="18"/>
  <c r="D31" i="18"/>
  <c r="D4" i="18"/>
  <c r="F95" i="22"/>
  <c r="F96" i="22" s="1"/>
  <c r="H95" i="22"/>
  <c r="H96" i="22" s="1"/>
  <c r="L95" i="22"/>
  <c r="L96" i="22" s="1"/>
  <c r="G95" i="22"/>
  <c r="G96" i="22" s="1"/>
  <c r="O10" i="13"/>
  <c r="O17" i="13"/>
  <c r="O18" i="13" s="1"/>
  <c r="K96" i="22"/>
  <c r="N95" i="22"/>
  <c r="N96" i="22" s="1"/>
  <c r="J95" i="22"/>
  <c r="J96" i="22" s="1"/>
  <c r="M95" i="22"/>
  <c r="M96" i="22" s="1"/>
  <c r="I95" i="22"/>
  <c r="I96" i="22" s="1"/>
  <c r="O95" i="22"/>
  <c r="O96" i="22" s="1"/>
  <c r="P27" i="22"/>
  <c r="S27" i="22" s="1"/>
  <c r="D95" i="22"/>
  <c r="D96" i="22" s="1"/>
  <c r="P20" i="22"/>
  <c r="S20" i="22" s="1"/>
  <c r="E96" i="22"/>
  <c r="P10" i="22"/>
  <c r="P15" i="22"/>
  <c r="O5" i="13"/>
  <c r="O4" i="13"/>
  <c r="G2" i="15"/>
  <c r="G42" i="15" s="1"/>
  <c r="D2" i="18"/>
  <c r="B4" i="17"/>
  <c r="O24" i="13"/>
  <c r="D3" i="18"/>
  <c r="D75" i="17"/>
  <c r="O13" i="13" l="1"/>
  <c r="P95" i="22"/>
  <c r="P96" i="22" s="1"/>
  <c r="O6" i="13"/>
  <c r="E3" i="18"/>
  <c r="K3" i="18" s="1"/>
  <c r="E75" i="17"/>
  <c r="F75" i="17" s="1"/>
  <c r="G75" i="17" s="1"/>
  <c r="H75" i="17" s="1"/>
  <c r="I75" i="17" s="1"/>
  <c r="J75" i="17" s="1"/>
  <c r="K75" i="17" s="1"/>
  <c r="L75" i="17" s="1"/>
  <c r="M75" i="17" s="1"/>
  <c r="N75" i="17" s="1"/>
  <c r="O75" i="17" s="1"/>
  <c r="P75" i="17" s="1"/>
  <c r="Q75" i="17" s="1"/>
  <c r="R75" i="17" s="1"/>
  <c r="S75" i="17" s="1"/>
  <c r="T75" i="17" s="1"/>
  <c r="U75" i="17" s="1"/>
  <c r="V75" i="17" s="1"/>
  <c r="W75" i="17" s="1"/>
  <c r="X75" i="17" s="1"/>
  <c r="Y75" i="17" s="1"/>
  <c r="Z75" i="17" s="1"/>
  <c r="AA75" i="17" s="1"/>
  <c r="AB75" i="17" s="1"/>
  <c r="AC75" i="17" s="1"/>
  <c r="AD75" i="17" s="1"/>
  <c r="AE75" i="17" s="1"/>
  <c r="AF75" i="17" s="1"/>
  <c r="AG75" i="17" s="1"/>
  <c r="AH75" i="17" s="1"/>
  <c r="AI75" i="17" s="1"/>
  <c r="AJ75" i="17" s="1"/>
  <c r="AK75" i="17" s="1"/>
  <c r="AL75" i="17" s="1"/>
  <c r="AM75" i="17" s="1"/>
  <c r="AN75" i="17" s="1"/>
  <c r="AO75" i="17" s="1"/>
  <c r="AP75" i="17" s="1"/>
  <c r="AQ75" i="17" s="1"/>
  <c r="AR75" i="17" s="1"/>
  <c r="AS75" i="17" s="1"/>
  <c r="AT75" i="17" s="1"/>
  <c r="AU75" i="17" s="1"/>
  <c r="AV75" i="17" s="1"/>
  <c r="AW75" i="17" s="1"/>
  <c r="AX75" i="17" s="1"/>
  <c r="AY75" i="17" s="1"/>
  <c r="AZ75" i="17" s="1"/>
  <c r="BA75" i="17" s="1"/>
  <c r="BB75" i="17" s="1"/>
  <c r="BC75" i="17" s="1"/>
  <c r="BD75" i="17" s="1"/>
  <c r="BE75" i="17" s="1"/>
  <c r="BF75" i="17" s="1"/>
  <c r="BG75" i="17" s="1"/>
  <c r="BH75" i="17" s="1"/>
  <c r="BI75" i="17" s="1"/>
  <c r="E35" i="18" l="1"/>
  <c r="E4" i="18"/>
  <c r="K4" i="18" s="1"/>
  <c r="I3" i="18"/>
  <c r="H3" i="18" s="1"/>
  <c r="J3" i="18"/>
  <c r="E36" i="18" l="1"/>
  <c r="K36" i="18" s="1"/>
  <c r="J4" i="18"/>
  <c r="I4" i="18"/>
  <c r="H4" i="18" s="1"/>
  <c r="E5" i="18"/>
  <c r="K5" i="18" s="1"/>
  <c r="I36" i="18" l="1"/>
  <c r="J36" i="18"/>
  <c r="E37" i="18"/>
  <c r="K37" i="18" s="1"/>
  <c r="I5" i="18"/>
  <c r="H5" i="18" s="1"/>
  <c r="J5" i="18"/>
  <c r="E6" i="18"/>
  <c r="K6" i="18" s="1"/>
  <c r="E38" i="18" l="1"/>
  <c r="K38" i="18" s="1"/>
  <c r="I37" i="18"/>
  <c r="J37" i="18"/>
  <c r="J6" i="18"/>
  <c r="I6" i="18"/>
  <c r="H6" i="18" s="1"/>
  <c r="E7" i="18"/>
  <c r="K7" i="18" s="1"/>
  <c r="E39" i="18" l="1"/>
  <c r="K39" i="18" s="1"/>
  <c r="J38" i="18"/>
  <c r="I38" i="18"/>
  <c r="I7" i="18"/>
  <c r="H7" i="18" s="1"/>
  <c r="J7" i="18"/>
  <c r="E8" i="18"/>
  <c r="K8" i="18" s="1"/>
  <c r="J39" i="18" l="1"/>
  <c r="I39" i="18"/>
  <c r="E40" i="18"/>
  <c r="K40" i="18" s="1"/>
  <c r="J8" i="18"/>
  <c r="I8" i="18"/>
  <c r="H8" i="18" s="1"/>
  <c r="E9" i="18"/>
  <c r="K9" i="18" s="1"/>
  <c r="I40" i="18" l="1"/>
  <c r="J40" i="18"/>
  <c r="E41" i="18"/>
  <c r="K41" i="18" s="1"/>
  <c r="E10" i="18"/>
  <c r="K10" i="18" s="1"/>
  <c r="I9" i="18"/>
  <c r="H9" i="18" s="1"/>
  <c r="J9" i="18"/>
  <c r="E42" i="18" l="1"/>
  <c r="K42" i="18" s="1"/>
  <c r="E11" i="18"/>
  <c r="K11" i="18" s="1"/>
  <c r="J10" i="18"/>
  <c r="I10" i="18"/>
  <c r="H10" i="18" s="1"/>
  <c r="I42" i="18" l="1"/>
  <c r="J42" i="18"/>
  <c r="I41" i="18"/>
  <c r="J41" i="18"/>
  <c r="E43" i="18"/>
  <c r="K43" i="18" s="1"/>
  <c r="J11" i="18"/>
  <c r="I11" i="18"/>
  <c r="H11" i="18" s="1"/>
  <c r="E12" i="18"/>
  <c r="K12" i="18" s="1"/>
  <c r="I43" i="18" l="1"/>
  <c r="J43" i="18"/>
  <c r="E44" i="18"/>
  <c r="K44" i="18" s="1"/>
  <c r="J12" i="18"/>
  <c r="I12" i="18"/>
  <c r="H12" i="18" s="1"/>
  <c r="E13" i="18"/>
  <c r="K13" i="18" s="1"/>
  <c r="I44" i="18" l="1"/>
  <c r="J44" i="18"/>
  <c r="E45" i="18"/>
  <c r="K45" i="18" s="1"/>
  <c r="E14" i="18"/>
  <c r="K14" i="18" s="1"/>
  <c r="I13" i="18"/>
  <c r="H13" i="18" s="1"/>
  <c r="J13" i="18"/>
  <c r="I45" i="18" l="1"/>
  <c r="J45" i="18"/>
  <c r="E46" i="18"/>
  <c r="K46" i="18" s="1"/>
  <c r="E15" i="18"/>
  <c r="K15" i="18" s="1"/>
  <c r="J14" i="18"/>
  <c r="I14" i="18"/>
  <c r="H14" i="18" s="1"/>
  <c r="I46" i="18" l="1"/>
  <c r="J46" i="18"/>
  <c r="E47" i="18"/>
  <c r="K47" i="18" s="1"/>
  <c r="E16" i="18"/>
  <c r="K16" i="18" s="1"/>
  <c r="J15" i="18"/>
  <c r="I15" i="18"/>
  <c r="H15" i="18" s="1"/>
  <c r="I47" i="18" l="1"/>
  <c r="J47" i="18"/>
  <c r="E48" i="18"/>
  <c r="K48" i="18" s="1"/>
  <c r="J16" i="18"/>
  <c r="I16" i="18"/>
  <c r="H16" i="18" s="1"/>
  <c r="E17" i="18"/>
  <c r="K17" i="18" s="1"/>
  <c r="I48" i="18" l="1"/>
  <c r="J48" i="18"/>
  <c r="E49" i="18"/>
  <c r="K49" i="18" s="1"/>
  <c r="E18" i="18"/>
  <c r="K18" i="18" s="1"/>
  <c r="J17" i="18"/>
  <c r="I17" i="18"/>
  <c r="H17" i="18" s="1"/>
  <c r="I49" i="18" l="1"/>
  <c r="J49" i="18"/>
  <c r="E50" i="18"/>
  <c r="K50" i="18" s="1"/>
  <c r="J18" i="18"/>
  <c r="I18" i="18"/>
  <c r="H18" i="18" s="1"/>
  <c r="E19" i="18"/>
  <c r="K19" i="18" s="1"/>
  <c r="I50" i="18" l="1"/>
  <c r="J50" i="18"/>
  <c r="E51" i="18"/>
  <c r="K51" i="18" s="1"/>
  <c r="E20" i="18"/>
  <c r="K20" i="18" s="1"/>
  <c r="I19" i="18"/>
  <c r="H19" i="18" s="1"/>
  <c r="J19" i="18"/>
  <c r="I51" i="18" l="1"/>
  <c r="J51" i="18"/>
  <c r="E52" i="18"/>
  <c r="K52" i="18" s="1"/>
  <c r="J20" i="18"/>
  <c r="I20" i="18"/>
  <c r="H20" i="18" s="1"/>
  <c r="E21" i="18"/>
  <c r="K21" i="18" s="1"/>
  <c r="I52" i="18" l="1"/>
  <c r="J52" i="18"/>
  <c r="E53" i="18"/>
  <c r="K53" i="18" s="1"/>
  <c r="E22" i="18"/>
  <c r="K22" i="18" s="1"/>
  <c r="I21" i="18"/>
  <c r="H21" i="18" s="1"/>
  <c r="J21" i="18"/>
  <c r="I53" i="18" l="1"/>
  <c r="J53" i="18"/>
  <c r="E54" i="18"/>
  <c r="J22" i="18"/>
  <c r="I22" i="18"/>
  <c r="H22" i="18" s="1"/>
  <c r="E23" i="18"/>
  <c r="K23" i="18" s="1"/>
  <c r="E55" i="18" l="1"/>
  <c r="I23" i="18"/>
  <c r="H23" i="18" s="1"/>
  <c r="J23" i="18"/>
  <c r="E24" i="18"/>
  <c r="K24" i="18" s="1"/>
  <c r="E56" i="18" l="1"/>
  <c r="E25" i="18"/>
  <c r="K25" i="18" s="1"/>
  <c r="J24" i="18"/>
  <c r="I24" i="18"/>
  <c r="H24" i="18" s="1"/>
  <c r="E57" i="18" l="1"/>
  <c r="E26" i="18"/>
  <c r="K26" i="18" s="1"/>
  <c r="I25" i="18"/>
  <c r="H25" i="18" s="1"/>
  <c r="J25" i="18"/>
  <c r="E58" i="18" l="1"/>
  <c r="I26" i="18"/>
  <c r="H26" i="18" s="1"/>
  <c r="J26" i="18"/>
  <c r="E27" i="18"/>
  <c r="K27" i="18" s="1"/>
  <c r="E60" i="18" l="1"/>
  <c r="E59" i="18"/>
  <c r="J27" i="18"/>
  <c r="I27" i="18"/>
  <c r="H27" i="18" s="1"/>
  <c r="E28" i="18"/>
  <c r="K28" i="18" s="1"/>
  <c r="I28" i="18" l="1"/>
  <c r="H28" i="18" s="1"/>
  <c r="J28" i="18"/>
  <c r="E29" i="18"/>
  <c r="K29" i="18" s="1"/>
  <c r="E30" i="18" l="1"/>
  <c r="K30" i="18" s="1"/>
  <c r="I29" i="18"/>
  <c r="H29" i="18" s="1"/>
  <c r="J29" i="18"/>
  <c r="E31" i="18" l="1"/>
  <c r="K31" i="18" s="1"/>
  <c r="J30" i="18"/>
  <c r="I30" i="18"/>
  <c r="H30" i="18" s="1"/>
  <c r="E32" i="18" l="1"/>
  <c r="K32" i="18" s="1"/>
  <c r="I31" i="18"/>
  <c r="H31" i="18" s="1"/>
  <c r="J31" i="18"/>
  <c r="E34" i="18" l="1"/>
  <c r="E33" i="18"/>
  <c r="K33" i="18" s="1"/>
  <c r="I33" i="18" s="1"/>
  <c r="I32" i="18"/>
  <c r="H32" i="18" s="1"/>
  <c r="J32" i="18"/>
  <c r="K34" i="18" l="1"/>
  <c r="K35" i="18"/>
  <c r="I35" i="18" s="1"/>
  <c r="J33" i="18"/>
  <c r="H33" i="18"/>
  <c r="J35" i="18" l="1"/>
  <c r="I34" i="18"/>
  <c r="H34" i="18" s="1"/>
  <c r="J34" i="18"/>
  <c r="H35" i="18" l="1"/>
  <c r="H36" i="18" s="1"/>
  <c r="H37" i="18" s="1"/>
  <c r="H38" i="18" s="1"/>
  <c r="H39" i="18" s="1"/>
  <c r="H40" i="18" s="1"/>
  <c r="H41" i="18" l="1"/>
  <c r="H42" i="18" s="1"/>
  <c r="H43" i="18" s="1"/>
  <c r="H44" i="18" s="1"/>
  <c r="H45" i="18" s="1"/>
  <c r="H46" i="18" l="1"/>
  <c r="H47" i="18" s="1"/>
  <c r="H48" i="18" s="1"/>
  <c r="H49" i="18" s="1"/>
  <c r="H50" i="18" s="1"/>
  <c r="H51" i="18" s="1"/>
  <c r="H52" i="18" s="1"/>
  <c r="H53" i="1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<sst xmlns="http://schemas.openxmlformats.org/spreadsheetml/2006/main" count="3845" uniqueCount="1197">
  <si>
    <t>Description</t>
  </si>
  <si>
    <t>Amount</t>
  </si>
  <si>
    <t>Jan</t>
  </si>
  <si>
    <t>Income</t>
  </si>
  <si>
    <t>Monthly</t>
  </si>
  <si>
    <t>Weekly</t>
  </si>
  <si>
    <t>Spotify</t>
  </si>
  <si>
    <t>Netflix</t>
  </si>
  <si>
    <t>State Farm</t>
  </si>
  <si>
    <t>Crunchyroll</t>
  </si>
  <si>
    <t>Elephant</t>
  </si>
  <si>
    <t>Stimulus 1</t>
  </si>
  <si>
    <t>Stimulus 2</t>
  </si>
  <si>
    <t>Year</t>
  </si>
  <si>
    <t>Month</t>
  </si>
  <si>
    <t>Trans. date</t>
  </si>
  <si>
    <t>Post date</t>
  </si>
  <si>
    <t>Category</t>
  </si>
  <si>
    <t>Expense Type</t>
  </si>
  <si>
    <t>Cumulative</t>
  </si>
  <si>
    <t>Association</t>
  </si>
  <si>
    <t>INTERNET PAYMENT - THANK YOU</t>
  </si>
  <si>
    <t>Payments and Credits</t>
  </si>
  <si>
    <t>WAWA 697 STAFFORD VA</t>
  </si>
  <si>
    <t>Gasoline</t>
  </si>
  <si>
    <t>SPOTIFY P12D96D434 8777781161 NY</t>
  </si>
  <si>
    <t>APP</t>
  </si>
  <si>
    <t>Variable</t>
  </si>
  <si>
    <t>NETFLIX.COM NETFLIX.COM CA44115296471</t>
  </si>
  <si>
    <t>Fixed</t>
  </si>
  <si>
    <t>MYFICO COM 8003194433 GA</t>
  </si>
  <si>
    <t>Payment</t>
  </si>
  <si>
    <t>STATE FARM INSURANCE 800-956-6310 IL</t>
  </si>
  <si>
    <t>STEAMPOWERED.COM 425-952-2985 WA</t>
  </si>
  <si>
    <t>Neir Automata</t>
  </si>
  <si>
    <t>Jayelin</t>
  </si>
  <si>
    <t>LIVECAREER.COM 800652843 866-933-7587 PR</t>
  </si>
  <si>
    <t>Shevon</t>
  </si>
  <si>
    <t>RIVER RUN SHORT PUMP HENRICO VA</t>
  </si>
  <si>
    <t>THE MARKET @ 25TH RICHMOND VA</t>
  </si>
  <si>
    <t>AMERICA'S BEST WINGS HENRICO VA</t>
  </si>
  <si>
    <t>Restaurants</t>
  </si>
  <si>
    <t>GO DRAGON ASIAN GRILL RICHMOND VA</t>
  </si>
  <si>
    <t>CVS/PHARMACY #01988 RICHMOND VA</t>
  </si>
  <si>
    <t>LABCORP PSCC 2 800-845-6167 NC202101072171244</t>
  </si>
  <si>
    <t>Medical Services</t>
  </si>
  <si>
    <t>Doctor</t>
  </si>
  <si>
    <t>BINGO BEER CO - GAMES PE RICHMOND VA</t>
  </si>
  <si>
    <t>Akhil</t>
  </si>
  <si>
    <t>WALMART SC 07032 HENRICO VA</t>
  </si>
  <si>
    <t>APPLE.COM/BILL 866-712-7753 CAAPPLE PAY ENDING IN 4775MMW3T9K9KMA0</t>
  </si>
  <si>
    <t>FEDEX 782422707980 800-4633339 TN</t>
  </si>
  <si>
    <t>Services</t>
  </si>
  <si>
    <t>Darron</t>
  </si>
  <si>
    <t>FEDEX 782422725203 800-4633339 TN</t>
  </si>
  <si>
    <t>CASH APP*SHEVON LEW 415-375-3176 CA</t>
  </si>
  <si>
    <t>Family</t>
  </si>
  <si>
    <t>PAYPAL *ETCHEDACTUA 402-935-7733 CA</t>
  </si>
  <si>
    <t>FAMILY DOLLAR #5701 RICHMOND VA</t>
  </si>
  <si>
    <t>PAYPAL *VIZMEDIALLC 888-221-1161 CA</t>
  </si>
  <si>
    <t>EXXONMOBIL RICHMOND VA</t>
  </si>
  <si>
    <t>CASHBACK BONUS REDEMPTION PYMT/STMT CRDT</t>
  </si>
  <si>
    <t>Awards and Rebate Credits</t>
  </si>
  <si>
    <t>MCDONALD'S F17579 RICHMOND VA</t>
  </si>
  <si>
    <t>WALGREENS #3860 RICHMOND VA</t>
  </si>
  <si>
    <t>Draino</t>
  </si>
  <si>
    <t>Study</t>
  </si>
  <si>
    <t>AMZN MKTP US*0H4DK7EL3 AMZN.COM/BILLWA72J9EGRQCDU</t>
  </si>
  <si>
    <t>Merchandise</t>
  </si>
  <si>
    <t>Webcam</t>
  </si>
  <si>
    <t>SP * ILF, LLC 8888044453 TX</t>
  </si>
  <si>
    <t>Vincent</t>
  </si>
  <si>
    <t>Kaiya</t>
  </si>
  <si>
    <t>Griddle</t>
  </si>
  <si>
    <t>NETFLIX.COM NETFLIX.COM CA44925167830</t>
  </si>
  <si>
    <t>SPOTIFY P1343F2886 8777781161 NY</t>
  </si>
  <si>
    <t>PAYPAL *DAYNEINVEST 888-221-1161 CA</t>
  </si>
  <si>
    <t>Masks</t>
  </si>
  <si>
    <t>DIRECTPAY FULL BALANCESEE DETAILS OF YOUR NEXT DIRECTPAY BELOW</t>
  </si>
  <si>
    <t>CHIPOTLE 1975 RICHMOND VA</t>
  </si>
  <si>
    <t>KINGSISLE *PIRATE101 512-623-5983 TX00099RS900000000000000</t>
  </si>
  <si>
    <t>PP*PP ROKU FOR CRUNCHYR 402-935-7733 CA</t>
  </si>
  <si>
    <t>BEDBATH&amp;BEYOND GLEN ALLEN VA</t>
  </si>
  <si>
    <t>CITYPARKING INC 804-344-3353 VAAPPLE PAY ENDING IN 4775</t>
  </si>
  <si>
    <t>TST* 521 BISCUITS &amp; WAFF RICHMOND VAAPPLE PAY ENDING IN 4775</t>
  </si>
  <si>
    <t>WHOLEFDS WBS#10598 RICHMOND VA</t>
  </si>
  <si>
    <t>PUBLIX #1588 RICHMOND VA</t>
  </si>
  <si>
    <t>ABC*CRUNCH FITNESS 888-827-9262 VAABC*CRUNCH FITNESS</t>
  </si>
  <si>
    <t>DC CHARBROILED CHICKEN RICHMOND VA</t>
  </si>
  <si>
    <t>Travel/ Entertainment</t>
  </si>
  <si>
    <t>Supermarkets</t>
  </si>
  <si>
    <t>Education</t>
  </si>
  <si>
    <t>Don</t>
  </si>
  <si>
    <t>Credit Karma</t>
  </si>
  <si>
    <t>Webull</t>
  </si>
  <si>
    <t>APPLE.COM/BILL 866-712-7753 CAAPPLE PAY ENDING IN 4775MMW42NJ145A0</t>
  </si>
  <si>
    <t>BIRD APP 8662052442 CA</t>
  </si>
  <si>
    <t>APPLE.COM/BILL 866-712-7753 CAAPPLE PAY ENDING IN 4775MMW43JVXWTA0</t>
  </si>
  <si>
    <t>TARGET RICHMOND VA</t>
  </si>
  <si>
    <t>PUPATELLA 2 RICHMOND VA</t>
  </si>
  <si>
    <t>T-MOBILE PAYMENTS 800-937-8997 WAAPPLE PAY ENDING IN 4775T-MOBILE PAYMENTS</t>
  </si>
  <si>
    <t>WWW.WOLFRAMALPHA.COM 8009653726 IL</t>
  </si>
  <si>
    <t>KINGSISLE *PIRATE101 512-623-5983 TX0009CTVV00000000000000</t>
  </si>
  <si>
    <t>SUNOCO 0113723100 RICHMOND VA</t>
  </si>
  <si>
    <t>PAYPAL *WEBULL TECH 402-935-7733 CA</t>
  </si>
  <si>
    <t>COACHING ACTUARIES 8324128532 IA</t>
  </si>
  <si>
    <t>Pants</t>
  </si>
  <si>
    <t>Study tool</t>
  </si>
  <si>
    <t>Adapt</t>
  </si>
  <si>
    <t>IRS</t>
  </si>
  <si>
    <t>DISNEYPLUS 888-905-7888 CADISNEYPLUS</t>
  </si>
  <si>
    <t>APPLE.COM/BILL 866-712-7753 CAAPPLE PAY ENDING IN 4775MMW4751VM2A0</t>
  </si>
  <si>
    <t>PAYPAL *COUPLECENTS 402-935-7733 CA</t>
  </si>
  <si>
    <t>SHEETZ 267200026724498 WOODFORD VA</t>
  </si>
  <si>
    <t>TACO BELL #28942 DUMFRIES VA</t>
  </si>
  <si>
    <t>WWW.CVS.COM 800-746-7287 RI</t>
  </si>
  <si>
    <t>BP#2027845NINE MILE BP RICHMOND VA</t>
  </si>
  <si>
    <t>DEL SAUCE, LLC 8043821332 VA</t>
  </si>
  <si>
    <t>DEPARTMENT MOTOR VEHICLE RICHMOND VA</t>
  </si>
  <si>
    <t>Government Services</t>
  </si>
  <si>
    <t>NETFLIX.COM NETFLIX.COM CA45851809183</t>
  </si>
  <si>
    <t>SPOTIFY P13AFFEFC5 8777781161 NY</t>
  </si>
  <si>
    <t>PAYPAL *INTERACTIVE 402-935-7733 CA</t>
  </si>
  <si>
    <t>MELLOW MUSHROOM RICHMOND VA00637R</t>
  </si>
  <si>
    <t>PP*GOOGLE GOOGLE YOUTUB 402-935-7733 CA</t>
  </si>
  <si>
    <t>PP*GOOGLE YOUTUBE SUBSC 402-935-7733 CA</t>
  </si>
  <si>
    <t>PP*GOOGLE GOOGLE YOUTUB 4029357733 CA</t>
  </si>
  <si>
    <t>PP*GOOGLE YOUTUBE SUBSC 4029357733 CA</t>
  </si>
  <si>
    <t>BOTTOMS UP PIZZA RICHMOND VA</t>
  </si>
  <si>
    <t>TAKE 5 #232 RICHMOND VA</t>
  </si>
  <si>
    <t>Automotive</t>
  </si>
  <si>
    <t>WALMART SC 03885 RICHMOND VA</t>
  </si>
  <si>
    <t>FIREHOUSE SUBS 0302 QSR ALEXANDRIA VA</t>
  </si>
  <si>
    <t>LYFT *RIDE WED 1PM 855-865-9553 CA</t>
  </si>
  <si>
    <t>LYFT *RIDE WED 3PM 855-865-9553 CA</t>
  </si>
  <si>
    <t>IFM Seminar</t>
  </si>
  <si>
    <t>Oil Change</t>
  </si>
  <si>
    <t>Test Day</t>
  </si>
  <si>
    <t>Registration</t>
  </si>
  <si>
    <t>MCDONALD'S F20505 FALLS CHURCH VA</t>
  </si>
  <si>
    <t>MICRO CENTER FAIRFAX FAIRFAX VA</t>
  </si>
  <si>
    <t>PAYPAL *STEAM GAMES 402-935-7733 CA</t>
  </si>
  <si>
    <t>WALMART SC 03626 WINSTON SALEMNC</t>
  </si>
  <si>
    <t>APPLE.COM/BILL 111-111-1111 CAAPPLE PAY ENDING IN 4775</t>
  </si>
  <si>
    <t>PANDA EXPRESS #2551 GLEN ALLEN VA</t>
  </si>
  <si>
    <t>SHEETZ 245300024539498 WINSTON SALEMNC</t>
  </si>
  <si>
    <t>AMTRAK MOBILE 202-906-3000 DCAPPLE PAY ENDING IN 4775</t>
  </si>
  <si>
    <t>HARDEES 2401 SOUTH HILL VA</t>
  </si>
  <si>
    <t>APPLE.COM/BILL 866-712-7753 CAAPPLE PAY ENDING IN 4775MMW4FQTX7LA0</t>
  </si>
  <si>
    <t>EXXONMOBIL DINWIDDIE VA</t>
  </si>
  <si>
    <t>PAYPAL *FUBOTV 402-935-7733 CA</t>
  </si>
  <si>
    <t>FERSGUIDE, LLC GLEN ALLEN VA</t>
  </si>
  <si>
    <t>ALDI 80007 RICHMOND VA</t>
  </si>
  <si>
    <t>SKRIMP SHACK HENRICO VA</t>
  </si>
  <si>
    <t>AMTRAK NRTHEAST CAFE Q12 WASHINGTON DC</t>
  </si>
  <si>
    <t>MTA*NYCT PAYGO NEW YORK NYAPPLE PAY ENDING IN 4775004478427258</t>
  </si>
  <si>
    <t>MTA*NYCT PAYGO NEW YORK NYAPPLE PAY ENDING IN 4775004478446331</t>
  </si>
  <si>
    <t>MTA*NYCT PAYGO NEW YORK NYAPPLE PAY ENDING IN 4775004478908990</t>
  </si>
  <si>
    <t>DUANE READE #16555 NEW YORK NY</t>
  </si>
  <si>
    <t>KINGSISLE *PIRATE101 512-623-5983 TX0009FR6Y00000000000000</t>
  </si>
  <si>
    <t>MTA*NYCT PAYGO NEW YORK NYAPPLE PAY ENDING IN 4775004486762590</t>
  </si>
  <si>
    <t>NEW YORK KIMCHI NEW YORK NY</t>
  </si>
  <si>
    <t>DUANE READE #14112 NEW YORK NY</t>
  </si>
  <si>
    <t>FIVE GUYS-NY #1111 NEW YORK NY</t>
  </si>
  <si>
    <t>WARBY PARKER 8884927297 NY</t>
  </si>
  <si>
    <t>APPLE.COM/BILL 866-712-7753 CAAPPLE PAY ENDING IN 4775MMW4J0NDZNA0</t>
  </si>
  <si>
    <t>CHAMPS - 14244 NEW YORK NY</t>
  </si>
  <si>
    <t>MTA*NYCT PAYGO NEW YORK NYAPPLE PAY ENDING IN 4775004491147262</t>
  </si>
  <si>
    <t>MTA*NYCT PAYGO NEW YORK NYAPPLE PAY ENDING IN 4775004491797327</t>
  </si>
  <si>
    <t>DUANE READE #14524 NEW YORK NY</t>
  </si>
  <si>
    <t>MTA*NYCT PAYGO NEW YORK NYAPPLE PAY ENDING IN 4775004494678624</t>
  </si>
  <si>
    <t>MTA*NYCT PAYGO NEW YORK NYAPPLE PAY ENDING IN 4775004494700645</t>
  </si>
  <si>
    <t>SQ *WAFELS &amp; DINGES NEW YORK CITYNY0001152921509981711005</t>
  </si>
  <si>
    <t>ABC*CRUNCH FITNESS 804-447-5129 VAABC*CRUNCH FITNESS</t>
  </si>
  <si>
    <t>GONG CHA TIMES SQ. NEW YORK NY</t>
  </si>
  <si>
    <t>DELI 48 NEW YORK NY</t>
  </si>
  <si>
    <t>NETFLIX.COM NETFLIX.COM CA46704475985</t>
  </si>
  <si>
    <t>SPOTIFY P142A61A27 8777781161 NY</t>
  </si>
  <si>
    <t>COLPARK LOC 989 WASHINGTON DC</t>
  </si>
  <si>
    <t>MARATHON PETRO269977 BOWLING GREENVA</t>
  </si>
  <si>
    <t>MCDONALD'S F33384 RUTHER GLEN VA</t>
  </si>
  <si>
    <t>PAYPAL *HULU 402-935-7733 CA</t>
  </si>
  <si>
    <t>UBER EATS 866-576-1039 CA</t>
  </si>
  <si>
    <t>MCDONALD'S F19030 RICHMOND VA</t>
  </si>
  <si>
    <t>AMERICAN FAMILY FIT SHOR RICHMOND VA</t>
  </si>
  <si>
    <t>JIMMY JOHNS - 1131 GLEN ALLEN VA</t>
  </si>
  <si>
    <t>AMER FAM FIT VA CTR COMM GLEN ALLEN VA</t>
  </si>
  <si>
    <t>CVS/PHARMACY #02169 GLEN ALLEN VAAPPLE PAY ENDING IN 4775</t>
  </si>
  <si>
    <t>DOMINION CAR WASH LABURN RICHMOND VA</t>
  </si>
  <si>
    <t>SHEETZ 028600002865498 ASHLAND VA</t>
  </si>
  <si>
    <t>AMOCO#2026664ASHLAND AMO ASHLAND VA</t>
  </si>
  <si>
    <t>COR MOBILE APP METER FEE RICHMOND VA</t>
  </si>
  <si>
    <t>JIMMY JOHNS - 3133 RICHMOND VA</t>
  </si>
  <si>
    <t>PUBLIC STORAGE 25452 800-567-0759 VA191644431</t>
  </si>
  <si>
    <t>THE HOME DEPOT #4624 MECHANICSVILLVA</t>
  </si>
  <si>
    <t>Home Improvement</t>
  </si>
  <si>
    <t>EZPASSVA AUTO REPLENISH 877-7627824 VA</t>
  </si>
  <si>
    <t>STELLA S GROCERY RICHMOND VA</t>
  </si>
  <si>
    <t>AMER FAM FIT MECHANICSVI MECHANICSVILLVA</t>
  </si>
  <si>
    <t>APPLE.COM/BILL 866-712-7753 CAAPPLE PAY ENDING IN 4775MMW4QS111YA0</t>
  </si>
  <si>
    <t>KROGER FUEL #3510 MECHANICSVILLVA</t>
  </si>
  <si>
    <t>TACO BELL 16635 MECHANICSVLLEVA</t>
  </si>
  <si>
    <t>U HAUL STORE 0082427 RICHMOND VA</t>
  </si>
  <si>
    <t>AMER FAM FIT MIDLOTHIAN MIDLOTHIAN VA</t>
  </si>
  <si>
    <t>JIMMY JOHNS - 1740 -ECOM RICHMOND VAAPPLE PAY ENDING IN 4775</t>
  </si>
  <si>
    <t>PUBLIC STORAGE 25452 800-567-0759 VA191751307</t>
  </si>
  <si>
    <t>New York</t>
  </si>
  <si>
    <t>Eye Exam</t>
  </si>
  <si>
    <t>Shelley</t>
  </si>
  <si>
    <t>Danny</t>
  </si>
  <si>
    <t>Dad</t>
  </si>
  <si>
    <t>HEALING SPA MIDLOTHIAN VA</t>
  </si>
  <si>
    <t>SP * COWAYMEGA 3235568457 CA</t>
  </si>
  <si>
    <t>KINGSISLE *PIRATE101 512-623-5983 TX0009IVY200000000000000</t>
  </si>
  <si>
    <t>BONCHON - MECHANICSVILLE MECHANICSVILLVA</t>
  </si>
  <si>
    <t>LOWE'S OF MECHANICSVILLE MECHANICSVILLVA</t>
  </si>
  <si>
    <t>SQ *CAPITOL WAFFLE SHO RICHMOND VA0002305843013922528704</t>
  </si>
  <si>
    <t>SQ *CAPITOL WAFFLE SHO RICHMOND VA0002305843013922494745</t>
  </si>
  <si>
    <t>MCDONALD'S F22474 GLEN ALLEN VA</t>
  </si>
  <si>
    <t>7-ELEVEN 32603 GLEN ALLEN VA</t>
  </si>
  <si>
    <t>CVS/PHARMACY #01994 RICHMOND VA</t>
  </si>
  <si>
    <t>JIMMY JOHNS - 1740 -ECOM RICHMOND VA</t>
  </si>
  <si>
    <t>ORGANIC KRUSH - HENRICO HENRICO VA</t>
  </si>
  <si>
    <t>JIMMY JOHNS - 1300 RICHMOND VA</t>
  </si>
  <si>
    <t>NETFLIX.COM NETFLIX.COM CA47498177451</t>
  </si>
  <si>
    <t>SPOTIFY P14A04BDA5 8777781161 NY</t>
  </si>
  <si>
    <t>SQ *NARWHALS ROLLED IC RICHMOND VA0002305843013952806198</t>
  </si>
  <si>
    <t>TAN A SUPERMARKET RICHMOND VA</t>
  </si>
  <si>
    <t>ALDI 80004 RICHMOND VA</t>
  </si>
  <si>
    <t>UST*USTA MEMBERSHIP 800-990-8782 NYUST*USTA MEMBERSHIP</t>
  </si>
  <si>
    <t>FANDANGO 866-857-5191 CAAPPLE PAY ENDING IN 4775</t>
  </si>
  <si>
    <t>FANDANGO 8668575191 CAAPPLE PAY ENDING IN 4775</t>
  </si>
  <si>
    <t>4510 AMC RICHMOND 10 MIDLOTHIAN VA</t>
  </si>
  <si>
    <t>PUBLIC STORAGE 25452 800-567-0759 VA192732028</t>
  </si>
  <si>
    <t>ALDI 71070 SILVER SPRINGMD</t>
  </si>
  <si>
    <t>BANNERS HALLMARK 54 FREDERICKSBRGVA</t>
  </si>
  <si>
    <t>BARNES &amp; NOBLE #2093 BOWIE MD</t>
  </si>
  <si>
    <t>APPLE.COM/BILL 866-712-7753 CAAPPLE PAY ENDING IN 4775MMW516ZZ2YA0</t>
  </si>
  <si>
    <t>SQUARE ENIX 310-846-0345 CASQUARE ENIX</t>
  </si>
  <si>
    <t>TACO BELL 18147 RICHMOND VA</t>
  </si>
  <si>
    <t>DRIVE SHACK RICHMOND GOOCHLAND VA01437R</t>
  </si>
  <si>
    <t>JASON'S DELI VRS 037 RICHMOND VA</t>
  </si>
  <si>
    <t>OFFICE DEPOT #2340 RICHMOND VA</t>
  </si>
  <si>
    <t>TOMMYS EXP CW - VA12 RICHMOND VA</t>
  </si>
  <si>
    <t>SQ *HARK VINEYARDS EARLYSVILLE VA0002305843014011115031</t>
  </si>
  <si>
    <t>APPLE.COM/BILL 866-712-7753 CAAPPLE PAY ENDING IN 4775MMW52X7F7KA0</t>
  </si>
  <si>
    <t>BODOS BAGELS CHARLOTTESVILVA</t>
  </si>
  <si>
    <t>Mom Birthday</t>
  </si>
  <si>
    <t>Ahkil</t>
  </si>
  <si>
    <t xml:space="preserve">Lamenate Vaccine </t>
  </si>
  <si>
    <t>Sarah Birthday</t>
  </si>
  <si>
    <t>LOWE'S OF E. RICHMOND, V HENRICO VA</t>
  </si>
  <si>
    <t>ADVANCE AUTO PARTS #2330 RICHMOND VA</t>
  </si>
  <si>
    <t>JCPENNEY 1140 RICHMOND VA</t>
  </si>
  <si>
    <t>THE HOME DEPOT #4632 RICHMOND VA</t>
  </si>
  <si>
    <t>GIANT 0135 SILVER SPRINGMD02039R</t>
  </si>
  <si>
    <t>JIMMY T'S SOFT SERVE DUMFRIES VA</t>
  </si>
  <si>
    <t>SUNOCO 0545097800 DUMFRIES VA</t>
  </si>
  <si>
    <t>GUITAR CENTER #845 RICHMOND VA</t>
  </si>
  <si>
    <t>MUSIC &amp; ARTS 82 RICHMOND VA</t>
  </si>
  <si>
    <t>JIMMY JOHNS - 1741 -ECOM RICHMOND VAAPPLE PAY ENDING IN 4775</t>
  </si>
  <si>
    <t>APPLE.COM/BILL 866-712-7753 CAAPPLE PAY ENDING IN 4775MMW54D041SA0</t>
  </si>
  <si>
    <t>TARGET GLEN ALLEN VA</t>
  </si>
  <si>
    <t>USPS PO 1049480240 WASHINGTON DC</t>
  </si>
  <si>
    <t>CARROLLS AUTO SERVICE RICHMOND VA</t>
  </si>
  <si>
    <t>LYFT *1 RIDE 05-27 855-865-9553 CA</t>
  </si>
  <si>
    <t>WALMART SC 05941 WASHINGTON DC</t>
  </si>
  <si>
    <t>LYFT *1 RIDE 05-28 855-865-9553 CA</t>
  </si>
  <si>
    <t>ALDI 80022 RICHMOND VA</t>
  </si>
  <si>
    <t>APPLE.COM/BILL 866-712-7753 CAAPPLE PAY ENDING IN 4775MMW5727QLFA0</t>
  </si>
  <si>
    <t>SHEETZ 035000003509498 RICHMOND VA</t>
  </si>
  <si>
    <t>U HAUL STORE 0082427 804-3584978 VA</t>
  </si>
  <si>
    <t>NETFLIX.COM NETFLIX.COM CA48401860935</t>
  </si>
  <si>
    <t>SPOTIFY P154F38ABC 8777781161 NY</t>
  </si>
  <si>
    <t>GO MART #94 ROANOKE VA</t>
  </si>
  <si>
    <t>KRYSTAL AND SAAGAR 202-531-7527 DC</t>
  </si>
  <si>
    <t>PAYPAL *SHOWTIMEPPV 402-935-7733 CA</t>
  </si>
  <si>
    <t>PUBLIC STORAGE 25452 800-567-0759 VA194430343</t>
  </si>
  <si>
    <t>TEXAS ROADHOUSE #2518 ROANOKE VA</t>
  </si>
  <si>
    <t>June</t>
  </si>
  <si>
    <t>Movie Theater Canceled</t>
  </si>
  <si>
    <t>USTA</t>
  </si>
  <si>
    <t xml:space="preserve">Final Fantasy </t>
  </si>
  <si>
    <t>Manga</t>
  </si>
  <si>
    <t xml:space="preserve">Washer Pan 2116 </t>
  </si>
  <si>
    <t>Strings</t>
  </si>
  <si>
    <t xml:space="preserve">Tuning Machine </t>
  </si>
  <si>
    <t>AC Fix(leak)</t>
  </si>
  <si>
    <t>Logan Paul vs. Mayweather</t>
  </si>
  <si>
    <t>Devin Heath</t>
  </si>
  <si>
    <t>Massage</t>
  </si>
  <si>
    <t>Car Wash</t>
  </si>
  <si>
    <t>Credit Score</t>
  </si>
  <si>
    <t>HBO</t>
  </si>
  <si>
    <t>T-Mobile</t>
  </si>
  <si>
    <t>Couple Cents</t>
  </si>
  <si>
    <t>Disney</t>
  </si>
  <si>
    <t>Youtube TV</t>
  </si>
  <si>
    <t>Hulu</t>
  </si>
  <si>
    <t>News</t>
  </si>
  <si>
    <t>Storage</t>
  </si>
  <si>
    <t>Name</t>
  </si>
  <si>
    <t>Total Paid</t>
  </si>
  <si>
    <t>#</t>
  </si>
  <si>
    <t>Avg. Paid</t>
  </si>
  <si>
    <t>Feb</t>
  </si>
  <si>
    <t>Mar</t>
  </si>
  <si>
    <t>Apr</t>
  </si>
  <si>
    <t xml:space="preserve">May </t>
  </si>
  <si>
    <t>Bloomberg</t>
  </si>
  <si>
    <t>GuitarTuna</t>
  </si>
  <si>
    <t>Roadtrippers</t>
  </si>
  <si>
    <t>Catan Gold</t>
  </si>
  <si>
    <t>Finimize</t>
  </si>
  <si>
    <t>Sub Type</t>
  </si>
  <si>
    <t>One time</t>
  </si>
  <si>
    <t>Cancelled?</t>
  </si>
  <si>
    <t>Yes</t>
  </si>
  <si>
    <t>No</t>
  </si>
  <si>
    <t>Annual</t>
  </si>
  <si>
    <t>1 Year</t>
  </si>
  <si>
    <t>1 Month</t>
  </si>
  <si>
    <t>Crunch Fitness</t>
  </si>
  <si>
    <t>Family Fitness</t>
  </si>
  <si>
    <t xml:space="preserve"> No</t>
  </si>
  <si>
    <t>6-Months</t>
  </si>
  <si>
    <t xml:space="preserve">July </t>
  </si>
  <si>
    <t>Oct</t>
  </si>
  <si>
    <t>Aug</t>
  </si>
  <si>
    <t>Sep</t>
  </si>
  <si>
    <t>Nov</t>
  </si>
  <si>
    <t>Dec</t>
  </si>
  <si>
    <t>Day</t>
  </si>
  <si>
    <t>Air Purifier</t>
  </si>
  <si>
    <t>Demon Slayer</t>
  </si>
  <si>
    <t>U HAUL STORE 0082429 804-2310332 VA</t>
  </si>
  <si>
    <t>PANERA BREAD #601639 P RICHMOND VA00521R</t>
  </si>
  <si>
    <t>USPS CHANGE OF ADDRESS 800-238-3150 TN</t>
  </si>
  <si>
    <t>LYFT *2 RIDES 06-05 855-865-9553 CA</t>
  </si>
  <si>
    <t>BEDBATH&amp;BEYOND RICHMOND VA</t>
  </si>
  <si>
    <t>CCBILL.COM 888-5969279 AZ</t>
  </si>
  <si>
    <t>ONLYFANS.COM 8886880458 IL</t>
  </si>
  <si>
    <t>CAVA GRILL SWIFT CREEK MIDLOTHIAN VA</t>
  </si>
  <si>
    <t>STARBUCKS STORE 07780 MIDLOTHIAN VA1546AE60A1ED694528</t>
  </si>
  <si>
    <t>APPLE.COM/BILL 866-712-7753 CAAPPLE PAY ENDING IN 4775MMW5BD0T2NA0</t>
  </si>
  <si>
    <t>JIMMY JOHNS - 3133 - E RICHMOND VAAPPLE PAY ENDING IN 4775</t>
  </si>
  <si>
    <t>PAYPAL *BARNESNOBLE 402-935-7733 CA</t>
  </si>
  <si>
    <t>YCC STORE 00646 RICHMOND VA</t>
  </si>
  <si>
    <t>BARNES &amp; NOBLE #2065 GLEN ALLEN VA</t>
  </si>
  <si>
    <t>OFFICEMAX/DEPOT 6605 GLEN ALLEN VA</t>
  </si>
  <si>
    <t>MCDONALD'S F5392 RICHMOND VA</t>
  </si>
  <si>
    <t>WAWA 8600 RICHMOND VA</t>
  </si>
  <si>
    <t>USPS PO BOXES ONLINE 800-344-7779 DC</t>
  </si>
  <si>
    <t>VERIZON*ONETIMEPAY VERIZON.COM FL534324653566429670001</t>
  </si>
  <si>
    <t>moving</t>
  </si>
  <si>
    <t>Naked Statistics</t>
  </si>
  <si>
    <t>Printing</t>
  </si>
  <si>
    <t>Wolfram</t>
  </si>
  <si>
    <t>Verizon Internet</t>
  </si>
  <si>
    <t>DISCOVER E-PAYMENT 210101 4732 LEWIS SEAN</t>
  </si>
  <si>
    <t>IRS TREAS 310 XXTAXEIP2 010421 XXXXXXXXXX00908 LEWIS, SEAN</t>
  </si>
  <si>
    <t>DISCOVER E-PAYMENT 210115 4732 LEWIS SEAN</t>
  </si>
  <si>
    <t>Elephant Ins PAYROLL 210113 2087 Lewis Sean</t>
  </si>
  <si>
    <t>VENMO PAYMENT 5101219782 SEAN LEWIS</t>
  </si>
  <si>
    <t>VENMO PAYMENT 5101208453 SEAN LEWIS</t>
  </si>
  <si>
    <t>VENMO CASHOUT 5117912825 SEAN LEWIS</t>
  </si>
  <si>
    <t>PURCHASE AUTHORIZED ON 01/20 CASH APP* 8774174551 CA S461020486646597 CARD 6634</t>
  </si>
  <si>
    <t>PURCHASE AUTHORIZED ON 01/21 SOCIETY OF ACTUARI 847-706-3620 IL S581021446560343 CARD 6634</t>
  </si>
  <si>
    <t>MONEY TRANSFER AUTHORIZED ON 01/26 FROM Sean Lewis VA S00581026542833832 CARD 6634</t>
  </si>
  <si>
    <t>ROBINHOOD Funds 210127 XXXXX4480 Sean Lewis</t>
  </si>
  <si>
    <t>ATM CHECK DEPOSIT ON 01/28 3201 WEST CARY ST RICHMOND VA 0005841 ATM ID 0255N CARD 6634</t>
  </si>
  <si>
    <t>VENMO PAYMENT 5176119364 SEAN LEWIS</t>
  </si>
  <si>
    <t>VENMO PAYMENT 5176123809 SEAN LEWIS</t>
  </si>
  <si>
    <t>Elephant Ins PAYROLL 210127 2087 Lewis Sean</t>
  </si>
  <si>
    <t>Credit Karma Transfer 210202 1416312297 Sean Lewis</t>
  </si>
  <si>
    <t>PURCHASE AUTHORIZED ON 02/02 CVS/PHARMACY #01 01988--3 RICHMOND VA P00381033853505879 CARD 6634</t>
  </si>
  <si>
    <t>RTP from VENMO on 02/02 Ref#20210202021000021P1BRJPM00020016153</t>
  </si>
  <si>
    <t>BEST BUY PAYMENT 210202 140344289448116 SEAN LEWIS</t>
  </si>
  <si>
    <t>PURCHASE AUTHORIZED ON 02/02 CASH APP*DON 8774174551 CA S381033547779628 CARD 6634</t>
  </si>
  <si>
    <t>ROBINHOOD Funds 210203 XXXXX4480 Sean Lewis</t>
  </si>
  <si>
    <t>ROBINHOOD Funds 210205 XXXXX4480 Sean Lewis</t>
  </si>
  <si>
    <t>AVIDIA BANK SETL 210208 0268 LEWIS,SEAN</t>
  </si>
  <si>
    <t>DISCOVER E-PAYMENT 210212 4732 LEWIS SEAN</t>
  </si>
  <si>
    <t>VENMO PAYMENT 5259216200 SEAN LEWIS</t>
  </si>
  <si>
    <t>ROBINHOOD Funds 210211 XXXXX4480 Sean Lewis</t>
  </si>
  <si>
    <t>Elephant Ins PAYROLL 210210 2087 Lewis Sean</t>
  </si>
  <si>
    <t>VENMO PAYMENT 5280886625 SEAN LEWIS</t>
  </si>
  <si>
    <t>TD AMERITRADE ACH IN a9KLOZ6PGB LEWIS SEAN</t>
  </si>
  <si>
    <t>ROBINHOOD Funds 210212 XXXXX4480 Sean Lewis</t>
  </si>
  <si>
    <t>MONEY TRANSFER AUTHORIZED ON 02/16 FROM Sean Lewis VA S00301047447217307 CARD 6634</t>
  </si>
  <si>
    <t>ROBINHOOD Funds 210216 XXXXX4480 Sean Lewis</t>
  </si>
  <si>
    <t>WEBULL FINANCIAL ACH Feb 17 20210213000010 SEAN LEWIS</t>
  </si>
  <si>
    <t>ROBINHOOD Funds 210218 XXXXX4480 Sean Lewis</t>
  </si>
  <si>
    <t>AVIDIA BANK SETL 210218 0268 LEWIS,SEAN</t>
  </si>
  <si>
    <t>VENMO PAYMENT 5302514749 SEAN LEWIS</t>
  </si>
  <si>
    <t>GasBuddy GasBuddy IVRVONZYL Sean Lewis</t>
  </si>
  <si>
    <t>GasBuddy GasBuddy IPZ5LNW76</t>
  </si>
  <si>
    <t>DISCOVER E-PAYMENT 210226 4732 LEWIS SEAN</t>
  </si>
  <si>
    <t>VENMO PAYMENT 5336662518 SEAN LEWIS</t>
  </si>
  <si>
    <t>IRS TREAS 310 TAX REF 022621 XXXXXXXXXX00908 LEWIS, SEAN</t>
  </si>
  <si>
    <t>Elephant Ins PAYROLL 210224 2087 Lewis Sean</t>
  </si>
  <si>
    <t>ROBINHOOD Funds 210226 XXXXX4480 Sean Lewis</t>
  </si>
  <si>
    <t>PURCHASE AUTHORIZED ON 02/27 CASH APP*JAYELIN L 8774174551 CA S381058504895158 CARD 6634</t>
  </si>
  <si>
    <t>ROBINHOOD Funds 210301 XXXXX4480 Sean Lewis</t>
  </si>
  <si>
    <t>AVIDIA BANK SETL 210303 0268 LEWIS,SEAN</t>
  </si>
  <si>
    <t>VENMO PAYMENT 5408451261 SEAN LEWIS</t>
  </si>
  <si>
    <t>VA DEPT TAXATION VASTTAXRFD 210302 XXXXX0268 LEWIS, SEAN E</t>
  </si>
  <si>
    <t>ROBINHOOD Funds 210309 XXXXX4480 Sean Lewis</t>
  </si>
  <si>
    <t>MONEY TRANSFER AUTHORIZED ON 03/09 FROM Sean Lewis VA S00581069083988444 CARD 6634</t>
  </si>
  <si>
    <t>DISCOVER E-PAYMENT 210312 4732 LEWIS SEAN</t>
  </si>
  <si>
    <t>Elephant Ins PAYROLL 210310 2087 Lewis Sean</t>
  </si>
  <si>
    <t>GasBuddy GasBuddy IJPBP8EB4 Sean Lewis</t>
  </si>
  <si>
    <t>DISCOVER E-PAYMENT 210317 4732 LEWIS SEAN</t>
  </si>
  <si>
    <t>VENMO PAYMENT 5451331842 SEAN LEWIS</t>
  </si>
  <si>
    <t>VENMO PAYMENT 5451317717 SEAN LEWIS</t>
  </si>
  <si>
    <t>TRANSFER TO LEWIS SHARON ON 03/17 REF #PP0B2WNZKY XXXXXXXXX5267</t>
  </si>
  <si>
    <t>TRANSFER FROM LEWIS SHARON ON 03/17 REF # PP0B2WLCG2 THANK YOU</t>
  </si>
  <si>
    <t>IRS TREAS 310 TAXEIP3 031721 XXXXXXXXXX00908 LEWIS, SEAN</t>
  </si>
  <si>
    <t>DISCOVER E-PAYMENT 210319 4732 LEWIS SEAN</t>
  </si>
  <si>
    <t>VENMO PAYMENT 5493001064 SEAN LEWIS</t>
  </si>
  <si>
    <t>VENMO PAYMENT 5492993326 SEAN LEWIS</t>
  </si>
  <si>
    <t>VENMO PAYMENT 5492999612 SEAN LEWIS</t>
  </si>
  <si>
    <t>DISCOVER E-PAYMENT 210326 4732 LEWIS SEAN</t>
  </si>
  <si>
    <t>Elephant Ins PAYROLL 210324 2087 Lewis Sean</t>
  </si>
  <si>
    <t>VENMO PAYMENT 5513431756 SEAN LEWIS</t>
  </si>
  <si>
    <t>DISCOVER E-PAYMENT 210331 4732 LEWIS SEAN</t>
  </si>
  <si>
    <t>PURCHASE AUTHORIZED ON 03/31 CASH APP*SHEVON LE 8774174551 CA S461091061277016 CARD 6634</t>
  </si>
  <si>
    <t>DISCOVER E-PAYMENT 210409 7328 LEWIS SEAN</t>
  </si>
  <si>
    <t>Elephant Ins PAYROLL 210407 2087 Lewis Sean</t>
  </si>
  <si>
    <t>VENMO PAYMENT 210411 1013109381403 SEAN LEWIS</t>
  </si>
  <si>
    <t>VENMO PAYMENT 5603366206 SEAN LEWIS</t>
  </si>
  <si>
    <t>PURCHASE AUTHORIZED ON 04/11 CASH APP*ENGAGETM 8774174551 CA S301101447514096 CARD 6634</t>
  </si>
  <si>
    <t>VENMO CASHOUT 5643580806 SEAN LEWIS</t>
  </si>
  <si>
    <t>MOBILE DEPOSIT : REF NUMBER :816170847728</t>
  </si>
  <si>
    <t>MONEY TRANSFER AUTHORIZED ON 04/20 FROM Sean Lewis VA S00581110491401484 CARD 6634</t>
  </si>
  <si>
    <t>VENMO PAYMENT 210423 1013303271012 SEAN LEWIS</t>
  </si>
  <si>
    <t>PURCHASE AUTHORIZED ON 04/22 DICK'S SPORTING GO GLEN ALLEN VA S581112824030519 CARD 6634</t>
  </si>
  <si>
    <t>Elephant Ins PAYROLL 210421 2087 Lewis Sean</t>
  </si>
  <si>
    <t>PURCHASE AUTHORIZED ON 04/29 CASH APP*ENGAGETM 8774174551 CA S381119860065157 CARD 6634</t>
  </si>
  <si>
    <t>VENMO PAYMENT 210501 1013448453372 SEAN LEWIS</t>
  </si>
  <si>
    <t>DISCOVER E-PAYMENT 210505 7328 LEWIS SEAN</t>
  </si>
  <si>
    <t>New Manchester F WEB PMTS 050621 GVVCH7 Sean Lewis</t>
  </si>
  <si>
    <t>New Manchester F WEB PMTS 050621 FVVCH7 Sean Lewis</t>
  </si>
  <si>
    <t>Elephant Ins PAYROLL 210505 2087 Lewis Sean</t>
  </si>
  <si>
    <t>AVIDIA BANK SETL 210506 0268 LEWIS,SEAN</t>
  </si>
  <si>
    <t>VENMO PAYMENT 210509 1013594268300 SEAN LEWIS</t>
  </si>
  <si>
    <t>VENMO PAYMENT 210509 1013594265412 SEAN LEWIS</t>
  </si>
  <si>
    <t>GasBuddy GasBuddy INXG6RPA2 Sean Lewis</t>
  </si>
  <si>
    <t>VENMO CASHOUT 210512 1013636035269 SEAN LEWIS</t>
  </si>
  <si>
    <t>GasBuddy GasBuddy I4YX455B2 Sean Lewis</t>
  </si>
  <si>
    <t>MONEY TRANSFER AUTHORIZED ON 05/14 FROM Sean Lewis VA S00301134489786999 CARD 6634</t>
  </si>
  <si>
    <t>VENMO PAYMENT 210516 1013705922037 SEAN LEWIS</t>
  </si>
  <si>
    <t>VENMO PAYMENT 210520 1013774874982 SEAN LEWIS</t>
  </si>
  <si>
    <t>VENMO PAYMENT 210521 1013794906708 SEAN LEWIS</t>
  </si>
  <si>
    <t>Elephant Ins PAYROLL 210519 2087 Lewis Sean</t>
  </si>
  <si>
    <t>DISCOVER E-PAYMENT 210524 7328 LEWIS SEAN</t>
  </si>
  <si>
    <t>PURCHASE AUTHORIZED ON 05/22 CASH APP*TIFFANY C 877-417-4551 VA S461142688303673 CARD 6634</t>
  </si>
  <si>
    <t>PURCHASE AUTHORIZED ON 05/21 CASH APP*NATHANIEL 877-417-4551 VA S381142092873712 CARD 6634</t>
  </si>
  <si>
    <t>PURCHASE AUTHORIZED ON 05/21 CASH APP*DON LEWIS 8774174551 CA S301141585777326 CARD 6634</t>
  </si>
  <si>
    <t>RTP from VENMO on 05/24 Ref#20210524021000021P1BRJPM00600023015</t>
  </si>
  <si>
    <t>VENMO PAYMENT 210525 1013853531322 SEAN LEWIS</t>
  </si>
  <si>
    <t>PURCHASE AUTHORIZED ON 05/27 CASH APP*SHEVON LE 8774174551 CA S581147379994016 CARD 6634</t>
  </si>
  <si>
    <t>PURCHASE AUTHORIZED ON 05/28 CASH APP*CYANFACE 8774174551 CA S301148695866281 CARD 6634</t>
  </si>
  <si>
    <t>ROBINHOOD Funds 210528 XXXXX4480 Sean Lewis</t>
  </si>
  <si>
    <t>VENMO PAYMENT 210604 1014026879340 SEAN LEWIS</t>
  </si>
  <si>
    <t>PURCHASE BANK CHECK OR DRAFT</t>
  </si>
  <si>
    <t>Elephant Ins PAYROLL 210602 2087 Lewis Sean</t>
  </si>
  <si>
    <t>DISCOVER E-PAYMENT 210605 7328 LEWIS SEAN</t>
  </si>
  <si>
    <t>VENMO PAYMENT 210606 1014064415325 SEAN LEWIS</t>
  </si>
  <si>
    <t>VENMO PAYMENT 210606 1014064878246 SEAN LEWIS</t>
  </si>
  <si>
    <t>ATM WITHDRAWAL AUTHORIZED ON 06/05 4489 S. LABURNUM AVE Richmond VA 0001688 ATM ID 0147S CARD 6634</t>
  </si>
  <si>
    <t>MONEY TRANSFER AUTHORIZED ON 06/06 FROM Sean Lewis VA S00581157718112874 CARD 6634</t>
  </si>
  <si>
    <t>PURCHASE AUTHORIZED ON 06/08 THE MARKET at 2 RICHMOND VA P00000000573633522 CARD 6634</t>
  </si>
  <si>
    <t>AVIDIA BANK SETL 210607 0268 LEWIS,SEAN</t>
  </si>
  <si>
    <t>ROBINHOOD Funds 210608 XXXXX4480 Sean Lewis</t>
  </si>
  <si>
    <t>VENMO PAYMENT 210611 1014149204390 SEAN LEWIS</t>
  </si>
  <si>
    <t>ATM WITHDRAWAL AUTHORIZED ON 06/12 9811 BROOK RD GLEN ALLEN VA 0006419 ATM ID 0092S CARD 6634</t>
  </si>
  <si>
    <t>DOMINION ENERGY BILLPAY 210616 DOMINION ENERGY SEAN LEWIS</t>
  </si>
  <si>
    <t>Nationwide PAYROLL 01 HRP0007397914 Sean Lewis</t>
  </si>
  <si>
    <t>Date</t>
  </si>
  <si>
    <t>Tax Return</t>
  </si>
  <si>
    <t>VENMO</t>
  </si>
  <si>
    <t>PURCHASE</t>
  </si>
  <si>
    <t>MONEY</t>
  </si>
  <si>
    <t>ROBINHOOD</t>
  </si>
  <si>
    <t>ATM</t>
  </si>
  <si>
    <t>Credit</t>
  </si>
  <si>
    <t>RTP</t>
  </si>
  <si>
    <t>BEST</t>
  </si>
  <si>
    <t>AVIDIA</t>
  </si>
  <si>
    <t>DISCOVER</t>
  </si>
  <si>
    <t>TD</t>
  </si>
  <si>
    <t>HSA</t>
  </si>
  <si>
    <t>GasBuddy</t>
  </si>
  <si>
    <t>TRANSFER</t>
  </si>
  <si>
    <t>VA</t>
  </si>
  <si>
    <t>WEBULL</t>
  </si>
  <si>
    <t>MOBILE</t>
  </si>
  <si>
    <t>New</t>
  </si>
  <si>
    <t>DOMINION</t>
  </si>
  <si>
    <t>Nationwide</t>
  </si>
  <si>
    <t>Description2</t>
  </si>
  <si>
    <t>Investment</t>
  </si>
  <si>
    <t>Gas</t>
  </si>
  <si>
    <t>Utility</t>
  </si>
  <si>
    <t>Amar - Electric</t>
  </si>
  <si>
    <t>Amar - Rent</t>
  </si>
  <si>
    <t>Amar - Water</t>
  </si>
  <si>
    <t>Mom</t>
  </si>
  <si>
    <t>Dorry</t>
  </si>
  <si>
    <t>Venmo Cash Out</t>
  </si>
  <si>
    <t>Divita</t>
  </si>
  <si>
    <t>Jon Li</t>
  </si>
  <si>
    <t>New Manchester - Rent</t>
  </si>
  <si>
    <t>Luminality Event</t>
  </si>
  <si>
    <t>Cairo</t>
  </si>
  <si>
    <t>Nate</t>
  </si>
  <si>
    <t>Stranger</t>
  </si>
  <si>
    <t>New Manchester - Fee</t>
  </si>
  <si>
    <t>New Manchester Deposit</t>
  </si>
  <si>
    <t>Garbage Removal</t>
  </si>
  <si>
    <t>May</t>
  </si>
  <si>
    <t>Jun</t>
  </si>
  <si>
    <t>Jul</t>
  </si>
  <si>
    <t>Begin Balance</t>
  </si>
  <si>
    <t>SOA</t>
  </si>
  <si>
    <t>Purchase</t>
  </si>
  <si>
    <t>Decrease</t>
  </si>
  <si>
    <t>Increase</t>
  </si>
  <si>
    <t>Movement</t>
  </si>
  <si>
    <t>Balance</t>
  </si>
  <si>
    <t>Opening Balance</t>
  </si>
  <si>
    <t>Closing Balance</t>
  </si>
  <si>
    <t>Primary</t>
  </si>
  <si>
    <t>Monthly Spending -&gt;</t>
  </si>
  <si>
    <t xml:space="preserve">Vincent </t>
  </si>
  <si>
    <t>OFFICEMAX/DEPOT 6814 RICHMOND VA</t>
  </si>
  <si>
    <t>CHICK-FIL-A #01519 RICHMOND VA</t>
  </si>
  <si>
    <t>OFFICEMAX/DEPOT 6379 GLEN ALLEN VA</t>
  </si>
  <si>
    <t>SHELL 57545614109 ASHLAND VA</t>
  </si>
  <si>
    <t>AMZN MKTP US*2179P2TF2 AMZN.COM/BILLWA3IX858WRMJZ</t>
  </si>
  <si>
    <t>BP#9613308TA JESSUP JESSUP MD</t>
  </si>
  <si>
    <t>MCDONALD'S F34934 WOODBRIDGE VA</t>
  </si>
  <si>
    <t>PAYPAL *JEREMYBUSTI 402-935-7733 CA</t>
  </si>
  <si>
    <t>TST* TWO GUYS GRILL &amp; PU BALTIMORE MD</t>
  </si>
  <si>
    <t>PAYPAL *DATACAMPINC 402-935-7733 CA</t>
  </si>
  <si>
    <t>TST* NEW YORK DELI - RVA RICHMOND VA</t>
  </si>
  <si>
    <t>KROGER #511 RICHMOND VA</t>
  </si>
  <si>
    <t>MIKE BLENDZ BARBERSHOP S RICHMOND VA</t>
  </si>
  <si>
    <t>AMZN MKTP US*297321LH1 AMZN.COM/BILLWA3MPRYLB2NN5</t>
  </si>
  <si>
    <t>MCDONALD'S F12090 RUTHER GLEN VA</t>
  </si>
  <si>
    <t>DUNKIN DONUTSBALTIMORE BALTIMORE MD</t>
  </si>
  <si>
    <t>MTA*NYCT PAYGO NEW YORK NYAPPLE PAY ENDING IN 4775004808741327</t>
  </si>
  <si>
    <t>MTA*NYCT PAYGO NEW YORK NYAPPLE PAY ENDING IN 4775004809017067</t>
  </si>
  <si>
    <t>AMZN MKTP US AMZN.COM/BILLWA2MQ7IDW39QZ</t>
  </si>
  <si>
    <t>CITY FRESH MARKET PLACE BROOKLYN NY</t>
  </si>
  <si>
    <t>MTA*NYCT PAYGO NEW YORK NYAPPLE PAY ENDING IN 4775004817537904</t>
  </si>
  <si>
    <t>MTA*NYCT PAYGO NEW YORK NYAPPLE PAY ENDING IN 4775004817997612</t>
  </si>
  <si>
    <t>SUNAC FOOD MARKET BROOKLYN NY</t>
  </si>
  <si>
    <t>ELECTRONICS R US BROOKLYN NY</t>
  </si>
  <si>
    <t>LYFT *BIKE RIDE 855-865-9553 CA</t>
  </si>
  <si>
    <t>MTA*NYCT PAYGO NEW YORK NYAPPLE PAY ENDING IN 4775004823531741</t>
  </si>
  <si>
    <t>TST* SWEET CHICK - WILLI BROOKLYN NY</t>
  </si>
  <si>
    <t>AMZN MKTP US AMZN.COM/BILLWA2227OABZAZA</t>
  </si>
  <si>
    <t>MTA*NYCT PAYGO NEW YORK NYAPPLE PAY ENDING IN 4775004843628637</t>
  </si>
  <si>
    <t>MTA*NYCT PAYGO NEW YORK NYAPPLE PAY ENDING IN 4775004843763722</t>
  </si>
  <si>
    <t>PREMIER FOOD FRESH MARKE BROOKLYN NY</t>
  </si>
  <si>
    <t>FRESH VEGETABLES FISH BROOKLYN NY</t>
  </si>
  <si>
    <t>WALGREENS #11141 BROOKLYN NY</t>
  </si>
  <si>
    <t>NETFLIX.COM NETFLIX.COM CA49280925342</t>
  </si>
  <si>
    <t>PAYPAL *AIRBNB HM2YDHF 402-935-7733 CA</t>
  </si>
  <si>
    <t>SPOTIFY P15CAB3ACD 8777781161 NY</t>
  </si>
  <si>
    <t>TST* SARAGHINA - HALSEY BROOKLYN NY</t>
  </si>
  <si>
    <t>UQ ATLANTIC TERM US004 BROOKLYN NY</t>
  </si>
  <si>
    <t>APPLEBEES 761976726491 BROOKLYN NY</t>
  </si>
  <si>
    <t>BERGEN BAGEL BROOKLYN NY</t>
  </si>
  <si>
    <t>EAST 7TH DELI &amp; CAFE COR NEW YORK NY</t>
  </si>
  <si>
    <t>KRYSTAL AND SAAGAR 2025317527 DC</t>
  </si>
  <si>
    <t>MTA*METROCARD MACHINE NEW YORK NY059144048022</t>
  </si>
  <si>
    <t>MTA*NYCT PAYGO NEW YORK NYAPPLE PAY ENDING IN 4775004854746794</t>
  </si>
  <si>
    <t>MTA*NYCT PAYGO NEW YORK NYAPPLE PAY ENDING IN 4775004855082912</t>
  </si>
  <si>
    <t>ROCKY DELI GROCERY BROOKLYN NY</t>
  </si>
  <si>
    <t>LYFT *2 RIDES 07-01 855-865-9553 CA</t>
  </si>
  <si>
    <t>MTA*NYCT PAYGO NEW YORK NYAPPLE PAY ENDING IN 4775004855640466</t>
  </si>
  <si>
    <t>MTA*NYCT PAYGO NEW YORK NYAPPLE PAY ENDING IN 4775004855768197</t>
  </si>
  <si>
    <t>MTA*NYCT PAYGO NEW YORK NYAPPLE PAY ENDING IN 4775004855826340</t>
  </si>
  <si>
    <t>MTA*NYCT PAYGO NEW YORK NYAPPLE PAY ENDING IN 4775004855828321</t>
  </si>
  <si>
    <t>MTA*NYCT PAYGO NEW YORK NYAPPLE PAY ENDING IN 4775004855861608</t>
  </si>
  <si>
    <t>MTA*NYCT PAYGO RECOVER 718-330-1234 NY004855731688</t>
  </si>
  <si>
    <t>LYFT *2 RIDES 07-03 855-865-9553 CA</t>
  </si>
  <si>
    <t>MILO S YARD RIDGEWOOD NY</t>
  </si>
  <si>
    <t>MTA*NYCT PAYGO NEW YORK NYAPPLE PAY ENDING IN 4775004856158957</t>
  </si>
  <si>
    <t>MTA*NYCT PAYGO NEW YORK NYAPPLE PAY ENDING IN 4775004856160189</t>
  </si>
  <si>
    <t>MTA*NYCT PAYGO NEW YORK NYAPPLE PAY ENDING IN 4775004856197783</t>
  </si>
  <si>
    <t>MTA*NYCT PAYGO NEW YORK NYAPPLE PAY ENDING IN 4775004856225234</t>
  </si>
  <si>
    <t>SQ *ELSEWHERE BROOKLYN NY0002305843014238696256</t>
  </si>
  <si>
    <t>MCDONALD'S F10428 STAFFORD VA</t>
  </si>
  <si>
    <t>SAFEWAY FUEL2616 FAIRFAX VA</t>
  </si>
  <si>
    <t>UBER TRIP 866-576-1039 CA</t>
  </si>
  <si>
    <t>THE MENS WEARHOUSE #3533 GLEN ALLEN VA</t>
  </si>
  <si>
    <t>LYFT *2 RIDES 07-07 855-865-9553 CA</t>
  </si>
  <si>
    <t>Arizona</t>
  </si>
  <si>
    <t>Headshot</t>
  </si>
  <si>
    <t>Hair Cut</t>
  </si>
  <si>
    <t>Brooklyn</t>
  </si>
  <si>
    <t>Fathers Day</t>
  </si>
  <si>
    <t>PRINCIPAL TRUST DR CR 210617 PACT#179541394 SEAN LEWIS</t>
  </si>
  <si>
    <t>Elephant Ins PAYROLL 210616 2087 Lewis Sean</t>
  </si>
  <si>
    <t>VENMO PAYMENT 210620 1014291472980 SEAN LEWIS</t>
  </si>
  <si>
    <t>VENMO PAYMENT 210620 1014291497592 SEAN LEWIS</t>
  </si>
  <si>
    <t>DISCOVER E-PAYMENT 210623 7328 LEWIS SEAN</t>
  </si>
  <si>
    <t>PURCHASE AUTHORIZED ON 06/22 STITCH FIX STYLIN 844-386-3850 CA S581173332274659 CARD 6634</t>
  </si>
  <si>
    <t>PRINCIPAL TRUST DR CR 210622 PACT#180033360 Sean Lewis</t>
  </si>
  <si>
    <t>PURCHASE AUTHORIZED ON 06/23 TST* TIO PABLO TAQ RICHMOND VA S461175013934521 CARD 6634</t>
  </si>
  <si>
    <t>New Manchester F WEB PMTS 063021 M7CVM7 Sean Lewis</t>
  </si>
  <si>
    <t>DISCOVER E-PAYMENT 210701 7328 LEWIS SEAN</t>
  </si>
  <si>
    <t>Nationwide PAYROLL 01 HRP0007447918 Sean Lewis</t>
  </si>
  <si>
    <t>DISCOVER E-PAYMENT 210705 7328 LEWIS SEAN</t>
  </si>
  <si>
    <t>VENMO PAYMENT 210706 1014559681035 SEAN LEWIS</t>
  </si>
  <si>
    <t>DISCOVER E-PAYMENT 210704 7328 LEWIS SEAN</t>
  </si>
  <si>
    <t>PURCHASE AUTHORIZED ON 07/05 KROGER #5 901 LOMBARDY RICHMOND VA P00000000172824506 CARD 6634</t>
  </si>
  <si>
    <t>PURCHASE AUTHORIZED ON 07/05 ALDI 80007 RICHMOND VA P00301187031820504 CARD 6634</t>
  </si>
  <si>
    <t>PURCHASE AUTHORIZED ON 07/02 SQ *THE SUMMIT BAR New York NY S461184164563315 CARD 6634</t>
  </si>
  <si>
    <t>VENMO CASHOUT 210703 1014514779086 SEAN LEWIS</t>
  </si>
  <si>
    <t>BEST BUY PAYMENT 210706 150477321232633 SEAN LEWIS</t>
  </si>
  <si>
    <t>PURCHASE AUTHORIZED ON 07/06 PHO QUE HUONG NUMB GLEN ALLEN VA S381187824546148 CARD 6634</t>
  </si>
  <si>
    <t>Principal retirement</t>
  </si>
  <si>
    <t>Matt Bozz</t>
  </si>
  <si>
    <t>Anush Rohani Shukla</t>
  </si>
  <si>
    <t>Resteraunt</t>
  </si>
  <si>
    <t>Moving</t>
  </si>
  <si>
    <t>Trips</t>
  </si>
  <si>
    <t>ENTERTAINMENT</t>
  </si>
  <si>
    <t>TRANSPORTATION</t>
  </si>
  <si>
    <t>Insurance</t>
  </si>
  <si>
    <t>Food</t>
  </si>
  <si>
    <t>Clothing</t>
  </si>
  <si>
    <t>Create a Simple Personal Budget in this worksheet. Helpful instructions on how to use this worksheet are in cells in this column. Arrow down to get started.</t>
  </si>
  <si>
    <t>Title of this worksheet is in cell at right. Enter year in cell Q2. Next instruction is in cell A4.</t>
  </si>
  <si>
    <t>PERSONAL BUDGET</t>
  </si>
  <si>
    <t>Labels are in cells C4 through P4.</t>
  </si>
  <si>
    <t>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</si>
  <si>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</si>
  <si>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</si>
  <si>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</si>
  <si>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</si>
  <si>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</si>
  <si>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</si>
  <si>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</si>
  <si>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</si>
  <si>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</si>
  <si>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</si>
  <si>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</si>
  <si>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</si>
  <si>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</si>
  <si>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Enter details in Income table starting in cell C5. Next instruction is in cell A11.</t>
  </si>
  <si>
    <t>INCOME</t>
  </si>
  <si>
    <t>January</t>
  </si>
  <si>
    <t>February</t>
  </si>
  <si>
    <t>March</t>
  </si>
  <si>
    <t>April</t>
  </si>
  <si>
    <t>July</t>
  </si>
  <si>
    <t>August</t>
  </si>
  <si>
    <t>September</t>
  </si>
  <si>
    <t>October</t>
  </si>
  <si>
    <t>November</t>
  </si>
  <si>
    <t>December</t>
  </si>
  <si>
    <t>Sparkline</t>
  </si>
  <si>
    <t>Wages</t>
  </si>
  <si>
    <t>Total</t>
  </si>
  <si>
    <t>Labels are in cells C11 through P11.</t>
  </si>
  <si>
    <t>EXPENSES</t>
  </si>
  <si>
    <t>Enter Home expenses in table starting in cell C12. Next instruction is in cell A20.</t>
  </si>
  <si>
    <t>HOME</t>
  </si>
  <si>
    <t>Enter Daily expenses in table starting in cell C20. Next instruction is in cell A29.</t>
  </si>
  <si>
    <t>DAILY LIVING</t>
  </si>
  <si>
    <t>HEALTH</t>
  </si>
  <si>
    <t>Health club dues</t>
  </si>
  <si>
    <t>Prescriptions</t>
  </si>
  <si>
    <t>Over-the-counter drugs</t>
  </si>
  <si>
    <t>Co-payments/out-of-pocket</t>
  </si>
  <si>
    <t>Veterinarians/pet medicines</t>
  </si>
  <si>
    <t>VACATIONS</t>
  </si>
  <si>
    <t>Plane fare</t>
  </si>
  <si>
    <t>Accommodations</t>
  </si>
  <si>
    <t>Souvenirs</t>
  </si>
  <si>
    <t>Pet boarding</t>
  </si>
  <si>
    <t>RECREATION</t>
  </si>
  <si>
    <t>Gym fees</t>
  </si>
  <si>
    <t>Team dues</t>
  </si>
  <si>
    <t>Public radio</t>
  </si>
  <si>
    <t>Public television</t>
  </si>
  <si>
    <t>Religious organizations</t>
  </si>
  <si>
    <t>PERSONAL</t>
  </si>
  <si>
    <t>Gifts</t>
  </si>
  <si>
    <t>Salon/barber</t>
  </si>
  <si>
    <t>Books</t>
  </si>
  <si>
    <t>FINANCIAL OBLIGATIONS</t>
  </si>
  <si>
    <t>Long-term savings</t>
  </si>
  <si>
    <t>Retirement (401k, Roth IRA)</t>
  </si>
  <si>
    <t>Credit card payments</t>
  </si>
  <si>
    <t>Income tax (additional)</t>
  </si>
  <si>
    <t>MISC PAYMENTS</t>
  </si>
  <si>
    <t xml:space="preserve">   Other</t>
  </si>
  <si>
    <t>Totals are auto calculated in table starting in cell C105. Total expenses and Cash shortage or surplus are auto calculated for each month and entire year, and sparklines are updated.</t>
  </si>
  <si>
    <t>TOTALS</t>
  </si>
  <si>
    <t>SPARKLINE</t>
  </si>
  <si>
    <t>Total expenses</t>
  </si>
  <si>
    <t>Cash short/extra</t>
  </si>
  <si>
    <t>Government</t>
  </si>
  <si>
    <t>Rent</t>
  </si>
  <si>
    <t>Resteraunts</t>
  </si>
  <si>
    <t>HSA Refunds</t>
  </si>
  <si>
    <t>Principal Retirement</t>
  </si>
  <si>
    <t>FIVE GUYS VA 1981 QSR RICHMOND VA</t>
  </si>
  <si>
    <t>PUBLIX #1591 GLEN ALLEN VA</t>
  </si>
  <si>
    <t>APPLE.COM/BILL 866-712-7753 CAAPPLE PAY ENDING IN 4775MMW5N6TMYKA0</t>
  </si>
  <si>
    <t>WAWA 8647 HENRICO VA</t>
  </si>
  <si>
    <t>SQ *PROPER PIE CO. GOSQ.COM VAAPPLE PAY ENDING IN 47750001152921510329736349</t>
  </si>
  <si>
    <t>LIDL #1117 HENRICO VA1117012832211932118141</t>
  </si>
  <si>
    <t>FARM FRESH RICHMOND RICHMOND VA</t>
  </si>
  <si>
    <t>LYFT *1 RIDE 07-12 855-865-9553 CA</t>
  </si>
  <si>
    <t>IPANEMA CAFE RICHMOND VA</t>
  </si>
  <si>
    <t>MANCHESTER MARKET RICHMOND VA</t>
  </si>
  <si>
    <t>oyf</t>
  </si>
  <si>
    <t>CRAFTY CRAB RICHMOND RICHMOND VA</t>
  </si>
  <si>
    <t>AL AMIR MEDITERRANEAN CU RICHMOND VA</t>
  </si>
  <si>
    <t>AMZN MKTP US*2E07Z9NG0 AMZN.COM/BILLWA3MPJDCUP2B8</t>
  </si>
  <si>
    <t>AMZN MKTP US*2E1TV7NJ0 AMZN.COM/BILLWA13F5LEJXXW3</t>
  </si>
  <si>
    <t>BUSCH GARDENS VA ORLAN 407-545-5550 FL</t>
  </si>
  <si>
    <t>INSTACART*159 8882467822 CAAPPLE PAY ENDING IN 4775</t>
  </si>
  <si>
    <t>KROGER FUEL #3511 RICHMOND VA</t>
  </si>
  <si>
    <t>VERIZON*RECURRING PAY 800-VERIZON FL2069984643566429670001</t>
  </si>
  <si>
    <t>BUSCH GARDENS FOOD SVC WILLIAMSBURG VA</t>
  </si>
  <si>
    <t>BUSCH GARDENS GIFTS WILLIAMSBURG VA</t>
  </si>
  <si>
    <t>BUSCH GARDENS PARKING WILLIAMSBURG VA</t>
  </si>
  <si>
    <t>H B LEISURE WILLIAMSBURG WILLIAMSBURG VA</t>
  </si>
  <si>
    <t>WALGREENS #6923 NEWPORT NEWS VA</t>
  </si>
  <si>
    <t>MEZEH REYNOLDS CROSSING RICHMOND VA</t>
  </si>
  <si>
    <t>POKE SUSHI BOWL RICHMOND VA</t>
  </si>
  <si>
    <t>PAYPAL *GUMROAD DSADSA 402-935-7733 CA</t>
  </si>
  <si>
    <t>2M MEDITERRANEAN MARKET RICHMOND VA</t>
  </si>
  <si>
    <t>ADVANCE AUTO PARTS #4237 HENRICO VA</t>
  </si>
  <si>
    <t>AMZN MKTP US*2E9V53211 AMZN.COM/BILLWAQ7SNH9D1D73</t>
  </si>
  <si>
    <t>FLAGSTOP CAR WASH RICHMOND VA</t>
  </si>
  <si>
    <t>OFFICEMAX/DEPOT 6216 RICHMOND VA</t>
  </si>
  <si>
    <t>Internet</t>
  </si>
  <si>
    <t xml:space="preserve">F1 </t>
  </si>
  <si>
    <t>American Truckers</t>
  </si>
  <si>
    <t>Busch Gardens</t>
  </si>
  <si>
    <t>Calculator</t>
  </si>
  <si>
    <t>Apartment Search Spreadsheet</t>
  </si>
  <si>
    <t>PURCHASE AUTHORIZED ON 07/09 STITCH FIX, INC. 844-386-3850 CA S461190571583647 CARD 6634</t>
  </si>
  <si>
    <t>PURCHASE AUTHORIZED ON 07/12 WINDOW TINT SPECIA RICHMOND VA S461193793953813 CARD 6634</t>
  </si>
  <si>
    <t>VENMO CASHOUT 210713 1014678865611 SEAN LEWIS</t>
  </si>
  <si>
    <t>VENMO PAYMENT 210714 1014692980171 SEAN LEWIS</t>
  </si>
  <si>
    <t>VENMO PAYMENT 210715 1014713295742 SEAN LEWIS</t>
  </si>
  <si>
    <t>Nationwide PAYROLL 01 HRP0007476185 Sean Lewis</t>
  </si>
  <si>
    <t>DISCOVER E-PAYMENT 210716 7328 LEWIS SEAN</t>
  </si>
  <si>
    <t>PURCHASE AUTHORIZED ON 07/15 CASH APP*SHEVON LE 8774174551 CA S581196805079799 CARD 6634</t>
  </si>
  <si>
    <t>VENMO CASHOUT 210716 1014731525115 SEAN LEWIS</t>
  </si>
  <si>
    <t>VENMO CASHOUT 210716 1014726463233 SEAN LEWIS</t>
  </si>
  <si>
    <t>DOMINION ENERGY BILLPAY 210719 DOMINION ENERGY SEAN LEWIS</t>
  </si>
  <si>
    <t>GasBuddy GasBuddy IL2YPKVVP Sean Lewis</t>
  </si>
  <si>
    <t>VENMO CASHOUT 210721 1014807234292 SEAN LEWIS</t>
  </si>
  <si>
    <t>DISCOVER E-PAYMENT 210722 7328 LEWIS SEAN</t>
  </si>
  <si>
    <t>New Manchester F WEB PMTS 072221 WR8LQ7 Sean Lewis</t>
  </si>
  <si>
    <t>HEALTHEQUITY INC HealthEqui 21 Jul 22317048 Sean Lewis (22317048)</t>
  </si>
  <si>
    <t>Window Tint</t>
  </si>
  <si>
    <t>3070 GPU</t>
  </si>
  <si>
    <t>3060 Ti GPU</t>
  </si>
  <si>
    <t xml:space="preserve">3070 GPU </t>
  </si>
  <si>
    <t>Video Streaming</t>
  </si>
  <si>
    <t>Music Streaming</t>
  </si>
  <si>
    <t>Podcasts</t>
  </si>
  <si>
    <t>Sports Organizations</t>
  </si>
  <si>
    <t>Expense_Categories</t>
  </si>
  <si>
    <t>home</t>
  </si>
  <si>
    <t>transportation</t>
  </si>
  <si>
    <t>entertainment</t>
  </si>
  <si>
    <t>health</t>
  </si>
  <si>
    <t>vacations</t>
  </si>
  <si>
    <t>recreation</t>
  </si>
  <si>
    <t>personal</t>
  </si>
  <si>
    <t>financial obligations</t>
  </si>
  <si>
    <t>misc payments</t>
  </si>
  <si>
    <t>daily.living</t>
  </si>
  <si>
    <t>dues.subscription</t>
  </si>
  <si>
    <t>SUBSCRIPTION</t>
  </si>
  <si>
    <t>All</t>
  </si>
  <si>
    <t>Budget Main CAT</t>
  </si>
  <si>
    <t>UNCLE CS CHICKEN &amp; WAFFL ALEXANDRIA VA</t>
  </si>
  <si>
    <t>AUTOZONE #0930 RICHMOND VA</t>
  </si>
  <si>
    <t>CVS/PHARMACY #01989 RICHMOND VA</t>
  </si>
  <si>
    <t>MCDONALD'S F36546 RICHMOND VA</t>
  </si>
  <si>
    <t>TCKTWEB*PURITYRINGTOUR 800-965-4827 CA46583863RRBTELVW</t>
  </si>
  <si>
    <t>HYMAN BROS NISSAN - KIA MIDLOTHIAN VA</t>
  </si>
  <si>
    <t>LYFT *2 RIDES 07-28 855-865-9553 CA</t>
  </si>
  <si>
    <t>SUSHI KING &amp; GRILL HENRICO VA</t>
  </si>
  <si>
    <t>ALLIANZ EVENT INS 888-817-2166 VA</t>
  </si>
  <si>
    <t>AUDIBLE*2P1RN5ZH0 AMZN.COM/BILLNJ4BON36101MJ</t>
  </si>
  <si>
    <t>CVS/PHARMACY #00067 CHARLOTTESVILVA</t>
  </si>
  <si>
    <t>SQ *IRON - PAFFLES AND CHARLOTTESVILVA0002305843014359512962</t>
  </si>
  <si>
    <t>TM *JAMES BLAKE 800-653-8000 CALA2/61-20183</t>
  </si>
  <si>
    <t>WP FIRST AND MARKET PARK CHARLOTTESVLEVA</t>
  </si>
  <si>
    <t>NETFLIX.COM NETFLIX.COM CA50196014607</t>
  </si>
  <si>
    <t>OTTO TURKISH STREET CHARLOTTESVILVA</t>
  </si>
  <si>
    <t>SPOTIFY P1641526B9 8777781161 NY</t>
  </si>
  <si>
    <t>CELL TECH HENRICO VA</t>
  </si>
  <si>
    <t>APPLE.COM/BILL 866-712-7753 CAAPPLE PAY ENDING IN 4775MMW5XL8J7LA0</t>
  </si>
  <si>
    <t>APPLE.COM/BILL 866-712-7753 CAAPPLE PAY ENDING IN 4775MMW5XKWJ29A0</t>
  </si>
  <si>
    <t>AMZN DIGITAL*2P7GJ5MY1 888-802-3080 WA5HLXUOLXVYK</t>
  </si>
  <si>
    <t>APPLE STORE #R078 RICHMOND VAR078574525823</t>
  </si>
  <si>
    <t>AUDIBLE*2P6PT64R2 AMZN.COM/BILLNJ4S74BZ6JTEN</t>
  </si>
  <si>
    <t>APPLE STORE #R078 RICHMOND VAR078520612951</t>
  </si>
  <si>
    <t>APPLE.COM/BILL 866-712-7753 CAAPPLE PAY ENDING IN 4775MMW5XXFHM6A0</t>
  </si>
  <si>
    <t>FROST GELATO RICHMOND VA</t>
  </si>
  <si>
    <t>TEACHERSPAYTEACHERS.COM 646-588-0910 NY</t>
  </si>
  <si>
    <t>APPLE.COM/BILL 866-712-7753 CAAPPLE PAY ENDING IN 4775MMW5Y91N88A0</t>
  </si>
  <si>
    <t>EINSTEINMOBILEAPP #7997 BROOKLYN CENTMN</t>
  </si>
  <si>
    <t>WOB RICHMOND TAMPA FL00530R</t>
  </si>
  <si>
    <t>CRYSTAL CAR WASH ESSEX MD</t>
  </si>
  <si>
    <t>PIZZA JOHNS ESSEX MD</t>
  </si>
  <si>
    <t>APPLE.COM/BILL 866-712-7753 CAAPPLE PAY ENDING IN 4775MMW5ZFT69NA0</t>
  </si>
  <si>
    <t>WAWA 8626 HENRICO VA</t>
  </si>
  <si>
    <t>PAYPAL *EDX INC 888-221-1161 CA</t>
  </si>
  <si>
    <t>PAYPAL *VIZMEDIALLC 402-935-7733 CA</t>
  </si>
  <si>
    <t>WALMART SC 04191 RICHMOND VA</t>
  </si>
  <si>
    <t>COLPARK LOC 128 WASHINGTON DC</t>
  </si>
  <si>
    <t>FILOMENA RISTORANTE WASHINGTON DC</t>
  </si>
  <si>
    <t>EL PIQUIN RESTAURANT II MIDDLE RIVER MD</t>
  </si>
  <si>
    <t>PRIME VIDEO*2D4JM7JK0 888-802-3080 WA2CLGHC1IWB9</t>
  </si>
  <si>
    <t>WALMART STORE 03481 BALTIMORE MD</t>
  </si>
  <si>
    <t>SQ *COFFEE REPUBLIC ROCKVILLE MD0002305843014431991347</t>
  </si>
  <si>
    <t>SQ *COFFEE REPUBLIC ROCKVILLE MD0002305843014431998036</t>
  </si>
  <si>
    <t>FONTINA GRILLE ROCKVILLE MD</t>
  </si>
  <si>
    <t>VERIZON*RECURRING PAY 800-VERIZON FL2095284193566429670001</t>
  </si>
  <si>
    <t>APPLE.COM/BILL 866-712-7753 CAAPPLE PAY ENDING IN 4775MMW62M4H82A0</t>
  </si>
  <si>
    <t>APPLE.COM/BILL 866-712-7753 CAAPPLE PAY ENDING IN 4775MMW62MTV0FA0</t>
  </si>
  <si>
    <t>City Skylines</t>
  </si>
  <si>
    <t>Statistical Modeling Course</t>
  </si>
  <si>
    <t>Going Away Lunch</t>
  </si>
  <si>
    <t>Concert</t>
  </si>
  <si>
    <t>Car Check Up</t>
  </si>
  <si>
    <t>Book</t>
  </si>
  <si>
    <t>Video Game</t>
  </si>
  <si>
    <t>Cell phone cover</t>
  </si>
  <si>
    <t>New Battery</t>
  </si>
  <si>
    <t>OF</t>
  </si>
  <si>
    <t>App</t>
  </si>
  <si>
    <t>Funimation</t>
  </si>
  <si>
    <t>Bumble</t>
  </si>
  <si>
    <t>The Athletic</t>
  </si>
  <si>
    <t>Tinder</t>
  </si>
  <si>
    <t>NW TRVL REIMB EDI PYMNTS TRVL0000373942 SEAN LEWIS</t>
  </si>
  <si>
    <t>VENMO CASHOUT 210728 1014922086967 SEAN LEWIS</t>
  </si>
  <si>
    <t>Nationwide PAYROLL 01 HRP0007517433 Sean Lewis</t>
  </si>
  <si>
    <t>DISCOVER E-PAYMENT 210804 7328 LEWIS SEAN</t>
  </si>
  <si>
    <t>PURCHASE AUTHORIZED ON 08/04 CASH APP*SHEVON LE 8774174551 CA S581216397058428 CARD 6634</t>
  </si>
  <si>
    <t>PURCHASE AUTHORIZED ON 08/07 CASH APP*ENGAGETM 8774174551 CA S461219710360938 CARD 6634</t>
  </si>
  <si>
    <t>PURCHASE AUTHORIZED ON 08/10 CASH APP*KAIYA 8774174551 CA S381222493471685 CARD 6634</t>
  </si>
  <si>
    <t>PURCHASE AUTHORIZED ON 08/10 CASH APP*EZIBU MUN 8774174551 CA S381222434649872 CARD 6634</t>
  </si>
  <si>
    <t>Nationwide PAYROLL 01 HRP0007557398 Sean Lewis</t>
  </si>
  <si>
    <t>PURCHASE AUTHORIZED ON 08/15 CASH APP*CYANFACE 8774174551 CA S461227811259239 CARD 6634</t>
  </si>
  <si>
    <t>PURCHASE AUTHORIZED ON 08/13 CASH APP*DON LEWIS 8774174551 CA S381226007335762 CARD 6634</t>
  </si>
  <si>
    <t>Nationwide Tech Reimbursement</t>
  </si>
  <si>
    <t>Dance</t>
  </si>
  <si>
    <t>DOMOISHI CHESTERFIELD VA</t>
  </si>
  <si>
    <t>SHELL 57546332701 RICHMOND VA</t>
  </si>
  <si>
    <t>115 AMF 8003425263 RICHMOND VA</t>
  </si>
  <si>
    <t>SQ *KLIGG CO HENRICO VA0002305843014454290305</t>
  </si>
  <si>
    <t>BOWLERO RICHMOND RICHMOND VA</t>
  </si>
  <si>
    <t>APPLE STORE R078 RICHMOND VA</t>
  </si>
  <si>
    <t>REUNION TOWER OBSERVAT 214-712-7060 TX02265R</t>
  </si>
  <si>
    <t>JIMMY JOHNS - 1740 RICHMOND VA</t>
  </si>
  <si>
    <t>JIMMY JOHNS - 1741 RICHMOND VA</t>
  </si>
  <si>
    <t>AMZN MKTP US*251E06OQ0 AMZN.COM/BILLWA6VCJ7N5UKI9</t>
  </si>
  <si>
    <t>AUDIBLE*2D3RB32Z2 AMZN.COM/BILLNJQ932JGGF4H3</t>
  </si>
  <si>
    <t>WALMART SC 02821 RICHMOND VA</t>
  </si>
  <si>
    <t>AUDIBLE*2D9SS87X2 AMZN.COM/BILLNJ1WZ0U42YG4M</t>
  </si>
  <si>
    <t>BP#9818212GOLDIES CONVEN RICHMOND VA</t>
  </si>
  <si>
    <t>MOORE STREET CAFE RICHMOND VA</t>
  </si>
  <si>
    <t>SQ *WILD BEAN &amp; THUNDE LEWISBURG WV0001152921510492179121</t>
  </si>
  <si>
    <t>BP#8774481MAPCO #3416 NASHVILLE TN</t>
  </si>
  <si>
    <t>IN *MUSICIANS HALL FAM NASHVILLE TNAPNYE865</t>
  </si>
  <si>
    <t>L2G*METRO PARKS 615-86 NASHVILLE TN3813151451</t>
  </si>
  <si>
    <t>PP*ELTOROLOCO SAN JOSE CA</t>
  </si>
  <si>
    <t>SHELL 10011455010 LEXINGTON KY</t>
  </si>
  <si>
    <t>VEGE LICIOUS LLC NASHVILLE TN</t>
  </si>
  <si>
    <t>APPLE.COM/BILL 866-712-7753 CAAPPLE PAY ENDING IN 4775MMW65YVSJHA0</t>
  </si>
  <si>
    <t>BP#9473786FAIRMONT CITY FAIRMONT CITYIL</t>
  </si>
  <si>
    <t>CITY MUSEUM RETAIL LAKEWOOD NJ</t>
  </si>
  <si>
    <t>GATEWAY ARCH MUSEUM STOR SAINT LOUIS MO</t>
  </si>
  <si>
    <t>LIM*RIDE COST 8885463345 CA</t>
  </si>
  <si>
    <t>FUEL &amp; FOOD OKLAHOMA CITYOK</t>
  </si>
  <si>
    <t>KAI VIETNAMESE CUISINE TULSA OK</t>
  </si>
  <si>
    <t>PARKMOBILE 770-818-9036 GAAPPLE PAY ENDING IN 4775450622009</t>
  </si>
  <si>
    <t>SQ *BLACK WALL STREET TULSA OK0002305843014497838651</t>
  </si>
  <si>
    <t>DPJ*OKC NATIONAL MEMORIA OKLAHOMA CITYOK</t>
  </si>
  <si>
    <t>OKLAHOMA CITY NATIONAL M OKLAHOMA CITYOK</t>
  </si>
  <si>
    <t>OOZIE RESTAURANT LLC OKLAHOMA CITYOK</t>
  </si>
  <si>
    <t>PARKMOBILE 770-818-9036 GAAPPLE PAY ENDING IN 4775450655263</t>
  </si>
  <si>
    <t>NETFLIX.COM NETFLIX.COM CA51012077542</t>
  </si>
  <si>
    <t>SPOTIFY P16BA1A5E9 8777781161 NY</t>
  </si>
  <si>
    <t>7-ELEVEN 35789 BELTON TX</t>
  </si>
  <si>
    <t>IN N OUT BURGER 275 LANCASTER TX</t>
  </si>
  <si>
    <t>THE SIXTH FLOOR MUSEUM DALLAS TX00137R</t>
  </si>
  <si>
    <t>UCHI AUSTIN AUSTIN TX00190R</t>
  </si>
  <si>
    <t>AF*NICOLAN LLC 866-648-1536 AZ</t>
  </si>
  <si>
    <t>APPLE.COM/BILL 866-712-7753 CAAPPLE PAY ENDING IN 4775MMW66086XZA0</t>
  </si>
  <si>
    <t>BIRD* RIDE 8662052442 CA</t>
  </si>
  <si>
    <t>LIDS 5557 SAN ANTONIO TX</t>
  </si>
  <si>
    <t>STARBUCKS STORE 06306 SAN ANTONIO TX3EF53745BEFA712833</t>
  </si>
  <si>
    <t>THE ALAMO 2102251391 TX</t>
  </si>
  <si>
    <t>TSFM ONLINE TICKET SLS 214-747-6660 TX2219697</t>
  </si>
  <si>
    <t>WHEELS RIDE IN STYLE 8882407120 CAAPPLE PAY ENDING IN 4775</t>
  </si>
  <si>
    <t>EXXONMOBIL MC CAMEY TX</t>
  </si>
  <si>
    <t>EXXONMOBIL SAN ANTONIO TX</t>
  </si>
  <si>
    <t>MUSTANG FRANKLING PLAZA DALLAS TX</t>
  </si>
  <si>
    <t>SPEEDWAY 09810 715 N. ST EL PASO TX</t>
  </si>
  <si>
    <t>TST* BEST QUALITY DAUGHT SAN ANTONIO TX</t>
  </si>
  <si>
    <t>JIFFY LUBE #1807 PHOENIX AZ</t>
  </si>
  <si>
    <t>Road Trip</t>
  </si>
  <si>
    <t>Last Richmond</t>
  </si>
  <si>
    <t>Phoenix Apartment Search</t>
  </si>
  <si>
    <t>Audible</t>
  </si>
  <si>
    <t>Donda</t>
  </si>
  <si>
    <t>Apple Music</t>
  </si>
  <si>
    <t>fraud</t>
  </si>
  <si>
    <t>road trip</t>
  </si>
  <si>
    <t>DOMINION ENERGY BILLPAY 210820 DOMINION ENERGY SEAN LEWIS</t>
  </si>
  <si>
    <t>DISCOVER E-PAYMENT 210822 7328 LEWIS SEAN</t>
  </si>
  <si>
    <t>PURCHASE AUTHORIZED ON 08/22 CASH APP*SHEVON LE 8774174551 CA S461235103363903 CARD 6634</t>
  </si>
  <si>
    <t>PURCHASE AUTHORIZED ON 08/20 115 AMF 8003425263 RICHMOND VA S581233009192283 CARD 6634</t>
  </si>
  <si>
    <t>DISCOVER E-PAYMENT 210826 7328 LEWIS SEAN</t>
  </si>
  <si>
    <t>Nationwide PAYROLL 01 HRP0007594112 Sean Lewis</t>
  </si>
  <si>
    <t>New Manchester F WEB PMTS 082721 7DC2V7 Sean Lewis</t>
  </si>
  <si>
    <t>PURCHASE AUTHORIZED ON 08/31 CASH APP*ENGAGETM 8774174551 CA S381243841573529 CARD 6634</t>
  </si>
  <si>
    <t>Bowling</t>
  </si>
  <si>
    <t>LAZ PARKING 340137-LUKE 858-587-8888 AZ</t>
  </si>
  <si>
    <t>QT 407 PHOENIX AZ0040702DNAXPWTE</t>
  </si>
  <si>
    <t>TST* AINSWORTH PHOENIX AZ</t>
  </si>
  <si>
    <t>WALMART SC 02112 SCOTTSDALE AZ</t>
  </si>
  <si>
    <t>PRIME VIDEO*2G9AC2CO1 888-802-3080 WA4WWO5UY57M7</t>
  </si>
  <si>
    <t>VEGAN HOUSE PHOENIX AZ</t>
  </si>
  <si>
    <t>AMAZON.COM*2G8KE5OH0 AMZN.COM/BILLWA1JIZVW8KGTQ</t>
  </si>
  <si>
    <t>OFFICEMAX/DEPOT 6188 SCOTTSDALE AZ</t>
  </si>
  <si>
    <t>WALMART SC 02766 SCOTTSDALE (NAZ</t>
  </si>
  <si>
    <t>CAVASSON EASTSIDE CAFE SCOTTSDALE AZ</t>
  </si>
  <si>
    <t>CVS/PHARMACY #09297 PHOENIX AZAPPLE PAY ENDING IN 4775</t>
  </si>
  <si>
    <t>TMOBILE*POSTPAID PDA 800-937-8997 WA911600776</t>
  </si>
  <si>
    <t>CAVASSON EASTSIDE CAFE SCOTTSDALE AZAPPLE PAY ENDING IN 4775</t>
  </si>
  <si>
    <t>CIRCLE K 00114 PHOENIX AZ00946R</t>
  </si>
  <si>
    <t>THE TACO SPOT TEMPE AZ</t>
  </si>
  <si>
    <t>CAFE RIO 0084 SCOTTSDALE SCOTTSDALE AZ</t>
  </si>
  <si>
    <t>WILDERNESS DTPHX PHOENIX AZ</t>
  </si>
  <si>
    <t>APPLE.COM/BILL 866-712-7753 CAAPPLE PAY ENDING IN 4775MMW68F776WA0</t>
  </si>
  <si>
    <t>BASILIC VIETNAMESE BAR PHOENIX AZ</t>
  </si>
  <si>
    <t>PARKMOBILE 770-818-9036 GAAPPLE PAY ENDING IN 4775455077960</t>
  </si>
  <si>
    <t>PARKMOBILE 770-818-9036 GAAPPLE PAY ENDING IN 4775455089061</t>
  </si>
  <si>
    <t>PARKMOBILE 770-818-9036 GAAPPLE PAY ENDING IN 4775455092750</t>
  </si>
  <si>
    <t>PY *AZ ICLF 602-258-0109 AZPY *AZ ICLF</t>
  </si>
  <si>
    <t>SQ *GIANT COFFEE PHOENIX AZAPPLE PAY ENDING IN 47750002305843014550413401</t>
  </si>
  <si>
    <t>SQ *MIGHTY MOO ICE CRE YOUNGTOWN AZ0001152921510548067930</t>
  </si>
  <si>
    <t>STAPLES 00102632105 PHOENIX AZAPPLE PAY ENDING IN 4775</t>
  </si>
  <si>
    <t>SHELL 57442225306 TEMPE AZ</t>
  </si>
  <si>
    <t>STAPLES 00102616105 GLENDALE AZAPPLE PAY ENDING IN 4775</t>
  </si>
  <si>
    <t>SP * WIDE WORLD MAPS &amp; 6022792323 AZ</t>
  </si>
  <si>
    <t>TACO BELL #23057 PHOENIX AZ</t>
  </si>
  <si>
    <t>ACE PARKING 1309 SAN DIEGO CA</t>
  </si>
  <si>
    <t>BOSA 8TH/B SAN DIEGO CA</t>
  </si>
  <si>
    <t>GLENNS MARKET SAN DIEGO CA</t>
  </si>
  <si>
    <t>ROXY'S TACOS SAN DIEGO CA</t>
  </si>
  <si>
    <t>SHELL 57442518304 GILA BEND AZ</t>
  </si>
  <si>
    <t>SHELL 57442736005 SAN DIEGO CA</t>
  </si>
  <si>
    <t>SQ *HOLSEM COFFEE SAN DIEGO CA0002305843014572475252</t>
  </si>
  <si>
    <t>SQ *NORTH END COFFEEHO YUMA AZ0001152921510561442057</t>
  </si>
  <si>
    <t>SQ *OBSERVATORY NORTH LA MESA CA0001152921510564111901</t>
  </si>
  <si>
    <t>7-ELEVEN 26201 MESA AZ</t>
  </si>
  <si>
    <t>ABC BICYCLES &amp; JET SKI R MESA AZ</t>
  </si>
  <si>
    <t>APPLE.COM/BILL 866-712-7753 CAAPPLE PAY ENDING IN 4775MMW6DH65BYA0</t>
  </si>
  <si>
    <t>CIRCLE K 05187 YUMA AZ01772R</t>
  </si>
  <si>
    <t>CIRCLE K 05187 YUMA AZ01747R</t>
  </si>
  <si>
    <t>IN N OUT BURGER 128 SAN DIEGO CA</t>
  </si>
  <si>
    <t>JAMES BLAKE MERCH SAN DIEGO CA</t>
  </si>
  <si>
    <t>MESA DRUMMER BAR &amp; GRILL MESA AZ</t>
  </si>
  <si>
    <t>MTS- PRONTO 619-595-5636 CA6588551817</t>
  </si>
  <si>
    <t>SQ *ORO BREWING COMPAN MESA AZ0001152921510568447558</t>
  </si>
  <si>
    <t>ARCO #42463 AMPM MESA AZ</t>
  </si>
  <si>
    <t>LYFT *1 RIDE 09-16 855-865-9553 CA</t>
  </si>
  <si>
    <t>TST* WORTH TAKEAWAY MESA AZAPPLE PAY ENDING IN 4775</t>
  </si>
  <si>
    <t>SAFEWAY #2821 GLENDALE AZAPPLE PAY ENDING IN 4775</t>
  </si>
  <si>
    <t>WALMART SC 02113 PHOENIX AZ</t>
  </si>
  <si>
    <t>ZUKIS PITA LLC PHOENIX AZ</t>
  </si>
  <si>
    <t>SALAD AND GO #1117 PHOENIX AZ</t>
  </si>
  <si>
    <t>TARGET PHOENIX AZAPPLE PAY ENDING IN 4775</t>
  </si>
  <si>
    <t>TST* RAMEN HOOD SCOTTSDALE AZ</t>
  </si>
  <si>
    <t>TST* WOW WOW HAWAIIAN LE GLENDALE AZ</t>
  </si>
  <si>
    <t>COCONUT'S FISH CAFE, SCO SCOTTSDALE AZ</t>
  </si>
  <si>
    <t>MUSICAL INSTRUMENT MUSEU PHOENIX AZ</t>
  </si>
  <si>
    <t>U-HAUL MOVING &amp; STORAGE 800-789-3638 AZ</t>
  </si>
  <si>
    <t>CAVIAR*BOP AND ROLL 6506819470 CAAPPLE PAY ENDING IN 4775</t>
  </si>
  <si>
    <t>CIRCLE K 00114 PHOENIX AZ02308R</t>
  </si>
  <si>
    <t>WALGREENS #5893 PHOENIX AZ</t>
  </si>
  <si>
    <t>CIRCLE K 00114 PHOENIX AZ02457R</t>
  </si>
  <si>
    <t>JIMMY JOHNS - 2500 - ECO PHOENIX AZAPPLE PAY ENDING IN 4775</t>
  </si>
  <si>
    <t>TARGET TOLLESON AZ</t>
  </si>
  <si>
    <t>AMZN MKTP US*2G2048UX2 AMZN.COM/BILLWA2O0OKSKY6VK</t>
  </si>
  <si>
    <t>CLR*STRETCHZONE480687187 480-687-1874 TXCLR*STRETCHZONE480687187</t>
  </si>
  <si>
    <t>SQ *HOT DAISY PIZZA PHOENIX AZ0001152921510603415746</t>
  </si>
  <si>
    <t>THE ARROGANT BUTCHER PHOENIX AZ</t>
  </si>
  <si>
    <t>SAFEWAY #2651 PHOENIX AZAPPLE PAY ENDING IN 4775</t>
  </si>
  <si>
    <t>SLICE*HOTDAISYPIZZA 8889749928 NY</t>
  </si>
  <si>
    <t>APPLE.COM/BILL 866-712-7753 CAAPPLE PAY ENDING IN 4775MMW6J5JFWTA0</t>
  </si>
  <si>
    <t>AZ MVD WEB 602-217-0072 AZ</t>
  </si>
  <si>
    <t>AZ VEHICLE EMISSIONS PHOENIX AZ</t>
  </si>
  <si>
    <t>CIRCLE K 01569 PHOENIX AZ02961R</t>
  </si>
  <si>
    <t>TEMPE MVD TEMPE AZ</t>
  </si>
  <si>
    <t>Rick and Morty Season 5</t>
  </si>
  <si>
    <t>Confessions of a Civil Engineer</t>
  </si>
  <si>
    <t>Apple TV+</t>
  </si>
  <si>
    <t>Arizona ID</t>
  </si>
  <si>
    <t>VENMO PAYMENT 210907 1015610132387 SEAN LEWIS</t>
  </si>
  <si>
    <t>VENMO PAYMENT 210907 1015610143164 SEAN LEWIS</t>
  </si>
  <si>
    <t>DISCOVER E-PAYMENT 210905 7328 LEWIS SEAN</t>
  </si>
  <si>
    <t>BEST BUY PAYMENT 210906 600529869889757 SEAN LEWIS</t>
  </si>
  <si>
    <t>VENMO PAYMENT 210906 1015607904636 SEAN LEWIS</t>
  </si>
  <si>
    <t>VENMO CASHOUT 210904 1015569376460 SEAN LEWIS</t>
  </si>
  <si>
    <t>MONEY TRANSFER AUTHORIZED ON 09/03 FROM Sean Lewis VA S00301247145291284 CARD 6634</t>
  </si>
  <si>
    <t>Patientco - Hold WEB PMTS 090821 Y86Z4H Sean Lewis</t>
  </si>
  <si>
    <t>PURCHASE AUTHORIZED ON 09/07 HARKINS CHRISTOWN PHOENIX AZ S301251072394744 CARD 6634</t>
  </si>
  <si>
    <t>Nationwide PAYROLL 01 HRP0007635587 Sean Lewis</t>
  </si>
  <si>
    <t>DISCOVER E-PAYMENT 210910 7328 LEWIS SEAN</t>
  </si>
  <si>
    <t>VENMO CASHOUT 210910 1015662408790 SEAN LEWIS</t>
  </si>
  <si>
    <t>BEST BUY PAYMENT 210910 600533720242364 SEAN LEWIS</t>
  </si>
  <si>
    <t>HEALTHEQUITY INC HealthEqui 10 Sep 22317048 Sean Lewis (22317048)</t>
  </si>
  <si>
    <t>VENMO PAYMENT 210914 1015735705534 SEAN LEWIS</t>
  </si>
  <si>
    <t>PURCHASE AUTHORIZED ON 09/16 SHELL SERVICE STATION SAN DIEGO CA P00461259834878188 CARD 6634</t>
  </si>
  <si>
    <t>DOMINION ENERGY BILLPAY 210920 DOMINION ENERGY SEAN LEWIS</t>
  </si>
  <si>
    <t>DISCOVER E-PAYMENT 210918 7328 LEWIS SEAN</t>
  </si>
  <si>
    <t>PURCHASE AUTHORIZED ON 09/18 CASH APP*SHEVON LE 8774174551 CA S381261606453821 CARD 6634</t>
  </si>
  <si>
    <t>TRANSFER TO LEWIS SHARON ON 09/23 REF #PP0CGPSBQT XXXXXXXXX5267</t>
  </si>
  <si>
    <t>Nationwide PAYROLL 01 HRP0007674476 Sean Lewis</t>
  </si>
  <si>
    <t>VENMO PAYMENT 210924 1015907993690 SEAN LEWIS</t>
  </si>
  <si>
    <t>PURCHASE AUTHORIZED ON 09/23 CASH APP*CYANFACE 8774174551 CA S581266779486945 CARD 6634</t>
  </si>
  <si>
    <t>DEPOSIT MADE IN A BRANCH/STORE #964425982</t>
  </si>
  <si>
    <t>VENMO PAYMENT 210926 1015930503247 SEAN LEWIS</t>
  </si>
  <si>
    <t>DISCOVER E-PAYMENT 210925 7328 LEWIS SEAN</t>
  </si>
  <si>
    <t>VENMO PAYMENT 210926 1015940675150 SEAN LEWIS</t>
  </si>
  <si>
    <t>PURCHASE AUTHORIZED ON 09/24 CASH APP*MONIQUE D 8774174551 CA S301267664719161 CARD 6634</t>
  </si>
  <si>
    <t>VENMO CASHOUT 210926 1015937626231 SEAN LEWIS</t>
  </si>
  <si>
    <t>NW TRVL REIMB EDI PYMNTS TRVL0000392868 SEAN LEWIS</t>
  </si>
  <si>
    <t>TRANSFER FROM LEWIS SHARON ON 09/28 REF # PP0CHQ7H9Q THANK YOU</t>
  </si>
  <si>
    <t>VENMO CASHOUT 210927 1015964369193 SEAN LEWIS</t>
  </si>
  <si>
    <t>VENMO PAYMENT 211001 1016029881790 SEAN LEWIS</t>
  </si>
  <si>
    <t>Rent - Artisan Village</t>
  </si>
  <si>
    <t>Cleaning</t>
  </si>
  <si>
    <t>Best Buy - Credit</t>
  </si>
  <si>
    <t>Donation</t>
  </si>
  <si>
    <t>Eye</t>
  </si>
  <si>
    <t>Movie</t>
  </si>
  <si>
    <t>Sharon</t>
  </si>
  <si>
    <t>SAFEWAY #1549 SCOTTSDALE AZ</t>
  </si>
  <si>
    <t>GYRO 101 SCOTTSDALE AZ</t>
  </si>
  <si>
    <t>NETFLIX.COM NETFLIX.COM CA51939963204</t>
  </si>
  <si>
    <t>PAYPAL *RAILCDC 402-935-7733 CA</t>
  </si>
  <si>
    <t>SPOTIFY P17410D70A 8777781161 NY</t>
  </si>
  <si>
    <t>SQ *ABEE NETH TEMPE AZ0001152921510628100397</t>
  </si>
  <si>
    <t>TST* COMICX RESTAURANT B PHOENIX AZ</t>
  </si>
  <si>
    <t>SAFEWAY #2651 PHOENIX AZ</t>
  </si>
  <si>
    <t>STARBUCKS STORE 05326 PHOENIX AZC7D8D844F518694271</t>
  </si>
  <si>
    <t>PANDA EXPRESS 1185 SCOTTSDALE AZ</t>
  </si>
  <si>
    <t>TOCAYA KIERLAND COMMOMS SCOTTSDALE AZ</t>
  </si>
  <si>
    <t>WALMART SC 02515 PHOENIX (EASTAZ</t>
  </si>
  <si>
    <t>AQUA SCIENCE - AQUASCIEN TEMPE AZ</t>
  </si>
  <si>
    <t>THE HOME DEPOT #0477 PHOENIX AZ</t>
  </si>
  <si>
    <t>CVS/PHARMACY #09252 SCOTTSDALE AZ</t>
  </si>
  <si>
    <t>WALMART FUEL 02766 SCOTTSDALE AZ</t>
  </si>
  <si>
    <t>VIET SHACK LLC TEMPE AZ00829R</t>
  </si>
  <si>
    <t>ATI4523-010849955 310-627-2866 CAAPPLE PAY ENDING IN 4775</t>
  </si>
  <si>
    <t>GOODWILL # 187 TEMPE AZ</t>
  </si>
  <si>
    <t>JOBOT COFFEE PHOENIX AZ</t>
  </si>
  <si>
    <t>PAYPAL *MYFICO COM 402-935-7733 CA</t>
  </si>
  <si>
    <t>SANTAMADRETACOSHOP TEMPE AZ</t>
  </si>
  <si>
    <t>AMAZON.COM*271026X70 AMZN.COM/BILLWA6QNHOBYNV07</t>
  </si>
  <si>
    <t>APPLE.COM/BILL 866-712-7753 CAAPPLE PAY ENDING IN 4775MMW6N22SQSA0</t>
  </si>
  <si>
    <t>LOWE'S OF S. SCOTTSDALE, SCOTTSDALE AZ</t>
  </si>
  <si>
    <t>BASKETBALL MONSTER 262-684-9090 WI</t>
  </si>
  <si>
    <t>PAYPAL *NEWEGGCOM 402-935-7733 CA</t>
  </si>
  <si>
    <t>PAYPAL *GAMERSNEXUS 402-935-7733 CA</t>
  </si>
  <si>
    <t>AMAZON.COM*2751M5IF0 AMZN.COM/BILLWA165YQNKHUIE</t>
  </si>
  <si>
    <t>CHEBA HUT- PHOENIX AZ OL PHOENIX AZ</t>
  </si>
  <si>
    <t>PAYPAL *CREATORWARE 402-935-7733 CA</t>
  </si>
  <si>
    <t>APPLE.COM/BILL 866-712-7753 CAAPPLE PAY ENDING IN 4775MMW6N3DV6SA0</t>
  </si>
  <si>
    <t>CIRCLE K 08841 PHOENIX AZ01628R</t>
  </si>
  <si>
    <t>AMZN MKTP US*2Y2H57JD1 AMZN.COM/BILLWA2N8OWIZUJO6</t>
  </si>
  <si>
    <t>APPLE.COM/BILL 866-712-7753 CAAPPLE PAY ENDING IN 4775MMW6SBGS16A0</t>
  </si>
  <si>
    <t>SQ *SUNVALLEYBEES SCOTTSDALE AZ0002305843014715920317</t>
  </si>
  <si>
    <t>TMOBILE*AUTO PAY 800-937-8997 WA955036750</t>
  </si>
  <si>
    <t>UBR POSTMATES 866-576-1039 CA</t>
  </si>
  <si>
    <t>SQ *PITA CAFE SCOTTSDALE AZ0002305843014719231735</t>
  </si>
  <si>
    <t>AJO ALS ME* AJO ALS ME 8887072469 AZ</t>
  </si>
  <si>
    <t>FRESHMINT SCOTTSDALE AZ01903R</t>
  </si>
  <si>
    <t>GOOGLE *YOUTUBE TV G.CO/HELPPAY#CAP0EQ8SVG</t>
  </si>
  <si>
    <t>AMZN MKTP US*2Y7IO6Z42 AMZN.COM/BILLWA7EE3JBIA1TB</t>
  </si>
  <si>
    <t>JIMMY JOHNS - 2500 PHOENIX AZ</t>
  </si>
  <si>
    <t>DICKS SPORTING GOODS#362 TEMPE AZ</t>
  </si>
  <si>
    <t>PANDA EXPRESS #1326 TEMPE AZ</t>
  </si>
  <si>
    <t>APPLE.COM/BILL 866-712-7753 CAAPPLE PAY ENDING IN 4775MMW6V37SW4A0</t>
  </si>
  <si>
    <t>CB LIVE F&amp;B PHOENIX AZ</t>
  </si>
  <si>
    <t>LTF*LIFE TIME MO DUES 888-430-6432 MN111888758-298D</t>
  </si>
  <si>
    <t>TST* BREAKFAST CLUB - BI PHOENIX AZ</t>
  </si>
  <si>
    <t>CIRCLE K 05325 PHOENIX AZ02623R</t>
  </si>
  <si>
    <t>TEACHING &amp; LEARNING STUF PHOENIX AZ</t>
  </si>
  <si>
    <t>TEHARU SUSHI. SCOTTSDALE AZ</t>
  </si>
  <si>
    <t>GOOGLE *YOUTUBE TV G.CO/HELPPAY#CAP0ECGHLN</t>
  </si>
  <si>
    <t>RADI8 HOT YOGA PHOENIX AZ</t>
  </si>
  <si>
    <t>APPLE STORE #R292 SCOTTSDALE AZR292112081501</t>
  </si>
  <si>
    <t>0190 AMC DESERT RIDGE 18 PHOENIX AZ</t>
  </si>
  <si>
    <t>TACO BELL 037539 MESA AZ</t>
  </si>
  <si>
    <t>TARGET PHOENIX AZ</t>
  </si>
  <si>
    <t>CIRCLE K 05282 PHOENIX AZ03016R</t>
  </si>
  <si>
    <t>NETFLIX.COM NETFLIX.COM CA52884692859</t>
  </si>
  <si>
    <t>SPOTIFY P17C2D5552 8777781161 NY</t>
  </si>
  <si>
    <t>GREKA PITA PHOENIX AZ</t>
  </si>
  <si>
    <t>PAYPAL *UNIQLO USA 402-935-7733 CA</t>
  </si>
  <si>
    <t>STAPLES 00102632105 PHOENIX AZ</t>
  </si>
  <si>
    <t>TRADER JOE'S #090 QPS PHOENIX AZ</t>
  </si>
  <si>
    <t>4041 CENTRAL PLAZA LLC WOODLAND HILLCA</t>
  </si>
  <si>
    <t>OLLIE VAUGHN S PHOENIX AZ</t>
  </si>
  <si>
    <t>SEE TICKETS *PHOENIX PRI 323-908-0607 CASEE TICKETS *PHOENIX PRI</t>
  </si>
  <si>
    <t>STAPLES 00103929105 PHOENIX AZ</t>
  </si>
  <si>
    <t>WALGREENS #6063 PHOENIX AZ</t>
  </si>
  <si>
    <t>CITY OF RICHMOND 804-646-6452 VAB1L08I1020876</t>
  </si>
  <si>
    <t>ICI*FEE RCHMND WEB PMT 866-342-9267 MAB1L08I1020878</t>
  </si>
  <si>
    <t>SNOOZE 306 CIRCLE RECORD 720-547-8160 AZ</t>
  </si>
  <si>
    <t>TENNIS WAREHOUSE, RACQUE 805-781-6464 GA</t>
  </si>
  <si>
    <t>TST* KAHVI 1 PHOENIX AZ</t>
  </si>
  <si>
    <t>DARUMA SUSHI &amp; RAMEN MESA AZ</t>
  </si>
  <si>
    <t>PP*EB PHOENIX PIZZA FES 888-221-1161 CA</t>
  </si>
  <si>
    <t>PROVECHO LLC PHOENIX AZ</t>
  </si>
  <si>
    <t>SPIN MOBILITY SPIN.APP CA</t>
  </si>
  <si>
    <t>SQ *FOXY FRUIT ACAI BO PHOENIX AZ0001152921510778104855</t>
  </si>
  <si>
    <t>SQ *INTO THE FIRE PIZZ PEORIA AZ0001152921510778856563</t>
  </si>
  <si>
    <t>SQ *L'IMPASTO LLC GLENDALE AZ0001152921510778773196</t>
  </si>
  <si>
    <t>DIRECTPAY FULL BALANCE</t>
  </si>
  <si>
    <t>Roku</t>
  </si>
  <si>
    <t>Stretch Zone</t>
  </si>
  <si>
    <t>Lifetime Gym</t>
  </si>
  <si>
    <t>Apple Watch</t>
  </si>
  <si>
    <t>VENMO PAYMENT 211003 1016066822276 SEAN LEWIS</t>
  </si>
  <si>
    <t>MONEY TRANSFER AUTHORIZED ON 10/05 FROM Sean Lewis VA S00301278504520063 CARD 6634</t>
  </si>
  <si>
    <t>MONEY TRANSFER AUTHORIZED ON 10/05 FROM Sean Lewis VA S00461278489165227 CARD 6634</t>
  </si>
  <si>
    <t>Nationwide PAYROLL 01 HRP0007713476 Sean Lewis</t>
  </si>
  <si>
    <t>BEST BUY PAYMENT 211007 610557584343627 SEAN LEWIS</t>
  </si>
  <si>
    <t>APS electric pmt PAYMENT 211008 5175354092 Lewis,Sean</t>
  </si>
  <si>
    <t>PURCHASE AUTHORIZED ON 10/11 WAL-MART #2515 PHOENIX AZ P00000000177097893 CARD 6634</t>
  </si>
  <si>
    <t>PURCHASE AUTHORIZED ON 10/08 CASH APP*SHEVON LE 8774174551 CA S381281823108419 CARD 6634</t>
  </si>
  <si>
    <t>FIDELITY 10077 P FIDELITY 10077 XXXXX0268 SEAN LEWIS</t>
  </si>
  <si>
    <t>VENMO PAYMENT 211018 1016334480094 SEAN LEWIS</t>
  </si>
  <si>
    <t>TRANSFER FROM LEWIS SHARON ON 10/20 REF # PP0CNS6J5C PURCHASE OF HOME OFFICE AND PROTECTION</t>
  </si>
  <si>
    <t>TRANSFER FROM LEWIS SHARON ON 10/20 REF # PP0CNS6836 FOR LENOVO COMPUTER PURCHASE</t>
  </si>
  <si>
    <t>VENMO PAYMENT 211021 1016376963889 SEAN LEWIS</t>
  </si>
  <si>
    <t>Nationwide PAYROLL 01 HRP0007754254 Sean Lewis</t>
  </si>
  <si>
    <t>VENMO PAYMENT 211022 1016404945098 SEAN LEWIS</t>
  </si>
  <si>
    <t>LIFETIME FITNESS DIRECT DEP 211029 928121133367SHS LEWIS,SEAN</t>
  </si>
  <si>
    <t>VENMO PAYMENT 211031 1016549315705 SEAN LEWIS</t>
  </si>
  <si>
    <t>DISCOVER E-PAYMENT 211103 7328 LEWIS SEAN</t>
  </si>
  <si>
    <t>APS electric pmt PAYMENT 211101 5175354092 Lewis,Sean</t>
  </si>
  <si>
    <t>Nationwide PAYROLL 01 HRP0007766141 Sean Lewis</t>
  </si>
  <si>
    <t>PURCHASE AUTHORIZED ON 11/05 STAPLES 0392 PHOENIX AZ P381310020677744 CARD 6634</t>
  </si>
  <si>
    <t>LIFETIME FITNESS DIRECT DEP 211105 936119430367SHS LEWIS,SEAN</t>
  </si>
  <si>
    <t>DISCOVER E-PAYMENT 211106 7328 LEWIS SEAN</t>
  </si>
  <si>
    <t>VENMO PAYMENT 211109 1016719472194 SEAN LEWIS</t>
  </si>
  <si>
    <t>PURCHASE AUTHORIZED ON 11/11 CASH APP*SHEVON LE 8774174551 CA S461315529449184 CARD 6634</t>
  </si>
  <si>
    <t>VENMO CASHOUT 211111 1016754179690 SEAN LEWIS</t>
  </si>
  <si>
    <t>ATM WITHDRAWAL AUTHORIZED ON 11/14 100 W Washington St Phoenix AZ 0005789 ATM ID 2203H CARD 6634</t>
  </si>
  <si>
    <t>APS</t>
  </si>
  <si>
    <t>Fidelity Retirement</t>
  </si>
  <si>
    <t xml:space="preserve">Life Time </t>
  </si>
  <si>
    <t>ZZZ</t>
  </si>
  <si>
    <t>Tennis Private Lesson</t>
  </si>
  <si>
    <t>Yearly</t>
  </si>
  <si>
    <t>Phoenix Pride</t>
  </si>
  <si>
    <t>Tennis Shirts</t>
  </si>
  <si>
    <t>Yoga Mat &amp; blocks &amp; belt</t>
  </si>
  <si>
    <t>Ryan's Daughter Birthday</t>
  </si>
  <si>
    <t>Comedy Club</t>
  </si>
  <si>
    <t>Wells Fargo</t>
  </si>
  <si>
    <t>Discover</t>
  </si>
  <si>
    <t xml:space="preserve">Best Buy </t>
  </si>
  <si>
    <t>Pay Best Buy</t>
  </si>
  <si>
    <t>Pay Vincent</t>
  </si>
  <si>
    <t>Kim</t>
  </si>
  <si>
    <t>Pay 15% of Discover</t>
  </si>
  <si>
    <t>Cashback Bonus</t>
  </si>
  <si>
    <t>-Fiscal Impact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</si>
</sst>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_(&quot;$&quot;* #,##0_);_(&quot;$&quot;* \(#,##0\);_(&quot;$&quot;* &quot;-&quot;??_);_(@_)"/>
  </numFmts>
  <fonts count="75" x14ac:knownFonts="1">
    <font>
      <sz val="8"/>
      <color theme="1" tint="0.1499679555650502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9"/>
      <color theme="1" tint="0.34998626667073579"/>
      <name val="Bookman Old Style"/>
      <family val="1"/>
      <scheme val="major"/>
    </font>
    <font>
      <sz val="8"/>
      <color theme="1" tint="0.14996795556505021"/>
      <name val="Arial"/>
      <family val="2"/>
      <scheme val="minor"/>
    </font>
    <font>
      <sz val="28"/>
      <color theme="3" tint="0.39994506668294322"/>
      <name val="Bookman Old Style"/>
      <family val="1"/>
      <scheme val="major"/>
    </font>
    <font>
      <sz val="8"/>
      <color theme="1" tint="0.499984740745262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9"/>
      <color theme="1"/>
      <name val="Arial"/>
      <family val="2"/>
      <scheme val="minor"/>
    </font>
    <font>
      <sz val="18"/>
      <color theme="3"/>
      <name val="Bookman Old Style"/>
      <family val="2"/>
      <scheme val="major"/>
    </font>
    <font>
      <b/>
      <sz val="11"/>
      <color theme="3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FA7D0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 tint="0.24994659260841701"/>
      <name val="Arial"/>
      <family val="2"/>
      <scheme val="minor"/>
    </font>
    <font>
      <sz val="22"/>
      <color theme="3" tint="0.24994659260841701"/>
      <name val="Bookman Old Style"/>
      <family val="2"/>
      <scheme val="major"/>
    </font>
    <font>
      <sz val="10"/>
      <color theme="0"/>
      <name val="Arial"/>
      <family val="2"/>
      <scheme val="minor"/>
    </font>
    <font>
      <sz val="10"/>
      <color theme="1" tint="0.24994659260841701"/>
      <name val="Bookman Old Style"/>
      <family val="2"/>
      <scheme val="major"/>
    </font>
    <font>
      <b/>
      <sz val="10"/>
      <color theme="1" tint="0.24994659260841701"/>
      <name val="Bookman Old Style"/>
      <family val="2"/>
      <scheme val="major"/>
    </font>
    <font>
      <sz val="10"/>
      <color theme="1" tint="0.14993743705557422"/>
      <name val="Arial"/>
      <family val="2"/>
      <scheme val="minor"/>
    </font>
    <font>
      <sz val="10"/>
      <color rgb="FFF7F7F7"/>
      <name val="Arial"/>
      <family val="2"/>
      <scheme val="minor"/>
    </font>
    <font>
      <sz val="11"/>
      <color rgb="FFF7F7F7"/>
      <name val="Calibri"/>
      <family val="2"/>
    </font>
    <font>
      <b/>
      <sz val="25"/>
      <color rgb="FF000000"/>
      <name val="Gill Sans MT"/>
      <family val="2"/>
    </font>
    <font>
      <sz val="11"/>
      <color theme="1" tint="0.14993743705557422"/>
      <name val="Bookman Old Style"/>
      <family val="2"/>
      <scheme val="major"/>
    </font>
    <font>
      <sz val="11"/>
      <color theme="1" tint="0.34998626667073579"/>
      <name val="Bookman Old Style"/>
      <family val="2"/>
      <scheme val="major"/>
    </font>
    <font>
      <b/>
      <sz val="10"/>
      <color theme="1" tint="0.14990691854609822"/>
      <name val="Bookman Old Style"/>
      <family val="2"/>
      <scheme val="major"/>
    </font>
    <font>
      <b/>
      <sz val="10"/>
      <color theme="4"/>
      <name val="Bookman Old Style"/>
      <family val="2"/>
      <scheme val="major"/>
    </font>
    <font>
      <sz val="10"/>
      <color theme="4" tint="-0.499984740745262"/>
      <name val="Arial"/>
      <family val="2"/>
      <scheme val="minor"/>
    </font>
    <font>
      <b/>
      <sz val="10"/>
      <color theme="5"/>
      <name val="Bookman Old Style"/>
      <family val="2"/>
      <scheme val="major"/>
    </font>
    <font>
      <sz val="10"/>
      <color theme="5" tint="-0.499984740745262"/>
      <name val="Arial"/>
      <family val="2"/>
      <scheme val="minor"/>
    </font>
    <font>
      <sz val="10"/>
      <color theme="4" tint="0.79998168889431442"/>
      <name val="Arial"/>
      <family val="2"/>
      <scheme val="minor"/>
    </font>
    <font>
      <sz val="10"/>
      <color theme="5" tint="0.79998168889431442"/>
      <name val="Arial"/>
      <family val="2"/>
      <scheme val="minor"/>
    </font>
    <font>
      <b/>
      <sz val="10"/>
      <color theme="4"/>
      <name val="Arial"/>
      <family val="2"/>
      <scheme val="minor"/>
    </font>
    <font>
      <b/>
      <sz val="10"/>
      <color theme="5"/>
      <name val="Arial"/>
      <family val="2"/>
      <scheme val="minor"/>
    </font>
    <font>
      <b/>
      <sz val="10"/>
      <color theme="0"/>
      <name val="Bookman Old Style"/>
      <family val="2"/>
      <scheme val="major"/>
    </font>
    <font>
      <b/>
      <sz val="10"/>
      <color theme="1"/>
      <name val="Bookman Old Style"/>
      <family val="2"/>
      <scheme val="major"/>
    </font>
    <font>
      <b/>
      <sz val="10"/>
      <color rgb="FF3F3F3F"/>
      <name val="Arial"/>
      <family val="2"/>
      <scheme val="minor"/>
    </font>
    <font>
      <sz val="10"/>
      <color theme="1" tint="0.14996795556505021"/>
      <name val="Arial"/>
      <family val="2"/>
      <scheme val="minor"/>
    </font>
    <font>
      <i/>
      <sz val="8"/>
      <color theme="1" tint="0.14996795556505021"/>
      <name val="Calibri"/>
      <family val="2"/>
    </font>
    <font>
      <b/>
      <sz val="8"/>
      <color theme="5"/>
      <name val="Bookman Old Style"/>
      <family val="2"/>
      <scheme val="major"/>
    </font>
    <font>
      <b/>
      <sz val="8"/>
      <color theme="4"/>
      <name val="Bookman Old Style"/>
      <family val="2"/>
      <scheme val="major"/>
    </font>
    <font>
      <b/>
      <sz val="8"/>
      <color theme="4"/>
      <name val="Arial"/>
      <family val="2"/>
      <scheme val="minor"/>
    </font>
    <font>
      <b/>
      <sz val="8"/>
      <color theme="5"/>
      <name val="Arial"/>
      <family val="2"/>
      <scheme val="minor"/>
    </font>
    <font>
      <sz val="11"/>
      <color theme="1" tint="0.14996795556505021"/>
      <name val="Arial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theme="8"/>
        <bgColor indexed="64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</fills>
  <borders count="3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medium">
        <color theme="1"/>
      </bottom>
      <diagonal/>
    </border>
    <border>
      <left style="medium">
        <color theme="4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theme="5"/>
      </left>
      <right/>
      <top/>
      <bottom style="thick">
        <color theme="0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/>
      <top/>
      <bottom style="thick">
        <color theme="0"/>
      </bottom>
      <diagonal/>
    </border>
    <border>
      <left/>
      <right style="medium">
        <color theme="4" tint="0.79998168889431442"/>
      </right>
      <top/>
      <bottom/>
      <diagonal/>
    </border>
    <border>
      <left/>
      <right style="thick">
        <color theme="5"/>
      </right>
      <top/>
      <bottom/>
      <diagonal/>
    </border>
    <border>
      <left/>
      <right style="medium">
        <color theme="5" tint="0.79998168889431442"/>
      </right>
      <top/>
      <bottom/>
      <diagonal/>
    </border>
    <border>
      <left style="thick">
        <color theme="5"/>
      </left>
      <right/>
      <top/>
      <bottom style="thick">
        <color theme="0"/>
      </bottom>
      <diagonal/>
    </border>
    <border>
      <left style="thick">
        <color theme="5"/>
      </left>
      <right/>
      <top/>
      <bottom/>
      <diagonal/>
    </border>
    <border>
      <left style="thick">
        <color theme="4"/>
      </left>
      <right/>
      <top/>
      <bottom/>
      <diagonal/>
    </border>
  </borders>
  <cellStyleXfs count="281">
    <xf numFmtId="0" fontId="0" fillId="0" borderId="0">
      <alignment vertical="center"/>
    </xf>
    <xf numFmtId="0" fontId="26" fillId="0" borderId="0" applyNumberFormat="0" applyFill="0" applyBorder="0" applyAlignment="0" applyProtection="0"/>
    <xf numFmtId="0" fontId="24" fillId="0" borderId="0" applyNumberFormat="0" applyFill="0" applyBorder="0" applyProtection="0">
      <alignment horizontal="right"/>
    </xf>
    <xf numFmtId="0" fontId="27" fillId="0" borderId="0" applyNumberFormat="0" applyFill="0" applyBorder="0" applyAlignment="0" applyProtection="0"/>
    <xf numFmtId="0" fontId="28" fillId="2" borderId="0" applyNumberFormat="0" applyBorder="0" applyAlignment="0" applyProtection="0"/>
    <xf numFmtId="0" fontId="29" fillId="3" borderId="1" applyNumberFormat="0" applyAlignment="0" applyProtection="0"/>
    <xf numFmtId="0" fontId="30" fillId="4" borderId="2" applyNumberFormat="0" applyAlignment="0" applyProtection="0"/>
    <xf numFmtId="0" fontId="31" fillId="4" borderId="1" applyNumberFormat="0" applyAlignment="0" applyProtection="0"/>
    <xf numFmtId="0" fontId="32" fillId="5" borderId="3" applyNumberFormat="0" applyAlignment="0" applyProtection="0"/>
    <xf numFmtId="0" fontId="34" fillId="7" borderId="0" applyNumberFormat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9" borderId="0" applyNumberFormat="0" applyBorder="0" applyAlignment="0" applyProtection="0"/>
    <xf numFmtId="0" fontId="39" fillId="0" borderId="6" applyNumberFormat="0" applyFill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3" fillId="0" borderId="7" applyNumberFormat="0" applyFill="0" applyAlignment="0" applyProtection="0"/>
    <xf numFmtId="0" fontId="23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23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23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23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23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23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0" borderId="0"/>
    <xf numFmtId="0" fontId="42" fillId="0" borderId="8" applyNumberFormat="0" applyFill="0" applyAlignment="0" applyProtection="0"/>
    <xf numFmtId="0" fontId="43" fillId="0" borderId="9" applyNumberFormat="0" applyFill="0" applyAlignment="0" applyProtection="0"/>
    <xf numFmtId="0" fontId="37" fillId="0" borderId="10" applyNumberFormat="0" applyFill="0" applyAlignment="0" applyProtection="0"/>
    <xf numFmtId="0" fontId="19" fillId="6" borderId="4" applyNumberFormat="0" applyFont="0" applyAlignment="0" applyProtection="0"/>
    <xf numFmtId="44" fontId="25" fillId="0" borderId="0" applyFont="0" applyFill="0" applyBorder="0" applyAlignment="0" applyProtection="0"/>
    <xf numFmtId="0" fontId="17" fillId="0" borderId="0"/>
    <xf numFmtId="0" fontId="17" fillId="6" borderId="4" applyNumberFormat="0" applyFont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43" fontId="17" fillId="0" borderId="0" applyFont="0" applyFill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9" fontId="17" fillId="0" borderId="0" applyFont="0" applyFill="0" applyBorder="0" applyAlignment="0" applyProtection="0"/>
    <xf numFmtId="0" fontId="16" fillId="0" borderId="0"/>
    <xf numFmtId="0" fontId="16" fillId="6" borderId="4" applyNumberFormat="0" applyFont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5" fillId="0" borderId="0"/>
    <xf numFmtId="0" fontId="15" fillId="6" borderId="4" applyNumberFormat="0" applyFont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3" borderId="0" applyNumberFormat="0" applyBorder="0" applyAlignment="0" applyProtection="0"/>
    <xf numFmtId="0" fontId="14" fillId="0" borderId="0"/>
    <xf numFmtId="0" fontId="14" fillId="6" borderId="4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3" fillId="0" borderId="0"/>
    <xf numFmtId="0" fontId="13" fillId="6" borderId="4" applyNumberFormat="0" applyFont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1" fillId="0" borderId="0"/>
    <xf numFmtId="0" fontId="11" fillId="6" borderId="4" applyNumberFormat="0" applyFont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43" fontId="25" fillId="0" borderId="0" applyFont="0" applyFill="0" applyBorder="0" applyAlignment="0" applyProtection="0"/>
    <xf numFmtId="0" fontId="10" fillId="0" borderId="0"/>
    <xf numFmtId="0" fontId="45" fillId="0" borderId="0"/>
    <xf numFmtId="0" fontId="46" fillId="0" borderId="22" applyNumberFormat="0" applyFill="0" applyAlignment="0" applyProtection="0"/>
    <xf numFmtId="0" fontId="48" fillId="0" borderId="9" applyNumberFormat="0" applyFill="0" applyBorder="0" applyAlignment="0" applyProtection="0"/>
    <xf numFmtId="0" fontId="49" fillId="0" borderId="10" applyNumberFormat="0" applyFill="0" applyBorder="0" applyAlignment="0" applyProtection="0"/>
    <xf numFmtId="0" fontId="50" fillId="42" borderId="0">
      <alignment vertical="center"/>
    </xf>
    <xf numFmtId="0" fontId="54" fillId="0" borderId="22" applyNumberFormat="0" applyFill="0" applyProtection="0">
      <alignment vertical="center"/>
    </xf>
    <xf numFmtId="0" fontId="56" fillId="44" borderId="0" applyNumberFormat="0" applyProtection="0">
      <alignment horizontal="left" vertical="center" indent="1"/>
    </xf>
    <xf numFmtId="9" fontId="25" fillId="0" borderId="0" applyFont="0" applyFill="0" applyBorder="0" applyAlignment="0" applyProtection="0"/>
    <xf numFmtId="0" fontId="7" fillId="0" borderId="0"/>
    <xf numFmtId="0" fontId="7" fillId="6" borderId="4" applyNumberFormat="0" applyFont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6" fillId="0" borderId="0"/>
    <xf numFmtId="0" fontId="6" fillId="6" borderId="4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0" borderId="0"/>
    <xf numFmtId="0" fontId="4" fillId="6" borderId="4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3" fillId="0" borderId="0"/>
    <xf numFmtId="0" fontId="3" fillId="6" borderId="4" applyNumberFormat="0" applyFont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1" fillId="0" borderId="0"/>
    <xf numFmtId="0" fontId="1" fillId="6" borderId="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239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" fontId="33" fillId="0" borderId="5" xfId="10" applyNumberFormat="1" applyFont="1" applyBorder="1" applyAlignment="1">
      <alignment horizontal="center" wrapText="1"/>
    </xf>
    <xf numFmtId="0" fontId="33" fillId="0" borderId="5" xfId="11" applyFont="1" applyBorder="1" applyAlignment="1">
      <alignment horizontal="center" wrapText="1"/>
    </xf>
    <xf numFmtId="0" fontId="21" fillId="0" borderId="0" xfId="11"/>
    <xf numFmtId="1" fontId="0" fillId="0" borderId="5" xfId="10" applyNumberFormat="1" applyFont="1" applyBorder="1" applyAlignment="1">
      <alignment horizontal="center" wrapText="1"/>
    </xf>
    <xf numFmtId="0" fontId="21" fillId="0" borderId="5" xfId="11" applyBorder="1" applyAlignment="1">
      <alignment horizontal="center" wrapText="1"/>
    </xf>
    <xf numFmtId="164" fontId="21" fillId="0" borderId="5" xfId="11" applyNumberFormat="1" applyBorder="1" applyAlignment="1">
      <alignment horizontal="center" wrapText="1"/>
    </xf>
    <xf numFmtId="164" fontId="21" fillId="0" borderId="0" xfId="11" applyNumberFormat="1"/>
    <xf numFmtId="0" fontId="32" fillId="5" borderId="3" xfId="8"/>
    <xf numFmtId="0" fontId="29" fillId="3" borderId="1" xfId="5"/>
    <xf numFmtId="0" fontId="30" fillId="4" borderId="2" xfId="6"/>
    <xf numFmtId="1" fontId="0" fillId="0" borderId="0" xfId="10" applyNumberFormat="1" applyFont="1" applyAlignment="1">
      <alignment horizontal="center"/>
    </xf>
    <xf numFmtId="0" fontId="21" fillId="0" borderId="0" xfId="11" applyAlignment="1">
      <alignment horizontal="center"/>
    </xf>
    <xf numFmtId="164" fontId="33" fillId="0" borderId="5" xfId="11" applyNumberFormat="1" applyFont="1" applyBorder="1" applyAlignment="1">
      <alignment horizontal="center" wrapText="1"/>
    </xf>
    <xf numFmtId="164" fontId="21" fillId="0" borderId="0" xfId="11" applyNumberFormat="1" applyAlignment="1">
      <alignment horizontal="center"/>
    </xf>
    <xf numFmtId="164" fontId="21" fillId="8" borderId="5" xfId="11" applyNumberFormat="1" applyFill="1" applyBorder="1" applyAlignment="1">
      <alignment horizontal="center" wrapText="1"/>
    </xf>
    <xf numFmtId="0" fontId="19" fillId="0" borderId="5" xfId="11" applyFont="1" applyBorder="1" applyAlignment="1">
      <alignment horizontal="center" wrapText="1"/>
    </xf>
    <xf numFmtId="0" fontId="18" fillId="0" borderId="5" xfId="11" applyFont="1" applyBorder="1" applyAlignment="1">
      <alignment horizontal="center" wrapText="1"/>
    </xf>
    <xf numFmtId="1" fontId="0" fillId="0" borderId="5" xfId="10" applyNumberFormat="1" applyFont="1" applyFill="1" applyBorder="1" applyAlignment="1">
      <alignment horizontal="center" wrapText="1"/>
    </xf>
    <xf numFmtId="0" fontId="21" fillId="0" borderId="5" xfId="11" applyFill="1" applyBorder="1" applyAlignment="1">
      <alignment horizontal="center" wrapText="1"/>
    </xf>
    <xf numFmtId="0" fontId="22" fillId="0" borderId="5" xfId="11" applyFont="1" applyFill="1" applyBorder="1" applyAlignment="1">
      <alignment horizontal="center" wrapText="1"/>
    </xf>
    <xf numFmtId="0" fontId="20" fillId="0" borderId="5" xfId="11" applyFont="1" applyFill="1" applyBorder="1" applyAlignment="1">
      <alignment horizontal="center" wrapText="1"/>
    </xf>
    <xf numFmtId="0" fontId="18" fillId="0" borderId="5" xfId="11" applyFont="1" applyFill="1" applyBorder="1" applyAlignment="1">
      <alignment horizontal="center" wrapText="1"/>
    </xf>
    <xf numFmtId="164" fontId="21" fillId="0" borderId="5" xfId="11" applyNumberFormat="1" applyFill="1" applyBorder="1" applyAlignment="1">
      <alignment horizontal="center" wrapText="1"/>
    </xf>
    <xf numFmtId="0" fontId="22" fillId="0" borderId="5" xfId="11" applyFont="1" applyBorder="1" applyAlignment="1">
      <alignment horizontal="center" wrapText="1"/>
    </xf>
    <xf numFmtId="0" fontId="16" fillId="0" borderId="5" xfId="11" applyFont="1" applyFill="1" applyBorder="1" applyAlignment="1">
      <alignment horizontal="center" wrapText="1"/>
    </xf>
    <xf numFmtId="0" fontId="15" fillId="0" borderId="5" xfId="11" applyFont="1" applyBorder="1" applyAlignment="1">
      <alignment horizontal="center" wrapText="1"/>
    </xf>
    <xf numFmtId="164" fontId="21" fillId="0" borderId="12" xfId="11" applyNumberFormat="1" applyBorder="1" applyAlignment="1">
      <alignment horizontal="center" wrapText="1"/>
    </xf>
    <xf numFmtId="1" fontId="0" fillId="0" borderId="12" xfId="10" applyNumberFormat="1" applyFont="1" applyFill="1" applyBorder="1" applyAlignment="1">
      <alignment horizontal="center" wrapText="1"/>
    </xf>
    <xf numFmtId="0" fontId="19" fillId="0" borderId="11" xfId="11" applyFont="1" applyBorder="1" applyAlignment="1">
      <alignment horizontal="center" wrapText="1"/>
    </xf>
    <xf numFmtId="0" fontId="21" fillId="0" borderId="14" xfId="11" applyBorder="1" applyAlignment="1">
      <alignment horizontal="center" wrapText="1"/>
    </xf>
    <xf numFmtId="0" fontId="21" fillId="0" borderId="11" xfId="11" applyBorder="1" applyAlignment="1">
      <alignment horizontal="center" wrapText="1"/>
    </xf>
    <xf numFmtId="0" fontId="21" fillId="0" borderId="12" xfId="11" applyBorder="1" applyAlignment="1">
      <alignment horizontal="center" wrapText="1"/>
    </xf>
    <xf numFmtId="1" fontId="0" fillId="0" borderId="12" xfId="10" applyNumberFormat="1" applyFont="1" applyBorder="1" applyAlignment="1">
      <alignment horizontal="center" wrapText="1"/>
    </xf>
    <xf numFmtId="1" fontId="0" fillId="0" borderId="14" xfId="10" applyNumberFormat="1" applyFont="1" applyBorder="1" applyAlignment="1">
      <alignment horizontal="center" wrapText="1"/>
    </xf>
    <xf numFmtId="164" fontId="21" fillId="0" borderId="11" xfId="11" applyNumberFormat="1" applyBorder="1" applyAlignment="1">
      <alignment horizontal="center" wrapText="1"/>
    </xf>
    <xf numFmtId="0" fontId="18" fillId="0" borderId="11" xfId="11" applyFont="1" applyBorder="1" applyAlignment="1">
      <alignment horizontal="center" wrapText="1"/>
    </xf>
    <xf numFmtId="1" fontId="0" fillId="0" borderId="11" xfId="10" applyNumberFormat="1" applyFont="1" applyBorder="1" applyAlignment="1">
      <alignment horizontal="center" wrapText="1"/>
    </xf>
    <xf numFmtId="0" fontId="14" fillId="0" borderId="17" xfId="11" applyFont="1" applyBorder="1" applyAlignment="1">
      <alignment horizontal="center" wrapText="1"/>
    </xf>
    <xf numFmtId="0" fontId="18" fillId="0" borderId="17" xfId="11" applyFont="1" applyFill="1" applyBorder="1" applyAlignment="1">
      <alignment horizontal="center" wrapText="1"/>
    </xf>
    <xf numFmtId="1" fontId="0" fillId="0" borderId="11" xfId="10" applyNumberFormat="1" applyFont="1" applyFill="1" applyBorder="1" applyAlignment="1">
      <alignment horizontal="center" wrapText="1"/>
    </xf>
    <xf numFmtId="1" fontId="0" fillId="0" borderId="13" xfId="10" applyNumberFormat="1" applyFont="1" applyFill="1" applyBorder="1" applyAlignment="1">
      <alignment horizontal="center" wrapText="1"/>
    </xf>
    <xf numFmtId="0" fontId="14" fillId="0" borderId="5" xfId="11" applyFont="1" applyBorder="1" applyAlignment="1">
      <alignment horizontal="center" wrapText="1"/>
    </xf>
    <xf numFmtId="1" fontId="0" fillId="0" borderId="19" xfId="10" applyNumberFormat="1" applyFont="1" applyBorder="1" applyAlignment="1">
      <alignment horizontal="center" wrapText="1"/>
    </xf>
    <xf numFmtId="1" fontId="0" fillId="0" borderId="16" xfId="10" applyNumberFormat="1" applyFont="1" applyFill="1" applyBorder="1" applyAlignment="1">
      <alignment horizontal="center" wrapText="1"/>
    </xf>
    <xf numFmtId="0" fontId="18" fillId="0" borderId="20" xfId="11" applyFont="1" applyBorder="1" applyAlignment="1">
      <alignment horizontal="center" wrapText="1"/>
    </xf>
    <xf numFmtId="1" fontId="0" fillId="0" borderId="18" xfId="10" applyNumberFormat="1" applyFont="1" applyFill="1" applyBorder="1" applyAlignment="1">
      <alignment horizontal="center" wrapText="1"/>
    </xf>
    <xf numFmtId="0" fontId="18" fillId="0" borderId="19" xfId="11" applyFont="1" applyBorder="1" applyAlignment="1">
      <alignment horizontal="center" wrapText="1"/>
    </xf>
    <xf numFmtId="0" fontId="15" fillId="0" borderId="17" xfId="11" applyFont="1" applyBorder="1" applyAlignment="1">
      <alignment horizontal="center" wrapText="1"/>
    </xf>
    <xf numFmtId="0" fontId="18" fillId="0" borderId="14" xfId="11" applyFont="1" applyBorder="1" applyAlignment="1">
      <alignment horizontal="center" wrapText="1"/>
    </xf>
    <xf numFmtId="164" fontId="21" fillId="0" borderId="19" xfId="11" applyNumberFormat="1" applyBorder="1" applyAlignment="1">
      <alignment horizontal="center" wrapText="1"/>
    </xf>
    <xf numFmtId="0" fontId="17" fillId="0" borderId="17" xfId="11" applyFont="1" applyBorder="1" applyAlignment="1">
      <alignment horizontal="center" wrapText="1"/>
    </xf>
    <xf numFmtId="164" fontId="21" fillId="0" borderId="14" xfId="11" applyNumberFormat="1" applyBorder="1" applyAlignment="1">
      <alignment horizontal="center" wrapText="1"/>
    </xf>
    <xf numFmtId="0" fontId="21" fillId="0" borderId="19" xfId="11" applyBorder="1" applyAlignment="1">
      <alignment horizontal="center" wrapText="1"/>
    </xf>
    <xf numFmtId="0" fontId="18" fillId="0" borderId="17" xfId="11" applyFont="1" applyBorder="1" applyAlignment="1">
      <alignment horizontal="center" wrapText="1"/>
    </xf>
    <xf numFmtId="164" fontId="21" fillId="34" borderId="0" xfId="11" applyNumberFormat="1" applyFill="1"/>
    <xf numFmtId="14" fontId="21" fillId="36" borderId="5" xfId="11" applyNumberFormat="1" applyFill="1" applyBorder="1" applyAlignment="1">
      <alignment horizontal="center" wrapText="1"/>
    </xf>
    <xf numFmtId="14" fontId="21" fillId="35" borderId="5" xfId="11" applyNumberFormat="1" applyFill="1" applyBorder="1" applyAlignment="1">
      <alignment horizontal="center" wrapText="1"/>
    </xf>
    <xf numFmtId="14" fontId="21" fillId="36" borderId="12" xfId="11" applyNumberFormat="1" applyFill="1" applyBorder="1" applyAlignment="1">
      <alignment horizontal="center" wrapText="1"/>
    </xf>
    <xf numFmtId="14" fontId="21" fillId="35" borderId="14" xfId="11" applyNumberFormat="1" applyFill="1" applyBorder="1" applyAlignment="1">
      <alignment horizontal="center" wrapText="1"/>
    </xf>
    <xf numFmtId="0" fontId="13" fillId="0" borderId="5" xfId="11" applyFont="1" applyBorder="1" applyAlignment="1">
      <alignment horizontal="center" wrapText="1"/>
    </xf>
    <xf numFmtId="0" fontId="13" fillId="0" borderId="12" xfId="11" applyFont="1" applyBorder="1" applyAlignment="1">
      <alignment horizontal="center" wrapText="1"/>
    </xf>
    <xf numFmtId="0" fontId="13" fillId="0" borderId="0" xfId="11" applyFont="1"/>
    <xf numFmtId="14" fontId="21" fillId="37" borderId="19" xfId="11" applyNumberFormat="1" applyFill="1" applyBorder="1" applyAlignment="1">
      <alignment horizontal="center" wrapText="1"/>
    </xf>
    <xf numFmtId="14" fontId="21" fillId="37" borderId="5" xfId="11" applyNumberFormat="1" applyFill="1" applyBorder="1" applyAlignment="1">
      <alignment horizontal="center" wrapText="1"/>
    </xf>
    <xf numFmtId="14" fontId="21" fillId="37" borderId="14" xfId="11" applyNumberFormat="1" applyFill="1" applyBorder="1" applyAlignment="1">
      <alignment horizontal="center" wrapText="1"/>
    </xf>
    <xf numFmtId="0" fontId="14" fillId="0" borderId="20" xfId="11" applyFont="1" applyBorder="1" applyAlignment="1">
      <alignment horizontal="center" wrapText="1"/>
    </xf>
    <xf numFmtId="14" fontId="21" fillId="35" borderId="19" xfId="11" applyNumberFormat="1" applyFill="1" applyBorder="1" applyAlignment="1">
      <alignment horizontal="center" wrapText="1"/>
    </xf>
    <xf numFmtId="0" fontId="13" fillId="0" borderId="17" xfId="11" applyFont="1" applyBorder="1" applyAlignment="1">
      <alignment horizontal="center" wrapText="1"/>
    </xf>
    <xf numFmtId="14" fontId="21" fillId="38" borderId="5" xfId="11" applyNumberFormat="1" applyFill="1" applyBorder="1" applyAlignment="1">
      <alignment horizontal="center" wrapText="1"/>
    </xf>
    <xf numFmtId="14" fontId="21" fillId="38" borderId="11" xfId="11" applyNumberFormat="1" applyFill="1" applyBorder="1" applyAlignment="1">
      <alignment horizontal="center" wrapText="1"/>
    </xf>
    <xf numFmtId="14" fontId="21" fillId="39" borderId="5" xfId="11" applyNumberFormat="1" applyFill="1" applyBorder="1" applyAlignment="1">
      <alignment horizontal="center" wrapText="1"/>
    </xf>
    <xf numFmtId="0" fontId="12" fillId="0" borderId="5" xfId="11" applyFont="1" applyBorder="1" applyAlignment="1">
      <alignment horizontal="center" wrapText="1"/>
    </xf>
    <xf numFmtId="44" fontId="0" fillId="0" borderId="0" xfId="48" applyFont="1" applyAlignment="1">
      <alignment vertical="center"/>
    </xf>
    <xf numFmtId="0" fontId="11" fillId="0" borderId="0" xfId="11" applyFont="1"/>
    <xf numFmtId="0" fontId="11" fillId="0" borderId="12" xfId="11" applyFont="1" applyBorder="1" applyAlignment="1">
      <alignment horizontal="center" wrapText="1"/>
    </xf>
    <xf numFmtId="0" fontId="11" fillId="0" borderId="15" xfId="11" applyFont="1" applyBorder="1" applyAlignment="1">
      <alignment horizontal="center" wrapText="1"/>
    </xf>
    <xf numFmtId="0" fontId="0" fillId="0" borderId="0" xfId="0" applyNumberFormat="1">
      <alignment vertical="center"/>
    </xf>
    <xf numFmtId="0" fontId="11" fillId="0" borderId="5" xfId="11" applyFont="1" applyFill="1" applyBorder="1" applyAlignment="1">
      <alignment horizontal="center" wrapText="1"/>
    </xf>
    <xf numFmtId="0" fontId="11" fillId="0" borderId="17" xfId="11" applyFont="1" applyBorder="1" applyAlignment="1">
      <alignment horizontal="center" wrapText="1"/>
    </xf>
    <xf numFmtId="0" fontId="11" fillId="0" borderId="5" xfId="11" applyFont="1" applyBorder="1" applyAlignment="1">
      <alignment horizontal="center" wrapText="1"/>
    </xf>
    <xf numFmtId="0" fontId="11" fillId="0" borderId="14" xfId="11" applyFont="1" applyBorder="1" applyAlignment="1">
      <alignment horizontal="center" wrapText="1"/>
    </xf>
    <xf numFmtId="14" fontId="21" fillId="40" borderId="5" xfId="11" applyNumberFormat="1" applyFill="1" applyBorder="1" applyAlignment="1">
      <alignment horizontal="center" wrapText="1"/>
    </xf>
    <xf numFmtId="1" fontId="0" fillId="0" borderId="0" xfId="48" applyNumberFormat="1" applyFont="1" applyAlignment="1">
      <alignment vertical="center"/>
    </xf>
    <xf numFmtId="0" fontId="0" fillId="0" borderId="0" xfId="0" applyNumberFormat="1" applyAlignment="1">
      <alignment horizontal="center" vertical="center"/>
    </xf>
    <xf numFmtId="44" fontId="0" fillId="0" borderId="0" xfId="0" applyNumberFormat="1">
      <alignment vertical="center"/>
    </xf>
    <xf numFmtId="44" fontId="0" fillId="40" borderId="0" xfId="48" applyFont="1" applyFill="1" applyAlignment="1">
      <alignment vertical="center"/>
    </xf>
    <xf numFmtId="1" fontId="0" fillId="40" borderId="0" xfId="48" applyNumberFormat="1" applyFont="1" applyFill="1" applyAlignment="1">
      <alignment vertical="center"/>
    </xf>
    <xf numFmtId="0" fontId="10" fillId="0" borderId="5" xfId="11" applyFont="1" applyBorder="1" applyAlignment="1">
      <alignment horizontal="center" wrapText="1"/>
    </xf>
    <xf numFmtId="0" fontId="10" fillId="0" borderId="17" xfId="11" applyFont="1" applyBorder="1" applyAlignment="1">
      <alignment horizontal="center" wrapText="1"/>
    </xf>
    <xf numFmtId="0" fontId="33" fillId="0" borderId="5" xfId="11" applyFont="1" applyBorder="1" applyAlignment="1">
      <alignment horizontal="left" wrapText="1"/>
    </xf>
    <xf numFmtId="0" fontId="21" fillId="0" borderId="5" xfId="11" applyFill="1" applyBorder="1" applyAlignment="1">
      <alignment horizontal="left" wrapText="1"/>
    </xf>
    <xf numFmtId="0" fontId="21" fillId="0" borderId="5" xfId="11" applyFill="1" applyBorder="1" applyAlignment="1">
      <alignment horizontal="left"/>
    </xf>
    <xf numFmtId="0" fontId="20" fillId="0" borderId="5" xfId="11" applyFont="1" applyFill="1" applyBorder="1" applyAlignment="1">
      <alignment horizontal="left" wrapText="1"/>
    </xf>
    <xf numFmtId="0" fontId="21" fillId="0" borderId="5" xfId="11" applyBorder="1" applyAlignment="1">
      <alignment horizontal="left" wrapText="1"/>
    </xf>
    <xf numFmtId="0" fontId="21" fillId="0" borderId="11" xfId="11" applyBorder="1" applyAlignment="1">
      <alignment horizontal="left" wrapText="1"/>
    </xf>
    <xf numFmtId="0" fontId="21" fillId="0" borderId="14" xfId="11" applyBorder="1" applyAlignment="1">
      <alignment horizontal="left" wrapText="1"/>
    </xf>
    <xf numFmtId="0" fontId="44" fillId="0" borderId="5" xfId="11" applyFont="1" applyBorder="1" applyAlignment="1">
      <alignment horizontal="left" wrapText="1"/>
    </xf>
    <xf numFmtId="0" fontId="21" fillId="0" borderId="19" xfId="11" applyBorder="1" applyAlignment="1">
      <alignment horizontal="left" wrapText="1"/>
    </xf>
    <xf numFmtId="0" fontId="35" fillId="0" borderId="5" xfId="11" applyFont="1" applyBorder="1" applyAlignment="1">
      <alignment horizontal="left" wrapText="1"/>
    </xf>
    <xf numFmtId="0" fontId="21" fillId="0" borderId="12" xfId="11" applyBorder="1" applyAlignment="1">
      <alignment horizontal="left" wrapText="1"/>
    </xf>
    <xf numFmtId="0" fontId="21" fillId="0" borderId="0" xfId="11" applyAlignment="1">
      <alignment horizontal="left"/>
    </xf>
    <xf numFmtId="0" fontId="10" fillId="0" borderId="0" xfId="172"/>
    <xf numFmtId="14" fontId="10" fillId="0" borderId="0" xfId="172" applyNumberFormat="1"/>
    <xf numFmtId="44" fontId="10" fillId="0" borderId="0" xfId="48" applyNumberFormat="1" applyFont="1"/>
    <xf numFmtId="16" fontId="10" fillId="0" borderId="0" xfId="172" applyNumberFormat="1"/>
    <xf numFmtId="0" fontId="0" fillId="34" borderId="0" xfId="0" applyFill="1">
      <alignment vertical="center"/>
    </xf>
    <xf numFmtId="166" fontId="0" fillId="0" borderId="0" xfId="48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6" fontId="0" fillId="0" borderId="0" xfId="0" applyNumberFormat="1">
      <alignment vertical="center"/>
    </xf>
    <xf numFmtId="164" fontId="21" fillId="0" borderId="21" xfId="11" applyNumberFormat="1" applyBorder="1"/>
    <xf numFmtId="0" fontId="10" fillId="0" borderId="0" xfId="11" applyFont="1" applyAlignment="1">
      <alignment horizontal="right"/>
    </xf>
    <xf numFmtId="165" fontId="0" fillId="0" borderId="0" xfId="171" applyNumberFormat="1" applyFont="1" applyAlignment="1">
      <alignment vertical="center"/>
    </xf>
    <xf numFmtId="14" fontId="21" fillId="41" borderId="5" xfId="11" applyNumberFormat="1" applyFill="1" applyBorder="1" applyAlignment="1">
      <alignment horizontal="center" wrapText="1"/>
    </xf>
    <xf numFmtId="0" fontId="9" fillId="0" borderId="5" xfId="11" applyFont="1" applyBorder="1" applyAlignment="1">
      <alignment horizontal="center" wrapText="1"/>
    </xf>
    <xf numFmtId="0" fontId="9" fillId="0" borderId="0" xfId="11" applyFont="1"/>
    <xf numFmtId="0" fontId="9" fillId="0" borderId="0" xfId="172" applyFont="1"/>
    <xf numFmtId="0" fontId="9" fillId="0" borderId="17" xfId="11" applyFont="1" applyBorder="1" applyAlignment="1">
      <alignment horizontal="center" wrapText="1"/>
    </xf>
    <xf numFmtId="0" fontId="51" fillId="42" borderId="0" xfId="177" applyFont="1" applyAlignment="1">
      <alignment wrapText="1"/>
    </xf>
    <xf numFmtId="0" fontId="50" fillId="42" borderId="0" xfId="177">
      <alignment vertical="center"/>
    </xf>
    <xf numFmtId="0" fontId="50" fillId="42" borderId="0" xfId="177" applyAlignment="1">
      <alignment horizontal="right" vertical="center"/>
    </xf>
    <xf numFmtId="0" fontId="52" fillId="42" borderId="0" xfId="177" applyFont="1" applyAlignment="1">
      <alignment vertical="center" wrapText="1"/>
    </xf>
    <xf numFmtId="0" fontId="47" fillId="42" borderId="23" xfId="177" applyFont="1" applyBorder="1">
      <alignment vertical="center"/>
    </xf>
    <xf numFmtId="0" fontId="50" fillId="43" borderId="0" xfId="177" applyFill="1">
      <alignment vertical="center"/>
    </xf>
    <xf numFmtId="0" fontId="55" fillId="0" borderId="0" xfId="178" applyFont="1" applyFill="1" applyBorder="1" applyAlignment="1">
      <alignment horizontal="left" vertical="center" indent="1"/>
    </xf>
    <xf numFmtId="0" fontId="55" fillId="0" borderId="0" xfId="178" applyFont="1" applyFill="1" applyBorder="1" applyAlignment="1">
      <alignment horizontal="right" vertical="center"/>
    </xf>
    <xf numFmtId="0" fontId="57" fillId="0" borderId="0" xfId="179" applyFont="1" applyFill="1">
      <alignment horizontal="left" vertical="center" indent="1"/>
    </xf>
    <xf numFmtId="0" fontId="47" fillId="45" borderId="0" xfId="177" applyFont="1" applyFill="1">
      <alignment vertical="center"/>
    </xf>
    <xf numFmtId="0" fontId="58" fillId="0" borderId="0" xfId="177" applyFont="1" applyFill="1" applyAlignment="1">
      <alignment horizontal="left" vertical="center" indent="1"/>
    </xf>
    <xf numFmtId="164" fontId="58" fillId="0" borderId="0" xfId="177" applyNumberFormat="1" applyFont="1" applyFill="1" applyAlignment="1">
      <alignment horizontal="right" vertical="center"/>
    </xf>
    <xf numFmtId="164" fontId="58" fillId="46" borderId="0" xfId="177" applyNumberFormat="1" applyFont="1" applyFill="1" applyAlignment="1">
      <alignment horizontal="right" vertical="center"/>
    </xf>
    <xf numFmtId="0" fontId="59" fillId="0" borderId="0" xfId="179" applyFont="1" applyFill="1">
      <alignment horizontal="left" vertical="center" indent="1"/>
    </xf>
    <xf numFmtId="0" fontId="60" fillId="0" borderId="0" xfId="177" applyFont="1" applyFill="1" applyAlignment="1">
      <alignment horizontal="left" vertical="center" indent="1"/>
    </xf>
    <xf numFmtId="164" fontId="60" fillId="0" borderId="0" xfId="177" applyNumberFormat="1" applyFont="1" applyFill="1" applyAlignment="1">
      <alignment horizontal="right" vertical="center"/>
    </xf>
    <xf numFmtId="0" fontId="51" fillId="42" borderId="0" xfId="177" applyFont="1" applyAlignment="1">
      <alignment vertical="center" wrapText="1"/>
    </xf>
    <xf numFmtId="0" fontId="50" fillId="42" borderId="27" xfId="177" applyBorder="1">
      <alignment vertical="center"/>
    </xf>
    <xf numFmtId="0" fontId="57" fillId="45" borderId="0" xfId="177" applyFont="1" applyFill="1" applyAlignment="1">
      <alignment horizontal="left" vertical="center" indent="1"/>
    </xf>
    <xf numFmtId="0" fontId="61" fillId="47" borderId="0" xfId="177" applyFont="1" applyFill="1">
      <alignment vertical="center"/>
    </xf>
    <xf numFmtId="0" fontId="50" fillId="45" borderId="0" xfId="177" applyFill="1" applyAlignment="1">
      <alignment horizontal="left" vertical="center" indent="1"/>
    </xf>
    <xf numFmtId="164" fontId="50" fillId="47" borderId="0" xfId="177" applyNumberFormat="1" applyFill="1" applyAlignment="1">
      <alignment horizontal="right" vertical="center"/>
    </xf>
    <xf numFmtId="164" fontId="50" fillId="45" borderId="0" xfId="177" applyNumberFormat="1" applyFill="1" applyAlignment="1">
      <alignment horizontal="right" vertical="center"/>
    </xf>
    <xf numFmtId="164" fontId="50" fillId="46" borderId="0" xfId="177" applyNumberFormat="1" applyFill="1" applyAlignment="1">
      <alignment horizontal="right" vertical="center"/>
    </xf>
    <xf numFmtId="0" fontId="50" fillId="42" borderId="0" xfId="177">
      <alignment vertical="center"/>
    </xf>
    <xf numFmtId="0" fontId="57" fillId="0" borderId="0" xfId="177" applyFont="1" applyFill="1" applyAlignment="1">
      <alignment horizontal="left" vertical="center" indent="1"/>
    </xf>
    <xf numFmtId="0" fontId="61" fillId="47" borderId="29" xfId="177" applyFont="1" applyFill="1" applyBorder="1" applyAlignment="1">
      <alignment horizontal="right" vertical="center"/>
    </xf>
    <xf numFmtId="0" fontId="50" fillId="0" borderId="0" xfId="177" applyFill="1" applyAlignment="1">
      <alignment horizontal="left" vertical="center" indent="1"/>
    </xf>
    <xf numFmtId="164" fontId="50" fillId="0" borderId="0" xfId="177" applyNumberFormat="1" applyFill="1" applyAlignment="1">
      <alignment horizontal="right" vertical="center"/>
    </xf>
    <xf numFmtId="0" fontId="50" fillId="42" borderId="30" xfId="177" applyBorder="1">
      <alignment vertical="center"/>
    </xf>
    <xf numFmtId="0" fontId="59" fillId="0" borderId="0" xfId="177" applyFont="1" applyFill="1" applyAlignment="1">
      <alignment horizontal="left" vertical="center" indent="1"/>
    </xf>
    <xf numFmtId="0" fontId="62" fillId="48" borderId="31" xfId="177" applyFont="1" applyFill="1" applyBorder="1" applyAlignment="1">
      <alignment horizontal="right" vertical="center"/>
    </xf>
    <xf numFmtId="164" fontId="50" fillId="48" borderId="0" xfId="177" applyNumberFormat="1" applyFill="1" applyAlignment="1">
      <alignment horizontal="right" vertical="center"/>
    </xf>
    <xf numFmtId="0" fontId="50" fillId="0" borderId="33" xfId="177" applyFill="1" applyBorder="1" applyAlignment="1">
      <alignment horizontal="left" vertical="center" indent="1"/>
    </xf>
    <xf numFmtId="0" fontId="61" fillId="47" borderId="29" xfId="177" applyFont="1" applyFill="1" applyBorder="1">
      <alignment vertical="center"/>
    </xf>
    <xf numFmtId="0" fontId="50" fillId="0" borderId="34" xfId="177" applyFill="1" applyBorder="1" applyAlignment="1">
      <alignment horizontal="left" vertical="center" indent="1"/>
    </xf>
    <xf numFmtId="0" fontId="63" fillId="0" borderId="0" xfId="177" applyFont="1" applyFill="1" applyAlignment="1">
      <alignment horizontal="left" vertical="center" indent="1"/>
    </xf>
    <xf numFmtId="0" fontId="62" fillId="47" borderId="0" xfId="177" applyFont="1" applyFill="1" applyAlignment="1">
      <alignment horizontal="right" vertical="center"/>
    </xf>
    <xf numFmtId="0" fontId="47" fillId="0" borderId="0" xfId="177" applyFont="1" applyFill="1" applyAlignment="1">
      <alignment horizontal="right" vertical="center"/>
    </xf>
    <xf numFmtId="0" fontId="64" fillId="0" borderId="0" xfId="177" applyFont="1" applyFill="1" applyAlignment="1">
      <alignment horizontal="left" vertical="center" indent="1"/>
    </xf>
    <xf numFmtId="0" fontId="62" fillId="48" borderId="0" xfId="177" applyFont="1" applyFill="1" applyAlignment="1">
      <alignment horizontal="right" vertical="center"/>
    </xf>
    <xf numFmtId="0" fontId="50" fillId="0" borderId="0" xfId="177" applyFill="1" applyAlignment="1">
      <alignment horizontal="left" vertical="center"/>
    </xf>
    <xf numFmtId="0" fontId="65" fillId="50" borderId="0" xfId="179" applyFont="1" applyFill="1">
      <alignment horizontal="left" vertical="center" indent="1"/>
    </xf>
    <xf numFmtId="0" fontId="65" fillId="51" borderId="0" xfId="179" applyFont="1" applyFill="1" applyAlignment="1">
      <alignment horizontal="right" vertical="center"/>
    </xf>
    <xf numFmtId="0" fontId="65" fillId="50" borderId="0" xfId="179" applyFont="1" applyFill="1" applyAlignment="1">
      <alignment horizontal="right" vertical="center"/>
    </xf>
    <xf numFmtId="0" fontId="66" fillId="50" borderId="0" xfId="179" applyFont="1" applyFill="1">
      <alignment horizontal="left" vertical="center" indent="1"/>
    </xf>
    <xf numFmtId="0" fontId="47" fillId="50" borderId="0" xfId="177" applyFont="1" applyFill="1" applyAlignment="1">
      <alignment horizontal="left" vertical="center" indent="1"/>
    </xf>
    <xf numFmtId="164" fontId="47" fillId="51" borderId="0" xfId="177" applyNumberFormat="1" applyFont="1" applyFill="1" applyAlignment="1">
      <alignment horizontal="right" vertical="center"/>
    </xf>
    <xf numFmtId="164" fontId="47" fillId="50" borderId="0" xfId="177" applyNumberFormat="1" applyFont="1" applyFill="1" applyAlignment="1">
      <alignment horizontal="right" vertical="center"/>
    </xf>
    <xf numFmtId="0" fontId="47" fillId="50" borderId="0" xfId="177" applyFont="1" applyFill="1">
      <alignment vertical="center"/>
    </xf>
    <xf numFmtId="0" fontId="47" fillId="51" borderId="0" xfId="177" applyFont="1" applyFill="1">
      <alignment vertical="center"/>
    </xf>
    <xf numFmtId="0" fontId="58" fillId="46" borderId="24" xfId="0" applyNumberFormat="1" applyFont="1" applyFill="1" applyBorder="1" applyAlignment="1" applyProtection="1">
      <alignment horizontal="left" vertical="center" indent="1"/>
    </xf>
    <xf numFmtId="164" fontId="58" fillId="46" borderId="25" xfId="0" applyNumberFormat="1" applyFont="1" applyFill="1" applyBorder="1" applyAlignment="1" applyProtection="1">
      <alignment horizontal="right" vertical="center"/>
    </xf>
    <xf numFmtId="0" fontId="60" fillId="46" borderId="26" xfId="0" applyNumberFormat="1" applyFont="1" applyFill="1" applyBorder="1" applyAlignment="1" applyProtection="1">
      <alignment horizontal="left" vertical="center" indent="1"/>
    </xf>
    <xf numFmtId="164" fontId="60" fillId="46" borderId="25" xfId="0" applyNumberFormat="1" applyFont="1" applyFill="1" applyBorder="1" applyAlignment="1" applyProtection="1">
      <alignment horizontal="right" vertical="center"/>
    </xf>
    <xf numFmtId="0" fontId="60" fillId="46" borderId="25" xfId="0" applyNumberFormat="1" applyFont="1" applyFill="1" applyBorder="1" applyAlignment="1" applyProtection="1">
      <alignment horizontal="right" vertical="center"/>
    </xf>
    <xf numFmtId="0" fontId="8" fillId="0" borderId="0" xfId="172" applyFont="1"/>
    <xf numFmtId="9" fontId="50" fillId="42" borderId="0" xfId="180" applyNumberFormat="1" applyFont="1" applyFill="1" applyAlignment="1">
      <alignment vertical="center"/>
    </xf>
    <xf numFmtId="0" fontId="33" fillId="0" borderId="0" xfId="11" applyFont="1" applyBorder="1" applyAlignment="1">
      <alignment horizontal="center" wrapText="1"/>
    </xf>
    <xf numFmtId="0" fontId="50" fillId="46" borderId="28" xfId="0" applyNumberFormat="1" applyFont="1" applyFill="1" applyBorder="1" applyAlignment="1" applyProtection="1">
      <alignment horizontal="left" vertical="center" indent="1"/>
    </xf>
    <xf numFmtId="164" fontId="50" fillId="35" borderId="25" xfId="0" applyNumberFormat="1" applyFont="1" applyFill="1" applyBorder="1" applyAlignment="1" applyProtection="1">
      <alignment horizontal="right" vertical="center"/>
    </xf>
    <xf numFmtId="164" fontId="50" fillId="46" borderId="25" xfId="0" applyNumberFormat="1" applyFont="1" applyFill="1" applyBorder="1" applyAlignment="1" applyProtection="1">
      <alignment horizontal="right" vertical="center"/>
    </xf>
    <xf numFmtId="0" fontId="50" fillId="46" borderId="25" xfId="0" applyNumberFormat="1" applyFont="1" applyFill="1" applyBorder="1" applyAlignment="1" applyProtection="1">
      <alignment horizontal="right" vertical="center"/>
    </xf>
    <xf numFmtId="0" fontId="8" fillId="0" borderId="5" xfId="11" applyFont="1" applyFill="1" applyBorder="1" applyAlignment="1">
      <alignment horizontal="center" wrapText="1"/>
    </xf>
    <xf numFmtId="0" fontId="8" fillId="0" borderId="5" xfId="11" applyFont="1" applyBorder="1" applyAlignment="1">
      <alignment horizontal="center" wrapText="1"/>
    </xf>
    <xf numFmtId="0" fontId="7" fillId="0" borderId="5" xfId="11" applyFont="1" applyBorder="1" applyAlignment="1">
      <alignment horizontal="center" wrapText="1"/>
    </xf>
    <xf numFmtId="0" fontId="7" fillId="0" borderId="5" xfId="11" applyFont="1" applyBorder="1" applyAlignment="1">
      <alignment horizontal="left" wrapText="1"/>
    </xf>
    <xf numFmtId="0" fontId="6" fillId="0" borderId="5" xfId="11" applyFont="1" applyBorder="1" applyAlignment="1">
      <alignment horizontal="center" wrapText="1"/>
    </xf>
    <xf numFmtId="44" fontId="68" fillId="0" borderId="0" xfId="48" applyFont="1" applyAlignment="1">
      <alignment vertical="center"/>
    </xf>
    <xf numFmtId="44" fontId="67" fillId="4" borderId="2" xfId="6" applyNumberFormat="1" applyFont="1" applyAlignment="1">
      <alignment vertical="center"/>
    </xf>
    <xf numFmtId="0" fontId="6" fillId="0" borderId="0" xfId="172" applyFont="1"/>
    <xf numFmtId="0" fontId="44" fillId="0" borderId="5" xfId="11" applyFont="1" applyBorder="1" applyAlignment="1">
      <alignment horizontal="center" wrapText="1"/>
    </xf>
    <xf numFmtId="0" fontId="69" fillId="0" borderId="0" xfId="0" applyFont="1">
      <alignment vertical="center"/>
    </xf>
    <xf numFmtId="0" fontId="70" fillId="0" borderId="0" xfId="179" applyFont="1" applyFill="1">
      <alignment horizontal="left" vertical="center" indent="1"/>
    </xf>
    <xf numFmtId="0" fontId="71" fillId="45" borderId="0" xfId="177" applyFont="1" applyFill="1" applyAlignment="1">
      <alignment horizontal="left" vertical="center" indent="1"/>
    </xf>
    <xf numFmtId="0" fontId="71" fillId="0" borderId="0" xfId="177" applyFont="1" applyFill="1" applyAlignment="1">
      <alignment horizontal="left" vertical="center" indent="1"/>
    </xf>
    <xf numFmtId="0" fontId="70" fillId="0" borderId="0" xfId="177" applyFont="1" applyFill="1" applyAlignment="1">
      <alignment horizontal="left" vertical="center" indent="1"/>
    </xf>
    <xf numFmtId="0" fontId="72" fillId="0" borderId="0" xfId="177" applyFont="1" applyFill="1" applyAlignment="1">
      <alignment horizontal="left" vertical="center" indent="1"/>
    </xf>
    <xf numFmtId="0" fontId="73" fillId="0" borderId="0" xfId="177" applyFont="1" applyFill="1" applyAlignment="1">
      <alignment horizontal="left" vertical="center" indent="1"/>
    </xf>
    <xf numFmtId="0" fontId="5" fillId="0" borderId="5" xfId="11" applyFont="1" applyBorder="1" applyAlignment="1">
      <alignment horizontal="center" wrapText="1"/>
    </xf>
    <xf numFmtId="0" fontId="50" fillId="46" borderId="32" xfId="0" applyNumberFormat="1" applyFont="1" applyFill="1" applyBorder="1" applyAlignment="1" applyProtection="1">
      <alignment horizontal="left" vertical="center" indent="1"/>
    </xf>
    <xf numFmtId="164" fontId="50" fillId="49" borderId="25" xfId="0" applyNumberFormat="1" applyFont="1" applyFill="1" applyBorder="1" applyAlignment="1" applyProtection="1">
      <alignment horizontal="right" vertical="center"/>
    </xf>
    <xf numFmtId="0" fontId="50" fillId="42" borderId="0" xfId="177" applyBorder="1">
      <alignment vertical="center"/>
    </xf>
    <xf numFmtId="0" fontId="4" fillId="0" borderId="5" xfId="11" applyFont="1" applyBorder="1" applyAlignment="1">
      <alignment horizontal="center" wrapText="1"/>
    </xf>
    <xf numFmtId="0" fontId="4" fillId="0" borderId="0" xfId="172" applyFont="1"/>
    <xf numFmtId="43" fontId="0" fillId="0" borderId="0" xfId="171" applyNumberFormat="1" applyFont="1" applyAlignment="1">
      <alignment vertical="center"/>
    </xf>
    <xf numFmtId="14" fontId="21" fillId="8" borderId="5" xfId="11" applyNumberFormat="1" applyFill="1" applyBorder="1" applyAlignment="1">
      <alignment horizontal="center" wrapText="1"/>
    </xf>
    <xf numFmtId="14" fontId="21" fillId="47" borderId="5" xfId="11" applyNumberFormat="1" applyFill="1" applyBorder="1" applyAlignment="1">
      <alignment horizontal="center" wrapText="1"/>
    </xf>
    <xf numFmtId="0" fontId="3" fillId="0" borderId="0" xfId="172" applyFont="1"/>
    <xf numFmtId="0" fontId="74" fillId="6" borderId="4" xfId="182" applyFont="1" applyAlignment="1">
      <alignment horizontal="center" vertical="center"/>
    </xf>
    <xf numFmtId="164" fontId="3" fillId="0" borderId="5" xfId="11" applyNumberFormat="1" applyFont="1" applyBorder="1" applyAlignment="1">
      <alignment horizontal="center" wrapText="1"/>
    </xf>
    <xf numFmtId="0" fontId="3" fillId="0" borderId="5" xfId="11" applyFont="1" applyBorder="1" applyAlignment="1">
      <alignment horizontal="center" wrapText="1"/>
    </xf>
    <xf numFmtId="0" fontId="3" fillId="0" borderId="0" xfId="11" applyFont="1"/>
    <xf numFmtId="0" fontId="74" fillId="6" borderId="4" xfId="182" applyNumberFormat="1" applyFont="1" applyAlignment="1">
      <alignment horizontal="center" vertical="center"/>
    </xf>
    <xf numFmtId="0" fontId="21" fillId="34" borderId="5" xfId="11" applyFill="1" applyBorder="1" applyAlignment="1">
      <alignment horizontal="left" wrapText="1"/>
    </xf>
    <xf numFmtId="0" fontId="2" fillId="0" borderId="5" xfId="11" applyFont="1" applyBorder="1" applyAlignment="1">
      <alignment horizontal="center" wrapText="1"/>
    </xf>
    <xf numFmtId="164" fontId="10" fillId="0" borderId="5" xfId="11" applyNumberFormat="1" applyFont="1" applyBorder="1" applyAlignment="1">
      <alignment horizontal="center" wrapText="1"/>
    </xf>
    <xf numFmtId="0" fontId="2" fillId="0" borderId="0" xfId="172" applyFont="1"/>
    <xf numFmtId="0" fontId="1" fillId="0" borderId="0" xfId="172" applyFont="1"/>
    <xf numFmtId="0" fontId="1" fillId="0" borderId="0" xfId="11" applyFont="1"/>
    <xf numFmtId="0" fontId="1" fillId="34" borderId="0" xfId="172" applyFont="1" applyFill="1"/>
    <xf numFmtId="0" fontId="1" fillId="0" borderId="5" xfId="11" applyFont="1" applyBorder="1" applyAlignment="1">
      <alignment horizontal="center" wrapText="1"/>
    </xf>
    <xf numFmtId="14" fontId="21" fillId="48" borderId="5" xfId="11" applyNumberFormat="1" applyFill="1" applyBorder="1" applyAlignment="1">
      <alignment horizontal="center" wrapText="1"/>
    </xf>
    <xf numFmtId="0" fontId="19" fillId="27" borderId="0" xfId="36" applyAlignment="1">
      <alignment horizontal="center" vertical="center"/>
    </xf>
    <xf numFmtId="0" fontId="15" fillId="19" borderId="0" xfId="99" applyAlignment="1">
      <alignment horizontal="center" vertical="center"/>
    </xf>
    <xf numFmtId="0" fontId="16" fillId="11" borderId="0" xfId="73" applyAlignment="1">
      <alignment horizontal="center" vertical="center"/>
    </xf>
    <xf numFmtId="0" fontId="11" fillId="19" borderId="0" xfId="159" applyAlignment="1">
      <alignment horizontal="center" vertical="center"/>
    </xf>
    <xf numFmtId="0" fontId="14" fillId="31" borderId="0" xfId="128" applyAlignment="1">
      <alignment horizontal="center" vertical="center"/>
    </xf>
    <xf numFmtId="0" fontId="15" fillId="20" borderId="0" xfId="100" applyAlignment="1">
      <alignment horizontal="center" vertical="center"/>
    </xf>
    <xf numFmtId="0" fontId="14" fillId="15" borderId="0" xfId="116" applyAlignment="1">
      <alignment horizontal="center" vertical="center"/>
    </xf>
    <xf numFmtId="0" fontId="13" fillId="15" borderId="0" xfId="136" applyAlignment="1">
      <alignment horizontal="center" vertical="center"/>
    </xf>
    <xf numFmtId="0" fontId="17" fillId="27" borderId="0" xfId="64" applyAlignment="1">
      <alignment horizontal="center" vertical="center"/>
    </xf>
    <xf numFmtId="0" fontId="11" fillId="16" borderId="0" xfId="157" applyAlignment="1">
      <alignment horizontal="center" vertical="center"/>
    </xf>
    <xf numFmtId="0" fontId="50" fillId="42" borderId="0" xfId="177">
      <alignment vertical="center"/>
    </xf>
    <xf numFmtId="0" fontId="53" fillId="42" borderId="0" xfId="177" applyFont="1" applyAlignment="1"/>
    <xf numFmtId="0" fontId="50" fillId="42" borderId="23" xfId="177" applyBorder="1" applyAlignment="1">
      <alignment horizontal="center" vertical="center"/>
    </xf>
    <xf numFmtId="16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quotePrefix="1" applyAlignment="1">
      <alignment horizontal="left" vertical="center"/>
    </xf>
  </cellXfs>
  <cellStyles count="281">
    <cellStyle name="20% - Accent1" xfId="20" builtinId="30" customBuiltin="1"/>
    <cellStyle name="20% - Accent1 10" xfId="223" xr:uid="{7898E5D3-6C47-4AC2-A685-D675CAA8A4BF}"/>
    <cellStyle name="20% - Accent1 11" xfId="243" xr:uid="{F5F0D01E-8A6D-41B5-99D2-A6AD50DC7BF5}"/>
    <cellStyle name="20% - Accent1 12" xfId="263" xr:uid="{488742BF-F1C8-4B21-A892-06E22E346F62}"/>
    <cellStyle name="20% - Accent1 2" xfId="51" xr:uid="{AC6CF916-620F-472E-B597-581DA2C11C5A}"/>
    <cellStyle name="20% - Accent1 3" xfId="73" xr:uid="{899B7280-6870-4246-9AEA-9718DF678D43}"/>
    <cellStyle name="20% - Accent1 4" xfId="93" xr:uid="{9EFB17A3-B717-436A-8A88-71EA9F0A0682}"/>
    <cellStyle name="20% - Accent1 5" xfId="113" xr:uid="{A4ADEC1D-5570-4C5C-BCE6-B408B914ADA3}"/>
    <cellStyle name="20% - Accent1 6" xfId="133" xr:uid="{2E68E0E6-43DA-40F9-8476-1878E50FEA53}"/>
    <cellStyle name="20% - Accent1 7" xfId="153" xr:uid="{3656ED6D-B43F-48CF-AADD-F64B6285E562}"/>
    <cellStyle name="20% - Accent1 8" xfId="183" xr:uid="{F182FE1C-1761-4035-AA77-65ACFF194C3C}"/>
    <cellStyle name="20% - Accent1 9" xfId="203" xr:uid="{00BD5AE7-FAB2-4C49-A587-67AE459597EF}"/>
    <cellStyle name="20% - Accent2" xfId="24" builtinId="34" customBuiltin="1"/>
    <cellStyle name="20% - Accent2 10" xfId="226" xr:uid="{F17AC633-7368-454C-817E-385E57ADFBEC}"/>
    <cellStyle name="20% - Accent2 11" xfId="246" xr:uid="{B20C0A79-0C2D-44A1-B658-08A1D8E693EF}"/>
    <cellStyle name="20% - Accent2 12" xfId="266" xr:uid="{D6765BCA-F89C-430E-89D8-E768C61BC8A5}"/>
    <cellStyle name="20% - Accent2 2" xfId="55" xr:uid="{908BFAED-B094-434A-982B-C6F74F2BBD85}"/>
    <cellStyle name="20% - Accent2 3" xfId="76" xr:uid="{BE449164-AEFB-4DB3-B9D0-07E5E03A05DD}"/>
    <cellStyle name="20% - Accent2 4" xfId="96" xr:uid="{E3F87273-3E34-4E87-9F1D-AB143AE678AB}"/>
    <cellStyle name="20% - Accent2 5" xfId="116" xr:uid="{FD31BDC0-52C5-404C-B5F9-AA6DB24BB6BE}"/>
    <cellStyle name="20% - Accent2 6" xfId="136" xr:uid="{BC6C944E-1394-448F-9719-F9C06E02FC02}"/>
    <cellStyle name="20% - Accent2 7" xfId="156" xr:uid="{6B454BA1-156D-4976-8BBD-9F1862DE95D8}"/>
    <cellStyle name="20% - Accent2 8" xfId="186" xr:uid="{88393005-A20E-47F8-AD17-472019C7B5E7}"/>
    <cellStyle name="20% - Accent2 9" xfId="206" xr:uid="{EEA85E78-9B82-4E03-BE1A-9EF6DD87328D}"/>
    <cellStyle name="20% - Accent3" xfId="28" builtinId="38" customBuiltin="1"/>
    <cellStyle name="20% - Accent3 10" xfId="229" xr:uid="{1D70BF4D-6FB9-482C-B1AB-1A1E3923988E}"/>
    <cellStyle name="20% - Accent3 11" xfId="249" xr:uid="{9D4F1E0D-6951-4B06-9959-25062502CCD6}"/>
    <cellStyle name="20% - Accent3 12" xfId="269" xr:uid="{6AF45AE6-858A-41FF-B708-636194749AF3}"/>
    <cellStyle name="20% - Accent3 2" xfId="58" xr:uid="{9BE4FF85-01A9-47A3-B28C-136C5E670130}"/>
    <cellStyle name="20% - Accent3 3" xfId="79" xr:uid="{BD2A59A5-AA96-4820-B60F-FF9796B2264E}"/>
    <cellStyle name="20% - Accent3 4" xfId="99" xr:uid="{8CA36E65-FDFD-4BDB-9E92-E952BFD1C8BA}"/>
    <cellStyle name="20% - Accent3 5" xfId="119" xr:uid="{B2BD22B7-ABDC-4E70-B09E-4C1CBADCBB1D}"/>
    <cellStyle name="20% - Accent3 6" xfId="139" xr:uid="{A5F8A438-C01F-4D10-83EA-90622EBC0897}"/>
    <cellStyle name="20% - Accent3 7" xfId="159" xr:uid="{2347EF05-52BC-4B2E-95F6-A1E4025D40C5}"/>
    <cellStyle name="20% - Accent3 8" xfId="189" xr:uid="{3652FB76-A3E9-4044-B356-A17FFB4965D4}"/>
    <cellStyle name="20% - Accent3 9" xfId="209" xr:uid="{8189BA2C-12DC-4454-AF85-B60D95328DDC}"/>
    <cellStyle name="20% - Accent4" xfId="32" builtinId="42" customBuiltin="1"/>
    <cellStyle name="20% - Accent4 10" xfId="232" xr:uid="{15E2B677-9B0F-45B1-93C1-8195C97B9656}"/>
    <cellStyle name="20% - Accent4 11" xfId="252" xr:uid="{B03BB0F3-9139-4C52-BC09-53E06BA19B1C}"/>
    <cellStyle name="20% - Accent4 12" xfId="272" xr:uid="{0CA8C496-D3AA-4A4C-AA0A-AACC2E7BA974}"/>
    <cellStyle name="20% - Accent4 2" xfId="61" xr:uid="{2E197B17-0ABA-437A-AB57-E278DFE29AF8}"/>
    <cellStyle name="20% - Accent4 3" xfId="82" xr:uid="{F8062830-8CCA-486C-9D2B-356CAA158189}"/>
    <cellStyle name="20% - Accent4 4" xfId="102" xr:uid="{60780B65-5161-43AB-A39B-538629A33320}"/>
    <cellStyle name="20% - Accent4 5" xfId="122" xr:uid="{7BFE5C4E-75FB-47EE-AAED-14BEDD32FCD9}"/>
    <cellStyle name="20% - Accent4 6" xfId="142" xr:uid="{B4168C98-D079-43B3-A6A4-ADB1E1938361}"/>
    <cellStyle name="20% - Accent4 7" xfId="162" xr:uid="{E51C8B50-D2FF-466C-8951-E1A25AA0E34B}"/>
    <cellStyle name="20% - Accent4 8" xfId="192" xr:uid="{B295CD79-352F-4A79-89F8-CEC4E4703540}"/>
    <cellStyle name="20% - Accent4 9" xfId="212" xr:uid="{5456F8D9-0857-4E6F-89B0-528FDC6E4056}"/>
    <cellStyle name="20% - Accent5" xfId="36" builtinId="46" customBuiltin="1"/>
    <cellStyle name="20% - Accent5 10" xfId="235" xr:uid="{8BE2A496-3220-4B3F-AAE9-A34D9EC94CEB}"/>
    <cellStyle name="20% - Accent5 11" xfId="255" xr:uid="{7FBA437C-4C83-4D8F-B1F3-C2DA560DD5AB}"/>
    <cellStyle name="20% - Accent5 12" xfId="275" xr:uid="{AA1E322A-430E-405E-91A4-DA5910B88B64}"/>
    <cellStyle name="20% - Accent5 2" xfId="64" xr:uid="{1A466EAF-C575-4B1B-8898-3CAC73FE2E04}"/>
    <cellStyle name="20% - Accent5 3" xfId="85" xr:uid="{46490DB8-D81B-4DC5-8A04-7C836F883749}"/>
    <cellStyle name="20% - Accent5 4" xfId="105" xr:uid="{B5752BB1-8F74-45FF-AB71-DB48DDD84FC7}"/>
    <cellStyle name="20% - Accent5 5" xfId="125" xr:uid="{96E426E4-95EF-4A3C-A49B-2D09555302A7}"/>
    <cellStyle name="20% - Accent5 6" xfId="145" xr:uid="{942325EF-7DA1-4B2A-B19B-4383BD993248}"/>
    <cellStyle name="20% - Accent5 7" xfId="165" xr:uid="{CB9D6AD5-269B-441C-8C42-C8BE6B7E7587}"/>
    <cellStyle name="20% - Accent5 8" xfId="195" xr:uid="{EB3360D3-768D-4BCC-A52F-A6985364E6F6}"/>
    <cellStyle name="20% - Accent5 9" xfId="215" xr:uid="{DB1CD625-C38E-48E6-836D-524332AB04AE}"/>
    <cellStyle name="20% - Accent6" xfId="40" builtinId="50" customBuiltin="1"/>
    <cellStyle name="20% - Accent6 10" xfId="238" xr:uid="{C11E639A-ED3C-4A44-A479-D4482A858575}"/>
    <cellStyle name="20% - Accent6 11" xfId="258" xr:uid="{09469B3A-5610-4F85-8B60-8ED6AEE9D75F}"/>
    <cellStyle name="20% - Accent6 12" xfId="278" xr:uid="{3B0B48CD-FDCB-468F-9DFF-9989A55B4218}"/>
    <cellStyle name="20% - Accent6 2" xfId="67" xr:uid="{6AD081FE-C6BD-40F4-B9E4-8BBF757660FC}"/>
    <cellStyle name="20% - Accent6 3" xfId="88" xr:uid="{0FEED311-67C7-44A4-8B1B-C0F32D9DE93F}"/>
    <cellStyle name="20% - Accent6 4" xfId="108" xr:uid="{D8E93473-C691-4E79-A457-D2969BD92A26}"/>
    <cellStyle name="20% - Accent6 5" xfId="128" xr:uid="{616B3D09-B165-4C54-BE4C-001826D238A9}"/>
    <cellStyle name="20% - Accent6 6" xfId="148" xr:uid="{3A2DBDB8-AF42-4B98-BB89-952C2700223E}"/>
    <cellStyle name="20% - Accent6 7" xfId="168" xr:uid="{6F14017C-C95F-44EA-B9E0-EA046242E1D7}"/>
    <cellStyle name="20% - Accent6 8" xfId="198" xr:uid="{F69D5DB8-08AA-4D11-8101-E8319D26825C}"/>
    <cellStyle name="20% - Accent6 9" xfId="218" xr:uid="{9163927A-42BA-40D4-AB7F-4CC9324ABBCA}"/>
    <cellStyle name="40% - Accent1" xfId="21" builtinId="31" customBuiltin="1"/>
    <cellStyle name="40% - Accent1 10" xfId="224" xr:uid="{141B5AE1-0D40-40CB-90AC-95EB765F653C}"/>
    <cellStyle name="40% - Accent1 11" xfId="244" xr:uid="{9BEEF4B7-BA56-40BC-ABA4-6353E6A805CA}"/>
    <cellStyle name="40% - Accent1 12" xfId="264" xr:uid="{EC817002-086F-41AB-8E9A-10F8B6094DAA}"/>
    <cellStyle name="40% - Accent1 2" xfId="52" xr:uid="{AF7B3029-DCCA-4B95-A923-4E5AA4A1E1AC}"/>
    <cellStyle name="40% - Accent1 3" xfId="74" xr:uid="{9D9B73FF-23C0-4838-8726-6B9D9CEBB8F8}"/>
    <cellStyle name="40% - Accent1 4" xfId="94" xr:uid="{73057112-C1B3-4B5A-A2DA-480CF0F62E0B}"/>
    <cellStyle name="40% - Accent1 5" xfId="114" xr:uid="{45CDC783-7C1D-4336-87F2-FA42F03AB8D5}"/>
    <cellStyle name="40% - Accent1 6" xfId="134" xr:uid="{9EF722FD-4507-4C5C-A263-FE9F5A0F1BFB}"/>
    <cellStyle name="40% - Accent1 7" xfId="154" xr:uid="{5D114AE0-D8EC-4D43-8CD2-540B36882F1D}"/>
    <cellStyle name="40% - Accent1 8" xfId="184" xr:uid="{324F9B98-714A-4768-A9B4-99199767D5A5}"/>
    <cellStyle name="40% - Accent1 9" xfId="204" xr:uid="{1359800E-BEC3-4402-A83A-CD76C2FE25AD}"/>
    <cellStyle name="40% - Accent2" xfId="25" builtinId="35" customBuiltin="1"/>
    <cellStyle name="40% - Accent2 10" xfId="227" xr:uid="{D3374031-E92C-4707-AA01-6FA717590AFF}"/>
    <cellStyle name="40% - Accent2 11" xfId="247" xr:uid="{8331ABE5-4350-4173-8EB6-C9D378626D60}"/>
    <cellStyle name="40% - Accent2 12" xfId="267" xr:uid="{00ECD447-357D-4DE4-BAF0-1B321DEB72B8}"/>
    <cellStyle name="40% - Accent2 2" xfId="56" xr:uid="{C45F47B7-6B92-4C99-8F66-FF7DE2C38E98}"/>
    <cellStyle name="40% - Accent2 3" xfId="77" xr:uid="{FA261651-80E9-43B4-8543-86F5D718FA1A}"/>
    <cellStyle name="40% - Accent2 4" xfId="97" xr:uid="{2FCC5F3C-48E2-45AF-99C5-9F48C40C5202}"/>
    <cellStyle name="40% - Accent2 5" xfId="117" xr:uid="{F8D1001A-F7F7-4D7A-A9B7-FEA7F34DDCFB}"/>
    <cellStyle name="40% - Accent2 6" xfId="137" xr:uid="{698C383F-0C68-421E-A973-CE9FC69D05F8}"/>
    <cellStyle name="40% - Accent2 7" xfId="157" xr:uid="{5B47FAE6-C57E-429F-9FEC-0A3C2F413FEF}"/>
    <cellStyle name="40% - Accent2 8" xfId="187" xr:uid="{BD4DEB7D-3325-4849-B317-41D5F03D31FE}"/>
    <cellStyle name="40% - Accent2 9" xfId="207" xr:uid="{F4475DD8-84E8-445D-93B1-9AFE64B2F1A7}"/>
    <cellStyle name="40% - Accent3" xfId="29" builtinId="39" customBuiltin="1"/>
    <cellStyle name="40% - Accent3 10" xfId="230" xr:uid="{957A9E01-1524-455E-893F-D27D9812E8DE}"/>
    <cellStyle name="40% - Accent3 11" xfId="250" xr:uid="{F79B57B3-B9DB-4395-9A4C-299D2B7FDB6A}"/>
    <cellStyle name="40% - Accent3 12" xfId="270" xr:uid="{3CA1F338-1848-43BD-93ED-6A79CE72A47F}"/>
    <cellStyle name="40% - Accent3 2" xfId="59" xr:uid="{7C2CAC3C-CC7F-4686-871C-469C00CEFDB4}"/>
    <cellStyle name="40% - Accent3 3" xfId="80" xr:uid="{5129EF76-52AD-4FDF-A202-E4EDAFF01D8A}"/>
    <cellStyle name="40% - Accent3 4" xfId="100" xr:uid="{A5123FBF-0B00-4EAA-9834-1FC46D1374C3}"/>
    <cellStyle name="40% - Accent3 5" xfId="120" xr:uid="{98CE651E-A680-4CEF-B5B2-8AAF695EE852}"/>
    <cellStyle name="40% - Accent3 6" xfId="140" xr:uid="{C750557D-F0BA-4865-AA98-72B4E27264FC}"/>
    <cellStyle name="40% - Accent3 7" xfId="160" xr:uid="{267B3191-6FC6-473A-98F7-8DC9640E8959}"/>
    <cellStyle name="40% - Accent3 8" xfId="190" xr:uid="{A43EA8F3-A477-46AB-957D-F0FCAE9DECF8}"/>
    <cellStyle name="40% - Accent3 9" xfId="210" xr:uid="{17B0544C-07F2-441E-B84D-3FFA70BB61FE}"/>
    <cellStyle name="40% - Accent4" xfId="33" builtinId="43" customBuiltin="1"/>
    <cellStyle name="40% - Accent4 10" xfId="233" xr:uid="{2A0F94C0-3B21-4381-B58F-FC003C6A16B8}"/>
    <cellStyle name="40% - Accent4 11" xfId="253" xr:uid="{13FBDE71-3450-4CE5-9736-DF96F8ADBB72}"/>
    <cellStyle name="40% - Accent4 12" xfId="273" xr:uid="{40BD2BEB-9388-41E2-AC92-DDEE7CFA2472}"/>
    <cellStyle name="40% - Accent4 2" xfId="62" xr:uid="{B59BB32B-2002-4891-9DE1-E7ED852F41BC}"/>
    <cellStyle name="40% - Accent4 3" xfId="83" xr:uid="{5C6E4F91-17FC-4476-B32D-2F320B60D284}"/>
    <cellStyle name="40% - Accent4 4" xfId="103" xr:uid="{E88D761F-90EA-4B9B-AD1A-655442376840}"/>
    <cellStyle name="40% - Accent4 5" xfId="123" xr:uid="{705264C0-5477-49C3-BC06-4C32B472CBBE}"/>
    <cellStyle name="40% - Accent4 6" xfId="143" xr:uid="{5A2DEBE2-A9EF-4FFC-9AB7-0DBAFE0FA968}"/>
    <cellStyle name="40% - Accent4 7" xfId="163" xr:uid="{9F80276D-A81F-4243-B275-72523AD48B7F}"/>
    <cellStyle name="40% - Accent4 8" xfId="193" xr:uid="{938A3A7B-E669-4B1C-90AE-75E537E5A0CF}"/>
    <cellStyle name="40% - Accent4 9" xfId="213" xr:uid="{602F9A8B-4DB7-4F80-B754-14123AC135A1}"/>
    <cellStyle name="40% - Accent5" xfId="37" builtinId="47" customBuiltin="1"/>
    <cellStyle name="40% - Accent5 10" xfId="236" xr:uid="{B26A1B2B-B5F2-4FB1-AD6B-F8C05E7404DA}"/>
    <cellStyle name="40% - Accent5 11" xfId="256" xr:uid="{EED92836-255B-43C6-B8E3-D6D2A014CA33}"/>
    <cellStyle name="40% - Accent5 12" xfId="276" xr:uid="{6D9C7CF2-ACE9-4259-980D-3C44E8DBAD87}"/>
    <cellStyle name="40% - Accent5 2" xfId="65" xr:uid="{EA7C06BE-56A8-4E6F-A6D7-5F29DDD6F27F}"/>
    <cellStyle name="40% - Accent5 3" xfId="86" xr:uid="{C0127231-50F5-440B-9FED-66560D22A821}"/>
    <cellStyle name="40% - Accent5 4" xfId="106" xr:uid="{1266D9A7-810C-43D2-B781-E0487F4B0AE1}"/>
    <cellStyle name="40% - Accent5 5" xfId="126" xr:uid="{C86CF618-0026-413D-BF44-38375BD54637}"/>
    <cellStyle name="40% - Accent5 6" xfId="146" xr:uid="{48C22F90-1DFD-424D-93FA-75E58C2E7F36}"/>
    <cellStyle name="40% - Accent5 7" xfId="166" xr:uid="{1A7381CC-9D71-422A-8C22-3BA31C8A011D}"/>
    <cellStyle name="40% - Accent5 8" xfId="196" xr:uid="{85C3D79B-6B21-4B9D-BB03-635608B96917}"/>
    <cellStyle name="40% - Accent5 9" xfId="216" xr:uid="{0C8B8D60-FA93-4223-9E80-B25E9021B894}"/>
    <cellStyle name="40% - Accent6" xfId="41" builtinId="51" customBuiltin="1"/>
    <cellStyle name="40% - Accent6 10" xfId="239" xr:uid="{99B7E9BB-34E6-4064-99BB-0BAFCBB9BBB3}"/>
    <cellStyle name="40% - Accent6 11" xfId="259" xr:uid="{797F0108-142E-468E-AAC2-01C4EB9529CE}"/>
    <cellStyle name="40% - Accent6 12" xfId="279" xr:uid="{6EE83AD4-B7A3-4187-AAA0-3C9934C9395F}"/>
    <cellStyle name="40% - Accent6 2" xfId="68" xr:uid="{A3ED663F-1F1F-4E28-83C6-C66B651C0E79}"/>
    <cellStyle name="40% - Accent6 3" xfId="89" xr:uid="{A3AD89DA-153C-419C-A97D-74885F11FC69}"/>
    <cellStyle name="40% - Accent6 4" xfId="109" xr:uid="{B769039C-195A-407E-AA12-A0B7F8A23C42}"/>
    <cellStyle name="40% - Accent6 5" xfId="129" xr:uid="{93AE3FA1-D23E-4ED1-9CA8-8B64E7BE5190}"/>
    <cellStyle name="40% - Accent6 6" xfId="149" xr:uid="{96EDA0AD-5CAE-4BFA-977B-C00150129F61}"/>
    <cellStyle name="40% - Accent6 7" xfId="169" xr:uid="{98F21D6B-DA7D-4359-A33B-D496D3C06B44}"/>
    <cellStyle name="40% - Accent6 8" xfId="199" xr:uid="{C058163E-EF2D-46DB-B8D3-EF62365EF289}"/>
    <cellStyle name="40% - Accent6 9" xfId="219" xr:uid="{00D15ABC-427C-4054-8408-50AE2407B51B}"/>
    <cellStyle name="60% - Accent1" xfId="22" builtinId="32" customBuiltin="1"/>
    <cellStyle name="60% - Accent1 10" xfId="225" xr:uid="{4D5EEB1B-0F02-4606-A044-10070982F321}"/>
    <cellStyle name="60% - Accent1 11" xfId="245" xr:uid="{433F9061-1769-404C-8B56-A619F5EE1F95}"/>
    <cellStyle name="60% - Accent1 12" xfId="265" xr:uid="{9C1D3A92-D59A-4958-92F5-CA2599691745}"/>
    <cellStyle name="60% - Accent1 2" xfId="53" xr:uid="{DCCA6CCB-4A99-43DE-901B-161B96B9EAFF}"/>
    <cellStyle name="60% - Accent1 3" xfId="75" xr:uid="{D6D47A00-FF45-4761-A2A0-325F9DBDF79C}"/>
    <cellStyle name="60% - Accent1 4" xfId="95" xr:uid="{3BFAC32F-A4C0-4838-97BA-2ADA10302216}"/>
    <cellStyle name="60% - Accent1 5" xfId="115" xr:uid="{C58DF6E1-4B6F-48EE-B0C8-610456B6D71E}"/>
    <cellStyle name="60% - Accent1 6" xfId="135" xr:uid="{0424330E-DD2A-4C76-A711-9957F7CFADED}"/>
    <cellStyle name="60% - Accent1 7" xfId="155" xr:uid="{9945D8B9-063B-4DCF-906E-D688E6C91171}"/>
    <cellStyle name="60% - Accent1 8" xfId="185" xr:uid="{060096D6-0A02-481F-8730-9FB90F6AC40A}"/>
    <cellStyle name="60% - Accent1 9" xfId="205" xr:uid="{B18B8E25-4A13-4468-8A45-449B7AF2F87E}"/>
    <cellStyle name="60% - Accent2" xfId="26" builtinId="36" customBuiltin="1"/>
    <cellStyle name="60% - Accent2 10" xfId="228" xr:uid="{23E27193-1475-484E-B4B4-B2CB47A3F80B}"/>
    <cellStyle name="60% - Accent2 11" xfId="248" xr:uid="{D70B2E40-4593-4122-BD7F-44031AFC5A7C}"/>
    <cellStyle name="60% - Accent2 12" xfId="268" xr:uid="{D607D676-02F9-40E1-9BCB-A41E5C5ACF7F}"/>
    <cellStyle name="60% - Accent2 2" xfId="57" xr:uid="{843F2FDD-86F7-44B4-9366-3317DDF00459}"/>
    <cellStyle name="60% - Accent2 3" xfId="78" xr:uid="{E844A53F-EB56-4919-8193-6DF30792A318}"/>
    <cellStyle name="60% - Accent2 4" xfId="98" xr:uid="{5C7CA6DA-0925-4E54-BA2D-C373EED45D7D}"/>
    <cellStyle name="60% - Accent2 5" xfId="118" xr:uid="{15FA2C83-32B9-458A-AC94-E94A22EDAC6F}"/>
    <cellStyle name="60% - Accent2 6" xfId="138" xr:uid="{B4CCE942-3FF2-4510-9227-8F0357710CAA}"/>
    <cellStyle name="60% - Accent2 7" xfId="158" xr:uid="{2A54AFA9-3B0F-4A20-8459-29E34341B03A}"/>
    <cellStyle name="60% - Accent2 8" xfId="188" xr:uid="{0176870F-6BBB-4F6A-9838-8EA4FA48D104}"/>
    <cellStyle name="60% - Accent2 9" xfId="208" xr:uid="{910956B3-744C-468E-8BE7-D28984AB4E02}"/>
    <cellStyle name="60% - Accent3" xfId="30" builtinId="40" customBuiltin="1"/>
    <cellStyle name="60% - Accent3 10" xfId="231" xr:uid="{99A83600-8DFD-486E-9354-7CE060F40284}"/>
    <cellStyle name="60% - Accent3 11" xfId="251" xr:uid="{6A1DD127-4632-45EE-AF48-C72DEFD97CF7}"/>
    <cellStyle name="60% - Accent3 12" xfId="271" xr:uid="{D2CD073C-72D3-44B6-A60D-84F768C0EA4E}"/>
    <cellStyle name="60% - Accent3 2" xfId="60" xr:uid="{AF1F8B5E-212D-4C88-8121-2E1528943C0E}"/>
    <cellStyle name="60% - Accent3 3" xfId="81" xr:uid="{A3BCAFDC-6AA0-47A0-A9D0-FF8741DE22E6}"/>
    <cellStyle name="60% - Accent3 4" xfId="101" xr:uid="{7EE28083-695A-4AC4-90CA-73BD3F6EAA9E}"/>
    <cellStyle name="60% - Accent3 5" xfId="121" xr:uid="{0B37BFA1-442D-4963-8921-B0A7346B9C3B}"/>
    <cellStyle name="60% - Accent3 6" xfId="141" xr:uid="{BE6138D1-2ADE-4D57-BB8D-214530FCE4B6}"/>
    <cellStyle name="60% - Accent3 7" xfId="161" xr:uid="{04E9D97D-3F26-4EAA-BBF8-E1EBFC33AF29}"/>
    <cellStyle name="60% - Accent3 8" xfId="191" xr:uid="{A740877E-E931-42A1-A708-F47D7272207E}"/>
    <cellStyle name="60% - Accent3 9" xfId="211" xr:uid="{0E32C6B1-6285-49E8-A743-55DC6329EB50}"/>
    <cellStyle name="60% - Accent4" xfId="34" builtinId="44" customBuiltin="1"/>
    <cellStyle name="60% - Accent4 10" xfId="234" xr:uid="{E2EA4834-212D-4093-87E6-6DB87DCC8B15}"/>
    <cellStyle name="60% - Accent4 11" xfId="254" xr:uid="{6ADE8230-CAEA-4B60-A0FC-F3C9D952B342}"/>
    <cellStyle name="60% - Accent4 12" xfId="274" xr:uid="{C9739AF6-27C5-45BA-B0EC-C98A80DD3C3C}"/>
    <cellStyle name="60% - Accent4 2" xfId="63" xr:uid="{EBAB2174-263F-4C54-8F11-A81DC7B64C61}"/>
    <cellStyle name="60% - Accent4 3" xfId="84" xr:uid="{748DF4FE-3366-4BF4-9372-9BB0A6EF2A7E}"/>
    <cellStyle name="60% - Accent4 4" xfId="104" xr:uid="{9B448454-4DFD-4835-AD55-AA22C759F4CD}"/>
    <cellStyle name="60% - Accent4 5" xfId="124" xr:uid="{35303BFE-A63C-46D4-8E1F-8E83048E1AEC}"/>
    <cellStyle name="60% - Accent4 6" xfId="144" xr:uid="{F86A7F01-54B8-457C-B188-922B24004D98}"/>
    <cellStyle name="60% - Accent4 7" xfId="164" xr:uid="{D19A782C-509E-402E-8D19-AD8A254E17BE}"/>
    <cellStyle name="60% - Accent4 8" xfId="194" xr:uid="{B7593354-F6EA-46AE-8952-06A796D9105C}"/>
    <cellStyle name="60% - Accent4 9" xfId="214" xr:uid="{040187D4-AE2F-4A23-AD63-5EF9DAB5C470}"/>
    <cellStyle name="60% - Accent5" xfId="38" builtinId="48" customBuiltin="1"/>
    <cellStyle name="60% - Accent5 10" xfId="237" xr:uid="{2D44EE49-FBE0-4226-A865-E76E5DA0EBFC}"/>
    <cellStyle name="60% - Accent5 11" xfId="257" xr:uid="{3EDC6DB0-1FA7-489F-8DCE-1D18B4A2CE66}"/>
    <cellStyle name="60% - Accent5 12" xfId="277" xr:uid="{A294D898-54CE-418A-B8F2-575B3A6E4752}"/>
    <cellStyle name="60% - Accent5 2" xfId="66" xr:uid="{95A9E3C4-4DA7-4EEB-BA41-93813FEF6EE1}"/>
    <cellStyle name="60% - Accent5 3" xfId="87" xr:uid="{548BF717-036E-479E-B7C8-7F3B9CB70A5E}"/>
    <cellStyle name="60% - Accent5 4" xfId="107" xr:uid="{254CC87F-7FE3-4707-BBE0-3564EBE604A6}"/>
    <cellStyle name="60% - Accent5 5" xfId="127" xr:uid="{A6EAE11A-1904-4E47-A007-7118B66B4A2B}"/>
    <cellStyle name="60% - Accent5 6" xfId="147" xr:uid="{89EF0F53-4714-4B39-9365-89D44230679F}"/>
    <cellStyle name="60% - Accent5 7" xfId="167" xr:uid="{BCE2D801-B917-422D-A469-189B585D787E}"/>
    <cellStyle name="60% - Accent5 8" xfId="197" xr:uid="{8925079C-F35A-4912-AC1E-DB4FFA97B0CD}"/>
    <cellStyle name="60% - Accent5 9" xfId="217" xr:uid="{9F67F683-CA1F-4EC7-86A2-952BA5D2A348}"/>
    <cellStyle name="60% - Accent6" xfId="42" builtinId="52" customBuiltin="1"/>
    <cellStyle name="60% - Accent6 10" xfId="240" xr:uid="{B0BAD6EB-D78C-4C9F-8507-F7B36E6F4C1E}"/>
    <cellStyle name="60% - Accent6 11" xfId="260" xr:uid="{E9543E3D-D346-4811-8C5A-AC4CD4522B34}"/>
    <cellStyle name="60% - Accent6 12" xfId="280" xr:uid="{F3845554-B88A-48D4-90C2-E293CE361CA0}"/>
    <cellStyle name="60% - Accent6 2" xfId="69" xr:uid="{A6DD0017-5039-44E6-A33A-6062B1ED12CF}"/>
    <cellStyle name="60% - Accent6 3" xfId="90" xr:uid="{CF9F8510-2C92-4390-A947-C66630356FEF}"/>
    <cellStyle name="60% - Accent6 4" xfId="110" xr:uid="{4C62FF5D-B21C-4744-99D2-8C16221ED6D0}"/>
    <cellStyle name="60% - Accent6 5" xfId="130" xr:uid="{9BB2FF64-61DD-42C4-911E-749807E93BE1}"/>
    <cellStyle name="60% - Accent6 6" xfId="150" xr:uid="{39693420-6131-4FF5-BCE9-D656D06FA9B5}"/>
    <cellStyle name="60% - Accent6 7" xfId="170" xr:uid="{3314F88E-3F96-4E3B-9295-F663E704C0B1}"/>
    <cellStyle name="60% - Accent6 8" xfId="200" xr:uid="{922DE7F6-D5AC-450E-BACA-250AAF0AC290}"/>
    <cellStyle name="60% - Accent6 9" xfId="220" xr:uid="{DB2CF0A2-76A7-4D34-8145-5F20CA5240C3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14" builtinId="27" customBuiltin="1"/>
    <cellStyle name="Calculation" xfId="7" builtinId="22" customBuiltin="1"/>
    <cellStyle name="Check Cell" xfId="8" builtinId="23" customBuiltin="1"/>
    <cellStyle name="Comma" xfId="171" builtinId="3"/>
    <cellStyle name="Comma 2" xfId="10" xr:uid="{5B94BC65-F29F-414D-B2B0-8ABE0DBB7FEB}"/>
    <cellStyle name="Comma 3" xfId="54" xr:uid="{080F6ACA-71F4-4B6E-B4DC-F28896B8DD07}"/>
    <cellStyle name="Currency" xfId="48" builtinId="4"/>
    <cellStyle name="Explanatory Text" xfId="17" builtinId="53" customBuiltin="1"/>
    <cellStyle name="Good" xfId="9" builtinId="26" customBuiltin="1"/>
    <cellStyle name="Heading 1" xfId="1" builtinId="16" customBuiltin="1"/>
    <cellStyle name="Heading 1 2" xfId="44" xr:uid="{515CC21B-0CF8-4B75-A919-C060C2497E38}"/>
    <cellStyle name="Heading 1 3" xfId="174" xr:uid="{51B938B6-231C-4AB4-8C2D-13643AE57E2E}"/>
    <cellStyle name="Heading 2" xfId="2" builtinId="17" customBuiltin="1"/>
    <cellStyle name="Heading 2 2" xfId="45" xr:uid="{F1CDA043-163B-43A7-B98D-5B4EC59BDDE5}"/>
    <cellStyle name="Heading 2 3" xfId="175" xr:uid="{983E0802-A020-4CF4-B7A0-B0551A9A0779}"/>
    <cellStyle name="Heading 2 4" xfId="178" xr:uid="{B9EF64D0-EAFC-496C-9480-7F68AC3B757D}"/>
    <cellStyle name="Heading 3" xfId="3" builtinId="18" customBuiltin="1"/>
    <cellStyle name="Heading 3 2" xfId="46" xr:uid="{DAAEC63F-5742-4F7A-98E0-D0A336011079}"/>
    <cellStyle name="Heading 3 3" xfId="176" xr:uid="{A7C37346-1CEB-4FA6-A207-DB5E095E1A7F}"/>
    <cellStyle name="Heading 3 4" xfId="179" xr:uid="{282319D5-A9D3-43BB-914D-05BE547E4F93}"/>
    <cellStyle name="Heading 4" xfId="13" builtinId="19" customBuiltin="1"/>
    <cellStyle name="Input" xfId="5" builtinId="20" customBuiltin="1"/>
    <cellStyle name="Linked Cell" xfId="15" builtinId="24" customBuiltin="1"/>
    <cellStyle name="Neutral" xfId="4" builtinId="28" customBuiltin="1"/>
    <cellStyle name="Normal" xfId="0" builtinId="0" customBuiltin="1"/>
    <cellStyle name="Normal 10" xfId="172" xr:uid="{AB66C06B-49A8-4460-B990-4A5F5113B636}"/>
    <cellStyle name="Normal 11" xfId="173" xr:uid="{672CA4F8-0C63-4C38-8BDF-28920812E640}"/>
    <cellStyle name="Normal 12" xfId="177" xr:uid="{FD8B4820-A504-4DEB-8D0D-6D3E0EF25EE7}"/>
    <cellStyle name="Normal 13" xfId="181" xr:uid="{FE7DA424-DD20-4E3B-BBB0-B9845D124F4E}"/>
    <cellStyle name="Normal 14" xfId="201" xr:uid="{78370850-8DEE-44B9-85B4-55D2EF60B4C8}"/>
    <cellStyle name="Normal 15" xfId="221" xr:uid="{FF428D02-D5D6-44D3-9E14-AC44EF957A53}"/>
    <cellStyle name="Normal 16" xfId="241" xr:uid="{B57C4BE8-5E67-42C3-8D7C-B84D51AE42CF}"/>
    <cellStyle name="Normal 17" xfId="261" xr:uid="{BFF6FA34-70EB-45EB-80A3-61B721DDD8EF}"/>
    <cellStyle name="Normal 2" xfId="11" xr:uid="{8201BFBE-54DF-4A30-9C3E-C29D9584BA34}"/>
    <cellStyle name="Normal 3" xfId="43" xr:uid="{9AED5316-76FE-4E65-AFEE-BFA576D59AA3}"/>
    <cellStyle name="Normal 4" xfId="49" xr:uid="{E24268A9-CA9C-4BD2-8663-7B81B3A9032A}"/>
    <cellStyle name="Normal 5" xfId="71" xr:uid="{38AAC85E-7665-43B1-8915-2BD542D05844}"/>
    <cellStyle name="Normal 6" xfId="91" xr:uid="{D72D0690-6727-4277-9C8E-93BC6B3FFBB4}"/>
    <cellStyle name="Normal 7" xfId="111" xr:uid="{E753199F-A225-4FB8-9E73-7F10D8CC5110}"/>
    <cellStyle name="Normal 8" xfId="131" xr:uid="{2577F91C-793A-4C35-AC7B-0273CCAB22E8}"/>
    <cellStyle name="Normal 9" xfId="151" xr:uid="{CCC8F6A8-EA4C-4E51-9502-815C27BD38C8}"/>
    <cellStyle name="Note 10" xfId="202" xr:uid="{96AE3405-8831-47DF-AE45-BB0C7C81100D}"/>
    <cellStyle name="Note 11" xfId="222" xr:uid="{B3DC4046-8554-4E69-A478-E96637162733}"/>
    <cellStyle name="Note 12" xfId="242" xr:uid="{449327E2-BF72-4239-9442-9DD8B3401676}"/>
    <cellStyle name="Note 13" xfId="262" xr:uid="{495BF201-FF5B-414C-83D8-B4F792D3F33C}"/>
    <cellStyle name="Note 2" xfId="47" xr:uid="{F47DFAB6-0B71-47A5-9A05-D11D6B98B308}"/>
    <cellStyle name="Note 3" xfId="50" xr:uid="{2981C335-7BE4-41A3-85FC-6A71C14A8063}"/>
    <cellStyle name="Note 4" xfId="72" xr:uid="{9CA48D43-8C97-4384-88C6-F09F74DA4507}"/>
    <cellStyle name="Note 5" xfId="92" xr:uid="{3B83FDD3-1657-4E6D-925E-B76ECE21AEB2}"/>
    <cellStyle name="Note 6" xfId="112" xr:uid="{66425E75-28AB-4CBA-95A2-67394A4DF630}"/>
    <cellStyle name="Note 7" xfId="132" xr:uid="{7AF16084-3217-48F9-AD0B-69B96727814F}"/>
    <cellStyle name="Note 8" xfId="152" xr:uid="{7487F50D-27E8-45DC-854E-036BEFF0EFD4}"/>
    <cellStyle name="Note 9" xfId="182" xr:uid="{A57D0108-C792-4DB1-B12B-771EB3DC823F}"/>
    <cellStyle name="Output" xfId="6" builtinId="21" customBuiltin="1"/>
    <cellStyle name="Percent" xfId="180" builtinId="5"/>
    <cellStyle name="Percent 2" xfId="70" xr:uid="{83308561-B7BD-4D39-A45D-1FEDB2984E2E}"/>
    <cellStyle name="Title" xfId="12" builtinId="15" customBuiltin="1"/>
    <cellStyle name="Total" xfId="18" builtinId="25" customBuiltin="1"/>
    <cellStyle name="Warning Text" xfId="16" builtinId="11" customBuiltin="1"/>
  </cellStyles>
  <dxfs count="323">
    <dxf>
      <font>
        <color rgb="FF9C0006"/>
      </font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 tint="0.34998626667073579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 tint="0.34998626667073579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 tint="0.34998626667073579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 tint="0.34998626667073579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 tint="0.34998626667073579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 tint="0.34998626667073579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 tint="0.34998626667073579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fill>
        <patternFill patternType="solid">
          <fgColor indexed="64"/>
          <bgColor theme="1"/>
        </patternFill>
      </fill>
      <alignment horizontal="lef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family val="2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Bookman Old Style"/>
        <family val="2"/>
        <scheme val="maj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ck">
          <color theme="4"/>
        </left>
        <right/>
        <top/>
        <bottom style="thick">
          <color theme="0"/>
        </bottom>
      </border>
      <protection locked="1" hidden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ck">
          <color theme="4"/>
        </left>
        <right/>
        <top/>
        <bottom style="thick">
          <color theme="0"/>
        </bottom>
      </border>
      <protection locked="1" hidden="0"/>
    </dxf>
    <dxf>
      <fill>
        <patternFill patternType="none">
          <bgColor auto="1"/>
        </patternFill>
      </fill>
      <alignment horizontal="left" vertical="center" textRotation="0" wrapText="0" relativeIndent="1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ck">
          <color theme="5"/>
        </left>
        <right/>
        <top/>
        <bottom style="thick">
          <color theme="0"/>
        </bottom>
      </border>
      <protection locked="1" hidden="0"/>
    </dxf>
    <dxf>
      <fill>
        <patternFill patternType="none">
          <bgColor auto="1"/>
        </patternFill>
      </fill>
      <alignment horizontal="left" vertical="center" textRotation="0" wrapText="0" relativeIndent="1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ck">
          <color theme="5"/>
        </left>
        <right/>
        <top/>
        <bottom style="thick">
          <color theme="0"/>
        </bottom>
      </border>
      <protection locked="1" hidden="0"/>
    </dxf>
    <dxf>
      <fill>
        <patternFill patternType="none">
          <bgColor auto="1"/>
        </patternFill>
      </fill>
      <alignment horizontal="left" vertical="center" textRotation="0" wrapText="0" relativeIndent="1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ck">
          <color theme="4"/>
        </left>
        <right/>
        <top/>
        <bottom style="thick">
          <color theme="0"/>
        </bottom>
      </border>
      <protection locked="1" hidden="0"/>
    </dxf>
    <dxf>
      <fill>
        <patternFill patternType="none">
          <bgColor auto="1"/>
        </patternFill>
      </fill>
      <alignment horizontal="left" vertical="center" textRotation="0" wrapText="0" relativeIndent="1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ck">
          <color theme="4"/>
        </left>
        <right/>
        <top/>
        <bottom style="thick">
          <color theme="0"/>
        </bottom>
      </border>
      <protection locked="1" hidden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ck">
          <color theme="5"/>
        </left>
        <right/>
        <top/>
        <bottom style="thick">
          <color theme="0"/>
        </bottom>
      </border>
      <protection locked="1" hidden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ck">
          <color theme="5"/>
        </left>
        <right/>
        <top/>
        <bottom style="thick">
          <color theme="0"/>
        </bottom>
      </border>
      <protection locked="1" hidden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ck">
          <color theme="4"/>
        </left>
        <right/>
        <top/>
        <bottom style="thick">
          <color theme="0"/>
        </bottom>
      </border>
      <protection locked="1" hidden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Arial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ck">
          <color theme="4"/>
        </left>
        <right/>
        <top/>
        <bottom style="thick">
          <color theme="0"/>
        </bottom>
      </border>
      <protection locked="1" hidden="0"/>
    </dxf>
    <dxf>
      <fill>
        <patternFill patternType="none">
          <bgColor auto="1"/>
        </patternFill>
      </fill>
    </dxf>
    <dxf>
      <fill>
        <patternFill patternType="none">
          <fgColor indexed="64"/>
          <bgColor theme="0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5"/>
        </left>
        <right/>
        <top/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5" tint="-0.499984740745262"/>
        <name val="Arial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  <protection locked="1" hidden="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rial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medium">
          <color theme="4"/>
        </left>
        <right/>
        <top/>
        <bottom style="thick">
          <color theme="0"/>
        </bottom>
      </border>
      <protection locked="1" hidden="0"/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4" tint="-0.499984740745262"/>
        <name val="Arial"/>
        <family val="2"/>
        <scheme val="minor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 val="0"/>
        <i val="0"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ill>
        <patternFill patternType="solid">
          <fgColor theme="2" tint="0.59996337778862885"/>
          <bgColor theme="0" tint="-4.9989318521683403E-2"/>
        </patternFill>
      </fill>
    </dxf>
    <dxf>
      <fill>
        <patternFill patternType="solid">
          <fgColor theme="2" tint="0.79995117038483843"/>
          <bgColor theme="2"/>
        </patternFill>
      </fill>
    </dxf>
    <dxf>
      <font>
        <b/>
        <i val="0"/>
        <color theme="2"/>
      </font>
      <fill>
        <patternFill>
          <bgColor theme="6" tint="-0.499984740745262"/>
        </patternFill>
      </fill>
      <border>
        <top style="thick">
          <color theme="0"/>
        </top>
      </border>
    </dxf>
    <dxf>
      <font>
        <b val="0"/>
        <i val="0"/>
        <color auto="1"/>
      </font>
      <fill>
        <patternFill patternType="none">
          <bgColor auto="1"/>
        </patternFill>
      </fill>
      <border diagonalUp="0" diagonalDown="0">
        <left/>
        <right/>
        <top/>
        <bottom style="thick">
          <color theme="6" tint="-0.499984740745262"/>
        </bottom>
        <vertical/>
        <horizontal/>
      </border>
    </dxf>
  </dxfs>
  <tableStyles count="2" defaultTableStyle="TableStyleMedium2" defaultPivotStyle="PivotStyleLight16">
    <tableStyle name="Investment Tracker Table" pivot="0" count="4" xr9:uid="{585CC81A-2C5B-4FC9-A185-E5BE884EAE18}">
      <tableStyleElement type="wholeTable" dxfId="322"/>
      <tableStyleElement type="headerRow" dxfId="321"/>
      <tableStyleElement type="firstRowStripe" dxfId="320"/>
      <tableStyleElement type="secondRowStripe" dxfId="319"/>
    </tableStyle>
    <tableStyle name="Personal monthly budget" pivot="0" count="7" xr9:uid="{82794595-C99B-4612-A5C2-B9106526DA13}">
      <tableStyleElement type="wholeTable" dxfId="318"/>
      <tableStyleElement type="headerRow" dxfId="317"/>
      <tableStyleElement type="totalRow" dxfId="316"/>
      <tableStyleElement type="firstColumn" dxfId="315"/>
      <tableStyleElement type="lastColumn" dxfId="314"/>
      <tableStyleElement type="firstRowStripe" dxfId="313"/>
      <tableStyleElement type="firstColumnStripe" dxfId="312"/>
    </tableStyle>
  </tableStyles>
  <colors>
    <mruColors>
      <color rgb="FF00CC99"/>
      <color rgb="FFFF3300"/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Waterfall</a:t>
            </a:r>
            <a:r>
              <a:rPr lang="en-US" baseline="0"/>
              <a:t> of Cashflow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57920728162016"/>
          <c:y val="9.0274969310661993E-2"/>
          <c:w val="0.8702826281866658"/>
          <c:h val="0.65356165348731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Waterfall!$H$1</c:f>
              <c:strCache>
                <c:ptCount val="1"/>
                <c:pt idx="0">
                  <c:v>Balance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18D-4E30-A022-B3EF54AF20B3}"/>
              </c:ext>
            </c:extLst>
          </c:dPt>
          <c:dPt>
            <c:idx val="27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18D-4E30-A022-B3EF54AF20B3}"/>
              </c:ext>
            </c:extLst>
          </c:dPt>
          <c:dPt>
            <c:idx val="3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C0A-49CF-80F4-C66B417F3BE9}"/>
              </c:ext>
            </c:extLst>
          </c:dPt>
          <c:dPt>
            <c:idx val="3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226-4AB7-9A3F-2318C3FEBDDD}"/>
              </c:ext>
            </c:extLst>
          </c:dPt>
          <c:dPt>
            <c:idx val="36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FC9-4938-BF79-464780F2055B}"/>
              </c:ext>
            </c:extLst>
          </c:dPt>
          <c:dPt>
            <c:idx val="39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329-4B5C-98E5-83A621AA34EF}"/>
              </c:ext>
            </c:extLst>
          </c:dPt>
          <c:dPt>
            <c:idx val="45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7CB-4BE3-A999-CD14198CD9EE}"/>
              </c:ext>
            </c:extLst>
          </c:dPt>
          <c:cat>
            <c:strRef>
              <c:f>Waterfall!$G$2:$G$53</c:f>
              <c:strCache>
                <c:ptCount val="52"/>
                <c:pt idx="0">
                  <c:v>Opening Balance</c:v>
                </c:pt>
                <c:pt idx="1">
                  <c:v>1/8/2021</c:v>
                </c:pt>
                <c:pt idx="2">
                  <c:v>1/15/2021</c:v>
                </c:pt>
                <c:pt idx="3">
                  <c:v>1/22/2021</c:v>
                </c:pt>
                <c:pt idx="4">
                  <c:v>1/31/2021</c:v>
                </c:pt>
                <c:pt idx="5">
                  <c:v>2/5/2021</c:v>
                </c:pt>
                <c:pt idx="6">
                  <c:v>2/12/2021</c:v>
                </c:pt>
                <c:pt idx="7">
                  <c:v>2/19/2021</c:v>
                </c:pt>
                <c:pt idx="8">
                  <c:v>2/28/2021</c:v>
                </c:pt>
                <c:pt idx="9">
                  <c:v>3/5/2021</c:v>
                </c:pt>
                <c:pt idx="10">
                  <c:v>3/12/2021</c:v>
                </c:pt>
                <c:pt idx="11">
                  <c:v>3/19/2021</c:v>
                </c:pt>
                <c:pt idx="12">
                  <c:v>3/26/2021</c:v>
                </c:pt>
                <c:pt idx="13">
                  <c:v>3/31/2021</c:v>
                </c:pt>
                <c:pt idx="14">
                  <c:v>4/2/2021</c:v>
                </c:pt>
                <c:pt idx="15">
                  <c:v>4/9/2021</c:v>
                </c:pt>
                <c:pt idx="16">
                  <c:v>4/16/2021</c:v>
                </c:pt>
                <c:pt idx="17">
                  <c:v>4/23/2021</c:v>
                </c:pt>
                <c:pt idx="18">
                  <c:v>4/30/2021</c:v>
                </c:pt>
                <c:pt idx="19">
                  <c:v>5/7/2021</c:v>
                </c:pt>
                <c:pt idx="20">
                  <c:v>5/14/2021</c:v>
                </c:pt>
                <c:pt idx="21">
                  <c:v>5/21/2021</c:v>
                </c:pt>
                <c:pt idx="22">
                  <c:v>5/28/2021</c:v>
                </c:pt>
                <c:pt idx="23">
                  <c:v>5/31/2021</c:v>
                </c:pt>
                <c:pt idx="24">
                  <c:v>6/4/2021</c:v>
                </c:pt>
                <c:pt idx="25">
                  <c:v>6/11/2021</c:v>
                </c:pt>
                <c:pt idx="26">
                  <c:v>6/18/2021</c:v>
                </c:pt>
                <c:pt idx="27">
                  <c:v>6/25/2021</c:v>
                </c:pt>
                <c:pt idx="28">
                  <c:v>6/30/2021</c:v>
                </c:pt>
                <c:pt idx="29">
                  <c:v>7/2/2021</c:v>
                </c:pt>
                <c:pt idx="30">
                  <c:v>7/9/2021</c:v>
                </c:pt>
                <c:pt idx="31">
                  <c:v>7/16/2021</c:v>
                </c:pt>
                <c:pt idx="32">
                  <c:v>7/23/2021</c:v>
                </c:pt>
                <c:pt idx="33">
                  <c:v>7/30/2021</c:v>
                </c:pt>
                <c:pt idx="34">
                  <c:v>8/6/2021</c:v>
                </c:pt>
                <c:pt idx="35">
                  <c:v>8/13/2021</c:v>
                </c:pt>
                <c:pt idx="36">
                  <c:v>8/20/2021</c:v>
                </c:pt>
                <c:pt idx="37">
                  <c:v>8/27/2021</c:v>
                </c:pt>
                <c:pt idx="38">
                  <c:v>8/31/2021</c:v>
                </c:pt>
                <c:pt idx="39">
                  <c:v>9/3/2021</c:v>
                </c:pt>
                <c:pt idx="40">
                  <c:v>9/10/2021</c:v>
                </c:pt>
                <c:pt idx="41">
                  <c:v>9/17/2021</c:v>
                </c:pt>
                <c:pt idx="42">
                  <c:v>9/24/2021</c:v>
                </c:pt>
                <c:pt idx="43">
                  <c:v>9/30/2021</c:v>
                </c:pt>
                <c:pt idx="44">
                  <c:v>10/1/2021</c:v>
                </c:pt>
                <c:pt idx="45">
                  <c:v>10/8/2021</c:v>
                </c:pt>
                <c:pt idx="46">
                  <c:v>10/15/2021</c:v>
                </c:pt>
                <c:pt idx="47">
                  <c:v>10/22/2021</c:v>
                </c:pt>
                <c:pt idx="48">
                  <c:v>10/29/2021</c:v>
                </c:pt>
                <c:pt idx="49">
                  <c:v>11/5/2021</c:v>
                </c:pt>
                <c:pt idx="50">
                  <c:v>11/12/2021</c:v>
                </c:pt>
                <c:pt idx="51">
                  <c:v>Closing Balance</c:v>
                </c:pt>
              </c:strCache>
            </c:strRef>
          </c:cat>
          <c:val>
            <c:numRef>
              <c:f>Waterfall!$H$2:$H$53</c:f>
              <c:numCache>
                <c:formatCode>_("$"* #,##0_);_("$"* \(#,##0\);_("$"* "-"??_);_(@_)</c:formatCode>
                <c:ptCount val="52"/>
                <c:pt idx="0">
                  <c:v>167.58</c:v>
                </c:pt>
                <c:pt idx="1">
                  <c:v>67.580000000000013</c:v>
                </c:pt>
                <c:pt idx="2">
                  <c:v>67.580000000000013</c:v>
                </c:pt>
                <c:pt idx="3">
                  <c:v>70.020000000000095</c:v>
                </c:pt>
                <c:pt idx="4">
                  <c:v>70.020000000000095</c:v>
                </c:pt>
                <c:pt idx="5">
                  <c:v>144.67000000000019</c:v>
                </c:pt>
                <c:pt idx="6">
                  <c:v>144.67000000000019</c:v>
                </c:pt>
                <c:pt idx="7">
                  <c:v>265.14000000000044</c:v>
                </c:pt>
                <c:pt idx="8">
                  <c:v>265.14000000000044</c:v>
                </c:pt>
                <c:pt idx="9">
                  <c:v>331.39000000000078</c:v>
                </c:pt>
                <c:pt idx="10">
                  <c:v>331.39000000000078</c:v>
                </c:pt>
                <c:pt idx="11">
                  <c:v>563.0000000000008</c:v>
                </c:pt>
                <c:pt idx="12">
                  <c:v>2076.1200000000008</c:v>
                </c:pt>
                <c:pt idx="13">
                  <c:v>2676.9800000000005</c:v>
                </c:pt>
                <c:pt idx="14">
                  <c:v>2276.9800000000005</c:v>
                </c:pt>
                <c:pt idx="15">
                  <c:v>2276.9800000000005</c:v>
                </c:pt>
                <c:pt idx="16">
                  <c:v>2581.2600000000007</c:v>
                </c:pt>
                <c:pt idx="17">
                  <c:v>2581.2600000000007</c:v>
                </c:pt>
                <c:pt idx="18">
                  <c:v>3264.1700000000005</c:v>
                </c:pt>
                <c:pt idx="19">
                  <c:v>3264.1700000000005</c:v>
                </c:pt>
                <c:pt idx="20">
                  <c:v>3338.1800000000003</c:v>
                </c:pt>
                <c:pt idx="21">
                  <c:v>3338.1800000000003</c:v>
                </c:pt>
                <c:pt idx="22">
                  <c:v>2864.2000000000003</c:v>
                </c:pt>
                <c:pt idx="23">
                  <c:v>2864.2000000000003</c:v>
                </c:pt>
                <c:pt idx="24">
                  <c:v>2864.2000000000003</c:v>
                </c:pt>
                <c:pt idx="25">
                  <c:v>2786.21</c:v>
                </c:pt>
                <c:pt idx="26">
                  <c:v>2786.21</c:v>
                </c:pt>
                <c:pt idx="27">
                  <c:v>6533.6800000000012</c:v>
                </c:pt>
                <c:pt idx="28">
                  <c:v>4729.3400000000011</c:v>
                </c:pt>
                <c:pt idx="29">
                  <c:v>4729.3400000000011</c:v>
                </c:pt>
                <c:pt idx="30">
                  <c:v>3853.650000000001</c:v>
                </c:pt>
                <c:pt idx="31">
                  <c:v>3838.8000000000011</c:v>
                </c:pt>
                <c:pt idx="32">
                  <c:v>1481.9800000000009</c:v>
                </c:pt>
                <c:pt idx="33">
                  <c:v>1481.9800000000009</c:v>
                </c:pt>
                <c:pt idx="34">
                  <c:v>2004.4900000000007</c:v>
                </c:pt>
                <c:pt idx="35">
                  <c:v>2004.4900000000007</c:v>
                </c:pt>
                <c:pt idx="36">
                  <c:v>3606.9700000000007</c:v>
                </c:pt>
                <c:pt idx="37">
                  <c:v>3030.5000000000009</c:v>
                </c:pt>
                <c:pt idx="38">
                  <c:v>3030.5000000000009</c:v>
                </c:pt>
                <c:pt idx="39">
                  <c:v>2830.5000000000009</c:v>
                </c:pt>
                <c:pt idx="40">
                  <c:v>2830.5000000000009</c:v>
                </c:pt>
                <c:pt idx="41">
                  <c:v>2805.5700000000011</c:v>
                </c:pt>
                <c:pt idx="42">
                  <c:v>2805.5700000000011</c:v>
                </c:pt>
                <c:pt idx="43">
                  <c:v>2892.2200000000016</c:v>
                </c:pt>
                <c:pt idx="44">
                  <c:v>1025.5500000000015</c:v>
                </c:pt>
                <c:pt idx="45">
                  <c:v>1025.5500000000015</c:v>
                </c:pt>
                <c:pt idx="46">
                  <c:v>3054.8900000000012</c:v>
                </c:pt>
                <c:pt idx="47">
                  <c:v>3891.7800000000011</c:v>
                </c:pt>
                <c:pt idx="48">
                  <c:v>5197.0700000000006</c:v>
                </c:pt>
                <c:pt idx="49">
                  <c:v>4246.3700000000008</c:v>
                </c:pt>
                <c:pt idx="50">
                  <c:v>3172.4700000000007</c:v>
                </c:pt>
                <c:pt idx="51">
                  <c:v>2872.4700000000007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D-4E30-A022-B3EF54AF20B3}"/>
            </c:ext>
          </c:extLst>
        </c:ser>
        <c:ser>
          <c:idx val="1"/>
          <c:order val="1"/>
          <c:tx>
            <c:strRef>
              <c:f>Waterfall!$I$1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Waterfall!$G$2:$G$53</c:f>
              <c:strCache>
                <c:ptCount val="52"/>
                <c:pt idx="0">
                  <c:v>Opening Balance</c:v>
                </c:pt>
                <c:pt idx="1">
                  <c:v>1/8/2021</c:v>
                </c:pt>
                <c:pt idx="2">
                  <c:v>1/15/2021</c:v>
                </c:pt>
                <c:pt idx="3">
                  <c:v>1/22/2021</c:v>
                </c:pt>
                <c:pt idx="4">
                  <c:v>1/31/2021</c:v>
                </c:pt>
                <c:pt idx="5">
                  <c:v>2/5/2021</c:v>
                </c:pt>
                <c:pt idx="6">
                  <c:v>2/12/2021</c:v>
                </c:pt>
                <c:pt idx="7">
                  <c:v>2/19/2021</c:v>
                </c:pt>
                <c:pt idx="8">
                  <c:v>2/28/2021</c:v>
                </c:pt>
                <c:pt idx="9">
                  <c:v>3/5/2021</c:v>
                </c:pt>
                <c:pt idx="10">
                  <c:v>3/12/2021</c:v>
                </c:pt>
                <c:pt idx="11">
                  <c:v>3/19/2021</c:v>
                </c:pt>
                <c:pt idx="12">
                  <c:v>3/26/2021</c:v>
                </c:pt>
                <c:pt idx="13">
                  <c:v>3/31/2021</c:v>
                </c:pt>
                <c:pt idx="14">
                  <c:v>4/2/2021</c:v>
                </c:pt>
                <c:pt idx="15">
                  <c:v>4/9/2021</c:v>
                </c:pt>
                <c:pt idx="16">
                  <c:v>4/16/2021</c:v>
                </c:pt>
                <c:pt idx="17">
                  <c:v>4/23/2021</c:v>
                </c:pt>
                <c:pt idx="18">
                  <c:v>4/30/2021</c:v>
                </c:pt>
                <c:pt idx="19">
                  <c:v>5/7/2021</c:v>
                </c:pt>
                <c:pt idx="20">
                  <c:v>5/14/2021</c:v>
                </c:pt>
                <c:pt idx="21">
                  <c:v>5/21/2021</c:v>
                </c:pt>
                <c:pt idx="22">
                  <c:v>5/28/2021</c:v>
                </c:pt>
                <c:pt idx="23">
                  <c:v>5/31/2021</c:v>
                </c:pt>
                <c:pt idx="24">
                  <c:v>6/4/2021</c:v>
                </c:pt>
                <c:pt idx="25">
                  <c:v>6/11/2021</c:v>
                </c:pt>
                <c:pt idx="26">
                  <c:v>6/18/2021</c:v>
                </c:pt>
                <c:pt idx="27">
                  <c:v>6/25/2021</c:v>
                </c:pt>
                <c:pt idx="28">
                  <c:v>6/30/2021</c:v>
                </c:pt>
                <c:pt idx="29">
                  <c:v>7/2/2021</c:v>
                </c:pt>
                <c:pt idx="30">
                  <c:v>7/9/2021</c:v>
                </c:pt>
                <c:pt idx="31">
                  <c:v>7/16/2021</c:v>
                </c:pt>
                <c:pt idx="32">
                  <c:v>7/23/2021</c:v>
                </c:pt>
                <c:pt idx="33">
                  <c:v>7/30/2021</c:v>
                </c:pt>
                <c:pt idx="34">
                  <c:v>8/6/2021</c:v>
                </c:pt>
                <c:pt idx="35">
                  <c:v>8/13/2021</c:v>
                </c:pt>
                <c:pt idx="36">
                  <c:v>8/20/2021</c:v>
                </c:pt>
                <c:pt idx="37">
                  <c:v>8/27/2021</c:v>
                </c:pt>
                <c:pt idx="38">
                  <c:v>8/31/2021</c:v>
                </c:pt>
                <c:pt idx="39">
                  <c:v>9/3/2021</c:v>
                </c:pt>
                <c:pt idx="40">
                  <c:v>9/10/2021</c:v>
                </c:pt>
                <c:pt idx="41">
                  <c:v>9/17/2021</c:v>
                </c:pt>
                <c:pt idx="42">
                  <c:v>9/24/2021</c:v>
                </c:pt>
                <c:pt idx="43">
                  <c:v>9/30/2021</c:v>
                </c:pt>
                <c:pt idx="44">
                  <c:v>10/1/2021</c:v>
                </c:pt>
                <c:pt idx="45">
                  <c:v>10/8/2021</c:v>
                </c:pt>
                <c:pt idx="46">
                  <c:v>10/15/2021</c:v>
                </c:pt>
                <c:pt idx="47">
                  <c:v>10/22/2021</c:v>
                </c:pt>
                <c:pt idx="48">
                  <c:v>10/29/2021</c:v>
                </c:pt>
                <c:pt idx="49">
                  <c:v>11/5/2021</c:v>
                </c:pt>
                <c:pt idx="50">
                  <c:v>11/12/2021</c:v>
                </c:pt>
                <c:pt idx="51">
                  <c:v>Closing Balance</c:v>
                </c:pt>
              </c:strCache>
            </c:strRef>
          </c:cat>
          <c:val>
            <c:numRef>
              <c:f>Waterfall!$I$2:$I$53</c:f>
              <c:numCache>
                <c:formatCode>_("$"* #,##0_);_("$"* \(#,##0\);_("$"* "-"??_);_(@_)</c:formatCode>
                <c:ptCount val="52"/>
                <c:pt idx="1">
                  <c:v>100</c:v>
                </c:pt>
                <c:pt idx="2">
                  <c:v>0</c:v>
                </c:pt>
                <c:pt idx="3">
                  <c:v>727.98</c:v>
                </c:pt>
                <c:pt idx="4">
                  <c:v>0</c:v>
                </c:pt>
                <c:pt idx="5">
                  <c:v>350.31000000000006</c:v>
                </c:pt>
                <c:pt idx="6">
                  <c:v>0</c:v>
                </c:pt>
                <c:pt idx="7">
                  <c:v>612.29</c:v>
                </c:pt>
                <c:pt idx="8">
                  <c:v>0</c:v>
                </c:pt>
                <c:pt idx="9">
                  <c:v>2261.5299999999997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485.0300000000002</c:v>
                </c:pt>
                <c:pt idx="14">
                  <c:v>400</c:v>
                </c:pt>
                <c:pt idx="15">
                  <c:v>0</c:v>
                </c:pt>
                <c:pt idx="16">
                  <c:v>488.52</c:v>
                </c:pt>
                <c:pt idx="17">
                  <c:v>0</c:v>
                </c:pt>
                <c:pt idx="18">
                  <c:v>50</c:v>
                </c:pt>
                <c:pt idx="19">
                  <c:v>0</c:v>
                </c:pt>
                <c:pt idx="20">
                  <c:v>50.320000000000164</c:v>
                </c:pt>
                <c:pt idx="21">
                  <c:v>0</c:v>
                </c:pt>
                <c:pt idx="22">
                  <c:v>1171.96</c:v>
                </c:pt>
                <c:pt idx="23">
                  <c:v>0</c:v>
                </c:pt>
                <c:pt idx="24">
                  <c:v>0</c:v>
                </c:pt>
                <c:pt idx="25">
                  <c:v>592.84000000000015</c:v>
                </c:pt>
                <c:pt idx="26">
                  <c:v>0</c:v>
                </c:pt>
                <c:pt idx="27">
                  <c:v>5102.6099999999997</c:v>
                </c:pt>
                <c:pt idx="28">
                  <c:v>1804.3400000000001</c:v>
                </c:pt>
                <c:pt idx="29">
                  <c:v>0</c:v>
                </c:pt>
                <c:pt idx="30">
                  <c:v>1587.35</c:v>
                </c:pt>
                <c:pt idx="31">
                  <c:v>14.849999999999909</c:v>
                </c:pt>
                <c:pt idx="32">
                  <c:v>2356.8200000000002</c:v>
                </c:pt>
                <c:pt idx="33">
                  <c:v>0</c:v>
                </c:pt>
                <c:pt idx="34">
                  <c:v>1403.17</c:v>
                </c:pt>
                <c:pt idx="35">
                  <c:v>0</c:v>
                </c:pt>
                <c:pt idx="36">
                  <c:v>356.17000000000007</c:v>
                </c:pt>
                <c:pt idx="37">
                  <c:v>576.4699999999998</c:v>
                </c:pt>
                <c:pt idx="38">
                  <c:v>0</c:v>
                </c:pt>
                <c:pt idx="39">
                  <c:v>200</c:v>
                </c:pt>
                <c:pt idx="40">
                  <c:v>0</c:v>
                </c:pt>
                <c:pt idx="41">
                  <c:v>336.23</c:v>
                </c:pt>
                <c:pt idx="42">
                  <c:v>0</c:v>
                </c:pt>
                <c:pt idx="43">
                  <c:v>662.20999999999958</c:v>
                </c:pt>
                <c:pt idx="44">
                  <c:v>1866.67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53.380000000000109</c:v>
                </c:pt>
                <c:pt idx="49">
                  <c:v>950.69999999999982</c:v>
                </c:pt>
                <c:pt idx="50">
                  <c:v>1073.9000000000001</c:v>
                </c:pt>
                <c:pt idx="5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8D-4E30-A022-B3EF54AF20B3}"/>
            </c:ext>
          </c:extLst>
        </c:ser>
        <c:ser>
          <c:idx val="2"/>
          <c:order val="2"/>
          <c:tx>
            <c:strRef>
              <c:f>Waterfall!$J$1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Waterfall!$G$2:$G$53</c:f>
              <c:strCache>
                <c:ptCount val="52"/>
                <c:pt idx="0">
                  <c:v>Opening Balance</c:v>
                </c:pt>
                <c:pt idx="1">
                  <c:v>1/8/2021</c:v>
                </c:pt>
                <c:pt idx="2">
                  <c:v>1/15/2021</c:v>
                </c:pt>
                <c:pt idx="3">
                  <c:v>1/22/2021</c:v>
                </c:pt>
                <c:pt idx="4">
                  <c:v>1/31/2021</c:v>
                </c:pt>
                <c:pt idx="5">
                  <c:v>2/5/2021</c:v>
                </c:pt>
                <c:pt idx="6">
                  <c:v>2/12/2021</c:v>
                </c:pt>
                <c:pt idx="7">
                  <c:v>2/19/2021</c:v>
                </c:pt>
                <c:pt idx="8">
                  <c:v>2/28/2021</c:v>
                </c:pt>
                <c:pt idx="9">
                  <c:v>3/5/2021</c:v>
                </c:pt>
                <c:pt idx="10">
                  <c:v>3/12/2021</c:v>
                </c:pt>
                <c:pt idx="11">
                  <c:v>3/19/2021</c:v>
                </c:pt>
                <c:pt idx="12">
                  <c:v>3/26/2021</c:v>
                </c:pt>
                <c:pt idx="13">
                  <c:v>3/31/2021</c:v>
                </c:pt>
                <c:pt idx="14">
                  <c:v>4/2/2021</c:v>
                </c:pt>
                <c:pt idx="15">
                  <c:v>4/9/2021</c:v>
                </c:pt>
                <c:pt idx="16">
                  <c:v>4/16/2021</c:v>
                </c:pt>
                <c:pt idx="17">
                  <c:v>4/23/2021</c:v>
                </c:pt>
                <c:pt idx="18">
                  <c:v>4/30/2021</c:v>
                </c:pt>
                <c:pt idx="19">
                  <c:v>5/7/2021</c:v>
                </c:pt>
                <c:pt idx="20">
                  <c:v>5/14/2021</c:v>
                </c:pt>
                <c:pt idx="21">
                  <c:v>5/21/2021</c:v>
                </c:pt>
                <c:pt idx="22">
                  <c:v>5/28/2021</c:v>
                </c:pt>
                <c:pt idx="23">
                  <c:v>5/31/2021</c:v>
                </c:pt>
                <c:pt idx="24">
                  <c:v>6/4/2021</c:v>
                </c:pt>
                <c:pt idx="25">
                  <c:v>6/11/2021</c:v>
                </c:pt>
                <c:pt idx="26">
                  <c:v>6/18/2021</c:v>
                </c:pt>
                <c:pt idx="27">
                  <c:v>6/25/2021</c:v>
                </c:pt>
                <c:pt idx="28">
                  <c:v>6/30/2021</c:v>
                </c:pt>
                <c:pt idx="29">
                  <c:v>7/2/2021</c:v>
                </c:pt>
                <c:pt idx="30">
                  <c:v>7/9/2021</c:v>
                </c:pt>
                <c:pt idx="31">
                  <c:v>7/16/2021</c:v>
                </c:pt>
                <c:pt idx="32">
                  <c:v>7/23/2021</c:v>
                </c:pt>
                <c:pt idx="33">
                  <c:v>7/30/2021</c:v>
                </c:pt>
                <c:pt idx="34">
                  <c:v>8/6/2021</c:v>
                </c:pt>
                <c:pt idx="35">
                  <c:v>8/13/2021</c:v>
                </c:pt>
                <c:pt idx="36">
                  <c:v>8/20/2021</c:v>
                </c:pt>
                <c:pt idx="37">
                  <c:v>8/27/2021</c:v>
                </c:pt>
                <c:pt idx="38">
                  <c:v>8/31/2021</c:v>
                </c:pt>
                <c:pt idx="39">
                  <c:v>9/3/2021</c:v>
                </c:pt>
                <c:pt idx="40">
                  <c:v>9/10/2021</c:v>
                </c:pt>
                <c:pt idx="41">
                  <c:v>9/17/2021</c:v>
                </c:pt>
                <c:pt idx="42">
                  <c:v>9/24/2021</c:v>
                </c:pt>
                <c:pt idx="43">
                  <c:v>9/30/2021</c:v>
                </c:pt>
                <c:pt idx="44">
                  <c:v>10/1/2021</c:v>
                </c:pt>
                <c:pt idx="45">
                  <c:v>10/8/2021</c:v>
                </c:pt>
                <c:pt idx="46">
                  <c:v>10/15/2021</c:v>
                </c:pt>
                <c:pt idx="47">
                  <c:v>10/22/2021</c:v>
                </c:pt>
                <c:pt idx="48">
                  <c:v>10/29/2021</c:v>
                </c:pt>
                <c:pt idx="49">
                  <c:v>11/5/2021</c:v>
                </c:pt>
                <c:pt idx="50">
                  <c:v>11/12/2021</c:v>
                </c:pt>
                <c:pt idx="51">
                  <c:v>Closing Balance</c:v>
                </c:pt>
              </c:strCache>
            </c:strRef>
          </c:cat>
          <c:val>
            <c:numRef>
              <c:f>Waterfall!$J$2:$J$53</c:f>
              <c:numCache>
                <c:formatCode>_("$"* #,##0_);_("$"* \(#,##0\);_("$"* "-"??_);_(@_)</c:formatCode>
                <c:ptCount val="52"/>
                <c:pt idx="1">
                  <c:v>0</c:v>
                </c:pt>
                <c:pt idx="2">
                  <c:v>730.42000000000007</c:v>
                </c:pt>
                <c:pt idx="3">
                  <c:v>0</c:v>
                </c:pt>
                <c:pt idx="4">
                  <c:v>424.96000000000015</c:v>
                </c:pt>
                <c:pt idx="5">
                  <c:v>0</c:v>
                </c:pt>
                <c:pt idx="6">
                  <c:v>732.76000000000022</c:v>
                </c:pt>
                <c:pt idx="7">
                  <c:v>0</c:v>
                </c:pt>
                <c:pt idx="8">
                  <c:v>2327.7800000000002</c:v>
                </c:pt>
                <c:pt idx="9">
                  <c:v>0</c:v>
                </c:pt>
                <c:pt idx="10">
                  <c:v>231.61</c:v>
                </c:pt>
                <c:pt idx="11">
                  <c:v>1513.12</c:v>
                </c:pt>
                <c:pt idx="12">
                  <c:v>1085.8899999999999</c:v>
                </c:pt>
                <c:pt idx="13">
                  <c:v>0</c:v>
                </c:pt>
                <c:pt idx="14">
                  <c:v>0</c:v>
                </c:pt>
                <c:pt idx="15">
                  <c:v>792.80000000000018</c:v>
                </c:pt>
                <c:pt idx="16">
                  <c:v>0</c:v>
                </c:pt>
                <c:pt idx="17">
                  <c:v>732.90999999999985</c:v>
                </c:pt>
                <c:pt idx="18">
                  <c:v>0</c:v>
                </c:pt>
                <c:pt idx="19">
                  <c:v>124.32999999999993</c:v>
                </c:pt>
                <c:pt idx="20">
                  <c:v>0</c:v>
                </c:pt>
                <c:pt idx="21">
                  <c:v>697.98</c:v>
                </c:pt>
                <c:pt idx="22">
                  <c:v>0</c:v>
                </c:pt>
                <c:pt idx="23">
                  <c:v>0</c:v>
                </c:pt>
                <c:pt idx="24">
                  <c:v>514.84999999999991</c:v>
                </c:pt>
                <c:pt idx="25">
                  <c:v>0</c:v>
                </c:pt>
                <c:pt idx="26">
                  <c:v>8850.0800000000017</c:v>
                </c:pt>
                <c:pt idx="27">
                  <c:v>0</c:v>
                </c:pt>
                <c:pt idx="28">
                  <c:v>0</c:v>
                </c:pt>
                <c:pt idx="29">
                  <c:v>711.65999999999985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1925.6799999999998</c:v>
                </c:pt>
                <c:pt idx="34">
                  <c:v>0</c:v>
                </c:pt>
                <c:pt idx="35">
                  <c:v>1958.65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311.30000000000018</c:v>
                </c:pt>
                <c:pt idx="41">
                  <c:v>0</c:v>
                </c:pt>
                <c:pt idx="42">
                  <c:v>748.86000000000013</c:v>
                </c:pt>
                <c:pt idx="43">
                  <c:v>0</c:v>
                </c:pt>
                <c:pt idx="44">
                  <c:v>0</c:v>
                </c:pt>
                <c:pt idx="45">
                  <c:v>2029.3399999999997</c:v>
                </c:pt>
                <c:pt idx="46">
                  <c:v>836.88999999999987</c:v>
                </c:pt>
                <c:pt idx="47">
                  <c:v>1358.6699999999996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8D-4E30-A022-B3EF54AF2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621799759"/>
        <c:axId val="1621800175"/>
      </c:barChart>
      <c:catAx>
        <c:axId val="162179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800175"/>
        <c:crosses val="autoZero"/>
        <c:auto val="1"/>
        <c:lblAlgn val="ctr"/>
        <c:lblOffset val="100"/>
        <c:noMultiLvlLbl val="0"/>
      </c:catAx>
      <c:valAx>
        <c:axId val="162180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799759"/>
        <c:crosses val="autoZero"/>
        <c:crossBetween val="between"/>
      </c:valAx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13162</xdr:colOff>
      <xdr:row>0</xdr:row>
      <xdr:rowOff>0</xdr:rowOff>
    </xdr:from>
    <xdr:to>
      <xdr:col>37</xdr:col>
      <xdr:colOff>41564</xdr:colOff>
      <xdr:row>60</xdr:row>
      <xdr:rowOff>120016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7F81AA-2EA9-4489-B10D-7B43696C1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</xdr:colOff>
      <xdr:row>1</xdr:row>
      <xdr:rowOff>31549</xdr:rowOff>
    </xdr:from>
    <xdr:to>
      <xdr:col>21</xdr:col>
      <xdr:colOff>106707</xdr:colOff>
      <xdr:row>24</xdr:row>
      <xdr:rowOff>90241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4C468-1FD3-4291-829C-BBF25A33F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5540" y="161089"/>
          <a:ext cx="4762527" cy="3038112"/>
        </a:xfrm>
        <a:prstGeom prst="rect">
          <a:avLst/>
        </a:prstGeom>
      </xdr:spPr>
    </xdr:pic>
    <xdr:clientData/>
  </xdr:twoCellAnchor>
  <xdr:twoCellAnchor editAs="oneCell">
    <xdr:from>
      <xdr:col>2</xdr:col>
      <xdr:colOff>160612</xdr:colOff>
      <xdr:row>0</xdr:row>
      <xdr:rowOff>125729</xdr:rowOff>
    </xdr:from>
    <xdr:to>
      <xdr:col>11</xdr:col>
      <xdr:colOff>3840</xdr:colOff>
      <xdr:row>17</xdr:row>
      <xdr:rowOff>75304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A6AE68-EB33-46E3-A8CA-3EE3D88E8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6932" y="125729"/>
          <a:ext cx="4506668" cy="21517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71614</xdr:colOff>
      <xdr:row>21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AAD461-1862-4192-A3B7-9423CFA6E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35054" cy="27736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29765</xdr:colOff>
      <xdr:row>1</xdr:row>
      <xdr:rowOff>188141</xdr:rowOff>
    </xdr:from>
    <xdr:to>
      <xdr:col>17</xdr:col>
      <xdr:colOff>19843</xdr:colOff>
      <xdr:row>2</xdr:row>
      <xdr:rowOff>9526</xdr:rowOff>
    </xdr:to>
    <xdr:sp macro="" textlink="$Q$2">
      <xdr:nvSpPr>
        <xdr:cNvPr id="2" name="Rectangle 1" descr="Year">
          <a:extLst>
            <a:ext uri="{FF2B5EF4-FFF2-40B4-BE49-F238E27FC236}">
              <a16:creationId xmlns:a16="http://schemas.microsoft.com/office/drawing/2014/main" id="{8E7D0842-B8E7-420A-935C-E0AEBD03BFA5}"/>
            </a:ext>
          </a:extLst>
        </xdr:cNvPr>
        <xdr:cNvSpPr/>
      </xdr:nvSpPr>
      <xdr:spPr>
        <a:xfrm flipH="1">
          <a:off x="15742840" y="350066"/>
          <a:ext cx="971153" cy="26906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5844B8A-4141-4FF4-9316-6625FB86BF57}" type="TxLink">
            <a:rPr lang="en-US" sz="1000" b="1" i="0" u="none" strike="noStrike">
              <a:solidFill>
                <a:schemeClr val="bg1"/>
              </a:solidFill>
              <a:latin typeface="verdana"/>
              <a:ea typeface="verdana"/>
              <a:cs typeface="Arial"/>
            </a:rPr>
            <a:pPr algn="ctr"/>
            <a:t>2021</a:t>
          </a:fld>
          <a:endParaRPr lang="en-US" sz="1200" b="1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an/Documents/Yearly_Breakdow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an/Documents/Investment%20tracke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0"/>
      <sheetName val="2021 Income"/>
      <sheetName val="Pivot (2021)"/>
      <sheetName val="At-A-Glance"/>
      <sheetName val="Monthly_View"/>
      <sheetName val="Monthly_View b"/>
      <sheetName val="Statement"/>
    </sheetNames>
    <sheetDataSet>
      <sheetData sheetId="0"/>
      <sheetData sheetId="1"/>
      <sheetData sheetId="2">
        <row r="2">
          <cell r="A2">
            <v>800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Portfolio"/>
      <sheetName val="Asset Allocation"/>
      <sheetName val="Investment tracker1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AFF553A-6128-46CF-A4CD-5B7B9F49E0E1}" name="Income14" displayName="Income14" ref="C5:Q10" totalsRowCount="1" headerRowDxfId="311" dataDxfId="310" totalsRowDxfId="309">
  <autoFilter ref="C5:Q9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6BB2E098-95C6-4C79-87F5-A1B9F0EA6F02}" name="INCOME" totalsRowLabel="Total" totalsRowDxfId="308"/>
    <tableColumn id="2" xr3:uid="{D9DDEB99-0CEF-4EBE-8B7F-E33AF5819C50}" name="January" totalsRowFunction="sum" dataDxfId="307" totalsRowDxfId="306">
      <calculatedColumnFormula array="1">SUM(SUMIFS('Wells Fargo'!$F:$F,'Wells Fargo'!$G:$G,{"Nationwide";"Elephant"},'Wells Fargo'!$A:$A, D3))</calculatedColumnFormula>
    </tableColumn>
    <tableColumn id="3" xr3:uid="{79CA570B-F2C5-4FAB-B25F-0A2874ECE5C8}" name="February" totalsRowFunction="sum" totalsRowDxfId="305"/>
    <tableColumn id="4" xr3:uid="{2BF53FB7-9792-43F9-8C0B-C4164D25B8D4}" name="March" totalsRowFunction="sum" totalsRowDxfId="304"/>
    <tableColumn id="5" xr3:uid="{A423250B-00F4-4CA1-9FC8-8FD9B4AF2EC4}" name="April" totalsRowFunction="sum" totalsRowDxfId="303"/>
    <tableColumn id="6" xr3:uid="{69B64F5C-4436-45F5-89C3-B1011026B0BD}" name="May" totalsRowFunction="sum" totalsRowDxfId="302"/>
    <tableColumn id="7" xr3:uid="{4C87132D-2107-4B85-98CC-0195B1B78BAC}" name="June" totalsRowFunction="sum" totalsRowDxfId="301"/>
    <tableColumn id="8" xr3:uid="{CA804F34-AECA-44F9-AB1D-68CE42CD3416}" name="July" totalsRowFunction="sum" totalsRowDxfId="300"/>
    <tableColumn id="9" xr3:uid="{C92113C0-E8AA-49C4-9B94-7755096ABF66}" name="August" totalsRowFunction="sum" totalsRowDxfId="299"/>
    <tableColumn id="10" xr3:uid="{2A8A5D0B-06EA-4670-8E59-19A0C9F6A7F9}" name="September" totalsRowFunction="sum" totalsRowDxfId="298"/>
    <tableColumn id="11" xr3:uid="{F4B2F11A-619B-4391-A6D9-AAD034A41BC4}" name="October" totalsRowFunction="sum" totalsRowDxfId="297"/>
    <tableColumn id="12" xr3:uid="{F6254F05-DCDD-4C13-8671-95770C881DFE}" name="November" totalsRowFunction="sum" totalsRowDxfId="296"/>
    <tableColumn id="13" xr3:uid="{78F17CA6-AAB4-4D22-A589-C47B99FD272E}" name="December" totalsRowFunction="sum" totalsRowDxfId="295"/>
    <tableColumn id="14" xr3:uid="{F649DFE0-0AA7-443D-88F1-2790DFA6C1AB}" name="Year" totalsRowFunction="sum" totalsRowDxfId="294">
      <calculatedColumnFormula>SUM(Income14[[#This Row],[January]:[December]])</calculatedColumnFormula>
    </tableColumn>
    <tableColumn id="15" xr3:uid="{5494F317-E129-4A67-8187-FC54CB7BD8DE}" name="Sparkline" totalsRowDxfId="293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Income items and monthly amounts in this table. Annual amount and monthly Totals are auto calculated and sparklines are update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EFD6040-14E9-4B37-9D43-02B09CDE4EE4}" name="Home" displayName="Home" ref="C13:Q15" totalsRowCount="1" headerRowDxfId="292" dataDxfId="291" totalsRowDxfId="290">
  <autoFilter ref="C13:Q14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355BD67E-0771-44C4-B0AC-5ADCE12A0F2E}" name="HOME" totalsRowLabel="Total" totalsRowDxfId="289"/>
    <tableColumn id="2" xr3:uid="{345CBABB-75DE-472E-A66A-FE6960C280DF}" name="January" totalsRowFunction="sum" dataDxfId="288" totalsRowDxfId="287">
      <calculatedColumnFormula array="1">SUM(SUMIFS('Wells Fargo'!$F:$F,'Wells Fargo'!$G:$G,{"Amar - Rent";"New Manchester - Rent"},'Wells Fargo'!$A:$A,'PERSONAL BUDGET - WIP'!D3))*-1</calculatedColumnFormula>
    </tableColumn>
    <tableColumn id="3" xr3:uid="{A558F48E-5F05-402C-80DE-ADA05DC3845A}" name="February" totalsRowFunction="sum" dataDxfId="286" totalsRowDxfId="285">
      <calculatedColumnFormula array="1">SUM(SUMIFS('Wells Fargo'!$F:$F,'Wells Fargo'!$G:$G,{"Amar - Rent";"New Manchester - Rent"},'Wells Fargo'!$A:$A,'PERSONAL BUDGET - WIP'!E3-1))</calculatedColumnFormula>
    </tableColumn>
    <tableColumn id="4" xr3:uid="{F6D74EE0-7231-4E87-99A4-F35F34C511DA}" name="March" totalsRowFunction="sum" totalsRowDxfId="284"/>
    <tableColumn id="5" xr3:uid="{C9BFE9DA-B3FB-4235-8E02-4C868C01881C}" name="April" totalsRowFunction="sum" dataDxfId="283" totalsRowDxfId="282"/>
    <tableColumn id="6" xr3:uid="{ED50E6F7-1C69-404E-820A-5BAC6B1351E2}" name="May" totalsRowFunction="sum" dataDxfId="281" totalsRowDxfId="280"/>
    <tableColumn id="7" xr3:uid="{73EA07BE-5DBA-48E2-9727-B80C331A786F}" name="June" totalsRowFunction="sum" dataDxfId="279" totalsRowDxfId="278">
      <calculatedColumnFormula array="1">SUM(SUMIFS('Wells Fargo'!$F:$F,'Wells Fargo'!$G:$G,{"Amar - Rent";"New Manchester - Rent"},'Wells Fargo'!$A:$A,'PERSONAL BUDGET - WIP'!I3))*-1-807-912.5</calculatedColumnFormula>
    </tableColumn>
    <tableColumn id="8" xr3:uid="{BC46BEC6-526D-4167-8179-288716D55C9D}" name="July" totalsRowFunction="sum" dataDxfId="277" totalsRowDxfId="276"/>
    <tableColumn id="9" xr3:uid="{DC0ADB43-24A4-4B51-BEF5-CFD4D2218DE8}" name="August" totalsRowFunction="sum" dataDxfId="275" totalsRowDxfId="274">
      <calculatedColumnFormula array="1">SUM(SUMIFS('Wells Fargo'!$F:$F,'Wells Fargo'!$G:$G,{"Amar - Rent";"New Manchester - Rent"},'Wells Fargo'!$A:$A,'PERSONAL BUDGET - WIP'!K3))*-1 +1380.63</calculatedColumnFormula>
    </tableColumn>
    <tableColumn id="10" xr3:uid="{14D9944E-515D-480D-8DB1-2962BCEA2241}" name="September" totalsRowFunction="sum" dataDxfId="273" totalsRowDxfId="272"/>
    <tableColumn id="11" xr3:uid="{B04ADF47-D808-45E2-8A94-AAF7E554ADBA}" name="October" totalsRowFunction="sum" dataDxfId="271" totalsRowDxfId="270"/>
    <tableColumn id="12" xr3:uid="{C4E5B066-36FB-4014-A7CA-08C578078C52}" name="November" totalsRowFunction="sum" dataDxfId="269" totalsRowDxfId="268"/>
    <tableColumn id="13" xr3:uid="{6AF7D4EF-F380-42BE-9E5C-83380FA83CA6}" name="December" totalsRowFunction="sum" dataDxfId="267" totalsRowDxfId="266"/>
    <tableColumn id="14" xr3:uid="{89761127-2D7A-4FFE-A7E3-30FE7841E03B}" name="Year" totalsRowFunction="sum" totalsRowDxfId="265">
      <calculatedColumnFormula>SUM(Home[[#This Row],[January]:[December]])</calculatedColumnFormula>
    </tableColumn>
    <tableColumn id="15" xr3:uid="{780A4E83-643A-42AF-AEED-D760ED09D5FA}" name="Sparkline" totalsRowDxfId="264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Home expense items and monthly amounts in this table. Annual amount and monthly Totals are auto calculated and sparklines are updated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75656C5-9432-4F47-88D7-65483A9A85DD}" name="Daily" displayName="Daily" ref="C17:Q20" totalsRowCount="1" headerRowDxfId="263" dataDxfId="262" totalsRowDxfId="261">
  <autoFilter ref="C17:Q19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F8B82633-9FA2-4127-8F97-2F152736A2CC}" name="DAILY LIVING" totalsRowLabel="Total" totalsRowDxfId="260"/>
    <tableColumn id="2" xr3:uid="{99726158-EBB0-4886-93C3-7BBB236AF5AE}" name="January" totalsRowFunction="sum" dataDxfId="259" totalsRowDxfId="258">
      <calculatedColumnFormula>SUMIFS(Discover!$F:$F,Discover!$G:$G,"Resteraunts",Discover!$B:$B,'PERSONAL BUDGET - WIP'!D$3)</calculatedColumnFormula>
    </tableColumn>
    <tableColumn id="3" xr3:uid="{A85B4586-2869-4C6F-99EB-603CC548BD8C}" name="February" totalsRowFunction="sum" totalsRowDxfId="257"/>
    <tableColumn id="4" xr3:uid="{1F318A9F-7A6C-4F7A-B09B-2F71664F41D5}" name="March" totalsRowFunction="sum" dataDxfId="256" totalsRowDxfId="255"/>
    <tableColumn id="5" xr3:uid="{1E5176B2-6A69-440D-A2BB-923E01CCA009}" name="April" totalsRowFunction="sum" totalsRowDxfId="254"/>
    <tableColumn id="6" xr3:uid="{A816AA70-40B1-4BD8-B9BF-42018974ED00}" name="May" totalsRowFunction="sum" dataDxfId="253" totalsRowDxfId="252"/>
    <tableColumn id="7" xr3:uid="{66C0191A-DE73-4E37-9154-969FD69245A7}" name="June" totalsRowFunction="sum" totalsRowDxfId="251"/>
    <tableColumn id="8" xr3:uid="{55542483-2C4A-4067-90A2-A3B74845D168}" name="July" totalsRowFunction="sum" dataDxfId="250" totalsRowDxfId="249"/>
    <tableColumn id="9" xr3:uid="{E056D5B4-AE92-41E8-9949-84158F3ED254}" name="August" totalsRowFunction="sum" totalsRowDxfId="248"/>
    <tableColumn id="10" xr3:uid="{7C3ECC08-AFDB-436A-8EE2-B2E849EFEAF4}" name="September" totalsRowFunction="sum" dataDxfId="247" totalsRowDxfId="246"/>
    <tableColumn id="11" xr3:uid="{7A015039-86B6-42A6-BFCC-93D66751F49A}" name="October" totalsRowFunction="sum" totalsRowDxfId="245"/>
    <tableColumn id="12" xr3:uid="{57A6236D-F7CF-42C3-986C-50816EA05098}" name="November" totalsRowFunction="sum" dataDxfId="244" totalsRowDxfId="243"/>
    <tableColumn id="13" xr3:uid="{B4606A44-B90E-414B-A74B-D2BF130153EC}" name="December" totalsRowFunction="sum" totalsRowDxfId="242"/>
    <tableColumn id="14" xr3:uid="{CF80CFE9-8691-48F1-8A76-C18040D9A64F}" name="Year" totalsRowFunction="sum" dataDxfId="241" totalsRowDxfId="240">
      <calculatedColumnFormula>SUM(Daily[[#This Row],[January]:[December]])</calculatedColumnFormula>
    </tableColumn>
    <tableColumn id="15" xr3:uid="{1AD404BA-E118-4EBD-93E6-2F92858CBC65}" name="Sparkline" totalsRowDxfId="239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Daily expense items and monthly amounts in this table. Annual amount and monthly Totals are auto calculated and sparklines are updated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A93746E-BDA5-40E1-A310-5DB5D8947462}" name="Transportation" displayName="Transportation" ref="C22:Q27" totalsRowCount="1" headerRowDxfId="238" dataDxfId="237" totalsRowDxfId="236">
  <autoFilter ref="C22:Q26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7AC89876-A977-49CC-B3F4-2BFFB2CEB545}" name="TRANSPORTATION" totalsRowLabel="Total" totalsRowDxfId="235"/>
    <tableColumn id="2" xr3:uid="{6EAB42F1-E3DB-4820-82FE-4ACDA5024177}" name="January" totalsRowFunction="sum" dataDxfId="234" totalsRowDxfId="233"/>
    <tableColumn id="3" xr3:uid="{E33AEC59-D94B-41C5-A273-73904A416352}" name="February" totalsRowFunction="sum" totalsRowDxfId="232"/>
    <tableColumn id="4" xr3:uid="{01F3D021-1F1F-4EDB-A51E-AAF7C69BE802}" name="March" totalsRowFunction="sum" dataDxfId="231" totalsRowDxfId="230"/>
    <tableColumn id="5" xr3:uid="{B7A271D2-3F64-46F6-8ADD-C688E527635A}" name="April" totalsRowFunction="sum" totalsRowDxfId="229"/>
    <tableColumn id="6" xr3:uid="{4054708D-9177-4797-BFC6-FBB9239F78C2}" name="May" totalsRowFunction="sum" dataDxfId="228" totalsRowDxfId="227"/>
    <tableColumn id="7" xr3:uid="{85990CCC-3E35-4BBC-B208-AE9423DAD93A}" name="June" totalsRowFunction="sum" totalsRowDxfId="226"/>
    <tableColumn id="8" xr3:uid="{4693357F-8709-4136-B79E-3938E4CC9FC9}" name="July" totalsRowFunction="sum" dataDxfId="225" totalsRowDxfId="224"/>
    <tableColumn id="9" xr3:uid="{D7A9C245-0F7A-4EDA-9F04-41D7C1E7A108}" name="August" totalsRowFunction="sum" totalsRowDxfId="223"/>
    <tableColumn id="10" xr3:uid="{A4B0D908-D968-4D83-BE4B-E33F5AAE760A}" name="September" totalsRowFunction="sum" dataDxfId="222" totalsRowDxfId="221"/>
    <tableColumn id="11" xr3:uid="{6D7E9DBF-F1C9-40AB-8E5A-16550D55D226}" name="October" totalsRowFunction="sum" totalsRowDxfId="220"/>
    <tableColumn id="12" xr3:uid="{0FA3B0DB-92B4-4E69-A9EB-8456982CC108}" name="November" totalsRowFunction="sum" dataDxfId="219" totalsRowDxfId="218"/>
    <tableColumn id="13" xr3:uid="{08C9FE6C-5C0B-4D42-9FFB-25010D746A84}" name="December" totalsRowFunction="sum" totalsRowDxfId="217"/>
    <tableColumn id="14" xr3:uid="{62974BCE-30E3-40BB-AA6B-53C561F0535D}" name="Year" totalsRowFunction="sum" dataDxfId="216" totalsRowDxfId="215">
      <calculatedColumnFormula>SUM(Transportation[[#This Row],[January]:[December]])</calculatedColumnFormula>
    </tableColumn>
    <tableColumn id="15" xr3:uid="{485D60EB-1F5A-4EB2-8727-BAF6EC8E3C3B}" name="Sparkline" totalsRowDxfId="214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Transportation expense items and monthly amounts in this table. Annual amount and monthly Totals are auto calculated and sparklines are updated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B1E951D-30E8-48FB-B33E-022F08A5791F}" name="Entertainment" displayName="Entertainment" ref="C29:Q33" totalsRowCount="1" headerRowDxfId="213" dataDxfId="212" totalsRowDxfId="211">
  <autoFilter ref="C29:Q32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2C7696D4-15EC-41C1-B872-45946A0B0883}" name="ENTERTAINMENT" totalsRowLabel="Total" totalsRowDxfId="210"/>
    <tableColumn id="2" xr3:uid="{57424BF2-C523-4DF2-816F-141176A85F16}" name="January" totalsRowFunction="sum" totalsRowDxfId="209"/>
    <tableColumn id="3" xr3:uid="{168E12AB-A402-414A-BAD6-1BF845FF8D24}" name="February" totalsRowFunction="sum" totalsRowDxfId="208"/>
    <tableColumn id="4" xr3:uid="{352AAE8A-4FE6-4DE0-AC3F-FC7B32EC55A0}" name="March" totalsRowFunction="sum" totalsRowDxfId="207"/>
    <tableColumn id="5" xr3:uid="{712F2476-33ED-4001-A17D-E8D1DDE89666}" name="April" totalsRowFunction="sum" totalsRowDxfId="206"/>
    <tableColumn id="6" xr3:uid="{17EDAF40-6F23-4D80-8595-8E20378356EF}" name="May" totalsRowFunction="sum" totalsRowDxfId="205"/>
    <tableColumn id="7" xr3:uid="{E3A920F6-BCC5-402E-A8A1-1CFD89F783B2}" name="June" totalsRowFunction="sum" totalsRowDxfId="204"/>
    <tableColumn id="8" xr3:uid="{1E18D711-AA79-4DBC-ACA1-7FF177DF0AAA}" name="July" totalsRowFunction="sum" totalsRowDxfId="203"/>
    <tableColumn id="9" xr3:uid="{E79365F4-E1F4-4F79-9EF0-C46E26D14533}" name="August" totalsRowFunction="sum" totalsRowDxfId="202"/>
    <tableColumn id="10" xr3:uid="{F64408A0-DD3E-4952-83AE-A2CC25AB18CA}" name="September" totalsRowFunction="sum" totalsRowDxfId="201"/>
    <tableColumn id="11" xr3:uid="{5550FB4F-E244-43E9-83A9-A4C18F425961}" name="October" totalsRowFunction="sum" totalsRowDxfId="200"/>
    <tableColumn id="12" xr3:uid="{594A339F-FC19-4793-84CE-9DEF5D2A6543}" name="November" totalsRowFunction="sum" totalsRowDxfId="199"/>
    <tableColumn id="13" xr3:uid="{FD96EF4D-80A6-47F9-A418-8BE2766E3378}" name="December" totalsRowFunction="sum" totalsRowDxfId="198"/>
    <tableColumn id="14" xr3:uid="{352CED3E-93BF-4B57-B9BD-D508B27D81F6}" name="Year" totalsRowFunction="sum" totalsRowDxfId="197">
      <calculatedColumnFormula>SUM(Entertainment[[#This Row],[January]:[December]])</calculatedColumnFormula>
    </tableColumn>
    <tableColumn id="15" xr3:uid="{C68F3BB8-C943-4A49-B5F9-DD442DCA6912}" name="Sparkline" totalsRowDxfId="196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Entertainment expense items and monthly amounts in this table. Annual amount and monthly Totals are auto calculated and sparklines are updated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AE1E771-C0B0-4AAE-9C9E-911AD47556AC}" name="Health" displayName="Health" ref="C35:Q43" totalsRowCount="1" headerRowDxfId="195" dataDxfId="194" totalsRowDxfId="193">
  <autoFilter ref="C35:Q42" xr:uid="{00000000-0009-0000-0100-00000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4AF316A6-0D49-43B4-9C6F-9A2DBCE9B5FE}" name="HEALTH" totalsRowLabel="Total" totalsRowDxfId="192"/>
    <tableColumn id="2" xr3:uid="{7F7673E6-D729-44F5-8EC5-85AC8F518844}" name="January" totalsRowFunction="sum" totalsRowDxfId="191"/>
    <tableColumn id="3" xr3:uid="{D6797321-4AE3-4E02-BC47-0F8959157942}" name="February" totalsRowFunction="sum" totalsRowDxfId="190"/>
    <tableColumn id="4" xr3:uid="{EB21C391-884C-43E8-A889-AAB0BAE53E35}" name="March" totalsRowFunction="sum" totalsRowDxfId="189"/>
    <tableColumn id="5" xr3:uid="{02FB19F5-8CB8-4E13-AD52-1115C0987F91}" name="April" totalsRowFunction="sum" totalsRowDxfId="188"/>
    <tableColumn id="6" xr3:uid="{2632EBEC-3AE9-4EA9-A39C-7CD4F7E9EC1D}" name="May" totalsRowFunction="sum" totalsRowDxfId="187"/>
    <tableColumn id="7" xr3:uid="{C554D2C2-2A51-4579-BA76-39DC4EC82EF9}" name="June" totalsRowFunction="sum" totalsRowDxfId="186"/>
    <tableColumn id="8" xr3:uid="{1BBE64C7-BC4A-4F8D-96D3-DE24BECC0E34}" name="July" totalsRowFunction="sum" totalsRowDxfId="185"/>
    <tableColumn id="9" xr3:uid="{4E7E1AEE-F40B-49C4-994A-9268818C1C29}" name="August" totalsRowFunction="sum" totalsRowDxfId="184"/>
    <tableColumn id="10" xr3:uid="{B85214E7-8ABD-44E9-975C-1948CCE4070D}" name="September" totalsRowFunction="sum" totalsRowDxfId="183"/>
    <tableColumn id="11" xr3:uid="{CC4559E6-ACCA-4BFE-AFDD-318E46D5AC22}" name="October" totalsRowFunction="sum" totalsRowDxfId="182"/>
    <tableColumn id="12" xr3:uid="{9E0CECB1-06C2-4054-9010-00D420B3BEC7}" name="November" totalsRowFunction="sum" totalsRowDxfId="181"/>
    <tableColumn id="13" xr3:uid="{49D0D7B0-D8CB-4E57-BC2B-BA22105AD82C}" name="December" totalsRowFunction="sum" totalsRowDxfId="180"/>
    <tableColumn id="14" xr3:uid="{648C0F2A-D036-4EDA-A3B1-50314CC53D24}" name="Year" totalsRowFunction="sum" totalsRowDxfId="179">
      <calculatedColumnFormula>SUM(Health[[#This Row],[January]:[December]])</calculatedColumnFormula>
    </tableColumn>
    <tableColumn id="15" xr3:uid="{6D672594-5463-44D9-89C8-45957704244A}" name="Sparkline" totalsRowDxfId="178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Health expense items and monthly amounts in this table. Annual amount and monthly Totals are auto calculated and sparklines are updated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F4646E3-1DBD-4613-8A10-5C231E5F3BBA}" name="Vacations" displayName="Vacations" ref="C45:Q52" totalsRowCount="1" headerRowDxfId="177" dataDxfId="176" totalsRowDxfId="175">
  <autoFilter ref="C45:Q51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B6728363-91BF-49A6-8B33-38DB92FF9DA4}" name="VACATIONS" totalsRowLabel="Total" totalsRowDxfId="174"/>
    <tableColumn id="2" xr3:uid="{68604652-8C9C-4EA5-A46C-425ABA228D4C}" name="January" totalsRowFunction="sum" totalsRowDxfId="173"/>
    <tableColumn id="3" xr3:uid="{3E9BAE07-02A3-4F2E-8190-74845208B6D8}" name="February" totalsRowFunction="sum" totalsRowDxfId="172"/>
    <tableColumn id="4" xr3:uid="{4105778C-B5B3-49E0-B4E7-02FC925C6D3B}" name="March" totalsRowFunction="sum" totalsRowDxfId="171"/>
    <tableColumn id="5" xr3:uid="{EC9BF928-DE33-4673-9477-6ABE10FB6016}" name="April" totalsRowFunction="sum" totalsRowDxfId="170"/>
    <tableColumn id="6" xr3:uid="{283EA6B9-4254-4B73-B1DB-D7B74158121E}" name="May" totalsRowFunction="sum" totalsRowDxfId="169"/>
    <tableColumn id="7" xr3:uid="{E78E86CE-0FFD-4AC1-B753-885AB19D41B7}" name="June" totalsRowFunction="sum" totalsRowDxfId="168"/>
    <tableColumn id="8" xr3:uid="{066B249F-F7F1-4547-846A-BCA529C3FFDB}" name="July" totalsRowFunction="sum" totalsRowDxfId="167"/>
    <tableColumn id="9" xr3:uid="{39B496C7-A91C-4034-B7BF-E0404E174139}" name="August" totalsRowFunction="sum" totalsRowDxfId="166"/>
    <tableColumn id="10" xr3:uid="{9BACB12F-E20E-47EE-8360-3FF48F941C5A}" name="September" totalsRowFunction="sum" totalsRowDxfId="165"/>
    <tableColumn id="11" xr3:uid="{60E76E4C-1BFD-450D-A199-A666A451D868}" name="October" totalsRowFunction="sum" totalsRowDxfId="164"/>
    <tableColumn id="12" xr3:uid="{3F6ED0EB-BF66-4690-A985-695174326D36}" name="November" totalsRowFunction="sum" totalsRowDxfId="163"/>
    <tableColumn id="13" xr3:uid="{55F94D91-3AB7-4DF4-81F5-ED2CCA162B7A}" name="December" totalsRowFunction="sum" totalsRowDxfId="162"/>
    <tableColumn id="14" xr3:uid="{859CA716-6A0E-4F93-BD51-7DA8266E3C18}" name="Year" totalsRowFunction="sum" totalsRowDxfId="161">
      <calculatedColumnFormula>SUM(Vacations[[#This Row],[January]:[December]])</calculatedColumnFormula>
    </tableColumn>
    <tableColumn id="15" xr3:uid="{5A7B0FF9-3A83-408D-B68E-44A27722A07D}" name="Sparkline" totalsRowDxfId="160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Vacations expense items and monthly amounts in this table. Annual amount and monthly Totals are auto calculated and sparklines are updated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4F702B5-6237-4E6E-93C9-D316D5531FDE}" name="Recreation" displayName="Recreation" ref="C54:Q59" totalsRowCount="1" headerRowDxfId="159" dataDxfId="158" totalsRowDxfId="157">
  <autoFilter ref="C54:Q58" xr:uid="{00000000-0009-0000-0100-00000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B556F8EC-FDFA-4D7C-95F6-457284112C28}" name="RECREATION" totalsRowLabel="Total" dataDxfId="156" totalsRowDxfId="155"/>
    <tableColumn id="2" xr3:uid="{6C055DB4-D8B4-404E-999A-8035C9E83E1E}" name="January" totalsRowFunction="sum" dataDxfId="154" totalsRowDxfId="153"/>
    <tableColumn id="3" xr3:uid="{09ADFD48-F844-426E-A768-0809324382DC}" name="February" totalsRowFunction="sum" dataDxfId="152" totalsRowDxfId="151"/>
    <tableColumn id="4" xr3:uid="{ECE5D7ED-E378-433E-9938-B4F717592F66}" name="March" totalsRowFunction="sum" dataDxfId="150" totalsRowDxfId="149"/>
    <tableColumn id="5" xr3:uid="{CD4372D9-1D2F-454B-B88F-CA5419B0262B}" name="April" totalsRowFunction="sum" dataDxfId="148" totalsRowDxfId="147"/>
    <tableColumn id="6" xr3:uid="{7F9E9F1E-0DD1-4C39-A7FC-85546C842D76}" name="May" totalsRowFunction="sum" dataDxfId="146" totalsRowDxfId="145"/>
    <tableColumn id="7" xr3:uid="{7824978F-ABD9-48D1-A8D9-85DD1BBE407E}" name="June" totalsRowFunction="sum" dataDxfId="144" totalsRowDxfId="143"/>
    <tableColumn id="8" xr3:uid="{B04077C7-A11B-4777-8EA1-50F9D3984288}" name="July" totalsRowFunction="sum" dataDxfId="142" totalsRowDxfId="141"/>
    <tableColumn id="9" xr3:uid="{28463AAE-87B8-4894-870B-0D3E35237434}" name="August" totalsRowFunction="sum" dataDxfId="140" totalsRowDxfId="139"/>
    <tableColumn id="10" xr3:uid="{E26D28BD-8335-4728-8811-31AD9CE67E54}" name="September" totalsRowFunction="sum" dataDxfId="138" totalsRowDxfId="137"/>
    <tableColumn id="11" xr3:uid="{1D4CE72B-941D-45CB-BF64-502B4758BEAC}" name="October" totalsRowFunction="sum" dataDxfId="136" totalsRowDxfId="135"/>
    <tableColumn id="12" xr3:uid="{4B7A5370-8D5C-4048-8FA7-5ACE2B4D76EC}" name="November" totalsRowFunction="sum" dataDxfId="134" totalsRowDxfId="133"/>
    <tableColumn id="13" xr3:uid="{87200730-C402-4E44-8ABC-9D5AB2683B70}" name="December" totalsRowFunction="sum" dataDxfId="132" totalsRowDxfId="131"/>
    <tableColumn id="14" xr3:uid="{12330B25-E7B8-44C7-A52B-CD0FF301144C}" name="Year" totalsRowFunction="sum" dataDxfId="130" totalsRowDxfId="129">
      <calculatedColumnFormula>SUM(Recreation[[#This Row],[January]:[December]])</calculatedColumnFormula>
    </tableColumn>
    <tableColumn id="15" xr3:uid="{5EDF3232-A86D-45C3-A221-11D9409DA33E}" name="Sparkline" dataDxfId="128" totalsRowDxfId="127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Recreation expense items and monthly amounts in this table. Annual amount and monthly Totals are auto calculated and sparklines are updated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9155196-3CF1-457B-A485-DA8DEF6C42E5}" name="DuesAndSubscription" displayName="DuesAndSubscription" ref="C61:Q69" totalsRowCount="1" headerRowDxfId="126" dataDxfId="125" totalsRowDxfId="124">
  <autoFilter ref="C61:Q68" xr:uid="{00000000-0009-0000-0100-000009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39DA6E5F-22D8-4C35-A13F-D3724883E893}" name="SUBSCRIPTION" totalsRowLabel="Total" dataDxfId="123" totalsRowDxfId="122"/>
    <tableColumn id="2" xr3:uid="{CEBEA1A4-9F5A-4B9E-A410-8E03FD169794}" name="January" totalsRowFunction="sum" dataDxfId="121" totalsRowDxfId="120"/>
    <tableColumn id="3" xr3:uid="{CFFBC6EB-4ECA-4244-80AF-69705D5FA56B}" name="February" totalsRowFunction="sum" dataDxfId="119" totalsRowDxfId="118"/>
    <tableColumn id="4" xr3:uid="{15EB6C80-2FD8-4485-BA74-F3E825A0B084}" name="March" totalsRowFunction="sum" totalsRowDxfId="117"/>
    <tableColumn id="5" xr3:uid="{0248A6F1-A4AA-4C6A-A964-03DB53CAB97C}" name="April" totalsRowFunction="sum" dataDxfId="116" totalsRowDxfId="115"/>
    <tableColumn id="6" xr3:uid="{9E636F14-CF11-44B9-A53C-4E4900809567}" name="May" totalsRowFunction="sum" dataDxfId="114" totalsRowDxfId="113"/>
    <tableColumn id="7" xr3:uid="{E2DBF36F-3CA1-4531-A83E-AE01652F6E9A}" name="June" totalsRowFunction="sum" dataDxfId="112" totalsRowDxfId="111"/>
    <tableColumn id="8" xr3:uid="{D64F5840-2256-473F-9F33-2FA0AB0E1510}" name="July" totalsRowFunction="sum" dataDxfId="110" totalsRowDxfId="109"/>
    <tableColumn id="9" xr3:uid="{52FEEDE7-2D45-4DA1-9129-C59E0AD5A8CA}" name="August" totalsRowFunction="sum" dataDxfId="108" totalsRowDxfId="107"/>
    <tableColumn id="10" xr3:uid="{CED74AE8-7BEF-41B3-9BA1-58C2D6F1155B}" name="September" totalsRowFunction="sum" dataDxfId="106" totalsRowDxfId="105"/>
    <tableColumn id="11" xr3:uid="{DC3422BD-BE59-44BA-BB0F-29539013687A}" name="October" totalsRowFunction="sum" dataDxfId="104" totalsRowDxfId="103"/>
    <tableColumn id="12" xr3:uid="{1EB96579-24A1-48A1-8E6C-AE46E8B10BEA}" name="November" totalsRowFunction="sum" dataDxfId="102" totalsRowDxfId="101"/>
    <tableColumn id="13" xr3:uid="{36492FB7-DA08-4A37-A29D-3812D6FC3945}" name="December" totalsRowFunction="sum" dataDxfId="100" totalsRowDxfId="99"/>
    <tableColumn id="14" xr3:uid="{00DA5EAC-C057-4D02-A2BB-FF2ACA9F3E01}" name="Year" totalsRowFunction="sum" dataDxfId="98" totalsRowDxfId="97">
      <calculatedColumnFormula>SUM(DuesAndSubscription[[#This Row],[January]:[December]])</calculatedColumnFormula>
    </tableColumn>
    <tableColumn id="15" xr3:uid="{628DA1AA-34CD-40DB-92F1-0EB0D94F318B}" name="Sparkline" dataDxfId="96" totalsRowDxfId="95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Dues and Subscription items and monthly amounts in this table. Annual amount and monthly Totals are auto calculated and sparklines are updated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DCAD063-9373-4D9E-8F3C-7DB87F56330F}" name="Personal" displayName="Personal" ref="C71:Q77" totalsRowCount="1" headerRowDxfId="94" dataDxfId="93" totalsRowDxfId="92">
  <autoFilter ref="C71:Q76" xr:uid="{00000000-0009-0000-0100-00000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F5E3E216-06A4-4AC2-A019-9C8FBAC03E1A}" name="PERSONAL" totalsRowLabel="Total" dataDxfId="91" totalsRowDxfId="90"/>
    <tableColumn id="2" xr3:uid="{DEABC9FB-265F-4DA2-8A10-C6F570F62BEC}" name="January" totalsRowFunction="sum" totalsRowDxfId="89"/>
    <tableColumn id="3" xr3:uid="{96DF45AD-F1DE-4737-8CA0-A60A12718CFF}" name="February" totalsRowFunction="sum" dataDxfId="88" totalsRowDxfId="87"/>
    <tableColumn id="4" xr3:uid="{A4FE367A-6AA5-499D-B588-84C7493E78A8}" name="March" totalsRowFunction="sum" totalsRowDxfId="86"/>
    <tableColumn id="5" xr3:uid="{70ABFEB7-F334-4237-82A8-79FE13BBCA3D}" name="April" totalsRowFunction="sum" dataDxfId="85" totalsRowDxfId="84"/>
    <tableColumn id="6" xr3:uid="{819B9FB9-BD98-48A0-94BB-0D5E6CFE3BEB}" name="May" totalsRowFunction="sum" totalsRowDxfId="83"/>
    <tableColumn id="7" xr3:uid="{05A1947F-87C3-42F5-B4F0-031130821D41}" name="June" totalsRowFunction="sum" dataDxfId="82" totalsRowDxfId="81"/>
    <tableColumn id="8" xr3:uid="{9D33A712-CDDD-4554-9916-1C9B1E8C9712}" name="July" totalsRowFunction="sum" totalsRowDxfId="80"/>
    <tableColumn id="9" xr3:uid="{0B7D64B9-89B8-4047-A5A4-8CF65A9B25A7}" name="August" totalsRowFunction="sum" dataDxfId="79" totalsRowDxfId="78"/>
    <tableColumn id="10" xr3:uid="{218C8B90-F34D-4F38-9C2D-78AF4A725109}" name="September" totalsRowFunction="sum" totalsRowDxfId="77"/>
    <tableColumn id="11" xr3:uid="{1BF3061A-4D80-4446-9948-8D8F7A55922D}" name="October" totalsRowFunction="sum" dataDxfId="76" totalsRowDxfId="75"/>
    <tableColumn id="12" xr3:uid="{1ACC8F82-112A-4895-B301-9B59E8C8BA75}" name="November" totalsRowFunction="sum" totalsRowDxfId="74"/>
    <tableColumn id="13" xr3:uid="{5F8FF70B-78C3-41B5-8035-F625B3C6B666}" name="December" totalsRowFunction="sum" dataDxfId="73" totalsRowDxfId="72"/>
    <tableColumn id="14" xr3:uid="{9BB8419E-1776-474C-8159-EF4D625034B4}" name="Year" totalsRowFunction="sum" totalsRowDxfId="71">
      <calculatedColumnFormula>SUM(Personal[[#This Row],[January]:[December]])</calculatedColumnFormula>
    </tableColumn>
    <tableColumn id="15" xr3:uid="{BBE3140F-A514-46B3-AA96-445507CDED49}" name="Sparkline" dataDxfId="70" totalsRowDxfId="69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Personal expenses items and monthly amounts in this table. Annual amount and monthly Totals are auto calculated and sparklines are updated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537F53F-DFAC-45E3-9C9E-8A691C6D5A44}" name="Financial" displayName="Financial" ref="C79:Q85" totalsRowCount="1" headerRowDxfId="68" dataDxfId="67" totalsRowDxfId="66">
  <autoFilter ref="C79:Q84" xr:uid="{00000000-0009-0000-0100-00000B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774A550C-CE0F-40AC-BAD5-999AFB6CB2B2}" name="FINANCIAL OBLIGATIONS" totalsRowLabel="Total" dataDxfId="65" totalsRowDxfId="64"/>
    <tableColumn id="2" xr3:uid="{041281BC-8C00-4E0D-90DF-61D824AD4E84}" name="January" totalsRowFunction="sum" totalsRowDxfId="63"/>
    <tableColumn id="3" xr3:uid="{50604083-5BDC-4EFE-9779-284BE1E3E946}" name="February" totalsRowFunction="sum" dataDxfId="62" totalsRowDxfId="61"/>
    <tableColumn id="4" xr3:uid="{199C60A0-45B1-4298-9C8B-EFD7F4705F77}" name="March" totalsRowFunction="sum" totalsRowDxfId="60"/>
    <tableColumn id="5" xr3:uid="{74B6CBF8-3E25-4280-B8D5-A70B93918C37}" name="April" totalsRowFunction="sum" dataDxfId="59" totalsRowDxfId="58"/>
    <tableColumn id="6" xr3:uid="{201DC9E1-1AD0-41EC-9F72-4A8D213E633C}" name="May" totalsRowFunction="sum" totalsRowDxfId="57"/>
    <tableColumn id="7" xr3:uid="{969CF6B3-61DD-4FF9-AC56-D8F0E6830FCD}" name="June" totalsRowFunction="sum" dataDxfId="56" totalsRowDxfId="55"/>
    <tableColumn id="8" xr3:uid="{48E13813-9B1E-4875-A151-1277E56D5AE5}" name="July" totalsRowFunction="sum" totalsRowDxfId="54"/>
    <tableColumn id="9" xr3:uid="{937B61E7-4784-4503-ACDA-42FEC70759EB}" name="August" totalsRowFunction="sum" dataDxfId="53" totalsRowDxfId="52"/>
    <tableColumn id="10" xr3:uid="{6929FDF4-996A-42B7-A853-846800BFED27}" name="September" totalsRowFunction="sum" totalsRowDxfId="51"/>
    <tableColumn id="11" xr3:uid="{AAB10C59-5640-410C-8F5C-B654ADCCB68D}" name="October" totalsRowFunction="sum" dataDxfId="50" totalsRowDxfId="49"/>
    <tableColumn id="12" xr3:uid="{D5EF8D0E-C96B-422C-BF76-5CA22ED72177}" name="November" totalsRowFunction="sum" totalsRowDxfId="48"/>
    <tableColumn id="13" xr3:uid="{01EBDB16-7855-4257-915C-467BA0AF130B}" name="December" totalsRowFunction="sum" dataDxfId="47" totalsRowDxfId="46"/>
    <tableColumn id="14" xr3:uid="{18D3C6EF-5B5D-466C-9C9B-ABE61C8A29D7}" name="Year" totalsRowFunction="sum" totalsRowDxfId="45">
      <calculatedColumnFormula>SUM(Financial[[#This Row],[January]:[December]])</calculatedColumnFormula>
    </tableColumn>
    <tableColumn id="15" xr3:uid="{68269F2B-BE9C-4944-9801-9B3764A75EF7}" name="Sparkline" dataDxfId="44" totalsRowDxfId="43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Financial Obligations items and monthly amounts in this table. Annual amount and monthly Totals are auto calculated and sparklines are updated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F68D6BC-15D1-423B-97DB-ED2056D3B6A3}" name="Misc" displayName="Misc" ref="C87:Q92" totalsRowCount="1" headerRowDxfId="42" dataDxfId="41" totalsRowDxfId="40">
  <autoFilter ref="C87:Q91" xr:uid="{00000000-0009-0000-0100-00000C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6ADD1EFC-0B3D-424E-9C2A-174A4859B4F1}" name="MISC PAYMENTS" totalsRowLabel="Total" totalsRowDxfId="39"/>
    <tableColumn id="2" xr3:uid="{D0BF1927-0CD3-4316-BC1E-E4661C891BBA}" name="January" totalsRowFunction="sum" totalsRowDxfId="38"/>
    <tableColumn id="3" xr3:uid="{688420B3-51BB-4CDE-AE85-69EB7D045172}" name="February" totalsRowFunction="sum" dataDxfId="37" totalsRowDxfId="36"/>
    <tableColumn id="4" xr3:uid="{DF8C5DA3-6920-45C9-B969-41ABBAE4F9AB}" name="March" totalsRowFunction="sum" totalsRowDxfId="35"/>
    <tableColumn id="5" xr3:uid="{1FBF61E9-C742-49EE-B386-FDA2F0F4544A}" name="April" totalsRowFunction="sum" dataDxfId="34" totalsRowDxfId="33"/>
    <tableColumn id="6" xr3:uid="{1112E18D-57DC-483F-A8EF-D639C61AC54C}" name="May" totalsRowFunction="sum" totalsRowDxfId="32"/>
    <tableColumn id="7" xr3:uid="{F72D359F-94B9-43B9-AD7A-1DDDB7568E3C}" name="June" totalsRowFunction="sum" dataDxfId="31" totalsRowDxfId="30"/>
    <tableColumn id="8" xr3:uid="{E1125308-605F-4855-BD5A-5E2D743C3915}" name="July" totalsRowFunction="sum" totalsRowDxfId="29"/>
    <tableColumn id="9" xr3:uid="{7D4CC434-F4F5-49ED-8E09-0110145A8AEA}" name="August" totalsRowFunction="sum" dataDxfId="28" totalsRowDxfId="27"/>
    <tableColumn id="10" xr3:uid="{846E02A7-1BCD-4532-BB4B-49793C97939C}" name="September" totalsRowFunction="sum" totalsRowDxfId="26"/>
    <tableColumn id="11" xr3:uid="{75033857-0296-4325-87CE-48E23B82C170}" name="October" totalsRowFunction="sum" dataDxfId="25" totalsRowDxfId="24"/>
    <tableColumn id="12" xr3:uid="{345F3083-76C1-402C-8D66-E7952D18B7AC}" name="November" totalsRowFunction="sum" totalsRowDxfId="23"/>
    <tableColumn id="13" xr3:uid="{299B8EF8-4834-43A8-9217-2534C2545022}" name="December" totalsRowFunction="sum" dataDxfId="22" totalsRowDxfId="21"/>
    <tableColumn id="14" xr3:uid="{40B7D8B1-FB43-49AC-8AF3-D08C3B8CE0FA}" name="Year" totalsRowFunction="sum" totalsRowDxfId="20">
      <calculatedColumnFormula>SUM(Misc[[#This Row],[January]:[December]])</calculatedColumnFormula>
    </tableColumn>
    <tableColumn id="15" xr3:uid="{FFF24372-1329-4D09-8158-DD86991623FF}" name="Sparkline" dataDxfId="19" totalsRowDxfId="18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Miscellaneous items and payments in this table. Annual amount and monthly Totals are auto calculated and sparklines are updated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1C98B73-1A82-4204-8103-0E539076A71D}" name="Totals" displayName="Totals" ref="C94:Q96" totalsRowShown="0" headerRowDxfId="17" dataDxfId="16" headerRowCellStyle="Heading 3">
  <tableColumns count="15">
    <tableColumn id="1" xr3:uid="{47E7B069-D671-4AB4-A506-8DE7890EE771}" name="TOTALS" dataDxfId="15"/>
    <tableColumn id="2" xr3:uid="{C167B79B-241D-455F-A68E-E93EEE95D0B0}" name="JAN" dataDxfId="14">
      <calculatedColumnFormula>Income14[[#Totals],[January]]-D94</calculatedColumnFormula>
    </tableColumn>
    <tableColumn id="3" xr3:uid="{D4BD936D-B318-41A2-8AAE-225341F44820}" name="FEB" dataDxfId="13">
      <calculatedColumnFormula>Income14[[#Totals],[February]]-E94</calculatedColumnFormula>
    </tableColumn>
    <tableColumn id="4" xr3:uid="{9DB5C81F-430D-4FB8-AD62-8B6F16BD6B24}" name="MAR" dataDxfId="12">
      <calculatedColumnFormula>Income14[[#Totals],[March]]-F94</calculatedColumnFormula>
    </tableColumn>
    <tableColumn id="5" xr3:uid="{43B96B36-76F2-4F7B-BC4C-AEC31296307D}" name="APR" dataDxfId="11">
      <calculatedColumnFormula>Income14[[#Totals],[April]]-G94</calculatedColumnFormula>
    </tableColumn>
    <tableColumn id="6" xr3:uid="{4B2A57AD-543F-48AB-871F-06B7FE4073B4}" name="MAY" dataDxfId="10">
      <calculatedColumnFormula>Income14[[#Totals],[May]]-H94</calculatedColumnFormula>
    </tableColumn>
    <tableColumn id="7" xr3:uid="{0BEB5383-8921-4B39-9E02-99E7D946FE5D}" name="JUN" dataDxfId="9">
      <calculatedColumnFormula>Income14[[#Totals],[June]]-I94</calculatedColumnFormula>
    </tableColumn>
    <tableColumn id="8" xr3:uid="{7DA4F8EF-80B1-4154-8EC0-945DD4D2999B}" name="JUL" dataDxfId="8">
      <calculatedColumnFormula>Income14[[#Totals],[July]]-J94</calculatedColumnFormula>
    </tableColumn>
    <tableColumn id="9" xr3:uid="{AE2E04DB-24B3-4A83-8C74-33471D466CBB}" name="AUG" dataDxfId="7">
      <calculatedColumnFormula>Income14[[#Totals],[August]]-K94</calculatedColumnFormula>
    </tableColumn>
    <tableColumn id="10" xr3:uid="{F28339DB-9DE8-425B-86ED-EF0BF968FC8C}" name="SEP" dataDxfId="6">
      <calculatedColumnFormula>Income14[[#Totals],[September]]-L94</calculatedColumnFormula>
    </tableColumn>
    <tableColumn id="11" xr3:uid="{24923772-B9A1-4695-9395-83911E771E4C}" name="OCT" dataDxfId="5">
      <calculatedColumnFormula>Income14[[#Totals],[October]]-M94</calculatedColumnFormula>
    </tableColumn>
    <tableColumn id="12" xr3:uid="{7C096916-7245-4057-A6A5-8C874E7999F3}" name="NOV" dataDxfId="4">
      <calculatedColumnFormula>Income14[[#Totals],[November]]-N94</calculatedColumnFormula>
    </tableColumn>
    <tableColumn id="13" xr3:uid="{4942DC7E-DA13-4FDE-B054-E512EAECDAF2}" name="DEC" dataDxfId="3">
      <calculatedColumnFormula>Income14[[#Totals],[December]]-O94</calculatedColumnFormula>
    </tableColumn>
    <tableColumn id="14" xr3:uid="{A2B3264C-B037-4961-A36F-5BA7B27FDD1A}" name="YEAR" dataDxfId="2">
      <calculatedColumnFormula>Income14[[#Totals],[Year]]-P94</calculatedColumnFormula>
    </tableColumn>
    <tableColumn id="15" xr3:uid="{19FED85D-8B81-465F-AC3C-09D94D8B85BF}" name="SPARKLINE" dataDxfId="1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Total expenses and Cash shortage or surplus are auto calculated for each month and entire year, and sparklines are updated in this table"/>
    </ext>
  </extLst>
</table>
</file>

<file path=xl/theme/theme1.xml><?xml version="1.0" encoding="utf-8"?>
<a:theme xmlns:a="http://schemas.openxmlformats.org/drawingml/2006/main" name="Tradeshow">
  <a:themeElements>
    <a:clrScheme name="Expense Calendar">
      <a:dk1>
        <a:srgbClr val="000000"/>
      </a:dk1>
      <a:lt1>
        <a:srgbClr val="FFFFFF"/>
      </a:lt1>
      <a:dk2>
        <a:srgbClr val="635C50"/>
      </a:dk2>
      <a:lt2>
        <a:srgbClr val="E8E7E5"/>
      </a:lt2>
      <a:accent1>
        <a:srgbClr val="84C183"/>
      </a:accent1>
      <a:accent2>
        <a:srgbClr val="F4D647"/>
      </a:accent2>
      <a:accent3>
        <a:srgbClr val="82CECC"/>
      </a:accent3>
      <a:accent4>
        <a:srgbClr val="FFAD2E"/>
      </a:accent4>
      <a:accent5>
        <a:srgbClr val="E67342"/>
      </a:accent5>
      <a:accent6>
        <a:srgbClr val="B580A1"/>
      </a:accent6>
      <a:hlink>
        <a:srgbClr val="82CECC"/>
      </a:hlink>
      <a:folHlink>
        <a:srgbClr val="B580A1"/>
      </a:folHlink>
    </a:clrScheme>
    <a:fontScheme name="Expense Calendar">
      <a:majorFont>
        <a:latin typeface="Bookman Old Style"/>
        <a:ea typeface=""/>
        <a:cs typeface=""/>
      </a:majorFont>
      <a:minorFont>
        <a:latin typeface="Arial"/>
        <a:ea typeface=""/>
        <a:cs typeface=""/>
      </a:minorFont>
    </a:fontScheme>
    <a:fmtScheme name="Tradeshow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300000"/>
              </a:schemeClr>
            </a:gs>
            <a:gs pos="35000">
              <a:schemeClr val="phClr">
                <a:tint val="45000"/>
                <a:satMod val="300000"/>
              </a:schemeClr>
            </a:gs>
            <a:gs pos="69000">
              <a:schemeClr val="phClr">
                <a:tint val="45000"/>
                <a:satMod val="350000"/>
              </a:schemeClr>
            </a:gs>
            <a:gs pos="100000">
              <a:schemeClr val="phClr">
                <a:tint val="60000"/>
                <a:satMod val="350000"/>
              </a:schemeClr>
            </a:gs>
          </a:gsLst>
          <a:path path="circle">
            <a:fillToRect l="50000" t="50000" r="100000" b="100000"/>
          </a:path>
        </a:gradFill>
        <a:gradFill rotWithShape="1">
          <a:gsLst>
            <a:gs pos="0">
              <a:schemeClr val="phClr">
                <a:shade val="47500"/>
                <a:satMod val="137000"/>
              </a:schemeClr>
            </a:gs>
            <a:gs pos="55000">
              <a:schemeClr val="phClr">
                <a:shade val="69000"/>
                <a:satMod val="137000"/>
              </a:schemeClr>
            </a:gs>
            <a:gs pos="100000">
              <a:schemeClr val="phClr">
                <a:shade val="98000"/>
                <a:satMod val="137000"/>
              </a:schemeClr>
            </a:gs>
          </a:gsLst>
          <a:lin ang="162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38475" cap="flat" cmpd="sng" algn="ctr">
          <a:solidFill>
            <a:schemeClr val="phClr"/>
          </a:solidFill>
          <a:prstDash val="solid"/>
        </a:ln>
        <a:ln w="5485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4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>
              <a:rot lat="0" lon="0" rev="3600000"/>
            </a:lightRig>
          </a:scene3d>
          <a:sp3d contourW="31750" prstMaterial="flat">
            <a:bevelT w="127000" h="254000" prst="angle"/>
            <a:contourClr>
              <a:schemeClr val="phClr">
                <a:shade val="2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20000">
              <a:schemeClr val="phClr">
                <a:tint val="80000"/>
                <a:lumMod val="100000"/>
              </a:schemeClr>
            </a:gs>
            <a:gs pos="100000">
              <a:schemeClr val="phClr">
                <a:tint val="100000"/>
                <a:lumMod val="80000"/>
              </a:schemeClr>
            </a:gs>
          </a:gsLst>
          <a:path path="circle">
            <a:fillToRect l="50000" t="20000" r="100000" b="100000"/>
          </a:path>
        </a:gradFill>
        <a:gradFill rotWithShape="1">
          <a:gsLst>
            <a:gs pos="0">
              <a:schemeClr val="phClr">
                <a:tint val="100000"/>
                <a:lumMod val="100000"/>
              </a:schemeClr>
            </a:gs>
            <a:gs pos="100000">
              <a:schemeClr val="phClr">
                <a:shade val="100000"/>
                <a:lumMod val="60000"/>
              </a:schemeClr>
            </a:gs>
          </a:gsLst>
          <a:path path="circle">
            <a:fillToRect l="50000" t="20000" r="100000" b="10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FEAD7-88F2-46FC-803D-C310896A282C}">
  <sheetPr>
    <tabColor rgb="FFFFC000"/>
  </sheetPr>
  <dimension ref="A1:M242"/>
  <sheetViews>
    <sheetView topLeftCell="A188" zoomScale="70" zoomScaleNormal="70" workbookViewId="0">
      <selection activeCell="E240" sqref="E240"/>
    </sheetView>
  </sheetViews>
  <sheetFormatPr defaultColWidth="9.1640625" defaultRowHeight="14.25" x14ac:dyDescent="0.2"/>
  <cols>
    <col min="1" max="2" width="9.1640625" style="104"/>
    <col min="3" max="3" width="14.1640625" style="104" bestFit="1" customWidth="1"/>
    <col min="4" max="4" width="20.1640625" style="104" bestFit="1" customWidth="1"/>
    <col min="5" max="5" width="141.5" style="104" bestFit="1" customWidth="1"/>
    <col min="6" max="6" width="15.33203125" style="104" bestFit="1" customWidth="1"/>
    <col min="7" max="7" width="28.5" style="104" bestFit="1" customWidth="1"/>
    <col min="8" max="8" width="8.83203125" customWidth="1"/>
    <col min="9" max="16384" width="9.1640625" style="104"/>
  </cols>
  <sheetData>
    <row r="1" spans="1:12" x14ac:dyDescent="0.2">
      <c r="A1" s="104" t="s">
        <v>14</v>
      </c>
      <c r="B1" s="104" t="s">
        <v>332</v>
      </c>
      <c r="C1" s="104" t="s">
        <v>479</v>
      </c>
      <c r="D1" s="104" t="s">
        <v>501</v>
      </c>
      <c r="E1" s="104" t="s">
        <v>0</v>
      </c>
      <c r="F1" s="104" t="s">
        <v>1</v>
      </c>
      <c r="G1" s="104" t="s">
        <v>533</v>
      </c>
      <c r="H1" s="104"/>
    </row>
    <row r="2" spans="1:12" x14ac:dyDescent="0.2">
      <c r="A2" s="104">
        <f>MONTH(C2)</f>
        <v>1</v>
      </c>
      <c r="B2" s="104">
        <f>DAY(C2)</f>
        <v>4</v>
      </c>
      <c r="C2" s="105">
        <v>44200</v>
      </c>
      <c r="D2" s="104" t="s">
        <v>490</v>
      </c>
      <c r="E2" s="104" t="s">
        <v>359</v>
      </c>
      <c r="F2" s="106">
        <v>-700</v>
      </c>
      <c r="G2" s="104" t="s">
        <v>486</v>
      </c>
      <c r="H2" s="104"/>
    </row>
    <row r="3" spans="1:12" x14ac:dyDescent="0.2">
      <c r="A3" s="104">
        <f t="shared" ref="A3:A66" si="0">MONTH(C3)</f>
        <v>1</v>
      </c>
      <c r="B3" s="104">
        <f t="shared" ref="B3:B66" si="1">DAY(C3)</f>
        <v>4</v>
      </c>
      <c r="C3" s="105">
        <v>44200</v>
      </c>
      <c r="D3" s="104" t="s">
        <v>109</v>
      </c>
      <c r="E3" s="104" t="s">
        <v>360</v>
      </c>
      <c r="F3" s="106">
        <v>600</v>
      </c>
      <c r="G3" s="104" t="s">
        <v>11</v>
      </c>
      <c r="H3" s="104"/>
    </row>
    <row r="4" spans="1:12" x14ac:dyDescent="0.2">
      <c r="A4" s="104">
        <f t="shared" si="0"/>
        <v>1</v>
      </c>
      <c r="B4" s="104">
        <f t="shared" si="1"/>
        <v>15</v>
      </c>
      <c r="C4" s="105">
        <v>44211</v>
      </c>
      <c r="D4" s="104" t="s">
        <v>490</v>
      </c>
      <c r="E4" s="104" t="s">
        <v>361</v>
      </c>
      <c r="F4" s="106">
        <v>-729.23</v>
      </c>
      <c r="G4" s="104" t="s">
        <v>486</v>
      </c>
      <c r="H4" s="104"/>
    </row>
    <row r="5" spans="1:12" x14ac:dyDescent="0.2">
      <c r="A5" s="104">
        <f t="shared" si="0"/>
        <v>1</v>
      </c>
      <c r="B5" s="104">
        <f t="shared" si="1"/>
        <v>15</v>
      </c>
      <c r="C5" s="105">
        <v>44211</v>
      </c>
      <c r="D5" s="104" t="s">
        <v>10</v>
      </c>
      <c r="E5" s="104" t="s">
        <v>362</v>
      </c>
      <c r="F5" s="106">
        <v>1459.65</v>
      </c>
      <c r="G5" s="104" t="s">
        <v>10</v>
      </c>
      <c r="H5" s="104"/>
    </row>
    <row r="6" spans="1:12" x14ac:dyDescent="0.2">
      <c r="A6" s="104">
        <f t="shared" si="0"/>
        <v>1</v>
      </c>
      <c r="B6" s="104">
        <f t="shared" si="1"/>
        <v>19</v>
      </c>
      <c r="C6" s="105">
        <v>44215</v>
      </c>
      <c r="D6" s="104" t="s">
        <v>481</v>
      </c>
      <c r="E6" s="104" t="s">
        <v>363</v>
      </c>
      <c r="F6" s="106">
        <v>-569.12</v>
      </c>
      <c r="G6" s="104" t="s">
        <v>71</v>
      </c>
      <c r="H6" s="104"/>
    </row>
    <row r="7" spans="1:12" x14ac:dyDescent="0.2">
      <c r="A7" s="104">
        <f t="shared" si="0"/>
        <v>1</v>
      </c>
      <c r="B7" s="104">
        <f t="shared" si="1"/>
        <v>19</v>
      </c>
      <c r="C7" s="105">
        <v>44215</v>
      </c>
      <c r="D7" s="104" t="s">
        <v>481</v>
      </c>
      <c r="E7" s="104" t="s">
        <v>364</v>
      </c>
      <c r="F7" s="106">
        <v>-78.86</v>
      </c>
      <c r="G7" s="104" t="s">
        <v>505</v>
      </c>
      <c r="H7" s="104"/>
    </row>
    <row r="8" spans="1:12" x14ac:dyDescent="0.2">
      <c r="A8" s="104">
        <f t="shared" si="0"/>
        <v>1</v>
      </c>
      <c r="B8" s="104">
        <f t="shared" si="1"/>
        <v>19</v>
      </c>
      <c r="C8" s="105">
        <v>44215</v>
      </c>
      <c r="D8" s="104" t="s">
        <v>481</v>
      </c>
      <c r="E8" s="104" t="s">
        <v>365</v>
      </c>
      <c r="F8" s="106">
        <v>150</v>
      </c>
      <c r="G8" s="104" t="s">
        <v>510</v>
      </c>
      <c r="H8" s="104"/>
    </row>
    <row r="9" spans="1:12" x14ac:dyDescent="0.2">
      <c r="A9" s="104">
        <f t="shared" si="0"/>
        <v>1</v>
      </c>
      <c r="B9" s="104">
        <f t="shared" si="1"/>
        <v>21</v>
      </c>
      <c r="C9" s="105">
        <v>44217</v>
      </c>
      <c r="D9" s="104" t="s">
        <v>482</v>
      </c>
      <c r="E9" s="104" t="s">
        <v>366</v>
      </c>
      <c r="F9" s="106">
        <v>-155</v>
      </c>
      <c r="G9" s="104" t="s">
        <v>515</v>
      </c>
      <c r="H9" s="104"/>
      <c r="K9" s="107"/>
    </row>
    <row r="10" spans="1:12" x14ac:dyDescent="0.2">
      <c r="A10" s="104">
        <f t="shared" si="0"/>
        <v>1</v>
      </c>
      <c r="B10" s="104">
        <f t="shared" si="1"/>
        <v>22</v>
      </c>
      <c r="C10" s="105">
        <v>44218</v>
      </c>
      <c r="D10" s="104" t="s">
        <v>482</v>
      </c>
      <c r="E10" s="104" t="s">
        <v>367</v>
      </c>
      <c r="F10" s="106">
        <v>-75</v>
      </c>
      <c r="G10" s="104" t="s">
        <v>525</v>
      </c>
      <c r="H10" s="104"/>
      <c r="K10" s="107"/>
    </row>
    <row r="11" spans="1:12" x14ac:dyDescent="0.2">
      <c r="A11" s="104">
        <f t="shared" si="0"/>
        <v>1</v>
      </c>
      <c r="B11" s="104">
        <f t="shared" si="1"/>
        <v>26</v>
      </c>
      <c r="C11" s="105">
        <v>44222</v>
      </c>
      <c r="D11" s="104" t="s">
        <v>483</v>
      </c>
      <c r="E11" s="104" t="s">
        <v>368</v>
      </c>
      <c r="F11" s="106">
        <v>155</v>
      </c>
      <c r="G11" s="104" t="s">
        <v>515</v>
      </c>
      <c r="H11" s="104"/>
      <c r="L11" s="107"/>
    </row>
    <row r="12" spans="1:12" x14ac:dyDescent="0.2">
      <c r="A12" s="104">
        <f t="shared" si="0"/>
        <v>1</v>
      </c>
      <c r="B12" s="104">
        <f t="shared" si="1"/>
        <v>28</v>
      </c>
      <c r="C12" s="105">
        <v>44224</v>
      </c>
      <c r="D12" s="104" t="s">
        <v>484</v>
      </c>
      <c r="E12" s="104" t="s">
        <v>369</v>
      </c>
      <c r="F12" s="106">
        <v>-100</v>
      </c>
      <c r="G12" s="104" t="s">
        <v>502</v>
      </c>
      <c r="H12" s="104"/>
    </row>
    <row r="13" spans="1:12" x14ac:dyDescent="0.2">
      <c r="A13" s="104">
        <f t="shared" si="0"/>
        <v>1</v>
      </c>
      <c r="B13" s="104">
        <f t="shared" si="1"/>
        <v>28</v>
      </c>
      <c r="C13" s="105">
        <v>44224</v>
      </c>
      <c r="D13" s="104" t="s">
        <v>484</v>
      </c>
      <c r="E13" s="104" t="s">
        <v>369</v>
      </c>
      <c r="F13" s="106">
        <v>-50</v>
      </c>
      <c r="G13" s="104" t="s">
        <v>502</v>
      </c>
      <c r="H13" s="104"/>
    </row>
    <row r="14" spans="1:12" x14ac:dyDescent="0.2">
      <c r="A14" s="104">
        <f t="shared" si="0"/>
        <v>1</v>
      </c>
      <c r="B14" s="104">
        <f t="shared" si="1"/>
        <v>28</v>
      </c>
      <c r="C14" s="105">
        <v>44224</v>
      </c>
      <c r="D14" s="104" t="s">
        <v>485</v>
      </c>
      <c r="E14" s="104" t="s">
        <v>370</v>
      </c>
      <c r="F14" s="106">
        <v>388.47</v>
      </c>
      <c r="G14" s="104" t="s">
        <v>492</v>
      </c>
      <c r="H14" s="104"/>
      <c r="L14" s="107"/>
    </row>
    <row r="15" spans="1:12" x14ac:dyDescent="0.2">
      <c r="A15" s="104">
        <f t="shared" si="0"/>
        <v>1</v>
      </c>
      <c r="B15" s="104">
        <f t="shared" si="1"/>
        <v>29</v>
      </c>
      <c r="C15" s="105">
        <v>44225</v>
      </c>
      <c r="D15" s="104" t="s">
        <v>481</v>
      </c>
      <c r="E15" s="104" t="s">
        <v>371</v>
      </c>
      <c r="F15" s="106">
        <v>-728.15</v>
      </c>
      <c r="G15" s="104" t="s">
        <v>71</v>
      </c>
      <c r="H15" s="104"/>
    </row>
    <row r="16" spans="1:12" x14ac:dyDescent="0.2">
      <c r="A16" s="104">
        <f t="shared" si="0"/>
        <v>1</v>
      </c>
      <c r="B16" s="104">
        <f t="shared" si="1"/>
        <v>29</v>
      </c>
      <c r="C16" s="105">
        <v>44225</v>
      </c>
      <c r="D16" s="104" t="s">
        <v>481</v>
      </c>
      <c r="E16" s="104" t="s">
        <v>372</v>
      </c>
      <c r="F16" s="106">
        <v>-700</v>
      </c>
      <c r="G16" s="104" t="s">
        <v>506</v>
      </c>
      <c r="H16" s="104"/>
    </row>
    <row r="17" spans="1:12" x14ac:dyDescent="0.2">
      <c r="A17" s="104">
        <f t="shared" si="0"/>
        <v>1</v>
      </c>
      <c r="B17" s="104">
        <f t="shared" si="1"/>
        <v>29</v>
      </c>
      <c r="C17" s="105">
        <v>44225</v>
      </c>
      <c r="D17" s="104" t="s">
        <v>10</v>
      </c>
      <c r="E17" s="104" t="s">
        <v>373</v>
      </c>
      <c r="F17" s="106">
        <v>1459.64</v>
      </c>
      <c r="G17" s="104" t="s">
        <v>10</v>
      </c>
      <c r="H17" s="104"/>
    </row>
    <row r="18" spans="1:12" x14ac:dyDescent="0.2">
      <c r="A18" s="104">
        <f t="shared" si="0"/>
        <v>2</v>
      </c>
      <c r="B18" s="104">
        <f t="shared" si="1"/>
        <v>2</v>
      </c>
      <c r="C18" s="105">
        <v>44229</v>
      </c>
      <c r="D18" s="104" t="s">
        <v>486</v>
      </c>
      <c r="E18" s="104" t="s">
        <v>374</v>
      </c>
      <c r="F18" s="106">
        <v>-1</v>
      </c>
      <c r="G18" s="104" t="s">
        <v>93</v>
      </c>
      <c r="H18" s="104"/>
    </row>
    <row r="19" spans="1:12" x14ac:dyDescent="0.2">
      <c r="A19" s="104">
        <f t="shared" si="0"/>
        <v>2</v>
      </c>
      <c r="B19" s="104">
        <f t="shared" si="1"/>
        <v>2</v>
      </c>
      <c r="C19" s="105">
        <v>44229</v>
      </c>
      <c r="D19" s="104" t="s">
        <v>482</v>
      </c>
      <c r="E19" s="104" t="s">
        <v>375</v>
      </c>
      <c r="F19" s="106">
        <v>-36.840000000000003</v>
      </c>
      <c r="G19" s="104" t="s">
        <v>526</v>
      </c>
      <c r="H19" s="104"/>
      <c r="K19" s="107"/>
    </row>
    <row r="20" spans="1:12" x14ac:dyDescent="0.2">
      <c r="A20" s="104">
        <f t="shared" si="0"/>
        <v>2</v>
      </c>
      <c r="B20" s="104">
        <f t="shared" si="1"/>
        <v>2</v>
      </c>
      <c r="C20" s="105">
        <v>44229</v>
      </c>
      <c r="D20" s="104" t="s">
        <v>487</v>
      </c>
      <c r="E20" s="104" t="s">
        <v>376</v>
      </c>
      <c r="F20" s="106">
        <v>495</v>
      </c>
      <c r="G20" s="104" t="s">
        <v>71</v>
      </c>
      <c r="H20" s="104"/>
      <c r="L20" s="107"/>
    </row>
    <row r="21" spans="1:12" x14ac:dyDescent="0.2">
      <c r="A21" s="104">
        <f t="shared" si="0"/>
        <v>2</v>
      </c>
      <c r="B21" s="104">
        <f t="shared" si="1"/>
        <v>3</v>
      </c>
      <c r="C21" s="105">
        <v>44230</v>
      </c>
      <c r="D21" s="104" t="s">
        <v>488</v>
      </c>
      <c r="E21" s="104" t="s">
        <v>377</v>
      </c>
      <c r="F21" s="106">
        <v>-157.47</v>
      </c>
      <c r="G21" s="104" t="s">
        <v>486</v>
      </c>
      <c r="H21" s="104"/>
    </row>
    <row r="22" spans="1:12" x14ac:dyDescent="0.2">
      <c r="A22" s="104">
        <f t="shared" si="0"/>
        <v>2</v>
      </c>
      <c r="B22" s="104">
        <f t="shared" si="1"/>
        <v>3</v>
      </c>
      <c r="C22" s="105">
        <v>44230</v>
      </c>
      <c r="D22" s="104" t="s">
        <v>482</v>
      </c>
      <c r="E22" s="104" t="s">
        <v>378</v>
      </c>
      <c r="F22" s="106">
        <v>-600</v>
      </c>
      <c r="G22" s="104" t="s">
        <v>92</v>
      </c>
      <c r="H22" s="104"/>
      <c r="K22" s="107"/>
    </row>
    <row r="23" spans="1:12" x14ac:dyDescent="0.2">
      <c r="A23" s="104">
        <f t="shared" si="0"/>
        <v>2</v>
      </c>
      <c r="B23" s="104">
        <f t="shared" si="1"/>
        <v>4</v>
      </c>
      <c r="C23" s="105">
        <v>44231</v>
      </c>
      <c r="D23" s="104" t="s">
        <v>484</v>
      </c>
      <c r="E23" s="104" t="s">
        <v>379</v>
      </c>
      <c r="F23" s="106">
        <v>-50</v>
      </c>
      <c r="G23" s="104" t="s">
        <v>502</v>
      </c>
      <c r="H23" s="104"/>
    </row>
    <row r="24" spans="1:12" x14ac:dyDescent="0.2">
      <c r="A24" s="104">
        <f t="shared" si="0"/>
        <v>2</v>
      </c>
      <c r="B24" s="104">
        <f t="shared" si="1"/>
        <v>8</v>
      </c>
      <c r="C24" s="105">
        <v>44235</v>
      </c>
      <c r="D24" s="104" t="s">
        <v>484</v>
      </c>
      <c r="E24" s="104" t="s">
        <v>380</v>
      </c>
      <c r="F24" s="106">
        <v>-40</v>
      </c>
      <c r="G24" s="104" t="s">
        <v>502</v>
      </c>
      <c r="H24" s="104"/>
    </row>
    <row r="25" spans="1:12" x14ac:dyDescent="0.2">
      <c r="A25" s="104">
        <f t="shared" si="0"/>
        <v>2</v>
      </c>
      <c r="B25" s="104">
        <f t="shared" si="1"/>
        <v>8</v>
      </c>
      <c r="C25" s="105">
        <v>44235</v>
      </c>
      <c r="D25" s="104" t="s">
        <v>484</v>
      </c>
      <c r="E25" s="104" t="s">
        <v>380</v>
      </c>
      <c r="F25" s="106">
        <v>-10</v>
      </c>
      <c r="G25" s="104" t="s">
        <v>502</v>
      </c>
      <c r="H25" s="104"/>
    </row>
    <row r="26" spans="1:12" x14ac:dyDescent="0.2">
      <c r="A26" s="104">
        <f t="shared" si="0"/>
        <v>2</v>
      </c>
      <c r="B26" s="104">
        <f t="shared" si="1"/>
        <v>9</v>
      </c>
      <c r="C26" s="105">
        <v>44236</v>
      </c>
      <c r="D26" s="104" t="s">
        <v>489</v>
      </c>
      <c r="E26" s="104" t="s">
        <v>381</v>
      </c>
      <c r="F26" s="106">
        <v>138.47999999999999</v>
      </c>
      <c r="G26" s="104" t="s">
        <v>492</v>
      </c>
      <c r="H26" s="104"/>
    </row>
    <row r="27" spans="1:12" x14ac:dyDescent="0.2">
      <c r="A27" s="104">
        <f t="shared" si="0"/>
        <v>2</v>
      </c>
      <c r="B27" s="104">
        <f t="shared" si="1"/>
        <v>12</v>
      </c>
      <c r="C27" s="105">
        <v>44239</v>
      </c>
      <c r="D27" s="104" t="s">
        <v>490</v>
      </c>
      <c r="E27" s="104" t="s">
        <v>382</v>
      </c>
      <c r="F27" s="106">
        <v>-715.37</v>
      </c>
      <c r="G27" s="104" t="s">
        <v>486</v>
      </c>
      <c r="H27" s="104"/>
    </row>
    <row r="28" spans="1:12" x14ac:dyDescent="0.2">
      <c r="A28" s="104">
        <f t="shared" si="0"/>
        <v>2</v>
      </c>
      <c r="B28" s="104">
        <f t="shared" si="1"/>
        <v>12</v>
      </c>
      <c r="C28" s="105">
        <v>44239</v>
      </c>
      <c r="D28" s="104" t="s">
        <v>481</v>
      </c>
      <c r="E28" s="104" t="s">
        <v>383</v>
      </c>
      <c r="F28" s="106">
        <v>-350</v>
      </c>
      <c r="G28" s="104" t="s">
        <v>71</v>
      </c>
      <c r="H28" s="104"/>
    </row>
    <row r="29" spans="1:12" x14ac:dyDescent="0.2">
      <c r="A29" s="104">
        <f t="shared" si="0"/>
        <v>2</v>
      </c>
      <c r="B29" s="104">
        <f t="shared" si="1"/>
        <v>12</v>
      </c>
      <c r="C29" s="105">
        <v>44239</v>
      </c>
      <c r="D29" s="104" t="s">
        <v>484</v>
      </c>
      <c r="E29" s="104" t="s">
        <v>384</v>
      </c>
      <c r="F29" s="106">
        <v>-100</v>
      </c>
      <c r="G29" s="104" t="s">
        <v>502</v>
      </c>
      <c r="H29" s="104"/>
    </row>
    <row r="30" spans="1:12" x14ac:dyDescent="0.2">
      <c r="A30" s="104">
        <f t="shared" si="0"/>
        <v>2</v>
      </c>
      <c r="B30" s="104">
        <f t="shared" si="1"/>
        <v>12</v>
      </c>
      <c r="C30" s="105">
        <v>44239</v>
      </c>
      <c r="D30" s="104" t="s">
        <v>10</v>
      </c>
      <c r="E30" s="104" t="s">
        <v>385</v>
      </c>
      <c r="F30" s="106">
        <v>1809.65</v>
      </c>
      <c r="G30" s="104" t="s">
        <v>10</v>
      </c>
      <c r="H30" s="104"/>
    </row>
    <row r="31" spans="1:12" x14ac:dyDescent="0.2">
      <c r="A31" s="104">
        <f t="shared" si="0"/>
        <v>2</v>
      </c>
      <c r="B31" s="104">
        <f t="shared" si="1"/>
        <v>16</v>
      </c>
      <c r="C31" s="105">
        <v>44243</v>
      </c>
      <c r="D31" s="104" t="s">
        <v>481</v>
      </c>
      <c r="E31" s="104" t="s">
        <v>386</v>
      </c>
      <c r="F31" s="106">
        <v>-500</v>
      </c>
      <c r="G31" s="104" t="s">
        <v>71</v>
      </c>
      <c r="H31" s="104"/>
    </row>
    <row r="32" spans="1:12" x14ac:dyDescent="0.2">
      <c r="A32" s="104">
        <f t="shared" si="0"/>
        <v>2</v>
      </c>
      <c r="B32" s="104">
        <f t="shared" si="1"/>
        <v>16</v>
      </c>
      <c r="C32" s="105">
        <v>44243</v>
      </c>
      <c r="D32" s="104" t="s">
        <v>491</v>
      </c>
      <c r="E32" s="104" t="s">
        <v>387</v>
      </c>
      <c r="F32" s="106">
        <v>-100</v>
      </c>
      <c r="G32" s="104" t="s">
        <v>502</v>
      </c>
      <c r="H32" s="104"/>
    </row>
    <row r="33" spans="1:12" x14ac:dyDescent="0.2">
      <c r="A33" s="104">
        <f t="shared" si="0"/>
        <v>2</v>
      </c>
      <c r="B33" s="104">
        <f t="shared" si="1"/>
        <v>16</v>
      </c>
      <c r="C33" s="105">
        <v>44243</v>
      </c>
      <c r="D33" s="104" t="s">
        <v>484</v>
      </c>
      <c r="E33" s="104" t="s">
        <v>388</v>
      </c>
      <c r="F33" s="106">
        <v>-100</v>
      </c>
      <c r="G33" s="104" t="s">
        <v>502</v>
      </c>
      <c r="H33" s="104"/>
    </row>
    <row r="34" spans="1:12" x14ac:dyDescent="0.2">
      <c r="A34" s="104">
        <f t="shared" si="0"/>
        <v>2</v>
      </c>
      <c r="B34" s="104">
        <f t="shared" si="1"/>
        <v>16</v>
      </c>
      <c r="C34" s="105">
        <v>44243</v>
      </c>
      <c r="D34" s="104" t="s">
        <v>483</v>
      </c>
      <c r="E34" s="104" t="s">
        <v>389</v>
      </c>
      <c r="F34" s="106">
        <v>492.5</v>
      </c>
      <c r="G34" s="104" t="s">
        <v>92</v>
      </c>
      <c r="H34" s="104"/>
      <c r="L34" s="107"/>
    </row>
    <row r="35" spans="1:12" x14ac:dyDescent="0.2">
      <c r="A35" s="104">
        <f t="shared" si="0"/>
        <v>2</v>
      </c>
      <c r="B35" s="104">
        <f t="shared" si="1"/>
        <v>17</v>
      </c>
      <c r="C35" s="105">
        <v>44244</v>
      </c>
      <c r="D35" s="104" t="s">
        <v>484</v>
      </c>
      <c r="E35" s="104" t="s">
        <v>390</v>
      </c>
      <c r="F35" s="106">
        <v>-300</v>
      </c>
      <c r="G35" s="104" t="s">
        <v>502</v>
      </c>
      <c r="H35" s="104"/>
    </row>
    <row r="36" spans="1:12" x14ac:dyDescent="0.2">
      <c r="A36" s="104">
        <f t="shared" si="0"/>
        <v>2</v>
      </c>
      <c r="B36" s="104">
        <f t="shared" si="1"/>
        <v>17</v>
      </c>
      <c r="C36" s="105">
        <v>44244</v>
      </c>
      <c r="D36" s="104" t="s">
        <v>484</v>
      </c>
      <c r="E36" s="104" t="s">
        <v>390</v>
      </c>
      <c r="F36" s="106">
        <v>-150</v>
      </c>
      <c r="G36" s="104" t="s">
        <v>502</v>
      </c>
      <c r="H36" s="104"/>
    </row>
    <row r="37" spans="1:12" x14ac:dyDescent="0.2">
      <c r="A37" s="104">
        <f t="shared" si="0"/>
        <v>2</v>
      </c>
      <c r="B37" s="104">
        <f t="shared" si="1"/>
        <v>17</v>
      </c>
      <c r="C37" s="105">
        <v>44244</v>
      </c>
      <c r="D37" s="104" t="s">
        <v>484</v>
      </c>
      <c r="E37" s="104" t="s">
        <v>390</v>
      </c>
      <c r="F37" s="106">
        <v>-50</v>
      </c>
      <c r="G37" s="104" t="s">
        <v>502</v>
      </c>
      <c r="H37" s="104"/>
    </row>
    <row r="38" spans="1:12" x14ac:dyDescent="0.2">
      <c r="A38" s="104">
        <f t="shared" si="0"/>
        <v>2</v>
      </c>
      <c r="B38" s="104">
        <f t="shared" si="1"/>
        <v>17</v>
      </c>
      <c r="C38" s="105">
        <v>44244</v>
      </c>
      <c r="D38" s="104" t="s">
        <v>496</v>
      </c>
      <c r="E38" s="104" t="s">
        <v>391</v>
      </c>
      <c r="F38" s="106">
        <v>56.74</v>
      </c>
      <c r="G38" s="104" t="s">
        <v>502</v>
      </c>
      <c r="H38" s="104"/>
    </row>
    <row r="39" spans="1:12" x14ac:dyDescent="0.2">
      <c r="A39" s="104">
        <f t="shared" si="0"/>
        <v>2</v>
      </c>
      <c r="B39" s="104">
        <f t="shared" si="1"/>
        <v>19</v>
      </c>
      <c r="C39" s="105">
        <v>44246</v>
      </c>
      <c r="D39" s="104" t="s">
        <v>484</v>
      </c>
      <c r="E39" s="104" t="s">
        <v>392</v>
      </c>
      <c r="F39" s="106">
        <v>-100</v>
      </c>
      <c r="G39" s="104" t="s">
        <v>502</v>
      </c>
      <c r="H39" s="104"/>
    </row>
    <row r="40" spans="1:12" x14ac:dyDescent="0.2">
      <c r="A40" s="104">
        <f t="shared" si="0"/>
        <v>2</v>
      </c>
      <c r="B40" s="104">
        <f t="shared" si="1"/>
        <v>19</v>
      </c>
      <c r="C40" s="105">
        <v>44246</v>
      </c>
      <c r="D40" s="104" t="s">
        <v>489</v>
      </c>
      <c r="E40" s="104" t="s">
        <v>393</v>
      </c>
      <c r="F40" s="106">
        <v>138.47</v>
      </c>
      <c r="G40" s="104" t="s">
        <v>492</v>
      </c>
      <c r="H40" s="104"/>
    </row>
    <row r="41" spans="1:12" x14ac:dyDescent="0.2">
      <c r="A41" s="104">
        <f t="shared" si="0"/>
        <v>2</v>
      </c>
      <c r="B41" s="104">
        <f t="shared" si="1"/>
        <v>22</v>
      </c>
      <c r="C41" s="105">
        <v>44249</v>
      </c>
      <c r="D41" s="104" t="s">
        <v>481</v>
      </c>
      <c r="E41" s="104" t="s">
        <v>394</v>
      </c>
      <c r="F41" s="106">
        <v>-81.319999999999993</v>
      </c>
      <c r="G41" s="104" t="s">
        <v>505</v>
      </c>
      <c r="H41" s="104"/>
    </row>
    <row r="42" spans="1:12" x14ac:dyDescent="0.2">
      <c r="A42" s="104">
        <f t="shared" si="0"/>
        <v>2</v>
      </c>
      <c r="B42" s="104">
        <f t="shared" si="1"/>
        <v>23</v>
      </c>
      <c r="C42" s="105">
        <v>44250</v>
      </c>
      <c r="D42" s="104" t="s">
        <v>493</v>
      </c>
      <c r="E42" s="104" t="s">
        <v>395</v>
      </c>
      <c r="F42" s="106">
        <v>-0.01</v>
      </c>
      <c r="G42" s="104" t="s">
        <v>503</v>
      </c>
      <c r="H42" s="104"/>
    </row>
    <row r="43" spans="1:12" x14ac:dyDescent="0.2">
      <c r="A43" s="104">
        <f t="shared" si="0"/>
        <v>2</v>
      </c>
      <c r="B43" s="104">
        <f t="shared" si="1"/>
        <v>23</v>
      </c>
      <c r="C43" s="105">
        <v>44250</v>
      </c>
      <c r="D43" s="104" t="s">
        <v>493</v>
      </c>
      <c r="E43" s="104" t="s">
        <v>396</v>
      </c>
      <c r="F43" s="106">
        <v>0.01</v>
      </c>
      <c r="G43" s="104" t="s">
        <v>503</v>
      </c>
      <c r="H43" s="104"/>
    </row>
    <row r="44" spans="1:12" x14ac:dyDescent="0.2">
      <c r="A44" s="104">
        <f t="shared" si="0"/>
        <v>2</v>
      </c>
      <c r="B44" s="104">
        <f t="shared" si="1"/>
        <v>26</v>
      </c>
      <c r="C44" s="105">
        <v>44253</v>
      </c>
      <c r="D44" s="104" t="s">
        <v>490</v>
      </c>
      <c r="E44" s="104" t="s">
        <v>397</v>
      </c>
      <c r="F44" s="106">
        <v>-770.55</v>
      </c>
      <c r="G44" s="104" t="s">
        <v>486</v>
      </c>
      <c r="H44" s="104"/>
    </row>
    <row r="45" spans="1:12" x14ac:dyDescent="0.2">
      <c r="A45" s="104">
        <f t="shared" si="0"/>
        <v>2</v>
      </c>
      <c r="B45" s="104">
        <f t="shared" si="1"/>
        <v>26</v>
      </c>
      <c r="C45" s="105">
        <v>44253</v>
      </c>
      <c r="D45" s="104" t="s">
        <v>481</v>
      </c>
      <c r="E45" s="104" t="s">
        <v>398</v>
      </c>
      <c r="F45" s="106">
        <v>-700</v>
      </c>
      <c r="G45" s="104" t="s">
        <v>506</v>
      </c>
      <c r="H45" s="104"/>
    </row>
    <row r="46" spans="1:12" x14ac:dyDescent="0.2">
      <c r="A46" s="104">
        <f t="shared" si="0"/>
        <v>2</v>
      </c>
      <c r="B46" s="104">
        <f t="shared" si="1"/>
        <v>26</v>
      </c>
      <c r="C46" s="105">
        <v>44253</v>
      </c>
      <c r="D46" s="104" t="s">
        <v>109</v>
      </c>
      <c r="E46" s="104" t="s">
        <v>399</v>
      </c>
      <c r="F46" s="106">
        <v>2420</v>
      </c>
      <c r="G46" s="104" t="s">
        <v>480</v>
      </c>
      <c r="H46" s="104"/>
    </row>
    <row r="47" spans="1:12" x14ac:dyDescent="0.2">
      <c r="A47" s="104">
        <f t="shared" si="0"/>
        <v>2</v>
      </c>
      <c r="B47" s="104">
        <f t="shared" si="1"/>
        <v>26</v>
      </c>
      <c r="C47" s="105">
        <v>44253</v>
      </c>
      <c r="D47" s="104" t="s">
        <v>10</v>
      </c>
      <c r="E47" s="104" t="s">
        <v>400</v>
      </c>
      <c r="F47" s="106">
        <v>1459.65</v>
      </c>
      <c r="G47" s="104" t="s">
        <v>10</v>
      </c>
      <c r="H47" s="104"/>
    </row>
    <row r="48" spans="1:12" x14ac:dyDescent="0.2">
      <c r="A48" s="104">
        <f t="shared" si="0"/>
        <v>3</v>
      </c>
      <c r="B48" s="104">
        <f t="shared" si="1"/>
        <v>1</v>
      </c>
      <c r="C48" s="105">
        <v>44256</v>
      </c>
      <c r="D48" s="104" t="s">
        <v>484</v>
      </c>
      <c r="E48" s="104" t="s">
        <v>401</v>
      </c>
      <c r="F48" s="106">
        <v>-200</v>
      </c>
      <c r="G48" s="104" t="s">
        <v>502</v>
      </c>
      <c r="H48" s="104"/>
    </row>
    <row r="49" spans="1:13" x14ac:dyDescent="0.2">
      <c r="A49" s="104">
        <f t="shared" si="0"/>
        <v>3</v>
      </c>
      <c r="B49" s="104">
        <f t="shared" si="1"/>
        <v>1</v>
      </c>
      <c r="C49" s="105">
        <v>44256</v>
      </c>
      <c r="D49" s="104" t="s">
        <v>484</v>
      </c>
      <c r="E49" s="104" t="s">
        <v>401</v>
      </c>
      <c r="F49" s="106">
        <v>-200</v>
      </c>
      <c r="G49" s="104" t="s">
        <v>502</v>
      </c>
      <c r="H49" s="104"/>
    </row>
    <row r="50" spans="1:13" x14ac:dyDescent="0.2">
      <c r="A50" s="104">
        <f t="shared" si="0"/>
        <v>3</v>
      </c>
      <c r="B50" s="104">
        <f t="shared" si="1"/>
        <v>1</v>
      </c>
      <c r="C50" s="105">
        <v>44256</v>
      </c>
      <c r="D50" s="104" t="s">
        <v>482</v>
      </c>
      <c r="E50" s="104" t="s">
        <v>402</v>
      </c>
      <c r="F50" s="106">
        <v>-500</v>
      </c>
      <c r="G50" s="104" t="s">
        <v>35</v>
      </c>
      <c r="H50" s="104"/>
      <c r="K50" s="107"/>
    </row>
    <row r="51" spans="1:13" x14ac:dyDescent="0.2">
      <c r="A51" s="104">
        <f t="shared" si="0"/>
        <v>3</v>
      </c>
      <c r="B51" s="104">
        <f t="shared" si="1"/>
        <v>2</v>
      </c>
      <c r="C51" s="105">
        <v>44257</v>
      </c>
      <c r="D51" s="104" t="s">
        <v>484</v>
      </c>
      <c r="E51" s="104" t="s">
        <v>403</v>
      </c>
      <c r="F51" s="106">
        <v>-1000</v>
      </c>
      <c r="G51" s="104" t="s">
        <v>502</v>
      </c>
      <c r="H51" s="104"/>
    </row>
    <row r="52" spans="1:13" x14ac:dyDescent="0.2">
      <c r="A52" s="104">
        <f t="shared" si="0"/>
        <v>3</v>
      </c>
      <c r="B52" s="104">
        <f t="shared" si="1"/>
        <v>2</v>
      </c>
      <c r="C52" s="105">
        <v>44257</v>
      </c>
      <c r="D52" s="104" t="s">
        <v>484</v>
      </c>
      <c r="E52" s="104" t="s">
        <v>403</v>
      </c>
      <c r="F52" s="106">
        <v>-500</v>
      </c>
      <c r="G52" s="104" t="s">
        <v>502</v>
      </c>
      <c r="H52" s="104"/>
    </row>
    <row r="53" spans="1:13" x14ac:dyDescent="0.2">
      <c r="A53" s="104">
        <f t="shared" si="0"/>
        <v>3</v>
      </c>
      <c r="B53" s="104">
        <f t="shared" si="1"/>
        <v>4</v>
      </c>
      <c r="C53" s="105">
        <v>44259</v>
      </c>
      <c r="D53" s="104" t="s">
        <v>489</v>
      </c>
      <c r="E53" s="104" t="s">
        <v>404</v>
      </c>
      <c r="F53" s="106">
        <v>138.47</v>
      </c>
      <c r="G53" s="104" t="s">
        <v>492</v>
      </c>
      <c r="H53" s="104"/>
    </row>
    <row r="54" spans="1:13" x14ac:dyDescent="0.2">
      <c r="A54" s="104">
        <f t="shared" si="0"/>
        <v>3</v>
      </c>
      <c r="B54" s="104">
        <f t="shared" si="1"/>
        <v>9</v>
      </c>
      <c r="C54" s="105">
        <v>44264</v>
      </c>
      <c r="D54" s="104" t="s">
        <v>481</v>
      </c>
      <c r="E54" s="104" t="s">
        <v>405</v>
      </c>
      <c r="F54" s="106">
        <v>-150</v>
      </c>
      <c r="G54" s="104" t="s">
        <v>507</v>
      </c>
      <c r="H54" s="104"/>
    </row>
    <row r="55" spans="1:13" x14ac:dyDescent="0.2">
      <c r="A55" s="104">
        <f t="shared" si="0"/>
        <v>3</v>
      </c>
      <c r="B55" s="104">
        <f t="shared" si="1"/>
        <v>9</v>
      </c>
      <c r="C55" s="105">
        <v>44264</v>
      </c>
      <c r="D55" s="104" t="s">
        <v>495</v>
      </c>
      <c r="E55" s="104" t="s">
        <v>406</v>
      </c>
      <c r="F55" s="106">
        <v>55</v>
      </c>
      <c r="G55" s="104" t="s">
        <v>480</v>
      </c>
      <c r="H55" s="104"/>
    </row>
    <row r="56" spans="1:13" x14ac:dyDescent="0.2">
      <c r="A56" s="104">
        <f t="shared" si="0"/>
        <v>3</v>
      </c>
      <c r="B56" s="104">
        <f t="shared" si="1"/>
        <v>10</v>
      </c>
      <c r="C56" s="105">
        <v>44265</v>
      </c>
      <c r="D56" s="104" t="s">
        <v>484</v>
      </c>
      <c r="E56" s="104" t="s">
        <v>407</v>
      </c>
      <c r="F56" s="106">
        <v>-200</v>
      </c>
      <c r="G56" s="104" t="s">
        <v>502</v>
      </c>
      <c r="H56" s="104"/>
    </row>
    <row r="57" spans="1:13" x14ac:dyDescent="0.2">
      <c r="A57" s="104">
        <f t="shared" si="0"/>
        <v>3</v>
      </c>
      <c r="B57" s="104">
        <f t="shared" si="1"/>
        <v>10</v>
      </c>
      <c r="C57" s="105">
        <v>44265</v>
      </c>
      <c r="D57" s="104" t="s">
        <v>483</v>
      </c>
      <c r="E57" s="104" t="s">
        <v>408</v>
      </c>
      <c r="F57" s="106">
        <v>227.35</v>
      </c>
      <c r="G57" s="104" t="s">
        <v>35</v>
      </c>
      <c r="H57" s="104"/>
      <c r="L57" s="107"/>
    </row>
    <row r="58" spans="1:13" x14ac:dyDescent="0.2">
      <c r="A58" s="104">
        <f t="shared" si="0"/>
        <v>3</v>
      </c>
      <c r="B58" s="104">
        <f t="shared" si="1"/>
        <v>12</v>
      </c>
      <c r="C58" s="105">
        <v>44267</v>
      </c>
      <c r="D58" s="104" t="s">
        <v>490</v>
      </c>
      <c r="E58" s="104" t="s">
        <v>409</v>
      </c>
      <c r="F58" s="106">
        <v>-1160.3800000000001</v>
      </c>
      <c r="G58" s="104" t="s">
        <v>486</v>
      </c>
      <c r="H58" s="104"/>
    </row>
    <row r="59" spans="1:13" x14ac:dyDescent="0.2">
      <c r="A59" s="104">
        <f t="shared" si="0"/>
        <v>3</v>
      </c>
      <c r="B59" s="104">
        <f t="shared" si="1"/>
        <v>12</v>
      </c>
      <c r="C59" s="105">
        <v>44267</v>
      </c>
      <c r="D59" s="104" t="s">
        <v>10</v>
      </c>
      <c r="E59" s="104" t="s">
        <v>410</v>
      </c>
      <c r="F59" s="106">
        <v>1459.64</v>
      </c>
      <c r="G59" s="104" t="s">
        <v>10</v>
      </c>
      <c r="H59" s="104"/>
    </row>
    <row r="60" spans="1:13" x14ac:dyDescent="0.2">
      <c r="A60" s="104">
        <f t="shared" si="0"/>
        <v>3</v>
      </c>
      <c r="B60" s="104">
        <f t="shared" si="1"/>
        <v>16</v>
      </c>
      <c r="C60" s="105">
        <v>44271</v>
      </c>
      <c r="D60" s="104" t="s">
        <v>493</v>
      </c>
      <c r="E60" s="104" t="s">
        <v>411</v>
      </c>
      <c r="F60" s="106">
        <v>-25.57</v>
      </c>
      <c r="G60" s="104" t="s">
        <v>503</v>
      </c>
      <c r="H60" s="104"/>
    </row>
    <row r="61" spans="1:13" x14ac:dyDescent="0.2">
      <c r="A61" s="104">
        <f t="shared" si="0"/>
        <v>3</v>
      </c>
      <c r="B61" s="104">
        <f t="shared" si="1"/>
        <v>17</v>
      </c>
      <c r="C61" s="105">
        <v>44272</v>
      </c>
      <c r="D61" s="104" t="s">
        <v>490</v>
      </c>
      <c r="E61" s="104" t="s">
        <v>412</v>
      </c>
      <c r="F61" s="106">
        <v>-471.27</v>
      </c>
      <c r="G61" s="104" t="s">
        <v>486</v>
      </c>
      <c r="H61" s="104"/>
    </row>
    <row r="62" spans="1:13" x14ac:dyDescent="0.2">
      <c r="A62" s="104">
        <f t="shared" si="0"/>
        <v>3</v>
      </c>
      <c r="B62" s="104">
        <f t="shared" si="1"/>
        <v>17</v>
      </c>
      <c r="C62" s="105">
        <v>44272</v>
      </c>
      <c r="D62" s="104" t="s">
        <v>481</v>
      </c>
      <c r="E62" s="104" t="s">
        <v>413</v>
      </c>
      <c r="F62" s="106">
        <v>-700</v>
      </c>
      <c r="G62" s="104" t="s">
        <v>506</v>
      </c>
      <c r="H62" s="104"/>
    </row>
    <row r="63" spans="1:13" x14ac:dyDescent="0.2">
      <c r="A63" s="104">
        <f t="shared" si="0"/>
        <v>3</v>
      </c>
      <c r="B63" s="104">
        <f t="shared" si="1"/>
        <v>17</v>
      </c>
      <c r="C63" s="105">
        <v>44272</v>
      </c>
      <c r="D63" s="104" t="s">
        <v>481</v>
      </c>
      <c r="E63" s="104" t="s">
        <v>414</v>
      </c>
      <c r="F63" s="106">
        <v>-39.700000000000003</v>
      </c>
      <c r="G63" s="104" t="s">
        <v>505</v>
      </c>
      <c r="H63" s="104"/>
    </row>
    <row r="64" spans="1:13" x14ac:dyDescent="0.2">
      <c r="A64" s="104">
        <f t="shared" si="0"/>
        <v>3</v>
      </c>
      <c r="B64" s="104">
        <f t="shared" si="1"/>
        <v>17</v>
      </c>
      <c r="C64" s="105">
        <v>44272</v>
      </c>
      <c r="D64" s="104" t="s">
        <v>494</v>
      </c>
      <c r="E64" s="104" t="s">
        <v>415</v>
      </c>
      <c r="F64" s="106">
        <v>-1000</v>
      </c>
      <c r="G64" s="104" t="s">
        <v>508</v>
      </c>
      <c r="H64" s="104"/>
      <c r="M64" s="107"/>
    </row>
    <row r="65" spans="1:13" x14ac:dyDescent="0.2">
      <c r="A65" s="104">
        <f t="shared" si="0"/>
        <v>3</v>
      </c>
      <c r="B65" s="104">
        <f t="shared" si="1"/>
        <v>17</v>
      </c>
      <c r="C65" s="105">
        <v>44272</v>
      </c>
      <c r="D65" s="104" t="s">
        <v>494</v>
      </c>
      <c r="E65" s="104" t="s">
        <v>416</v>
      </c>
      <c r="F65" s="106">
        <v>1000</v>
      </c>
      <c r="G65" s="104" t="s">
        <v>508</v>
      </c>
      <c r="H65" s="104"/>
      <c r="M65" s="107"/>
    </row>
    <row r="66" spans="1:13" x14ac:dyDescent="0.2">
      <c r="A66" s="104">
        <f t="shared" si="0"/>
        <v>3</v>
      </c>
      <c r="B66" s="104">
        <f t="shared" si="1"/>
        <v>17</v>
      </c>
      <c r="C66" s="105">
        <v>44272</v>
      </c>
      <c r="D66" s="104" t="s">
        <v>109</v>
      </c>
      <c r="E66" s="104" t="s">
        <v>417</v>
      </c>
      <c r="F66" s="106">
        <v>2800</v>
      </c>
      <c r="G66" s="104" t="s">
        <v>12</v>
      </c>
      <c r="H66" s="104"/>
    </row>
    <row r="67" spans="1:13" x14ac:dyDescent="0.2">
      <c r="A67" s="104">
        <f t="shared" ref="A67:A127" si="2">MONTH(C67)</f>
        <v>3</v>
      </c>
      <c r="B67" s="104">
        <f t="shared" ref="B67:B127" si="3">DAY(C67)</f>
        <v>19</v>
      </c>
      <c r="C67" s="105">
        <v>44274</v>
      </c>
      <c r="D67" s="104" t="s">
        <v>490</v>
      </c>
      <c r="E67" s="104" t="s">
        <v>418</v>
      </c>
      <c r="F67" s="106">
        <v>-50.34</v>
      </c>
      <c r="G67" s="104" t="s">
        <v>486</v>
      </c>
      <c r="H67" s="104"/>
    </row>
    <row r="68" spans="1:13" x14ac:dyDescent="0.2">
      <c r="A68" s="104">
        <f t="shared" si="2"/>
        <v>3</v>
      </c>
      <c r="B68" s="104">
        <f t="shared" si="3"/>
        <v>23</v>
      </c>
      <c r="C68" s="105">
        <v>44278</v>
      </c>
      <c r="D68" s="104" t="s">
        <v>481</v>
      </c>
      <c r="E68" s="104" t="s">
        <v>419</v>
      </c>
      <c r="F68" s="106">
        <v>-59</v>
      </c>
      <c r="G68" s="104" t="s">
        <v>71</v>
      </c>
      <c r="H68" s="104"/>
    </row>
    <row r="69" spans="1:13" x14ac:dyDescent="0.2">
      <c r="A69" s="104">
        <f t="shared" si="2"/>
        <v>3</v>
      </c>
      <c r="B69" s="104">
        <f t="shared" si="3"/>
        <v>23</v>
      </c>
      <c r="C69" s="105">
        <v>44278</v>
      </c>
      <c r="D69" s="104" t="s">
        <v>481</v>
      </c>
      <c r="E69" s="104" t="s">
        <v>420</v>
      </c>
      <c r="F69" s="106">
        <v>-40</v>
      </c>
      <c r="G69" s="104" t="s">
        <v>208</v>
      </c>
      <c r="H69" s="104"/>
    </row>
    <row r="70" spans="1:13" x14ac:dyDescent="0.2">
      <c r="A70" s="104">
        <f t="shared" si="2"/>
        <v>3</v>
      </c>
      <c r="B70" s="104">
        <f t="shared" si="3"/>
        <v>23</v>
      </c>
      <c r="C70" s="105">
        <v>44278</v>
      </c>
      <c r="D70" s="104" t="s">
        <v>481</v>
      </c>
      <c r="E70" s="104" t="s">
        <v>421</v>
      </c>
      <c r="F70" s="106">
        <v>-8.33</v>
      </c>
      <c r="G70" s="104" t="s">
        <v>208</v>
      </c>
      <c r="H70" s="104"/>
    </row>
    <row r="71" spans="1:13" x14ac:dyDescent="0.2">
      <c r="A71" s="104">
        <f t="shared" si="2"/>
        <v>3</v>
      </c>
      <c r="B71" s="104">
        <f t="shared" si="3"/>
        <v>26</v>
      </c>
      <c r="C71" s="105">
        <v>44281</v>
      </c>
      <c r="D71" s="104" t="s">
        <v>490</v>
      </c>
      <c r="E71" s="104" t="s">
        <v>422</v>
      </c>
      <c r="F71" s="106">
        <v>-264.60000000000002</v>
      </c>
      <c r="G71" s="104" t="s">
        <v>486</v>
      </c>
      <c r="H71" s="104"/>
    </row>
    <row r="72" spans="1:13" x14ac:dyDescent="0.2">
      <c r="A72" s="104">
        <f t="shared" si="2"/>
        <v>3</v>
      </c>
      <c r="B72" s="104">
        <f t="shared" si="3"/>
        <v>26</v>
      </c>
      <c r="C72" s="105">
        <v>44281</v>
      </c>
      <c r="D72" s="104" t="s">
        <v>10</v>
      </c>
      <c r="E72" s="104" t="s">
        <v>423</v>
      </c>
      <c r="F72" s="106">
        <v>1457.82</v>
      </c>
      <c r="G72" s="104" t="s">
        <v>10</v>
      </c>
      <c r="H72" s="104"/>
    </row>
    <row r="73" spans="1:13" x14ac:dyDescent="0.2">
      <c r="A73" s="104">
        <f t="shared" si="2"/>
        <v>3</v>
      </c>
      <c r="B73" s="104">
        <f t="shared" si="3"/>
        <v>29</v>
      </c>
      <c r="C73" s="105">
        <v>44284</v>
      </c>
      <c r="D73" s="104" t="s">
        <v>481</v>
      </c>
      <c r="E73" s="104" t="s">
        <v>424</v>
      </c>
      <c r="F73" s="106">
        <v>-20</v>
      </c>
      <c r="G73" s="104" t="s">
        <v>209</v>
      </c>
      <c r="H73" s="104"/>
    </row>
    <row r="74" spans="1:13" x14ac:dyDescent="0.2">
      <c r="A74" s="104">
        <f t="shared" si="2"/>
        <v>3</v>
      </c>
      <c r="B74" s="104">
        <f t="shared" si="3"/>
        <v>31</v>
      </c>
      <c r="C74" s="105">
        <v>44286</v>
      </c>
      <c r="D74" s="104" t="s">
        <v>490</v>
      </c>
      <c r="E74" s="104" t="s">
        <v>425</v>
      </c>
      <c r="F74" s="106">
        <v>-465.03</v>
      </c>
      <c r="G74" s="104" t="s">
        <v>486</v>
      </c>
      <c r="H74" s="104"/>
    </row>
    <row r="75" spans="1:13" x14ac:dyDescent="0.2">
      <c r="A75" s="104">
        <f t="shared" si="2"/>
        <v>4</v>
      </c>
      <c r="B75" s="104">
        <f t="shared" si="3"/>
        <v>1</v>
      </c>
      <c r="C75" s="105">
        <v>44287</v>
      </c>
      <c r="D75" s="104" t="s">
        <v>482</v>
      </c>
      <c r="E75" s="104" t="s">
        <v>426</v>
      </c>
      <c r="F75" s="106">
        <v>-400</v>
      </c>
      <c r="G75" s="104" t="s">
        <v>37</v>
      </c>
      <c r="H75" s="104"/>
      <c r="K75" s="107"/>
    </row>
    <row r="76" spans="1:13" x14ac:dyDescent="0.2">
      <c r="A76" s="104">
        <f t="shared" si="2"/>
        <v>4</v>
      </c>
      <c r="B76" s="104">
        <f t="shared" si="3"/>
        <v>9</v>
      </c>
      <c r="C76" s="105">
        <v>44295</v>
      </c>
      <c r="D76" s="104" t="s">
        <v>490</v>
      </c>
      <c r="E76" s="104" t="s">
        <v>427</v>
      </c>
      <c r="F76" s="106">
        <v>-450.02</v>
      </c>
      <c r="G76" s="104" t="s">
        <v>486</v>
      </c>
      <c r="H76" s="104"/>
    </row>
    <row r="77" spans="1:13" x14ac:dyDescent="0.2">
      <c r="A77" s="104">
        <f t="shared" si="2"/>
        <v>4</v>
      </c>
      <c r="B77" s="104">
        <f t="shared" si="3"/>
        <v>9</v>
      </c>
      <c r="C77" s="105">
        <v>44295</v>
      </c>
      <c r="D77" s="104" t="s">
        <v>10</v>
      </c>
      <c r="E77" s="104" t="s">
        <v>428</v>
      </c>
      <c r="F77" s="106">
        <v>1242.82</v>
      </c>
      <c r="G77" s="104" t="s">
        <v>10</v>
      </c>
      <c r="H77" s="104"/>
    </row>
    <row r="78" spans="1:13" x14ac:dyDescent="0.2">
      <c r="A78" s="104">
        <f t="shared" si="2"/>
        <v>4</v>
      </c>
      <c r="B78" s="104">
        <f t="shared" si="3"/>
        <v>12</v>
      </c>
      <c r="C78" s="105">
        <v>44298</v>
      </c>
      <c r="D78" s="104" t="s">
        <v>481</v>
      </c>
      <c r="E78" s="104" t="s">
        <v>429</v>
      </c>
      <c r="F78" s="106">
        <v>-138.52000000000001</v>
      </c>
      <c r="G78" s="104" t="s">
        <v>505</v>
      </c>
      <c r="H78" s="104"/>
    </row>
    <row r="79" spans="1:13" x14ac:dyDescent="0.2">
      <c r="A79" s="104">
        <f t="shared" si="2"/>
        <v>4</v>
      </c>
      <c r="B79" s="104">
        <f t="shared" si="3"/>
        <v>12</v>
      </c>
      <c r="C79" s="105">
        <v>44298</v>
      </c>
      <c r="D79" s="104" t="s">
        <v>481</v>
      </c>
      <c r="E79" s="104" t="s">
        <v>430</v>
      </c>
      <c r="F79" s="106">
        <v>-100</v>
      </c>
      <c r="G79" s="104" t="s">
        <v>507</v>
      </c>
      <c r="H79" s="104"/>
    </row>
    <row r="80" spans="1:13" x14ac:dyDescent="0.2">
      <c r="A80" s="104">
        <f t="shared" si="2"/>
        <v>4</v>
      </c>
      <c r="B80" s="104">
        <f t="shared" si="3"/>
        <v>12</v>
      </c>
      <c r="C80" s="105">
        <v>44298</v>
      </c>
      <c r="D80" s="104" t="s">
        <v>482</v>
      </c>
      <c r="E80" s="104" t="s">
        <v>431</v>
      </c>
      <c r="F80" s="106">
        <v>-250</v>
      </c>
      <c r="G80" s="104" t="s">
        <v>509</v>
      </c>
      <c r="H80" s="104"/>
      <c r="K80" s="107"/>
    </row>
    <row r="81" spans="1:12" x14ac:dyDescent="0.2">
      <c r="A81" s="104">
        <f t="shared" si="2"/>
        <v>4</v>
      </c>
      <c r="B81" s="104">
        <f t="shared" si="3"/>
        <v>19</v>
      </c>
      <c r="C81" s="105">
        <v>44305</v>
      </c>
      <c r="D81" s="104" t="s">
        <v>481</v>
      </c>
      <c r="E81" s="104" t="s">
        <v>432</v>
      </c>
      <c r="F81" s="106">
        <v>50</v>
      </c>
      <c r="G81" s="104" t="s">
        <v>510</v>
      </c>
      <c r="H81" s="104"/>
    </row>
    <row r="82" spans="1:12" x14ac:dyDescent="0.2">
      <c r="A82" s="104">
        <f t="shared" si="2"/>
        <v>4</v>
      </c>
      <c r="B82" s="104">
        <f t="shared" si="3"/>
        <v>19</v>
      </c>
      <c r="C82" s="105">
        <v>44305</v>
      </c>
      <c r="D82" s="104" t="s">
        <v>497</v>
      </c>
      <c r="E82" s="104" t="s">
        <v>433</v>
      </c>
      <c r="F82" s="106">
        <v>30</v>
      </c>
      <c r="G82" s="104" t="s">
        <v>3</v>
      </c>
      <c r="H82" s="104"/>
    </row>
    <row r="83" spans="1:12" x14ac:dyDescent="0.2">
      <c r="A83" s="104">
        <f t="shared" si="2"/>
        <v>4</v>
      </c>
      <c r="B83" s="104">
        <f t="shared" si="3"/>
        <v>20</v>
      </c>
      <c r="C83" s="105">
        <v>44306</v>
      </c>
      <c r="D83" s="104" t="s">
        <v>483</v>
      </c>
      <c r="E83" s="104" t="s">
        <v>434</v>
      </c>
      <c r="F83" s="106">
        <v>189</v>
      </c>
      <c r="G83" s="104" t="s">
        <v>35</v>
      </c>
      <c r="H83" s="104"/>
      <c r="L83" s="107"/>
    </row>
    <row r="84" spans="1:12" x14ac:dyDescent="0.2">
      <c r="A84" s="104">
        <f t="shared" si="2"/>
        <v>4</v>
      </c>
      <c r="B84" s="104">
        <f t="shared" si="3"/>
        <v>23</v>
      </c>
      <c r="C84" s="105">
        <v>44309</v>
      </c>
      <c r="D84" s="104" t="s">
        <v>481</v>
      </c>
      <c r="E84" s="104" t="s">
        <v>435</v>
      </c>
      <c r="F84" s="106">
        <v>-700</v>
      </c>
      <c r="G84" s="104" t="s">
        <v>506</v>
      </c>
      <c r="H84" s="104"/>
    </row>
    <row r="85" spans="1:12" x14ac:dyDescent="0.2">
      <c r="A85" s="104">
        <f t="shared" si="2"/>
        <v>4</v>
      </c>
      <c r="B85" s="104">
        <f t="shared" si="3"/>
        <v>23</v>
      </c>
      <c r="C85" s="105">
        <v>44309</v>
      </c>
      <c r="D85" s="104" t="s">
        <v>482</v>
      </c>
      <c r="E85" s="104" t="s">
        <v>436</v>
      </c>
      <c r="F85" s="106">
        <v>-10.6</v>
      </c>
      <c r="G85" s="104" t="s">
        <v>526</v>
      </c>
      <c r="H85" s="104"/>
      <c r="K85" s="107"/>
    </row>
    <row r="86" spans="1:12" x14ac:dyDescent="0.2">
      <c r="A86" s="104">
        <f t="shared" si="2"/>
        <v>4</v>
      </c>
      <c r="B86" s="104">
        <f t="shared" si="3"/>
        <v>23</v>
      </c>
      <c r="C86" s="105">
        <v>44309</v>
      </c>
      <c r="D86" s="104" t="s">
        <v>10</v>
      </c>
      <c r="E86" s="104" t="s">
        <v>437</v>
      </c>
      <c r="F86" s="106">
        <v>1174.51</v>
      </c>
      <c r="G86" s="104" t="s">
        <v>10</v>
      </c>
      <c r="H86" s="104"/>
    </row>
    <row r="87" spans="1:12" x14ac:dyDescent="0.2">
      <c r="A87" s="104">
        <f t="shared" si="2"/>
        <v>4</v>
      </c>
      <c r="B87" s="104">
        <f t="shared" si="3"/>
        <v>30</v>
      </c>
      <c r="C87" s="105">
        <v>44316</v>
      </c>
      <c r="D87" s="104" t="s">
        <v>482</v>
      </c>
      <c r="E87" s="104" t="s">
        <v>438</v>
      </c>
      <c r="F87" s="106">
        <v>-50</v>
      </c>
      <c r="G87" s="104" t="s">
        <v>509</v>
      </c>
      <c r="H87" s="104"/>
      <c r="K87" s="107"/>
    </row>
    <row r="88" spans="1:12" x14ac:dyDescent="0.2">
      <c r="A88" s="104">
        <f t="shared" si="2"/>
        <v>5</v>
      </c>
      <c r="B88" s="104">
        <f t="shared" si="3"/>
        <v>3</v>
      </c>
      <c r="C88" s="105">
        <v>44319</v>
      </c>
      <c r="D88" s="104" t="s">
        <v>481</v>
      </c>
      <c r="E88" s="104" t="s">
        <v>439</v>
      </c>
      <c r="F88" s="106">
        <v>-50</v>
      </c>
      <c r="G88" s="104" t="s">
        <v>511</v>
      </c>
      <c r="H88" s="104"/>
    </row>
    <row r="89" spans="1:12" x14ac:dyDescent="0.2">
      <c r="A89" s="104">
        <f t="shared" si="2"/>
        <v>5</v>
      </c>
      <c r="B89" s="104">
        <f t="shared" si="3"/>
        <v>5</v>
      </c>
      <c r="C89" s="105">
        <v>44321</v>
      </c>
      <c r="D89" s="104" t="s">
        <v>490</v>
      </c>
      <c r="E89" s="104" t="s">
        <v>440</v>
      </c>
      <c r="F89" s="106">
        <v>-1404.1</v>
      </c>
      <c r="G89" s="104" t="s">
        <v>486</v>
      </c>
      <c r="H89" s="104"/>
    </row>
    <row r="90" spans="1:12" x14ac:dyDescent="0.2">
      <c r="A90" s="104">
        <f t="shared" si="2"/>
        <v>5</v>
      </c>
      <c r="B90" s="104">
        <f t="shared" si="3"/>
        <v>6</v>
      </c>
      <c r="C90" s="105">
        <v>44322</v>
      </c>
      <c r="D90" s="104" t="s">
        <v>498</v>
      </c>
      <c r="E90" s="104" t="s">
        <v>441</v>
      </c>
      <c r="F90" s="106">
        <v>-200</v>
      </c>
      <c r="G90" s="104" t="s">
        <v>518</v>
      </c>
      <c r="H90" s="104"/>
    </row>
    <row r="91" spans="1:12" x14ac:dyDescent="0.2">
      <c r="A91" s="104">
        <f t="shared" si="2"/>
        <v>5</v>
      </c>
      <c r="B91" s="104">
        <f t="shared" si="3"/>
        <v>6</v>
      </c>
      <c r="C91" s="105">
        <v>44322</v>
      </c>
      <c r="D91" s="104" t="s">
        <v>498</v>
      </c>
      <c r="E91" s="104" t="s">
        <v>442</v>
      </c>
      <c r="F91" s="106">
        <v>-200</v>
      </c>
      <c r="G91" s="104" t="s">
        <v>519</v>
      </c>
      <c r="H91" s="104"/>
    </row>
    <row r="92" spans="1:12" x14ac:dyDescent="0.2">
      <c r="A92" s="104">
        <f t="shared" si="2"/>
        <v>5</v>
      </c>
      <c r="B92" s="104">
        <f t="shared" si="3"/>
        <v>7</v>
      </c>
      <c r="C92" s="105">
        <v>44323</v>
      </c>
      <c r="D92" s="104" t="s">
        <v>10</v>
      </c>
      <c r="E92" s="104" t="s">
        <v>443</v>
      </c>
      <c r="F92" s="106">
        <v>1174.52</v>
      </c>
      <c r="G92" s="104" t="s">
        <v>10</v>
      </c>
      <c r="H92" s="104"/>
    </row>
    <row r="93" spans="1:12" x14ac:dyDescent="0.2">
      <c r="A93" s="104">
        <f t="shared" si="2"/>
        <v>5</v>
      </c>
      <c r="B93" s="104">
        <f t="shared" si="3"/>
        <v>7</v>
      </c>
      <c r="C93" s="105">
        <v>44323</v>
      </c>
      <c r="D93" s="190" t="s">
        <v>489</v>
      </c>
      <c r="E93" s="104" t="s">
        <v>444</v>
      </c>
      <c r="F93" s="106">
        <v>803.91</v>
      </c>
      <c r="G93" s="104" t="s">
        <v>492</v>
      </c>
      <c r="H93" s="104"/>
    </row>
    <row r="94" spans="1:12" x14ac:dyDescent="0.2">
      <c r="A94" s="104">
        <f t="shared" si="2"/>
        <v>5</v>
      </c>
      <c r="B94" s="104">
        <f t="shared" si="3"/>
        <v>10</v>
      </c>
      <c r="C94" s="105">
        <v>44326</v>
      </c>
      <c r="D94" s="104" t="s">
        <v>481</v>
      </c>
      <c r="E94" s="104" t="s">
        <v>445</v>
      </c>
      <c r="F94" s="106">
        <v>-150</v>
      </c>
      <c r="G94" s="104" t="s">
        <v>507</v>
      </c>
      <c r="H94" s="104"/>
    </row>
    <row r="95" spans="1:12" x14ac:dyDescent="0.2">
      <c r="A95" s="104">
        <f t="shared" si="2"/>
        <v>5</v>
      </c>
      <c r="B95" s="104">
        <f t="shared" si="3"/>
        <v>10</v>
      </c>
      <c r="C95" s="105">
        <v>44326</v>
      </c>
      <c r="D95" s="104" t="s">
        <v>481</v>
      </c>
      <c r="E95" s="104" t="s">
        <v>446</v>
      </c>
      <c r="F95" s="106">
        <v>-136.13999999999999</v>
      </c>
      <c r="G95" s="104" t="s">
        <v>505</v>
      </c>
      <c r="H95" s="104"/>
    </row>
    <row r="96" spans="1:12" x14ac:dyDescent="0.2">
      <c r="A96" s="104">
        <f t="shared" si="2"/>
        <v>5</v>
      </c>
      <c r="B96" s="104">
        <f t="shared" si="3"/>
        <v>11</v>
      </c>
      <c r="C96" s="105">
        <v>44327</v>
      </c>
      <c r="D96" s="104" t="s">
        <v>493</v>
      </c>
      <c r="E96" s="104" t="s">
        <v>447</v>
      </c>
      <c r="F96" s="106">
        <v>-28.93</v>
      </c>
      <c r="G96" s="104" t="s">
        <v>503</v>
      </c>
      <c r="H96" s="104"/>
    </row>
    <row r="97" spans="1:12" x14ac:dyDescent="0.2">
      <c r="A97" s="104">
        <f t="shared" si="2"/>
        <v>5</v>
      </c>
      <c r="B97" s="104">
        <f t="shared" si="3"/>
        <v>12</v>
      </c>
      <c r="C97" s="105">
        <v>44328</v>
      </c>
      <c r="D97" s="104" t="s">
        <v>481</v>
      </c>
      <c r="E97" s="104" t="s">
        <v>448</v>
      </c>
      <c r="F97" s="106">
        <v>150</v>
      </c>
      <c r="G97" s="104" t="s">
        <v>510</v>
      </c>
      <c r="H97" s="104"/>
    </row>
    <row r="98" spans="1:12" x14ac:dyDescent="0.2">
      <c r="A98" s="104">
        <f t="shared" si="2"/>
        <v>5</v>
      </c>
      <c r="B98" s="104">
        <f t="shared" si="3"/>
        <v>14</v>
      </c>
      <c r="C98" s="105">
        <v>44330</v>
      </c>
      <c r="D98" s="104" t="s">
        <v>493</v>
      </c>
      <c r="E98" s="104" t="s">
        <v>449</v>
      </c>
      <c r="F98" s="106">
        <v>-21.39</v>
      </c>
      <c r="G98" s="104" t="s">
        <v>503</v>
      </c>
      <c r="H98" s="104"/>
    </row>
    <row r="99" spans="1:12" x14ac:dyDescent="0.2">
      <c r="A99" s="104">
        <f t="shared" si="2"/>
        <v>5</v>
      </c>
      <c r="B99" s="104">
        <f t="shared" si="3"/>
        <v>14</v>
      </c>
      <c r="C99" s="105">
        <v>44330</v>
      </c>
      <c r="D99" s="104" t="s">
        <v>483</v>
      </c>
      <c r="E99" s="104" t="s">
        <v>450</v>
      </c>
      <c r="F99" s="106">
        <v>136.13999999999999</v>
      </c>
      <c r="G99" s="104" t="s">
        <v>35</v>
      </c>
      <c r="H99" s="104"/>
      <c r="L99" s="107"/>
    </row>
    <row r="100" spans="1:12" x14ac:dyDescent="0.2">
      <c r="A100" s="104">
        <f t="shared" si="2"/>
        <v>5</v>
      </c>
      <c r="B100" s="104">
        <f t="shared" si="3"/>
        <v>17</v>
      </c>
      <c r="C100" s="105">
        <v>44333</v>
      </c>
      <c r="D100" s="104" t="s">
        <v>481</v>
      </c>
      <c r="E100" s="104" t="s">
        <v>451</v>
      </c>
      <c r="F100" s="106">
        <v>-220</v>
      </c>
      <c r="G100" s="104" t="s">
        <v>71</v>
      </c>
      <c r="H100" s="104"/>
    </row>
    <row r="101" spans="1:12" x14ac:dyDescent="0.2">
      <c r="A101" s="104">
        <f t="shared" si="2"/>
        <v>5</v>
      </c>
      <c r="B101" s="104">
        <f t="shared" si="3"/>
        <v>20</v>
      </c>
      <c r="C101" s="105">
        <v>44336</v>
      </c>
      <c r="D101" s="104" t="s">
        <v>481</v>
      </c>
      <c r="E101" s="104" t="s">
        <v>452</v>
      </c>
      <c r="F101" s="106">
        <v>-85</v>
      </c>
      <c r="G101" s="104" t="s">
        <v>71</v>
      </c>
      <c r="H101" s="104"/>
    </row>
    <row r="102" spans="1:12" x14ac:dyDescent="0.2">
      <c r="A102" s="104">
        <f t="shared" si="2"/>
        <v>5</v>
      </c>
      <c r="B102" s="104">
        <f t="shared" si="3"/>
        <v>21</v>
      </c>
      <c r="C102" s="105">
        <v>44337</v>
      </c>
      <c r="D102" s="104" t="s">
        <v>481</v>
      </c>
      <c r="E102" s="104" t="s">
        <v>453</v>
      </c>
      <c r="F102" s="106">
        <v>-340</v>
      </c>
      <c r="G102" s="104" t="s">
        <v>512</v>
      </c>
      <c r="H102" s="104"/>
    </row>
    <row r="103" spans="1:12" x14ac:dyDescent="0.2">
      <c r="A103" s="104">
        <f t="shared" si="2"/>
        <v>5</v>
      </c>
      <c r="B103" s="104">
        <f t="shared" si="3"/>
        <v>21</v>
      </c>
      <c r="C103" s="105">
        <v>44337</v>
      </c>
      <c r="D103" s="104" t="s">
        <v>10</v>
      </c>
      <c r="E103" s="104" t="s">
        <v>454</v>
      </c>
      <c r="F103" s="106">
        <v>1342.98</v>
      </c>
      <c r="G103" s="104" t="s">
        <v>10</v>
      </c>
      <c r="H103" s="104"/>
    </row>
    <row r="104" spans="1:12" x14ac:dyDescent="0.2">
      <c r="A104" s="104">
        <f t="shared" si="2"/>
        <v>5</v>
      </c>
      <c r="B104" s="104">
        <f t="shared" si="3"/>
        <v>24</v>
      </c>
      <c r="C104" s="105">
        <v>44340</v>
      </c>
      <c r="D104" s="104" t="s">
        <v>490</v>
      </c>
      <c r="E104" s="104" t="s">
        <v>455</v>
      </c>
      <c r="F104" s="106">
        <v>-1412.32</v>
      </c>
      <c r="G104" s="104" t="s">
        <v>486</v>
      </c>
      <c r="H104" s="104"/>
    </row>
    <row r="105" spans="1:12" x14ac:dyDescent="0.2">
      <c r="A105" s="104">
        <f t="shared" si="2"/>
        <v>5</v>
      </c>
      <c r="B105" s="104">
        <f t="shared" si="3"/>
        <v>24</v>
      </c>
      <c r="C105" s="105">
        <v>44340</v>
      </c>
      <c r="D105" s="104" t="s">
        <v>482</v>
      </c>
      <c r="E105" s="104" t="s">
        <v>456</v>
      </c>
      <c r="F105" s="106">
        <v>-50</v>
      </c>
      <c r="G105" s="104" t="s">
        <v>517</v>
      </c>
      <c r="H105" s="104"/>
      <c r="K105" s="107"/>
    </row>
    <row r="106" spans="1:12" x14ac:dyDescent="0.2">
      <c r="A106" s="104">
        <f t="shared" si="2"/>
        <v>5</v>
      </c>
      <c r="B106" s="104">
        <f t="shared" si="3"/>
        <v>24</v>
      </c>
      <c r="C106" s="105">
        <v>44340</v>
      </c>
      <c r="D106" s="104" t="s">
        <v>482</v>
      </c>
      <c r="E106" s="104" t="s">
        <v>457</v>
      </c>
      <c r="F106" s="106">
        <v>-50</v>
      </c>
      <c r="G106" s="104" t="s">
        <v>516</v>
      </c>
      <c r="H106" s="104"/>
      <c r="K106" s="107"/>
    </row>
    <row r="107" spans="1:12" x14ac:dyDescent="0.2">
      <c r="A107" s="104">
        <f t="shared" si="2"/>
        <v>5</v>
      </c>
      <c r="B107" s="104">
        <f t="shared" si="3"/>
        <v>24</v>
      </c>
      <c r="C107" s="105">
        <v>44340</v>
      </c>
      <c r="D107" s="104" t="s">
        <v>482</v>
      </c>
      <c r="E107" s="104" t="s">
        <v>458</v>
      </c>
      <c r="F107" s="106">
        <v>-120</v>
      </c>
      <c r="G107" s="104" t="s">
        <v>92</v>
      </c>
      <c r="H107" s="104"/>
      <c r="K107" s="107"/>
    </row>
    <row r="108" spans="1:12" x14ac:dyDescent="0.2">
      <c r="A108" s="104">
        <f t="shared" si="2"/>
        <v>5</v>
      </c>
      <c r="B108" s="104">
        <f t="shared" si="3"/>
        <v>24</v>
      </c>
      <c r="C108" s="105">
        <v>44340</v>
      </c>
      <c r="D108" s="104" t="s">
        <v>487</v>
      </c>
      <c r="E108" s="104" t="s">
        <v>459</v>
      </c>
      <c r="F108" s="106">
        <v>815.63</v>
      </c>
      <c r="G108" s="104" t="s">
        <v>71</v>
      </c>
      <c r="H108" s="104"/>
      <c r="L108" s="107"/>
    </row>
    <row r="109" spans="1:12" x14ac:dyDescent="0.2">
      <c r="A109" s="104">
        <f t="shared" si="2"/>
        <v>5</v>
      </c>
      <c r="B109" s="104">
        <f t="shared" si="3"/>
        <v>25</v>
      </c>
      <c r="C109" s="105">
        <v>44341</v>
      </c>
      <c r="D109" s="104" t="s">
        <v>481</v>
      </c>
      <c r="E109" s="104" t="s">
        <v>460</v>
      </c>
      <c r="F109" s="106">
        <v>-215.27</v>
      </c>
      <c r="G109" s="104" t="s">
        <v>71</v>
      </c>
      <c r="H109" s="104"/>
    </row>
    <row r="110" spans="1:12" x14ac:dyDescent="0.2">
      <c r="A110" s="104">
        <f t="shared" si="2"/>
        <v>5</v>
      </c>
      <c r="B110" s="104">
        <f t="shared" si="3"/>
        <v>28</v>
      </c>
      <c r="C110" s="105">
        <v>44344</v>
      </c>
      <c r="D110" s="104" t="s">
        <v>482</v>
      </c>
      <c r="E110" s="104" t="s">
        <v>461</v>
      </c>
      <c r="F110" s="106">
        <v>-140</v>
      </c>
      <c r="G110" s="104" t="s">
        <v>37</v>
      </c>
      <c r="H110" s="104"/>
      <c r="K110" s="107"/>
    </row>
    <row r="111" spans="1:12" x14ac:dyDescent="0.2">
      <c r="A111" s="104">
        <f t="shared" si="2"/>
        <v>6</v>
      </c>
      <c r="B111" s="104">
        <f t="shared" si="3"/>
        <v>1</v>
      </c>
      <c r="C111" s="105">
        <v>44348</v>
      </c>
      <c r="D111" s="104" t="s">
        <v>482</v>
      </c>
      <c r="E111" s="104" t="s">
        <v>462</v>
      </c>
      <c r="F111" s="106">
        <v>-500</v>
      </c>
      <c r="G111" s="104" t="s">
        <v>35</v>
      </c>
      <c r="H111" s="104"/>
      <c r="K111" s="107"/>
    </row>
    <row r="112" spans="1:12" x14ac:dyDescent="0.2">
      <c r="A112" s="104">
        <f t="shared" si="2"/>
        <v>6</v>
      </c>
      <c r="B112" s="104">
        <f t="shared" si="3"/>
        <v>1</v>
      </c>
      <c r="C112" s="105">
        <v>44348</v>
      </c>
      <c r="D112" s="104" t="s">
        <v>484</v>
      </c>
      <c r="E112" s="104" t="s">
        <v>463</v>
      </c>
      <c r="F112" s="106">
        <v>2000</v>
      </c>
      <c r="G112" s="104" t="s">
        <v>502</v>
      </c>
      <c r="H112" s="104"/>
    </row>
    <row r="113" spans="1:12" x14ac:dyDescent="0.2">
      <c r="A113" s="104">
        <f t="shared" si="2"/>
        <v>6</v>
      </c>
      <c r="B113" s="104">
        <f t="shared" si="3"/>
        <v>4</v>
      </c>
      <c r="C113" s="105">
        <v>44351</v>
      </c>
      <c r="D113" s="104" t="s">
        <v>481</v>
      </c>
      <c r="E113" s="104" t="s">
        <v>464</v>
      </c>
      <c r="F113" s="106">
        <v>-118</v>
      </c>
      <c r="G113" s="104" t="s">
        <v>505</v>
      </c>
      <c r="H113" s="104"/>
    </row>
    <row r="114" spans="1:12" x14ac:dyDescent="0.2">
      <c r="A114" s="104">
        <f t="shared" si="2"/>
        <v>6</v>
      </c>
      <c r="B114" s="104">
        <f t="shared" si="3"/>
        <v>4</v>
      </c>
      <c r="C114" s="105">
        <v>44351</v>
      </c>
      <c r="D114" s="104" t="s">
        <v>482</v>
      </c>
      <c r="E114" s="104" t="s">
        <v>465</v>
      </c>
      <c r="F114" s="106">
        <v>-2041.66</v>
      </c>
      <c r="G114" s="104" t="s">
        <v>513</v>
      </c>
      <c r="H114" s="104"/>
    </row>
    <row r="115" spans="1:12" x14ac:dyDescent="0.2">
      <c r="A115" s="104">
        <f t="shared" si="2"/>
        <v>6</v>
      </c>
      <c r="B115" s="104">
        <f t="shared" si="3"/>
        <v>4</v>
      </c>
      <c r="C115" s="105">
        <v>44351</v>
      </c>
      <c r="D115" s="104" t="s">
        <v>10</v>
      </c>
      <c r="E115" s="104" t="s">
        <v>466</v>
      </c>
      <c r="F115" s="106">
        <v>1174.51</v>
      </c>
      <c r="G115" s="104" t="s">
        <v>10</v>
      </c>
      <c r="H115" s="104"/>
    </row>
    <row r="116" spans="1:12" x14ac:dyDescent="0.2">
      <c r="A116" s="104">
        <f t="shared" si="2"/>
        <v>6</v>
      </c>
      <c r="B116" s="104">
        <f t="shared" si="3"/>
        <v>7</v>
      </c>
      <c r="C116" s="105">
        <v>44354</v>
      </c>
      <c r="D116" s="104" t="s">
        <v>490</v>
      </c>
      <c r="E116" s="104" t="s">
        <v>467</v>
      </c>
      <c r="F116" s="106">
        <v>-1368.32</v>
      </c>
      <c r="G116" s="104" t="s">
        <v>486</v>
      </c>
      <c r="H116" s="104"/>
    </row>
    <row r="117" spans="1:12" x14ac:dyDescent="0.2">
      <c r="A117" s="104">
        <f t="shared" si="2"/>
        <v>6</v>
      </c>
      <c r="B117" s="104">
        <f t="shared" si="3"/>
        <v>7</v>
      </c>
      <c r="C117" s="105">
        <v>44354</v>
      </c>
      <c r="D117" s="104" t="s">
        <v>481</v>
      </c>
      <c r="E117" s="104" t="s">
        <v>468</v>
      </c>
      <c r="F117" s="106">
        <v>-564.69000000000005</v>
      </c>
      <c r="G117" s="118" t="s">
        <v>604</v>
      </c>
      <c r="H117" s="104"/>
    </row>
    <row r="118" spans="1:12" x14ac:dyDescent="0.2">
      <c r="A118" s="104">
        <f t="shared" si="2"/>
        <v>6</v>
      </c>
      <c r="B118" s="104">
        <f t="shared" si="3"/>
        <v>7</v>
      </c>
      <c r="C118" s="105">
        <v>44354</v>
      </c>
      <c r="D118" s="104" t="s">
        <v>481</v>
      </c>
      <c r="E118" s="104" t="s">
        <v>469</v>
      </c>
      <c r="F118" s="106">
        <v>-70.58</v>
      </c>
      <c r="G118" s="118" t="s">
        <v>604</v>
      </c>
      <c r="H118" s="104"/>
    </row>
    <row r="119" spans="1:12" x14ac:dyDescent="0.2">
      <c r="A119" s="104">
        <f t="shared" si="2"/>
        <v>6</v>
      </c>
      <c r="B119" s="104">
        <f t="shared" si="3"/>
        <v>7</v>
      </c>
      <c r="C119" s="105">
        <v>44354</v>
      </c>
      <c r="D119" s="104" t="s">
        <v>485</v>
      </c>
      <c r="E119" s="104" t="s">
        <v>470</v>
      </c>
      <c r="F119" s="106">
        <v>-200</v>
      </c>
      <c r="G119" s="104" t="s">
        <v>520</v>
      </c>
      <c r="H119" s="104"/>
      <c r="L119" s="107"/>
    </row>
    <row r="120" spans="1:12" x14ac:dyDescent="0.2">
      <c r="A120" s="104">
        <f t="shared" si="2"/>
        <v>6</v>
      </c>
      <c r="B120" s="104">
        <f t="shared" si="3"/>
        <v>7</v>
      </c>
      <c r="C120" s="105">
        <v>44354</v>
      </c>
      <c r="D120" s="104" t="s">
        <v>483</v>
      </c>
      <c r="E120" s="104" t="s">
        <v>471</v>
      </c>
      <c r="F120" s="106">
        <v>128.05000000000001</v>
      </c>
      <c r="G120" s="104" t="s">
        <v>37</v>
      </c>
      <c r="H120" s="104"/>
      <c r="L120" s="107"/>
    </row>
    <row r="121" spans="1:12" x14ac:dyDescent="0.2">
      <c r="A121" s="104">
        <f t="shared" si="2"/>
        <v>6</v>
      </c>
      <c r="B121" s="104">
        <f t="shared" si="3"/>
        <v>8</v>
      </c>
      <c r="C121" s="105">
        <v>44355</v>
      </c>
      <c r="D121" s="104" t="s">
        <v>482</v>
      </c>
      <c r="E121" s="104" t="s">
        <v>472</v>
      </c>
      <c r="F121" s="106">
        <v>-12.17</v>
      </c>
      <c r="G121" s="104" t="s">
        <v>526</v>
      </c>
      <c r="H121" s="104"/>
      <c r="K121" s="107"/>
    </row>
    <row r="122" spans="1:12" x14ac:dyDescent="0.2">
      <c r="A122" s="104">
        <f t="shared" si="2"/>
        <v>6</v>
      </c>
      <c r="B122" s="104">
        <f t="shared" si="3"/>
        <v>8</v>
      </c>
      <c r="C122" s="105">
        <v>44355</v>
      </c>
      <c r="D122" s="104" t="s">
        <v>489</v>
      </c>
      <c r="E122" s="104" t="s">
        <v>473</v>
      </c>
      <c r="F122" s="106">
        <v>415.42</v>
      </c>
      <c r="G122" s="104" t="s">
        <v>492</v>
      </c>
      <c r="H122" s="104"/>
    </row>
    <row r="123" spans="1:12" x14ac:dyDescent="0.2">
      <c r="A123" s="104">
        <f t="shared" si="2"/>
        <v>6</v>
      </c>
      <c r="B123" s="104">
        <f t="shared" si="3"/>
        <v>9</v>
      </c>
      <c r="C123" s="105">
        <v>44356</v>
      </c>
      <c r="D123" s="104" t="s">
        <v>484</v>
      </c>
      <c r="E123" s="104" t="s">
        <v>474</v>
      </c>
      <c r="F123" s="106">
        <v>1158.2</v>
      </c>
      <c r="G123" s="104" t="s">
        <v>502</v>
      </c>
      <c r="H123" s="104"/>
    </row>
    <row r="124" spans="1:12" x14ac:dyDescent="0.2">
      <c r="A124" s="104">
        <f t="shared" si="2"/>
        <v>6</v>
      </c>
      <c r="B124" s="104">
        <f t="shared" si="3"/>
        <v>11</v>
      </c>
      <c r="C124" s="105">
        <v>44358</v>
      </c>
      <c r="D124" s="104" t="s">
        <v>481</v>
      </c>
      <c r="E124" s="104" t="s">
        <v>475</v>
      </c>
      <c r="F124" s="106">
        <v>-78.75</v>
      </c>
      <c r="G124" s="104" t="s">
        <v>514</v>
      </c>
      <c r="H124" s="104"/>
    </row>
    <row r="125" spans="1:12" x14ac:dyDescent="0.2">
      <c r="A125" s="104">
        <f t="shared" si="2"/>
        <v>6</v>
      </c>
      <c r="B125" s="104">
        <f t="shared" si="3"/>
        <v>14</v>
      </c>
      <c r="C125" s="105">
        <v>44361</v>
      </c>
      <c r="D125" s="104" t="s">
        <v>485</v>
      </c>
      <c r="E125" s="104" t="s">
        <v>476</v>
      </c>
      <c r="F125" s="106">
        <v>-200</v>
      </c>
      <c r="G125" s="104" t="s">
        <v>516</v>
      </c>
      <c r="H125" s="104"/>
      <c r="L125" s="107"/>
    </row>
    <row r="126" spans="1:12" x14ac:dyDescent="0.2">
      <c r="A126" s="104">
        <f t="shared" si="2"/>
        <v>6</v>
      </c>
      <c r="B126" s="104">
        <f t="shared" si="3"/>
        <v>16</v>
      </c>
      <c r="C126" s="105">
        <v>44363</v>
      </c>
      <c r="D126" s="104" t="s">
        <v>499</v>
      </c>
      <c r="E126" s="104" t="s">
        <v>477</v>
      </c>
      <c r="F126" s="106">
        <v>-33.61</v>
      </c>
      <c r="G126" s="104" t="s">
        <v>504</v>
      </c>
      <c r="H126" s="104"/>
    </row>
    <row r="127" spans="1:12" x14ac:dyDescent="0.2">
      <c r="A127" s="104">
        <f t="shared" si="2"/>
        <v>6</v>
      </c>
      <c r="B127" s="104">
        <f t="shared" si="3"/>
        <v>17</v>
      </c>
      <c r="C127" s="105">
        <v>44364</v>
      </c>
      <c r="D127" s="104" t="s">
        <v>500</v>
      </c>
      <c r="E127" s="104" t="s">
        <v>478</v>
      </c>
      <c r="F127" s="106">
        <v>4436.57</v>
      </c>
      <c r="G127" s="104" t="s">
        <v>500</v>
      </c>
      <c r="H127" s="104"/>
    </row>
    <row r="128" spans="1:12" x14ac:dyDescent="0.2">
      <c r="A128" s="104">
        <f t="shared" ref="A128:A147" si="4">MONTH(C128)</f>
        <v>6</v>
      </c>
      <c r="B128" s="104">
        <f t="shared" ref="B128:B147" si="5">DAY(C128)</f>
        <v>18</v>
      </c>
      <c r="C128" s="105">
        <v>44365</v>
      </c>
      <c r="D128" s="104" t="str">
        <f>LEFT(E128, FIND(" ",E128)-1)</f>
        <v>PRINCIPAL</v>
      </c>
      <c r="E128" s="104" t="s">
        <v>606</v>
      </c>
      <c r="F128" s="106">
        <v>3967.1</v>
      </c>
      <c r="G128" s="118" t="s">
        <v>626</v>
      </c>
      <c r="H128" s="104"/>
    </row>
    <row r="129" spans="1:8" x14ac:dyDescent="0.2">
      <c r="A129" s="104">
        <f t="shared" si="4"/>
        <v>6</v>
      </c>
      <c r="B129" s="104">
        <f t="shared" si="5"/>
        <v>18</v>
      </c>
      <c r="C129" s="105">
        <v>44365</v>
      </c>
      <c r="D129" s="104" t="str">
        <f t="shared" ref="D129:D192" si="6">LEFT(E129, FIND(" ",E129)-1)</f>
        <v>Elephant</v>
      </c>
      <c r="E129" s="104" t="s">
        <v>607</v>
      </c>
      <c r="F129" s="106">
        <v>680.02</v>
      </c>
      <c r="G129" s="118" t="s">
        <v>10</v>
      </c>
      <c r="H129" s="104"/>
    </row>
    <row r="130" spans="1:8" x14ac:dyDescent="0.2">
      <c r="A130" s="104">
        <f t="shared" si="4"/>
        <v>6</v>
      </c>
      <c r="B130" s="104">
        <f t="shared" si="5"/>
        <v>21</v>
      </c>
      <c r="C130" s="105">
        <v>44368</v>
      </c>
      <c r="D130" s="104" t="str">
        <f t="shared" si="6"/>
        <v>VENMO</v>
      </c>
      <c r="E130" s="104" t="s">
        <v>608</v>
      </c>
      <c r="F130" s="106">
        <v>-2738.5</v>
      </c>
      <c r="G130" s="118" t="s">
        <v>627</v>
      </c>
      <c r="H130" s="104"/>
    </row>
    <row r="131" spans="1:8" x14ac:dyDescent="0.2">
      <c r="A131" s="104">
        <f t="shared" si="4"/>
        <v>6</v>
      </c>
      <c r="B131" s="104">
        <f t="shared" si="5"/>
        <v>21</v>
      </c>
      <c r="C131" s="105">
        <v>44368</v>
      </c>
      <c r="D131" s="104" t="str">
        <f t="shared" si="6"/>
        <v>VENMO</v>
      </c>
      <c r="E131" s="104" t="s">
        <v>609</v>
      </c>
      <c r="F131" s="106">
        <v>-615</v>
      </c>
      <c r="G131" s="118" t="s">
        <v>628</v>
      </c>
      <c r="H131" s="104"/>
    </row>
    <row r="132" spans="1:8" x14ac:dyDescent="0.2">
      <c r="A132" s="104">
        <f t="shared" si="4"/>
        <v>6</v>
      </c>
      <c r="B132" s="104">
        <f t="shared" si="5"/>
        <v>23</v>
      </c>
      <c r="C132" s="105">
        <v>44370</v>
      </c>
      <c r="D132" s="104" t="str">
        <f t="shared" si="6"/>
        <v>DISCOVER</v>
      </c>
      <c r="E132" s="104" t="s">
        <v>610</v>
      </c>
      <c r="F132" s="106">
        <v>-1869</v>
      </c>
      <c r="G132" s="118" t="s">
        <v>486</v>
      </c>
      <c r="H132" s="104"/>
    </row>
    <row r="133" spans="1:8" x14ac:dyDescent="0.2">
      <c r="A133" s="104">
        <f t="shared" si="4"/>
        <v>6</v>
      </c>
      <c r="B133" s="104">
        <f t="shared" si="5"/>
        <v>23</v>
      </c>
      <c r="C133" s="105">
        <v>44370</v>
      </c>
      <c r="D133" s="104" t="str">
        <f t="shared" si="6"/>
        <v>PURCHASE</v>
      </c>
      <c r="E133" s="104" t="s">
        <v>611</v>
      </c>
      <c r="F133" s="106">
        <v>-20</v>
      </c>
      <c r="G133" s="118" t="s">
        <v>602</v>
      </c>
      <c r="H133" s="104"/>
    </row>
    <row r="134" spans="1:8" x14ac:dyDescent="0.2">
      <c r="A134" s="104">
        <f t="shared" si="4"/>
        <v>6</v>
      </c>
      <c r="B134" s="104">
        <f t="shared" si="5"/>
        <v>23</v>
      </c>
      <c r="C134" s="105">
        <v>44370</v>
      </c>
      <c r="D134" s="104" t="str">
        <f t="shared" si="6"/>
        <v>PRINCIPAL</v>
      </c>
      <c r="E134" s="104" t="s">
        <v>612</v>
      </c>
      <c r="F134" s="106">
        <v>198.46</v>
      </c>
      <c r="G134" s="118" t="s">
        <v>626</v>
      </c>
      <c r="H134" s="104"/>
    </row>
    <row r="135" spans="1:8" x14ac:dyDescent="0.2">
      <c r="A135" s="104">
        <f t="shared" si="4"/>
        <v>6</v>
      </c>
      <c r="B135" s="104">
        <f t="shared" si="5"/>
        <v>25</v>
      </c>
      <c r="C135" s="105">
        <v>44372</v>
      </c>
      <c r="D135" s="104" t="str">
        <f t="shared" si="6"/>
        <v>PURCHASE</v>
      </c>
      <c r="E135" s="104" t="s">
        <v>613</v>
      </c>
      <c r="F135" s="106">
        <v>-58.57</v>
      </c>
      <c r="G135" s="118" t="s">
        <v>629</v>
      </c>
      <c r="H135" s="104"/>
    </row>
    <row r="136" spans="1:8" x14ac:dyDescent="0.2">
      <c r="A136" s="104">
        <f t="shared" si="4"/>
        <v>6</v>
      </c>
      <c r="B136" s="104">
        <f t="shared" si="5"/>
        <v>30</v>
      </c>
      <c r="C136" s="105">
        <v>44377</v>
      </c>
      <c r="D136" s="104" t="str">
        <f t="shared" si="6"/>
        <v>New</v>
      </c>
      <c r="E136" s="104" t="s">
        <v>614</v>
      </c>
      <c r="F136" s="106">
        <v>-1804.34</v>
      </c>
      <c r="G136" s="176" t="s">
        <v>513</v>
      </c>
      <c r="H136" s="104"/>
    </row>
    <row r="137" spans="1:8" x14ac:dyDescent="0.2">
      <c r="A137" s="104">
        <f t="shared" si="4"/>
        <v>7</v>
      </c>
      <c r="B137" s="104">
        <f t="shared" si="5"/>
        <v>1</v>
      </c>
      <c r="C137" s="105">
        <v>44378</v>
      </c>
      <c r="D137" s="104" t="str">
        <f t="shared" si="6"/>
        <v>DISCOVER</v>
      </c>
      <c r="E137" s="104" t="s">
        <v>615</v>
      </c>
      <c r="F137" s="106">
        <v>-871.96</v>
      </c>
      <c r="G137" s="118" t="s">
        <v>486</v>
      </c>
      <c r="H137" s="104"/>
    </row>
    <row r="138" spans="1:8" x14ac:dyDescent="0.2">
      <c r="A138" s="104">
        <f t="shared" si="4"/>
        <v>7</v>
      </c>
      <c r="B138" s="104">
        <f t="shared" si="5"/>
        <v>1</v>
      </c>
      <c r="C138" s="105">
        <v>44378</v>
      </c>
      <c r="D138" s="104" t="str">
        <f t="shared" si="6"/>
        <v>Nationwide</v>
      </c>
      <c r="E138" s="104" t="s">
        <v>616</v>
      </c>
      <c r="F138" s="106">
        <v>1583.62</v>
      </c>
      <c r="G138" s="118" t="s">
        <v>500</v>
      </c>
      <c r="H138" s="104"/>
    </row>
    <row r="139" spans="1:8" x14ac:dyDescent="0.2">
      <c r="A139" s="104">
        <f t="shared" si="4"/>
        <v>7</v>
      </c>
      <c r="B139" s="104">
        <f t="shared" si="5"/>
        <v>6</v>
      </c>
      <c r="C139" s="105">
        <v>44383</v>
      </c>
      <c r="D139" s="104" t="str">
        <f t="shared" si="6"/>
        <v>DISCOVER</v>
      </c>
      <c r="E139" s="104" t="s">
        <v>617</v>
      </c>
      <c r="F139" s="106">
        <v>-367.73</v>
      </c>
      <c r="G139" s="118" t="s">
        <v>486</v>
      </c>
      <c r="H139" s="104"/>
    </row>
    <row r="140" spans="1:8" x14ac:dyDescent="0.2">
      <c r="A140" s="104">
        <f t="shared" si="4"/>
        <v>7</v>
      </c>
      <c r="B140" s="104">
        <f t="shared" si="5"/>
        <v>6</v>
      </c>
      <c r="C140" s="105">
        <v>44383</v>
      </c>
      <c r="D140" s="104" t="str">
        <f t="shared" si="6"/>
        <v>VENMO</v>
      </c>
      <c r="E140" s="104" t="s">
        <v>618</v>
      </c>
      <c r="F140" s="106">
        <v>-32</v>
      </c>
      <c r="G140" s="118" t="s">
        <v>604</v>
      </c>
      <c r="H140" s="104"/>
    </row>
    <row r="141" spans="1:8" x14ac:dyDescent="0.2">
      <c r="A141" s="104">
        <f t="shared" si="4"/>
        <v>7</v>
      </c>
      <c r="B141" s="104">
        <f t="shared" si="5"/>
        <v>6</v>
      </c>
      <c r="C141" s="105">
        <v>44383</v>
      </c>
      <c r="D141" s="104" t="str">
        <f t="shared" si="6"/>
        <v>DISCOVER</v>
      </c>
      <c r="E141" s="104" t="s">
        <v>619</v>
      </c>
      <c r="F141" s="106">
        <v>-1854.26</v>
      </c>
      <c r="G141" s="118" t="s">
        <v>486</v>
      </c>
      <c r="H141" s="104"/>
    </row>
    <row r="142" spans="1:8" x14ac:dyDescent="0.2">
      <c r="A142" s="104">
        <f t="shared" si="4"/>
        <v>7</v>
      </c>
      <c r="B142" s="104">
        <f t="shared" si="5"/>
        <v>6</v>
      </c>
      <c r="C142" s="105">
        <v>44383</v>
      </c>
      <c r="D142" s="104" t="str">
        <f t="shared" si="6"/>
        <v>PURCHASE</v>
      </c>
      <c r="E142" s="104" t="s">
        <v>620</v>
      </c>
      <c r="F142" s="106">
        <v>-35.700000000000003</v>
      </c>
      <c r="G142" s="118" t="s">
        <v>604</v>
      </c>
      <c r="H142" s="104"/>
    </row>
    <row r="143" spans="1:8" x14ac:dyDescent="0.2">
      <c r="A143" s="104">
        <f t="shared" si="4"/>
        <v>7</v>
      </c>
      <c r="B143" s="104">
        <f t="shared" si="5"/>
        <v>6</v>
      </c>
      <c r="C143" s="105">
        <v>44383</v>
      </c>
      <c r="D143" s="104" t="str">
        <f t="shared" si="6"/>
        <v>PURCHASE</v>
      </c>
      <c r="E143" s="104" t="s">
        <v>621</v>
      </c>
      <c r="F143" s="106">
        <v>-26.66</v>
      </c>
      <c r="G143" s="118" t="s">
        <v>604</v>
      </c>
      <c r="H143" s="104"/>
    </row>
    <row r="144" spans="1:8" x14ac:dyDescent="0.2">
      <c r="A144" s="104">
        <f t="shared" si="4"/>
        <v>7</v>
      </c>
      <c r="B144" s="104">
        <f t="shared" si="5"/>
        <v>6</v>
      </c>
      <c r="C144" s="105">
        <v>44383</v>
      </c>
      <c r="D144" s="104" t="str">
        <f t="shared" si="6"/>
        <v>PURCHASE</v>
      </c>
      <c r="E144" s="104" t="s">
        <v>622</v>
      </c>
      <c r="F144" s="106">
        <v>-222.5</v>
      </c>
      <c r="G144" s="118" t="s">
        <v>604</v>
      </c>
      <c r="H144" s="104"/>
    </row>
    <row r="145" spans="1:8" x14ac:dyDescent="0.2">
      <c r="A145" s="104">
        <f t="shared" si="4"/>
        <v>7</v>
      </c>
      <c r="B145" s="104">
        <f t="shared" si="5"/>
        <v>6</v>
      </c>
      <c r="C145" s="105">
        <v>44383</v>
      </c>
      <c r="D145" s="104" t="str">
        <f t="shared" si="6"/>
        <v>VENMO</v>
      </c>
      <c r="E145" s="104" t="s">
        <v>623</v>
      </c>
      <c r="F145" s="106">
        <v>1076.8800000000001</v>
      </c>
      <c r="G145" s="190" t="s">
        <v>71</v>
      </c>
      <c r="H145" s="104"/>
    </row>
    <row r="146" spans="1:8" x14ac:dyDescent="0.2">
      <c r="A146" s="104">
        <f t="shared" si="4"/>
        <v>7</v>
      </c>
      <c r="B146" s="104">
        <f t="shared" si="5"/>
        <v>7</v>
      </c>
      <c r="C146" s="105">
        <v>44384</v>
      </c>
      <c r="D146" s="104" t="str">
        <f t="shared" si="6"/>
        <v>BEST</v>
      </c>
      <c r="E146" s="104" t="s">
        <v>624</v>
      </c>
      <c r="F146" s="106">
        <v>-95.38</v>
      </c>
      <c r="G146" s="118" t="s">
        <v>486</v>
      </c>
      <c r="H146" s="104"/>
    </row>
    <row r="147" spans="1:8" x14ac:dyDescent="0.2">
      <c r="A147" s="104">
        <f t="shared" si="4"/>
        <v>7</v>
      </c>
      <c r="B147" s="104">
        <f t="shared" si="5"/>
        <v>7</v>
      </c>
      <c r="C147" s="105">
        <v>44384</v>
      </c>
      <c r="D147" s="104" t="str">
        <f t="shared" si="6"/>
        <v>PURCHASE</v>
      </c>
      <c r="E147" s="104" t="s">
        <v>625</v>
      </c>
      <c r="F147" s="106">
        <v>-30</v>
      </c>
      <c r="G147" s="118" t="s">
        <v>629</v>
      </c>
      <c r="H147" s="104"/>
    </row>
    <row r="148" spans="1:8" x14ac:dyDescent="0.2">
      <c r="A148" s="104">
        <f t="shared" ref="A148:A163" si="7">MONTH(C148)</f>
        <v>7</v>
      </c>
      <c r="B148" s="104">
        <f t="shared" ref="B148:B163" si="8">DAY(C148)</f>
        <v>12</v>
      </c>
      <c r="C148" s="105">
        <v>44389</v>
      </c>
      <c r="D148" s="104" t="str">
        <f t="shared" si="6"/>
        <v>PURCHASE</v>
      </c>
      <c r="E148" s="104" t="s">
        <v>752</v>
      </c>
      <c r="F148" s="106">
        <v>-143.24</v>
      </c>
      <c r="G148" s="190" t="s">
        <v>602</v>
      </c>
      <c r="H148" s="104"/>
    </row>
    <row r="149" spans="1:8" x14ac:dyDescent="0.2">
      <c r="A149" s="104">
        <f t="shared" si="7"/>
        <v>7</v>
      </c>
      <c r="B149" s="104">
        <f t="shared" si="8"/>
        <v>13</v>
      </c>
      <c r="C149" s="105">
        <v>44390</v>
      </c>
      <c r="D149" s="104" t="str">
        <f t="shared" si="6"/>
        <v>PURCHASE</v>
      </c>
      <c r="E149" s="104" t="s">
        <v>753</v>
      </c>
      <c r="F149" s="106">
        <v>-411.99</v>
      </c>
      <c r="G149" s="190" t="s">
        <v>768</v>
      </c>
      <c r="H149" s="104"/>
    </row>
    <row r="150" spans="1:8" x14ac:dyDescent="0.2">
      <c r="A150" s="104">
        <f t="shared" si="7"/>
        <v>7</v>
      </c>
      <c r="B150" s="104">
        <f t="shared" si="8"/>
        <v>13</v>
      </c>
      <c r="C150" s="105">
        <v>44390</v>
      </c>
      <c r="D150" s="104" t="str">
        <f t="shared" si="6"/>
        <v>VENMO</v>
      </c>
      <c r="E150" s="104" t="s">
        <v>754</v>
      </c>
      <c r="F150" s="106">
        <v>156.77000000000001</v>
      </c>
      <c r="G150" s="190" t="s">
        <v>71</v>
      </c>
      <c r="H150" s="104"/>
    </row>
    <row r="151" spans="1:8" x14ac:dyDescent="0.2">
      <c r="A151" s="104">
        <f t="shared" si="7"/>
        <v>7</v>
      </c>
      <c r="B151" s="104">
        <f t="shared" si="8"/>
        <v>14</v>
      </c>
      <c r="C151" s="105">
        <v>44391</v>
      </c>
      <c r="D151" s="104" t="str">
        <f t="shared" si="6"/>
        <v>VENMO</v>
      </c>
      <c r="E151" s="104" t="s">
        <v>755</v>
      </c>
      <c r="F151" s="106">
        <v>-500</v>
      </c>
      <c r="G151" s="190" t="s">
        <v>769</v>
      </c>
      <c r="H151" s="104"/>
    </row>
    <row r="152" spans="1:8" x14ac:dyDescent="0.2">
      <c r="A152" s="104">
        <f t="shared" si="7"/>
        <v>7</v>
      </c>
      <c r="B152" s="104">
        <f t="shared" si="8"/>
        <v>15</v>
      </c>
      <c r="C152" s="105">
        <v>44392</v>
      </c>
      <c r="D152" s="104" t="str">
        <f t="shared" si="6"/>
        <v>VENMO</v>
      </c>
      <c r="E152" s="104" t="s">
        <v>756</v>
      </c>
      <c r="F152" s="106">
        <v>-400</v>
      </c>
      <c r="G152" s="190" t="s">
        <v>770</v>
      </c>
      <c r="H152" s="104"/>
    </row>
    <row r="153" spans="1:8" x14ac:dyDescent="0.2">
      <c r="A153" s="104">
        <f t="shared" si="7"/>
        <v>7</v>
      </c>
      <c r="B153" s="104">
        <f t="shared" si="8"/>
        <v>15</v>
      </c>
      <c r="C153" s="105">
        <v>44392</v>
      </c>
      <c r="D153" s="104" t="str">
        <f t="shared" si="6"/>
        <v>Nationwide</v>
      </c>
      <c r="E153" s="104" t="s">
        <v>757</v>
      </c>
      <c r="F153" s="106">
        <v>1583.61</v>
      </c>
      <c r="G153" s="190" t="s">
        <v>500</v>
      </c>
      <c r="H153" s="104"/>
    </row>
    <row r="154" spans="1:8" x14ac:dyDescent="0.2">
      <c r="A154" s="104">
        <f t="shared" si="7"/>
        <v>7</v>
      </c>
      <c r="B154" s="104">
        <f t="shared" si="8"/>
        <v>16</v>
      </c>
      <c r="C154" s="105">
        <v>44393</v>
      </c>
      <c r="D154" s="104" t="str">
        <f t="shared" si="6"/>
        <v>DISCOVER</v>
      </c>
      <c r="E154" s="104" t="s">
        <v>758</v>
      </c>
      <c r="F154" s="106">
        <v>-1000</v>
      </c>
      <c r="G154" s="190" t="s">
        <v>486</v>
      </c>
      <c r="H154" s="104"/>
    </row>
    <row r="155" spans="1:8" x14ac:dyDescent="0.2">
      <c r="A155" s="104">
        <f t="shared" si="7"/>
        <v>7</v>
      </c>
      <c r="B155" s="104">
        <f t="shared" si="8"/>
        <v>16</v>
      </c>
      <c r="C155" s="105">
        <v>44393</v>
      </c>
      <c r="D155" s="104" t="str">
        <f t="shared" si="6"/>
        <v>PURCHASE</v>
      </c>
      <c r="E155" s="104" t="s">
        <v>759</v>
      </c>
      <c r="F155" s="106">
        <v>-200</v>
      </c>
      <c r="G155" s="190" t="s">
        <v>37</v>
      </c>
      <c r="H155" s="104"/>
    </row>
    <row r="156" spans="1:8" x14ac:dyDescent="0.2">
      <c r="A156" s="104">
        <f t="shared" si="7"/>
        <v>7</v>
      </c>
      <c r="B156" s="104">
        <f t="shared" si="8"/>
        <v>16</v>
      </c>
      <c r="C156" s="105">
        <v>44393</v>
      </c>
      <c r="D156" s="104" t="str">
        <f t="shared" si="6"/>
        <v>VENMO</v>
      </c>
      <c r="E156" s="104" t="s">
        <v>760</v>
      </c>
      <c r="F156" s="106">
        <v>500</v>
      </c>
      <c r="G156" s="190" t="s">
        <v>771</v>
      </c>
      <c r="H156" s="104"/>
    </row>
    <row r="157" spans="1:8" x14ac:dyDescent="0.2">
      <c r="A157" s="104">
        <f t="shared" si="7"/>
        <v>7</v>
      </c>
      <c r="B157" s="104">
        <f t="shared" si="8"/>
        <v>16</v>
      </c>
      <c r="C157" s="105">
        <v>44393</v>
      </c>
      <c r="D157" s="104" t="str">
        <f t="shared" si="6"/>
        <v>VENMO</v>
      </c>
      <c r="E157" s="104" t="s">
        <v>761</v>
      </c>
      <c r="F157" s="106">
        <v>400</v>
      </c>
      <c r="G157" s="190" t="s">
        <v>770</v>
      </c>
      <c r="H157" s="104"/>
    </row>
    <row r="158" spans="1:8" x14ac:dyDescent="0.2">
      <c r="A158" s="104">
        <f t="shared" si="7"/>
        <v>7</v>
      </c>
      <c r="B158" s="104">
        <f t="shared" si="8"/>
        <v>19</v>
      </c>
      <c r="C158" s="105">
        <v>44396</v>
      </c>
      <c r="D158" s="104" t="str">
        <f t="shared" si="6"/>
        <v>DOMINION</v>
      </c>
      <c r="E158" s="104" t="s">
        <v>762</v>
      </c>
      <c r="F158" s="106">
        <v>-120.94</v>
      </c>
      <c r="G158" s="190" t="s">
        <v>504</v>
      </c>
      <c r="H158" s="104"/>
    </row>
    <row r="159" spans="1:8" x14ac:dyDescent="0.2">
      <c r="A159" s="104">
        <f t="shared" si="7"/>
        <v>7</v>
      </c>
      <c r="B159" s="104">
        <f t="shared" si="8"/>
        <v>21</v>
      </c>
      <c r="C159" s="105">
        <v>44398</v>
      </c>
      <c r="D159" s="104" t="str">
        <f t="shared" si="6"/>
        <v>GasBuddy</v>
      </c>
      <c r="E159" s="104" t="s">
        <v>763</v>
      </c>
      <c r="F159" s="106">
        <v>-29.73</v>
      </c>
      <c r="G159" s="190" t="s">
        <v>503</v>
      </c>
      <c r="H159" s="104"/>
    </row>
    <row r="160" spans="1:8" x14ac:dyDescent="0.2">
      <c r="A160" s="104">
        <f t="shared" si="7"/>
        <v>7</v>
      </c>
      <c r="B160" s="104">
        <f t="shared" si="8"/>
        <v>21</v>
      </c>
      <c r="C160" s="105">
        <v>44398</v>
      </c>
      <c r="D160" s="104" t="str">
        <f t="shared" si="6"/>
        <v>VENMO</v>
      </c>
      <c r="E160" s="104" t="s">
        <v>764</v>
      </c>
      <c r="F160" s="106">
        <v>937.5</v>
      </c>
      <c r="G160" s="190" t="s">
        <v>71</v>
      </c>
      <c r="H160" s="104"/>
    </row>
    <row r="161" spans="1:8" x14ac:dyDescent="0.2">
      <c r="A161" s="104">
        <f t="shared" si="7"/>
        <v>7</v>
      </c>
      <c r="B161" s="104">
        <f t="shared" si="8"/>
        <v>22</v>
      </c>
      <c r="C161" s="105">
        <v>44399</v>
      </c>
      <c r="D161" s="104" t="str">
        <f t="shared" si="6"/>
        <v>DISCOVER</v>
      </c>
      <c r="E161" s="104" t="s">
        <v>765</v>
      </c>
      <c r="F161" s="106">
        <v>-1518.65</v>
      </c>
      <c r="G161" s="190" t="s">
        <v>486</v>
      </c>
      <c r="H161" s="104"/>
    </row>
    <row r="162" spans="1:8" x14ac:dyDescent="0.2">
      <c r="A162" s="104">
        <f t="shared" si="7"/>
        <v>7</v>
      </c>
      <c r="B162" s="104">
        <f t="shared" si="8"/>
        <v>22</v>
      </c>
      <c r="C162" s="105">
        <v>44399</v>
      </c>
      <c r="D162" s="104" t="str">
        <f t="shared" si="6"/>
        <v>New</v>
      </c>
      <c r="E162" s="104" t="s">
        <v>766</v>
      </c>
      <c r="F162" s="106">
        <v>-1825</v>
      </c>
      <c r="G162" s="176" t="s">
        <v>513</v>
      </c>
      <c r="H162" s="104"/>
    </row>
    <row r="163" spans="1:8" x14ac:dyDescent="0.2">
      <c r="A163" s="104">
        <f t="shared" si="7"/>
        <v>7</v>
      </c>
      <c r="B163" s="104">
        <f t="shared" si="8"/>
        <v>22</v>
      </c>
      <c r="C163" s="105">
        <v>44399</v>
      </c>
      <c r="D163" s="104" t="str">
        <f t="shared" si="6"/>
        <v>HEALTHEQUITY</v>
      </c>
      <c r="E163" s="104" t="s">
        <v>767</v>
      </c>
      <c r="F163" s="106">
        <v>200</v>
      </c>
      <c r="G163" s="190" t="s">
        <v>492</v>
      </c>
      <c r="H163" s="104"/>
    </row>
    <row r="164" spans="1:8" x14ac:dyDescent="0.2">
      <c r="A164" s="104">
        <f t="shared" ref="A164:A174" si="9">MONTH(C164)</f>
        <v>7</v>
      </c>
      <c r="B164" s="104">
        <f t="shared" ref="B164:B174" si="10">DAY(C164)</f>
        <v>27</v>
      </c>
      <c r="C164" s="105">
        <v>44404</v>
      </c>
      <c r="D164" s="104" t="str">
        <f t="shared" si="6"/>
        <v>NW</v>
      </c>
      <c r="E164" s="104" t="s">
        <v>854</v>
      </c>
      <c r="F164" s="106">
        <v>30</v>
      </c>
      <c r="G164" s="204" t="s">
        <v>865</v>
      </c>
      <c r="H164" s="104"/>
    </row>
    <row r="165" spans="1:8" x14ac:dyDescent="0.2">
      <c r="A165" s="104">
        <f t="shared" si="9"/>
        <v>7</v>
      </c>
      <c r="B165" s="104">
        <f t="shared" si="10"/>
        <v>28</v>
      </c>
      <c r="C165" s="105">
        <v>44405</v>
      </c>
      <c r="D165" s="104" t="str">
        <f t="shared" si="6"/>
        <v>VENMO</v>
      </c>
      <c r="E165" s="104" t="s">
        <v>855</v>
      </c>
      <c r="F165" s="106">
        <v>162.02000000000001</v>
      </c>
      <c r="G165" s="204" t="s">
        <v>535</v>
      </c>
      <c r="H165" s="104"/>
    </row>
    <row r="166" spans="1:8" x14ac:dyDescent="0.2">
      <c r="A166" s="104">
        <f t="shared" si="9"/>
        <v>7</v>
      </c>
      <c r="B166" s="104">
        <f t="shared" si="10"/>
        <v>29</v>
      </c>
      <c r="C166" s="105">
        <v>44406</v>
      </c>
      <c r="D166" s="104" t="str">
        <f t="shared" si="6"/>
        <v>Nationwide</v>
      </c>
      <c r="E166" s="104" t="s">
        <v>856</v>
      </c>
      <c r="F166" s="106">
        <v>1733.66</v>
      </c>
      <c r="G166" s="204" t="s">
        <v>500</v>
      </c>
      <c r="H166" s="104"/>
    </row>
    <row r="167" spans="1:8" x14ac:dyDescent="0.2">
      <c r="A167" s="104">
        <f t="shared" si="9"/>
        <v>8</v>
      </c>
      <c r="B167" s="104">
        <f t="shared" si="10"/>
        <v>4</v>
      </c>
      <c r="C167" s="105">
        <v>44412</v>
      </c>
      <c r="D167" s="104" t="str">
        <f t="shared" si="6"/>
        <v>DISCOVER</v>
      </c>
      <c r="E167" s="104" t="s">
        <v>857</v>
      </c>
      <c r="F167" s="106">
        <v>-1173.17</v>
      </c>
      <c r="G167" s="204" t="s">
        <v>486</v>
      </c>
      <c r="H167" s="104"/>
    </row>
    <row r="168" spans="1:8" x14ac:dyDescent="0.2">
      <c r="A168" s="104">
        <f t="shared" si="9"/>
        <v>8</v>
      </c>
      <c r="B168" s="104">
        <f t="shared" si="10"/>
        <v>5</v>
      </c>
      <c r="C168" s="105">
        <v>44413</v>
      </c>
      <c r="D168" s="104" t="str">
        <f t="shared" si="6"/>
        <v>PURCHASE</v>
      </c>
      <c r="E168" s="104" t="s">
        <v>858</v>
      </c>
      <c r="F168" s="106">
        <v>-230</v>
      </c>
      <c r="G168" s="204" t="s">
        <v>37</v>
      </c>
      <c r="H168" s="104"/>
    </row>
    <row r="169" spans="1:8" x14ac:dyDescent="0.2">
      <c r="A169" s="104">
        <f t="shared" si="9"/>
        <v>8</v>
      </c>
      <c r="B169" s="104">
        <f t="shared" si="10"/>
        <v>9</v>
      </c>
      <c r="C169" s="105">
        <v>44417</v>
      </c>
      <c r="D169" s="104" t="str">
        <f t="shared" si="6"/>
        <v>PURCHASE</v>
      </c>
      <c r="E169" s="104" t="s">
        <v>859</v>
      </c>
      <c r="F169" s="106">
        <v>-40</v>
      </c>
      <c r="G169" s="204" t="s">
        <v>509</v>
      </c>
      <c r="H169" s="104"/>
    </row>
    <row r="170" spans="1:8" x14ac:dyDescent="0.2">
      <c r="A170" s="104">
        <f t="shared" si="9"/>
        <v>8</v>
      </c>
      <c r="B170" s="104">
        <f t="shared" si="10"/>
        <v>11</v>
      </c>
      <c r="C170" s="105">
        <v>44419</v>
      </c>
      <c r="D170" s="104" t="str">
        <f t="shared" si="6"/>
        <v>PURCHASE</v>
      </c>
      <c r="E170" s="104" t="s">
        <v>860</v>
      </c>
      <c r="F170" s="106">
        <v>-20</v>
      </c>
      <c r="G170" s="204" t="s">
        <v>72</v>
      </c>
      <c r="H170" s="104"/>
    </row>
    <row r="171" spans="1:8" x14ac:dyDescent="0.2">
      <c r="A171" s="104">
        <f t="shared" si="9"/>
        <v>8</v>
      </c>
      <c r="B171" s="104">
        <f t="shared" si="10"/>
        <v>11</v>
      </c>
      <c r="C171" s="105">
        <v>44419</v>
      </c>
      <c r="D171" s="104" t="str">
        <f t="shared" si="6"/>
        <v>PURCHASE</v>
      </c>
      <c r="E171" s="104" t="s">
        <v>861</v>
      </c>
      <c r="F171" s="106">
        <v>-15</v>
      </c>
      <c r="G171" s="204" t="s">
        <v>866</v>
      </c>
      <c r="H171" s="104"/>
    </row>
    <row r="172" spans="1:8" x14ac:dyDescent="0.2">
      <c r="A172" s="104">
        <f t="shared" si="9"/>
        <v>8</v>
      </c>
      <c r="B172" s="104">
        <f t="shared" si="10"/>
        <v>12</v>
      </c>
      <c r="C172" s="105">
        <v>44420</v>
      </c>
      <c r="D172" s="104" t="str">
        <f t="shared" si="6"/>
        <v>Nationwide</v>
      </c>
      <c r="E172" s="104" t="s">
        <v>862</v>
      </c>
      <c r="F172" s="106">
        <v>2033.65</v>
      </c>
      <c r="G172" s="204" t="s">
        <v>500</v>
      </c>
      <c r="H172" s="104"/>
    </row>
    <row r="173" spans="1:8" x14ac:dyDescent="0.2">
      <c r="A173" s="104">
        <f t="shared" si="9"/>
        <v>8</v>
      </c>
      <c r="B173" s="104">
        <f t="shared" si="10"/>
        <v>16</v>
      </c>
      <c r="C173" s="105">
        <v>44424</v>
      </c>
      <c r="D173" s="104" t="str">
        <f t="shared" si="6"/>
        <v>PURCHASE</v>
      </c>
      <c r="E173" s="104" t="s">
        <v>863</v>
      </c>
      <c r="F173" s="106">
        <v>-200</v>
      </c>
      <c r="G173" s="204" t="s">
        <v>35</v>
      </c>
      <c r="H173" s="104"/>
    </row>
    <row r="174" spans="1:8" x14ac:dyDescent="0.2">
      <c r="A174" s="104">
        <f t="shared" si="9"/>
        <v>8</v>
      </c>
      <c r="B174" s="104">
        <f t="shared" si="10"/>
        <v>16</v>
      </c>
      <c r="C174" s="105">
        <v>44424</v>
      </c>
      <c r="D174" s="104" t="str">
        <f t="shared" si="6"/>
        <v>PURCHASE</v>
      </c>
      <c r="E174" s="104" t="s">
        <v>864</v>
      </c>
      <c r="F174" s="106">
        <v>-70</v>
      </c>
      <c r="G174" s="208" t="s">
        <v>92</v>
      </c>
      <c r="H174" s="104"/>
    </row>
    <row r="175" spans="1:8" x14ac:dyDescent="0.2">
      <c r="A175" s="104">
        <f t="shared" ref="A175:A182" si="11">MONTH(C175)</f>
        <v>8</v>
      </c>
      <c r="B175" s="104">
        <f t="shared" ref="B175:B182" si="12">DAY(C175)</f>
        <v>20</v>
      </c>
      <c r="C175" s="105">
        <v>44428</v>
      </c>
      <c r="D175" s="104" t="str">
        <f t="shared" si="6"/>
        <v>DOMINION</v>
      </c>
      <c r="E175" s="104" t="s">
        <v>930</v>
      </c>
      <c r="F175" s="106">
        <v>-86.17</v>
      </c>
      <c r="G175" s="208" t="s">
        <v>504</v>
      </c>
    </row>
    <row r="176" spans="1:8" x14ac:dyDescent="0.2">
      <c r="A176" s="104">
        <f t="shared" si="11"/>
        <v>8</v>
      </c>
      <c r="B176" s="104">
        <f t="shared" si="12"/>
        <v>23</v>
      </c>
      <c r="C176" s="105">
        <v>44431</v>
      </c>
      <c r="D176" s="104" t="str">
        <f t="shared" si="6"/>
        <v>DISCOVER</v>
      </c>
      <c r="E176" s="104" t="s">
        <v>931</v>
      </c>
      <c r="F176" s="106">
        <v>-961.14</v>
      </c>
      <c r="G176" s="208" t="s">
        <v>486</v>
      </c>
    </row>
    <row r="177" spans="1:7" x14ac:dyDescent="0.2">
      <c r="A177" s="104">
        <f t="shared" si="11"/>
        <v>8</v>
      </c>
      <c r="B177" s="104">
        <f t="shared" si="12"/>
        <v>23</v>
      </c>
      <c r="C177" s="105">
        <v>44431</v>
      </c>
      <c r="D177" s="104" t="str">
        <f t="shared" si="6"/>
        <v>PURCHASE</v>
      </c>
      <c r="E177" s="104" t="s">
        <v>932</v>
      </c>
      <c r="F177" s="106">
        <v>-230</v>
      </c>
      <c r="G177" s="208" t="s">
        <v>37</v>
      </c>
    </row>
    <row r="178" spans="1:7" x14ac:dyDescent="0.2">
      <c r="A178" s="104">
        <f t="shared" si="11"/>
        <v>8</v>
      </c>
      <c r="B178" s="104">
        <f t="shared" si="12"/>
        <v>23</v>
      </c>
      <c r="C178" s="105">
        <v>44431</v>
      </c>
      <c r="D178" s="104" t="str">
        <f t="shared" si="6"/>
        <v>PURCHASE</v>
      </c>
      <c r="E178" s="104" t="s">
        <v>933</v>
      </c>
      <c r="F178" s="106">
        <v>-30</v>
      </c>
      <c r="G178" s="208" t="s">
        <v>938</v>
      </c>
    </row>
    <row r="179" spans="1:7" x14ac:dyDescent="0.2">
      <c r="A179" s="104">
        <f t="shared" si="11"/>
        <v>8</v>
      </c>
      <c r="B179" s="104">
        <f t="shared" si="12"/>
        <v>26</v>
      </c>
      <c r="C179" s="105">
        <v>44434</v>
      </c>
      <c r="D179" s="104" t="str">
        <f t="shared" si="6"/>
        <v>DISCOVER</v>
      </c>
      <c r="E179" s="104" t="s">
        <v>934</v>
      </c>
      <c r="F179" s="106">
        <v>-1040.93</v>
      </c>
      <c r="G179" s="208" t="s">
        <v>486</v>
      </c>
    </row>
    <row r="180" spans="1:7" x14ac:dyDescent="0.2">
      <c r="A180" s="104">
        <f t="shared" si="11"/>
        <v>8</v>
      </c>
      <c r="B180" s="104">
        <f t="shared" si="12"/>
        <v>26</v>
      </c>
      <c r="C180" s="105">
        <v>44434</v>
      </c>
      <c r="D180" s="104" t="str">
        <f t="shared" si="6"/>
        <v>Nationwide</v>
      </c>
      <c r="E180" s="104" t="s">
        <v>935</v>
      </c>
      <c r="F180" s="106">
        <v>2033.65</v>
      </c>
      <c r="G180" s="208" t="s">
        <v>500</v>
      </c>
    </row>
    <row r="181" spans="1:7" x14ac:dyDescent="0.2">
      <c r="A181" s="104">
        <f t="shared" si="11"/>
        <v>8</v>
      </c>
      <c r="B181" s="104">
        <f t="shared" si="12"/>
        <v>27</v>
      </c>
      <c r="C181" s="105">
        <v>44435</v>
      </c>
      <c r="D181" s="104" t="str">
        <f t="shared" si="6"/>
        <v>New</v>
      </c>
      <c r="E181" s="104" t="s">
        <v>936</v>
      </c>
      <c r="F181" s="106">
        <v>-348.05</v>
      </c>
      <c r="G181" s="208" t="s">
        <v>513</v>
      </c>
    </row>
    <row r="182" spans="1:7" x14ac:dyDescent="0.2">
      <c r="A182" s="104">
        <f t="shared" si="11"/>
        <v>9</v>
      </c>
      <c r="B182" s="104">
        <f t="shared" si="12"/>
        <v>1</v>
      </c>
      <c r="C182" s="105">
        <v>44440</v>
      </c>
      <c r="D182" s="104" t="str">
        <f t="shared" si="6"/>
        <v>PURCHASE</v>
      </c>
      <c r="E182" s="104" t="s">
        <v>937</v>
      </c>
      <c r="F182" s="106">
        <v>-200</v>
      </c>
      <c r="G182" s="208" t="s">
        <v>509</v>
      </c>
    </row>
    <row r="183" spans="1:7" x14ac:dyDescent="0.2">
      <c r="A183" s="104">
        <f t="shared" ref="A183:A215" si="13">MONTH(C183)</f>
        <v>9</v>
      </c>
      <c r="B183" s="104">
        <f t="shared" ref="B183:B215" si="14">DAY(C183)</f>
        <v>7</v>
      </c>
      <c r="C183" s="105">
        <v>44446</v>
      </c>
      <c r="D183" s="104" t="str">
        <f t="shared" si="6"/>
        <v>VENMO</v>
      </c>
      <c r="E183" s="104" t="s">
        <v>1022</v>
      </c>
      <c r="F183" s="106">
        <v>-92.68</v>
      </c>
      <c r="G183" s="217" t="s">
        <v>71</v>
      </c>
    </row>
    <row r="184" spans="1:7" x14ac:dyDescent="0.2">
      <c r="A184" s="104">
        <f t="shared" si="13"/>
        <v>9</v>
      </c>
      <c r="B184" s="104">
        <f t="shared" si="14"/>
        <v>7</v>
      </c>
      <c r="C184" s="105">
        <v>44446</v>
      </c>
      <c r="D184" s="104" t="str">
        <f t="shared" si="6"/>
        <v>VENMO</v>
      </c>
      <c r="E184" s="104" t="s">
        <v>1023</v>
      </c>
      <c r="F184" s="106">
        <v>-32.28</v>
      </c>
      <c r="G184" s="217" t="s">
        <v>71</v>
      </c>
    </row>
    <row r="185" spans="1:7" x14ac:dyDescent="0.2">
      <c r="A185" s="104">
        <f t="shared" si="13"/>
        <v>9</v>
      </c>
      <c r="B185" s="104">
        <f t="shared" si="14"/>
        <v>7</v>
      </c>
      <c r="C185" s="105">
        <v>44446</v>
      </c>
      <c r="D185" s="104" t="str">
        <f t="shared" si="6"/>
        <v>DISCOVER</v>
      </c>
      <c r="E185" s="104" t="s">
        <v>1024</v>
      </c>
      <c r="F185" s="106">
        <v>-1253.96</v>
      </c>
      <c r="G185" s="217" t="s">
        <v>486</v>
      </c>
    </row>
    <row r="186" spans="1:7" x14ac:dyDescent="0.2">
      <c r="A186" s="104">
        <f t="shared" si="13"/>
        <v>9</v>
      </c>
      <c r="B186" s="104">
        <f t="shared" si="14"/>
        <v>7</v>
      </c>
      <c r="C186" s="105">
        <v>44446</v>
      </c>
      <c r="D186" s="104" t="str">
        <f t="shared" si="6"/>
        <v>BEST</v>
      </c>
      <c r="E186" s="104" t="s">
        <v>1025</v>
      </c>
      <c r="F186" s="106">
        <v>-190.78</v>
      </c>
      <c r="G186" s="217" t="s">
        <v>1057</v>
      </c>
    </row>
    <row r="187" spans="1:7" x14ac:dyDescent="0.2">
      <c r="A187" s="104">
        <f t="shared" si="13"/>
        <v>9</v>
      </c>
      <c r="B187" s="104">
        <f t="shared" si="14"/>
        <v>7</v>
      </c>
      <c r="C187" s="105">
        <v>44446</v>
      </c>
      <c r="D187" s="104" t="str">
        <f t="shared" si="6"/>
        <v>VENMO</v>
      </c>
      <c r="E187" s="104" t="s">
        <v>1026</v>
      </c>
      <c r="F187" s="106">
        <v>-97.02</v>
      </c>
      <c r="G187" s="217" t="s">
        <v>71</v>
      </c>
    </row>
    <row r="188" spans="1:7" x14ac:dyDescent="0.2">
      <c r="A188" s="104">
        <f t="shared" si="13"/>
        <v>9</v>
      </c>
      <c r="B188" s="104">
        <f t="shared" si="14"/>
        <v>7</v>
      </c>
      <c r="C188" s="105">
        <v>44446</v>
      </c>
      <c r="D188" s="104" t="str">
        <f t="shared" si="6"/>
        <v>VENMO</v>
      </c>
      <c r="E188" s="104" t="s">
        <v>1027</v>
      </c>
      <c r="F188" s="106">
        <v>911.7</v>
      </c>
      <c r="G188" s="217" t="s">
        <v>71</v>
      </c>
    </row>
    <row r="189" spans="1:7" x14ac:dyDescent="0.2">
      <c r="A189" s="104">
        <f t="shared" si="13"/>
        <v>9</v>
      </c>
      <c r="B189" s="104">
        <f t="shared" si="14"/>
        <v>7</v>
      </c>
      <c r="C189" s="105">
        <v>44446</v>
      </c>
      <c r="D189" s="104" t="str">
        <f t="shared" si="6"/>
        <v>MONEY</v>
      </c>
      <c r="E189" s="104" t="s">
        <v>1028</v>
      </c>
      <c r="F189" s="106">
        <v>103.42</v>
      </c>
      <c r="G189" s="217" t="s">
        <v>1061</v>
      </c>
    </row>
    <row r="190" spans="1:7" x14ac:dyDescent="0.2">
      <c r="A190" s="104">
        <f t="shared" si="13"/>
        <v>9</v>
      </c>
      <c r="B190" s="104">
        <f t="shared" si="14"/>
        <v>8</v>
      </c>
      <c r="C190" s="105">
        <v>44447</v>
      </c>
      <c r="D190" s="104" t="str">
        <f t="shared" si="6"/>
        <v>Patientco</v>
      </c>
      <c r="E190" s="104" t="s">
        <v>1029</v>
      </c>
      <c r="F190" s="106">
        <v>-419.93</v>
      </c>
      <c r="G190" s="217" t="s">
        <v>1059</v>
      </c>
    </row>
    <row r="191" spans="1:7" x14ac:dyDescent="0.2">
      <c r="A191" s="104">
        <f t="shared" si="13"/>
        <v>9</v>
      </c>
      <c r="B191" s="104">
        <f t="shared" si="14"/>
        <v>9</v>
      </c>
      <c r="C191" s="105">
        <v>44448</v>
      </c>
      <c r="D191" s="104" t="str">
        <f t="shared" si="6"/>
        <v>PURCHASE</v>
      </c>
      <c r="E191" s="104" t="s">
        <v>1030</v>
      </c>
      <c r="F191" s="106">
        <v>-8</v>
      </c>
      <c r="G191" s="217" t="s">
        <v>1060</v>
      </c>
    </row>
    <row r="192" spans="1:7" x14ac:dyDescent="0.2">
      <c r="A192" s="104">
        <f t="shared" si="13"/>
        <v>9</v>
      </c>
      <c r="B192" s="104">
        <f t="shared" si="14"/>
        <v>9</v>
      </c>
      <c r="C192" s="105">
        <v>44448</v>
      </c>
      <c r="D192" s="104" t="str">
        <f t="shared" si="6"/>
        <v>Nationwide</v>
      </c>
      <c r="E192" s="104" t="s">
        <v>1031</v>
      </c>
      <c r="F192" s="106">
        <v>2033.66</v>
      </c>
      <c r="G192" s="217" t="s">
        <v>500</v>
      </c>
    </row>
    <row r="193" spans="1:7" x14ac:dyDescent="0.2">
      <c r="A193" s="104">
        <f t="shared" si="13"/>
        <v>9</v>
      </c>
      <c r="B193" s="104">
        <f t="shared" si="14"/>
        <v>10</v>
      </c>
      <c r="C193" s="105">
        <v>44449</v>
      </c>
      <c r="D193" s="104" t="str">
        <f t="shared" ref="D193:D242" si="15">LEFT(E193, FIND(" ",E193)-1)</f>
        <v>DISCOVER</v>
      </c>
      <c r="E193" s="104" t="s">
        <v>1032</v>
      </c>
      <c r="F193" s="106">
        <v>-925.18</v>
      </c>
      <c r="G193" s="217" t="s">
        <v>486</v>
      </c>
    </row>
    <row r="194" spans="1:7" x14ac:dyDescent="0.2">
      <c r="A194" s="104">
        <f t="shared" si="13"/>
        <v>9</v>
      </c>
      <c r="B194" s="104">
        <f t="shared" si="14"/>
        <v>10</v>
      </c>
      <c r="C194" s="105">
        <v>44449</v>
      </c>
      <c r="D194" s="104" t="str">
        <f t="shared" si="15"/>
        <v>VENMO</v>
      </c>
      <c r="E194" s="104" t="s">
        <v>1033</v>
      </c>
      <c r="F194" s="106">
        <v>282.35000000000002</v>
      </c>
      <c r="G194" s="217" t="s">
        <v>71</v>
      </c>
    </row>
    <row r="195" spans="1:7" x14ac:dyDescent="0.2">
      <c r="A195" s="104">
        <f t="shared" si="13"/>
        <v>9</v>
      </c>
      <c r="B195" s="104">
        <f t="shared" si="14"/>
        <v>13</v>
      </c>
      <c r="C195" s="105">
        <v>44452</v>
      </c>
      <c r="D195" s="104" t="str">
        <f t="shared" si="15"/>
        <v>BEST</v>
      </c>
      <c r="E195" s="104" t="s">
        <v>1034</v>
      </c>
      <c r="F195" s="106">
        <v>-608.14</v>
      </c>
      <c r="G195" s="217" t="s">
        <v>1057</v>
      </c>
    </row>
    <row r="196" spans="1:7" x14ac:dyDescent="0.2">
      <c r="A196" s="104">
        <f t="shared" si="13"/>
        <v>9</v>
      </c>
      <c r="B196" s="104">
        <f t="shared" si="14"/>
        <v>13</v>
      </c>
      <c r="C196" s="105">
        <v>44452</v>
      </c>
      <c r="D196" s="104" t="str">
        <f t="shared" si="15"/>
        <v>HEALTHEQUITY</v>
      </c>
      <c r="E196" s="104" t="s">
        <v>1035</v>
      </c>
      <c r="F196" s="106">
        <v>419.93</v>
      </c>
      <c r="G196" s="217" t="s">
        <v>492</v>
      </c>
    </row>
    <row r="197" spans="1:7" x14ac:dyDescent="0.2">
      <c r="A197" s="104">
        <f t="shared" si="13"/>
        <v>9</v>
      </c>
      <c r="B197" s="104">
        <f t="shared" si="14"/>
        <v>14</v>
      </c>
      <c r="C197" s="105">
        <v>44453</v>
      </c>
      <c r="D197" s="104" t="str">
        <f t="shared" si="15"/>
        <v>VENMO</v>
      </c>
      <c r="E197" s="104" t="s">
        <v>1036</v>
      </c>
      <c r="F197" s="106">
        <v>-100</v>
      </c>
      <c r="G197" s="217" t="s">
        <v>1058</v>
      </c>
    </row>
    <row r="198" spans="1:7" x14ac:dyDescent="0.2">
      <c r="A198" s="104">
        <f t="shared" si="13"/>
        <v>9</v>
      </c>
      <c r="B198" s="104">
        <f t="shared" si="14"/>
        <v>16</v>
      </c>
      <c r="C198" s="105">
        <v>44455</v>
      </c>
      <c r="D198" s="104" t="str">
        <f t="shared" si="15"/>
        <v>PURCHASE</v>
      </c>
      <c r="E198" s="104" t="s">
        <v>1037</v>
      </c>
      <c r="F198" s="106">
        <v>-48.02</v>
      </c>
      <c r="G198" s="217" t="s">
        <v>503</v>
      </c>
    </row>
    <row r="199" spans="1:7" x14ac:dyDescent="0.2">
      <c r="A199" s="104">
        <f t="shared" si="13"/>
        <v>9</v>
      </c>
      <c r="B199" s="104">
        <f t="shared" si="14"/>
        <v>20</v>
      </c>
      <c r="C199" s="105">
        <v>44459</v>
      </c>
      <c r="D199" s="104" t="str">
        <f t="shared" si="15"/>
        <v>DOMINION</v>
      </c>
      <c r="E199" s="104" t="s">
        <v>1038</v>
      </c>
      <c r="F199" s="106">
        <v>-120.69</v>
      </c>
      <c r="G199" s="217" t="s">
        <v>504</v>
      </c>
    </row>
    <row r="200" spans="1:7" x14ac:dyDescent="0.2">
      <c r="A200" s="104">
        <f t="shared" si="13"/>
        <v>9</v>
      </c>
      <c r="B200" s="104">
        <f t="shared" si="14"/>
        <v>20</v>
      </c>
      <c r="C200" s="105">
        <v>44459</v>
      </c>
      <c r="D200" s="104" t="str">
        <f t="shared" si="15"/>
        <v>DISCOVER</v>
      </c>
      <c r="E200" s="104" t="s">
        <v>1039</v>
      </c>
      <c r="F200" s="106">
        <v>-925.99</v>
      </c>
      <c r="G200" s="217" t="s">
        <v>486</v>
      </c>
    </row>
    <row r="201" spans="1:7" x14ac:dyDescent="0.2">
      <c r="A201" s="104">
        <f t="shared" si="13"/>
        <v>9</v>
      </c>
      <c r="B201" s="104">
        <f t="shared" si="14"/>
        <v>20</v>
      </c>
      <c r="C201" s="105">
        <v>44459</v>
      </c>
      <c r="D201" s="104" t="str">
        <f t="shared" si="15"/>
        <v>PURCHASE</v>
      </c>
      <c r="E201" s="104" t="s">
        <v>1040</v>
      </c>
      <c r="F201" s="106">
        <v>-60</v>
      </c>
      <c r="G201" s="217" t="s">
        <v>37</v>
      </c>
    </row>
    <row r="202" spans="1:7" x14ac:dyDescent="0.2">
      <c r="A202" s="104">
        <f t="shared" si="13"/>
        <v>9</v>
      </c>
      <c r="B202" s="104">
        <f t="shared" si="14"/>
        <v>23</v>
      </c>
      <c r="C202" s="105">
        <v>44462</v>
      </c>
      <c r="D202" s="104" t="str">
        <f t="shared" si="15"/>
        <v>TRANSFER</v>
      </c>
      <c r="E202" s="104" t="s">
        <v>1041</v>
      </c>
      <c r="F202" s="106">
        <v>-500</v>
      </c>
      <c r="G202" s="217" t="s">
        <v>508</v>
      </c>
    </row>
    <row r="203" spans="1:7" x14ac:dyDescent="0.2">
      <c r="A203" s="104">
        <f t="shared" si="13"/>
        <v>9</v>
      </c>
      <c r="B203" s="104">
        <f t="shared" si="14"/>
        <v>23</v>
      </c>
      <c r="C203" s="105">
        <v>44462</v>
      </c>
      <c r="D203" s="104" t="str">
        <f t="shared" si="15"/>
        <v>Nationwide</v>
      </c>
      <c r="E203" s="104" t="s">
        <v>1042</v>
      </c>
      <c r="F203" s="106">
        <v>2179.34</v>
      </c>
      <c r="G203" s="217" t="s">
        <v>500</v>
      </c>
    </row>
    <row r="204" spans="1:7" x14ac:dyDescent="0.2">
      <c r="A204" s="104">
        <f t="shared" si="13"/>
        <v>9</v>
      </c>
      <c r="B204" s="104">
        <f t="shared" si="14"/>
        <v>24</v>
      </c>
      <c r="C204" s="105">
        <v>44463</v>
      </c>
      <c r="D204" s="104" t="str">
        <f t="shared" si="15"/>
        <v>VENMO</v>
      </c>
      <c r="E204" s="104" t="s">
        <v>1043</v>
      </c>
      <c r="F204" s="106">
        <v>-250</v>
      </c>
      <c r="G204" s="217" t="s">
        <v>1055</v>
      </c>
    </row>
    <row r="205" spans="1:7" x14ac:dyDescent="0.2">
      <c r="A205" s="104">
        <f t="shared" si="13"/>
        <v>9</v>
      </c>
      <c r="B205" s="104">
        <f t="shared" si="14"/>
        <v>24</v>
      </c>
      <c r="C205" s="105">
        <v>44463</v>
      </c>
      <c r="D205" s="104" t="str">
        <f t="shared" si="15"/>
        <v>PURCHASE</v>
      </c>
      <c r="E205" s="104" t="s">
        <v>1044</v>
      </c>
      <c r="F205" s="106">
        <v>-10</v>
      </c>
      <c r="G205" s="217" t="s">
        <v>35</v>
      </c>
    </row>
    <row r="206" spans="1:7" x14ac:dyDescent="0.2">
      <c r="A206" s="104">
        <f t="shared" si="13"/>
        <v>9</v>
      </c>
      <c r="B206" s="104">
        <f t="shared" si="14"/>
        <v>24</v>
      </c>
      <c r="C206" s="105">
        <v>44463</v>
      </c>
      <c r="D206" s="104" t="str">
        <f t="shared" si="15"/>
        <v>DEPOSIT</v>
      </c>
      <c r="E206" s="104" t="s">
        <v>1045</v>
      </c>
      <c r="F206" s="106">
        <v>436.2</v>
      </c>
      <c r="G206" s="217" t="s">
        <v>513</v>
      </c>
    </row>
    <row r="207" spans="1:7" x14ac:dyDescent="0.2">
      <c r="A207" s="104">
        <f t="shared" si="13"/>
        <v>9</v>
      </c>
      <c r="B207" s="104">
        <f t="shared" si="14"/>
        <v>27</v>
      </c>
      <c r="C207" s="105">
        <v>44466</v>
      </c>
      <c r="D207" s="104" t="str">
        <f t="shared" si="15"/>
        <v>VENMO</v>
      </c>
      <c r="E207" s="104" t="s">
        <v>1046</v>
      </c>
      <c r="F207" s="106">
        <v>-1551.11</v>
      </c>
      <c r="G207" s="217" t="s">
        <v>1055</v>
      </c>
    </row>
    <row r="208" spans="1:7" x14ac:dyDescent="0.2">
      <c r="A208" s="104">
        <f t="shared" si="13"/>
        <v>9</v>
      </c>
      <c r="B208" s="104">
        <f t="shared" si="14"/>
        <v>27</v>
      </c>
      <c r="C208" s="105">
        <v>44466</v>
      </c>
      <c r="D208" s="104" t="str">
        <f t="shared" si="15"/>
        <v>DISCOVER</v>
      </c>
      <c r="E208" s="104" t="s">
        <v>1047</v>
      </c>
      <c r="F208" s="106">
        <v>-1500</v>
      </c>
      <c r="G208" s="217" t="s">
        <v>486</v>
      </c>
    </row>
    <row r="209" spans="1:7" x14ac:dyDescent="0.2">
      <c r="A209" s="104">
        <f t="shared" si="13"/>
        <v>9</v>
      </c>
      <c r="B209" s="104">
        <f t="shared" si="14"/>
        <v>27</v>
      </c>
      <c r="C209" s="105">
        <v>44466</v>
      </c>
      <c r="D209" s="104" t="str">
        <f t="shared" si="15"/>
        <v>VENMO</v>
      </c>
      <c r="E209" s="104" t="s">
        <v>1048</v>
      </c>
      <c r="F209" s="106">
        <v>-101.11</v>
      </c>
      <c r="G209" s="217" t="s">
        <v>1055</v>
      </c>
    </row>
    <row r="210" spans="1:7" x14ac:dyDescent="0.2">
      <c r="A210" s="104">
        <f t="shared" si="13"/>
        <v>9</v>
      </c>
      <c r="B210" s="104">
        <f t="shared" si="14"/>
        <v>27</v>
      </c>
      <c r="C210" s="105">
        <v>44466</v>
      </c>
      <c r="D210" s="104" t="str">
        <f t="shared" si="15"/>
        <v>PURCHASE</v>
      </c>
      <c r="E210" s="104" t="s">
        <v>1049</v>
      </c>
      <c r="F210" s="106">
        <v>-95</v>
      </c>
      <c r="G210" s="217" t="s">
        <v>1056</v>
      </c>
    </row>
    <row r="211" spans="1:7" x14ac:dyDescent="0.2">
      <c r="A211" s="104">
        <f t="shared" si="13"/>
        <v>9</v>
      </c>
      <c r="B211" s="104">
        <f t="shared" si="14"/>
        <v>27</v>
      </c>
      <c r="C211" s="105">
        <v>44466</v>
      </c>
      <c r="D211" s="104" t="str">
        <f t="shared" si="15"/>
        <v>VENMO</v>
      </c>
      <c r="E211" s="104" t="s">
        <v>1050</v>
      </c>
      <c r="F211" s="106">
        <v>188.34</v>
      </c>
      <c r="G211" s="217" t="s">
        <v>504</v>
      </c>
    </row>
    <row r="212" spans="1:7" x14ac:dyDescent="0.2">
      <c r="A212" s="104">
        <f t="shared" si="13"/>
        <v>9</v>
      </c>
      <c r="B212" s="104">
        <f t="shared" si="14"/>
        <v>27</v>
      </c>
      <c r="C212" s="105">
        <v>44466</v>
      </c>
      <c r="D212" s="104" t="str">
        <f t="shared" si="15"/>
        <v>NW</v>
      </c>
      <c r="E212" s="104" t="s">
        <v>1051</v>
      </c>
      <c r="F212" s="106">
        <v>30</v>
      </c>
      <c r="G212" s="204" t="s">
        <v>865</v>
      </c>
    </row>
    <row r="213" spans="1:7" x14ac:dyDescent="0.2">
      <c r="A213" s="104">
        <f t="shared" si="13"/>
        <v>9</v>
      </c>
      <c r="B213" s="104">
        <f t="shared" si="14"/>
        <v>28</v>
      </c>
      <c r="C213" s="105">
        <v>44467</v>
      </c>
      <c r="D213" s="104" t="str">
        <f t="shared" si="15"/>
        <v>TRANSFER</v>
      </c>
      <c r="E213" s="104" t="s">
        <v>1052</v>
      </c>
      <c r="F213" s="106">
        <v>500</v>
      </c>
      <c r="G213" s="217" t="s">
        <v>508</v>
      </c>
    </row>
    <row r="214" spans="1:7" x14ac:dyDescent="0.2">
      <c r="A214" s="104">
        <f t="shared" si="13"/>
        <v>9</v>
      </c>
      <c r="B214" s="104">
        <f t="shared" si="14"/>
        <v>28</v>
      </c>
      <c r="C214" s="105">
        <v>44467</v>
      </c>
      <c r="D214" s="104" t="str">
        <f t="shared" si="15"/>
        <v>VENMO</v>
      </c>
      <c r="E214" s="104" t="s">
        <v>1053</v>
      </c>
      <c r="F214" s="106">
        <v>1866.67</v>
      </c>
      <c r="G214" s="217" t="s">
        <v>71</v>
      </c>
    </row>
    <row r="215" spans="1:7" x14ac:dyDescent="0.2">
      <c r="A215" s="104">
        <f t="shared" si="13"/>
        <v>10</v>
      </c>
      <c r="B215" s="104">
        <f t="shared" si="14"/>
        <v>1</v>
      </c>
      <c r="C215" s="105">
        <v>44470</v>
      </c>
      <c r="D215" s="104" t="str">
        <f t="shared" si="15"/>
        <v>VENMO</v>
      </c>
      <c r="E215" s="104" t="s">
        <v>1054</v>
      </c>
      <c r="F215" s="106">
        <v>-1866.67</v>
      </c>
      <c r="G215" s="217" t="s">
        <v>1055</v>
      </c>
    </row>
    <row r="216" spans="1:7" x14ac:dyDescent="0.2">
      <c r="A216" s="104">
        <f t="shared" ref="A216:A242" si="16">MONTH(C216)</f>
        <v>10</v>
      </c>
      <c r="B216" s="104">
        <f t="shared" ref="B216:B242" si="17">DAY(C216)</f>
        <v>4</v>
      </c>
      <c r="C216" s="105">
        <v>44473</v>
      </c>
      <c r="D216" s="104" t="str">
        <f t="shared" si="15"/>
        <v>VENMO</v>
      </c>
      <c r="E216" s="104" t="s">
        <v>1150</v>
      </c>
      <c r="F216" s="106">
        <v>-155</v>
      </c>
      <c r="G216" s="217"/>
    </row>
    <row r="217" spans="1:7" x14ac:dyDescent="0.2">
      <c r="A217" s="104">
        <f t="shared" si="16"/>
        <v>10</v>
      </c>
      <c r="B217" s="104">
        <f t="shared" si="17"/>
        <v>5</v>
      </c>
      <c r="C217" s="105">
        <v>44474</v>
      </c>
      <c r="D217" s="104" t="str">
        <f t="shared" si="15"/>
        <v>MONEY</v>
      </c>
      <c r="E217" s="104" t="s">
        <v>1151</v>
      </c>
      <c r="F217" s="106">
        <v>170</v>
      </c>
      <c r="G217" s="217"/>
    </row>
    <row r="218" spans="1:7" x14ac:dyDescent="0.2">
      <c r="A218" s="104">
        <f t="shared" si="16"/>
        <v>10</v>
      </c>
      <c r="B218" s="104">
        <f t="shared" si="17"/>
        <v>5</v>
      </c>
      <c r="C218" s="105">
        <v>44474</v>
      </c>
      <c r="D218" s="104" t="str">
        <f t="shared" si="15"/>
        <v>MONEY</v>
      </c>
      <c r="E218" s="104" t="s">
        <v>1152</v>
      </c>
      <c r="F218" s="106">
        <v>100</v>
      </c>
      <c r="G218" s="217"/>
    </row>
    <row r="219" spans="1:7" x14ac:dyDescent="0.2">
      <c r="A219" s="104">
        <f t="shared" si="16"/>
        <v>10</v>
      </c>
      <c r="B219" s="104">
        <f t="shared" si="17"/>
        <v>7</v>
      </c>
      <c r="C219" s="105">
        <v>44476</v>
      </c>
      <c r="D219" s="104" t="str">
        <f t="shared" si="15"/>
        <v>Nationwide</v>
      </c>
      <c r="E219" s="104" t="s">
        <v>1153</v>
      </c>
      <c r="F219" s="106">
        <v>2029.34</v>
      </c>
      <c r="G219" s="218" t="s">
        <v>500</v>
      </c>
    </row>
    <row r="220" spans="1:7" x14ac:dyDescent="0.2">
      <c r="A220" s="104">
        <f t="shared" si="16"/>
        <v>10</v>
      </c>
      <c r="B220" s="104">
        <f t="shared" si="17"/>
        <v>8</v>
      </c>
      <c r="C220" s="105">
        <v>44477</v>
      </c>
      <c r="D220" s="104" t="str">
        <f t="shared" si="15"/>
        <v>BEST</v>
      </c>
      <c r="E220" s="104" t="s">
        <v>1154</v>
      </c>
      <c r="F220" s="106">
        <v>-2378.52</v>
      </c>
      <c r="G220" s="217"/>
    </row>
    <row r="221" spans="1:7" x14ac:dyDescent="0.2">
      <c r="A221" s="104">
        <f t="shared" si="16"/>
        <v>10</v>
      </c>
      <c r="B221" s="104">
        <f t="shared" si="17"/>
        <v>12</v>
      </c>
      <c r="C221" s="105">
        <v>44481</v>
      </c>
      <c r="D221" s="104" t="str">
        <f t="shared" si="15"/>
        <v>APS</v>
      </c>
      <c r="E221" s="104" t="s">
        <v>1155</v>
      </c>
      <c r="F221" s="106">
        <v>-14.71</v>
      </c>
      <c r="G221" s="218" t="s">
        <v>1177</v>
      </c>
    </row>
    <row r="222" spans="1:7" x14ac:dyDescent="0.2">
      <c r="A222" s="104">
        <f t="shared" si="16"/>
        <v>10</v>
      </c>
      <c r="B222" s="104">
        <f t="shared" si="17"/>
        <v>12</v>
      </c>
      <c r="C222" s="105">
        <v>44481</v>
      </c>
      <c r="D222" s="104" t="str">
        <f t="shared" si="15"/>
        <v>PURCHASE</v>
      </c>
      <c r="E222" s="104" t="s">
        <v>1156</v>
      </c>
      <c r="F222" s="106">
        <v>-34.43</v>
      </c>
      <c r="G222" s="217"/>
    </row>
    <row r="223" spans="1:7" x14ac:dyDescent="0.2">
      <c r="A223" s="104">
        <f t="shared" si="16"/>
        <v>10</v>
      </c>
      <c r="B223" s="104">
        <f t="shared" si="17"/>
        <v>12</v>
      </c>
      <c r="C223" s="105">
        <v>44481</v>
      </c>
      <c r="D223" s="104" t="str">
        <f t="shared" si="15"/>
        <v>PURCHASE</v>
      </c>
      <c r="E223" s="104" t="s">
        <v>1157</v>
      </c>
      <c r="F223" s="106">
        <v>-350</v>
      </c>
      <c r="G223" s="218" t="s">
        <v>37</v>
      </c>
    </row>
    <row r="224" spans="1:7" x14ac:dyDescent="0.2">
      <c r="A224" s="104">
        <f t="shared" si="16"/>
        <v>10</v>
      </c>
      <c r="B224" s="104">
        <f t="shared" si="17"/>
        <v>12</v>
      </c>
      <c r="C224" s="105">
        <v>44481</v>
      </c>
      <c r="D224" s="104" t="str">
        <f t="shared" si="15"/>
        <v>FIDELITY</v>
      </c>
      <c r="E224" s="104" t="s">
        <v>1158</v>
      </c>
      <c r="F224" s="106">
        <v>1201.5999999999999</v>
      </c>
      <c r="G224" s="218" t="s">
        <v>1178</v>
      </c>
    </row>
    <row r="225" spans="1:7" x14ac:dyDescent="0.2">
      <c r="A225" s="104">
        <f t="shared" si="16"/>
        <v>10</v>
      </c>
      <c r="B225" s="104">
        <f t="shared" si="17"/>
        <v>18</v>
      </c>
      <c r="C225" s="105">
        <v>44487</v>
      </c>
      <c r="D225" s="104" t="str">
        <f t="shared" si="15"/>
        <v>VENMO</v>
      </c>
      <c r="E225" s="104" t="s">
        <v>1159</v>
      </c>
      <c r="F225" s="106">
        <v>-50</v>
      </c>
      <c r="G225" s="220" t="s">
        <v>1180</v>
      </c>
    </row>
    <row r="226" spans="1:7" x14ac:dyDescent="0.2">
      <c r="A226" s="104">
        <f t="shared" si="16"/>
        <v>10</v>
      </c>
      <c r="B226" s="104">
        <f t="shared" si="17"/>
        <v>20</v>
      </c>
      <c r="C226" s="105">
        <v>44489</v>
      </c>
      <c r="D226" s="104" t="str">
        <f t="shared" si="15"/>
        <v>TRANSFER</v>
      </c>
      <c r="E226" s="104" t="s">
        <v>1160</v>
      </c>
      <c r="F226" s="106">
        <v>377.98</v>
      </c>
      <c r="G226" s="218" t="s">
        <v>508</v>
      </c>
    </row>
    <row r="227" spans="1:7" x14ac:dyDescent="0.2">
      <c r="A227" s="104">
        <f t="shared" si="16"/>
        <v>10</v>
      </c>
      <c r="B227" s="104">
        <f t="shared" si="17"/>
        <v>20</v>
      </c>
      <c r="C227" s="105">
        <v>44489</v>
      </c>
      <c r="D227" s="104" t="str">
        <f t="shared" si="15"/>
        <v>TRANSFER</v>
      </c>
      <c r="E227" s="104" t="s">
        <v>1161</v>
      </c>
      <c r="F227" s="106">
        <v>812.12</v>
      </c>
      <c r="G227" s="218" t="s">
        <v>508</v>
      </c>
    </row>
    <row r="228" spans="1:7" x14ac:dyDescent="0.2">
      <c r="A228" s="104">
        <f t="shared" si="16"/>
        <v>10</v>
      </c>
      <c r="B228" s="104">
        <f t="shared" si="17"/>
        <v>21</v>
      </c>
      <c r="C228" s="105">
        <v>44490</v>
      </c>
      <c r="D228" s="104" t="str">
        <f t="shared" si="15"/>
        <v>VENMO</v>
      </c>
      <c r="E228" s="104" t="s">
        <v>1162</v>
      </c>
      <c r="F228" s="106">
        <v>-1682.31</v>
      </c>
      <c r="G228" s="220" t="s">
        <v>1180</v>
      </c>
    </row>
    <row r="229" spans="1:7" x14ac:dyDescent="0.2">
      <c r="A229" s="104">
        <f t="shared" si="16"/>
        <v>10</v>
      </c>
      <c r="B229" s="104">
        <f t="shared" si="17"/>
        <v>21</v>
      </c>
      <c r="C229" s="105">
        <v>44490</v>
      </c>
      <c r="D229" s="104" t="str">
        <f t="shared" si="15"/>
        <v>Nationwide</v>
      </c>
      <c r="E229" s="104" t="s">
        <v>1163</v>
      </c>
      <c r="F229" s="106">
        <v>1900.88</v>
      </c>
      <c r="G229" s="218" t="s">
        <v>500</v>
      </c>
    </row>
    <row r="230" spans="1:7" x14ac:dyDescent="0.2">
      <c r="A230" s="104">
        <f t="shared" si="16"/>
        <v>10</v>
      </c>
      <c r="B230" s="104">
        <f t="shared" si="17"/>
        <v>25</v>
      </c>
      <c r="C230" s="105">
        <v>44494</v>
      </c>
      <c r="D230" s="104" t="str">
        <f t="shared" si="15"/>
        <v>VENMO</v>
      </c>
      <c r="E230" s="104" t="s">
        <v>1164</v>
      </c>
      <c r="F230" s="106">
        <v>-75.260000000000005</v>
      </c>
      <c r="G230" s="220" t="s">
        <v>1180</v>
      </c>
    </row>
    <row r="231" spans="1:7" x14ac:dyDescent="0.2">
      <c r="A231" s="104">
        <f t="shared" si="16"/>
        <v>10</v>
      </c>
      <c r="B231" s="104">
        <f t="shared" si="17"/>
        <v>29</v>
      </c>
      <c r="C231" s="105">
        <v>44498</v>
      </c>
      <c r="D231" s="104" t="str">
        <f t="shared" si="15"/>
        <v>LIFETIME</v>
      </c>
      <c r="E231" s="104" t="s">
        <v>1165</v>
      </c>
      <c r="F231" s="106">
        <v>21.88</v>
      </c>
      <c r="G231" s="218" t="s">
        <v>1179</v>
      </c>
    </row>
    <row r="232" spans="1:7" x14ac:dyDescent="0.2">
      <c r="A232" s="104">
        <f t="shared" si="16"/>
        <v>11</v>
      </c>
      <c r="B232" s="104">
        <f t="shared" si="17"/>
        <v>1</v>
      </c>
      <c r="C232" s="105">
        <v>44501</v>
      </c>
      <c r="D232" s="104" t="str">
        <f t="shared" si="15"/>
        <v>VENMO</v>
      </c>
      <c r="E232" s="104" t="s">
        <v>1166</v>
      </c>
      <c r="F232" s="106">
        <v>-1676.72</v>
      </c>
      <c r="G232" s="218" t="s">
        <v>1055</v>
      </c>
    </row>
    <row r="233" spans="1:7" x14ac:dyDescent="0.2">
      <c r="A233" s="104">
        <f t="shared" si="16"/>
        <v>11</v>
      </c>
      <c r="B233" s="104">
        <f t="shared" si="17"/>
        <v>3</v>
      </c>
      <c r="C233" s="105">
        <v>44503</v>
      </c>
      <c r="D233" s="104" t="str">
        <f t="shared" si="15"/>
        <v>DISCOVER</v>
      </c>
      <c r="E233" s="104" t="s">
        <v>1167</v>
      </c>
      <c r="F233" s="106">
        <v>-1000</v>
      </c>
      <c r="G233" s="218" t="s">
        <v>486</v>
      </c>
    </row>
    <row r="234" spans="1:7" x14ac:dyDescent="0.2">
      <c r="A234" s="104">
        <f t="shared" si="16"/>
        <v>11</v>
      </c>
      <c r="B234" s="104">
        <f t="shared" si="17"/>
        <v>3</v>
      </c>
      <c r="C234" s="105">
        <v>44503</v>
      </c>
      <c r="D234" s="104" t="str">
        <f t="shared" si="15"/>
        <v>APS</v>
      </c>
      <c r="E234" s="104" t="s">
        <v>1168</v>
      </c>
      <c r="F234" s="106">
        <v>-166.33</v>
      </c>
      <c r="G234" s="218" t="s">
        <v>1177</v>
      </c>
    </row>
    <row r="235" spans="1:7" x14ac:dyDescent="0.2">
      <c r="A235" s="104">
        <f t="shared" si="16"/>
        <v>11</v>
      </c>
      <c r="B235" s="104">
        <f t="shared" si="17"/>
        <v>4</v>
      </c>
      <c r="C235" s="105">
        <v>44504</v>
      </c>
      <c r="D235" s="104" t="str">
        <f t="shared" si="15"/>
        <v>Nationwide</v>
      </c>
      <c r="E235" s="104" t="s">
        <v>1169</v>
      </c>
      <c r="F235" s="106">
        <v>1900.87</v>
      </c>
      <c r="G235" s="218" t="s">
        <v>500</v>
      </c>
    </row>
    <row r="236" spans="1:7" x14ac:dyDescent="0.2">
      <c r="A236" s="104">
        <f t="shared" si="16"/>
        <v>11</v>
      </c>
      <c r="B236" s="104">
        <f t="shared" si="17"/>
        <v>5</v>
      </c>
      <c r="C236" s="105">
        <v>44505</v>
      </c>
      <c r="D236" s="104" t="str">
        <f t="shared" si="15"/>
        <v>PURCHASE</v>
      </c>
      <c r="E236" s="104" t="s">
        <v>1170</v>
      </c>
      <c r="F236" s="106">
        <v>-69.47</v>
      </c>
      <c r="G236" s="220" t="s">
        <v>1180</v>
      </c>
    </row>
    <row r="237" spans="1:7" x14ac:dyDescent="0.2">
      <c r="A237" s="104">
        <f t="shared" si="16"/>
        <v>11</v>
      </c>
      <c r="B237" s="104">
        <f t="shared" si="17"/>
        <v>5</v>
      </c>
      <c r="C237" s="105">
        <v>44505</v>
      </c>
      <c r="D237" s="104" t="str">
        <f t="shared" si="15"/>
        <v>LIFETIME</v>
      </c>
      <c r="E237" s="104" t="s">
        <v>1171</v>
      </c>
      <c r="F237" s="106">
        <v>60.95</v>
      </c>
      <c r="G237" s="218" t="s">
        <v>1179</v>
      </c>
    </row>
    <row r="238" spans="1:7" x14ac:dyDescent="0.2">
      <c r="A238" s="104">
        <f t="shared" si="16"/>
        <v>11</v>
      </c>
      <c r="B238" s="104">
        <f t="shared" si="17"/>
        <v>8</v>
      </c>
      <c r="C238" s="105">
        <v>44508</v>
      </c>
      <c r="D238" s="104" t="str">
        <f t="shared" si="15"/>
        <v>DISCOVER</v>
      </c>
      <c r="E238" s="104" t="s">
        <v>1172</v>
      </c>
      <c r="F238" s="106">
        <v>-1000</v>
      </c>
      <c r="G238" s="218" t="s">
        <v>486</v>
      </c>
    </row>
    <row r="239" spans="1:7" x14ac:dyDescent="0.2">
      <c r="A239" s="104">
        <f t="shared" si="16"/>
        <v>11</v>
      </c>
      <c r="B239" s="104">
        <f t="shared" si="17"/>
        <v>9</v>
      </c>
      <c r="C239" s="105">
        <v>44509</v>
      </c>
      <c r="D239" s="104" t="str">
        <f t="shared" si="15"/>
        <v>VENMO</v>
      </c>
      <c r="E239" s="104" t="s">
        <v>1173</v>
      </c>
      <c r="F239" s="106">
        <v>-70</v>
      </c>
      <c r="G239" s="218" t="s">
        <v>1181</v>
      </c>
    </row>
    <row r="240" spans="1:7" x14ac:dyDescent="0.2">
      <c r="A240" s="104">
        <f t="shared" si="16"/>
        <v>11</v>
      </c>
      <c r="B240" s="104">
        <f t="shared" si="17"/>
        <v>12</v>
      </c>
      <c r="C240" s="105">
        <v>44512</v>
      </c>
      <c r="D240" s="104" t="str">
        <f t="shared" si="15"/>
        <v>PURCHASE</v>
      </c>
      <c r="E240" s="104" t="s">
        <v>1174</v>
      </c>
      <c r="F240" s="106">
        <v>-40</v>
      </c>
      <c r="G240" s="218" t="s">
        <v>37</v>
      </c>
    </row>
    <row r="241" spans="1:7" x14ac:dyDescent="0.2">
      <c r="A241" s="104">
        <f t="shared" si="16"/>
        <v>11</v>
      </c>
      <c r="B241" s="104">
        <f t="shared" si="17"/>
        <v>12</v>
      </c>
      <c r="C241" s="105">
        <v>44512</v>
      </c>
      <c r="D241" s="104" t="str">
        <f t="shared" si="15"/>
        <v>VENMO</v>
      </c>
      <c r="E241" s="104" t="s">
        <v>1175</v>
      </c>
      <c r="F241" s="106">
        <v>36.1</v>
      </c>
      <c r="G241" s="220" t="s">
        <v>1180</v>
      </c>
    </row>
    <row r="242" spans="1:7" x14ac:dyDescent="0.2">
      <c r="A242" s="104">
        <f t="shared" si="16"/>
        <v>11</v>
      </c>
      <c r="B242" s="104">
        <f t="shared" si="17"/>
        <v>15</v>
      </c>
      <c r="C242" s="105">
        <v>44515</v>
      </c>
      <c r="D242" s="104" t="str">
        <f t="shared" si="15"/>
        <v>ATM</v>
      </c>
      <c r="E242" s="104" t="s">
        <v>1176</v>
      </c>
      <c r="F242" s="106">
        <v>-300</v>
      </c>
      <c r="G242" s="220" t="s">
        <v>1180</v>
      </c>
    </row>
  </sheetData>
  <autoFilter ref="A1:G147" xr:uid="{960FEAD7-88F2-46FC-803D-C310896A282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96C8-7254-425B-861C-3AE606D68153}">
  <sheetPr>
    <tabColor rgb="FFFFC000"/>
  </sheetPr>
  <dimension ref="A1:AE903"/>
  <sheetViews>
    <sheetView topLeftCell="A878" zoomScale="70" zoomScaleNormal="70" workbookViewId="0">
      <selection activeCell="AE9" sqref="Q9:AE9"/>
    </sheetView>
  </sheetViews>
  <sheetFormatPr defaultColWidth="9.33203125" defaultRowHeight="14.25" x14ac:dyDescent="0.2"/>
  <cols>
    <col min="1" max="2" width="9.33203125" style="13"/>
    <col min="3" max="3" width="25.1640625" style="14" bestFit="1" customWidth="1"/>
    <col min="4" max="4" width="17.6640625" style="14" bestFit="1" customWidth="1"/>
    <col min="5" max="5" width="103.6640625" style="103" customWidth="1"/>
    <col min="6" max="6" width="15.33203125" style="16" bestFit="1" customWidth="1"/>
    <col min="7" max="7" width="41.1640625" style="14" customWidth="1"/>
    <col min="8" max="8" width="15.5" style="14" bestFit="1" customWidth="1"/>
    <col min="9" max="9" width="15.5" style="16" bestFit="1" customWidth="1"/>
    <col min="10" max="10" width="40.1640625" style="14" bestFit="1" customWidth="1"/>
    <col min="11" max="11" width="32.5" style="14" customWidth="1"/>
    <col min="12" max="12" width="32.5" customWidth="1"/>
    <col min="13" max="13" width="9.33203125" style="5"/>
    <col min="14" max="14" width="11.5" style="5" bestFit="1" customWidth="1"/>
    <col min="15" max="15" width="14.6640625" style="5" bestFit="1" customWidth="1"/>
    <col min="16" max="16" width="9.33203125" style="5"/>
    <col min="17" max="17" width="29.33203125" style="5" bestFit="1" customWidth="1"/>
    <col min="18" max="18" width="12" style="5" bestFit="1" customWidth="1"/>
    <col min="19" max="30" width="15.83203125" style="5" customWidth="1"/>
    <col min="31" max="31" width="24.5" style="5" customWidth="1"/>
    <col min="32" max="16384" width="9.33203125" style="5"/>
  </cols>
  <sheetData>
    <row r="1" spans="1:31" ht="20.25" customHeight="1" x14ac:dyDescent="0.25">
      <c r="A1" s="3" t="s">
        <v>13</v>
      </c>
      <c r="B1" s="3" t="s">
        <v>14</v>
      </c>
      <c r="C1" s="4" t="s">
        <v>15</v>
      </c>
      <c r="D1" s="4" t="s">
        <v>16</v>
      </c>
      <c r="E1" s="92" t="s">
        <v>0</v>
      </c>
      <c r="F1" s="15" t="s">
        <v>1</v>
      </c>
      <c r="G1" s="4" t="s">
        <v>17</v>
      </c>
      <c r="H1" s="4" t="s">
        <v>18</v>
      </c>
      <c r="I1" s="15" t="s">
        <v>19</v>
      </c>
      <c r="J1" s="4" t="s">
        <v>20</v>
      </c>
      <c r="K1" s="178" t="s">
        <v>790</v>
      </c>
    </row>
    <row r="2" spans="1:31" ht="20.25" customHeight="1" x14ac:dyDescent="0.2">
      <c r="A2" s="20">
        <f>YEAR(C2)</f>
        <v>2021</v>
      </c>
      <c r="B2" s="20">
        <f>MONTH(C2)</f>
        <v>1</v>
      </c>
      <c r="C2" s="71">
        <v>44197</v>
      </c>
      <c r="D2" s="71">
        <v>44197</v>
      </c>
      <c r="E2" s="93" t="s">
        <v>21</v>
      </c>
      <c r="F2" s="25">
        <v>-700</v>
      </c>
      <c r="G2" s="21" t="s">
        <v>22</v>
      </c>
      <c r="H2" s="7" t="str">
        <f>VLOOKUP(G2,Expense_Lookup,2,0)</f>
        <v>Payment</v>
      </c>
      <c r="I2" s="17">
        <v>728.15</v>
      </c>
      <c r="J2" s="7"/>
      <c r="K2" s="21"/>
    </row>
    <row r="3" spans="1:31" ht="20.25" customHeight="1" x14ac:dyDescent="0.2">
      <c r="A3" s="20">
        <f t="shared" ref="A3:A66" si="0">YEAR(C3)</f>
        <v>2021</v>
      </c>
      <c r="B3" s="20">
        <f t="shared" ref="B3:B66" si="1">MONTH(C3)</f>
        <v>1</v>
      </c>
      <c r="C3" s="71">
        <v>44197</v>
      </c>
      <c r="D3" s="71">
        <v>44199</v>
      </c>
      <c r="E3" s="93" t="s">
        <v>28</v>
      </c>
      <c r="F3" s="25">
        <v>13.99</v>
      </c>
      <c r="G3" s="24" t="s">
        <v>26</v>
      </c>
      <c r="H3" s="7" t="str">
        <f t="shared" ref="H3:H34" si="2">VLOOKUP(G3,Expense_Lookup,2,0)</f>
        <v>Fixed</v>
      </c>
      <c r="I3" s="8">
        <f>I2+F3</f>
        <v>742.14</v>
      </c>
      <c r="J3" s="82" t="s">
        <v>7</v>
      </c>
      <c r="K3" s="24" t="s">
        <v>788</v>
      </c>
    </row>
    <row r="4" spans="1:31" ht="20.25" customHeight="1" thickBot="1" x14ac:dyDescent="0.25">
      <c r="A4" s="20">
        <f t="shared" si="0"/>
        <v>2021</v>
      </c>
      <c r="B4" s="20">
        <f t="shared" si="1"/>
        <v>1</v>
      </c>
      <c r="C4" s="71">
        <v>44197</v>
      </c>
      <c r="D4" s="71">
        <v>44199</v>
      </c>
      <c r="E4" s="93" t="s">
        <v>25</v>
      </c>
      <c r="F4" s="25">
        <v>9.99</v>
      </c>
      <c r="G4" s="24" t="s">
        <v>26</v>
      </c>
      <c r="H4" s="7" t="str">
        <f t="shared" si="2"/>
        <v>Fixed</v>
      </c>
      <c r="I4" s="8">
        <f t="shared" ref="I4:I67" si="3">I3+F4</f>
        <v>752.13</v>
      </c>
      <c r="J4" s="82" t="s">
        <v>6</v>
      </c>
      <c r="K4" s="24" t="s">
        <v>788</v>
      </c>
      <c r="N4" s="5" t="s">
        <v>27</v>
      </c>
      <c r="O4" s="9">
        <f>SUMIFS(F:F,H:H,N4)</f>
        <v>25417.249999999993</v>
      </c>
      <c r="S4" s="209" t="s">
        <v>2</v>
      </c>
      <c r="T4" s="209" t="s">
        <v>305</v>
      </c>
      <c r="U4" s="209" t="s">
        <v>306</v>
      </c>
      <c r="V4" s="209" t="s">
        <v>307</v>
      </c>
      <c r="W4" s="209" t="s">
        <v>308</v>
      </c>
      <c r="X4" s="209" t="s">
        <v>279</v>
      </c>
      <c r="Y4" s="213" t="s">
        <v>326</v>
      </c>
      <c r="Z4" s="213" t="s">
        <v>328</v>
      </c>
      <c r="AA4" s="213" t="s">
        <v>329</v>
      </c>
      <c r="AB4" s="213" t="s">
        <v>327</v>
      </c>
      <c r="AC4" s="213" t="s">
        <v>330</v>
      </c>
      <c r="AD4" s="213" t="s">
        <v>331</v>
      </c>
      <c r="AE4" s="219" t="s">
        <v>1182</v>
      </c>
    </row>
    <row r="5" spans="1:31" ht="20.25" customHeight="1" thickTop="1" thickBot="1" x14ac:dyDescent="0.3">
      <c r="A5" s="20">
        <f t="shared" si="0"/>
        <v>2021</v>
      </c>
      <c r="B5" s="20">
        <f t="shared" si="1"/>
        <v>1</v>
      </c>
      <c r="C5" s="71">
        <v>44197</v>
      </c>
      <c r="D5" s="71">
        <v>44199</v>
      </c>
      <c r="E5" s="93" t="s">
        <v>23</v>
      </c>
      <c r="F5" s="25">
        <v>18.87</v>
      </c>
      <c r="G5" s="21" t="s">
        <v>24</v>
      </c>
      <c r="H5" s="7" t="str">
        <f t="shared" si="2"/>
        <v>Variable</v>
      </c>
      <c r="I5" s="8">
        <f t="shared" si="3"/>
        <v>771</v>
      </c>
      <c r="J5" s="7"/>
      <c r="K5" s="21" t="s">
        <v>633</v>
      </c>
      <c r="N5" s="5" t="s">
        <v>29</v>
      </c>
      <c r="O5" s="9">
        <f>SUMIFS(F:F,H:H,N5)</f>
        <v>6083.779999999997</v>
      </c>
      <c r="Q5" s="10" t="str" cm="1">
        <f t="array" ref="Q5:Q21">_xlfn.UNIQUE(_xlfn._xlws.FILTER(G:G,(G:G&lt;&gt;0) ))</f>
        <v>Category</v>
      </c>
      <c r="R5" s="12"/>
      <c r="S5" s="9"/>
    </row>
    <row r="6" spans="1:31" ht="20.25" customHeight="1" thickTop="1" x14ac:dyDescent="0.25">
      <c r="A6" s="20">
        <f t="shared" si="0"/>
        <v>2021</v>
      </c>
      <c r="B6" s="20">
        <f t="shared" si="1"/>
        <v>1</v>
      </c>
      <c r="C6" s="71">
        <v>44201</v>
      </c>
      <c r="D6" s="71">
        <v>44201</v>
      </c>
      <c r="E6" s="93" t="s">
        <v>30</v>
      </c>
      <c r="F6" s="25">
        <v>39.950000000000003</v>
      </c>
      <c r="G6" s="24" t="s">
        <v>26</v>
      </c>
      <c r="H6" s="7" t="str">
        <f t="shared" si="2"/>
        <v>Fixed</v>
      </c>
      <c r="I6" s="8">
        <f t="shared" si="3"/>
        <v>810.95</v>
      </c>
      <c r="J6" s="82" t="s">
        <v>292</v>
      </c>
      <c r="K6" s="24" t="s">
        <v>788</v>
      </c>
      <c r="O6" s="9">
        <f>SUM(O4:O5)</f>
        <v>31501.029999999992</v>
      </c>
      <c r="Q6" s="11" t="str">
        <v>Payments and Credits</v>
      </c>
      <c r="R6" s="12" t="s">
        <v>31</v>
      </c>
      <c r="S6" s="9">
        <f t="shared" ref="S6:S21" si="4">SUMIFS(F:F,G:G,Q6,$B:$B,1)</f>
        <v>-2157.38</v>
      </c>
      <c r="T6" s="9">
        <f t="shared" ref="T6:T21" si="5">SUMIFS(F:F,G:G,Q6,$B:$B,2)</f>
        <v>-2256.4700000000003</v>
      </c>
      <c r="U6" s="9">
        <f t="shared" ref="U6:U21" si="6">SUMIFS(F:F,G:G,Q6,$B:$B,3)</f>
        <v>-2413.62</v>
      </c>
      <c r="V6" s="9">
        <f>SUMIFS($F:$F,$G:$G,$Q6,$B:$B,4)</f>
        <v>-471.07</v>
      </c>
      <c r="W6" s="9">
        <f t="shared" ref="W6:W21" si="7">SUMIFS($F:$F,$G:$G,$Q6,$B:$B,5)</f>
        <v>-2855.16</v>
      </c>
      <c r="X6" s="9">
        <f t="shared" ref="X6:X21" si="8">SUMIFS($F:$F,$G:$G,$Q6,$B:$B,6)</f>
        <v>-3297.83</v>
      </c>
      <c r="Y6" s="9">
        <f t="shared" ref="Y6:Y21" si="9">SUMIFS($F:$F,$G:$G,$Q6,$B:$B,7)</f>
        <v>-6127.09</v>
      </c>
      <c r="Z6" s="9">
        <f t="shared" ref="Z6:Z21" si="10">SUMIFS($F:$F,$G:$G,$Q6,$B:$B,8)</f>
        <v>-3272.24</v>
      </c>
      <c r="AA6" s="9">
        <f t="shared" ref="AA6:AA21" si="11">SUMIFS($F:$F,$G:$G,$Q6,$B:$B,9)</f>
        <v>-4605.13</v>
      </c>
      <c r="AB6" s="9">
        <f>SUMIFS($F:$F,$G:$G,$Q6,$B:$B,10)</f>
        <v>-1714.73</v>
      </c>
      <c r="AC6" s="9">
        <f>SUMIFS($F:$F,$G:$G,$Q6,$B:$B,11)</f>
        <v>-3675.51</v>
      </c>
    </row>
    <row r="7" spans="1:31" ht="20.25" customHeight="1" x14ac:dyDescent="0.25">
      <c r="A7" s="20">
        <f t="shared" si="0"/>
        <v>2021</v>
      </c>
      <c r="B7" s="20">
        <f t="shared" si="1"/>
        <v>1</v>
      </c>
      <c r="C7" s="71">
        <v>44201</v>
      </c>
      <c r="D7" s="71">
        <v>44201</v>
      </c>
      <c r="E7" s="93" t="s">
        <v>32</v>
      </c>
      <c r="F7" s="25">
        <v>91.78</v>
      </c>
      <c r="G7" s="24" t="s">
        <v>26</v>
      </c>
      <c r="H7" s="7" t="str">
        <f t="shared" si="2"/>
        <v>Fixed</v>
      </c>
      <c r="I7" s="8">
        <f t="shared" si="3"/>
        <v>902.73</v>
      </c>
      <c r="J7" s="82" t="s">
        <v>8</v>
      </c>
      <c r="K7" s="24" t="s">
        <v>633</v>
      </c>
      <c r="N7" s="117" t="s">
        <v>56</v>
      </c>
      <c r="Q7" s="11" t="str">
        <v>APP</v>
      </c>
      <c r="R7" s="12" t="s">
        <v>29</v>
      </c>
      <c r="S7" s="9">
        <f t="shared" si="4"/>
        <v>190.63000000000002</v>
      </c>
      <c r="T7" s="9">
        <f t="shared" si="5"/>
        <v>250.90000000000003</v>
      </c>
      <c r="U7" s="9">
        <f t="shared" si="6"/>
        <v>559.85000000000014</v>
      </c>
      <c r="V7" s="9">
        <f t="shared" ref="V7:V21" si="12">SUMIFS(F:F,G:G,Q7,$B:$B,4)</f>
        <v>308.43</v>
      </c>
      <c r="W7" s="9">
        <f t="shared" si="7"/>
        <v>592.35</v>
      </c>
      <c r="X7" s="9">
        <f t="shared" si="8"/>
        <v>579.08999999999992</v>
      </c>
      <c r="Y7" s="9">
        <f t="shared" si="9"/>
        <v>395.95</v>
      </c>
      <c r="Z7" s="9">
        <f t="shared" si="10"/>
        <v>655.42000000000007</v>
      </c>
      <c r="AA7" s="9">
        <f t="shared" si="11"/>
        <v>616.67000000000007</v>
      </c>
      <c r="AB7" s="9">
        <f>SUMIFS($F:$F,$G:$G,$Q7,$B:$B,10)</f>
        <v>790.91000000000008</v>
      </c>
      <c r="AC7" s="9">
        <f>SUMIFS($F:$F,$G:$G,$Q7,$B:$B,11)</f>
        <v>152.59000000000003</v>
      </c>
      <c r="AE7" s="9">
        <f>SUM(S7:AD7)</f>
        <v>5092.79</v>
      </c>
    </row>
    <row r="8" spans="1:31" ht="20.25" customHeight="1" x14ac:dyDescent="0.25">
      <c r="A8" s="20">
        <f t="shared" si="0"/>
        <v>2021</v>
      </c>
      <c r="B8" s="20">
        <f t="shared" si="1"/>
        <v>1</v>
      </c>
      <c r="C8" s="71">
        <v>44201</v>
      </c>
      <c r="D8" s="71">
        <v>44201</v>
      </c>
      <c r="E8" s="93" t="s">
        <v>33</v>
      </c>
      <c r="F8" s="25">
        <v>19.989999999999998</v>
      </c>
      <c r="G8" s="27" t="s">
        <v>68</v>
      </c>
      <c r="H8" s="7" t="str">
        <f t="shared" si="2"/>
        <v>Variable</v>
      </c>
      <c r="I8" s="8">
        <f t="shared" si="3"/>
        <v>922.72</v>
      </c>
      <c r="J8" s="211" t="s">
        <v>34</v>
      </c>
      <c r="K8" s="27" t="s">
        <v>632</v>
      </c>
      <c r="N8" s="5" t="s">
        <v>35</v>
      </c>
      <c r="O8" s="9">
        <f>SUMIFS(F:F,J:J,N8)+SUMIFS('Cash Flow'!$B:$B,'Cash Flow'!$A:$A,Discover!N8)*-1</f>
        <v>910.3599999999999</v>
      </c>
      <c r="Q8" s="11" t="str">
        <v>Gasoline</v>
      </c>
      <c r="R8" s="12" t="s">
        <v>27</v>
      </c>
      <c r="S8" s="9">
        <f t="shared" si="4"/>
        <v>67.87</v>
      </c>
      <c r="T8" s="9">
        <f t="shared" si="5"/>
        <v>67.47</v>
      </c>
      <c r="U8" s="9">
        <f t="shared" si="6"/>
        <v>80.06</v>
      </c>
      <c r="V8" s="9">
        <f t="shared" si="12"/>
        <v>125.95</v>
      </c>
      <c r="W8" s="9">
        <f t="shared" si="7"/>
        <v>115.16</v>
      </c>
      <c r="X8" s="9">
        <f t="shared" si="8"/>
        <v>104.56</v>
      </c>
      <c r="Y8" s="9">
        <f t="shared" si="9"/>
        <v>71.41</v>
      </c>
      <c r="Z8" s="9">
        <f t="shared" si="10"/>
        <v>199.87999999999997</v>
      </c>
      <c r="AA8" s="9">
        <f t="shared" si="11"/>
        <v>353.18</v>
      </c>
      <c r="AB8" s="9">
        <f t="shared" ref="AB8:AB21" si="13">SUMIFS($F:$F,$G:$G,$Q8,$B:$B,10)</f>
        <v>103</v>
      </c>
      <c r="AC8" s="9">
        <f t="shared" ref="AC8:AC21" si="14">SUMIFS($F:$F,$G:$G,$Q8,$B:$B,11)</f>
        <v>0</v>
      </c>
      <c r="AE8" s="57">
        <f t="shared" ref="AE8:AE21" si="15">SUM(S8:AD8)</f>
        <v>1288.54</v>
      </c>
    </row>
    <row r="9" spans="1:31" ht="20.25" customHeight="1" x14ac:dyDescent="0.25">
      <c r="A9" s="20">
        <f t="shared" si="0"/>
        <v>2021</v>
      </c>
      <c r="B9" s="20">
        <f t="shared" si="1"/>
        <v>1</v>
      </c>
      <c r="C9" s="71">
        <v>44202</v>
      </c>
      <c r="D9" s="71">
        <v>44202</v>
      </c>
      <c r="E9" s="93" t="s">
        <v>36</v>
      </c>
      <c r="F9" s="25">
        <v>24.95</v>
      </c>
      <c r="G9" s="183" t="s">
        <v>56</v>
      </c>
      <c r="H9" s="7" t="str">
        <f t="shared" si="2"/>
        <v>Variable</v>
      </c>
      <c r="I9" s="8">
        <f t="shared" si="3"/>
        <v>947.67000000000007</v>
      </c>
      <c r="J9" s="82" t="s">
        <v>35</v>
      </c>
      <c r="K9" s="183" t="s">
        <v>702</v>
      </c>
      <c r="N9" s="5" t="s">
        <v>37</v>
      </c>
      <c r="O9" s="9">
        <f>SUMIFS(F:F,J:J,N9)+SUMIFS('Cash Flow'!$B:$B,'Cash Flow'!$A:$A,Discover!N9)*-1</f>
        <v>1624.95</v>
      </c>
      <c r="Q9" s="11" t="str">
        <v>Merchandise</v>
      </c>
      <c r="R9" s="12" t="s">
        <v>27</v>
      </c>
      <c r="S9" s="9">
        <f t="shared" si="4"/>
        <v>434.07999999999993</v>
      </c>
      <c r="T9" s="9">
        <f t="shared" si="5"/>
        <v>262.62999999999994</v>
      </c>
      <c r="U9" s="9">
        <f t="shared" si="6"/>
        <v>427.63999999999993</v>
      </c>
      <c r="V9" s="9">
        <f t="shared" si="12"/>
        <v>360.76000000000005</v>
      </c>
      <c r="W9" s="9">
        <f t="shared" si="7"/>
        <v>645.9899999999999</v>
      </c>
      <c r="X9" s="9">
        <f t="shared" si="8"/>
        <v>1136.8900000000001</v>
      </c>
      <c r="Y9" s="9">
        <f t="shared" si="9"/>
        <v>1104.6699999999998</v>
      </c>
      <c r="Z9" s="9">
        <f t="shared" si="10"/>
        <v>662.17</v>
      </c>
      <c r="AA9" s="9">
        <f t="shared" si="11"/>
        <v>2140.89</v>
      </c>
      <c r="AB9" s="9">
        <f t="shared" si="13"/>
        <v>1531.79</v>
      </c>
      <c r="AC9" s="9">
        <f t="shared" si="14"/>
        <v>266.43</v>
      </c>
      <c r="AE9" s="9">
        <f t="shared" si="15"/>
        <v>8973.9399999999987</v>
      </c>
    </row>
    <row r="10" spans="1:31" ht="20.25" customHeight="1" x14ac:dyDescent="0.25">
      <c r="A10" s="20">
        <f t="shared" si="0"/>
        <v>2021</v>
      </c>
      <c r="B10" s="20">
        <f t="shared" si="1"/>
        <v>1</v>
      </c>
      <c r="C10" s="71">
        <v>44202</v>
      </c>
      <c r="D10" s="71">
        <v>44202</v>
      </c>
      <c r="E10" s="93" t="s">
        <v>38</v>
      </c>
      <c r="F10" s="25">
        <v>30</v>
      </c>
      <c r="G10" s="21" t="s">
        <v>45</v>
      </c>
      <c r="H10" s="7" t="str">
        <f t="shared" si="2"/>
        <v>Variable</v>
      </c>
      <c r="I10" s="8">
        <f t="shared" si="3"/>
        <v>977.67000000000007</v>
      </c>
      <c r="J10" s="7"/>
      <c r="K10" s="21" t="s">
        <v>676</v>
      </c>
      <c r="N10" s="117" t="s">
        <v>92</v>
      </c>
      <c r="O10" s="9">
        <f>SUMIFS(F:F,J:J,N10)+SUMIFS('Cash Flow'!$B:$B,'Cash Flow'!$A:$A,Discover!N10)*-1</f>
        <v>297.5</v>
      </c>
      <c r="Q10" s="11" t="str">
        <v>Family</v>
      </c>
      <c r="R10" s="12" t="s">
        <v>27</v>
      </c>
      <c r="S10" s="9">
        <f t="shared" si="4"/>
        <v>172.83999999999997</v>
      </c>
      <c r="T10" s="9">
        <f t="shared" si="5"/>
        <v>71.260000000000005</v>
      </c>
      <c r="U10" s="9">
        <f t="shared" si="6"/>
        <v>84.95</v>
      </c>
      <c r="V10" s="9">
        <f t="shared" si="12"/>
        <v>9.9499999999999993</v>
      </c>
      <c r="W10" s="9">
        <f t="shared" si="7"/>
        <v>91.85</v>
      </c>
      <c r="X10" s="9">
        <f t="shared" si="8"/>
        <v>0</v>
      </c>
      <c r="Y10" s="9">
        <f t="shared" si="9"/>
        <v>0</v>
      </c>
      <c r="Z10" s="9">
        <f t="shared" si="10"/>
        <v>0</v>
      </c>
      <c r="AA10" s="9">
        <f t="shared" si="11"/>
        <v>0</v>
      </c>
      <c r="AB10" s="9">
        <f t="shared" si="13"/>
        <v>0</v>
      </c>
      <c r="AC10" s="9">
        <f t="shared" si="14"/>
        <v>0</v>
      </c>
      <c r="AE10" s="9">
        <f t="shared" si="15"/>
        <v>430.84999999999991</v>
      </c>
    </row>
    <row r="11" spans="1:31" ht="20.25" customHeight="1" x14ac:dyDescent="0.25">
      <c r="A11" s="20">
        <f t="shared" si="0"/>
        <v>2021</v>
      </c>
      <c r="B11" s="20">
        <f t="shared" si="1"/>
        <v>1</v>
      </c>
      <c r="C11" s="71">
        <v>44202</v>
      </c>
      <c r="D11" s="71">
        <v>44202</v>
      </c>
      <c r="E11" s="93" t="s">
        <v>39</v>
      </c>
      <c r="F11" s="25">
        <v>24.24</v>
      </c>
      <c r="G11" s="21" t="s">
        <v>90</v>
      </c>
      <c r="H11" s="7" t="str">
        <f t="shared" si="2"/>
        <v>Variable</v>
      </c>
      <c r="I11" s="8">
        <f t="shared" si="3"/>
        <v>1001.9100000000001</v>
      </c>
      <c r="J11" s="7"/>
      <c r="K11" s="21" t="s">
        <v>675</v>
      </c>
      <c r="N11" s="117" t="s">
        <v>509</v>
      </c>
      <c r="O11" s="9">
        <f>SUMIFS(F:F,J:J,N11)+SUMIFS('Cash Flow'!$B:$B,'Cash Flow'!$A:$A,Discover!N11)*-1</f>
        <v>595</v>
      </c>
      <c r="Q11" s="11" t="str">
        <v>Medical Services</v>
      </c>
      <c r="R11" s="12" t="s">
        <v>27</v>
      </c>
      <c r="S11" s="9">
        <f t="shared" si="4"/>
        <v>70.509999999999991</v>
      </c>
      <c r="T11" s="9">
        <f t="shared" si="5"/>
        <v>0</v>
      </c>
      <c r="U11" s="9">
        <f t="shared" si="6"/>
        <v>0</v>
      </c>
      <c r="V11" s="9">
        <f t="shared" si="12"/>
        <v>0</v>
      </c>
      <c r="W11" s="9">
        <f t="shared" si="7"/>
        <v>0</v>
      </c>
      <c r="X11" s="9">
        <f t="shared" si="8"/>
        <v>0</v>
      </c>
      <c r="Y11" s="9">
        <f t="shared" si="9"/>
        <v>0</v>
      </c>
      <c r="Z11" s="9">
        <f t="shared" si="10"/>
        <v>0</v>
      </c>
      <c r="AA11" s="9">
        <f t="shared" si="11"/>
        <v>0</v>
      </c>
      <c r="AB11" s="9">
        <f t="shared" si="13"/>
        <v>0</v>
      </c>
      <c r="AC11" s="9">
        <f t="shared" si="14"/>
        <v>0</v>
      </c>
      <c r="AE11" s="9">
        <f t="shared" si="15"/>
        <v>70.509999999999991</v>
      </c>
    </row>
    <row r="12" spans="1:31" ht="20.25" customHeight="1" x14ac:dyDescent="0.25">
      <c r="A12" s="20">
        <f t="shared" si="0"/>
        <v>2021</v>
      </c>
      <c r="B12" s="20">
        <f t="shared" si="1"/>
        <v>1</v>
      </c>
      <c r="C12" s="71">
        <v>44203</v>
      </c>
      <c r="D12" s="71">
        <v>44203</v>
      </c>
      <c r="E12" s="93" t="s">
        <v>40</v>
      </c>
      <c r="F12" s="25">
        <v>12.09</v>
      </c>
      <c r="G12" s="21" t="s">
        <v>41</v>
      </c>
      <c r="H12" s="7" t="str">
        <f t="shared" si="2"/>
        <v>Variable</v>
      </c>
      <c r="I12" s="8">
        <f t="shared" si="3"/>
        <v>1014.0000000000001</v>
      </c>
      <c r="J12" s="7"/>
      <c r="K12" s="21" t="s">
        <v>675</v>
      </c>
      <c r="N12" s="117" t="s">
        <v>515</v>
      </c>
      <c r="O12" s="9">
        <f>SUMIFS(F:F,J:J,N12)+SUMIFS('Cash Flow'!$B:$B,'Cash Flow'!$A:$A,Discover!N12)*-1</f>
        <v>0</v>
      </c>
      <c r="Q12" s="11" t="str">
        <v>Supermarkets</v>
      </c>
      <c r="R12" s="12" t="s">
        <v>27</v>
      </c>
      <c r="S12" s="9">
        <f t="shared" si="4"/>
        <v>138.13999999999999</v>
      </c>
      <c r="T12" s="9">
        <f t="shared" si="5"/>
        <v>247.64999999999998</v>
      </c>
      <c r="U12" s="9">
        <f t="shared" si="6"/>
        <v>132.85</v>
      </c>
      <c r="V12" s="9">
        <f t="shared" si="12"/>
        <v>25.32</v>
      </c>
      <c r="W12" s="9">
        <f t="shared" si="7"/>
        <v>321.42</v>
      </c>
      <c r="X12" s="9">
        <f t="shared" si="8"/>
        <v>100.64000000000001</v>
      </c>
      <c r="Y12" s="9">
        <f t="shared" si="9"/>
        <v>328.94</v>
      </c>
      <c r="Z12" s="9">
        <f t="shared" si="10"/>
        <v>114.91</v>
      </c>
      <c r="AA12" s="9">
        <f t="shared" si="11"/>
        <v>192.66</v>
      </c>
      <c r="AB12" s="9">
        <f t="shared" si="13"/>
        <v>218.82</v>
      </c>
      <c r="AC12" s="9">
        <f t="shared" si="14"/>
        <v>103.39</v>
      </c>
      <c r="AE12" s="57">
        <f t="shared" si="15"/>
        <v>1924.7400000000002</v>
      </c>
    </row>
    <row r="13" spans="1:31" ht="20.25" customHeight="1" x14ac:dyDescent="0.25">
      <c r="A13" s="20">
        <f t="shared" si="0"/>
        <v>2021</v>
      </c>
      <c r="B13" s="20">
        <f t="shared" si="1"/>
        <v>1</v>
      </c>
      <c r="C13" s="71">
        <v>44203</v>
      </c>
      <c r="D13" s="71">
        <v>44203</v>
      </c>
      <c r="E13" s="93" t="s">
        <v>42</v>
      </c>
      <c r="F13" s="25">
        <v>44</v>
      </c>
      <c r="G13" s="21" t="s">
        <v>41</v>
      </c>
      <c r="H13" s="7" t="str">
        <f t="shared" si="2"/>
        <v>Variable</v>
      </c>
      <c r="I13" s="8">
        <f t="shared" si="3"/>
        <v>1058</v>
      </c>
      <c r="J13" s="7"/>
      <c r="K13" s="21" t="s">
        <v>675</v>
      </c>
      <c r="O13" s="9">
        <f>SUM(O8:O12)</f>
        <v>3427.81</v>
      </c>
      <c r="Q13" s="11" t="str">
        <v>Restaurants</v>
      </c>
      <c r="R13" s="12" t="s">
        <v>27</v>
      </c>
      <c r="S13" s="9">
        <f t="shared" si="4"/>
        <v>117.23</v>
      </c>
      <c r="T13" s="9">
        <f t="shared" si="5"/>
        <v>51.96</v>
      </c>
      <c r="U13" s="9">
        <f t="shared" si="6"/>
        <v>259.85000000000002</v>
      </c>
      <c r="V13" s="9">
        <f t="shared" si="12"/>
        <v>487.13</v>
      </c>
      <c r="W13" s="9">
        <f t="shared" si="7"/>
        <v>247.11</v>
      </c>
      <c r="X13" s="9">
        <f t="shared" si="8"/>
        <v>472.59</v>
      </c>
      <c r="Y13" s="9">
        <f t="shared" si="9"/>
        <v>689.57999999999981</v>
      </c>
      <c r="Z13" s="9">
        <f t="shared" si="10"/>
        <v>1021.4699999999999</v>
      </c>
      <c r="AA13" s="9">
        <f t="shared" si="11"/>
        <v>1134.5000000000005</v>
      </c>
      <c r="AB13" s="9">
        <f t="shared" si="13"/>
        <v>465.78000000000003</v>
      </c>
      <c r="AC13" s="9">
        <f t="shared" si="14"/>
        <v>252.96</v>
      </c>
      <c r="AE13" s="57">
        <f t="shared" si="15"/>
        <v>5200.16</v>
      </c>
    </row>
    <row r="14" spans="1:31" ht="20.25" customHeight="1" x14ac:dyDescent="0.25">
      <c r="A14" s="20">
        <f t="shared" si="0"/>
        <v>2021</v>
      </c>
      <c r="B14" s="20">
        <f t="shared" si="1"/>
        <v>1</v>
      </c>
      <c r="C14" s="71">
        <v>44203</v>
      </c>
      <c r="D14" s="71">
        <v>44203</v>
      </c>
      <c r="E14" s="93" t="s">
        <v>39</v>
      </c>
      <c r="F14" s="25">
        <v>14.52</v>
      </c>
      <c r="G14" s="21" t="s">
        <v>90</v>
      </c>
      <c r="H14" s="7" t="str">
        <f t="shared" si="2"/>
        <v>Variable</v>
      </c>
      <c r="I14" s="8">
        <f t="shared" si="3"/>
        <v>1072.52</v>
      </c>
      <c r="J14" s="7"/>
      <c r="K14" s="21" t="s">
        <v>675</v>
      </c>
      <c r="Q14" s="11" t="str">
        <v>Services</v>
      </c>
      <c r="R14" s="12" t="s">
        <v>27</v>
      </c>
      <c r="S14" s="9">
        <f t="shared" si="4"/>
        <v>29.270000000000003</v>
      </c>
      <c r="T14" s="9">
        <f t="shared" si="5"/>
        <v>0</v>
      </c>
      <c r="U14" s="9">
        <f t="shared" si="6"/>
        <v>470</v>
      </c>
      <c r="V14" s="9">
        <f t="shared" si="12"/>
        <v>98</v>
      </c>
      <c r="W14" s="9">
        <f t="shared" si="7"/>
        <v>1.5</v>
      </c>
      <c r="X14" s="9">
        <f t="shared" si="8"/>
        <v>213.84</v>
      </c>
      <c r="Y14" s="9">
        <f t="shared" si="9"/>
        <v>1904.5800000000002</v>
      </c>
      <c r="Z14" s="9">
        <f t="shared" si="10"/>
        <v>283.02999999999997</v>
      </c>
      <c r="AA14" s="9">
        <f t="shared" si="11"/>
        <v>375.09999999999997</v>
      </c>
      <c r="AB14" s="9">
        <f t="shared" si="13"/>
        <v>352.52</v>
      </c>
      <c r="AC14" s="9">
        <f t="shared" si="14"/>
        <v>5</v>
      </c>
      <c r="AE14" s="9">
        <f t="shared" si="15"/>
        <v>3732.84</v>
      </c>
    </row>
    <row r="15" spans="1:31" ht="20.25" customHeight="1" x14ac:dyDescent="0.25">
      <c r="A15" s="20">
        <f t="shared" si="0"/>
        <v>2021</v>
      </c>
      <c r="B15" s="20">
        <f t="shared" si="1"/>
        <v>1</v>
      </c>
      <c r="C15" s="71">
        <v>44204</v>
      </c>
      <c r="D15" s="71">
        <v>44204</v>
      </c>
      <c r="E15" s="93" t="s">
        <v>43</v>
      </c>
      <c r="F15" s="25">
        <v>3.37</v>
      </c>
      <c r="G15" s="183" t="s">
        <v>56</v>
      </c>
      <c r="H15" s="7" t="str">
        <f t="shared" si="2"/>
        <v>Variable</v>
      </c>
      <c r="I15" s="8">
        <f t="shared" si="3"/>
        <v>1075.8899999999999</v>
      </c>
      <c r="J15" s="7" t="s">
        <v>35</v>
      </c>
      <c r="K15" s="183" t="s">
        <v>702</v>
      </c>
      <c r="N15" s="117" t="s">
        <v>631</v>
      </c>
      <c r="Q15" s="11" t="str">
        <v>Education</v>
      </c>
      <c r="R15" s="12" t="s">
        <v>27</v>
      </c>
      <c r="S15" s="9">
        <f t="shared" si="4"/>
        <v>49</v>
      </c>
      <c r="T15" s="9">
        <f t="shared" si="5"/>
        <v>215</v>
      </c>
      <c r="U15" s="9">
        <f t="shared" si="6"/>
        <v>0</v>
      </c>
      <c r="V15" s="9">
        <f t="shared" si="12"/>
        <v>0</v>
      </c>
      <c r="W15" s="9">
        <f t="shared" si="7"/>
        <v>0</v>
      </c>
      <c r="X15" s="9">
        <f t="shared" si="8"/>
        <v>199</v>
      </c>
      <c r="Y15" s="9">
        <f t="shared" si="9"/>
        <v>0</v>
      </c>
      <c r="Z15" s="9">
        <f t="shared" si="10"/>
        <v>4.8</v>
      </c>
      <c r="AA15" s="9">
        <f t="shared" si="11"/>
        <v>0</v>
      </c>
      <c r="AB15" s="9">
        <f t="shared" si="13"/>
        <v>0</v>
      </c>
      <c r="AC15" s="9">
        <f t="shared" si="14"/>
        <v>0</v>
      </c>
      <c r="AE15" s="9">
        <f t="shared" si="15"/>
        <v>467.8</v>
      </c>
    </row>
    <row r="16" spans="1:31" ht="20.25" customHeight="1" x14ac:dyDescent="0.25">
      <c r="A16" s="20">
        <f t="shared" si="0"/>
        <v>2021</v>
      </c>
      <c r="B16" s="20">
        <f t="shared" si="1"/>
        <v>1</v>
      </c>
      <c r="C16" s="71">
        <v>44204</v>
      </c>
      <c r="D16" s="71">
        <v>44204</v>
      </c>
      <c r="E16" s="93" t="s">
        <v>44</v>
      </c>
      <c r="F16" s="25">
        <v>40.51</v>
      </c>
      <c r="G16" s="21" t="s">
        <v>45</v>
      </c>
      <c r="H16" s="7" t="str">
        <f t="shared" si="2"/>
        <v>Variable</v>
      </c>
      <c r="I16" s="8">
        <f t="shared" si="3"/>
        <v>1116.3999999999999</v>
      </c>
      <c r="J16" s="7" t="s">
        <v>46</v>
      </c>
      <c r="K16" s="21" t="s">
        <v>676</v>
      </c>
      <c r="N16" s="64" t="s">
        <v>206</v>
      </c>
      <c r="O16" s="9">
        <f>SUMIFS(F:F,J:J,N16)+SUMIFS('Cash Flow'!$B:$B,'Cash Flow'!$A:$A,Discover!N16)*-1</f>
        <v>373.46000000000004</v>
      </c>
      <c r="Q16" s="11" t="str">
        <v>Awards and Rebate Credits</v>
      </c>
      <c r="R16" s="12" t="s">
        <v>31</v>
      </c>
      <c r="S16" s="9">
        <f t="shared" si="4"/>
        <v>-22.18</v>
      </c>
      <c r="T16" s="9">
        <f t="shared" si="5"/>
        <v>-14</v>
      </c>
      <c r="U16" s="9">
        <f t="shared" si="6"/>
        <v>-14.05</v>
      </c>
      <c r="V16" s="9">
        <f t="shared" si="12"/>
        <v>0</v>
      </c>
      <c r="W16" s="9">
        <f t="shared" si="7"/>
        <v>0</v>
      </c>
      <c r="X16" s="9">
        <f t="shared" si="8"/>
        <v>0</v>
      </c>
      <c r="Y16" s="9">
        <f t="shared" si="9"/>
        <v>0</v>
      </c>
      <c r="Z16" s="9">
        <f t="shared" si="10"/>
        <v>-38.86</v>
      </c>
      <c r="AA16" s="9">
        <f t="shared" si="11"/>
        <v>0</v>
      </c>
      <c r="AB16" s="9">
        <f t="shared" si="13"/>
        <v>0</v>
      </c>
      <c r="AC16" s="9">
        <f t="shared" si="14"/>
        <v>-43.38</v>
      </c>
      <c r="AE16" s="9">
        <f t="shared" si="15"/>
        <v>-132.47</v>
      </c>
    </row>
    <row r="17" spans="1:31" ht="20.25" customHeight="1" x14ac:dyDescent="0.25">
      <c r="A17" s="20">
        <f t="shared" si="0"/>
        <v>2021</v>
      </c>
      <c r="B17" s="20">
        <f t="shared" si="1"/>
        <v>1</v>
      </c>
      <c r="C17" s="71">
        <v>44205</v>
      </c>
      <c r="D17" s="71">
        <v>44205</v>
      </c>
      <c r="E17" s="93" t="s">
        <v>47</v>
      </c>
      <c r="F17" s="25">
        <v>30</v>
      </c>
      <c r="G17" s="24" t="s">
        <v>41</v>
      </c>
      <c r="H17" s="7" t="str">
        <f t="shared" si="2"/>
        <v>Variable</v>
      </c>
      <c r="I17" s="8">
        <f t="shared" si="3"/>
        <v>1146.3999999999999</v>
      </c>
      <c r="J17" s="7" t="s">
        <v>48</v>
      </c>
      <c r="K17" s="24" t="s">
        <v>675</v>
      </c>
      <c r="N17" s="117" t="s">
        <v>604</v>
      </c>
      <c r="O17" s="9">
        <f>SUMIFS(F:F,J:J,N17)+SUMIFS('Cash Flow'!$B:$B,'Cash Flow'!$A:$A,Discover!N17)*-1</f>
        <v>1983.8</v>
      </c>
      <c r="Q17" s="11" t="str">
        <v>Government Services</v>
      </c>
      <c r="R17" s="12" t="s">
        <v>27</v>
      </c>
      <c r="S17" s="9">
        <f t="shared" si="4"/>
        <v>0</v>
      </c>
      <c r="T17" s="9">
        <f t="shared" si="5"/>
        <v>40.15</v>
      </c>
      <c r="U17" s="9">
        <f t="shared" si="6"/>
        <v>0</v>
      </c>
      <c r="V17" s="9">
        <f t="shared" si="12"/>
        <v>0</v>
      </c>
      <c r="W17" s="9">
        <f t="shared" si="7"/>
        <v>26.35</v>
      </c>
      <c r="X17" s="9">
        <f t="shared" si="8"/>
        <v>195.05</v>
      </c>
      <c r="Y17" s="9">
        <f t="shared" si="9"/>
        <v>194</v>
      </c>
      <c r="Z17" s="9">
        <f t="shared" si="10"/>
        <v>21.51</v>
      </c>
      <c r="AA17" s="9">
        <f t="shared" si="11"/>
        <v>140.91</v>
      </c>
      <c r="AB17" s="9">
        <f t="shared" si="13"/>
        <v>0</v>
      </c>
      <c r="AC17" s="9">
        <f t="shared" si="14"/>
        <v>138.14000000000001</v>
      </c>
      <c r="AE17" s="9">
        <f t="shared" si="15"/>
        <v>756.11</v>
      </c>
    </row>
    <row r="18" spans="1:31" ht="20.25" customHeight="1" x14ac:dyDescent="0.25">
      <c r="A18" s="20">
        <f t="shared" si="0"/>
        <v>2021</v>
      </c>
      <c r="B18" s="20">
        <f t="shared" si="1"/>
        <v>1</v>
      </c>
      <c r="C18" s="71">
        <v>44205</v>
      </c>
      <c r="D18" s="71">
        <v>44205</v>
      </c>
      <c r="E18" s="93" t="s">
        <v>49</v>
      </c>
      <c r="F18" s="25">
        <v>37.5</v>
      </c>
      <c r="G18" s="21" t="s">
        <v>68</v>
      </c>
      <c r="H18" s="7" t="str">
        <f t="shared" si="2"/>
        <v>Variable</v>
      </c>
      <c r="I18" s="8">
        <f t="shared" si="3"/>
        <v>1183.8999999999999</v>
      </c>
      <c r="J18" s="7"/>
      <c r="K18" s="21" t="s">
        <v>693</v>
      </c>
      <c r="O18" s="9">
        <f>SUM(O16:O17)</f>
        <v>2357.2600000000002</v>
      </c>
      <c r="Q18" s="11" t="str">
        <v>Automotive</v>
      </c>
      <c r="R18" s="12" t="s">
        <v>29</v>
      </c>
      <c r="S18" s="9">
        <f t="shared" si="4"/>
        <v>0</v>
      </c>
      <c r="T18" s="9">
        <f t="shared" si="5"/>
        <v>0</v>
      </c>
      <c r="U18" s="9">
        <f t="shared" si="6"/>
        <v>86.17</v>
      </c>
      <c r="V18" s="9">
        <f t="shared" si="12"/>
        <v>5.65</v>
      </c>
      <c r="W18" s="9">
        <f t="shared" si="7"/>
        <v>401.19</v>
      </c>
      <c r="X18" s="9">
        <f t="shared" si="8"/>
        <v>0</v>
      </c>
      <c r="Y18" s="9">
        <f t="shared" si="9"/>
        <v>394.26</v>
      </c>
      <c r="Z18" s="9">
        <f t="shared" si="10"/>
        <v>0</v>
      </c>
      <c r="AA18" s="9">
        <f t="shared" si="11"/>
        <v>110.71</v>
      </c>
      <c r="AB18" s="9">
        <f t="shared" si="13"/>
        <v>0</v>
      </c>
      <c r="AC18" s="9">
        <f t="shared" si="14"/>
        <v>0</v>
      </c>
      <c r="AE18" s="57">
        <f t="shared" si="15"/>
        <v>997.98</v>
      </c>
    </row>
    <row r="19" spans="1:31" ht="20.25" customHeight="1" x14ac:dyDescent="0.25">
      <c r="A19" s="20">
        <f t="shared" si="0"/>
        <v>2021</v>
      </c>
      <c r="B19" s="20">
        <f t="shared" si="1"/>
        <v>1</v>
      </c>
      <c r="C19" s="71">
        <v>44206</v>
      </c>
      <c r="D19" s="71">
        <v>44206</v>
      </c>
      <c r="E19" s="94" t="s">
        <v>50</v>
      </c>
      <c r="F19" s="25">
        <v>14.99</v>
      </c>
      <c r="G19" s="24" t="s">
        <v>26</v>
      </c>
      <c r="H19" s="7" t="str">
        <f t="shared" si="2"/>
        <v>Fixed</v>
      </c>
      <c r="I19" s="8">
        <f t="shared" si="3"/>
        <v>1198.8899999999999</v>
      </c>
      <c r="J19" s="82" t="s">
        <v>293</v>
      </c>
      <c r="K19" s="24" t="s">
        <v>788</v>
      </c>
      <c r="Q19" s="11" t="str">
        <v>Travel/ Entertainment</v>
      </c>
      <c r="R19" s="12" t="s">
        <v>27</v>
      </c>
      <c r="S19" s="9">
        <f t="shared" si="4"/>
        <v>0</v>
      </c>
      <c r="T19" s="9">
        <f t="shared" si="5"/>
        <v>0</v>
      </c>
      <c r="U19" s="9">
        <f t="shared" si="6"/>
        <v>101.04</v>
      </c>
      <c r="V19" s="9">
        <f t="shared" si="12"/>
        <v>4.24</v>
      </c>
      <c r="W19" s="9">
        <f t="shared" si="7"/>
        <v>360.04999999999995</v>
      </c>
      <c r="X19" s="9">
        <f t="shared" si="8"/>
        <v>179.76999999999998</v>
      </c>
      <c r="Y19" s="9">
        <f t="shared" si="9"/>
        <v>864.11999999999989</v>
      </c>
      <c r="Z19" s="9">
        <f t="shared" si="10"/>
        <v>241.28999999999996</v>
      </c>
      <c r="AA19" s="9">
        <f t="shared" si="11"/>
        <v>360.22</v>
      </c>
      <c r="AB19" s="9">
        <f t="shared" si="13"/>
        <v>61.14</v>
      </c>
      <c r="AC19" s="9">
        <f t="shared" si="14"/>
        <v>69.199999999999989</v>
      </c>
      <c r="AE19" s="9">
        <f t="shared" si="15"/>
        <v>2241.0699999999993</v>
      </c>
    </row>
    <row r="20" spans="1:31" ht="20.25" customHeight="1" x14ac:dyDescent="0.25">
      <c r="A20" s="20">
        <f t="shared" si="0"/>
        <v>2021</v>
      </c>
      <c r="B20" s="20">
        <f t="shared" si="1"/>
        <v>1</v>
      </c>
      <c r="C20" s="71">
        <v>44206</v>
      </c>
      <c r="D20" s="71">
        <v>44206</v>
      </c>
      <c r="E20" s="93" t="s">
        <v>51</v>
      </c>
      <c r="F20" s="25">
        <v>14.47</v>
      </c>
      <c r="G20" s="21" t="s">
        <v>52</v>
      </c>
      <c r="H20" s="7" t="str">
        <f t="shared" si="2"/>
        <v>Variable</v>
      </c>
      <c r="I20" s="8">
        <f t="shared" si="3"/>
        <v>1213.3599999999999</v>
      </c>
      <c r="J20" s="7" t="s">
        <v>53</v>
      </c>
      <c r="K20" s="21" t="s">
        <v>702</v>
      </c>
      <c r="N20" s="117" t="s">
        <v>630</v>
      </c>
      <c r="Q20" s="11" t="str">
        <v>Home Improvement</v>
      </c>
      <c r="R20" s="12" t="s">
        <v>27</v>
      </c>
      <c r="S20" s="9">
        <f t="shared" si="4"/>
        <v>0</v>
      </c>
      <c r="T20" s="9">
        <f t="shared" si="5"/>
        <v>0</v>
      </c>
      <c r="U20" s="9">
        <f t="shared" si="6"/>
        <v>0</v>
      </c>
      <c r="V20" s="9">
        <f t="shared" si="12"/>
        <v>92.58</v>
      </c>
      <c r="W20" s="9">
        <f t="shared" si="7"/>
        <v>54.37</v>
      </c>
      <c r="X20" s="9">
        <f t="shared" si="8"/>
        <v>23.13</v>
      </c>
      <c r="Y20" s="9">
        <f t="shared" si="9"/>
        <v>0</v>
      </c>
      <c r="Z20" s="9">
        <f t="shared" si="10"/>
        <v>89.509999999999991</v>
      </c>
      <c r="AA20" s="9">
        <f t="shared" si="11"/>
        <v>0</v>
      </c>
      <c r="AB20" s="9">
        <f t="shared" si="13"/>
        <v>167.01000000000002</v>
      </c>
      <c r="AC20" s="9">
        <f t="shared" si="14"/>
        <v>0</v>
      </c>
      <c r="AE20" s="9">
        <f t="shared" si="15"/>
        <v>426.6</v>
      </c>
    </row>
    <row r="21" spans="1:31" ht="20.25" customHeight="1" x14ac:dyDescent="0.25">
      <c r="A21" s="20">
        <f t="shared" si="0"/>
        <v>2021</v>
      </c>
      <c r="B21" s="20">
        <f t="shared" si="1"/>
        <v>1</v>
      </c>
      <c r="C21" s="71">
        <v>44206</v>
      </c>
      <c r="D21" s="71">
        <v>44206</v>
      </c>
      <c r="E21" s="93" t="s">
        <v>54</v>
      </c>
      <c r="F21" s="25">
        <v>11.45</v>
      </c>
      <c r="G21" s="21" t="s">
        <v>52</v>
      </c>
      <c r="H21" s="7" t="str">
        <f t="shared" si="2"/>
        <v>Variable</v>
      </c>
      <c r="I21" s="8">
        <f t="shared" si="3"/>
        <v>1224.81</v>
      </c>
      <c r="J21" s="7" t="s">
        <v>53</v>
      </c>
      <c r="K21" s="21" t="s">
        <v>702</v>
      </c>
      <c r="N21" s="76" t="s">
        <v>300</v>
      </c>
      <c r="O21" s="9">
        <f>SUMIFS(F:F,J:J,N21)+SUMIFS('Cash Flow'!$B:$B,'Cash Flow'!$A:$A,Discover!N21)*-1</f>
        <v>396.27</v>
      </c>
      <c r="Q21" s="11" t="str">
        <v>Car Wash</v>
      </c>
      <c r="R21" s="12" t="s">
        <v>27</v>
      </c>
      <c r="S21" s="9">
        <f t="shared" si="4"/>
        <v>0</v>
      </c>
      <c r="T21" s="9">
        <f t="shared" si="5"/>
        <v>0</v>
      </c>
      <c r="U21" s="9">
        <f t="shared" si="6"/>
        <v>0</v>
      </c>
      <c r="V21" s="9">
        <f t="shared" si="12"/>
        <v>0</v>
      </c>
      <c r="W21" s="9">
        <f t="shared" si="7"/>
        <v>0</v>
      </c>
      <c r="X21" s="9">
        <f t="shared" si="8"/>
        <v>0</v>
      </c>
      <c r="Y21" s="9">
        <f t="shared" si="9"/>
        <v>0</v>
      </c>
      <c r="Z21" s="9">
        <f t="shared" si="10"/>
        <v>63.08</v>
      </c>
      <c r="AA21" s="9">
        <f t="shared" si="11"/>
        <v>0</v>
      </c>
      <c r="AB21" s="9">
        <f t="shared" si="13"/>
        <v>0</v>
      </c>
      <c r="AC21" s="9">
        <f t="shared" si="14"/>
        <v>0</v>
      </c>
      <c r="AE21" s="9">
        <f t="shared" si="15"/>
        <v>63.08</v>
      </c>
    </row>
    <row r="22" spans="1:31" ht="20.25" customHeight="1" thickBot="1" x14ac:dyDescent="0.25">
      <c r="A22" s="20">
        <f t="shared" si="0"/>
        <v>2021</v>
      </c>
      <c r="B22" s="20">
        <f t="shared" si="1"/>
        <v>1</v>
      </c>
      <c r="C22" s="71">
        <v>44206</v>
      </c>
      <c r="D22" s="71">
        <v>44206</v>
      </c>
      <c r="E22" s="93" t="s">
        <v>49</v>
      </c>
      <c r="F22" s="25">
        <v>74.16</v>
      </c>
      <c r="G22" s="21" t="s">
        <v>68</v>
      </c>
      <c r="H22" s="7" t="str">
        <f t="shared" si="2"/>
        <v>Variable</v>
      </c>
      <c r="I22" s="8">
        <f t="shared" si="3"/>
        <v>1298.97</v>
      </c>
      <c r="J22" s="7"/>
      <c r="K22" s="21" t="s">
        <v>693</v>
      </c>
      <c r="N22" s="117" t="s">
        <v>601</v>
      </c>
      <c r="O22" s="9">
        <f>SUMIFS(F:F,J:J,N22)+SUMIFS('Cash Flow'!$B:$B,'Cash Flow'!$A:$A,Discover!N22)*-1</f>
        <v>1380.63</v>
      </c>
      <c r="S22" s="9">
        <f t="shared" ref="S22:AB22" si="16">SUM(S6:S21)</f>
        <v>-909.99000000000035</v>
      </c>
      <c r="T22" s="9">
        <f t="shared" si="16"/>
        <v>-1063.4500000000003</v>
      </c>
      <c r="U22" s="9">
        <f t="shared" si="16"/>
        <v>-225.25999999999993</v>
      </c>
      <c r="V22" s="57">
        <f t="shared" si="16"/>
        <v>1046.94</v>
      </c>
      <c r="W22" s="57">
        <f t="shared" si="16"/>
        <v>2.1799999999996587</v>
      </c>
      <c r="X22" s="57">
        <f t="shared" si="16"/>
        <v>-93.269999999999698</v>
      </c>
      <c r="Y22" s="57">
        <f>SUM(Y6:Y21)</f>
        <v>-179.58000000000084</v>
      </c>
      <c r="Z22" s="57">
        <f t="shared" si="16"/>
        <v>45.970000000000383</v>
      </c>
      <c r="AA22" s="57">
        <f t="shared" si="16"/>
        <v>819.71000000000026</v>
      </c>
      <c r="AB22" s="57">
        <f t="shared" si="16"/>
        <v>1976.24</v>
      </c>
      <c r="AC22" s="57">
        <f t="shared" ref="AC22" si="17">SUM(AC6:AC21)</f>
        <v>-2731.1800000000007</v>
      </c>
    </row>
    <row r="23" spans="1:31" ht="20.25" customHeight="1" thickBot="1" x14ac:dyDescent="0.25">
      <c r="A23" s="20">
        <f t="shared" si="0"/>
        <v>2021</v>
      </c>
      <c r="B23" s="20">
        <f t="shared" si="1"/>
        <v>1</v>
      </c>
      <c r="C23" s="71">
        <v>44207</v>
      </c>
      <c r="D23" s="71">
        <v>44207</v>
      </c>
      <c r="E23" s="93" t="s">
        <v>55</v>
      </c>
      <c r="F23" s="25">
        <v>103</v>
      </c>
      <c r="G23" s="24" t="s">
        <v>56</v>
      </c>
      <c r="H23" s="7" t="str">
        <f t="shared" si="2"/>
        <v>Variable</v>
      </c>
      <c r="I23" s="8">
        <f t="shared" si="3"/>
        <v>1401.97</v>
      </c>
      <c r="J23" s="7" t="s">
        <v>37</v>
      </c>
      <c r="K23" s="24" t="s">
        <v>702</v>
      </c>
      <c r="N23" s="212" t="s">
        <v>929</v>
      </c>
      <c r="O23" s="9">
        <f>SUMIFS(F:F,J:J,N23)+SUMIFS('Cash Flow'!$B:$B,'Cash Flow'!$A:$A,Discover!N23)*-1</f>
        <v>1213.2900000000002</v>
      </c>
      <c r="R23" s="113" t="s">
        <v>534</v>
      </c>
      <c r="S23" s="112">
        <f t="shared" ref="S23:AA23" si="18">SUM(S7:S15,S17:S21)</f>
        <v>1269.5699999999997</v>
      </c>
      <c r="T23" s="112">
        <f t="shared" si="18"/>
        <v>1207.02</v>
      </c>
      <c r="U23" s="112">
        <f t="shared" si="18"/>
        <v>2202.41</v>
      </c>
      <c r="V23" s="112">
        <f t="shared" si="18"/>
        <v>1518.0100000000002</v>
      </c>
      <c r="W23" s="112">
        <f t="shared" si="18"/>
        <v>2857.34</v>
      </c>
      <c r="X23" s="112">
        <f t="shared" si="18"/>
        <v>3204.5600000000004</v>
      </c>
      <c r="Y23" s="112">
        <f t="shared" si="18"/>
        <v>5947.51</v>
      </c>
      <c r="Z23" s="112">
        <f t="shared" si="18"/>
        <v>3357.0700000000006</v>
      </c>
      <c r="AA23" s="112">
        <f t="shared" si="18"/>
        <v>5424.84</v>
      </c>
      <c r="AB23" s="112">
        <f t="shared" ref="AB23:AD23" si="19">SUM(AB7:AB15,AB17:AB21)</f>
        <v>3690.9700000000003</v>
      </c>
      <c r="AC23" s="112">
        <f t="shared" si="19"/>
        <v>987.71</v>
      </c>
      <c r="AD23" s="112">
        <f t="shared" si="19"/>
        <v>0</v>
      </c>
    </row>
    <row r="24" spans="1:31" ht="20.25" customHeight="1" x14ac:dyDescent="0.2">
      <c r="A24" s="20">
        <f t="shared" si="0"/>
        <v>2021</v>
      </c>
      <c r="B24" s="20">
        <f t="shared" si="1"/>
        <v>1</v>
      </c>
      <c r="C24" s="71">
        <v>44207</v>
      </c>
      <c r="D24" s="71">
        <v>44207</v>
      </c>
      <c r="E24" s="93" t="s">
        <v>57</v>
      </c>
      <c r="F24" s="25">
        <v>49</v>
      </c>
      <c r="G24" s="21" t="s">
        <v>91</v>
      </c>
      <c r="H24" s="7" t="str">
        <f t="shared" si="2"/>
        <v>Variable</v>
      </c>
      <c r="I24" s="8">
        <f t="shared" si="3"/>
        <v>1450.97</v>
      </c>
      <c r="J24" s="7"/>
      <c r="K24" s="21" t="s">
        <v>693</v>
      </c>
      <c r="O24" s="9">
        <f>SUM(O21:O22)</f>
        <v>1776.9</v>
      </c>
    </row>
    <row r="25" spans="1:31" ht="20.25" customHeight="1" x14ac:dyDescent="0.2">
      <c r="A25" s="20">
        <f t="shared" si="0"/>
        <v>2021</v>
      </c>
      <c r="B25" s="20">
        <f t="shared" si="1"/>
        <v>1</v>
      </c>
      <c r="C25" s="71">
        <v>44208</v>
      </c>
      <c r="D25" s="71">
        <v>44208</v>
      </c>
      <c r="E25" s="93" t="s">
        <v>60</v>
      </c>
      <c r="F25" s="25">
        <v>23.27</v>
      </c>
      <c r="G25" s="21" t="s">
        <v>24</v>
      </c>
      <c r="H25" s="7" t="str">
        <f t="shared" si="2"/>
        <v>Variable</v>
      </c>
      <c r="I25" s="8">
        <f t="shared" si="3"/>
        <v>1474.24</v>
      </c>
      <c r="J25" s="7"/>
      <c r="K25" s="21" t="s">
        <v>633</v>
      </c>
    </row>
    <row r="26" spans="1:31" ht="20.25" customHeight="1" x14ac:dyDescent="0.2">
      <c r="A26" s="20">
        <f t="shared" si="0"/>
        <v>2021</v>
      </c>
      <c r="B26" s="20">
        <f t="shared" si="1"/>
        <v>1</v>
      </c>
      <c r="C26" s="71">
        <v>44208</v>
      </c>
      <c r="D26" s="71">
        <v>44208</v>
      </c>
      <c r="E26" s="93" t="s">
        <v>58</v>
      </c>
      <c r="F26" s="25">
        <v>3.33</v>
      </c>
      <c r="G26" s="183" t="s">
        <v>56</v>
      </c>
      <c r="H26" s="7" t="str">
        <f t="shared" si="2"/>
        <v>Variable</v>
      </c>
      <c r="I26" s="8">
        <f t="shared" si="3"/>
        <v>1477.57</v>
      </c>
      <c r="J26" s="19" t="s">
        <v>35</v>
      </c>
      <c r="K26" s="183" t="s">
        <v>702</v>
      </c>
    </row>
    <row r="27" spans="1:31" ht="20.25" customHeight="1" x14ac:dyDescent="0.2">
      <c r="A27" s="20">
        <f t="shared" si="0"/>
        <v>2021</v>
      </c>
      <c r="B27" s="20">
        <f t="shared" si="1"/>
        <v>1</v>
      </c>
      <c r="C27" s="71">
        <v>44208</v>
      </c>
      <c r="D27" s="71">
        <v>44208</v>
      </c>
      <c r="E27" s="93" t="s">
        <v>59</v>
      </c>
      <c r="F27" s="25">
        <v>1.99</v>
      </c>
      <c r="G27" s="80" t="s">
        <v>26</v>
      </c>
      <c r="H27" s="7" t="str">
        <f t="shared" si="2"/>
        <v>Fixed</v>
      </c>
      <c r="I27" s="8">
        <f t="shared" si="3"/>
        <v>1479.56</v>
      </c>
      <c r="J27" s="82" t="s">
        <v>283</v>
      </c>
      <c r="K27" s="80" t="s">
        <v>788</v>
      </c>
    </row>
    <row r="28" spans="1:31" ht="20.25" customHeight="1" x14ac:dyDescent="0.2">
      <c r="A28" s="20">
        <f t="shared" si="0"/>
        <v>2021</v>
      </c>
      <c r="B28" s="20">
        <f t="shared" si="1"/>
        <v>1</v>
      </c>
      <c r="C28" s="71">
        <v>44211</v>
      </c>
      <c r="D28" s="71">
        <v>44211</v>
      </c>
      <c r="E28" s="93" t="s">
        <v>61</v>
      </c>
      <c r="F28" s="25">
        <v>-22.18</v>
      </c>
      <c r="G28" s="22" t="s">
        <v>62</v>
      </c>
      <c r="H28" s="7" t="str">
        <f t="shared" si="2"/>
        <v>Payment</v>
      </c>
      <c r="I28" s="8">
        <f t="shared" si="3"/>
        <v>1457.3799999999999</v>
      </c>
      <c r="J28" s="7"/>
      <c r="K28" s="22"/>
    </row>
    <row r="29" spans="1:31" ht="20.25" customHeight="1" x14ac:dyDescent="0.2">
      <c r="A29" s="20">
        <f t="shared" si="0"/>
        <v>2021</v>
      </c>
      <c r="B29" s="20">
        <f t="shared" si="1"/>
        <v>1</v>
      </c>
      <c r="C29" s="71">
        <v>44211</v>
      </c>
      <c r="D29" s="71">
        <v>44211</v>
      </c>
      <c r="E29" s="93" t="s">
        <v>78</v>
      </c>
      <c r="F29" s="25">
        <v>-728.15</v>
      </c>
      <c r="G29" s="21" t="s">
        <v>22</v>
      </c>
      <c r="H29" s="7" t="str">
        <f t="shared" si="2"/>
        <v>Payment</v>
      </c>
      <c r="I29" s="8">
        <f t="shared" si="3"/>
        <v>729.2299999999999</v>
      </c>
      <c r="J29" s="7"/>
      <c r="K29" s="21"/>
    </row>
    <row r="30" spans="1:31" ht="20.25" customHeight="1" x14ac:dyDescent="0.2">
      <c r="A30" s="20">
        <f t="shared" si="0"/>
        <v>2021</v>
      </c>
      <c r="B30" s="20">
        <f t="shared" si="1"/>
        <v>1</v>
      </c>
      <c r="C30" s="71">
        <v>44211</v>
      </c>
      <c r="D30" s="71">
        <v>44211</v>
      </c>
      <c r="E30" s="93" t="s">
        <v>21</v>
      </c>
      <c r="F30" s="25">
        <v>-729.23</v>
      </c>
      <c r="G30" s="21" t="s">
        <v>22</v>
      </c>
      <c r="H30" s="7" t="str">
        <f t="shared" si="2"/>
        <v>Payment</v>
      </c>
      <c r="I30" s="8">
        <f t="shared" si="3"/>
        <v>0</v>
      </c>
      <c r="J30" s="7"/>
      <c r="K30" s="21"/>
    </row>
    <row r="31" spans="1:31" ht="20.25" customHeight="1" x14ac:dyDescent="0.2">
      <c r="A31" s="20">
        <f t="shared" si="0"/>
        <v>2021</v>
      </c>
      <c r="B31" s="20">
        <f t="shared" si="1"/>
        <v>1</v>
      </c>
      <c r="C31" s="71">
        <v>44211</v>
      </c>
      <c r="D31" s="71">
        <v>44211</v>
      </c>
      <c r="E31" s="93" t="s">
        <v>63</v>
      </c>
      <c r="F31" s="25">
        <v>4.32</v>
      </c>
      <c r="G31" s="183" t="s">
        <v>56</v>
      </c>
      <c r="H31" s="7" t="str">
        <f t="shared" si="2"/>
        <v>Variable</v>
      </c>
      <c r="I31" s="8">
        <f t="shared" si="3"/>
        <v>4.32</v>
      </c>
      <c r="J31" s="7" t="s">
        <v>35</v>
      </c>
      <c r="K31" s="183" t="s">
        <v>702</v>
      </c>
    </row>
    <row r="32" spans="1:31" ht="20.25" customHeight="1" x14ac:dyDescent="0.2">
      <c r="A32" s="20">
        <f t="shared" si="0"/>
        <v>2021</v>
      </c>
      <c r="B32" s="20">
        <f t="shared" si="1"/>
        <v>1</v>
      </c>
      <c r="C32" s="71">
        <v>44211</v>
      </c>
      <c r="D32" s="71">
        <v>44211</v>
      </c>
      <c r="E32" s="93" t="s">
        <v>64</v>
      </c>
      <c r="F32" s="25">
        <v>21.19</v>
      </c>
      <c r="G32" s="21" t="s">
        <v>68</v>
      </c>
      <c r="H32" s="7" t="str">
        <f t="shared" si="2"/>
        <v>Variable</v>
      </c>
      <c r="I32" s="8">
        <f t="shared" si="3"/>
        <v>25.51</v>
      </c>
      <c r="J32" s="7" t="s">
        <v>65</v>
      </c>
      <c r="K32" s="21" t="s">
        <v>702</v>
      </c>
    </row>
    <row r="33" spans="1:11" ht="20.25" customHeight="1" x14ac:dyDescent="0.2">
      <c r="A33" s="20">
        <f t="shared" si="0"/>
        <v>2021</v>
      </c>
      <c r="B33" s="20">
        <f t="shared" si="1"/>
        <v>1</v>
      </c>
      <c r="C33" s="71">
        <v>44211</v>
      </c>
      <c r="D33" s="71">
        <v>44211</v>
      </c>
      <c r="E33" s="93" t="s">
        <v>49</v>
      </c>
      <c r="F33" s="25">
        <v>19.399999999999999</v>
      </c>
      <c r="G33" s="21" t="s">
        <v>68</v>
      </c>
      <c r="H33" s="7" t="str">
        <f t="shared" si="2"/>
        <v>Variable</v>
      </c>
      <c r="I33" s="8">
        <f t="shared" si="3"/>
        <v>44.91</v>
      </c>
      <c r="J33" s="7" t="s">
        <v>66</v>
      </c>
      <c r="K33" s="21" t="s">
        <v>693</v>
      </c>
    </row>
    <row r="34" spans="1:11" ht="20.25" customHeight="1" x14ac:dyDescent="0.2">
      <c r="A34" s="20">
        <f t="shared" si="0"/>
        <v>2021</v>
      </c>
      <c r="B34" s="20">
        <f t="shared" si="1"/>
        <v>1</v>
      </c>
      <c r="C34" s="71">
        <v>44212</v>
      </c>
      <c r="D34" s="71">
        <v>44212</v>
      </c>
      <c r="E34" s="93" t="s">
        <v>67</v>
      </c>
      <c r="F34" s="25">
        <v>58.29</v>
      </c>
      <c r="G34" s="21" t="s">
        <v>68</v>
      </c>
      <c r="H34" s="7" t="str">
        <f t="shared" si="2"/>
        <v>Variable</v>
      </c>
      <c r="I34" s="8">
        <f t="shared" si="3"/>
        <v>103.19999999999999</v>
      </c>
      <c r="J34" s="7" t="s">
        <v>69</v>
      </c>
      <c r="K34" s="21" t="s">
        <v>693</v>
      </c>
    </row>
    <row r="35" spans="1:11" ht="20.25" customHeight="1" x14ac:dyDescent="0.2">
      <c r="A35" s="20">
        <f t="shared" si="0"/>
        <v>2021</v>
      </c>
      <c r="B35" s="20">
        <f t="shared" si="1"/>
        <v>1</v>
      </c>
      <c r="C35" s="71">
        <v>44215</v>
      </c>
      <c r="D35" s="71">
        <v>44215</v>
      </c>
      <c r="E35" s="93" t="s">
        <v>79</v>
      </c>
      <c r="F35" s="25">
        <v>8.23</v>
      </c>
      <c r="G35" s="21" t="s">
        <v>41</v>
      </c>
      <c r="H35" s="7" t="str">
        <f t="shared" ref="H35:H66" si="20">VLOOKUP(G35,Expense_Lookup,2,0)</f>
        <v>Variable</v>
      </c>
      <c r="I35" s="8">
        <f t="shared" si="3"/>
        <v>111.42999999999999</v>
      </c>
      <c r="J35" s="7"/>
      <c r="K35" s="21" t="s">
        <v>675</v>
      </c>
    </row>
    <row r="36" spans="1:11" ht="20.25" customHeight="1" x14ac:dyDescent="0.2">
      <c r="A36" s="20">
        <f t="shared" si="0"/>
        <v>2021</v>
      </c>
      <c r="B36" s="20">
        <f t="shared" si="1"/>
        <v>1</v>
      </c>
      <c r="C36" s="71">
        <v>44215</v>
      </c>
      <c r="D36" s="71">
        <v>44215</v>
      </c>
      <c r="E36" s="93" t="s">
        <v>43</v>
      </c>
      <c r="F36" s="25">
        <v>2.86</v>
      </c>
      <c r="G36" s="183" t="s">
        <v>56</v>
      </c>
      <c r="H36" s="7" t="str">
        <f t="shared" si="20"/>
        <v>Variable</v>
      </c>
      <c r="I36" s="8">
        <f t="shared" si="3"/>
        <v>114.28999999999999</v>
      </c>
      <c r="J36" s="7" t="s">
        <v>35</v>
      </c>
      <c r="K36" s="183" t="s">
        <v>702</v>
      </c>
    </row>
    <row r="37" spans="1:11" ht="20.25" customHeight="1" x14ac:dyDescent="0.2">
      <c r="A37" s="20">
        <f t="shared" si="0"/>
        <v>2021</v>
      </c>
      <c r="B37" s="20">
        <f t="shared" si="1"/>
        <v>1</v>
      </c>
      <c r="C37" s="71">
        <v>44215</v>
      </c>
      <c r="D37" s="71">
        <v>44215</v>
      </c>
      <c r="E37" s="93" t="s">
        <v>70</v>
      </c>
      <c r="F37" s="25">
        <v>99.9</v>
      </c>
      <c r="G37" s="21" t="s">
        <v>68</v>
      </c>
      <c r="H37" s="7" t="str">
        <f t="shared" si="20"/>
        <v>Variable</v>
      </c>
      <c r="I37" s="8">
        <f t="shared" si="3"/>
        <v>214.19</v>
      </c>
      <c r="J37" s="7"/>
      <c r="K37" s="21" t="s">
        <v>693</v>
      </c>
    </row>
    <row r="38" spans="1:11" ht="20.25" customHeight="1" x14ac:dyDescent="0.2">
      <c r="A38" s="20">
        <f t="shared" si="0"/>
        <v>2021</v>
      </c>
      <c r="B38" s="20">
        <f t="shared" si="1"/>
        <v>1</v>
      </c>
      <c r="C38" s="71">
        <v>44216</v>
      </c>
      <c r="D38" s="71">
        <v>44216</v>
      </c>
      <c r="E38" s="93" t="s">
        <v>39</v>
      </c>
      <c r="F38" s="25">
        <v>15.15</v>
      </c>
      <c r="G38" s="21" t="s">
        <v>90</v>
      </c>
      <c r="H38" s="7" t="str">
        <f t="shared" si="20"/>
        <v>Variable</v>
      </c>
      <c r="I38" s="8">
        <f t="shared" si="3"/>
        <v>229.34</v>
      </c>
      <c r="J38" s="7"/>
      <c r="K38" s="21" t="s">
        <v>675</v>
      </c>
    </row>
    <row r="39" spans="1:11" ht="20.25" customHeight="1" x14ac:dyDescent="0.2">
      <c r="A39" s="20">
        <f t="shared" si="0"/>
        <v>2021</v>
      </c>
      <c r="B39" s="20">
        <f t="shared" si="1"/>
        <v>1</v>
      </c>
      <c r="C39" s="71">
        <v>44217</v>
      </c>
      <c r="D39" s="71">
        <v>44217</v>
      </c>
      <c r="E39" s="93" t="s">
        <v>80</v>
      </c>
      <c r="F39" s="25">
        <v>9.9499999999999993</v>
      </c>
      <c r="G39" s="183" t="s">
        <v>56</v>
      </c>
      <c r="H39" s="7" t="str">
        <f t="shared" si="20"/>
        <v>Variable</v>
      </c>
      <c r="I39" s="8">
        <f t="shared" si="3"/>
        <v>239.29</v>
      </c>
      <c r="J39" s="7" t="s">
        <v>35</v>
      </c>
      <c r="K39" s="183" t="s">
        <v>702</v>
      </c>
    </row>
    <row r="40" spans="1:11" ht="20.25" customHeight="1" x14ac:dyDescent="0.2">
      <c r="A40" s="20">
        <f t="shared" si="0"/>
        <v>2021</v>
      </c>
      <c r="B40" s="20">
        <f t="shared" si="1"/>
        <v>1</v>
      </c>
      <c r="C40" s="71">
        <v>44217</v>
      </c>
      <c r="D40" s="71">
        <v>44217</v>
      </c>
      <c r="E40" s="93" t="s">
        <v>81</v>
      </c>
      <c r="F40" s="25">
        <v>7.99</v>
      </c>
      <c r="G40" s="24" t="s">
        <v>26</v>
      </c>
      <c r="H40" s="7" t="str">
        <f t="shared" si="20"/>
        <v>Fixed</v>
      </c>
      <c r="I40" s="8">
        <f t="shared" si="3"/>
        <v>247.28</v>
      </c>
      <c r="J40" s="82" t="s">
        <v>9</v>
      </c>
      <c r="K40" s="24" t="s">
        <v>788</v>
      </c>
    </row>
    <row r="41" spans="1:11" ht="20.25" customHeight="1" x14ac:dyDescent="0.2">
      <c r="A41" s="20">
        <f t="shared" si="0"/>
        <v>2021</v>
      </c>
      <c r="B41" s="20">
        <f t="shared" si="1"/>
        <v>1</v>
      </c>
      <c r="C41" s="71">
        <v>44218</v>
      </c>
      <c r="D41" s="71">
        <v>44218</v>
      </c>
      <c r="E41" s="93" t="s">
        <v>39</v>
      </c>
      <c r="F41" s="25">
        <v>15.61</v>
      </c>
      <c r="G41" s="21" t="s">
        <v>90</v>
      </c>
      <c r="H41" s="7" t="str">
        <f t="shared" si="20"/>
        <v>Variable</v>
      </c>
      <c r="I41" s="8">
        <f t="shared" si="3"/>
        <v>262.89</v>
      </c>
      <c r="J41" s="7"/>
      <c r="K41" s="21" t="s">
        <v>675</v>
      </c>
    </row>
    <row r="42" spans="1:11" ht="20.25" customHeight="1" x14ac:dyDescent="0.2">
      <c r="A42" s="20">
        <f t="shared" si="0"/>
        <v>2021</v>
      </c>
      <c r="B42" s="20">
        <f t="shared" si="1"/>
        <v>1</v>
      </c>
      <c r="C42" s="71">
        <v>44219</v>
      </c>
      <c r="D42" s="71">
        <v>44219</v>
      </c>
      <c r="E42" s="93" t="s">
        <v>82</v>
      </c>
      <c r="F42" s="25">
        <v>84.43</v>
      </c>
      <c r="G42" s="21" t="s">
        <v>68</v>
      </c>
      <c r="H42" s="7" t="str">
        <f t="shared" si="20"/>
        <v>Variable</v>
      </c>
      <c r="I42" s="8">
        <f t="shared" si="3"/>
        <v>347.32</v>
      </c>
      <c r="J42" s="19" t="s">
        <v>73</v>
      </c>
      <c r="K42" s="21" t="s">
        <v>675</v>
      </c>
    </row>
    <row r="43" spans="1:11" ht="20.25" customHeight="1" x14ac:dyDescent="0.2">
      <c r="A43" s="20">
        <f t="shared" si="0"/>
        <v>2021</v>
      </c>
      <c r="B43" s="20">
        <f t="shared" si="1"/>
        <v>1</v>
      </c>
      <c r="C43" s="71">
        <v>44219</v>
      </c>
      <c r="D43" s="71">
        <v>44219</v>
      </c>
      <c r="E43" s="93" t="s">
        <v>83</v>
      </c>
      <c r="F43" s="25">
        <v>3.35</v>
      </c>
      <c r="G43" s="21" t="s">
        <v>52</v>
      </c>
      <c r="H43" s="7" t="str">
        <f t="shared" si="20"/>
        <v>Variable</v>
      </c>
      <c r="I43" s="8">
        <f t="shared" si="3"/>
        <v>350.67</v>
      </c>
      <c r="J43" s="19" t="s">
        <v>48</v>
      </c>
      <c r="K43" s="21" t="s">
        <v>633</v>
      </c>
    </row>
    <row r="44" spans="1:11" ht="20.25" customHeight="1" x14ac:dyDescent="0.2">
      <c r="A44" s="20">
        <f t="shared" si="0"/>
        <v>2021</v>
      </c>
      <c r="B44" s="20">
        <f t="shared" si="1"/>
        <v>1</v>
      </c>
      <c r="C44" s="71">
        <v>44219</v>
      </c>
      <c r="D44" s="71">
        <v>44219</v>
      </c>
      <c r="E44" s="93" t="s">
        <v>84</v>
      </c>
      <c r="F44" s="25">
        <v>14.68</v>
      </c>
      <c r="G44" s="21" t="s">
        <v>41</v>
      </c>
      <c r="H44" s="7" t="str">
        <f t="shared" si="20"/>
        <v>Variable</v>
      </c>
      <c r="I44" s="8">
        <f t="shared" si="3"/>
        <v>365.35</v>
      </c>
      <c r="J44" s="19" t="s">
        <v>72</v>
      </c>
      <c r="K44" s="21" t="s">
        <v>675</v>
      </c>
    </row>
    <row r="45" spans="1:11" ht="20.25" customHeight="1" x14ac:dyDescent="0.2">
      <c r="A45" s="20">
        <f t="shared" si="0"/>
        <v>2021</v>
      </c>
      <c r="B45" s="20">
        <f t="shared" si="1"/>
        <v>1</v>
      </c>
      <c r="C45" s="71">
        <v>44221</v>
      </c>
      <c r="D45" s="71">
        <v>44221</v>
      </c>
      <c r="E45" s="95" t="s">
        <v>60</v>
      </c>
      <c r="F45" s="25">
        <v>2.76</v>
      </c>
      <c r="G45" s="23" t="s">
        <v>24</v>
      </c>
      <c r="H45" s="7" t="str">
        <f t="shared" si="20"/>
        <v>Variable</v>
      </c>
      <c r="I45" s="8">
        <f t="shared" si="3"/>
        <v>368.11</v>
      </c>
      <c r="J45" s="7"/>
      <c r="K45" s="23" t="s">
        <v>633</v>
      </c>
    </row>
    <row r="46" spans="1:11" ht="20.25" customHeight="1" x14ac:dyDescent="0.2">
      <c r="A46" s="20">
        <f t="shared" si="0"/>
        <v>2021</v>
      </c>
      <c r="B46" s="20">
        <f t="shared" si="1"/>
        <v>1</v>
      </c>
      <c r="C46" s="71">
        <v>44221</v>
      </c>
      <c r="D46" s="71">
        <v>44221</v>
      </c>
      <c r="E46" s="95" t="s">
        <v>60</v>
      </c>
      <c r="F46" s="25">
        <v>22.97</v>
      </c>
      <c r="G46" s="23" t="s">
        <v>24</v>
      </c>
      <c r="H46" s="7" t="str">
        <f t="shared" si="20"/>
        <v>Variable</v>
      </c>
      <c r="I46" s="8">
        <f t="shared" si="3"/>
        <v>391.08000000000004</v>
      </c>
      <c r="J46" s="7"/>
      <c r="K46" s="23" t="s">
        <v>633</v>
      </c>
    </row>
    <row r="47" spans="1:11" x14ac:dyDescent="0.2">
      <c r="A47" s="20">
        <f t="shared" si="0"/>
        <v>2021</v>
      </c>
      <c r="B47" s="20">
        <f t="shared" si="1"/>
        <v>1</v>
      </c>
      <c r="C47" s="71">
        <v>44222</v>
      </c>
      <c r="D47" s="71">
        <v>44222</v>
      </c>
      <c r="E47" s="93" t="s">
        <v>79</v>
      </c>
      <c r="F47" s="25">
        <v>8.23</v>
      </c>
      <c r="G47" s="23" t="s">
        <v>41</v>
      </c>
      <c r="H47" s="7" t="str">
        <f t="shared" si="20"/>
        <v>Variable</v>
      </c>
      <c r="I47" s="8">
        <f t="shared" si="3"/>
        <v>399.31000000000006</v>
      </c>
      <c r="J47" s="7"/>
      <c r="K47" s="23" t="s">
        <v>675</v>
      </c>
    </row>
    <row r="48" spans="1:11" x14ac:dyDescent="0.2">
      <c r="A48" s="20">
        <f t="shared" si="0"/>
        <v>2021</v>
      </c>
      <c r="B48" s="20">
        <f t="shared" si="1"/>
        <v>1</v>
      </c>
      <c r="C48" s="71">
        <v>44222</v>
      </c>
      <c r="D48" s="71">
        <v>44222</v>
      </c>
      <c r="E48" s="93" t="s">
        <v>85</v>
      </c>
      <c r="F48" s="25">
        <v>63.87</v>
      </c>
      <c r="G48" s="23" t="s">
        <v>90</v>
      </c>
      <c r="H48" s="7" t="str">
        <f t="shared" si="20"/>
        <v>Variable</v>
      </c>
      <c r="I48" s="8">
        <f t="shared" si="3"/>
        <v>463.18000000000006</v>
      </c>
      <c r="J48" s="7"/>
      <c r="K48" s="23" t="s">
        <v>675</v>
      </c>
    </row>
    <row r="49" spans="1:11" x14ac:dyDescent="0.2">
      <c r="A49" s="20">
        <f t="shared" si="0"/>
        <v>2021</v>
      </c>
      <c r="B49" s="20">
        <f t="shared" si="1"/>
        <v>1</v>
      </c>
      <c r="C49" s="71">
        <v>44223</v>
      </c>
      <c r="D49" s="71">
        <v>44223</v>
      </c>
      <c r="E49" s="93" t="s">
        <v>43</v>
      </c>
      <c r="F49" s="25">
        <v>1.51</v>
      </c>
      <c r="G49" s="183" t="s">
        <v>56</v>
      </c>
      <c r="H49" s="7" t="str">
        <f t="shared" si="20"/>
        <v>Variable</v>
      </c>
      <c r="I49" s="8">
        <f t="shared" si="3"/>
        <v>464.69000000000005</v>
      </c>
      <c r="J49" s="7" t="s">
        <v>35</v>
      </c>
      <c r="K49" s="183" t="s">
        <v>702</v>
      </c>
    </row>
    <row r="50" spans="1:11" x14ac:dyDescent="0.2">
      <c r="A50" s="20">
        <f t="shared" si="0"/>
        <v>2021</v>
      </c>
      <c r="B50" s="20">
        <f t="shared" si="1"/>
        <v>1</v>
      </c>
      <c r="C50" s="71">
        <v>44223</v>
      </c>
      <c r="D50" s="71">
        <v>44223</v>
      </c>
      <c r="E50" s="93" t="s">
        <v>43</v>
      </c>
      <c r="F50" s="25">
        <v>2.2400000000000002</v>
      </c>
      <c r="G50" s="183" t="s">
        <v>56</v>
      </c>
      <c r="H50" s="7" t="str">
        <f t="shared" si="20"/>
        <v>Variable</v>
      </c>
      <c r="I50" s="8">
        <f t="shared" si="3"/>
        <v>466.93000000000006</v>
      </c>
      <c r="J50" s="19" t="s">
        <v>35</v>
      </c>
      <c r="K50" s="183" t="s">
        <v>702</v>
      </c>
    </row>
    <row r="51" spans="1:11" x14ac:dyDescent="0.2">
      <c r="A51" s="20">
        <f t="shared" si="0"/>
        <v>2021</v>
      </c>
      <c r="B51" s="20">
        <f t="shared" si="1"/>
        <v>1</v>
      </c>
      <c r="C51" s="71">
        <v>44223</v>
      </c>
      <c r="D51" s="71">
        <v>44223</v>
      </c>
      <c r="E51" s="93" t="s">
        <v>86</v>
      </c>
      <c r="F51" s="25">
        <v>4.75</v>
      </c>
      <c r="G51" s="23" t="s">
        <v>90</v>
      </c>
      <c r="H51" s="7" t="str">
        <f t="shared" si="20"/>
        <v>Variable</v>
      </c>
      <c r="I51" s="8">
        <f t="shared" si="3"/>
        <v>471.68000000000006</v>
      </c>
      <c r="J51" s="7"/>
      <c r="K51" s="23" t="s">
        <v>675</v>
      </c>
    </row>
    <row r="52" spans="1:11" x14ac:dyDescent="0.2">
      <c r="A52" s="20">
        <f t="shared" si="0"/>
        <v>2021</v>
      </c>
      <c r="B52" s="20">
        <f t="shared" si="1"/>
        <v>1</v>
      </c>
      <c r="C52" s="71">
        <v>44224</v>
      </c>
      <c r="D52" s="71">
        <v>44224</v>
      </c>
      <c r="E52" s="93" t="s">
        <v>87</v>
      </c>
      <c r="F52" s="25">
        <v>9.9499999999999993</v>
      </c>
      <c r="G52" s="24" t="s">
        <v>26</v>
      </c>
      <c r="H52" s="7" t="str">
        <f t="shared" si="20"/>
        <v>Fixed</v>
      </c>
      <c r="I52" s="8">
        <f t="shared" si="3"/>
        <v>481.63000000000005</v>
      </c>
      <c r="J52" s="82" t="s">
        <v>322</v>
      </c>
      <c r="K52" s="24" t="s">
        <v>788</v>
      </c>
    </row>
    <row r="53" spans="1:11" x14ac:dyDescent="0.2">
      <c r="A53" s="20">
        <f t="shared" si="0"/>
        <v>2021</v>
      </c>
      <c r="B53" s="6">
        <f t="shared" si="1"/>
        <v>1</v>
      </c>
      <c r="C53" s="71">
        <v>44226</v>
      </c>
      <c r="D53" s="71">
        <v>44226</v>
      </c>
      <c r="E53" s="96" t="s">
        <v>39</v>
      </c>
      <c r="F53" s="8">
        <v>7.42</v>
      </c>
      <c r="G53" s="183" t="s">
        <v>56</v>
      </c>
      <c r="H53" s="7" t="str">
        <f t="shared" si="20"/>
        <v>Variable</v>
      </c>
      <c r="I53" s="8">
        <f t="shared" si="3"/>
        <v>489.05000000000007</v>
      </c>
      <c r="J53" s="18" t="s">
        <v>35</v>
      </c>
      <c r="K53" s="183" t="s">
        <v>702</v>
      </c>
    </row>
    <row r="54" spans="1:11" x14ac:dyDescent="0.2">
      <c r="A54" s="20">
        <f t="shared" si="0"/>
        <v>2021</v>
      </c>
      <c r="B54" s="6">
        <f t="shared" si="1"/>
        <v>1</v>
      </c>
      <c r="C54" s="71">
        <v>44227</v>
      </c>
      <c r="D54" s="71">
        <v>44227</v>
      </c>
      <c r="E54" s="96" t="s">
        <v>88</v>
      </c>
      <c r="F54" s="8">
        <v>9.89</v>
      </c>
      <c r="G54" s="183" t="s">
        <v>56</v>
      </c>
      <c r="H54" s="7" t="str">
        <f t="shared" si="20"/>
        <v>Variable</v>
      </c>
      <c r="I54" s="8">
        <f t="shared" si="3"/>
        <v>498.94000000000005</v>
      </c>
      <c r="J54" s="19" t="s">
        <v>35</v>
      </c>
      <c r="K54" s="183" t="s">
        <v>702</v>
      </c>
    </row>
    <row r="55" spans="1:11" ht="15" thickBot="1" x14ac:dyDescent="0.25">
      <c r="A55" s="42">
        <f t="shared" si="0"/>
        <v>2021</v>
      </c>
      <c r="B55" s="39">
        <f t="shared" si="1"/>
        <v>1</v>
      </c>
      <c r="C55" s="72">
        <v>44227</v>
      </c>
      <c r="D55" s="72">
        <v>44227</v>
      </c>
      <c r="E55" s="97" t="s">
        <v>49</v>
      </c>
      <c r="F55" s="37">
        <v>19.22</v>
      </c>
      <c r="G55" s="31" t="s">
        <v>68</v>
      </c>
      <c r="H55" s="33" t="str">
        <f t="shared" si="20"/>
        <v>Variable</v>
      </c>
      <c r="I55" s="8">
        <f t="shared" si="3"/>
        <v>518.16000000000008</v>
      </c>
      <c r="J55" s="38"/>
      <c r="K55" s="31" t="s">
        <v>693</v>
      </c>
    </row>
    <row r="56" spans="1:11" x14ac:dyDescent="0.2">
      <c r="A56" s="43">
        <f t="shared" si="0"/>
        <v>2021</v>
      </c>
      <c r="B56" s="36">
        <f t="shared" si="1"/>
        <v>2</v>
      </c>
      <c r="C56" s="67">
        <v>44228</v>
      </c>
      <c r="D56" s="67">
        <v>44228</v>
      </c>
      <c r="E56" s="98" t="s">
        <v>74</v>
      </c>
      <c r="F56" s="54">
        <v>13.99</v>
      </c>
      <c r="G56" s="51" t="s">
        <v>26</v>
      </c>
      <c r="H56" s="32" t="str">
        <f t="shared" si="20"/>
        <v>Fixed</v>
      </c>
      <c r="I56" s="8">
        <f t="shared" si="3"/>
        <v>532.15000000000009</v>
      </c>
      <c r="J56" s="78" t="s">
        <v>7</v>
      </c>
      <c r="K56" s="51" t="s">
        <v>788</v>
      </c>
    </row>
    <row r="57" spans="1:11" x14ac:dyDescent="0.2">
      <c r="A57" s="46">
        <f t="shared" si="0"/>
        <v>2021</v>
      </c>
      <c r="B57" s="20">
        <f t="shared" si="1"/>
        <v>2</v>
      </c>
      <c r="C57" s="66">
        <v>44228</v>
      </c>
      <c r="D57" s="66">
        <v>44228</v>
      </c>
      <c r="E57" s="93" t="s">
        <v>75</v>
      </c>
      <c r="F57" s="25">
        <v>9.99</v>
      </c>
      <c r="G57" s="24" t="s">
        <v>26</v>
      </c>
      <c r="H57" s="7" t="str">
        <f t="shared" si="20"/>
        <v>Fixed</v>
      </c>
      <c r="I57" s="8">
        <f t="shared" si="3"/>
        <v>542.1400000000001</v>
      </c>
      <c r="J57" s="81" t="s">
        <v>6</v>
      </c>
      <c r="K57" s="24" t="s">
        <v>788</v>
      </c>
    </row>
    <row r="58" spans="1:11" x14ac:dyDescent="0.2">
      <c r="A58" s="46">
        <f t="shared" si="0"/>
        <v>2021</v>
      </c>
      <c r="B58" s="20">
        <f t="shared" si="1"/>
        <v>2</v>
      </c>
      <c r="C58" s="66">
        <v>44228</v>
      </c>
      <c r="D58" s="66">
        <v>44230</v>
      </c>
      <c r="E58" s="93" t="s">
        <v>43</v>
      </c>
      <c r="F58" s="25">
        <v>15.92</v>
      </c>
      <c r="G58" s="183" t="s">
        <v>56</v>
      </c>
      <c r="H58" s="21" t="str">
        <f t="shared" si="20"/>
        <v>Variable</v>
      </c>
      <c r="I58" s="8">
        <f t="shared" si="3"/>
        <v>558.06000000000006</v>
      </c>
      <c r="J58" s="41" t="s">
        <v>35</v>
      </c>
      <c r="K58" s="183" t="s">
        <v>702</v>
      </c>
    </row>
    <row r="59" spans="1:11" x14ac:dyDescent="0.2">
      <c r="A59" s="46">
        <f t="shared" si="0"/>
        <v>2021</v>
      </c>
      <c r="B59" s="6">
        <f t="shared" si="1"/>
        <v>2</v>
      </c>
      <c r="C59" s="66">
        <v>44229</v>
      </c>
      <c r="D59" s="66">
        <v>44230</v>
      </c>
      <c r="E59" s="96" t="s">
        <v>43</v>
      </c>
      <c r="F59" s="8">
        <v>37.01</v>
      </c>
      <c r="G59" s="18" t="s">
        <v>68</v>
      </c>
      <c r="H59" s="7" t="str">
        <f t="shared" si="20"/>
        <v>Variable</v>
      </c>
      <c r="I59" s="8">
        <f t="shared" si="3"/>
        <v>595.07000000000005</v>
      </c>
      <c r="J59" s="56"/>
      <c r="K59" s="18" t="s">
        <v>693</v>
      </c>
    </row>
    <row r="60" spans="1:11" x14ac:dyDescent="0.2">
      <c r="A60" s="46">
        <f t="shared" si="0"/>
        <v>2021</v>
      </c>
      <c r="B60" s="6">
        <f t="shared" si="1"/>
        <v>2</v>
      </c>
      <c r="C60" s="66">
        <v>44229</v>
      </c>
      <c r="D60" s="66">
        <v>44230</v>
      </c>
      <c r="E60" s="96" t="s">
        <v>76</v>
      </c>
      <c r="F60" s="8">
        <v>10</v>
      </c>
      <c r="G60" s="18" t="s">
        <v>68</v>
      </c>
      <c r="H60" s="7" t="str">
        <f t="shared" si="20"/>
        <v>Variable</v>
      </c>
      <c r="I60" s="8">
        <f t="shared" si="3"/>
        <v>605.07000000000005</v>
      </c>
      <c r="J60" s="56" t="s">
        <v>77</v>
      </c>
      <c r="K60" s="18" t="s">
        <v>676</v>
      </c>
    </row>
    <row r="61" spans="1:11" x14ac:dyDescent="0.2">
      <c r="A61" s="46">
        <f t="shared" si="0"/>
        <v>2021</v>
      </c>
      <c r="B61" s="6">
        <f t="shared" si="1"/>
        <v>2</v>
      </c>
      <c r="C61" s="66">
        <v>44230</v>
      </c>
      <c r="D61" s="66">
        <v>44230</v>
      </c>
      <c r="E61" s="96" t="s">
        <v>32</v>
      </c>
      <c r="F61" s="8">
        <v>91.78</v>
      </c>
      <c r="G61" s="19" t="s">
        <v>26</v>
      </c>
      <c r="H61" s="7" t="str">
        <f t="shared" si="20"/>
        <v>Fixed</v>
      </c>
      <c r="I61" s="8">
        <f t="shared" si="3"/>
        <v>696.85</v>
      </c>
      <c r="J61" s="81" t="s">
        <v>8</v>
      </c>
      <c r="K61" s="19" t="s">
        <v>788</v>
      </c>
    </row>
    <row r="62" spans="1:11" x14ac:dyDescent="0.2">
      <c r="A62" s="46">
        <f t="shared" si="0"/>
        <v>2021</v>
      </c>
      <c r="B62" s="6">
        <f t="shared" si="1"/>
        <v>2</v>
      </c>
      <c r="C62" s="66">
        <v>44230</v>
      </c>
      <c r="D62" s="66">
        <v>44230</v>
      </c>
      <c r="E62" s="96" t="s">
        <v>39</v>
      </c>
      <c r="F62" s="8">
        <v>15.09</v>
      </c>
      <c r="G62" s="19" t="s">
        <v>90</v>
      </c>
      <c r="H62" s="7" t="str">
        <f t="shared" si="20"/>
        <v>Variable</v>
      </c>
      <c r="I62" s="8">
        <f t="shared" si="3"/>
        <v>711.94</v>
      </c>
      <c r="J62" s="56"/>
      <c r="K62" s="19" t="s">
        <v>675</v>
      </c>
    </row>
    <row r="63" spans="1:11" x14ac:dyDescent="0.2">
      <c r="A63" s="46">
        <f t="shared" si="0"/>
        <v>2021</v>
      </c>
      <c r="B63" s="6">
        <f t="shared" si="1"/>
        <v>2</v>
      </c>
      <c r="C63" s="66">
        <v>44232</v>
      </c>
      <c r="D63" s="66">
        <v>44232</v>
      </c>
      <c r="E63" s="96" t="s">
        <v>43</v>
      </c>
      <c r="F63" s="8">
        <v>1.63</v>
      </c>
      <c r="G63" s="183" t="s">
        <v>56</v>
      </c>
      <c r="H63" s="7" t="str">
        <f t="shared" si="20"/>
        <v>Variable</v>
      </c>
      <c r="I63" s="8">
        <f t="shared" si="3"/>
        <v>713.57</v>
      </c>
      <c r="J63" s="53" t="s">
        <v>35</v>
      </c>
      <c r="K63" s="183" t="s">
        <v>702</v>
      </c>
    </row>
    <row r="64" spans="1:11" x14ac:dyDescent="0.2">
      <c r="A64" s="46">
        <f t="shared" si="0"/>
        <v>2021</v>
      </c>
      <c r="B64" s="6">
        <f t="shared" si="1"/>
        <v>2</v>
      </c>
      <c r="C64" s="66">
        <v>44232</v>
      </c>
      <c r="D64" s="66">
        <v>44232</v>
      </c>
      <c r="E64" s="96" t="s">
        <v>43</v>
      </c>
      <c r="F64" s="8">
        <v>2.4500000000000002</v>
      </c>
      <c r="G64" s="183" t="s">
        <v>56</v>
      </c>
      <c r="H64" s="7" t="str">
        <f t="shared" si="20"/>
        <v>Variable</v>
      </c>
      <c r="I64" s="8">
        <f t="shared" si="3"/>
        <v>716.0200000000001</v>
      </c>
      <c r="J64" s="53" t="s">
        <v>35</v>
      </c>
      <c r="K64" s="183" t="s">
        <v>702</v>
      </c>
    </row>
    <row r="65" spans="1:11" x14ac:dyDescent="0.2">
      <c r="A65" s="46">
        <f t="shared" si="0"/>
        <v>2021</v>
      </c>
      <c r="B65" s="6">
        <f t="shared" si="1"/>
        <v>2</v>
      </c>
      <c r="C65" s="66">
        <v>44234</v>
      </c>
      <c r="D65" s="66">
        <v>44234</v>
      </c>
      <c r="E65" s="96" t="s">
        <v>79</v>
      </c>
      <c r="F65" s="8">
        <v>9.36</v>
      </c>
      <c r="G65" s="183" t="s">
        <v>56</v>
      </c>
      <c r="H65" s="7" t="str">
        <f t="shared" si="20"/>
        <v>Variable</v>
      </c>
      <c r="I65" s="8">
        <f t="shared" si="3"/>
        <v>725.38000000000011</v>
      </c>
      <c r="J65" s="53" t="s">
        <v>35</v>
      </c>
      <c r="K65" s="183" t="s">
        <v>702</v>
      </c>
    </row>
    <row r="66" spans="1:11" x14ac:dyDescent="0.2">
      <c r="A66" s="46">
        <f t="shared" si="0"/>
        <v>2021</v>
      </c>
      <c r="B66" s="6">
        <f t="shared" si="1"/>
        <v>2</v>
      </c>
      <c r="C66" s="66">
        <v>44237</v>
      </c>
      <c r="D66" s="66">
        <v>44237</v>
      </c>
      <c r="E66" s="96" t="s">
        <v>95</v>
      </c>
      <c r="F66" s="8">
        <v>3.99</v>
      </c>
      <c r="G66" s="183" t="s">
        <v>56</v>
      </c>
      <c r="H66" s="7" t="str">
        <f t="shared" si="20"/>
        <v>Variable</v>
      </c>
      <c r="I66" s="8">
        <f t="shared" si="3"/>
        <v>729.37000000000012</v>
      </c>
      <c r="J66" s="53" t="s">
        <v>35</v>
      </c>
      <c r="K66" s="183" t="s">
        <v>702</v>
      </c>
    </row>
    <row r="67" spans="1:11" x14ac:dyDescent="0.2">
      <c r="A67" s="46">
        <f t="shared" ref="A67:A130" si="21">YEAR(C67)</f>
        <v>2021</v>
      </c>
      <c r="B67" s="6">
        <f t="shared" ref="B67:B130" si="22">MONTH(C67)</f>
        <v>2</v>
      </c>
      <c r="C67" s="66">
        <v>44237</v>
      </c>
      <c r="D67" s="66">
        <v>44237</v>
      </c>
      <c r="E67" s="96" t="s">
        <v>43</v>
      </c>
      <c r="F67" s="8">
        <v>4.7300000000000004</v>
      </c>
      <c r="G67" s="183" t="s">
        <v>56</v>
      </c>
      <c r="H67" s="7" t="str">
        <f t="shared" ref="H67:H98" si="23">VLOOKUP(G67,Expense_Lookup,2,0)</f>
        <v>Variable</v>
      </c>
      <c r="I67" s="8">
        <f t="shared" si="3"/>
        <v>734.10000000000014</v>
      </c>
      <c r="J67" s="53" t="s">
        <v>35</v>
      </c>
      <c r="K67" s="183" t="s">
        <v>702</v>
      </c>
    </row>
    <row r="68" spans="1:11" x14ac:dyDescent="0.2">
      <c r="A68" s="46">
        <f t="shared" si="21"/>
        <v>2021</v>
      </c>
      <c r="B68" s="6">
        <f t="shared" si="22"/>
        <v>2</v>
      </c>
      <c r="C68" s="66">
        <v>44238</v>
      </c>
      <c r="D68" s="66">
        <v>44238</v>
      </c>
      <c r="E68" s="96" t="s">
        <v>96</v>
      </c>
      <c r="F68" s="8">
        <v>5</v>
      </c>
      <c r="G68" s="183" t="s">
        <v>56</v>
      </c>
      <c r="H68" s="7" t="str">
        <f t="shared" si="23"/>
        <v>Variable</v>
      </c>
      <c r="I68" s="8">
        <f t="shared" ref="I68:I131" si="24">I67+F68</f>
        <v>739.10000000000014</v>
      </c>
      <c r="J68" s="53" t="s">
        <v>35</v>
      </c>
      <c r="K68" s="183" t="s">
        <v>702</v>
      </c>
    </row>
    <row r="69" spans="1:11" x14ac:dyDescent="0.2">
      <c r="A69" s="46">
        <f t="shared" si="21"/>
        <v>2021</v>
      </c>
      <c r="B69" s="6">
        <f t="shared" si="22"/>
        <v>2</v>
      </c>
      <c r="C69" s="66">
        <v>44238</v>
      </c>
      <c r="D69" s="66">
        <v>44238</v>
      </c>
      <c r="E69" s="96" t="s">
        <v>96</v>
      </c>
      <c r="F69" s="8">
        <v>5</v>
      </c>
      <c r="G69" s="183" t="s">
        <v>56</v>
      </c>
      <c r="H69" s="7" t="str">
        <f t="shared" si="23"/>
        <v>Variable</v>
      </c>
      <c r="I69" s="8">
        <f t="shared" si="24"/>
        <v>744.10000000000014</v>
      </c>
      <c r="J69" s="53" t="s">
        <v>35</v>
      </c>
      <c r="K69" s="183" t="s">
        <v>702</v>
      </c>
    </row>
    <row r="70" spans="1:11" x14ac:dyDescent="0.2">
      <c r="A70" s="46">
        <f t="shared" si="21"/>
        <v>2021</v>
      </c>
      <c r="B70" s="6">
        <f t="shared" si="22"/>
        <v>2</v>
      </c>
      <c r="C70" s="66">
        <v>44238</v>
      </c>
      <c r="D70" s="66">
        <v>44238</v>
      </c>
      <c r="E70" s="96" t="s">
        <v>96</v>
      </c>
      <c r="F70" s="8">
        <v>5</v>
      </c>
      <c r="G70" s="183" t="s">
        <v>56</v>
      </c>
      <c r="H70" s="7" t="str">
        <f t="shared" si="23"/>
        <v>Variable</v>
      </c>
      <c r="I70" s="8">
        <f t="shared" si="24"/>
        <v>749.10000000000014</v>
      </c>
      <c r="J70" s="53" t="s">
        <v>35</v>
      </c>
      <c r="K70" s="183" t="s">
        <v>702</v>
      </c>
    </row>
    <row r="71" spans="1:11" x14ac:dyDescent="0.2">
      <c r="A71" s="46">
        <f t="shared" si="21"/>
        <v>2021</v>
      </c>
      <c r="B71" s="6">
        <f t="shared" si="22"/>
        <v>2</v>
      </c>
      <c r="C71" s="66">
        <v>44239</v>
      </c>
      <c r="D71" s="66">
        <v>44239</v>
      </c>
      <c r="E71" s="96" t="s">
        <v>61</v>
      </c>
      <c r="F71" s="8">
        <v>-14</v>
      </c>
      <c r="G71" s="26" t="s">
        <v>62</v>
      </c>
      <c r="H71" s="7" t="str">
        <f t="shared" si="23"/>
        <v>Payment</v>
      </c>
      <c r="I71" s="8">
        <f t="shared" si="24"/>
        <v>735.10000000000014</v>
      </c>
      <c r="J71" s="56"/>
      <c r="K71" s="26"/>
    </row>
    <row r="72" spans="1:11" x14ac:dyDescent="0.2">
      <c r="A72" s="46">
        <f t="shared" si="21"/>
        <v>2021</v>
      </c>
      <c r="B72" s="6">
        <f t="shared" si="22"/>
        <v>2</v>
      </c>
      <c r="C72" s="66">
        <v>44239</v>
      </c>
      <c r="D72" s="66">
        <v>44239</v>
      </c>
      <c r="E72" s="96" t="s">
        <v>21</v>
      </c>
      <c r="F72" s="8">
        <v>-715.37</v>
      </c>
      <c r="G72" s="19" t="s">
        <v>22</v>
      </c>
      <c r="H72" s="7" t="str">
        <f t="shared" si="23"/>
        <v>Payment</v>
      </c>
      <c r="I72" s="8">
        <f t="shared" si="24"/>
        <v>19.730000000000132</v>
      </c>
      <c r="J72" s="56"/>
      <c r="K72" s="19"/>
    </row>
    <row r="73" spans="1:11" x14ac:dyDescent="0.2">
      <c r="A73" s="46">
        <f t="shared" si="21"/>
        <v>2021</v>
      </c>
      <c r="B73" s="6">
        <f t="shared" si="22"/>
        <v>2</v>
      </c>
      <c r="C73" s="66">
        <v>44239</v>
      </c>
      <c r="D73" s="66">
        <v>44239</v>
      </c>
      <c r="E73" s="96" t="s">
        <v>59</v>
      </c>
      <c r="F73" s="8">
        <v>1.99</v>
      </c>
      <c r="G73" s="19" t="s">
        <v>26</v>
      </c>
      <c r="H73" s="7" t="str">
        <f t="shared" si="23"/>
        <v>Fixed</v>
      </c>
      <c r="I73" s="8">
        <f t="shared" si="24"/>
        <v>21.72000000000013</v>
      </c>
      <c r="J73" s="81" t="s">
        <v>283</v>
      </c>
      <c r="K73" s="19" t="s">
        <v>788</v>
      </c>
    </row>
    <row r="74" spans="1:11" x14ac:dyDescent="0.2">
      <c r="A74" s="46">
        <f t="shared" si="21"/>
        <v>2021</v>
      </c>
      <c r="B74" s="6">
        <f t="shared" si="22"/>
        <v>2</v>
      </c>
      <c r="C74" s="66">
        <v>44241</v>
      </c>
      <c r="D74" s="66">
        <v>44241</v>
      </c>
      <c r="E74" s="96" t="s">
        <v>97</v>
      </c>
      <c r="F74" s="8">
        <v>14.99</v>
      </c>
      <c r="G74" s="19" t="s">
        <v>26</v>
      </c>
      <c r="H74" s="7" t="str">
        <f t="shared" si="23"/>
        <v>Fixed</v>
      </c>
      <c r="I74" s="8">
        <f t="shared" si="24"/>
        <v>36.710000000000129</v>
      </c>
      <c r="J74" s="81" t="s">
        <v>293</v>
      </c>
      <c r="K74" s="19" t="s">
        <v>788</v>
      </c>
    </row>
    <row r="75" spans="1:11" x14ac:dyDescent="0.2">
      <c r="A75" s="46">
        <f t="shared" si="21"/>
        <v>2021</v>
      </c>
      <c r="B75" s="6">
        <f t="shared" si="22"/>
        <v>2</v>
      </c>
      <c r="C75" s="66">
        <v>44241</v>
      </c>
      <c r="D75" s="66">
        <v>44241</v>
      </c>
      <c r="E75" s="96" t="s">
        <v>39</v>
      </c>
      <c r="F75" s="8">
        <v>7.88</v>
      </c>
      <c r="G75" s="19" t="s">
        <v>90</v>
      </c>
      <c r="H75" s="7" t="str">
        <f t="shared" si="23"/>
        <v>Variable</v>
      </c>
      <c r="I75" s="8">
        <f t="shared" si="24"/>
        <v>44.590000000000131</v>
      </c>
      <c r="J75" s="56"/>
      <c r="K75" s="19" t="s">
        <v>675</v>
      </c>
    </row>
    <row r="76" spans="1:11" x14ac:dyDescent="0.2">
      <c r="A76" s="46">
        <f t="shared" si="21"/>
        <v>2021</v>
      </c>
      <c r="B76" s="6">
        <f t="shared" si="22"/>
        <v>2</v>
      </c>
      <c r="C76" s="66">
        <v>44241</v>
      </c>
      <c r="D76" s="66">
        <v>44241</v>
      </c>
      <c r="E76" s="96" t="s">
        <v>49</v>
      </c>
      <c r="F76" s="8">
        <v>48.58</v>
      </c>
      <c r="G76" s="19" t="s">
        <v>68</v>
      </c>
      <c r="H76" s="7" t="str">
        <f t="shared" si="23"/>
        <v>Variable</v>
      </c>
      <c r="I76" s="8">
        <f t="shared" si="24"/>
        <v>93.17000000000013</v>
      </c>
      <c r="J76" s="56"/>
      <c r="K76" s="19" t="s">
        <v>693</v>
      </c>
    </row>
    <row r="77" spans="1:11" x14ac:dyDescent="0.2">
      <c r="A77" s="46">
        <f t="shared" si="21"/>
        <v>2021</v>
      </c>
      <c r="B77" s="6">
        <f t="shared" si="22"/>
        <v>2</v>
      </c>
      <c r="C77" s="66">
        <v>44244</v>
      </c>
      <c r="D77" s="66">
        <v>44244</v>
      </c>
      <c r="E77" s="96" t="s">
        <v>98</v>
      </c>
      <c r="F77" s="8">
        <v>76.3</v>
      </c>
      <c r="G77" s="19" t="s">
        <v>68</v>
      </c>
      <c r="H77" s="7" t="str">
        <f t="shared" si="23"/>
        <v>Variable</v>
      </c>
      <c r="I77" s="8">
        <f t="shared" si="24"/>
        <v>169.47000000000014</v>
      </c>
      <c r="J77" s="50" t="s">
        <v>106</v>
      </c>
      <c r="K77" s="19" t="s">
        <v>693</v>
      </c>
    </row>
    <row r="78" spans="1:11" x14ac:dyDescent="0.2">
      <c r="A78" s="46">
        <f t="shared" si="21"/>
        <v>2021</v>
      </c>
      <c r="B78" s="6">
        <f t="shared" si="22"/>
        <v>2</v>
      </c>
      <c r="C78" s="66">
        <v>44246</v>
      </c>
      <c r="D78" s="66">
        <v>44246</v>
      </c>
      <c r="E78" s="96" t="s">
        <v>99</v>
      </c>
      <c r="F78" s="8">
        <v>40.42</v>
      </c>
      <c r="G78" s="19" t="s">
        <v>41</v>
      </c>
      <c r="H78" s="7" t="str">
        <f t="shared" si="23"/>
        <v>Variable</v>
      </c>
      <c r="I78" s="8">
        <f t="shared" si="24"/>
        <v>209.89000000000016</v>
      </c>
      <c r="J78" s="56"/>
      <c r="K78" s="19" t="s">
        <v>675</v>
      </c>
    </row>
    <row r="79" spans="1:11" x14ac:dyDescent="0.2">
      <c r="A79" s="46">
        <f t="shared" si="21"/>
        <v>2021</v>
      </c>
      <c r="B79" s="6">
        <f t="shared" si="22"/>
        <v>2</v>
      </c>
      <c r="C79" s="66">
        <v>44247</v>
      </c>
      <c r="D79" s="66">
        <v>44247</v>
      </c>
      <c r="E79" s="96" t="s">
        <v>86</v>
      </c>
      <c r="F79" s="8">
        <v>135.35</v>
      </c>
      <c r="G79" s="19" t="s">
        <v>90</v>
      </c>
      <c r="H79" s="7" t="str">
        <f t="shared" si="23"/>
        <v>Variable</v>
      </c>
      <c r="I79" s="8">
        <f t="shared" si="24"/>
        <v>345.24000000000012</v>
      </c>
      <c r="J79" s="56"/>
      <c r="K79" s="19" t="s">
        <v>675</v>
      </c>
    </row>
    <row r="80" spans="1:11" ht="15.75" customHeight="1" x14ac:dyDescent="0.2">
      <c r="A80" s="46">
        <f t="shared" si="21"/>
        <v>2021</v>
      </c>
      <c r="B80" s="6">
        <f t="shared" si="22"/>
        <v>2</v>
      </c>
      <c r="C80" s="66">
        <v>44247</v>
      </c>
      <c r="D80" s="66">
        <v>44247</v>
      </c>
      <c r="E80" s="99" t="s">
        <v>100</v>
      </c>
      <c r="F80" s="8">
        <v>86.25</v>
      </c>
      <c r="G80" s="28" t="s">
        <v>26</v>
      </c>
      <c r="H80" s="7" t="str">
        <f t="shared" si="23"/>
        <v>Fixed</v>
      </c>
      <c r="I80" s="8">
        <f t="shared" si="24"/>
        <v>431.49000000000012</v>
      </c>
      <c r="J80" s="81" t="s">
        <v>294</v>
      </c>
      <c r="K80" s="19" t="s">
        <v>788</v>
      </c>
    </row>
    <row r="81" spans="1:11" x14ac:dyDescent="0.2">
      <c r="A81" s="46">
        <f t="shared" si="21"/>
        <v>2021</v>
      </c>
      <c r="B81" s="6">
        <f t="shared" si="22"/>
        <v>2</v>
      </c>
      <c r="C81" s="66">
        <v>44247</v>
      </c>
      <c r="D81" s="66">
        <v>44247</v>
      </c>
      <c r="E81" s="96" t="s">
        <v>39</v>
      </c>
      <c r="F81" s="8">
        <v>10.64</v>
      </c>
      <c r="G81" s="19" t="s">
        <v>90</v>
      </c>
      <c r="H81" s="7" t="str">
        <f t="shared" si="23"/>
        <v>Variable</v>
      </c>
      <c r="I81" s="8">
        <f t="shared" si="24"/>
        <v>442.13000000000011</v>
      </c>
      <c r="J81" s="56"/>
      <c r="K81" s="19" t="s">
        <v>675</v>
      </c>
    </row>
    <row r="82" spans="1:11" x14ac:dyDescent="0.2">
      <c r="A82" s="46">
        <f t="shared" si="21"/>
        <v>2021</v>
      </c>
      <c r="B82" s="6">
        <f t="shared" si="22"/>
        <v>2</v>
      </c>
      <c r="C82" s="66">
        <v>44247</v>
      </c>
      <c r="D82" s="66">
        <v>44247</v>
      </c>
      <c r="E82" s="96" t="s">
        <v>101</v>
      </c>
      <c r="F82" s="8">
        <v>6.99</v>
      </c>
      <c r="G82" s="19" t="s">
        <v>68</v>
      </c>
      <c r="H82" s="7" t="str">
        <f t="shared" si="23"/>
        <v>Variable</v>
      </c>
      <c r="I82" s="8">
        <f t="shared" si="24"/>
        <v>449.12000000000012</v>
      </c>
      <c r="J82" s="50" t="s">
        <v>107</v>
      </c>
      <c r="K82" s="19" t="s">
        <v>693</v>
      </c>
    </row>
    <row r="83" spans="1:11" x14ac:dyDescent="0.2">
      <c r="A83" s="46">
        <f t="shared" si="21"/>
        <v>2021</v>
      </c>
      <c r="B83" s="6">
        <f t="shared" si="22"/>
        <v>2</v>
      </c>
      <c r="C83" s="66">
        <v>44248</v>
      </c>
      <c r="D83" s="66">
        <v>44248</v>
      </c>
      <c r="E83" s="96" t="s">
        <v>79</v>
      </c>
      <c r="F83" s="8">
        <v>8.23</v>
      </c>
      <c r="G83" s="183" t="s">
        <v>56</v>
      </c>
      <c r="H83" s="7" t="str">
        <f t="shared" si="23"/>
        <v>Variable</v>
      </c>
      <c r="I83" s="8">
        <f t="shared" si="24"/>
        <v>457.35000000000014</v>
      </c>
      <c r="J83" s="50" t="s">
        <v>35</v>
      </c>
      <c r="K83" s="183" t="s">
        <v>702</v>
      </c>
    </row>
    <row r="84" spans="1:11" x14ac:dyDescent="0.2">
      <c r="A84" s="46">
        <f t="shared" si="21"/>
        <v>2021</v>
      </c>
      <c r="B84" s="6">
        <f t="shared" si="22"/>
        <v>2</v>
      </c>
      <c r="C84" s="66">
        <v>44248</v>
      </c>
      <c r="D84" s="66">
        <v>44248</v>
      </c>
      <c r="E84" s="96" t="s">
        <v>102</v>
      </c>
      <c r="F84" s="8">
        <v>9.9499999999999993</v>
      </c>
      <c r="G84" s="183" t="s">
        <v>56</v>
      </c>
      <c r="H84" s="7" t="str">
        <f t="shared" si="23"/>
        <v>Variable</v>
      </c>
      <c r="I84" s="8">
        <f t="shared" si="24"/>
        <v>467.30000000000013</v>
      </c>
      <c r="J84" s="50" t="s">
        <v>35</v>
      </c>
      <c r="K84" s="183" t="s">
        <v>702</v>
      </c>
    </row>
    <row r="85" spans="1:11" x14ac:dyDescent="0.2">
      <c r="A85" s="46">
        <f t="shared" si="21"/>
        <v>2021</v>
      </c>
      <c r="B85" s="6">
        <f t="shared" si="22"/>
        <v>2</v>
      </c>
      <c r="C85" s="66">
        <v>44248</v>
      </c>
      <c r="D85" s="66">
        <v>44248</v>
      </c>
      <c r="E85" s="96" t="s">
        <v>81</v>
      </c>
      <c r="F85" s="8">
        <v>7.99</v>
      </c>
      <c r="G85" s="28" t="s">
        <v>26</v>
      </c>
      <c r="H85" s="7" t="str">
        <f t="shared" si="23"/>
        <v>Fixed</v>
      </c>
      <c r="I85" s="8">
        <f t="shared" si="24"/>
        <v>475.29000000000013</v>
      </c>
      <c r="J85" s="81" t="s">
        <v>9</v>
      </c>
      <c r="K85" s="19" t="s">
        <v>788</v>
      </c>
    </row>
    <row r="86" spans="1:11" x14ac:dyDescent="0.2">
      <c r="A86" s="46">
        <f t="shared" si="21"/>
        <v>2021</v>
      </c>
      <c r="B86" s="6">
        <f t="shared" si="22"/>
        <v>2</v>
      </c>
      <c r="C86" s="66">
        <v>44248</v>
      </c>
      <c r="D86" s="66">
        <v>44248</v>
      </c>
      <c r="E86" s="96" t="s">
        <v>103</v>
      </c>
      <c r="F86" s="8">
        <v>25.35</v>
      </c>
      <c r="G86" s="19" t="s">
        <v>24</v>
      </c>
      <c r="H86" s="7" t="str">
        <f t="shared" si="23"/>
        <v>Variable</v>
      </c>
      <c r="I86" s="8">
        <f t="shared" si="24"/>
        <v>500.64000000000016</v>
      </c>
      <c r="J86" s="56"/>
      <c r="K86" s="23" t="s">
        <v>633</v>
      </c>
    </row>
    <row r="87" spans="1:11" x14ac:dyDescent="0.2">
      <c r="A87" s="46">
        <f t="shared" si="21"/>
        <v>2021</v>
      </c>
      <c r="B87" s="6">
        <f t="shared" si="22"/>
        <v>2</v>
      </c>
      <c r="C87" s="66">
        <v>44248</v>
      </c>
      <c r="D87" s="66">
        <v>44248</v>
      </c>
      <c r="E87" s="96" t="s">
        <v>49</v>
      </c>
      <c r="F87" s="8">
        <v>11.64</v>
      </c>
      <c r="G87" s="19" t="s">
        <v>68</v>
      </c>
      <c r="H87" s="7" t="str">
        <f t="shared" si="23"/>
        <v>Variable</v>
      </c>
      <c r="I87" s="8">
        <f t="shared" si="24"/>
        <v>512.2800000000002</v>
      </c>
      <c r="J87" s="56"/>
      <c r="K87" s="19" t="s">
        <v>693</v>
      </c>
    </row>
    <row r="88" spans="1:11" x14ac:dyDescent="0.2">
      <c r="A88" s="46">
        <f t="shared" si="21"/>
        <v>2021</v>
      </c>
      <c r="B88" s="6">
        <f t="shared" si="22"/>
        <v>2</v>
      </c>
      <c r="C88" s="66">
        <v>44248</v>
      </c>
      <c r="D88" s="66">
        <v>44248</v>
      </c>
      <c r="E88" s="96" t="s">
        <v>49</v>
      </c>
      <c r="F88" s="8">
        <v>20.14</v>
      </c>
      <c r="G88" s="19" t="s">
        <v>68</v>
      </c>
      <c r="H88" s="7" t="str">
        <f t="shared" si="23"/>
        <v>Variable</v>
      </c>
      <c r="I88" s="8">
        <f t="shared" si="24"/>
        <v>532.42000000000019</v>
      </c>
      <c r="J88" s="56"/>
      <c r="K88" s="19" t="s">
        <v>693</v>
      </c>
    </row>
    <row r="89" spans="1:11" x14ac:dyDescent="0.2">
      <c r="A89" s="46">
        <f t="shared" si="21"/>
        <v>2021</v>
      </c>
      <c r="B89" s="6">
        <f t="shared" si="22"/>
        <v>2</v>
      </c>
      <c r="C89" s="66">
        <v>44248</v>
      </c>
      <c r="D89" s="66">
        <v>44248</v>
      </c>
      <c r="E89" s="96" t="s">
        <v>49</v>
      </c>
      <c r="F89" s="8">
        <v>21.14</v>
      </c>
      <c r="G89" s="19" t="s">
        <v>68</v>
      </c>
      <c r="H89" s="7" t="str">
        <f t="shared" si="23"/>
        <v>Variable</v>
      </c>
      <c r="I89" s="8">
        <f t="shared" si="24"/>
        <v>553.56000000000017</v>
      </c>
      <c r="J89" s="56"/>
      <c r="K89" s="19" t="s">
        <v>693</v>
      </c>
    </row>
    <row r="90" spans="1:11" x14ac:dyDescent="0.2">
      <c r="A90" s="46">
        <f t="shared" si="21"/>
        <v>2021</v>
      </c>
      <c r="B90" s="6">
        <f t="shared" si="22"/>
        <v>2</v>
      </c>
      <c r="C90" s="66">
        <v>44250</v>
      </c>
      <c r="D90" s="66">
        <v>44250</v>
      </c>
      <c r="E90" s="96" t="s">
        <v>104</v>
      </c>
      <c r="F90" s="8">
        <v>1.99</v>
      </c>
      <c r="G90" s="28" t="s">
        <v>26</v>
      </c>
      <c r="H90" s="7" t="str">
        <f t="shared" si="23"/>
        <v>Fixed</v>
      </c>
      <c r="I90" s="8">
        <f t="shared" si="24"/>
        <v>555.55000000000018</v>
      </c>
      <c r="J90" s="81" t="s">
        <v>94</v>
      </c>
      <c r="K90" s="19" t="s">
        <v>788</v>
      </c>
    </row>
    <row r="91" spans="1:11" x14ac:dyDescent="0.2">
      <c r="A91" s="46">
        <f t="shared" si="21"/>
        <v>2021</v>
      </c>
      <c r="B91" s="6">
        <f t="shared" si="22"/>
        <v>2</v>
      </c>
      <c r="C91" s="66">
        <v>44251</v>
      </c>
      <c r="D91" s="66">
        <v>44251</v>
      </c>
      <c r="E91" s="96" t="s">
        <v>105</v>
      </c>
      <c r="F91" s="8">
        <v>215</v>
      </c>
      <c r="G91" s="19" t="s">
        <v>91</v>
      </c>
      <c r="H91" s="7" t="str">
        <f t="shared" si="23"/>
        <v>Variable</v>
      </c>
      <c r="I91" s="8">
        <f t="shared" si="24"/>
        <v>770.55000000000018</v>
      </c>
      <c r="J91" s="50" t="s">
        <v>108</v>
      </c>
      <c r="K91" s="19" t="s">
        <v>693</v>
      </c>
    </row>
    <row r="92" spans="1:11" x14ac:dyDescent="0.2">
      <c r="A92" s="46">
        <f t="shared" si="21"/>
        <v>2021</v>
      </c>
      <c r="B92" s="6">
        <f t="shared" si="22"/>
        <v>2</v>
      </c>
      <c r="C92" s="66">
        <v>44253</v>
      </c>
      <c r="D92" s="66">
        <v>44253</v>
      </c>
      <c r="E92" s="96" t="s">
        <v>21</v>
      </c>
      <c r="F92" s="8">
        <v>-770.55</v>
      </c>
      <c r="G92" s="19" t="s">
        <v>22</v>
      </c>
      <c r="H92" s="7" t="str">
        <f t="shared" si="23"/>
        <v>Payment</v>
      </c>
      <c r="I92" s="8">
        <f t="shared" si="24"/>
        <v>0</v>
      </c>
      <c r="J92" s="56"/>
      <c r="K92" s="19"/>
    </row>
    <row r="93" spans="1:11" x14ac:dyDescent="0.2">
      <c r="A93" s="46">
        <f t="shared" si="21"/>
        <v>2021</v>
      </c>
      <c r="B93" s="6">
        <f t="shared" si="22"/>
        <v>2</v>
      </c>
      <c r="C93" s="66">
        <v>44253</v>
      </c>
      <c r="D93" s="66">
        <v>44253</v>
      </c>
      <c r="E93" s="96" t="s">
        <v>110</v>
      </c>
      <c r="F93" s="8">
        <v>6.99</v>
      </c>
      <c r="G93" s="19" t="s">
        <v>68</v>
      </c>
      <c r="H93" s="7" t="str">
        <f t="shared" si="23"/>
        <v>Variable</v>
      </c>
      <c r="I93" s="8">
        <f t="shared" si="24"/>
        <v>6.99</v>
      </c>
      <c r="J93" s="56"/>
      <c r="K93" s="19" t="s">
        <v>693</v>
      </c>
    </row>
    <row r="94" spans="1:11" x14ac:dyDescent="0.2">
      <c r="A94" s="46">
        <f t="shared" si="21"/>
        <v>2021</v>
      </c>
      <c r="B94" s="6">
        <f t="shared" si="22"/>
        <v>2</v>
      </c>
      <c r="C94" s="66">
        <v>44253</v>
      </c>
      <c r="D94" s="66">
        <v>44253</v>
      </c>
      <c r="E94" s="96" t="s">
        <v>21</v>
      </c>
      <c r="F94" s="8">
        <v>-770.55</v>
      </c>
      <c r="G94" s="19" t="s">
        <v>22</v>
      </c>
      <c r="H94" s="7" t="str">
        <f t="shared" si="23"/>
        <v>Payment</v>
      </c>
      <c r="I94" s="8">
        <f t="shared" si="24"/>
        <v>-763.56</v>
      </c>
      <c r="J94" s="56"/>
      <c r="K94" s="19"/>
    </row>
    <row r="95" spans="1:11" x14ac:dyDescent="0.2">
      <c r="A95" s="46">
        <f t="shared" si="21"/>
        <v>2021</v>
      </c>
      <c r="B95" s="6">
        <f t="shared" si="22"/>
        <v>2</v>
      </c>
      <c r="C95" s="66">
        <v>44253</v>
      </c>
      <c r="D95" s="66">
        <v>44253</v>
      </c>
      <c r="E95" s="96" t="s">
        <v>49</v>
      </c>
      <c r="F95" s="8">
        <v>13.67</v>
      </c>
      <c r="G95" s="19" t="s">
        <v>68</v>
      </c>
      <c r="H95" s="7" t="str">
        <f t="shared" si="23"/>
        <v>Variable</v>
      </c>
      <c r="I95" s="8">
        <f t="shared" si="24"/>
        <v>-749.89</v>
      </c>
      <c r="J95" s="56"/>
      <c r="K95" s="19" t="s">
        <v>693</v>
      </c>
    </row>
    <row r="96" spans="1:11" x14ac:dyDescent="0.2">
      <c r="A96" s="46">
        <f t="shared" si="21"/>
        <v>2021</v>
      </c>
      <c r="B96" s="6">
        <f t="shared" si="22"/>
        <v>2</v>
      </c>
      <c r="C96" s="66">
        <v>44254</v>
      </c>
      <c r="D96" s="66">
        <v>44254</v>
      </c>
      <c r="E96" s="96" t="s">
        <v>111</v>
      </c>
      <c r="F96" s="8">
        <v>1.99</v>
      </c>
      <c r="G96" s="44" t="s">
        <v>26</v>
      </c>
      <c r="H96" s="7" t="str">
        <f t="shared" si="23"/>
        <v>Fixed</v>
      </c>
      <c r="I96" s="8">
        <f t="shared" si="24"/>
        <v>-747.9</v>
      </c>
      <c r="J96" s="81" t="s">
        <v>283</v>
      </c>
      <c r="K96" s="19" t="s">
        <v>788</v>
      </c>
    </row>
    <row r="97" spans="1:11" x14ac:dyDescent="0.2">
      <c r="A97" s="46">
        <f t="shared" si="21"/>
        <v>2021</v>
      </c>
      <c r="B97" s="6">
        <f t="shared" si="22"/>
        <v>2</v>
      </c>
      <c r="C97" s="66">
        <v>44254</v>
      </c>
      <c r="D97" s="66">
        <v>44254</v>
      </c>
      <c r="E97" s="96" t="s">
        <v>112</v>
      </c>
      <c r="F97" s="8">
        <v>9.99</v>
      </c>
      <c r="G97" s="44" t="s">
        <v>26</v>
      </c>
      <c r="H97" s="7" t="str">
        <f t="shared" si="23"/>
        <v>Fixed</v>
      </c>
      <c r="I97" s="8">
        <f t="shared" si="24"/>
        <v>-737.91</v>
      </c>
      <c r="J97" s="81" t="s">
        <v>295</v>
      </c>
      <c r="K97" s="19" t="s">
        <v>788</v>
      </c>
    </row>
    <row r="98" spans="1:11" x14ac:dyDescent="0.2">
      <c r="A98" s="46">
        <f t="shared" si="21"/>
        <v>2021</v>
      </c>
      <c r="B98" s="6">
        <f t="shared" si="22"/>
        <v>2</v>
      </c>
      <c r="C98" s="66">
        <v>44254</v>
      </c>
      <c r="D98" s="66">
        <v>44254</v>
      </c>
      <c r="E98" s="96" t="s">
        <v>113</v>
      </c>
      <c r="F98" s="8">
        <v>16.239999999999998</v>
      </c>
      <c r="G98" s="19" t="s">
        <v>24</v>
      </c>
      <c r="H98" s="7" t="str">
        <f t="shared" si="23"/>
        <v>Variable</v>
      </c>
      <c r="I98" s="8">
        <f t="shared" si="24"/>
        <v>-721.67</v>
      </c>
      <c r="J98" s="56"/>
      <c r="K98" s="23" t="s">
        <v>633</v>
      </c>
    </row>
    <row r="99" spans="1:11" x14ac:dyDescent="0.2">
      <c r="A99" s="46">
        <f t="shared" si="21"/>
        <v>2021</v>
      </c>
      <c r="B99" s="6">
        <f t="shared" si="22"/>
        <v>2</v>
      </c>
      <c r="C99" s="66">
        <v>44254</v>
      </c>
      <c r="D99" s="66">
        <v>44254</v>
      </c>
      <c r="E99" s="96" t="s">
        <v>114</v>
      </c>
      <c r="F99" s="8">
        <v>11.54</v>
      </c>
      <c r="G99" s="19" t="s">
        <v>41</v>
      </c>
      <c r="H99" s="7" t="str">
        <f t="shared" ref="H99:H130" si="25">VLOOKUP(G99,Expense_Lookup,2,0)</f>
        <v>Variable</v>
      </c>
      <c r="I99" s="8">
        <f t="shared" si="24"/>
        <v>-710.13</v>
      </c>
      <c r="J99" s="56"/>
      <c r="K99" s="19" t="s">
        <v>675</v>
      </c>
    </row>
    <row r="100" spans="1:11" x14ac:dyDescent="0.2">
      <c r="A100" s="46">
        <f t="shared" si="21"/>
        <v>2021</v>
      </c>
      <c r="B100" s="6">
        <f t="shared" si="22"/>
        <v>2</v>
      </c>
      <c r="C100" s="66">
        <v>44254</v>
      </c>
      <c r="D100" s="66">
        <v>44254</v>
      </c>
      <c r="E100" s="96" t="s">
        <v>115</v>
      </c>
      <c r="F100" s="8">
        <v>5</v>
      </c>
      <c r="G100" s="19" t="s">
        <v>68</v>
      </c>
      <c r="H100" s="7" t="str">
        <f t="shared" si="25"/>
        <v>Variable</v>
      </c>
      <c r="I100" s="8">
        <f t="shared" si="24"/>
        <v>-705.13</v>
      </c>
      <c r="J100" s="56"/>
      <c r="K100" s="19" t="s">
        <v>693</v>
      </c>
    </row>
    <row r="101" spans="1:11" x14ac:dyDescent="0.2">
      <c r="A101" s="46">
        <f t="shared" si="21"/>
        <v>2021</v>
      </c>
      <c r="B101" s="6">
        <f t="shared" si="22"/>
        <v>2</v>
      </c>
      <c r="C101" s="66">
        <v>44255</v>
      </c>
      <c r="D101" s="66">
        <v>44255</v>
      </c>
      <c r="E101" s="96" t="s">
        <v>87</v>
      </c>
      <c r="F101" s="8">
        <v>9.9499999999999993</v>
      </c>
      <c r="G101" s="44" t="s">
        <v>26</v>
      </c>
      <c r="H101" s="7" t="str">
        <f t="shared" si="25"/>
        <v>Fixed</v>
      </c>
      <c r="I101" s="8">
        <f t="shared" si="24"/>
        <v>-695.18</v>
      </c>
      <c r="J101" s="81" t="s">
        <v>322</v>
      </c>
      <c r="K101" s="19" t="s">
        <v>788</v>
      </c>
    </row>
    <row r="102" spans="1:11" x14ac:dyDescent="0.2">
      <c r="A102" s="46">
        <f t="shared" si="21"/>
        <v>2021</v>
      </c>
      <c r="B102" s="6">
        <f t="shared" si="22"/>
        <v>2</v>
      </c>
      <c r="C102" s="66">
        <v>44255</v>
      </c>
      <c r="D102" s="66">
        <v>44255</v>
      </c>
      <c r="E102" s="96" t="s">
        <v>116</v>
      </c>
      <c r="F102" s="8">
        <v>25.88</v>
      </c>
      <c r="G102" s="19" t="s">
        <v>24</v>
      </c>
      <c r="H102" s="7" t="str">
        <f t="shared" si="25"/>
        <v>Variable</v>
      </c>
      <c r="I102" s="8">
        <f t="shared" si="24"/>
        <v>-669.3</v>
      </c>
      <c r="J102" s="56"/>
      <c r="K102" s="23" t="s">
        <v>633</v>
      </c>
    </row>
    <row r="103" spans="1:11" x14ac:dyDescent="0.2">
      <c r="A103" s="46">
        <f t="shared" si="21"/>
        <v>2021</v>
      </c>
      <c r="B103" s="6">
        <f t="shared" si="22"/>
        <v>2</v>
      </c>
      <c r="C103" s="66">
        <v>44255</v>
      </c>
      <c r="D103" s="66">
        <v>44255</v>
      </c>
      <c r="E103" s="96" t="s">
        <v>117</v>
      </c>
      <c r="F103" s="8">
        <v>78.69</v>
      </c>
      <c r="G103" s="19" t="s">
        <v>90</v>
      </c>
      <c r="H103" s="7" t="str">
        <f t="shared" si="25"/>
        <v>Variable</v>
      </c>
      <c r="I103" s="8">
        <f t="shared" si="24"/>
        <v>-590.6099999999999</v>
      </c>
      <c r="J103" s="56"/>
      <c r="K103" s="19" t="s">
        <v>675</v>
      </c>
    </row>
    <row r="104" spans="1:11" x14ac:dyDescent="0.2">
      <c r="A104" s="46">
        <f t="shared" si="21"/>
        <v>2021</v>
      </c>
      <c r="B104" s="6">
        <f t="shared" si="22"/>
        <v>2</v>
      </c>
      <c r="C104" s="66">
        <v>44255</v>
      </c>
      <c r="D104" s="66">
        <v>44255</v>
      </c>
      <c r="E104" s="96" t="s">
        <v>118</v>
      </c>
      <c r="F104" s="8">
        <v>40.15</v>
      </c>
      <c r="G104" s="19" t="s">
        <v>119</v>
      </c>
      <c r="H104" s="7" t="str">
        <f t="shared" si="25"/>
        <v>Variable</v>
      </c>
      <c r="I104" s="8">
        <f t="shared" si="24"/>
        <v>-550.45999999999992</v>
      </c>
      <c r="J104" s="40" t="s">
        <v>138</v>
      </c>
      <c r="K104" s="19" t="s">
        <v>697</v>
      </c>
    </row>
    <row r="105" spans="1:11" ht="15" thickBot="1" x14ac:dyDescent="0.25">
      <c r="A105" s="48">
        <f t="shared" si="21"/>
        <v>2021</v>
      </c>
      <c r="B105" s="45">
        <f t="shared" si="22"/>
        <v>2</v>
      </c>
      <c r="C105" s="65">
        <v>44255</v>
      </c>
      <c r="D105" s="65">
        <v>44255</v>
      </c>
      <c r="E105" s="100" t="s">
        <v>49</v>
      </c>
      <c r="F105" s="52">
        <v>5.17</v>
      </c>
      <c r="G105" s="49" t="s">
        <v>68</v>
      </c>
      <c r="H105" s="55" t="str">
        <f t="shared" si="25"/>
        <v>Variable</v>
      </c>
      <c r="I105" s="8">
        <f t="shared" si="24"/>
        <v>-545.29</v>
      </c>
      <c r="J105" s="47"/>
      <c r="K105" s="19" t="s">
        <v>693</v>
      </c>
    </row>
    <row r="106" spans="1:11" x14ac:dyDescent="0.2">
      <c r="A106" s="43">
        <f t="shared" si="21"/>
        <v>2021</v>
      </c>
      <c r="B106" s="36">
        <f t="shared" si="22"/>
        <v>3</v>
      </c>
      <c r="C106" s="61">
        <v>44256</v>
      </c>
      <c r="D106" s="61">
        <v>44256</v>
      </c>
      <c r="E106" s="98" t="s">
        <v>110</v>
      </c>
      <c r="F106" s="54">
        <v>69.989999999999995</v>
      </c>
      <c r="G106" s="83" t="s">
        <v>26</v>
      </c>
      <c r="H106" s="32" t="str">
        <f t="shared" si="25"/>
        <v>Fixed</v>
      </c>
      <c r="I106" s="8">
        <f t="shared" si="24"/>
        <v>-475.29999999999995</v>
      </c>
      <c r="J106" s="78" t="s">
        <v>296</v>
      </c>
      <c r="K106" s="19" t="s">
        <v>788</v>
      </c>
    </row>
    <row r="107" spans="1:11" x14ac:dyDescent="0.2">
      <c r="A107" s="46">
        <f t="shared" si="21"/>
        <v>2021</v>
      </c>
      <c r="B107" s="6">
        <f t="shared" si="22"/>
        <v>3</v>
      </c>
      <c r="C107" s="59">
        <v>44256</v>
      </c>
      <c r="D107" s="59">
        <v>44256</v>
      </c>
      <c r="E107" s="96" t="s">
        <v>120</v>
      </c>
      <c r="F107" s="8">
        <v>13.99</v>
      </c>
      <c r="G107" s="44" t="s">
        <v>26</v>
      </c>
      <c r="H107" s="7" t="str">
        <f t="shared" si="25"/>
        <v>Fixed</v>
      </c>
      <c r="I107" s="8">
        <f t="shared" si="24"/>
        <v>-461.30999999999995</v>
      </c>
      <c r="J107" s="81" t="s">
        <v>7</v>
      </c>
      <c r="K107" s="19" t="s">
        <v>788</v>
      </c>
    </row>
    <row r="108" spans="1:11" x14ac:dyDescent="0.2">
      <c r="A108" s="46">
        <f t="shared" si="21"/>
        <v>2021</v>
      </c>
      <c r="B108" s="6">
        <f t="shared" si="22"/>
        <v>3</v>
      </c>
      <c r="C108" s="59">
        <v>44257</v>
      </c>
      <c r="D108" s="59">
        <v>44258</v>
      </c>
      <c r="E108" s="96" t="s">
        <v>121</v>
      </c>
      <c r="F108" s="8">
        <v>9.99</v>
      </c>
      <c r="G108" s="82" t="s">
        <v>26</v>
      </c>
      <c r="H108" s="7" t="str">
        <f t="shared" si="25"/>
        <v>Fixed</v>
      </c>
      <c r="I108" s="8">
        <f t="shared" si="24"/>
        <v>-451.31999999999994</v>
      </c>
      <c r="J108" s="81" t="s">
        <v>6</v>
      </c>
      <c r="K108" s="19" t="s">
        <v>788</v>
      </c>
    </row>
    <row r="109" spans="1:11" x14ac:dyDescent="0.2">
      <c r="A109" s="46">
        <f t="shared" si="21"/>
        <v>2021</v>
      </c>
      <c r="B109" s="6">
        <f t="shared" si="22"/>
        <v>3</v>
      </c>
      <c r="C109" s="59">
        <v>44259</v>
      </c>
      <c r="D109" s="59">
        <v>44259</v>
      </c>
      <c r="E109" s="96" t="s">
        <v>32</v>
      </c>
      <c r="F109" s="8">
        <v>91.78</v>
      </c>
      <c r="G109" s="44" t="s">
        <v>26</v>
      </c>
      <c r="H109" s="7" t="str">
        <f t="shared" si="25"/>
        <v>Fixed</v>
      </c>
      <c r="I109" s="8">
        <f t="shared" si="24"/>
        <v>-359.53999999999996</v>
      </c>
      <c r="J109" s="81" t="s">
        <v>8</v>
      </c>
      <c r="K109" s="19" t="s">
        <v>788</v>
      </c>
    </row>
    <row r="110" spans="1:11" x14ac:dyDescent="0.2">
      <c r="A110" s="46">
        <f t="shared" si="21"/>
        <v>2021</v>
      </c>
      <c r="B110" s="6">
        <f t="shared" si="22"/>
        <v>3</v>
      </c>
      <c r="C110" s="59">
        <v>44260</v>
      </c>
      <c r="D110" s="59">
        <v>44260</v>
      </c>
      <c r="E110" s="96" t="s">
        <v>122</v>
      </c>
      <c r="F110" s="8">
        <v>350</v>
      </c>
      <c r="G110" s="19" t="s">
        <v>52</v>
      </c>
      <c r="H110" s="7" t="str">
        <f t="shared" si="25"/>
        <v>Variable</v>
      </c>
      <c r="I110" s="8">
        <f t="shared" si="24"/>
        <v>-9.5399999999999636</v>
      </c>
      <c r="J110" s="40" t="s">
        <v>135</v>
      </c>
      <c r="K110" s="19" t="s">
        <v>693</v>
      </c>
    </row>
    <row r="111" spans="1:11" x14ac:dyDescent="0.2">
      <c r="A111" s="46">
        <f t="shared" si="21"/>
        <v>2021</v>
      </c>
      <c r="B111" s="6">
        <f t="shared" si="22"/>
        <v>3</v>
      </c>
      <c r="C111" s="59">
        <v>44261</v>
      </c>
      <c r="D111" s="59">
        <v>44261</v>
      </c>
      <c r="E111" s="96" t="s">
        <v>123</v>
      </c>
      <c r="F111" s="8">
        <v>70</v>
      </c>
      <c r="G111" s="19" t="s">
        <v>41</v>
      </c>
      <c r="H111" s="7" t="str">
        <f t="shared" si="25"/>
        <v>Variable</v>
      </c>
      <c r="I111" s="8">
        <f t="shared" si="24"/>
        <v>60.460000000000036</v>
      </c>
      <c r="J111" s="56"/>
      <c r="K111" s="19" t="s">
        <v>675</v>
      </c>
    </row>
    <row r="112" spans="1:11" x14ac:dyDescent="0.2">
      <c r="A112" s="46">
        <f t="shared" si="21"/>
        <v>2021</v>
      </c>
      <c r="B112" s="6">
        <f t="shared" si="22"/>
        <v>3</v>
      </c>
      <c r="C112" s="59">
        <v>44262</v>
      </c>
      <c r="D112" s="59">
        <v>44262</v>
      </c>
      <c r="E112" s="96" t="s">
        <v>124</v>
      </c>
      <c r="F112" s="8">
        <v>1</v>
      </c>
      <c r="G112" s="19" t="s">
        <v>68</v>
      </c>
      <c r="H112" s="7" t="str">
        <f t="shared" si="25"/>
        <v>Variable</v>
      </c>
      <c r="I112" s="8">
        <f t="shared" si="24"/>
        <v>61.460000000000036</v>
      </c>
      <c r="J112" s="56"/>
      <c r="K112" s="19" t="s">
        <v>788</v>
      </c>
    </row>
    <row r="113" spans="1:11" x14ac:dyDescent="0.2">
      <c r="A113" s="46">
        <f t="shared" si="21"/>
        <v>2021</v>
      </c>
      <c r="B113" s="6">
        <f t="shared" si="22"/>
        <v>3</v>
      </c>
      <c r="C113" s="59">
        <v>44262</v>
      </c>
      <c r="D113" s="59">
        <v>44262</v>
      </c>
      <c r="E113" s="96" t="s">
        <v>125</v>
      </c>
      <c r="F113" s="8">
        <v>1</v>
      </c>
      <c r="G113" s="19" t="s">
        <v>68</v>
      </c>
      <c r="H113" s="7" t="str">
        <f t="shared" si="25"/>
        <v>Variable</v>
      </c>
      <c r="I113" s="8">
        <f t="shared" si="24"/>
        <v>62.460000000000036</v>
      </c>
      <c r="J113" s="56"/>
      <c r="K113" s="19" t="s">
        <v>788</v>
      </c>
    </row>
    <row r="114" spans="1:11" x14ac:dyDescent="0.2">
      <c r="A114" s="46">
        <f t="shared" si="21"/>
        <v>2021</v>
      </c>
      <c r="B114" s="6">
        <f t="shared" si="22"/>
        <v>3</v>
      </c>
      <c r="C114" s="59">
        <v>44262</v>
      </c>
      <c r="D114" s="59">
        <v>44262</v>
      </c>
      <c r="E114" s="96" t="s">
        <v>49</v>
      </c>
      <c r="F114" s="8">
        <v>90.38</v>
      </c>
      <c r="G114" s="19" t="s">
        <v>68</v>
      </c>
      <c r="H114" s="7" t="str">
        <f t="shared" si="25"/>
        <v>Variable</v>
      </c>
      <c r="I114" s="8">
        <f t="shared" si="24"/>
        <v>152.84000000000003</v>
      </c>
      <c r="J114" s="56"/>
      <c r="K114" s="19" t="s">
        <v>693</v>
      </c>
    </row>
    <row r="115" spans="1:11" x14ac:dyDescent="0.2">
      <c r="A115" s="46">
        <f t="shared" si="21"/>
        <v>2021</v>
      </c>
      <c r="B115" s="6">
        <f t="shared" si="22"/>
        <v>3</v>
      </c>
      <c r="C115" s="59">
        <v>44262</v>
      </c>
      <c r="D115" s="59">
        <v>44263</v>
      </c>
      <c r="E115" s="96" t="s">
        <v>126</v>
      </c>
      <c r="F115" s="8">
        <v>-1</v>
      </c>
      <c r="G115" s="19" t="s">
        <v>22</v>
      </c>
      <c r="H115" s="7" t="str">
        <f t="shared" si="25"/>
        <v>Payment</v>
      </c>
      <c r="I115" s="8">
        <f t="shared" si="24"/>
        <v>151.84000000000003</v>
      </c>
      <c r="J115" s="56"/>
      <c r="K115" s="19"/>
    </row>
    <row r="116" spans="1:11" x14ac:dyDescent="0.2">
      <c r="A116" s="46">
        <f t="shared" si="21"/>
        <v>2021</v>
      </c>
      <c r="B116" s="6">
        <f t="shared" si="22"/>
        <v>3</v>
      </c>
      <c r="C116" s="59">
        <v>44262</v>
      </c>
      <c r="D116" s="59">
        <v>44263</v>
      </c>
      <c r="E116" s="96" t="s">
        <v>127</v>
      </c>
      <c r="F116" s="8">
        <v>-1</v>
      </c>
      <c r="G116" s="19" t="s">
        <v>22</v>
      </c>
      <c r="H116" s="7" t="str">
        <f t="shared" si="25"/>
        <v>Payment</v>
      </c>
      <c r="I116" s="8">
        <f t="shared" si="24"/>
        <v>150.84000000000003</v>
      </c>
      <c r="J116" s="56"/>
      <c r="K116" s="19"/>
    </row>
    <row r="117" spans="1:11" x14ac:dyDescent="0.2">
      <c r="A117" s="46">
        <f t="shared" si="21"/>
        <v>2021</v>
      </c>
      <c r="B117" s="6">
        <f t="shared" si="22"/>
        <v>3</v>
      </c>
      <c r="C117" s="59">
        <v>44263</v>
      </c>
      <c r="D117" s="59">
        <v>44263</v>
      </c>
      <c r="E117" s="96" t="s">
        <v>128</v>
      </c>
      <c r="F117" s="8">
        <v>55</v>
      </c>
      <c r="G117" s="199" t="s">
        <v>56</v>
      </c>
      <c r="H117" s="7" t="str">
        <f t="shared" si="25"/>
        <v>Variable</v>
      </c>
      <c r="I117" s="8">
        <f t="shared" si="24"/>
        <v>205.84000000000003</v>
      </c>
      <c r="J117" s="119" t="s">
        <v>509</v>
      </c>
      <c r="K117" s="19" t="s">
        <v>702</v>
      </c>
    </row>
    <row r="118" spans="1:11" x14ac:dyDescent="0.2">
      <c r="A118" s="46">
        <f t="shared" si="21"/>
        <v>2021</v>
      </c>
      <c r="B118" s="6">
        <f t="shared" si="22"/>
        <v>3</v>
      </c>
      <c r="C118" s="59">
        <v>44264</v>
      </c>
      <c r="D118" s="59">
        <v>44264</v>
      </c>
      <c r="E118" s="96" t="s">
        <v>129</v>
      </c>
      <c r="F118" s="8">
        <v>86.17</v>
      </c>
      <c r="G118" s="19" t="s">
        <v>130</v>
      </c>
      <c r="H118" s="7" t="str">
        <f t="shared" si="25"/>
        <v>Fixed</v>
      </c>
      <c r="I118" s="8">
        <f t="shared" si="24"/>
        <v>292.01000000000005</v>
      </c>
      <c r="J118" s="40" t="s">
        <v>136</v>
      </c>
      <c r="K118" s="19" t="s">
        <v>633</v>
      </c>
    </row>
    <row r="119" spans="1:11" x14ac:dyDescent="0.2">
      <c r="A119" s="46">
        <f t="shared" si="21"/>
        <v>2021</v>
      </c>
      <c r="B119" s="6">
        <f t="shared" si="22"/>
        <v>3</v>
      </c>
      <c r="C119" s="59">
        <v>44264</v>
      </c>
      <c r="D119" s="59">
        <v>44264</v>
      </c>
      <c r="E119" s="96" t="s">
        <v>131</v>
      </c>
      <c r="F119" s="8">
        <v>18.34</v>
      </c>
      <c r="G119" s="19" t="s">
        <v>68</v>
      </c>
      <c r="H119" s="7" t="str">
        <f t="shared" si="25"/>
        <v>Variable</v>
      </c>
      <c r="I119" s="8">
        <f t="shared" si="24"/>
        <v>310.35000000000002</v>
      </c>
      <c r="J119" s="56"/>
      <c r="K119" s="19" t="s">
        <v>693</v>
      </c>
    </row>
    <row r="120" spans="1:11" x14ac:dyDescent="0.2">
      <c r="A120" s="46">
        <f t="shared" si="21"/>
        <v>2021</v>
      </c>
      <c r="B120" s="6">
        <f t="shared" si="22"/>
        <v>3</v>
      </c>
      <c r="C120" s="59">
        <v>44264</v>
      </c>
      <c r="D120" s="59">
        <v>44264</v>
      </c>
      <c r="E120" s="96" t="s">
        <v>49</v>
      </c>
      <c r="F120" s="8">
        <v>3.99</v>
      </c>
      <c r="G120" s="19" t="s">
        <v>68</v>
      </c>
      <c r="H120" s="7" t="str">
        <f t="shared" si="25"/>
        <v>Variable</v>
      </c>
      <c r="I120" s="8">
        <f t="shared" si="24"/>
        <v>314.34000000000003</v>
      </c>
      <c r="J120" s="56"/>
      <c r="K120" s="19" t="s">
        <v>693</v>
      </c>
    </row>
    <row r="121" spans="1:11" x14ac:dyDescent="0.2">
      <c r="A121" s="46">
        <f t="shared" si="21"/>
        <v>2021</v>
      </c>
      <c r="B121" s="6">
        <f t="shared" si="22"/>
        <v>3</v>
      </c>
      <c r="C121" s="59">
        <v>44265</v>
      </c>
      <c r="D121" s="59">
        <v>44265</v>
      </c>
      <c r="E121" s="96" t="s">
        <v>132</v>
      </c>
      <c r="F121" s="8">
        <v>13.45</v>
      </c>
      <c r="G121" s="19" t="s">
        <v>41</v>
      </c>
      <c r="H121" s="7" t="str">
        <f t="shared" si="25"/>
        <v>Variable</v>
      </c>
      <c r="I121" s="8">
        <f t="shared" si="24"/>
        <v>327.79</v>
      </c>
      <c r="J121" s="40" t="s">
        <v>137</v>
      </c>
      <c r="K121" s="19" t="s">
        <v>675</v>
      </c>
    </row>
    <row r="122" spans="1:11" x14ac:dyDescent="0.2">
      <c r="A122" s="46">
        <f t="shared" si="21"/>
        <v>2021</v>
      </c>
      <c r="B122" s="6">
        <f t="shared" si="22"/>
        <v>3</v>
      </c>
      <c r="C122" s="59">
        <v>44265</v>
      </c>
      <c r="D122" s="59">
        <v>44265</v>
      </c>
      <c r="E122" s="96" t="s">
        <v>133</v>
      </c>
      <c r="F122" s="8">
        <v>28.3</v>
      </c>
      <c r="G122" s="19" t="s">
        <v>89</v>
      </c>
      <c r="H122" s="7" t="str">
        <f t="shared" si="25"/>
        <v>Variable</v>
      </c>
      <c r="I122" s="8">
        <f t="shared" si="24"/>
        <v>356.09000000000003</v>
      </c>
      <c r="J122" s="40" t="s">
        <v>137</v>
      </c>
      <c r="K122" s="19" t="s">
        <v>633</v>
      </c>
    </row>
    <row r="123" spans="1:11" x14ac:dyDescent="0.2">
      <c r="A123" s="46">
        <f t="shared" si="21"/>
        <v>2021</v>
      </c>
      <c r="B123" s="6">
        <f t="shared" si="22"/>
        <v>3</v>
      </c>
      <c r="C123" s="59">
        <v>44265</v>
      </c>
      <c r="D123" s="59">
        <v>44265</v>
      </c>
      <c r="E123" s="96" t="s">
        <v>134</v>
      </c>
      <c r="F123" s="8">
        <v>33.74</v>
      </c>
      <c r="G123" s="19" t="s">
        <v>89</v>
      </c>
      <c r="H123" s="7" t="str">
        <f t="shared" si="25"/>
        <v>Variable</v>
      </c>
      <c r="I123" s="8">
        <f t="shared" si="24"/>
        <v>389.83000000000004</v>
      </c>
      <c r="J123" s="40" t="s">
        <v>137</v>
      </c>
      <c r="K123" s="19" t="s">
        <v>633</v>
      </c>
    </row>
    <row r="124" spans="1:11" x14ac:dyDescent="0.2">
      <c r="A124" s="46">
        <f t="shared" si="21"/>
        <v>2021</v>
      </c>
      <c r="B124" s="6">
        <f t="shared" si="22"/>
        <v>3</v>
      </c>
      <c r="C124" s="59">
        <v>44265</v>
      </c>
      <c r="D124" s="59">
        <v>44265</v>
      </c>
      <c r="E124" s="96" t="s">
        <v>139</v>
      </c>
      <c r="F124" s="8">
        <v>9.19</v>
      </c>
      <c r="G124" s="19" t="s">
        <v>41</v>
      </c>
      <c r="H124" s="7" t="str">
        <f t="shared" si="25"/>
        <v>Variable</v>
      </c>
      <c r="I124" s="8">
        <f t="shared" si="24"/>
        <v>399.02000000000004</v>
      </c>
      <c r="J124" s="40"/>
      <c r="K124" s="19" t="s">
        <v>675</v>
      </c>
    </row>
    <row r="125" spans="1:11" x14ac:dyDescent="0.2">
      <c r="A125" s="46">
        <f t="shared" si="21"/>
        <v>2021</v>
      </c>
      <c r="B125" s="6">
        <f t="shared" si="22"/>
        <v>3</v>
      </c>
      <c r="C125" s="59">
        <v>44265</v>
      </c>
      <c r="D125" s="59">
        <v>44265</v>
      </c>
      <c r="E125" s="96" t="s">
        <v>140</v>
      </c>
      <c r="F125" s="8">
        <v>21.18</v>
      </c>
      <c r="G125" s="19" t="s">
        <v>68</v>
      </c>
      <c r="H125" s="7" t="str">
        <f t="shared" si="25"/>
        <v>Variable</v>
      </c>
      <c r="I125" s="8">
        <f t="shared" si="24"/>
        <v>420.20000000000005</v>
      </c>
      <c r="J125" s="40"/>
      <c r="K125" s="19" t="s">
        <v>693</v>
      </c>
    </row>
    <row r="126" spans="1:11" x14ac:dyDescent="0.2">
      <c r="A126" s="46">
        <f t="shared" si="21"/>
        <v>2021</v>
      </c>
      <c r="B126" s="6">
        <f t="shared" si="22"/>
        <v>3</v>
      </c>
      <c r="C126" s="59">
        <v>44265</v>
      </c>
      <c r="D126" s="59">
        <v>44265</v>
      </c>
      <c r="E126" s="96" t="s">
        <v>140</v>
      </c>
      <c r="F126" s="8">
        <v>37.07</v>
      </c>
      <c r="G126" s="19" t="s">
        <v>68</v>
      </c>
      <c r="H126" s="7" t="str">
        <f t="shared" si="25"/>
        <v>Variable</v>
      </c>
      <c r="I126" s="8">
        <f t="shared" si="24"/>
        <v>457.27000000000004</v>
      </c>
      <c r="J126" s="40"/>
      <c r="K126" s="19" t="s">
        <v>693</v>
      </c>
    </row>
    <row r="127" spans="1:11" x14ac:dyDescent="0.2">
      <c r="A127" s="46">
        <f t="shared" si="21"/>
        <v>2021</v>
      </c>
      <c r="B127" s="6">
        <f t="shared" si="22"/>
        <v>3</v>
      </c>
      <c r="C127" s="59">
        <v>44265</v>
      </c>
      <c r="D127" s="59">
        <v>44265</v>
      </c>
      <c r="E127" s="96" t="s">
        <v>141</v>
      </c>
      <c r="F127" s="8">
        <v>19.79</v>
      </c>
      <c r="G127" s="19" t="s">
        <v>68</v>
      </c>
      <c r="H127" s="7" t="str">
        <f t="shared" si="25"/>
        <v>Variable</v>
      </c>
      <c r="I127" s="8">
        <f t="shared" si="24"/>
        <v>477.06000000000006</v>
      </c>
      <c r="J127" s="40"/>
      <c r="K127" s="19" t="s">
        <v>693</v>
      </c>
    </row>
    <row r="128" spans="1:11" x14ac:dyDescent="0.2">
      <c r="A128" s="46">
        <f t="shared" si="21"/>
        <v>2021</v>
      </c>
      <c r="B128" s="6">
        <f t="shared" si="22"/>
        <v>3</v>
      </c>
      <c r="C128" s="59">
        <v>44266</v>
      </c>
      <c r="D128" s="59">
        <v>44266</v>
      </c>
      <c r="E128" s="96" t="s">
        <v>60</v>
      </c>
      <c r="F128" s="8">
        <v>26.45</v>
      </c>
      <c r="G128" s="19" t="s">
        <v>24</v>
      </c>
      <c r="H128" s="7" t="str">
        <f t="shared" si="25"/>
        <v>Variable</v>
      </c>
      <c r="I128" s="8">
        <f t="shared" si="24"/>
        <v>503.51000000000005</v>
      </c>
      <c r="J128" s="40"/>
      <c r="K128" s="23" t="s">
        <v>633</v>
      </c>
    </row>
    <row r="129" spans="1:11" x14ac:dyDescent="0.2">
      <c r="A129" s="46">
        <f t="shared" si="21"/>
        <v>2021</v>
      </c>
      <c r="B129" s="6">
        <f t="shared" si="22"/>
        <v>3</v>
      </c>
      <c r="C129" s="59">
        <v>44266</v>
      </c>
      <c r="D129" s="59">
        <v>44266</v>
      </c>
      <c r="E129" s="96" t="s">
        <v>142</v>
      </c>
      <c r="F129" s="8">
        <v>15.66</v>
      </c>
      <c r="G129" s="19" t="s">
        <v>68</v>
      </c>
      <c r="H129" s="7" t="str">
        <f t="shared" si="25"/>
        <v>Variable</v>
      </c>
      <c r="I129" s="8">
        <f t="shared" si="24"/>
        <v>519.17000000000007</v>
      </c>
      <c r="J129" s="40"/>
      <c r="K129" s="19" t="s">
        <v>693</v>
      </c>
    </row>
    <row r="130" spans="1:11" x14ac:dyDescent="0.2">
      <c r="A130" s="46">
        <f t="shared" si="21"/>
        <v>2021</v>
      </c>
      <c r="B130" s="6">
        <f t="shared" si="22"/>
        <v>3</v>
      </c>
      <c r="C130" s="59">
        <v>44267</v>
      </c>
      <c r="D130" s="59">
        <v>44267</v>
      </c>
      <c r="E130" s="96" t="s">
        <v>143</v>
      </c>
      <c r="F130" s="8">
        <v>14.99</v>
      </c>
      <c r="G130" s="82" t="s">
        <v>26</v>
      </c>
      <c r="H130" s="7" t="str">
        <f t="shared" si="25"/>
        <v>Fixed</v>
      </c>
      <c r="I130" s="8">
        <f t="shared" si="24"/>
        <v>534.16000000000008</v>
      </c>
      <c r="J130" s="81" t="s">
        <v>293</v>
      </c>
      <c r="K130" s="19" t="s">
        <v>788</v>
      </c>
    </row>
    <row r="131" spans="1:11" x14ac:dyDescent="0.2">
      <c r="A131" s="46">
        <f t="shared" ref="A131:A194" si="26">YEAR(C131)</f>
        <v>2021</v>
      </c>
      <c r="B131" s="6">
        <f t="shared" ref="B131:B194" si="27">MONTH(C131)</f>
        <v>3</v>
      </c>
      <c r="C131" s="59">
        <v>44267</v>
      </c>
      <c r="D131" s="59">
        <v>44267</v>
      </c>
      <c r="E131" s="96" t="s">
        <v>21</v>
      </c>
      <c r="F131" s="8">
        <v>-1160.3800000000001</v>
      </c>
      <c r="G131" s="19" t="s">
        <v>22</v>
      </c>
      <c r="H131" s="7" t="str">
        <f t="shared" ref="H131:H153" si="28">VLOOKUP(G131,Expense_Lookup,2,0)</f>
        <v>Payment</v>
      </c>
      <c r="I131" s="8">
        <f t="shared" si="24"/>
        <v>-626.22</v>
      </c>
      <c r="J131" s="40"/>
      <c r="K131" s="19"/>
    </row>
    <row r="132" spans="1:11" x14ac:dyDescent="0.2">
      <c r="A132" s="46">
        <f t="shared" si="26"/>
        <v>2021</v>
      </c>
      <c r="B132" s="6">
        <f t="shared" si="27"/>
        <v>3</v>
      </c>
      <c r="C132" s="59">
        <v>44267</v>
      </c>
      <c r="D132" s="59">
        <v>44267</v>
      </c>
      <c r="E132" s="96" t="s">
        <v>144</v>
      </c>
      <c r="F132" s="8">
        <v>11</v>
      </c>
      <c r="G132" s="19" t="s">
        <v>41</v>
      </c>
      <c r="H132" s="7" t="str">
        <f t="shared" si="28"/>
        <v>Variable</v>
      </c>
      <c r="I132" s="8">
        <f t="shared" ref="I132:I195" si="29">I131+F132</f>
        <v>-615.22</v>
      </c>
      <c r="J132" s="40"/>
      <c r="K132" s="19" t="s">
        <v>675</v>
      </c>
    </row>
    <row r="133" spans="1:11" x14ac:dyDescent="0.2">
      <c r="A133" s="46">
        <f t="shared" si="26"/>
        <v>2021</v>
      </c>
      <c r="B133" s="6">
        <f t="shared" si="27"/>
        <v>3</v>
      </c>
      <c r="C133" s="59">
        <v>44267</v>
      </c>
      <c r="D133" s="59">
        <v>44267</v>
      </c>
      <c r="E133" s="96" t="s">
        <v>59</v>
      </c>
      <c r="F133" s="8">
        <v>1.99</v>
      </c>
      <c r="G133" s="62" t="s">
        <v>26</v>
      </c>
      <c r="H133" s="7" t="str">
        <f t="shared" si="28"/>
        <v>Fixed</v>
      </c>
      <c r="I133" s="8">
        <f t="shared" si="29"/>
        <v>-613.23</v>
      </c>
      <c r="J133" s="81" t="s">
        <v>283</v>
      </c>
      <c r="K133" s="19" t="s">
        <v>788</v>
      </c>
    </row>
    <row r="134" spans="1:11" x14ac:dyDescent="0.2">
      <c r="A134" s="46">
        <f t="shared" si="26"/>
        <v>2021</v>
      </c>
      <c r="B134" s="6">
        <f t="shared" si="27"/>
        <v>3</v>
      </c>
      <c r="C134" s="59">
        <v>44267</v>
      </c>
      <c r="D134" s="59">
        <v>44267</v>
      </c>
      <c r="E134" s="96" t="s">
        <v>145</v>
      </c>
      <c r="F134" s="8">
        <v>19.989999999999998</v>
      </c>
      <c r="G134" s="19" t="s">
        <v>24</v>
      </c>
      <c r="H134" s="7" t="str">
        <f t="shared" si="28"/>
        <v>Variable</v>
      </c>
      <c r="I134" s="8">
        <f t="shared" si="29"/>
        <v>-593.24</v>
      </c>
      <c r="J134" s="40"/>
      <c r="K134" s="23" t="s">
        <v>633</v>
      </c>
    </row>
    <row r="135" spans="1:11" x14ac:dyDescent="0.2">
      <c r="A135" s="46">
        <f t="shared" si="26"/>
        <v>2021</v>
      </c>
      <c r="B135" s="6">
        <f t="shared" si="27"/>
        <v>3</v>
      </c>
      <c r="C135" s="59">
        <v>44268</v>
      </c>
      <c r="D135" s="59">
        <v>44268</v>
      </c>
      <c r="E135" s="96" t="s">
        <v>146</v>
      </c>
      <c r="F135" s="8">
        <v>17</v>
      </c>
      <c r="G135" s="19" t="s">
        <v>89</v>
      </c>
      <c r="H135" s="7" t="str">
        <f t="shared" si="28"/>
        <v>Variable</v>
      </c>
      <c r="I135" s="8">
        <f t="shared" si="29"/>
        <v>-576.24</v>
      </c>
      <c r="J135" s="40"/>
      <c r="K135" s="19" t="s">
        <v>633</v>
      </c>
    </row>
    <row r="136" spans="1:11" x14ac:dyDescent="0.2">
      <c r="A136" s="46">
        <f t="shared" si="26"/>
        <v>2021</v>
      </c>
      <c r="B136" s="6">
        <f t="shared" si="27"/>
        <v>3</v>
      </c>
      <c r="C136" s="59">
        <v>44268</v>
      </c>
      <c r="D136" s="59">
        <v>44268</v>
      </c>
      <c r="E136" s="96" t="s">
        <v>147</v>
      </c>
      <c r="F136" s="8">
        <v>10.17</v>
      </c>
      <c r="G136" s="19" t="s">
        <v>41</v>
      </c>
      <c r="H136" s="7" t="str">
        <f t="shared" si="28"/>
        <v>Variable</v>
      </c>
      <c r="I136" s="8">
        <f t="shared" si="29"/>
        <v>-566.07000000000005</v>
      </c>
      <c r="J136" s="40"/>
      <c r="K136" s="19" t="s">
        <v>675</v>
      </c>
    </row>
    <row r="137" spans="1:11" x14ac:dyDescent="0.2">
      <c r="A137" s="46">
        <f t="shared" si="26"/>
        <v>2021</v>
      </c>
      <c r="B137" s="6">
        <f t="shared" si="27"/>
        <v>3</v>
      </c>
      <c r="C137" s="59">
        <v>44268</v>
      </c>
      <c r="D137" s="59">
        <v>44268</v>
      </c>
      <c r="E137" s="96" t="s">
        <v>141</v>
      </c>
      <c r="F137" s="8">
        <v>5</v>
      </c>
      <c r="G137" s="19" t="s">
        <v>68</v>
      </c>
      <c r="H137" s="7" t="str">
        <f t="shared" si="28"/>
        <v>Variable</v>
      </c>
      <c r="I137" s="8">
        <f t="shared" si="29"/>
        <v>-561.07000000000005</v>
      </c>
      <c r="J137" s="81"/>
      <c r="K137" s="19" t="s">
        <v>632</v>
      </c>
    </row>
    <row r="138" spans="1:11" x14ac:dyDescent="0.2">
      <c r="A138" s="46">
        <f t="shared" si="26"/>
        <v>2021</v>
      </c>
      <c r="B138" s="6">
        <f t="shared" si="27"/>
        <v>3</v>
      </c>
      <c r="C138" s="59">
        <v>44269</v>
      </c>
      <c r="D138" s="59">
        <v>44269</v>
      </c>
      <c r="E138" s="96" t="s">
        <v>148</v>
      </c>
      <c r="F138" s="8">
        <v>79.989999999999995</v>
      </c>
      <c r="G138" s="82" t="s">
        <v>26</v>
      </c>
      <c r="H138" s="7" t="str">
        <f t="shared" si="28"/>
        <v>Fixed</v>
      </c>
      <c r="I138" s="8">
        <f t="shared" si="29"/>
        <v>-481.08000000000004</v>
      </c>
      <c r="J138" s="81" t="s">
        <v>313</v>
      </c>
      <c r="K138" s="19" t="s">
        <v>788</v>
      </c>
    </row>
    <row r="139" spans="1:11" x14ac:dyDescent="0.2">
      <c r="A139" s="46">
        <f t="shared" si="26"/>
        <v>2021</v>
      </c>
      <c r="B139" s="6">
        <f t="shared" si="27"/>
        <v>3</v>
      </c>
      <c r="C139" s="59">
        <v>44269</v>
      </c>
      <c r="D139" s="59">
        <v>44269</v>
      </c>
      <c r="E139" s="96" t="s">
        <v>149</v>
      </c>
      <c r="F139" s="8">
        <v>7.54</v>
      </c>
      <c r="G139" s="19" t="s">
        <v>24</v>
      </c>
      <c r="H139" s="7" t="str">
        <f t="shared" si="28"/>
        <v>Variable</v>
      </c>
      <c r="I139" s="8">
        <f t="shared" si="29"/>
        <v>-473.54</v>
      </c>
      <c r="J139" s="40"/>
      <c r="K139" s="23" t="s">
        <v>633</v>
      </c>
    </row>
    <row r="140" spans="1:11" x14ac:dyDescent="0.2">
      <c r="A140" s="46">
        <f t="shared" si="26"/>
        <v>2021</v>
      </c>
      <c r="B140" s="6">
        <f t="shared" si="27"/>
        <v>3</v>
      </c>
      <c r="C140" s="59">
        <v>44269</v>
      </c>
      <c r="D140" s="59">
        <v>44269</v>
      </c>
      <c r="E140" s="96" t="s">
        <v>149</v>
      </c>
      <c r="F140" s="8">
        <v>26.08</v>
      </c>
      <c r="G140" s="19" t="s">
        <v>24</v>
      </c>
      <c r="H140" s="7" t="str">
        <f t="shared" si="28"/>
        <v>Variable</v>
      </c>
      <c r="I140" s="8">
        <f t="shared" si="29"/>
        <v>-447.46000000000004</v>
      </c>
      <c r="J140" s="40"/>
      <c r="K140" s="23" t="s">
        <v>633</v>
      </c>
    </row>
    <row r="141" spans="1:11" x14ac:dyDescent="0.2">
      <c r="A141" s="46">
        <f t="shared" si="26"/>
        <v>2021</v>
      </c>
      <c r="B141" s="6">
        <f t="shared" si="27"/>
        <v>3</v>
      </c>
      <c r="C141" s="59">
        <v>44269</v>
      </c>
      <c r="D141" s="59">
        <v>44269</v>
      </c>
      <c r="E141" s="96" t="s">
        <v>150</v>
      </c>
      <c r="F141" s="8">
        <v>75.98</v>
      </c>
      <c r="G141" s="199" t="s">
        <v>26</v>
      </c>
      <c r="H141" s="7" t="str">
        <f t="shared" si="28"/>
        <v>Fixed</v>
      </c>
      <c r="I141" s="8">
        <f t="shared" si="29"/>
        <v>-371.48</v>
      </c>
      <c r="J141" s="40"/>
      <c r="K141" s="19" t="s">
        <v>788</v>
      </c>
    </row>
    <row r="142" spans="1:11" x14ac:dyDescent="0.2">
      <c r="A142" s="46">
        <f t="shared" si="26"/>
        <v>2021</v>
      </c>
      <c r="B142" s="6">
        <f t="shared" si="27"/>
        <v>3</v>
      </c>
      <c r="C142" s="59">
        <v>44269</v>
      </c>
      <c r="D142" s="59">
        <v>44269</v>
      </c>
      <c r="E142" s="101" t="s">
        <v>100</v>
      </c>
      <c r="F142" s="8">
        <v>86.25</v>
      </c>
      <c r="G142" s="62" t="s">
        <v>26</v>
      </c>
      <c r="H142" s="7" t="str">
        <f t="shared" si="28"/>
        <v>Fixed</v>
      </c>
      <c r="I142" s="8">
        <f t="shared" si="29"/>
        <v>-285.23</v>
      </c>
      <c r="J142" s="81" t="s">
        <v>294</v>
      </c>
      <c r="K142" s="19" t="s">
        <v>788</v>
      </c>
    </row>
    <row r="143" spans="1:11" x14ac:dyDescent="0.2">
      <c r="A143" s="46">
        <f t="shared" si="26"/>
        <v>2021</v>
      </c>
      <c r="B143" s="6">
        <f t="shared" si="27"/>
        <v>3</v>
      </c>
      <c r="C143" s="59">
        <v>44270</v>
      </c>
      <c r="D143" s="59">
        <v>44270</v>
      </c>
      <c r="E143" s="96" t="s">
        <v>151</v>
      </c>
      <c r="F143" s="8">
        <v>20</v>
      </c>
      <c r="G143" s="184" t="s">
        <v>56</v>
      </c>
      <c r="H143" s="7" t="str">
        <f t="shared" si="28"/>
        <v>Variable</v>
      </c>
      <c r="I143" s="8">
        <f t="shared" si="29"/>
        <v>-265.23</v>
      </c>
      <c r="J143" s="70" t="s">
        <v>210</v>
      </c>
      <c r="K143" s="183" t="s">
        <v>702</v>
      </c>
    </row>
    <row r="144" spans="1:11" x14ac:dyDescent="0.2">
      <c r="A144" s="46">
        <f t="shared" si="26"/>
        <v>2021</v>
      </c>
      <c r="B144" s="6">
        <f t="shared" si="27"/>
        <v>3</v>
      </c>
      <c r="C144" s="59">
        <v>44271</v>
      </c>
      <c r="D144" s="59">
        <v>44271</v>
      </c>
      <c r="E144" s="96" t="s">
        <v>152</v>
      </c>
      <c r="F144" s="8">
        <v>30.34</v>
      </c>
      <c r="G144" s="19" t="s">
        <v>90</v>
      </c>
      <c r="H144" s="7" t="str">
        <f t="shared" si="28"/>
        <v>Variable</v>
      </c>
      <c r="I144" s="8">
        <f t="shared" si="29"/>
        <v>-234.89000000000001</v>
      </c>
      <c r="J144" s="40"/>
      <c r="K144" s="19" t="s">
        <v>675</v>
      </c>
    </row>
    <row r="145" spans="1:11" x14ac:dyDescent="0.2">
      <c r="A145" s="46">
        <f t="shared" si="26"/>
        <v>2021</v>
      </c>
      <c r="B145" s="6">
        <f t="shared" si="27"/>
        <v>3</v>
      </c>
      <c r="C145" s="59">
        <v>44272</v>
      </c>
      <c r="D145" s="59">
        <v>44272</v>
      </c>
      <c r="E145" s="96" t="s">
        <v>61</v>
      </c>
      <c r="F145" s="8">
        <v>-14.05</v>
      </c>
      <c r="G145" s="19" t="s">
        <v>62</v>
      </c>
      <c r="H145" s="7" t="str">
        <f t="shared" si="28"/>
        <v>Payment</v>
      </c>
      <c r="I145" s="8">
        <f t="shared" si="29"/>
        <v>-248.94000000000003</v>
      </c>
      <c r="J145" s="40"/>
      <c r="K145" s="19"/>
    </row>
    <row r="146" spans="1:11" x14ac:dyDescent="0.2">
      <c r="A146" s="46">
        <f t="shared" si="26"/>
        <v>2021</v>
      </c>
      <c r="B146" s="6">
        <f t="shared" si="27"/>
        <v>3</v>
      </c>
      <c r="C146" s="59">
        <v>44272</v>
      </c>
      <c r="D146" s="59">
        <v>44272</v>
      </c>
      <c r="E146" s="96" t="s">
        <v>21</v>
      </c>
      <c r="F146" s="8">
        <v>-471.27</v>
      </c>
      <c r="G146" s="19" t="s">
        <v>22</v>
      </c>
      <c r="H146" s="7" t="str">
        <f t="shared" si="28"/>
        <v>Payment</v>
      </c>
      <c r="I146" s="8">
        <f t="shared" si="29"/>
        <v>-720.21</v>
      </c>
      <c r="J146" s="40"/>
      <c r="K146" s="19"/>
    </row>
    <row r="147" spans="1:11" x14ac:dyDescent="0.2">
      <c r="A147" s="46">
        <f t="shared" si="26"/>
        <v>2021</v>
      </c>
      <c r="B147" s="6">
        <f t="shared" si="27"/>
        <v>3</v>
      </c>
      <c r="C147" s="59">
        <v>44274</v>
      </c>
      <c r="D147" s="59">
        <v>44274</v>
      </c>
      <c r="E147" s="96" t="s">
        <v>21</v>
      </c>
      <c r="F147" s="8">
        <v>-50.34</v>
      </c>
      <c r="G147" s="19" t="s">
        <v>22</v>
      </c>
      <c r="H147" s="7" t="str">
        <f t="shared" si="28"/>
        <v>Payment</v>
      </c>
      <c r="I147" s="8">
        <f t="shared" si="29"/>
        <v>-770.55000000000007</v>
      </c>
      <c r="J147" s="40"/>
      <c r="K147" s="19"/>
    </row>
    <row r="148" spans="1:11" x14ac:dyDescent="0.2">
      <c r="A148" s="46">
        <f t="shared" si="26"/>
        <v>2021</v>
      </c>
      <c r="B148" s="6">
        <f t="shared" si="27"/>
        <v>3</v>
      </c>
      <c r="C148" s="59">
        <v>44274</v>
      </c>
      <c r="D148" s="59">
        <v>44274</v>
      </c>
      <c r="E148" s="96" t="s">
        <v>153</v>
      </c>
      <c r="F148" s="8">
        <v>24.75</v>
      </c>
      <c r="G148" s="19" t="s">
        <v>41</v>
      </c>
      <c r="H148" s="7" t="str">
        <f t="shared" si="28"/>
        <v>Variable</v>
      </c>
      <c r="I148" s="8">
        <f t="shared" si="29"/>
        <v>-745.80000000000007</v>
      </c>
      <c r="J148" s="40"/>
      <c r="K148" s="19" t="s">
        <v>675</v>
      </c>
    </row>
    <row r="149" spans="1:11" x14ac:dyDescent="0.2">
      <c r="A149" s="46">
        <f t="shared" si="26"/>
        <v>2021</v>
      </c>
      <c r="B149" s="6">
        <f t="shared" si="27"/>
        <v>3</v>
      </c>
      <c r="C149" s="59">
        <v>44274</v>
      </c>
      <c r="D149" s="59">
        <v>44274</v>
      </c>
      <c r="E149" s="96" t="s">
        <v>85</v>
      </c>
      <c r="F149" s="8">
        <v>86.57</v>
      </c>
      <c r="G149" s="19" t="s">
        <v>90</v>
      </c>
      <c r="H149" s="7" t="str">
        <f t="shared" si="28"/>
        <v>Variable</v>
      </c>
      <c r="I149" s="8">
        <f t="shared" si="29"/>
        <v>-659.23</v>
      </c>
      <c r="J149" s="40"/>
      <c r="K149" s="19" t="s">
        <v>675</v>
      </c>
    </row>
    <row r="150" spans="1:11" x14ac:dyDescent="0.2">
      <c r="A150" s="46">
        <f t="shared" si="26"/>
        <v>2021</v>
      </c>
      <c r="B150" s="6">
        <f t="shared" si="27"/>
        <v>3</v>
      </c>
      <c r="C150" s="59">
        <v>44275</v>
      </c>
      <c r="D150" s="59">
        <v>44275</v>
      </c>
      <c r="E150" s="96" t="s">
        <v>154</v>
      </c>
      <c r="F150" s="8">
        <v>10.5</v>
      </c>
      <c r="G150" s="19" t="s">
        <v>41</v>
      </c>
      <c r="H150" s="7" t="str">
        <f t="shared" si="28"/>
        <v>Variable</v>
      </c>
      <c r="I150" s="8">
        <f t="shared" si="29"/>
        <v>-648.73</v>
      </c>
      <c r="J150" s="70" t="s">
        <v>206</v>
      </c>
      <c r="K150" s="19" t="s">
        <v>682</v>
      </c>
    </row>
    <row r="151" spans="1:11" x14ac:dyDescent="0.2">
      <c r="A151" s="46">
        <f t="shared" si="26"/>
        <v>2021</v>
      </c>
      <c r="B151" s="6">
        <f t="shared" si="27"/>
        <v>3</v>
      </c>
      <c r="C151" s="59">
        <v>44275</v>
      </c>
      <c r="D151" s="59">
        <v>44275</v>
      </c>
      <c r="E151" s="96" t="s">
        <v>155</v>
      </c>
      <c r="F151" s="8">
        <v>2.75</v>
      </c>
      <c r="G151" s="19" t="s">
        <v>89</v>
      </c>
      <c r="H151" s="7" t="str">
        <f t="shared" si="28"/>
        <v>Variable</v>
      </c>
      <c r="I151" s="8">
        <f t="shared" si="29"/>
        <v>-645.98</v>
      </c>
      <c r="J151" s="70" t="s">
        <v>206</v>
      </c>
      <c r="K151" s="19" t="s">
        <v>682</v>
      </c>
    </row>
    <row r="152" spans="1:11" x14ac:dyDescent="0.2">
      <c r="A152" s="46">
        <f t="shared" si="26"/>
        <v>2021</v>
      </c>
      <c r="B152" s="6">
        <f t="shared" si="27"/>
        <v>3</v>
      </c>
      <c r="C152" s="59">
        <v>44275</v>
      </c>
      <c r="D152" s="59">
        <v>44275</v>
      </c>
      <c r="E152" s="96" t="s">
        <v>156</v>
      </c>
      <c r="F152" s="8">
        <v>2.75</v>
      </c>
      <c r="G152" s="19" t="s">
        <v>89</v>
      </c>
      <c r="H152" s="7" t="str">
        <f t="shared" si="28"/>
        <v>Variable</v>
      </c>
      <c r="I152" s="8">
        <f t="shared" si="29"/>
        <v>-643.23</v>
      </c>
      <c r="J152" s="70" t="s">
        <v>206</v>
      </c>
      <c r="K152" s="19" t="s">
        <v>682</v>
      </c>
    </row>
    <row r="153" spans="1:11" x14ac:dyDescent="0.2">
      <c r="A153" s="46">
        <f t="shared" si="26"/>
        <v>2021</v>
      </c>
      <c r="B153" s="6">
        <f t="shared" si="27"/>
        <v>3</v>
      </c>
      <c r="C153" s="59">
        <v>44275</v>
      </c>
      <c r="D153" s="59">
        <v>44275</v>
      </c>
      <c r="E153" s="96" t="s">
        <v>157</v>
      </c>
      <c r="F153" s="8">
        <v>2.75</v>
      </c>
      <c r="G153" s="19" t="s">
        <v>89</v>
      </c>
      <c r="H153" s="7" t="str">
        <f t="shared" si="28"/>
        <v>Variable</v>
      </c>
      <c r="I153" s="8">
        <f t="shared" si="29"/>
        <v>-640.48</v>
      </c>
      <c r="J153" s="70" t="s">
        <v>206</v>
      </c>
      <c r="K153" s="19" t="s">
        <v>682</v>
      </c>
    </row>
    <row r="154" spans="1:11" x14ac:dyDescent="0.2">
      <c r="A154" s="46">
        <f t="shared" si="26"/>
        <v>2021</v>
      </c>
      <c r="B154" s="6">
        <f t="shared" si="27"/>
        <v>3</v>
      </c>
      <c r="C154" s="59">
        <v>44275</v>
      </c>
      <c r="D154" s="59">
        <v>44275</v>
      </c>
      <c r="E154" s="96" t="s">
        <v>101</v>
      </c>
      <c r="F154" s="8">
        <v>6.99</v>
      </c>
      <c r="G154" s="90" t="s">
        <v>26</v>
      </c>
      <c r="H154" s="90" t="s">
        <v>26</v>
      </c>
      <c r="I154" s="8">
        <f t="shared" si="29"/>
        <v>-633.49</v>
      </c>
      <c r="J154" s="91" t="s">
        <v>357</v>
      </c>
      <c r="K154" s="19" t="s">
        <v>788</v>
      </c>
    </row>
    <row r="155" spans="1:11" x14ac:dyDescent="0.2">
      <c r="A155" s="46">
        <f t="shared" si="26"/>
        <v>2021</v>
      </c>
      <c r="B155" s="6">
        <f t="shared" si="27"/>
        <v>3</v>
      </c>
      <c r="C155" s="59">
        <v>44276</v>
      </c>
      <c r="D155" s="59">
        <v>44276</v>
      </c>
      <c r="E155" s="96" t="s">
        <v>158</v>
      </c>
      <c r="F155" s="8">
        <v>27.76</v>
      </c>
      <c r="G155" s="19" t="s">
        <v>68</v>
      </c>
      <c r="H155" s="7" t="str">
        <f t="shared" ref="H155:H218" si="30">VLOOKUP(G155,Expense_Lookup,2,0)</f>
        <v>Variable</v>
      </c>
      <c r="I155" s="8">
        <f t="shared" si="29"/>
        <v>-605.73</v>
      </c>
      <c r="J155" s="70" t="s">
        <v>206</v>
      </c>
      <c r="K155" s="19" t="s">
        <v>682</v>
      </c>
    </row>
    <row r="156" spans="1:11" x14ac:dyDescent="0.2">
      <c r="A156" s="46">
        <f t="shared" si="26"/>
        <v>2021</v>
      </c>
      <c r="B156" s="6">
        <f t="shared" si="27"/>
        <v>3</v>
      </c>
      <c r="C156" s="59">
        <v>44276</v>
      </c>
      <c r="D156" s="59">
        <v>44276</v>
      </c>
      <c r="E156" s="96" t="s">
        <v>159</v>
      </c>
      <c r="F156" s="8">
        <v>9.9499999999999993</v>
      </c>
      <c r="G156" s="183" t="s">
        <v>56</v>
      </c>
      <c r="H156" s="7" t="str">
        <f t="shared" si="30"/>
        <v>Variable</v>
      </c>
      <c r="I156" s="8">
        <f t="shared" si="29"/>
        <v>-595.78</v>
      </c>
      <c r="J156" s="70" t="s">
        <v>35</v>
      </c>
      <c r="K156" s="183" t="s">
        <v>702</v>
      </c>
    </row>
    <row r="157" spans="1:11" x14ac:dyDescent="0.2">
      <c r="A157" s="46">
        <f t="shared" si="26"/>
        <v>2021</v>
      </c>
      <c r="B157" s="6">
        <f t="shared" si="27"/>
        <v>3</v>
      </c>
      <c r="C157" s="59">
        <v>44276</v>
      </c>
      <c r="D157" s="59">
        <v>44276</v>
      </c>
      <c r="E157" s="96" t="s">
        <v>124</v>
      </c>
      <c r="F157" s="8">
        <v>64.989999999999995</v>
      </c>
      <c r="G157" s="62" t="s">
        <v>26</v>
      </c>
      <c r="H157" s="7" t="str">
        <f t="shared" si="30"/>
        <v>Fixed</v>
      </c>
      <c r="I157" s="8">
        <f t="shared" si="29"/>
        <v>-530.79</v>
      </c>
      <c r="J157" s="81" t="s">
        <v>297</v>
      </c>
      <c r="K157" s="19" t="s">
        <v>788</v>
      </c>
    </row>
    <row r="158" spans="1:11" x14ac:dyDescent="0.2">
      <c r="A158" s="46">
        <f t="shared" si="26"/>
        <v>2021</v>
      </c>
      <c r="B158" s="6">
        <f t="shared" si="27"/>
        <v>3</v>
      </c>
      <c r="C158" s="59">
        <v>44276</v>
      </c>
      <c r="D158" s="59">
        <v>44276</v>
      </c>
      <c r="E158" s="96" t="s">
        <v>81</v>
      </c>
      <c r="F158" s="8">
        <v>7.99</v>
      </c>
      <c r="G158" s="62" t="s">
        <v>26</v>
      </c>
      <c r="H158" s="7" t="str">
        <f t="shared" si="30"/>
        <v>Fixed</v>
      </c>
      <c r="I158" s="8">
        <f t="shared" si="29"/>
        <v>-522.79999999999995</v>
      </c>
      <c r="J158" s="81" t="s">
        <v>9</v>
      </c>
      <c r="K158" s="19" t="s">
        <v>788</v>
      </c>
    </row>
    <row r="159" spans="1:11" x14ac:dyDescent="0.2">
      <c r="A159" s="46">
        <f t="shared" si="26"/>
        <v>2021</v>
      </c>
      <c r="B159" s="6">
        <f t="shared" si="27"/>
        <v>3</v>
      </c>
      <c r="C159" s="59">
        <v>44278</v>
      </c>
      <c r="D159" s="59">
        <v>44278</v>
      </c>
      <c r="E159" s="96" t="s">
        <v>160</v>
      </c>
      <c r="F159" s="8">
        <v>2.75</v>
      </c>
      <c r="G159" s="19" t="s">
        <v>89</v>
      </c>
      <c r="H159" s="7" t="str">
        <f t="shared" si="30"/>
        <v>Variable</v>
      </c>
      <c r="I159" s="8">
        <f t="shared" si="29"/>
        <v>-520.04999999999995</v>
      </c>
      <c r="J159" s="70" t="s">
        <v>206</v>
      </c>
      <c r="K159" s="19" t="s">
        <v>682</v>
      </c>
    </row>
    <row r="160" spans="1:11" x14ac:dyDescent="0.2">
      <c r="A160" s="46">
        <f t="shared" si="26"/>
        <v>2021</v>
      </c>
      <c r="B160" s="6">
        <f t="shared" si="27"/>
        <v>3</v>
      </c>
      <c r="C160" s="59">
        <v>44278</v>
      </c>
      <c r="D160" s="59">
        <v>44278</v>
      </c>
      <c r="E160" s="96" t="s">
        <v>161</v>
      </c>
      <c r="F160" s="8">
        <v>14.1</v>
      </c>
      <c r="G160" s="19" t="s">
        <v>41</v>
      </c>
      <c r="H160" s="7" t="str">
        <f t="shared" si="30"/>
        <v>Variable</v>
      </c>
      <c r="I160" s="8">
        <f t="shared" si="29"/>
        <v>-505.94999999999993</v>
      </c>
      <c r="J160" s="70" t="s">
        <v>206</v>
      </c>
      <c r="K160" s="19" t="s">
        <v>682</v>
      </c>
    </row>
    <row r="161" spans="1:11" x14ac:dyDescent="0.2">
      <c r="A161" s="46">
        <f t="shared" si="26"/>
        <v>2021</v>
      </c>
      <c r="B161" s="6">
        <f t="shared" si="27"/>
        <v>3</v>
      </c>
      <c r="C161" s="59">
        <v>44280</v>
      </c>
      <c r="D161" s="59">
        <v>44280</v>
      </c>
      <c r="E161" s="96" t="s">
        <v>162</v>
      </c>
      <c r="F161" s="8">
        <v>16.940000000000001</v>
      </c>
      <c r="G161" s="19" t="s">
        <v>68</v>
      </c>
      <c r="H161" s="7" t="str">
        <f t="shared" si="30"/>
        <v>Variable</v>
      </c>
      <c r="I161" s="8">
        <f t="shared" si="29"/>
        <v>-489.00999999999993</v>
      </c>
      <c r="J161" s="70" t="s">
        <v>206</v>
      </c>
      <c r="K161" s="19" t="s">
        <v>682</v>
      </c>
    </row>
    <row r="162" spans="1:11" x14ac:dyDescent="0.2">
      <c r="A162" s="46">
        <f t="shared" si="26"/>
        <v>2021</v>
      </c>
      <c r="B162" s="6">
        <f t="shared" si="27"/>
        <v>3</v>
      </c>
      <c r="C162" s="59">
        <v>44280</v>
      </c>
      <c r="D162" s="59">
        <v>44280</v>
      </c>
      <c r="E162" s="96" t="s">
        <v>163</v>
      </c>
      <c r="F162" s="8">
        <v>16.690000000000001</v>
      </c>
      <c r="G162" s="19" t="s">
        <v>41</v>
      </c>
      <c r="H162" s="7" t="str">
        <f t="shared" si="30"/>
        <v>Variable</v>
      </c>
      <c r="I162" s="8">
        <f t="shared" si="29"/>
        <v>-472.31999999999994</v>
      </c>
      <c r="J162" s="70" t="s">
        <v>206</v>
      </c>
      <c r="K162" s="19" t="s">
        <v>682</v>
      </c>
    </row>
    <row r="163" spans="1:11" x14ac:dyDescent="0.2">
      <c r="A163" s="46">
        <f t="shared" si="26"/>
        <v>2021</v>
      </c>
      <c r="B163" s="6">
        <f t="shared" si="27"/>
        <v>3</v>
      </c>
      <c r="C163" s="59">
        <v>44280</v>
      </c>
      <c r="D163" s="59">
        <v>44280</v>
      </c>
      <c r="E163" s="96" t="s">
        <v>164</v>
      </c>
      <c r="F163" s="8">
        <v>120</v>
      </c>
      <c r="G163" s="82" t="s">
        <v>52</v>
      </c>
      <c r="H163" s="7" t="str">
        <f t="shared" si="30"/>
        <v>Variable</v>
      </c>
      <c r="I163" s="8">
        <f t="shared" si="29"/>
        <v>-352.31999999999994</v>
      </c>
      <c r="J163" s="70" t="s">
        <v>207</v>
      </c>
      <c r="K163" s="82" t="s">
        <v>676</v>
      </c>
    </row>
    <row r="164" spans="1:11" x14ac:dyDescent="0.2">
      <c r="A164" s="46">
        <f t="shared" si="26"/>
        <v>2021</v>
      </c>
      <c r="B164" s="6">
        <f t="shared" si="27"/>
        <v>3</v>
      </c>
      <c r="C164" s="59">
        <v>44281</v>
      </c>
      <c r="D164" s="59">
        <v>44281</v>
      </c>
      <c r="E164" s="96" t="s">
        <v>165</v>
      </c>
      <c r="F164" s="8">
        <v>14.99</v>
      </c>
      <c r="G164" s="62" t="s">
        <v>26</v>
      </c>
      <c r="H164" s="7" t="str">
        <f t="shared" si="30"/>
        <v>Fixed</v>
      </c>
      <c r="I164" s="8">
        <f t="shared" si="29"/>
        <v>-337.32999999999993</v>
      </c>
      <c r="J164" s="81" t="s">
        <v>312</v>
      </c>
      <c r="K164" s="19" t="s">
        <v>788</v>
      </c>
    </row>
    <row r="165" spans="1:11" x14ac:dyDescent="0.2">
      <c r="A165" s="46">
        <f t="shared" si="26"/>
        <v>2021</v>
      </c>
      <c r="B165" s="6">
        <f t="shared" si="27"/>
        <v>3</v>
      </c>
      <c r="C165" s="59">
        <v>44281</v>
      </c>
      <c r="D165" s="59">
        <v>44281</v>
      </c>
      <c r="E165" s="96" t="s">
        <v>166</v>
      </c>
      <c r="F165" s="8">
        <v>141.59</v>
      </c>
      <c r="G165" s="19" t="s">
        <v>68</v>
      </c>
      <c r="H165" s="7" t="str">
        <f t="shared" si="30"/>
        <v>Variable</v>
      </c>
      <c r="I165" s="8">
        <f t="shared" si="29"/>
        <v>-195.73999999999992</v>
      </c>
      <c r="J165" s="70" t="s">
        <v>206</v>
      </c>
      <c r="K165" s="19" t="s">
        <v>682</v>
      </c>
    </row>
    <row r="166" spans="1:11" x14ac:dyDescent="0.2">
      <c r="A166" s="46">
        <f t="shared" si="26"/>
        <v>2021</v>
      </c>
      <c r="B166" s="6">
        <f t="shared" si="27"/>
        <v>3</v>
      </c>
      <c r="C166" s="59">
        <v>44281</v>
      </c>
      <c r="D166" s="59">
        <v>44281</v>
      </c>
      <c r="E166" s="96" t="s">
        <v>21</v>
      </c>
      <c r="F166" s="8">
        <v>-264.60000000000002</v>
      </c>
      <c r="G166" s="19" t="s">
        <v>22</v>
      </c>
      <c r="H166" s="7" t="str">
        <f t="shared" si="30"/>
        <v>Payment</v>
      </c>
      <c r="I166" s="8">
        <f t="shared" si="29"/>
        <v>-460.33999999999992</v>
      </c>
      <c r="J166" s="40"/>
      <c r="K166" s="19"/>
    </row>
    <row r="167" spans="1:11" x14ac:dyDescent="0.2">
      <c r="A167" s="46">
        <f t="shared" si="26"/>
        <v>2021</v>
      </c>
      <c r="B167" s="6">
        <f t="shared" si="27"/>
        <v>3</v>
      </c>
      <c r="C167" s="59">
        <v>44281</v>
      </c>
      <c r="D167" s="59">
        <v>44281</v>
      </c>
      <c r="E167" s="96" t="s">
        <v>167</v>
      </c>
      <c r="F167" s="8">
        <v>2.75</v>
      </c>
      <c r="G167" s="19" t="s">
        <v>89</v>
      </c>
      <c r="H167" s="7" t="str">
        <f t="shared" si="30"/>
        <v>Variable</v>
      </c>
      <c r="I167" s="8">
        <f t="shared" si="29"/>
        <v>-457.58999999999992</v>
      </c>
      <c r="J167" s="70" t="s">
        <v>206</v>
      </c>
      <c r="K167" s="19" t="s">
        <v>682</v>
      </c>
    </row>
    <row r="168" spans="1:11" x14ac:dyDescent="0.2">
      <c r="A168" s="46">
        <f t="shared" si="26"/>
        <v>2021</v>
      </c>
      <c r="B168" s="6">
        <f t="shared" si="27"/>
        <v>3</v>
      </c>
      <c r="C168" s="59">
        <v>44281</v>
      </c>
      <c r="D168" s="59">
        <v>44281</v>
      </c>
      <c r="E168" s="96" t="s">
        <v>168</v>
      </c>
      <c r="F168" s="8">
        <v>2.75</v>
      </c>
      <c r="G168" s="19" t="s">
        <v>89</v>
      </c>
      <c r="H168" s="7" t="str">
        <f t="shared" si="30"/>
        <v>Variable</v>
      </c>
      <c r="I168" s="8">
        <f t="shared" si="29"/>
        <v>-454.83999999999992</v>
      </c>
      <c r="J168" s="70" t="s">
        <v>206</v>
      </c>
      <c r="K168" s="19" t="s">
        <v>682</v>
      </c>
    </row>
    <row r="169" spans="1:11" x14ac:dyDescent="0.2">
      <c r="A169" s="46">
        <f t="shared" si="26"/>
        <v>2021</v>
      </c>
      <c r="B169" s="6">
        <f t="shared" si="27"/>
        <v>3</v>
      </c>
      <c r="C169" s="59">
        <v>44282</v>
      </c>
      <c r="D169" s="59">
        <v>44282</v>
      </c>
      <c r="E169" s="96" t="s">
        <v>169</v>
      </c>
      <c r="F169" s="8">
        <v>22.94</v>
      </c>
      <c r="G169" s="19" t="s">
        <v>68</v>
      </c>
      <c r="H169" s="7" t="str">
        <f t="shared" si="30"/>
        <v>Variable</v>
      </c>
      <c r="I169" s="8">
        <f t="shared" si="29"/>
        <v>-431.89999999999992</v>
      </c>
      <c r="J169" s="70" t="s">
        <v>206</v>
      </c>
      <c r="K169" s="19" t="s">
        <v>682</v>
      </c>
    </row>
    <row r="170" spans="1:11" x14ac:dyDescent="0.2">
      <c r="A170" s="46">
        <f t="shared" si="26"/>
        <v>2021</v>
      </c>
      <c r="B170" s="6">
        <f t="shared" si="27"/>
        <v>3</v>
      </c>
      <c r="C170" s="59">
        <v>44282</v>
      </c>
      <c r="D170" s="59">
        <v>44282</v>
      </c>
      <c r="E170" s="96" t="s">
        <v>170</v>
      </c>
      <c r="F170" s="8">
        <v>2.75</v>
      </c>
      <c r="G170" s="19" t="s">
        <v>89</v>
      </c>
      <c r="H170" s="7" t="str">
        <f t="shared" si="30"/>
        <v>Variable</v>
      </c>
      <c r="I170" s="8">
        <f t="shared" si="29"/>
        <v>-429.14999999999992</v>
      </c>
      <c r="J170" s="70" t="s">
        <v>206</v>
      </c>
      <c r="K170" s="19" t="s">
        <v>682</v>
      </c>
    </row>
    <row r="171" spans="1:11" x14ac:dyDescent="0.2">
      <c r="A171" s="46">
        <f t="shared" si="26"/>
        <v>2021</v>
      </c>
      <c r="B171" s="6">
        <f t="shared" si="27"/>
        <v>3</v>
      </c>
      <c r="C171" s="59">
        <v>44282</v>
      </c>
      <c r="D171" s="59">
        <v>44282</v>
      </c>
      <c r="E171" s="96" t="s">
        <v>171</v>
      </c>
      <c r="F171" s="8">
        <v>2.75</v>
      </c>
      <c r="G171" s="19" t="s">
        <v>89</v>
      </c>
      <c r="H171" s="7" t="str">
        <f t="shared" si="30"/>
        <v>Variable</v>
      </c>
      <c r="I171" s="8">
        <f t="shared" si="29"/>
        <v>-426.39999999999992</v>
      </c>
      <c r="J171" s="70" t="s">
        <v>206</v>
      </c>
      <c r="K171" s="19" t="s">
        <v>682</v>
      </c>
    </row>
    <row r="172" spans="1:11" x14ac:dyDescent="0.2">
      <c r="A172" s="46">
        <f t="shared" si="26"/>
        <v>2021</v>
      </c>
      <c r="B172" s="6">
        <f t="shared" si="27"/>
        <v>3</v>
      </c>
      <c r="C172" s="59">
        <v>44282</v>
      </c>
      <c r="D172" s="59">
        <v>44282</v>
      </c>
      <c r="E172" s="96" t="s">
        <v>112</v>
      </c>
      <c r="F172" s="8">
        <v>9.99</v>
      </c>
      <c r="G172" s="62" t="s">
        <v>26</v>
      </c>
      <c r="H172" s="7" t="str">
        <f t="shared" si="30"/>
        <v>Fixed</v>
      </c>
      <c r="I172" s="8">
        <f t="shared" si="29"/>
        <v>-416.40999999999991</v>
      </c>
      <c r="J172" s="81" t="s">
        <v>295</v>
      </c>
      <c r="K172" s="19" t="s">
        <v>788</v>
      </c>
    </row>
    <row r="173" spans="1:11" x14ac:dyDescent="0.2">
      <c r="A173" s="46">
        <f t="shared" si="26"/>
        <v>2021</v>
      </c>
      <c r="B173" s="6">
        <f t="shared" si="27"/>
        <v>3</v>
      </c>
      <c r="C173" s="59">
        <v>44282</v>
      </c>
      <c r="D173" s="59">
        <v>44282</v>
      </c>
      <c r="E173" s="96" t="s">
        <v>172</v>
      </c>
      <c r="F173" s="8">
        <v>15.94</v>
      </c>
      <c r="G173" s="19" t="s">
        <v>90</v>
      </c>
      <c r="H173" s="7" t="str">
        <f t="shared" si="30"/>
        <v>Variable</v>
      </c>
      <c r="I173" s="8">
        <f t="shared" si="29"/>
        <v>-400.46999999999991</v>
      </c>
      <c r="J173" s="70" t="s">
        <v>206</v>
      </c>
      <c r="K173" s="19" t="s">
        <v>682</v>
      </c>
    </row>
    <row r="174" spans="1:11" x14ac:dyDescent="0.2">
      <c r="A174" s="46">
        <f t="shared" si="26"/>
        <v>2021</v>
      </c>
      <c r="B174" s="6">
        <f t="shared" si="27"/>
        <v>3</v>
      </c>
      <c r="C174" s="59">
        <v>44282</v>
      </c>
      <c r="D174" s="59">
        <v>44282</v>
      </c>
      <c r="E174" s="96" t="s">
        <v>115</v>
      </c>
      <c r="F174" s="8">
        <v>5</v>
      </c>
      <c r="G174" s="19" t="s">
        <v>68</v>
      </c>
      <c r="H174" s="7" t="str">
        <f t="shared" si="30"/>
        <v>Variable</v>
      </c>
      <c r="I174" s="8">
        <f t="shared" si="29"/>
        <v>-395.46999999999991</v>
      </c>
      <c r="J174" s="70" t="s">
        <v>206</v>
      </c>
      <c r="K174" s="19" t="s">
        <v>682</v>
      </c>
    </row>
    <row r="175" spans="1:11" x14ac:dyDescent="0.2">
      <c r="A175" s="46">
        <f t="shared" si="26"/>
        <v>2021</v>
      </c>
      <c r="B175" s="6">
        <f t="shared" si="27"/>
        <v>3</v>
      </c>
      <c r="C175" s="59">
        <v>44283</v>
      </c>
      <c r="D175" s="59">
        <v>44283</v>
      </c>
      <c r="E175" s="96" t="s">
        <v>173</v>
      </c>
      <c r="F175" s="8">
        <v>9.9499999999999993</v>
      </c>
      <c r="G175" s="62" t="s">
        <v>26</v>
      </c>
      <c r="H175" s="7" t="str">
        <f t="shared" si="30"/>
        <v>Fixed</v>
      </c>
      <c r="I175" s="8">
        <f t="shared" si="29"/>
        <v>-385.51999999999992</v>
      </c>
      <c r="J175" s="81" t="s">
        <v>322</v>
      </c>
      <c r="K175" s="19" t="s">
        <v>788</v>
      </c>
    </row>
    <row r="176" spans="1:11" x14ac:dyDescent="0.2">
      <c r="A176" s="46">
        <f t="shared" si="26"/>
        <v>2021</v>
      </c>
      <c r="B176" s="6">
        <f t="shared" si="27"/>
        <v>3</v>
      </c>
      <c r="C176" s="59">
        <v>44283</v>
      </c>
      <c r="D176" s="59">
        <v>44283</v>
      </c>
      <c r="E176" s="96" t="s">
        <v>174</v>
      </c>
      <c r="F176" s="8">
        <v>8.1300000000000008</v>
      </c>
      <c r="G176" s="19" t="s">
        <v>41</v>
      </c>
      <c r="H176" s="7" t="str">
        <f t="shared" si="30"/>
        <v>Variable</v>
      </c>
      <c r="I176" s="8">
        <f t="shared" si="29"/>
        <v>-377.38999999999993</v>
      </c>
      <c r="J176" s="70" t="s">
        <v>206</v>
      </c>
      <c r="K176" s="19" t="s">
        <v>682</v>
      </c>
    </row>
    <row r="177" spans="1:11" x14ac:dyDescent="0.2">
      <c r="A177" s="46">
        <f t="shared" si="26"/>
        <v>2021</v>
      </c>
      <c r="B177" s="6">
        <f t="shared" si="27"/>
        <v>3</v>
      </c>
      <c r="C177" s="59">
        <v>44284</v>
      </c>
      <c r="D177" s="59">
        <v>44284</v>
      </c>
      <c r="E177" s="96" t="s">
        <v>175</v>
      </c>
      <c r="F177" s="8">
        <v>23.65</v>
      </c>
      <c r="G177" s="19" t="s">
        <v>41</v>
      </c>
      <c r="H177" s="7" t="str">
        <f t="shared" si="30"/>
        <v>Variable</v>
      </c>
      <c r="I177" s="8">
        <f t="shared" si="29"/>
        <v>-353.73999999999995</v>
      </c>
      <c r="J177" s="70" t="s">
        <v>206</v>
      </c>
      <c r="K177" s="19" t="s">
        <v>682</v>
      </c>
    </row>
    <row r="178" spans="1:11" x14ac:dyDescent="0.2">
      <c r="A178" s="46">
        <f t="shared" si="26"/>
        <v>2021</v>
      </c>
      <c r="B178" s="6">
        <f t="shared" si="27"/>
        <v>3</v>
      </c>
      <c r="C178" s="59">
        <v>44284</v>
      </c>
      <c r="D178" s="59">
        <v>44284</v>
      </c>
      <c r="E178" s="96" t="s">
        <v>175</v>
      </c>
      <c r="F178" s="8">
        <v>48.22</v>
      </c>
      <c r="G178" s="19" t="s">
        <v>41</v>
      </c>
      <c r="H178" s="7" t="str">
        <f t="shared" si="30"/>
        <v>Variable</v>
      </c>
      <c r="I178" s="8">
        <f t="shared" si="29"/>
        <v>-305.52</v>
      </c>
      <c r="J178" s="70" t="s">
        <v>206</v>
      </c>
      <c r="K178" s="19" t="s">
        <v>682</v>
      </c>
    </row>
    <row r="179" spans="1:11" ht="15" thickBot="1" x14ac:dyDescent="0.25">
      <c r="A179" s="48">
        <f t="shared" si="26"/>
        <v>2021</v>
      </c>
      <c r="B179" s="45">
        <f t="shared" si="27"/>
        <v>3</v>
      </c>
      <c r="C179" s="69">
        <v>44286</v>
      </c>
      <c r="D179" s="69">
        <v>44286</v>
      </c>
      <c r="E179" s="100" t="s">
        <v>21</v>
      </c>
      <c r="F179" s="52">
        <v>-465.03</v>
      </c>
      <c r="G179" s="49" t="s">
        <v>22</v>
      </c>
      <c r="H179" s="55" t="str">
        <f t="shared" si="30"/>
        <v>Payment</v>
      </c>
      <c r="I179" s="8">
        <f t="shared" si="29"/>
        <v>-770.55</v>
      </c>
      <c r="J179" s="68"/>
      <c r="K179" s="49"/>
    </row>
    <row r="180" spans="1:11" x14ac:dyDescent="0.2">
      <c r="A180" s="30">
        <f t="shared" si="26"/>
        <v>2021</v>
      </c>
      <c r="B180" s="35">
        <f t="shared" si="27"/>
        <v>4</v>
      </c>
      <c r="C180" s="60">
        <v>44287</v>
      </c>
      <c r="D180" s="60">
        <v>44287</v>
      </c>
      <c r="E180" s="102" t="s">
        <v>176</v>
      </c>
      <c r="F180" s="29">
        <v>14.83</v>
      </c>
      <c r="G180" s="63" t="s">
        <v>26</v>
      </c>
      <c r="H180" s="34" t="str">
        <f t="shared" si="30"/>
        <v>Fixed</v>
      </c>
      <c r="I180" s="8">
        <f t="shared" si="29"/>
        <v>-755.71999999999991</v>
      </c>
      <c r="J180" s="77" t="s">
        <v>7</v>
      </c>
      <c r="K180" s="19" t="s">
        <v>788</v>
      </c>
    </row>
    <row r="181" spans="1:11" x14ac:dyDescent="0.2">
      <c r="A181" s="20">
        <f t="shared" si="26"/>
        <v>2021</v>
      </c>
      <c r="B181" s="6">
        <f t="shared" si="27"/>
        <v>4</v>
      </c>
      <c r="C181" s="58">
        <v>44287</v>
      </c>
      <c r="D181" s="58">
        <v>44287</v>
      </c>
      <c r="E181" s="96" t="s">
        <v>177</v>
      </c>
      <c r="F181" s="8">
        <v>9.99</v>
      </c>
      <c r="G181" s="62" t="s">
        <v>26</v>
      </c>
      <c r="H181" s="7" t="str">
        <f t="shared" si="30"/>
        <v>Fixed</v>
      </c>
      <c r="I181" s="8">
        <f t="shared" si="29"/>
        <v>-745.7299999999999</v>
      </c>
      <c r="J181" s="82" t="s">
        <v>6</v>
      </c>
      <c r="K181" s="19" t="s">
        <v>788</v>
      </c>
    </row>
    <row r="182" spans="1:11" x14ac:dyDescent="0.2">
      <c r="A182" s="20">
        <f t="shared" si="26"/>
        <v>2021</v>
      </c>
      <c r="B182" s="6">
        <f t="shared" si="27"/>
        <v>4</v>
      </c>
      <c r="C182" s="58">
        <v>44288</v>
      </c>
      <c r="D182" s="58">
        <v>44289</v>
      </c>
      <c r="E182" s="96" t="s">
        <v>104</v>
      </c>
      <c r="F182" s="8">
        <v>1.99</v>
      </c>
      <c r="G182" s="62" t="s">
        <v>26</v>
      </c>
      <c r="H182" s="7" t="str">
        <f t="shared" si="30"/>
        <v>Fixed</v>
      </c>
      <c r="I182" s="8">
        <f t="shared" si="29"/>
        <v>-743.7399999999999</v>
      </c>
      <c r="J182" s="82" t="s">
        <v>94</v>
      </c>
      <c r="K182" s="19" t="s">
        <v>788</v>
      </c>
    </row>
    <row r="183" spans="1:11" x14ac:dyDescent="0.2">
      <c r="A183" s="20">
        <f t="shared" si="26"/>
        <v>2021</v>
      </c>
      <c r="B183" s="6">
        <f t="shared" si="27"/>
        <v>4</v>
      </c>
      <c r="C183" s="58">
        <v>44289</v>
      </c>
      <c r="D183" s="58">
        <v>44289</v>
      </c>
      <c r="E183" s="96" t="s">
        <v>178</v>
      </c>
      <c r="F183" s="8">
        <v>15</v>
      </c>
      <c r="G183" s="19" t="s">
        <v>52</v>
      </c>
      <c r="H183" s="7" t="str">
        <f t="shared" si="30"/>
        <v>Variable</v>
      </c>
      <c r="I183" s="8">
        <f t="shared" si="29"/>
        <v>-728.7399999999999</v>
      </c>
      <c r="J183" s="44"/>
      <c r="K183" s="19" t="s">
        <v>633</v>
      </c>
    </row>
    <row r="184" spans="1:11" x14ac:dyDescent="0.2">
      <c r="A184" s="20">
        <f t="shared" si="26"/>
        <v>2021</v>
      </c>
      <c r="B184" s="6">
        <f t="shared" si="27"/>
        <v>4</v>
      </c>
      <c r="C184" s="58">
        <v>44289</v>
      </c>
      <c r="D184" s="58">
        <v>44289</v>
      </c>
      <c r="E184" s="96" t="s">
        <v>179</v>
      </c>
      <c r="F184" s="8">
        <v>20.66</v>
      </c>
      <c r="G184" s="19" t="s">
        <v>24</v>
      </c>
      <c r="H184" s="7" t="str">
        <f t="shared" si="30"/>
        <v>Variable</v>
      </c>
      <c r="I184" s="8">
        <f t="shared" si="29"/>
        <v>-708.07999999999993</v>
      </c>
      <c r="J184" s="44"/>
      <c r="K184" s="23" t="s">
        <v>633</v>
      </c>
    </row>
    <row r="185" spans="1:11" x14ac:dyDescent="0.2">
      <c r="A185" s="20">
        <f t="shared" si="26"/>
        <v>2021</v>
      </c>
      <c r="B185" s="6">
        <f t="shared" si="27"/>
        <v>4</v>
      </c>
      <c r="C185" s="58">
        <v>44289</v>
      </c>
      <c r="D185" s="58">
        <v>44289</v>
      </c>
      <c r="E185" s="96" t="s">
        <v>180</v>
      </c>
      <c r="F185" s="8">
        <v>17.43</v>
      </c>
      <c r="G185" s="19" t="s">
        <v>41</v>
      </c>
      <c r="H185" s="7" t="str">
        <f t="shared" si="30"/>
        <v>Variable</v>
      </c>
      <c r="I185" s="8">
        <f t="shared" si="29"/>
        <v>-690.65</v>
      </c>
      <c r="J185" s="44"/>
      <c r="K185" s="19" t="s">
        <v>675</v>
      </c>
    </row>
    <row r="186" spans="1:11" x14ac:dyDescent="0.2">
      <c r="A186" s="20">
        <f t="shared" si="26"/>
        <v>2021</v>
      </c>
      <c r="B186" s="6">
        <f t="shared" si="27"/>
        <v>4</v>
      </c>
      <c r="C186" s="58">
        <v>44289</v>
      </c>
      <c r="D186" s="58">
        <v>44289</v>
      </c>
      <c r="E186" s="96" t="s">
        <v>32</v>
      </c>
      <c r="F186" s="8">
        <v>91.78</v>
      </c>
      <c r="G186" s="62" t="s">
        <v>26</v>
      </c>
      <c r="H186" s="7" t="str">
        <f t="shared" si="30"/>
        <v>Fixed</v>
      </c>
      <c r="I186" s="8">
        <f t="shared" si="29"/>
        <v>-598.87</v>
      </c>
      <c r="J186" s="82" t="s">
        <v>8</v>
      </c>
      <c r="K186" s="19" t="s">
        <v>788</v>
      </c>
    </row>
    <row r="187" spans="1:11" x14ac:dyDescent="0.2">
      <c r="A187" s="20">
        <f t="shared" si="26"/>
        <v>2021</v>
      </c>
      <c r="B187" s="6">
        <f t="shared" si="27"/>
        <v>4</v>
      </c>
      <c r="C187" s="58">
        <v>44290</v>
      </c>
      <c r="D187" s="58">
        <v>44290</v>
      </c>
      <c r="E187" s="96" t="s">
        <v>181</v>
      </c>
      <c r="F187" s="8">
        <v>0.99</v>
      </c>
      <c r="G187" s="62" t="s">
        <v>26</v>
      </c>
      <c r="H187" s="7" t="str">
        <f t="shared" si="30"/>
        <v>Fixed</v>
      </c>
      <c r="I187" s="8">
        <f t="shared" si="29"/>
        <v>-597.88</v>
      </c>
      <c r="J187" s="82" t="s">
        <v>298</v>
      </c>
      <c r="K187" s="19" t="s">
        <v>788</v>
      </c>
    </row>
    <row r="188" spans="1:11" x14ac:dyDescent="0.2">
      <c r="A188" s="20">
        <f t="shared" si="26"/>
        <v>2021</v>
      </c>
      <c r="B188" s="6">
        <f t="shared" si="27"/>
        <v>4</v>
      </c>
      <c r="C188" s="58">
        <v>44290</v>
      </c>
      <c r="D188" s="58">
        <v>44290</v>
      </c>
      <c r="E188" s="96" t="s">
        <v>182</v>
      </c>
      <c r="F188" s="8">
        <v>169.85</v>
      </c>
      <c r="G188" s="19" t="s">
        <v>41</v>
      </c>
      <c r="H188" s="7" t="str">
        <f t="shared" si="30"/>
        <v>Variable</v>
      </c>
      <c r="I188" s="8">
        <f t="shared" si="29"/>
        <v>-428.03</v>
      </c>
      <c r="J188" s="44"/>
      <c r="K188" s="19" t="s">
        <v>675</v>
      </c>
    </row>
    <row r="189" spans="1:11" x14ac:dyDescent="0.2">
      <c r="A189" s="20">
        <f t="shared" si="26"/>
        <v>2021</v>
      </c>
      <c r="B189" s="6">
        <f t="shared" si="27"/>
        <v>4</v>
      </c>
      <c r="C189" s="58">
        <v>44291</v>
      </c>
      <c r="D189" s="58">
        <v>44291</v>
      </c>
      <c r="E189" s="96" t="s">
        <v>183</v>
      </c>
      <c r="F189" s="8">
        <v>10.88</v>
      </c>
      <c r="G189" s="19" t="s">
        <v>41</v>
      </c>
      <c r="H189" s="7" t="str">
        <f t="shared" si="30"/>
        <v>Variable</v>
      </c>
      <c r="I189" s="8">
        <f t="shared" si="29"/>
        <v>-417.15</v>
      </c>
      <c r="J189" s="44"/>
      <c r="K189" s="19" t="s">
        <v>675</v>
      </c>
    </row>
    <row r="190" spans="1:11" x14ac:dyDescent="0.2">
      <c r="A190" s="20">
        <f t="shared" si="26"/>
        <v>2021</v>
      </c>
      <c r="B190" s="6">
        <f t="shared" si="27"/>
        <v>4</v>
      </c>
      <c r="C190" s="58">
        <v>44293</v>
      </c>
      <c r="D190" s="58">
        <v>44293</v>
      </c>
      <c r="E190" s="96" t="s">
        <v>184</v>
      </c>
      <c r="F190" s="8">
        <v>4.24</v>
      </c>
      <c r="G190" s="62" t="s">
        <v>68</v>
      </c>
      <c r="H190" s="7" t="str">
        <f t="shared" si="30"/>
        <v>Variable</v>
      </c>
      <c r="I190" s="8">
        <f t="shared" si="29"/>
        <v>-412.90999999999997</v>
      </c>
      <c r="J190" s="44"/>
      <c r="K190" s="62" t="s">
        <v>687</v>
      </c>
    </row>
    <row r="191" spans="1:11" x14ac:dyDescent="0.2">
      <c r="A191" s="20">
        <f t="shared" si="26"/>
        <v>2021</v>
      </c>
      <c r="B191" s="6">
        <f t="shared" si="27"/>
        <v>4</v>
      </c>
      <c r="C191" s="58">
        <v>44293</v>
      </c>
      <c r="D191" s="58">
        <v>44293</v>
      </c>
      <c r="E191" s="96" t="s">
        <v>184</v>
      </c>
      <c r="F191" s="8">
        <v>84.95</v>
      </c>
      <c r="G191" s="62" t="s">
        <v>26</v>
      </c>
      <c r="H191" s="7" t="str">
        <f t="shared" si="30"/>
        <v>Fixed</v>
      </c>
      <c r="I191" s="8">
        <f t="shared" si="29"/>
        <v>-327.96</v>
      </c>
      <c r="J191" s="82" t="s">
        <v>323</v>
      </c>
      <c r="K191" s="90" t="s">
        <v>687</v>
      </c>
    </row>
    <row r="192" spans="1:11" x14ac:dyDescent="0.2">
      <c r="A192" s="20">
        <f t="shared" si="26"/>
        <v>2021</v>
      </c>
      <c r="B192" s="6">
        <f t="shared" si="27"/>
        <v>4</v>
      </c>
      <c r="C192" s="58">
        <v>44293</v>
      </c>
      <c r="D192" s="58">
        <v>44293</v>
      </c>
      <c r="E192" s="96" t="s">
        <v>185</v>
      </c>
      <c r="F192" s="8">
        <v>7.43</v>
      </c>
      <c r="G192" s="19" t="s">
        <v>41</v>
      </c>
      <c r="H192" s="7" t="str">
        <f t="shared" si="30"/>
        <v>Variable</v>
      </c>
      <c r="I192" s="8">
        <f t="shared" si="29"/>
        <v>-320.52999999999997</v>
      </c>
      <c r="J192" s="44"/>
      <c r="K192" s="19" t="s">
        <v>675</v>
      </c>
    </row>
    <row r="193" spans="1:11" x14ac:dyDescent="0.2">
      <c r="A193" s="20">
        <f t="shared" si="26"/>
        <v>2021</v>
      </c>
      <c r="B193" s="6">
        <f t="shared" si="27"/>
        <v>4</v>
      </c>
      <c r="C193" s="58">
        <v>44294</v>
      </c>
      <c r="D193" s="58">
        <v>44294</v>
      </c>
      <c r="E193" s="96" t="s">
        <v>186</v>
      </c>
      <c r="F193" s="8">
        <v>4.24</v>
      </c>
      <c r="G193" s="62" t="s">
        <v>68</v>
      </c>
      <c r="H193" s="7" t="str">
        <f t="shared" si="30"/>
        <v>Variable</v>
      </c>
      <c r="I193" s="8">
        <f t="shared" si="29"/>
        <v>-316.28999999999996</v>
      </c>
      <c r="J193" s="44"/>
      <c r="K193" s="62" t="s">
        <v>687</v>
      </c>
    </row>
    <row r="194" spans="1:11" x14ac:dyDescent="0.2">
      <c r="A194" s="20">
        <f t="shared" si="26"/>
        <v>2021</v>
      </c>
      <c r="B194" s="6">
        <f t="shared" si="27"/>
        <v>4</v>
      </c>
      <c r="C194" s="58">
        <v>44295</v>
      </c>
      <c r="D194" s="58">
        <v>44295</v>
      </c>
      <c r="E194" s="96" t="s">
        <v>187</v>
      </c>
      <c r="F194" s="8">
        <v>117.8</v>
      </c>
      <c r="G194" s="19" t="s">
        <v>68</v>
      </c>
      <c r="H194" s="7" t="str">
        <f t="shared" si="30"/>
        <v>Variable</v>
      </c>
      <c r="I194" s="8">
        <f t="shared" si="29"/>
        <v>-198.48999999999995</v>
      </c>
      <c r="J194" s="44"/>
      <c r="K194" s="19" t="s">
        <v>693</v>
      </c>
    </row>
    <row r="195" spans="1:11" x14ac:dyDescent="0.2">
      <c r="A195" s="20">
        <f t="shared" ref="A195:A258" si="31">YEAR(C195)</f>
        <v>2021</v>
      </c>
      <c r="B195" s="6">
        <f t="shared" ref="B195:B258" si="32">MONTH(C195)</f>
        <v>4</v>
      </c>
      <c r="C195" s="58">
        <v>44295</v>
      </c>
      <c r="D195" s="58">
        <v>44295</v>
      </c>
      <c r="E195" s="96" t="s">
        <v>21</v>
      </c>
      <c r="F195" s="8">
        <v>-450.02</v>
      </c>
      <c r="G195" s="19" t="s">
        <v>22</v>
      </c>
      <c r="H195" s="7" t="str">
        <f t="shared" si="30"/>
        <v>Payment</v>
      </c>
      <c r="I195" s="8">
        <f t="shared" si="29"/>
        <v>-648.51</v>
      </c>
      <c r="J195" s="44"/>
      <c r="K195" s="19"/>
    </row>
    <row r="196" spans="1:11" x14ac:dyDescent="0.2">
      <c r="A196" s="20">
        <f t="shared" si="31"/>
        <v>2021</v>
      </c>
      <c r="B196" s="6">
        <f t="shared" si="32"/>
        <v>4</v>
      </c>
      <c r="C196" s="58">
        <v>44296</v>
      </c>
      <c r="D196" s="58">
        <v>44296</v>
      </c>
      <c r="E196" s="96" t="s">
        <v>178</v>
      </c>
      <c r="F196" s="8">
        <v>15</v>
      </c>
      <c r="G196" s="19" t="s">
        <v>52</v>
      </c>
      <c r="H196" s="7" t="str">
        <f t="shared" si="30"/>
        <v>Variable</v>
      </c>
      <c r="I196" s="8">
        <f t="shared" ref="I196:I259" si="33">I195+F196</f>
        <v>-633.51</v>
      </c>
      <c r="J196" s="44"/>
      <c r="K196" s="19" t="s">
        <v>633</v>
      </c>
    </row>
    <row r="197" spans="1:11" x14ac:dyDescent="0.2">
      <c r="A197" s="20">
        <f t="shared" si="31"/>
        <v>2021</v>
      </c>
      <c r="B197" s="6">
        <f t="shared" si="32"/>
        <v>4</v>
      </c>
      <c r="C197" s="58">
        <v>44296</v>
      </c>
      <c r="D197" s="58">
        <v>44296</v>
      </c>
      <c r="E197" s="96" t="s">
        <v>188</v>
      </c>
      <c r="F197" s="8">
        <v>5.65</v>
      </c>
      <c r="G197" s="19" t="s">
        <v>130</v>
      </c>
      <c r="H197" s="7" t="str">
        <f t="shared" si="30"/>
        <v>Fixed</v>
      </c>
      <c r="I197" s="8">
        <f t="shared" si="33"/>
        <v>-627.86</v>
      </c>
      <c r="J197" s="44"/>
      <c r="K197" s="19" t="s">
        <v>633</v>
      </c>
    </row>
    <row r="198" spans="1:11" x14ac:dyDescent="0.2">
      <c r="A198" s="20">
        <f t="shared" si="31"/>
        <v>2021</v>
      </c>
      <c r="B198" s="6">
        <f t="shared" si="32"/>
        <v>4</v>
      </c>
      <c r="C198" s="58">
        <v>44296</v>
      </c>
      <c r="D198" s="58">
        <v>44296</v>
      </c>
      <c r="E198" s="96" t="s">
        <v>189</v>
      </c>
      <c r="F198" s="8">
        <v>4.5</v>
      </c>
      <c r="G198" s="19" t="s">
        <v>24</v>
      </c>
      <c r="H198" s="7" t="str">
        <f t="shared" si="30"/>
        <v>Variable</v>
      </c>
      <c r="I198" s="8">
        <f t="shared" si="33"/>
        <v>-623.36</v>
      </c>
      <c r="J198" s="44"/>
      <c r="K198" s="23" t="s">
        <v>633</v>
      </c>
    </row>
    <row r="199" spans="1:11" x14ac:dyDescent="0.2">
      <c r="A199" s="20">
        <f t="shared" si="31"/>
        <v>2021</v>
      </c>
      <c r="B199" s="6">
        <f t="shared" si="32"/>
        <v>4</v>
      </c>
      <c r="C199" s="58">
        <v>44296</v>
      </c>
      <c r="D199" s="58">
        <v>44296</v>
      </c>
      <c r="E199" s="96" t="s">
        <v>189</v>
      </c>
      <c r="F199" s="8">
        <v>5.66</v>
      </c>
      <c r="G199" s="19" t="s">
        <v>24</v>
      </c>
      <c r="H199" s="7" t="str">
        <f t="shared" si="30"/>
        <v>Variable</v>
      </c>
      <c r="I199" s="8">
        <f t="shared" si="33"/>
        <v>-617.70000000000005</v>
      </c>
      <c r="J199" s="44"/>
      <c r="K199" s="23" t="s">
        <v>633</v>
      </c>
    </row>
    <row r="200" spans="1:11" x14ac:dyDescent="0.2">
      <c r="A200" s="20">
        <f t="shared" si="31"/>
        <v>2021</v>
      </c>
      <c r="B200" s="6">
        <f t="shared" si="32"/>
        <v>4</v>
      </c>
      <c r="C200" s="58">
        <v>44297</v>
      </c>
      <c r="D200" s="58">
        <v>44297</v>
      </c>
      <c r="E200" s="96" t="s">
        <v>190</v>
      </c>
      <c r="F200" s="8">
        <v>16.37</v>
      </c>
      <c r="G200" s="19" t="s">
        <v>24</v>
      </c>
      <c r="H200" s="7" t="str">
        <f t="shared" si="30"/>
        <v>Variable</v>
      </c>
      <c r="I200" s="8">
        <f t="shared" si="33"/>
        <v>-601.33000000000004</v>
      </c>
      <c r="J200" s="44"/>
      <c r="K200" s="23" t="s">
        <v>633</v>
      </c>
    </row>
    <row r="201" spans="1:11" x14ac:dyDescent="0.2">
      <c r="A201" s="20">
        <f t="shared" si="31"/>
        <v>2021</v>
      </c>
      <c r="B201" s="6">
        <f t="shared" si="32"/>
        <v>4</v>
      </c>
      <c r="C201" s="58">
        <v>44298</v>
      </c>
      <c r="D201" s="58">
        <v>44298</v>
      </c>
      <c r="E201" s="96" t="s">
        <v>191</v>
      </c>
      <c r="F201" s="8">
        <v>3</v>
      </c>
      <c r="G201" s="19" t="s">
        <v>52</v>
      </c>
      <c r="H201" s="7" t="str">
        <f t="shared" si="30"/>
        <v>Variable</v>
      </c>
      <c r="I201" s="8">
        <f t="shared" si="33"/>
        <v>-598.33000000000004</v>
      </c>
      <c r="J201" s="44"/>
      <c r="K201" s="19" t="s">
        <v>633</v>
      </c>
    </row>
    <row r="202" spans="1:11" x14ac:dyDescent="0.2">
      <c r="A202" s="20">
        <f t="shared" si="31"/>
        <v>2021</v>
      </c>
      <c r="B202" s="6">
        <f t="shared" si="32"/>
        <v>4</v>
      </c>
      <c r="C202" s="58">
        <v>44298</v>
      </c>
      <c r="D202" s="58">
        <v>44298</v>
      </c>
      <c r="E202" s="96" t="s">
        <v>192</v>
      </c>
      <c r="F202" s="8">
        <v>9.3000000000000007</v>
      </c>
      <c r="G202" s="19" t="s">
        <v>41</v>
      </c>
      <c r="H202" s="7" t="str">
        <f t="shared" si="30"/>
        <v>Variable</v>
      </c>
      <c r="I202" s="8">
        <f t="shared" si="33"/>
        <v>-589.03000000000009</v>
      </c>
      <c r="J202" s="44"/>
      <c r="K202" s="19" t="s">
        <v>675</v>
      </c>
    </row>
    <row r="203" spans="1:11" x14ac:dyDescent="0.2">
      <c r="A203" s="20">
        <f t="shared" si="31"/>
        <v>2021</v>
      </c>
      <c r="B203" s="6">
        <f t="shared" si="32"/>
        <v>4</v>
      </c>
      <c r="C203" s="58">
        <v>44298</v>
      </c>
      <c r="D203" s="58">
        <v>44298</v>
      </c>
      <c r="E203" s="96" t="s">
        <v>59</v>
      </c>
      <c r="F203" s="8">
        <v>1.99</v>
      </c>
      <c r="G203" s="82" t="s">
        <v>26</v>
      </c>
      <c r="H203" s="7" t="str">
        <f t="shared" si="30"/>
        <v>Fixed</v>
      </c>
      <c r="I203" s="8">
        <f t="shared" si="33"/>
        <v>-587.04000000000008</v>
      </c>
      <c r="J203" s="82" t="s">
        <v>283</v>
      </c>
      <c r="K203" s="19" t="s">
        <v>788</v>
      </c>
    </row>
    <row r="204" spans="1:11" x14ac:dyDescent="0.2">
      <c r="A204" s="20">
        <f t="shared" si="31"/>
        <v>2021</v>
      </c>
      <c r="B204" s="6">
        <f t="shared" si="32"/>
        <v>4</v>
      </c>
      <c r="C204" s="58">
        <v>44298</v>
      </c>
      <c r="D204" s="58">
        <v>44298</v>
      </c>
      <c r="E204" s="96" t="s">
        <v>193</v>
      </c>
      <c r="F204" s="8">
        <v>61.05</v>
      </c>
      <c r="G204" s="62" t="s">
        <v>26</v>
      </c>
      <c r="H204" s="7" t="str">
        <f t="shared" si="30"/>
        <v>Fixed</v>
      </c>
      <c r="I204" s="8">
        <f t="shared" si="33"/>
        <v>-525.99000000000012</v>
      </c>
      <c r="J204" s="82" t="s">
        <v>300</v>
      </c>
      <c r="K204" s="19" t="s">
        <v>788</v>
      </c>
    </row>
    <row r="205" spans="1:11" x14ac:dyDescent="0.2">
      <c r="A205" s="20">
        <f t="shared" si="31"/>
        <v>2021</v>
      </c>
      <c r="B205" s="6">
        <f t="shared" si="32"/>
        <v>4</v>
      </c>
      <c r="C205" s="58">
        <v>44298</v>
      </c>
      <c r="D205" s="58">
        <v>44298</v>
      </c>
      <c r="E205" s="96" t="s">
        <v>194</v>
      </c>
      <c r="F205" s="8">
        <v>7.91</v>
      </c>
      <c r="G205" s="19" t="s">
        <v>195</v>
      </c>
      <c r="H205" s="7" t="str">
        <f t="shared" si="30"/>
        <v>Variable</v>
      </c>
      <c r="I205" s="8">
        <f t="shared" si="33"/>
        <v>-518.08000000000015</v>
      </c>
      <c r="J205" s="44"/>
      <c r="K205" s="19" t="s">
        <v>693</v>
      </c>
    </row>
    <row r="206" spans="1:11" x14ac:dyDescent="0.2">
      <c r="A206" s="20">
        <f t="shared" si="31"/>
        <v>2021</v>
      </c>
      <c r="B206" s="6">
        <f t="shared" si="32"/>
        <v>4</v>
      </c>
      <c r="C206" s="58">
        <v>44299</v>
      </c>
      <c r="D206" s="58">
        <v>44299</v>
      </c>
      <c r="E206" s="96" t="s">
        <v>196</v>
      </c>
      <c r="F206" s="8">
        <v>35</v>
      </c>
      <c r="G206" s="82" t="s">
        <v>52</v>
      </c>
      <c r="H206" s="7" t="str">
        <f t="shared" si="30"/>
        <v>Variable</v>
      </c>
      <c r="I206" s="8">
        <f t="shared" si="33"/>
        <v>-483.08000000000015</v>
      </c>
      <c r="J206" s="82" t="s">
        <v>300</v>
      </c>
      <c r="K206" s="82" t="s">
        <v>633</v>
      </c>
    </row>
    <row r="207" spans="1:11" x14ac:dyDescent="0.2">
      <c r="A207" s="20">
        <f t="shared" si="31"/>
        <v>2021</v>
      </c>
      <c r="B207" s="6">
        <f t="shared" si="32"/>
        <v>4</v>
      </c>
      <c r="C207" s="58">
        <v>44299</v>
      </c>
      <c r="D207" s="58">
        <v>44299</v>
      </c>
      <c r="E207" s="96" t="s">
        <v>197</v>
      </c>
      <c r="F207" s="8">
        <v>4.4000000000000004</v>
      </c>
      <c r="G207" s="19" t="s">
        <v>90</v>
      </c>
      <c r="H207" s="7" t="str">
        <f t="shared" si="30"/>
        <v>Variable</v>
      </c>
      <c r="I207" s="8">
        <f t="shared" si="33"/>
        <v>-478.68000000000018</v>
      </c>
      <c r="J207" s="44"/>
      <c r="K207" s="19" t="s">
        <v>675</v>
      </c>
    </row>
    <row r="208" spans="1:11" x14ac:dyDescent="0.2">
      <c r="A208" s="20">
        <f t="shared" si="31"/>
        <v>2021</v>
      </c>
      <c r="B208" s="6">
        <f t="shared" si="32"/>
        <v>4</v>
      </c>
      <c r="C208" s="58">
        <v>44300</v>
      </c>
      <c r="D208" s="58">
        <v>44300</v>
      </c>
      <c r="E208" s="96" t="s">
        <v>198</v>
      </c>
      <c r="F208" s="8">
        <v>7.67</v>
      </c>
      <c r="G208" s="19" t="s">
        <v>68</v>
      </c>
      <c r="H208" s="7" t="str">
        <f t="shared" si="30"/>
        <v>Variable</v>
      </c>
      <c r="I208" s="8">
        <f t="shared" si="33"/>
        <v>-471.01000000000016</v>
      </c>
      <c r="J208" s="44"/>
      <c r="K208" s="19" t="s">
        <v>687</v>
      </c>
    </row>
    <row r="209" spans="1:11" x14ac:dyDescent="0.2">
      <c r="A209" s="20">
        <f t="shared" si="31"/>
        <v>2021</v>
      </c>
      <c r="B209" s="6">
        <f t="shared" si="32"/>
        <v>4</v>
      </c>
      <c r="C209" s="58">
        <v>44300</v>
      </c>
      <c r="D209" s="58">
        <v>44300</v>
      </c>
      <c r="E209" s="96" t="s">
        <v>199</v>
      </c>
      <c r="F209" s="8">
        <v>15.89</v>
      </c>
      <c r="G209" s="62" t="s">
        <v>26</v>
      </c>
      <c r="H209" s="7" t="str">
        <f t="shared" si="30"/>
        <v>Fixed</v>
      </c>
      <c r="I209" s="8">
        <f t="shared" si="33"/>
        <v>-455.12000000000018</v>
      </c>
      <c r="J209" s="82" t="s">
        <v>293</v>
      </c>
      <c r="K209" s="19" t="s">
        <v>788</v>
      </c>
    </row>
    <row r="210" spans="1:11" x14ac:dyDescent="0.2">
      <c r="A210" s="20">
        <f t="shared" si="31"/>
        <v>2021</v>
      </c>
      <c r="B210" s="6">
        <f t="shared" si="32"/>
        <v>4</v>
      </c>
      <c r="C210" s="58">
        <v>44300</v>
      </c>
      <c r="D210" s="58">
        <v>44300</v>
      </c>
      <c r="E210" s="96" t="s">
        <v>200</v>
      </c>
      <c r="F210" s="8">
        <v>25.71</v>
      </c>
      <c r="G210" s="19" t="s">
        <v>24</v>
      </c>
      <c r="H210" s="7" t="str">
        <f t="shared" si="30"/>
        <v>Variable</v>
      </c>
      <c r="I210" s="8">
        <f t="shared" si="33"/>
        <v>-429.4100000000002</v>
      </c>
      <c r="J210" s="44"/>
      <c r="K210" s="23" t="s">
        <v>633</v>
      </c>
    </row>
    <row r="211" spans="1:11" x14ac:dyDescent="0.2">
      <c r="A211" s="20">
        <f t="shared" si="31"/>
        <v>2021</v>
      </c>
      <c r="B211" s="6">
        <f t="shared" si="32"/>
        <v>4</v>
      </c>
      <c r="C211" s="58">
        <v>44300</v>
      </c>
      <c r="D211" s="58">
        <v>44300</v>
      </c>
      <c r="E211" s="96" t="s">
        <v>201</v>
      </c>
      <c r="F211" s="8">
        <v>26.47</v>
      </c>
      <c r="G211" s="19" t="s">
        <v>41</v>
      </c>
      <c r="H211" s="7" t="str">
        <f t="shared" si="30"/>
        <v>Variable</v>
      </c>
      <c r="I211" s="8">
        <f t="shared" si="33"/>
        <v>-402.94000000000017</v>
      </c>
      <c r="J211" s="44"/>
      <c r="K211" s="19" t="s">
        <v>675</v>
      </c>
    </row>
    <row r="212" spans="1:11" x14ac:dyDescent="0.2">
      <c r="A212" s="20">
        <f t="shared" si="31"/>
        <v>2021</v>
      </c>
      <c r="B212" s="6">
        <f t="shared" si="32"/>
        <v>4</v>
      </c>
      <c r="C212" s="58">
        <v>44301</v>
      </c>
      <c r="D212" s="58">
        <v>44301</v>
      </c>
      <c r="E212" s="96" t="s">
        <v>63</v>
      </c>
      <c r="F212" s="8">
        <v>25.51</v>
      </c>
      <c r="G212" s="19" t="s">
        <v>41</v>
      </c>
      <c r="H212" s="7" t="str">
        <f t="shared" si="30"/>
        <v>Variable</v>
      </c>
      <c r="I212" s="8">
        <f t="shared" si="33"/>
        <v>-377.43000000000018</v>
      </c>
      <c r="J212" s="44"/>
      <c r="K212" s="19" t="s">
        <v>675</v>
      </c>
    </row>
    <row r="213" spans="1:11" x14ac:dyDescent="0.2">
      <c r="A213" s="20">
        <f t="shared" si="31"/>
        <v>2021</v>
      </c>
      <c r="B213" s="6">
        <f t="shared" si="32"/>
        <v>4</v>
      </c>
      <c r="C213" s="58">
        <v>44301</v>
      </c>
      <c r="D213" s="58">
        <v>44301</v>
      </c>
      <c r="E213" s="96" t="s">
        <v>202</v>
      </c>
      <c r="F213" s="8">
        <v>26.4</v>
      </c>
      <c r="G213" s="19" t="s">
        <v>68</v>
      </c>
      <c r="H213" s="7" t="str">
        <f t="shared" si="30"/>
        <v>Variable</v>
      </c>
      <c r="I213" s="8">
        <f t="shared" si="33"/>
        <v>-351.0300000000002</v>
      </c>
      <c r="J213" s="82" t="s">
        <v>300</v>
      </c>
      <c r="K213" s="19" t="s">
        <v>702</v>
      </c>
    </row>
    <row r="214" spans="1:11" x14ac:dyDescent="0.2">
      <c r="A214" s="20">
        <f t="shared" si="31"/>
        <v>2021</v>
      </c>
      <c r="B214" s="6">
        <f t="shared" si="32"/>
        <v>4</v>
      </c>
      <c r="C214" s="58">
        <v>44303</v>
      </c>
      <c r="D214" s="58">
        <v>44303</v>
      </c>
      <c r="E214" s="96" t="s">
        <v>203</v>
      </c>
      <c r="F214" s="8">
        <v>3.63</v>
      </c>
      <c r="G214" s="19" t="s">
        <v>68</v>
      </c>
      <c r="H214" s="7" t="str">
        <f t="shared" si="30"/>
        <v>Variable</v>
      </c>
      <c r="I214" s="8">
        <f t="shared" si="33"/>
        <v>-347.4000000000002</v>
      </c>
      <c r="J214" s="44"/>
      <c r="K214" s="19" t="s">
        <v>687</v>
      </c>
    </row>
    <row r="215" spans="1:11" x14ac:dyDescent="0.2">
      <c r="A215" s="20">
        <f t="shared" si="31"/>
        <v>2021</v>
      </c>
      <c r="B215" s="6">
        <f t="shared" si="32"/>
        <v>4</v>
      </c>
      <c r="C215" s="58">
        <v>44303</v>
      </c>
      <c r="D215" s="58">
        <v>44303</v>
      </c>
      <c r="E215" s="96" t="s">
        <v>204</v>
      </c>
      <c r="F215" s="8">
        <v>17.14</v>
      </c>
      <c r="G215" s="19" t="s">
        <v>41</v>
      </c>
      <c r="H215" s="7" t="str">
        <f t="shared" si="30"/>
        <v>Variable</v>
      </c>
      <c r="I215" s="8">
        <f t="shared" si="33"/>
        <v>-330.26000000000022</v>
      </c>
      <c r="J215" s="44"/>
      <c r="K215" s="19" t="s">
        <v>675</v>
      </c>
    </row>
    <row r="216" spans="1:11" x14ac:dyDescent="0.2">
      <c r="A216" s="20">
        <f t="shared" si="31"/>
        <v>2021</v>
      </c>
      <c r="B216" s="6">
        <f t="shared" si="32"/>
        <v>4</v>
      </c>
      <c r="C216" s="58">
        <v>44303</v>
      </c>
      <c r="D216" s="58">
        <v>44304</v>
      </c>
      <c r="E216" s="96" t="s">
        <v>205</v>
      </c>
      <c r="F216" s="8">
        <v>-21.05</v>
      </c>
      <c r="G216" s="19" t="s">
        <v>22</v>
      </c>
      <c r="H216" s="7" t="str">
        <f t="shared" si="30"/>
        <v>Payment</v>
      </c>
      <c r="I216" s="8">
        <f t="shared" si="33"/>
        <v>-351.31000000000023</v>
      </c>
      <c r="J216" s="82" t="s">
        <v>300</v>
      </c>
      <c r="K216" s="19"/>
    </row>
    <row r="217" spans="1:11" x14ac:dyDescent="0.2">
      <c r="A217" s="20">
        <f t="shared" si="31"/>
        <v>2021</v>
      </c>
      <c r="B217" s="6">
        <f t="shared" si="32"/>
        <v>4</v>
      </c>
      <c r="C217" s="58">
        <v>44304</v>
      </c>
      <c r="D217" s="58">
        <v>44304</v>
      </c>
      <c r="E217" s="96" t="s">
        <v>211</v>
      </c>
      <c r="F217" s="8">
        <v>30</v>
      </c>
      <c r="G217" s="19" t="s">
        <v>52</v>
      </c>
      <c r="H217" s="7" t="str">
        <f t="shared" si="30"/>
        <v>Variable</v>
      </c>
      <c r="I217" s="8">
        <f t="shared" si="33"/>
        <v>-321.31000000000023</v>
      </c>
      <c r="J217" s="82" t="s">
        <v>290</v>
      </c>
      <c r="K217" s="19" t="s">
        <v>693</v>
      </c>
    </row>
    <row r="218" spans="1:11" x14ac:dyDescent="0.2">
      <c r="A218" s="20">
        <f t="shared" si="31"/>
        <v>2021</v>
      </c>
      <c r="B218" s="6">
        <f t="shared" si="32"/>
        <v>4</v>
      </c>
      <c r="C218" s="58">
        <v>44305</v>
      </c>
      <c r="D218" s="58">
        <v>44305</v>
      </c>
      <c r="E218" s="96" t="s">
        <v>212</v>
      </c>
      <c r="F218" s="8">
        <v>159</v>
      </c>
      <c r="G218" s="19" t="s">
        <v>68</v>
      </c>
      <c r="H218" s="7" t="str">
        <f t="shared" si="30"/>
        <v>Variable</v>
      </c>
      <c r="I218" s="8">
        <f t="shared" si="33"/>
        <v>-162.31000000000023</v>
      </c>
      <c r="J218" s="82" t="s">
        <v>333</v>
      </c>
      <c r="K218" s="19" t="s">
        <v>693</v>
      </c>
    </row>
    <row r="219" spans="1:11" x14ac:dyDescent="0.2">
      <c r="A219" s="20">
        <f t="shared" si="31"/>
        <v>2021</v>
      </c>
      <c r="B219" s="6">
        <f t="shared" si="32"/>
        <v>4</v>
      </c>
      <c r="C219" s="58">
        <v>44306</v>
      </c>
      <c r="D219" s="58">
        <v>44306</v>
      </c>
      <c r="E219" s="96" t="s">
        <v>60</v>
      </c>
      <c r="F219" s="8">
        <v>26.08</v>
      </c>
      <c r="G219" s="19" t="s">
        <v>24</v>
      </c>
      <c r="H219" s="7" t="str">
        <f t="shared" ref="H219:H282" si="34">VLOOKUP(G219,Expense_Lookup,2,0)</f>
        <v>Variable</v>
      </c>
      <c r="I219" s="8">
        <f t="shared" si="33"/>
        <v>-136.23000000000025</v>
      </c>
      <c r="J219" s="44"/>
      <c r="K219" s="23" t="s">
        <v>633</v>
      </c>
    </row>
    <row r="220" spans="1:11" x14ac:dyDescent="0.2">
      <c r="A220" s="20">
        <f t="shared" si="31"/>
        <v>2021</v>
      </c>
      <c r="B220" s="6">
        <f t="shared" si="32"/>
        <v>4</v>
      </c>
      <c r="C220" s="58">
        <v>44306</v>
      </c>
      <c r="D220" s="58">
        <v>44306</v>
      </c>
      <c r="E220" s="96" t="s">
        <v>101</v>
      </c>
      <c r="F220" s="8">
        <v>6.99</v>
      </c>
      <c r="G220" s="82" t="s">
        <v>26</v>
      </c>
      <c r="H220" s="7" t="str">
        <f t="shared" si="34"/>
        <v>Fixed</v>
      </c>
      <c r="I220" s="8">
        <f t="shared" si="33"/>
        <v>-129.24000000000024</v>
      </c>
      <c r="J220" s="90" t="s">
        <v>357</v>
      </c>
      <c r="K220" s="19" t="s">
        <v>788</v>
      </c>
    </row>
    <row r="221" spans="1:11" x14ac:dyDescent="0.2">
      <c r="A221" s="20">
        <f t="shared" si="31"/>
        <v>2021</v>
      </c>
      <c r="B221" s="6">
        <f t="shared" si="32"/>
        <v>4</v>
      </c>
      <c r="C221" s="58">
        <v>44307</v>
      </c>
      <c r="D221" s="58">
        <v>44307</v>
      </c>
      <c r="E221" s="96" t="s">
        <v>186</v>
      </c>
      <c r="F221" s="8">
        <v>4.24</v>
      </c>
      <c r="G221" s="19" t="s">
        <v>89</v>
      </c>
      <c r="H221" s="7" t="str">
        <f t="shared" si="34"/>
        <v>Variable</v>
      </c>
      <c r="I221" s="8">
        <f t="shared" si="33"/>
        <v>-125.00000000000024</v>
      </c>
      <c r="J221" s="44"/>
      <c r="K221" s="19" t="s">
        <v>687</v>
      </c>
    </row>
    <row r="222" spans="1:11" x14ac:dyDescent="0.2">
      <c r="A222" s="20">
        <f t="shared" si="31"/>
        <v>2021</v>
      </c>
      <c r="B222" s="6">
        <f t="shared" si="32"/>
        <v>4</v>
      </c>
      <c r="C222" s="58">
        <v>44307</v>
      </c>
      <c r="D222" s="58">
        <v>44307</v>
      </c>
      <c r="E222" s="96" t="s">
        <v>213</v>
      </c>
      <c r="F222" s="8">
        <v>9.9499999999999993</v>
      </c>
      <c r="G222" s="183" t="s">
        <v>56</v>
      </c>
      <c r="H222" s="7" t="str">
        <f t="shared" si="34"/>
        <v>Variable</v>
      </c>
      <c r="I222" s="8">
        <f t="shared" si="33"/>
        <v>-115.05000000000024</v>
      </c>
      <c r="J222" s="82" t="s">
        <v>35</v>
      </c>
      <c r="K222" s="183" t="s">
        <v>702</v>
      </c>
    </row>
    <row r="223" spans="1:11" x14ac:dyDescent="0.2">
      <c r="A223" s="20">
        <f t="shared" si="31"/>
        <v>2021</v>
      </c>
      <c r="B223" s="6">
        <f t="shared" si="32"/>
        <v>4</v>
      </c>
      <c r="C223" s="58">
        <v>44307</v>
      </c>
      <c r="D223" s="58">
        <v>44307</v>
      </c>
      <c r="E223" s="96" t="s">
        <v>81</v>
      </c>
      <c r="F223" s="8">
        <v>7.99</v>
      </c>
      <c r="G223" s="82" t="s">
        <v>26</v>
      </c>
      <c r="H223" s="7" t="str">
        <f t="shared" si="34"/>
        <v>Fixed</v>
      </c>
      <c r="I223" s="8">
        <f t="shared" si="33"/>
        <v>-107.06000000000024</v>
      </c>
      <c r="J223" s="82" t="s">
        <v>9</v>
      </c>
      <c r="K223" s="19" t="s">
        <v>788</v>
      </c>
    </row>
    <row r="224" spans="1:11" x14ac:dyDescent="0.2">
      <c r="A224" s="20">
        <f t="shared" si="31"/>
        <v>2021</v>
      </c>
      <c r="B224" s="6">
        <f t="shared" si="32"/>
        <v>4</v>
      </c>
      <c r="C224" s="58">
        <v>44307</v>
      </c>
      <c r="D224" s="58">
        <v>44307</v>
      </c>
      <c r="E224" s="96" t="s">
        <v>182</v>
      </c>
      <c r="F224" s="8">
        <v>44.61</v>
      </c>
      <c r="G224" s="19" t="s">
        <v>41</v>
      </c>
      <c r="H224" s="7" t="str">
        <f t="shared" si="34"/>
        <v>Variable</v>
      </c>
      <c r="I224" s="8">
        <f t="shared" si="33"/>
        <v>-62.450000000000244</v>
      </c>
      <c r="J224" s="44"/>
      <c r="K224" s="19" t="s">
        <v>675</v>
      </c>
    </row>
    <row r="225" spans="1:11" x14ac:dyDescent="0.2">
      <c r="A225" s="20">
        <f t="shared" si="31"/>
        <v>2021</v>
      </c>
      <c r="B225" s="6">
        <f t="shared" si="32"/>
        <v>4</v>
      </c>
      <c r="C225" s="58">
        <v>44309</v>
      </c>
      <c r="D225" s="58">
        <v>44309</v>
      </c>
      <c r="E225" s="96" t="s">
        <v>214</v>
      </c>
      <c r="F225" s="8">
        <v>47.61</v>
      </c>
      <c r="G225" s="19" t="s">
        <v>41</v>
      </c>
      <c r="H225" s="7" t="str">
        <f t="shared" si="34"/>
        <v>Variable</v>
      </c>
      <c r="I225" s="8">
        <f t="shared" si="33"/>
        <v>-14.840000000000245</v>
      </c>
      <c r="J225" s="44"/>
      <c r="K225" s="19" t="s">
        <v>675</v>
      </c>
    </row>
    <row r="226" spans="1:11" x14ac:dyDescent="0.2">
      <c r="A226" s="20">
        <f t="shared" si="31"/>
        <v>2021</v>
      </c>
      <c r="B226" s="6">
        <f t="shared" si="32"/>
        <v>4</v>
      </c>
      <c r="C226" s="58">
        <v>44310</v>
      </c>
      <c r="D226" s="58">
        <v>44310</v>
      </c>
      <c r="E226" s="96" t="s">
        <v>215</v>
      </c>
      <c r="F226" s="8">
        <v>84.67</v>
      </c>
      <c r="G226" s="19" t="s">
        <v>195</v>
      </c>
      <c r="H226" s="7" t="str">
        <f t="shared" si="34"/>
        <v>Variable</v>
      </c>
      <c r="I226" s="8">
        <f t="shared" si="33"/>
        <v>69.829999999999757</v>
      </c>
      <c r="J226" s="44"/>
      <c r="K226" s="19" t="s">
        <v>693</v>
      </c>
    </row>
    <row r="227" spans="1:11" x14ac:dyDescent="0.2">
      <c r="A227" s="20">
        <f t="shared" si="31"/>
        <v>2021</v>
      </c>
      <c r="B227" s="6">
        <f t="shared" si="32"/>
        <v>4</v>
      </c>
      <c r="C227" s="58">
        <v>44310</v>
      </c>
      <c r="D227" s="58">
        <v>44310</v>
      </c>
      <c r="E227" s="96" t="s">
        <v>216</v>
      </c>
      <c r="F227" s="8">
        <v>5.78</v>
      </c>
      <c r="G227" s="19" t="s">
        <v>41</v>
      </c>
      <c r="H227" s="7" t="str">
        <f t="shared" si="34"/>
        <v>Variable</v>
      </c>
      <c r="I227" s="8">
        <f t="shared" si="33"/>
        <v>75.609999999999758</v>
      </c>
      <c r="J227" s="44"/>
      <c r="K227" s="19" t="s">
        <v>675</v>
      </c>
    </row>
    <row r="228" spans="1:11" x14ac:dyDescent="0.2">
      <c r="A228" s="20">
        <f t="shared" si="31"/>
        <v>2021</v>
      </c>
      <c r="B228" s="6">
        <f t="shared" si="32"/>
        <v>4</v>
      </c>
      <c r="C228" s="58">
        <v>44310</v>
      </c>
      <c r="D228" s="58">
        <v>44310</v>
      </c>
      <c r="E228" s="96" t="s">
        <v>217</v>
      </c>
      <c r="F228" s="8">
        <v>12.24</v>
      </c>
      <c r="G228" s="19" t="s">
        <v>41</v>
      </c>
      <c r="H228" s="7" t="str">
        <f t="shared" si="34"/>
        <v>Variable</v>
      </c>
      <c r="I228" s="8">
        <f t="shared" si="33"/>
        <v>87.849999999999753</v>
      </c>
      <c r="J228" s="44"/>
      <c r="K228" s="19" t="s">
        <v>675</v>
      </c>
    </row>
    <row r="229" spans="1:11" x14ac:dyDescent="0.2">
      <c r="A229" s="20">
        <f t="shared" si="31"/>
        <v>2021</v>
      </c>
      <c r="B229" s="6">
        <f t="shared" si="32"/>
        <v>4</v>
      </c>
      <c r="C229" s="58">
        <v>44312</v>
      </c>
      <c r="D229" s="58">
        <v>44312</v>
      </c>
      <c r="E229" s="96" t="s">
        <v>218</v>
      </c>
      <c r="F229" s="8">
        <v>13.27</v>
      </c>
      <c r="G229" s="19" t="s">
        <v>41</v>
      </c>
      <c r="H229" s="7" t="str">
        <f t="shared" si="34"/>
        <v>Variable</v>
      </c>
      <c r="I229" s="8">
        <f t="shared" si="33"/>
        <v>101.11999999999975</v>
      </c>
      <c r="J229" s="44"/>
      <c r="K229" s="19" t="s">
        <v>675</v>
      </c>
    </row>
    <row r="230" spans="1:11" x14ac:dyDescent="0.2">
      <c r="A230" s="20">
        <f t="shared" si="31"/>
        <v>2021</v>
      </c>
      <c r="B230" s="6">
        <f t="shared" si="32"/>
        <v>4</v>
      </c>
      <c r="C230" s="58">
        <v>44313</v>
      </c>
      <c r="D230" s="58">
        <v>44313</v>
      </c>
      <c r="E230" s="96" t="s">
        <v>219</v>
      </c>
      <c r="F230" s="8">
        <v>26.97</v>
      </c>
      <c r="G230" s="19" t="s">
        <v>24</v>
      </c>
      <c r="H230" s="7" t="str">
        <f t="shared" si="34"/>
        <v>Variable</v>
      </c>
      <c r="I230" s="8">
        <f t="shared" si="33"/>
        <v>128.08999999999975</v>
      </c>
      <c r="J230" s="44"/>
      <c r="K230" s="23" t="s">
        <v>633</v>
      </c>
    </row>
    <row r="231" spans="1:11" x14ac:dyDescent="0.2">
      <c r="A231" s="20">
        <f t="shared" si="31"/>
        <v>2021</v>
      </c>
      <c r="B231" s="6">
        <f t="shared" si="32"/>
        <v>4</v>
      </c>
      <c r="C231" s="58">
        <v>44313</v>
      </c>
      <c r="D231" s="58">
        <v>44313</v>
      </c>
      <c r="E231" s="96" t="s">
        <v>112</v>
      </c>
      <c r="F231" s="8">
        <v>9.99</v>
      </c>
      <c r="G231" s="74" t="s">
        <v>26</v>
      </c>
      <c r="H231" s="7" t="str">
        <f t="shared" si="34"/>
        <v>Fixed</v>
      </c>
      <c r="I231" s="8">
        <f t="shared" si="33"/>
        <v>138.07999999999976</v>
      </c>
      <c r="J231" s="82" t="s">
        <v>295</v>
      </c>
      <c r="K231" s="19" t="s">
        <v>788</v>
      </c>
    </row>
    <row r="232" spans="1:11" x14ac:dyDescent="0.2">
      <c r="A232" s="20">
        <f t="shared" si="31"/>
        <v>2021</v>
      </c>
      <c r="B232" s="6">
        <f t="shared" si="32"/>
        <v>4</v>
      </c>
      <c r="C232" s="58">
        <v>44313</v>
      </c>
      <c r="D232" s="58">
        <v>44313</v>
      </c>
      <c r="E232" s="96" t="s">
        <v>115</v>
      </c>
      <c r="F232" s="8">
        <v>5</v>
      </c>
      <c r="G232" s="19" t="s">
        <v>68</v>
      </c>
      <c r="H232" s="7" t="str">
        <f t="shared" si="34"/>
        <v>Variable</v>
      </c>
      <c r="I232" s="8">
        <f t="shared" si="33"/>
        <v>143.07999999999976</v>
      </c>
      <c r="J232" s="44"/>
      <c r="K232" s="19" t="s">
        <v>693</v>
      </c>
    </row>
    <row r="233" spans="1:11" x14ac:dyDescent="0.2">
      <c r="A233" s="20">
        <f t="shared" si="31"/>
        <v>2021</v>
      </c>
      <c r="B233" s="6">
        <f t="shared" si="32"/>
        <v>4</v>
      </c>
      <c r="C233" s="58">
        <v>44314</v>
      </c>
      <c r="D233" s="58">
        <v>44314</v>
      </c>
      <c r="E233" s="96" t="s">
        <v>184</v>
      </c>
      <c r="F233" s="8">
        <v>2.12</v>
      </c>
      <c r="G233" s="74" t="s">
        <v>68</v>
      </c>
      <c r="H233" s="7" t="str">
        <f t="shared" si="34"/>
        <v>Variable</v>
      </c>
      <c r="I233" s="8">
        <f t="shared" si="33"/>
        <v>145.19999999999976</v>
      </c>
      <c r="J233" s="44"/>
      <c r="K233" s="74" t="s">
        <v>687</v>
      </c>
    </row>
    <row r="234" spans="1:11" x14ac:dyDescent="0.2">
      <c r="A234" s="20">
        <f t="shared" si="31"/>
        <v>2021</v>
      </c>
      <c r="B234" s="6">
        <f t="shared" si="32"/>
        <v>4</v>
      </c>
      <c r="C234" s="58">
        <v>44314</v>
      </c>
      <c r="D234" s="58">
        <v>44314</v>
      </c>
      <c r="E234" s="96" t="s">
        <v>220</v>
      </c>
      <c r="F234" s="8">
        <v>28.54</v>
      </c>
      <c r="G234" s="19" t="s">
        <v>68</v>
      </c>
      <c r="H234" s="7" t="str">
        <f t="shared" si="34"/>
        <v>Variable</v>
      </c>
      <c r="I234" s="8">
        <f t="shared" si="33"/>
        <v>173.73999999999975</v>
      </c>
      <c r="J234" s="44"/>
      <c r="K234" s="19" t="s">
        <v>693</v>
      </c>
    </row>
    <row r="235" spans="1:11" x14ac:dyDescent="0.2">
      <c r="A235" s="20">
        <f t="shared" si="31"/>
        <v>2021</v>
      </c>
      <c r="B235" s="6">
        <f t="shared" si="32"/>
        <v>4</v>
      </c>
      <c r="C235" s="58">
        <v>44314</v>
      </c>
      <c r="D235" s="58">
        <v>44314</v>
      </c>
      <c r="E235" s="96" t="s">
        <v>221</v>
      </c>
      <c r="F235" s="8">
        <v>23.95</v>
      </c>
      <c r="G235" s="19" t="s">
        <v>41</v>
      </c>
      <c r="H235" s="7" t="str">
        <f t="shared" si="34"/>
        <v>Variable</v>
      </c>
      <c r="I235" s="8">
        <f t="shared" si="33"/>
        <v>197.68999999999974</v>
      </c>
      <c r="J235" s="44"/>
      <c r="K235" s="19" t="s">
        <v>675</v>
      </c>
    </row>
    <row r="236" spans="1:11" x14ac:dyDescent="0.2">
      <c r="A236" s="20">
        <f t="shared" si="31"/>
        <v>2021</v>
      </c>
      <c r="B236" s="6">
        <f t="shared" si="32"/>
        <v>4</v>
      </c>
      <c r="C236" s="58">
        <v>44314</v>
      </c>
      <c r="D236" s="58">
        <v>44314</v>
      </c>
      <c r="E236" s="96" t="s">
        <v>222</v>
      </c>
      <c r="F236" s="8">
        <v>55.66</v>
      </c>
      <c r="G236" s="19" t="s">
        <v>41</v>
      </c>
      <c r="H236" s="7" t="str">
        <f t="shared" si="34"/>
        <v>Variable</v>
      </c>
      <c r="I236" s="8">
        <f t="shared" si="33"/>
        <v>253.34999999999974</v>
      </c>
      <c r="J236" s="44"/>
      <c r="K236" s="19" t="s">
        <v>675</v>
      </c>
    </row>
    <row r="237" spans="1:11" x14ac:dyDescent="0.2">
      <c r="A237" s="20">
        <f t="shared" si="31"/>
        <v>2021</v>
      </c>
      <c r="B237" s="6">
        <f t="shared" si="32"/>
        <v>4</v>
      </c>
      <c r="C237" s="58">
        <v>44316</v>
      </c>
      <c r="D237" s="58">
        <v>44316</v>
      </c>
      <c r="E237" s="96" t="s">
        <v>152</v>
      </c>
      <c r="F237" s="8">
        <v>20.92</v>
      </c>
      <c r="G237" s="19" t="s">
        <v>90</v>
      </c>
      <c r="H237" s="7" t="str">
        <f t="shared" si="34"/>
        <v>Variable</v>
      </c>
      <c r="I237" s="8">
        <f t="shared" si="33"/>
        <v>274.26999999999975</v>
      </c>
      <c r="J237" s="44"/>
      <c r="K237" s="19" t="s">
        <v>675</v>
      </c>
    </row>
    <row r="238" spans="1:11" x14ac:dyDescent="0.2">
      <c r="A238" s="20">
        <f t="shared" si="31"/>
        <v>2021</v>
      </c>
      <c r="B238" s="6">
        <f t="shared" si="32"/>
        <v>4</v>
      </c>
      <c r="C238" s="58">
        <v>44316</v>
      </c>
      <c r="D238" s="58">
        <v>44316</v>
      </c>
      <c r="E238" s="96" t="s">
        <v>186</v>
      </c>
      <c r="F238" s="8">
        <v>2.12</v>
      </c>
      <c r="G238" s="74" t="s">
        <v>68</v>
      </c>
      <c r="H238" s="7" t="str">
        <f t="shared" si="34"/>
        <v>Variable</v>
      </c>
      <c r="I238" s="8">
        <f t="shared" si="33"/>
        <v>276.38999999999976</v>
      </c>
      <c r="J238" s="44"/>
      <c r="K238" s="74" t="s">
        <v>693</v>
      </c>
    </row>
    <row r="239" spans="1:11" x14ac:dyDescent="0.2">
      <c r="A239" s="20">
        <f t="shared" si="31"/>
        <v>2021</v>
      </c>
      <c r="B239" s="6">
        <f t="shared" si="32"/>
        <v>5</v>
      </c>
      <c r="C239" s="73">
        <v>44317</v>
      </c>
      <c r="D239" s="73">
        <v>44317</v>
      </c>
      <c r="E239" s="96" t="s">
        <v>223</v>
      </c>
      <c r="F239" s="8">
        <v>7.54</v>
      </c>
      <c r="G239" s="19" t="s">
        <v>41</v>
      </c>
      <c r="H239" s="7" t="str">
        <f t="shared" si="34"/>
        <v>Variable</v>
      </c>
      <c r="I239" s="8">
        <f t="shared" si="33"/>
        <v>283.92999999999978</v>
      </c>
      <c r="J239" s="44"/>
      <c r="K239" s="19" t="s">
        <v>675</v>
      </c>
    </row>
    <row r="240" spans="1:11" x14ac:dyDescent="0.2">
      <c r="A240" s="20">
        <f t="shared" si="31"/>
        <v>2021</v>
      </c>
      <c r="B240" s="6">
        <f t="shared" si="32"/>
        <v>5</v>
      </c>
      <c r="C240" s="73">
        <v>44317</v>
      </c>
      <c r="D240" s="73">
        <v>44317</v>
      </c>
      <c r="E240" s="96" t="s">
        <v>224</v>
      </c>
      <c r="F240" s="8">
        <v>14.83</v>
      </c>
      <c r="G240" s="74" t="s">
        <v>26</v>
      </c>
      <c r="H240" s="7" t="str">
        <f t="shared" si="34"/>
        <v>Fixed</v>
      </c>
      <c r="I240" s="8">
        <f t="shared" si="33"/>
        <v>298.75999999999976</v>
      </c>
      <c r="J240" s="82" t="s">
        <v>7</v>
      </c>
      <c r="K240" s="19" t="s">
        <v>788</v>
      </c>
    </row>
    <row r="241" spans="1:11" x14ac:dyDescent="0.2">
      <c r="A241" s="20">
        <f t="shared" si="31"/>
        <v>2021</v>
      </c>
      <c r="B241" s="6">
        <f t="shared" si="32"/>
        <v>5</v>
      </c>
      <c r="C241" s="73">
        <v>44317</v>
      </c>
      <c r="D241" s="73">
        <v>44317</v>
      </c>
      <c r="E241" s="96" t="s">
        <v>225</v>
      </c>
      <c r="F241" s="8">
        <v>9.99</v>
      </c>
      <c r="G241" s="74" t="s">
        <v>26</v>
      </c>
      <c r="H241" s="7" t="str">
        <f t="shared" si="34"/>
        <v>Fixed</v>
      </c>
      <c r="I241" s="8">
        <f t="shared" si="33"/>
        <v>308.74999999999977</v>
      </c>
      <c r="J241" s="82" t="s">
        <v>6</v>
      </c>
      <c r="K241" s="19" t="s">
        <v>788</v>
      </c>
    </row>
    <row r="242" spans="1:11" x14ac:dyDescent="0.2">
      <c r="A242" s="20">
        <f t="shared" si="31"/>
        <v>2021</v>
      </c>
      <c r="B242" s="6">
        <f t="shared" si="32"/>
        <v>5</v>
      </c>
      <c r="C242" s="73">
        <v>44317</v>
      </c>
      <c r="D242" s="73">
        <v>44317</v>
      </c>
      <c r="E242" s="96" t="s">
        <v>226</v>
      </c>
      <c r="F242" s="8">
        <v>18.399999999999999</v>
      </c>
      <c r="G242" s="19" t="s">
        <v>41</v>
      </c>
      <c r="H242" s="7" t="str">
        <f t="shared" si="34"/>
        <v>Variable</v>
      </c>
      <c r="I242" s="8">
        <f t="shared" si="33"/>
        <v>327.14999999999975</v>
      </c>
      <c r="J242" s="44"/>
      <c r="K242" s="19" t="s">
        <v>675</v>
      </c>
    </row>
    <row r="243" spans="1:11" x14ac:dyDescent="0.2">
      <c r="A243" s="20">
        <f t="shared" si="31"/>
        <v>2021</v>
      </c>
      <c r="B243" s="6">
        <f t="shared" si="32"/>
        <v>5</v>
      </c>
      <c r="C243" s="73">
        <v>44317</v>
      </c>
      <c r="D243" s="73">
        <v>44317</v>
      </c>
      <c r="E243" s="96" t="s">
        <v>227</v>
      </c>
      <c r="F243" s="8">
        <v>69.52</v>
      </c>
      <c r="G243" s="19" t="s">
        <v>90</v>
      </c>
      <c r="H243" s="7" t="str">
        <f t="shared" si="34"/>
        <v>Variable</v>
      </c>
      <c r="I243" s="8">
        <f t="shared" si="33"/>
        <v>396.66999999999973</v>
      </c>
      <c r="J243" s="44"/>
      <c r="K243" s="19" t="s">
        <v>675</v>
      </c>
    </row>
    <row r="244" spans="1:11" x14ac:dyDescent="0.2">
      <c r="A244" s="20">
        <f t="shared" si="31"/>
        <v>2021</v>
      </c>
      <c r="B244" s="6">
        <f t="shared" si="32"/>
        <v>5</v>
      </c>
      <c r="C244" s="73">
        <v>44317</v>
      </c>
      <c r="D244" s="73">
        <v>44317</v>
      </c>
      <c r="E244" s="96" t="s">
        <v>98</v>
      </c>
      <c r="F244" s="8">
        <v>25.42</v>
      </c>
      <c r="G244" s="19" t="s">
        <v>68</v>
      </c>
      <c r="H244" s="7" t="str">
        <f t="shared" si="34"/>
        <v>Variable</v>
      </c>
      <c r="I244" s="8">
        <f t="shared" si="33"/>
        <v>422.08999999999975</v>
      </c>
      <c r="J244" s="44"/>
      <c r="K244" s="19" t="s">
        <v>693</v>
      </c>
    </row>
    <row r="245" spans="1:11" x14ac:dyDescent="0.2">
      <c r="A245" s="20">
        <f t="shared" si="31"/>
        <v>2021</v>
      </c>
      <c r="B245" s="6">
        <f t="shared" si="32"/>
        <v>5</v>
      </c>
      <c r="C245" s="73">
        <v>44317</v>
      </c>
      <c r="D245" s="73">
        <v>44317</v>
      </c>
      <c r="E245" s="96" t="s">
        <v>98</v>
      </c>
      <c r="F245" s="8">
        <v>42.38</v>
      </c>
      <c r="G245" s="19" t="s">
        <v>68</v>
      </c>
      <c r="H245" s="7" t="str">
        <f t="shared" si="34"/>
        <v>Variable</v>
      </c>
      <c r="I245" s="8">
        <f t="shared" si="33"/>
        <v>464.46999999999974</v>
      </c>
      <c r="J245" s="44"/>
      <c r="K245" s="19" t="s">
        <v>693</v>
      </c>
    </row>
    <row r="246" spans="1:11" x14ac:dyDescent="0.2">
      <c r="A246" s="20">
        <f t="shared" si="31"/>
        <v>2021</v>
      </c>
      <c r="B246" s="6">
        <f t="shared" si="32"/>
        <v>5</v>
      </c>
      <c r="C246" s="73">
        <v>44317</v>
      </c>
      <c r="D246" s="73">
        <v>44319</v>
      </c>
      <c r="E246" s="96" t="s">
        <v>228</v>
      </c>
      <c r="F246" s="8">
        <v>49.53</v>
      </c>
      <c r="G246" s="19" t="s">
        <v>90</v>
      </c>
      <c r="H246" s="7" t="str">
        <f t="shared" si="34"/>
        <v>Variable</v>
      </c>
      <c r="I246" s="8">
        <f t="shared" si="33"/>
        <v>513.99999999999977</v>
      </c>
      <c r="J246" s="44"/>
      <c r="K246" s="19" t="s">
        <v>675</v>
      </c>
    </row>
    <row r="247" spans="1:11" x14ac:dyDescent="0.2">
      <c r="A247" s="20">
        <f t="shared" si="31"/>
        <v>2021</v>
      </c>
      <c r="B247" s="6">
        <f t="shared" si="32"/>
        <v>5</v>
      </c>
      <c r="C247" s="73">
        <v>44319</v>
      </c>
      <c r="D247" s="73">
        <v>44319</v>
      </c>
      <c r="E247" s="96" t="s">
        <v>181</v>
      </c>
      <c r="F247" s="8">
        <v>5.99</v>
      </c>
      <c r="G247" s="82" t="s">
        <v>26</v>
      </c>
      <c r="H247" s="7" t="str">
        <f t="shared" si="34"/>
        <v>Fixed</v>
      </c>
      <c r="I247" s="8">
        <f t="shared" si="33"/>
        <v>519.98999999999978</v>
      </c>
      <c r="J247" s="82" t="s">
        <v>298</v>
      </c>
      <c r="K247" s="19" t="s">
        <v>788</v>
      </c>
    </row>
    <row r="248" spans="1:11" x14ac:dyDescent="0.2">
      <c r="A248" s="20">
        <f t="shared" si="31"/>
        <v>2021</v>
      </c>
      <c r="B248" s="6">
        <f t="shared" si="32"/>
        <v>5</v>
      </c>
      <c r="C248" s="73">
        <v>44318</v>
      </c>
      <c r="D248" s="73">
        <v>44319</v>
      </c>
      <c r="E248" s="96" t="s">
        <v>230</v>
      </c>
      <c r="F248" s="8">
        <v>18.96</v>
      </c>
      <c r="G248" s="19" t="s">
        <v>89</v>
      </c>
      <c r="H248" s="7" t="str">
        <f t="shared" si="34"/>
        <v>Variable</v>
      </c>
      <c r="I248" s="8">
        <f t="shared" si="33"/>
        <v>538.94999999999982</v>
      </c>
      <c r="J248" s="44"/>
      <c r="K248" s="19" t="s">
        <v>632</v>
      </c>
    </row>
    <row r="249" spans="1:11" x14ac:dyDescent="0.2">
      <c r="A249" s="20">
        <f t="shared" si="31"/>
        <v>2021</v>
      </c>
      <c r="B249" s="6">
        <f t="shared" si="32"/>
        <v>5</v>
      </c>
      <c r="C249" s="73">
        <v>44318</v>
      </c>
      <c r="D249" s="73">
        <v>44319</v>
      </c>
      <c r="E249" s="96" t="s">
        <v>230</v>
      </c>
      <c r="F249" s="8">
        <v>38.74</v>
      </c>
      <c r="G249" s="19" t="s">
        <v>89</v>
      </c>
      <c r="H249" s="7" t="str">
        <f t="shared" si="34"/>
        <v>Variable</v>
      </c>
      <c r="I249" s="8">
        <f t="shared" si="33"/>
        <v>577.68999999999983</v>
      </c>
      <c r="J249" s="44"/>
      <c r="K249" s="19" t="s">
        <v>632</v>
      </c>
    </row>
    <row r="250" spans="1:11" x14ac:dyDescent="0.2">
      <c r="A250" s="20">
        <f t="shared" si="31"/>
        <v>2021</v>
      </c>
      <c r="B250" s="6">
        <f t="shared" si="32"/>
        <v>5</v>
      </c>
      <c r="C250" s="73">
        <v>44318</v>
      </c>
      <c r="D250" s="73">
        <v>44319</v>
      </c>
      <c r="E250" s="96" t="s">
        <v>231</v>
      </c>
      <c r="F250" s="8">
        <v>-38.74</v>
      </c>
      <c r="G250" s="19" t="s">
        <v>22</v>
      </c>
      <c r="H250" s="7" t="str">
        <f t="shared" si="34"/>
        <v>Payment</v>
      </c>
      <c r="I250" s="8">
        <f t="shared" si="33"/>
        <v>538.94999999999982</v>
      </c>
      <c r="J250" s="82" t="s">
        <v>280</v>
      </c>
      <c r="K250" s="19" t="s">
        <v>632</v>
      </c>
    </row>
    <row r="251" spans="1:11" x14ac:dyDescent="0.2">
      <c r="A251" s="20">
        <f t="shared" si="31"/>
        <v>2021</v>
      </c>
      <c r="B251" s="6">
        <f t="shared" si="32"/>
        <v>5</v>
      </c>
      <c r="C251" s="73">
        <v>44318</v>
      </c>
      <c r="D251" s="73">
        <v>44319</v>
      </c>
      <c r="E251" s="96" t="s">
        <v>104</v>
      </c>
      <c r="F251" s="8">
        <v>1.99</v>
      </c>
      <c r="G251" s="74" t="s">
        <v>26</v>
      </c>
      <c r="H251" s="7" t="str">
        <f t="shared" si="34"/>
        <v>Fixed</v>
      </c>
      <c r="I251" s="8">
        <f t="shared" si="33"/>
        <v>540.93999999999983</v>
      </c>
      <c r="J251" s="82" t="s">
        <v>94</v>
      </c>
      <c r="K251" s="19" t="s">
        <v>788</v>
      </c>
    </row>
    <row r="252" spans="1:11" x14ac:dyDescent="0.2">
      <c r="A252" s="20">
        <f t="shared" si="31"/>
        <v>2021</v>
      </c>
      <c r="B252" s="6">
        <f t="shared" si="32"/>
        <v>5</v>
      </c>
      <c r="C252" s="73">
        <v>44319</v>
      </c>
      <c r="D252" s="73">
        <v>44319</v>
      </c>
      <c r="E252" s="96" t="s">
        <v>232</v>
      </c>
      <c r="F252" s="8">
        <v>30.73</v>
      </c>
      <c r="G252" s="19" t="s">
        <v>41</v>
      </c>
      <c r="H252" s="7" t="str">
        <f t="shared" si="34"/>
        <v>Variable</v>
      </c>
      <c r="I252" s="8">
        <f t="shared" si="33"/>
        <v>571.66999999999985</v>
      </c>
      <c r="J252" s="82" t="s">
        <v>334</v>
      </c>
      <c r="K252" s="19" t="s">
        <v>675</v>
      </c>
    </row>
    <row r="253" spans="1:11" x14ac:dyDescent="0.2">
      <c r="A253" s="20">
        <f t="shared" si="31"/>
        <v>2021</v>
      </c>
      <c r="B253" s="6">
        <f t="shared" si="32"/>
        <v>5</v>
      </c>
      <c r="C253" s="73">
        <v>44319</v>
      </c>
      <c r="D253" s="73">
        <v>44319</v>
      </c>
      <c r="E253" s="96" t="s">
        <v>191</v>
      </c>
      <c r="F253" s="8">
        <v>1.5</v>
      </c>
      <c r="G253" s="19" t="s">
        <v>52</v>
      </c>
      <c r="H253" s="7" t="str">
        <f t="shared" si="34"/>
        <v>Variable</v>
      </c>
      <c r="I253" s="8">
        <f t="shared" si="33"/>
        <v>573.16999999999985</v>
      </c>
      <c r="J253" s="44"/>
      <c r="K253" s="19" t="s">
        <v>633</v>
      </c>
    </row>
    <row r="254" spans="1:11" x14ac:dyDescent="0.2">
      <c r="A254" s="20">
        <f t="shared" si="31"/>
        <v>2021</v>
      </c>
      <c r="B254" s="6">
        <f t="shared" si="32"/>
        <v>5</v>
      </c>
      <c r="C254" s="73">
        <v>44319</v>
      </c>
      <c r="D254" s="73">
        <v>44319</v>
      </c>
      <c r="E254" s="96" t="s">
        <v>60</v>
      </c>
      <c r="F254" s="8">
        <v>27.57</v>
      </c>
      <c r="G254" s="19" t="s">
        <v>24</v>
      </c>
      <c r="H254" s="7" t="str">
        <f t="shared" si="34"/>
        <v>Variable</v>
      </c>
      <c r="I254" s="8">
        <f t="shared" si="33"/>
        <v>600.7399999999999</v>
      </c>
      <c r="J254" s="44"/>
      <c r="K254" s="23" t="s">
        <v>633</v>
      </c>
    </row>
    <row r="255" spans="1:11" x14ac:dyDescent="0.2">
      <c r="A255" s="20">
        <f t="shared" si="31"/>
        <v>2021</v>
      </c>
      <c r="B255" s="6">
        <f t="shared" si="32"/>
        <v>5</v>
      </c>
      <c r="C255" s="73">
        <v>44319</v>
      </c>
      <c r="D255" s="73">
        <v>44319</v>
      </c>
      <c r="E255" s="96" t="s">
        <v>233</v>
      </c>
      <c r="F255" s="8">
        <v>54.6</v>
      </c>
      <c r="G255" s="74" t="s">
        <v>26</v>
      </c>
      <c r="H255" s="7" t="str">
        <f t="shared" si="34"/>
        <v>Fixed</v>
      </c>
      <c r="I255" s="8">
        <f t="shared" si="33"/>
        <v>655.33999999999992</v>
      </c>
      <c r="J255" s="82" t="s">
        <v>300</v>
      </c>
      <c r="K255" s="19" t="s">
        <v>788</v>
      </c>
    </row>
    <row r="256" spans="1:11" x14ac:dyDescent="0.2">
      <c r="A256" s="20">
        <f t="shared" si="31"/>
        <v>2021</v>
      </c>
      <c r="B256" s="6">
        <f t="shared" si="32"/>
        <v>5</v>
      </c>
      <c r="C256" s="73">
        <v>44317</v>
      </c>
      <c r="D256" s="73">
        <v>44319</v>
      </c>
      <c r="E256" s="96" t="s">
        <v>229</v>
      </c>
      <c r="F256" s="8">
        <v>44</v>
      </c>
      <c r="G256" s="82" t="s">
        <v>26</v>
      </c>
      <c r="H256" s="7" t="str">
        <f t="shared" si="34"/>
        <v>Fixed</v>
      </c>
      <c r="I256" s="8">
        <f t="shared" si="33"/>
        <v>699.33999999999992</v>
      </c>
      <c r="J256" s="82" t="s">
        <v>281</v>
      </c>
      <c r="K256" s="19" t="s">
        <v>788</v>
      </c>
    </row>
    <row r="257" spans="1:11" x14ac:dyDescent="0.2">
      <c r="A257" s="20">
        <f t="shared" si="31"/>
        <v>2021</v>
      </c>
      <c r="B257" s="6">
        <f t="shared" si="32"/>
        <v>5</v>
      </c>
      <c r="C257" s="73">
        <v>44319</v>
      </c>
      <c r="D257" s="73">
        <v>44319</v>
      </c>
      <c r="E257" s="96" t="s">
        <v>85</v>
      </c>
      <c r="F257" s="8">
        <v>73.37</v>
      </c>
      <c r="G257" s="19" t="s">
        <v>90</v>
      </c>
      <c r="H257" s="7" t="str">
        <f t="shared" si="34"/>
        <v>Variable</v>
      </c>
      <c r="I257" s="8">
        <f t="shared" si="33"/>
        <v>772.70999999999992</v>
      </c>
      <c r="J257" s="44"/>
      <c r="K257" s="19" t="s">
        <v>675</v>
      </c>
    </row>
    <row r="258" spans="1:11" x14ac:dyDescent="0.2">
      <c r="A258" s="20">
        <f t="shared" si="31"/>
        <v>2021</v>
      </c>
      <c r="B258" s="6">
        <f t="shared" si="32"/>
        <v>5</v>
      </c>
      <c r="C258" s="73">
        <v>44320</v>
      </c>
      <c r="D258" s="73">
        <v>44320</v>
      </c>
      <c r="E258" s="96" t="s">
        <v>32</v>
      </c>
      <c r="F258" s="8">
        <v>91.78</v>
      </c>
      <c r="G258" s="74" t="s">
        <v>26</v>
      </c>
      <c r="H258" s="7" t="str">
        <f t="shared" si="34"/>
        <v>Fixed</v>
      </c>
      <c r="I258" s="8">
        <f t="shared" si="33"/>
        <v>864.4899999999999</v>
      </c>
      <c r="J258" s="82" t="s">
        <v>8</v>
      </c>
      <c r="K258" s="19" t="s">
        <v>788</v>
      </c>
    </row>
    <row r="259" spans="1:11" x14ac:dyDescent="0.2">
      <c r="A259" s="20">
        <f t="shared" ref="A259:A322" si="35">YEAR(C259)</f>
        <v>2021</v>
      </c>
      <c r="B259" s="6">
        <f t="shared" ref="B259:B322" si="36">MONTH(C259)</f>
        <v>5</v>
      </c>
      <c r="C259" s="73">
        <v>44321</v>
      </c>
      <c r="D259" s="73">
        <v>44321</v>
      </c>
      <c r="E259" s="96" t="s">
        <v>21</v>
      </c>
      <c r="F259" s="8">
        <v>-1404.1</v>
      </c>
      <c r="G259" s="19" t="s">
        <v>22</v>
      </c>
      <c r="H259" s="7" t="str">
        <f t="shared" si="34"/>
        <v>Payment</v>
      </c>
      <c r="I259" s="8">
        <f t="shared" si="33"/>
        <v>-539.61</v>
      </c>
      <c r="J259" s="44"/>
      <c r="K259" s="19"/>
    </row>
    <row r="260" spans="1:11" x14ac:dyDescent="0.2">
      <c r="A260" s="20">
        <f t="shared" si="35"/>
        <v>2021</v>
      </c>
      <c r="B260" s="6">
        <f t="shared" si="36"/>
        <v>5</v>
      </c>
      <c r="C260" s="73">
        <v>44323</v>
      </c>
      <c r="D260" s="73">
        <v>44323</v>
      </c>
      <c r="E260" s="96" t="s">
        <v>234</v>
      </c>
      <c r="F260" s="8">
        <v>10.48</v>
      </c>
      <c r="G260" s="19" t="s">
        <v>90</v>
      </c>
      <c r="H260" s="7" t="str">
        <f t="shared" si="34"/>
        <v>Variable</v>
      </c>
      <c r="I260" s="8">
        <f t="shared" ref="I260:I323" si="37">I259+F260</f>
        <v>-529.13</v>
      </c>
      <c r="J260" s="44"/>
      <c r="K260" s="19" t="s">
        <v>675</v>
      </c>
    </row>
    <row r="261" spans="1:11" x14ac:dyDescent="0.2">
      <c r="A261" s="20">
        <f t="shared" si="35"/>
        <v>2021</v>
      </c>
      <c r="B261" s="6">
        <f t="shared" si="36"/>
        <v>5</v>
      </c>
      <c r="C261" s="73">
        <v>44323</v>
      </c>
      <c r="D261" s="73">
        <v>44323</v>
      </c>
      <c r="E261" s="96" t="s">
        <v>184</v>
      </c>
      <c r="F261" s="8">
        <v>94.95</v>
      </c>
      <c r="G261" s="74" t="s">
        <v>26</v>
      </c>
      <c r="H261" s="7" t="str">
        <f t="shared" si="34"/>
        <v>Fixed</v>
      </c>
      <c r="I261" s="8">
        <f t="shared" si="37"/>
        <v>-434.18</v>
      </c>
      <c r="J261" s="82" t="s">
        <v>323</v>
      </c>
      <c r="K261" s="90" t="s">
        <v>687</v>
      </c>
    </row>
    <row r="262" spans="1:11" x14ac:dyDescent="0.2">
      <c r="A262" s="20">
        <f t="shared" si="35"/>
        <v>2021</v>
      </c>
      <c r="B262" s="6">
        <f t="shared" si="36"/>
        <v>5</v>
      </c>
      <c r="C262" s="73">
        <v>44323</v>
      </c>
      <c r="D262" s="73">
        <v>44323</v>
      </c>
      <c r="E262" s="96" t="s">
        <v>235</v>
      </c>
      <c r="F262" s="8">
        <v>98.48</v>
      </c>
      <c r="G262" s="19" t="s">
        <v>68</v>
      </c>
      <c r="H262" s="7" t="str">
        <f t="shared" si="34"/>
        <v>Variable</v>
      </c>
      <c r="I262" s="8">
        <f t="shared" si="37"/>
        <v>-335.7</v>
      </c>
      <c r="J262" s="74" t="s">
        <v>247</v>
      </c>
      <c r="K262" s="19" t="s">
        <v>702</v>
      </c>
    </row>
    <row r="263" spans="1:11" x14ac:dyDescent="0.2">
      <c r="A263" s="20">
        <f t="shared" si="35"/>
        <v>2021</v>
      </c>
      <c r="B263" s="6">
        <f t="shared" si="36"/>
        <v>5</v>
      </c>
      <c r="C263" s="73">
        <v>44325</v>
      </c>
      <c r="D263" s="73">
        <v>44325</v>
      </c>
      <c r="E263" s="96" t="s">
        <v>236</v>
      </c>
      <c r="F263" s="8">
        <v>110.57</v>
      </c>
      <c r="G263" s="19" t="s">
        <v>68</v>
      </c>
      <c r="H263" s="7" t="str">
        <f t="shared" si="34"/>
        <v>Variable</v>
      </c>
      <c r="I263" s="8">
        <f t="shared" si="37"/>
        <v>-225.13</v>
      </c>
      <c r="J263" s="74" t="s">
        <v>247</v>
      </c>
      <c r="K263" s="19" t="s">
        <v>702</v>
      </c>
    </row>
    <row r="264" spans="1:11" x14ac:dyDescent="0.2">
      <c r="A264" s="20">
        <f t="shared" si="35"/>
        <v>2021</v>
      </c>
      <c r="B264" s="6">
        <f t="shared" si="36"/>
        <v>5</v>
      </c>
      <c r="C264" s="73">
        <v>44326</v>
      </c>
      <c r="D264" s="73">
        <v>44326</v>
      </c>
      <c r="E264" s="96" t="s">
        <v>237</v>
      </c>
      <c r="F264" s="8">
        <v>15.89</v>
      </c>
      <c r="G264" s="74" t="s">
        <v>26</v>
      </c>
      <c r="H264" s="7" t="str">
        <f t="shared" si="34"/>
        <v>Fixed</v>
      </c>
      <c r="I264" s="8">
        <f t="shared" si="37"/>
        <v>-209.24</v>
      </c>
      <c r="J264" s="82" t="s">
        <v>293</v>
      </c>
      <c r="K264" s="19" t="s">
        <v>788</v>
      </c>
    </row>
    <row r="265" spans="1:11" x14ac:dyDescent="0.2">
      <c r="A265" s="20">
        <f t="shared" si="35"/>
        <v>2021</v>
      </c>
      <c r="B265" s="6">
        <f t="shared" si="36"/>
        <v>5</v>
      </c>
      <c r="C265" s="73">
        <v>44326</v>
      </c>
      <c r="D265" s="73">
        <v>44326</v>
      </c>
      <c r="E265" s="96" t="s">
        <v>238</v>
      </c>
      <c r="F265" s="8">
        <v>77.94</v>
      </c>
      <c r="G265" s="74" t="s">
        <v>26</v>
      </c>
      <c r="H265" s="7" t="str">
        <f t="shared" si="34"/>
        <v>Fixed</v>
      </c>
      <c r="I265" s="8">
        <f t="shared" si="37"/>
        <v>-131.30000000000001</v>
      </c>
      <c r="J265" s="82" t="s">
        <v>282</v>
      </c>
      <c r="K265" s="19" t="s">
        <v>788</v>
      </c>
    </row>
    <row r="266" spans="1:11" x14ac:dyDescent="0.2">
      <c r="A266" s="20">
        <f t="shared" si="35"/>
        <v>2021</v>
      </c>
      <c r="B266" s="6">
        <f t="shared" si="36"/>
        <v>5</v>
      </c>
      <c r="C266" s="73">
        <v>44327</v>
      </c>
      <c r="D266" s="73">
        <v>44327</v>
      </c>
      <c r="E266" s="96" t="s">
        <v>186</v>
      </c>
      <c r="F266" s="8">
        <v>1.52</v>
      </c>
      <c r="G266" s="74" t="s">
        <v>68</v>
      </c>
      <c r="H266" s="7" t="str">
        <f t="shared" si="34"/>
        <v>Variable</v>
      </c>
      <c r="I266" s="8">
        <f t="shared" si="37"/>
        <v>-129.78</v>
      </c>
      <c r="J266" s="44"/>
      <c r="K266" s="74" t="s">
        <v>687</v>
      </c>
    </row>
    <row r="267" spans="1:11" x14ac:dyDescent="0.2">
      <c r="A267" s="20">
        <f t="shared" si="35"/>
        <v>2021</v>
      </c>
      <c r="B267" s="6">
        <f t="shared" si="36"/>
        <v>5</v>
      </c>
      <c r="C267" s="73">
        <v>44327</v>
      </c>
      <c r="D267" s="73">
        <v>44327</v>
      </c>
      <c r="E267" s="96" t="s">
        <v>239</v>
      </c>
      <c r="F267" s="8">
        <v>14.39</v>
      </c>
      <c r="G267" s="19" t="s">
        <v>41</v>
      </c>
      <c r="H267" s="7" t="str">
        <f t="shared" si="34"/>
        <v>Variable</v>
      </c>
      <c r="I267" s="8">
        <f t="shared" si="37"/>
        <v>-115.39</v>
      </c>
      <c r="J267" s="44"/>
      <c r="K267" s="19" t="s">
        <v>675</v>
      </c>
    </row>
    <row r="268" spans="1:11" x14ac:dyDescent="0.2">
      <c r="A268" s="20">
        <f t="shared" si="35"/>
        <v>2021</v>
      </c>
      <c r="B268" s="6">
        <f t="shared" si="36"/>
        <v>5</v>
      </c>
      <c r="C268" s="73">
        <v>44327</v>
      </c>
      <c r="D268" s="73">
        <v>44327</v>
      </c>
      <c r="E268" s="96" t="s">
        <v>129</v>
      </c>
      <c r="F268" s="8">
        <v>86.17</v>
      </c>
      <c r="G268" s="19" t="s">
        <v>130</v>
      </c>
      <c r="H268" s="7" t="str">
        <f t="shared" si="34"/>
        <v>Fixed</v>
      </c>
      <c r="I268" s="8">
        <f t="shared" si="37"/>
        <v>-29.22</v>
      </c>
      <c r="J268" s="74" t="s">
        <v>136</v>
      </c>
      <c r="K268" s="19" t="s">
        <v>633</v>
      </c>
    </row>
    <row r="269" spans="1:11" x14ac:dyDescent="0.2">
      <c r="A269" s="20">
        <f t="shared" si="35"/>
        <v>2021</v>
      </c>
      <c r="B269" s="6">
        <f t="shared" si="36"/>
        <v>5</v>
      </c>
      <c r="C269" s="73">
        <v>44327</v>
      </c>
      <c r="D269" s="73">
        <v>44327</v>
      </c>
      <c r="E269" s="96" t="s">
        <v>98</v>
      </c>
      <c r="F269" s="8">
        <v>13.86</v>
      </c>
      <c r="G269" s="19" t="s">
        <v>90</v>
      </c>
      <c r="H269" s="7" t="str">
        <f t="shared" si="34"/>
        <v>Variable</v>
      </c>
      <c r="I269" s="8">
        <f t="shared" si="37"/>
        <v>-15.36</v>
      </c>
      <c r="J269" s="44"/>
      <c r="K269" s="19" t="s">
        <v>675</v>
      </c>
    </row>
    <row r="270" spans="1:11" x14ac:dyDescent="0.2">
      <c r="A270" s="20">
        <f t="shared" si="35"/>
        <v>2021</v>
      </c>
      <c r="B270" s="6">
        <f t="shared" si="36"/>
        <v>5</v>
      </c>
      <c r="C270" s="73">
        <v>44328</v>
      </c>
      <c r="D270" s="73">
        <v>44328</v>
      </c>
      <c r="E270" s="96" t="s">
        <v>186</v>
      </c>
      <c r="F270" s="8">
        <v>2</v>
      </c>
      <c r="G270" s="74" t="s">
        <v>68</v>
      </c>
      <c r="H270" s="7" t="str">
        <f t="shared" si="34"/>
        <v>Variable</v>
      </c>
      <c r="I270" s="8">
        <f t="shared" si="37"/>
        <v>-13.36</v>
      </c>
      <c r="J270" s="44"/>
      <c r="K270" s="74" t="s">
        <v>687</v>
      </c>
    </row>
    <row r="271" spans="1:11" x14ac:dyDescent="0.2">
      <c r="A271" s="20">
        <f t="shared" si="35"/>
        <v>2021</v>
      </c>
      <c r="B271" s="6">
        <f t="shared" si="36"/>
        <v>5</v>
      </c>
      <c r="C271" s="73">
        <v>44328</v>
      </c>
      <c r="D271" s="73">
        <v>44328</v>
      </c>
      <c r="E271" s="96" t="s">
        <v>59</v>
      </c>
      <c r="F271" s="8">
        <v>1.99</v>
      </c>
      <c r="G271" s="74" t="s">
        <v>26</v>
      </c>
      <c r="H271" s="7" t="str">
        <f t="shared" si="34"/>
        <v>Fixed</v>
      </c>
      <c r="I271" s="8">
        <f t="shared" si="37"/>
        <v>-11.37</v>
      </c>
      <c r="J271" s="82" t="s">
        <v>283</v>
      </c>
      <c r="K271" s="19" t="s">
        <v>788</v>
      </c>
    </row>
    <row r="272" spans="1:11" x14ac:dyDescent="0.2">
      <c r="A272" s="20">
        <f t="shared" si="35"/>
        <v>2021</v>
      </c>
      <c r="B272" s="6">
        <f t="shared" si="36"/>
        <v>5</v>
      </c>
      <c r="C272" s="73">
        <v>44329</v>
      </c>
      <c r="D272" s="73">
        <v>44329</v>
      </c>
      <c r="E272" s="96" t="s">
        <v>98</v>
      </c>
      <c r="F272" s="8">
        <v>30.28</v>
      </c>
      <c r="G272" s="19" t="s">
        <v>68</v>
      </c>
      <c r="H272" s="7" t="str">
        <f t="shared" si="34"/>
        <v>Variable</v>
      </c>
      <c r="I272" s="8">
        <f t="shared" si="37"/>
        <v>18.910000000000004</v>
      </c>
      <c r="J272" s="44"/>
      <c r="K272" s="19" t="s">
        <v>693</v>
      </c>
    </row>
    <row r="273" spans="1:11" x14ac:dyDescent="0.2">
      <c r="A273" s="20">
        <f t="shared" si="35"/>
        <v>2021</v>
      </c>
      <c r="B273" s="6">
        <f t="shared" si="36"/>
        <v>5</v>
      </c>
      <c r="C273" s="73">
        <v>44330</v>
      </c>
      <c r="D273" s="73">
        <v>44330</v>
      </c>
      <c r="E273" s="96" t="s">
        <v>240</v>
      </c>
      <c r="F273" s="8">
        <v>90</v>
      </c>
      <c r="G273" s="19" t="s">
        <v>89</v>
      </c>
      <c r="H273" s="7" t="str">
        <f t="shared" si="34"/>
        <v>Variable</v>
      </c>
      <c r="I273" s="8">
        <f t="shared" si="37"/>
        <v>108.91</v>
      </c>
      <c r="J273" s="74" t="s">
        <v>248</v>
      </c>
      <c r="K273" s="19" t="s">
        <v>632</v>
      </c>
    </row>
    <row r="274" spans="1:11" x14ac:dyDescent="0.2">
      <c r="A274" s="20">
        <f t="shared" si="35"/>
        <v>2021</v>
      </c>
      <c r="B274" s="6">
        <f t="shared" si="36"/>
        <v>5</v>
      </c>
      <c r="C274" s="73">
        <v>44330</v>
      </c>
      <c r="D274" s="73">
        <v>44330</v>
      </c>
      <c r="E274" s="96" t="s">
        <v>241</v>
      </c>
      <c r="F274" s="8">
        <v>19.73</v>
      </c>
      <c r="G274" s="19" t="s">
        <v>41</v>
      </c>
      <c r="H274" s="7" t="str">
        <f t="shared" si="34"/>
        <v>Variable</v>
      </c>
      <c r="I274" s="8">
        <f t="shared" si="37"/>
        <v>128.63999999999999</v>
      </c>
      <c r="J274" s="44"/>
      <c r="K274" s="19" t="s">
        <v>675</v>
      </c>
    </row>
    <row r="275" spans="1:11" x14ac:dyDescent="0.2">
      <c r="A275" s="20">
        <f t="shared" si="35"/>
        <v>2021</v>
      </c>
      <c r="B275" s="6">
        <f t="shared" si="36"/>
        <v>5</v>
      </c>
      <c r="C275" s="73">
        <v>44330</v>
      </c>
      <c r="D275" s="73">
        <v>44330</v>
      </c>
      <c r="E275" s="96" t="s">
        <v>242</v>
      </c>
      <c r="F275" s="8">
        <v>7.61</v>
      </c>
      <c r="G275" s="19" t="s">
        <v>68</v>
      </c>
      <c r="H275" s="7" t="str">
        <f t="shared" si="34"/>
        <v>Variable</v>
      </c>
      <c r="I275" s="8">
        <f t="shared" si="37"/>
        <v>136.25</v>
      </c>
      <c r="J275" s="74" t="s">
        <v>249</v>
      </c>
      <c r="K275" s="19" t="s">
        <v>693</v>
      </c>
    </row>
    <row r="276" spans="1:11" x14ac:dyDescent="0.2">
      <c r="A276" s="20">
        <f t="shared" si="35"/>
        <v>2021</v>
      </c>
      <c r="B276" s="6">
        <f t="shared" si="36"/>
        <v>5</v>
      </c>
      <c r="C276" s="73">
        <v>44330</v>
      </c>
      <c r="D276" s="73">
        <v>44330</v>
      </c>
      <c r="E276" s="96" t="s">
        <v>243</v>
      </c>
      <c r="F276" s="8">
        <v>16</v>
      </c>
      <c r="G276" s="19" t="s">
        <v>130</v>
      </c>
      <c r="H276" s="7" t="str">
        <f t="shared" si="34"/>
        <v>Fixed</v>
      </c>
      <c r="I276" s="8">
        <f t="shared" si="37"/>
        <v>152.25</v>
      </c>
      <c r="J276" s="82" t="s">
        <v>291</v>
      </c>
      <c r="K276" s="19" t="s">
        <v>633</v>
      </c>
    </row>
    <row r="277" spans="1:11" x14ac:dyDescent="0.2">
      <c r="A277" s="20">
        <f t="shared" si="35"/>
        <v>2021</v>
      </c>
      <c r="B277" s="6">
        <f t="shared" si="36"/>
        <v>5</v>
      </c>
      <c r="C277" s="73">
        <v>44331</v>
      </c>
      <c r="D277" s="73">
        <v>44331</v>
      </c>
      <c r="E277" s="96" t="s">
        <v>244</v>
      </c>
      <c r="F277" s="8">
        <v>12.64</v>
      </c>
      <c r="G277" s="19" t="s">
        <v>68</v>
      </c>
      <c r="H277" s="7" t="str">
        <f t="shared" si="34"/>
        <v>Variable</v>
      </c>
      <c r="I277" s="8">
        <f t="shared" si="37"/>
        <v>164.89</v>
      </c>
      <c r="J277" s="74" t="s">
        <v>250</v>
      </c>
      <c r="K277" s="19" t="s">
        <v>693</v>
      </c>
    </row>
    <row r="278" spans="1:11" x14ac:dyDescent="0.2">
      <c r="A278" s="20">
        <f t="shared" si="35"/>
        <v>2021</v>
      </c>
      <c r="B278" s="6">
        <f t="shared" si="36"/>
        <v>5</v>
      </c>
      <c r="C278" s="73">
        <v>44332</v>
      </c>
      <c r="D278" s="73">
        <v>44332</v>
      </c>
      <c r="E278" s="96" t="s">
        <v>245</v>
      </c>
      <c r="F278" s="8">
        <v>31.79</v>
      </c>
      <c r="G278" s="74" t="s">
        <v>26</v>
      </c>
      <c r="H278" s="7" t="str">
        <f t="shared" si="34"/>
        <v>Fixed</v>
      </c>
      <c r="I278" s="8">
        <f t="shared" si="37"/>
        <v>196.67999999999998</v>
      </c>
      <c r="J278" s="82" t="s">
        <v>311</v>
      </c>
      <c r="K278" s="19" t="s">
        <v>788</v>
      </c>
    </row>
    <row r="279" spans="1:11" x14ac:dyDescent="0.2">
      <c r="A279" s="20">
        <f t="shared" si="35"/>
        <v>2021</v>
      </c>
      <c r="B279" s="6">
        <f t="shared" si="36"/>
        <v>5</v>
      </c>
      <c r="C279" s="73">
        <v>44332</v>
      </c>
      <c r="D279" s="73">
        <v>44332</v>
      </c>
      <c r="E279" s="96" t="s">
        <v>246</v>
      </c>
      <c r="F279" s="8">
        <v>8.27</v>
      </c>
      <c r="G279" s="19" t="s">
        <v>41</v>
      </c>
      <c r="H279" s="7" t="str">
        <f t="shared" si="34"/>
        <v>Variable</v>
      </c>
      <c r="I279" s="8">
        <f t="shared" si="37"/>
        <v>204.95</v>
      </c>
      <c r="J279" s="44"/>
      <c r="K279" s="19" t="s">
        <v>675</v>
      </c>
    </row>
    <row r="280" spans="1:11" x14ac:dyDescent="0.2">
      <c r="A280" s="20">
        <f t="shared" si="35"/>
        <v>2021</v>
      </c>
      <c r="B280" s="6">
        <f t="shared" si="36"/>
        <v>5</v>
      </c>
      <c r="C280" s="73">
        <v>44333</v>
      </c>
      <c r="D280" s="73">
        <v>44333</v>
      </c>
      <c r="E280" s="96" t="s">
        <v>251</v>
      </c>
      <c r="F280" s="8">
        <v>31.79</v>
      </c>
      <c r="G280" s="19" t="s">
        <v>195</v>
      </c>
      <c r="H280" s="7" t="str">
        <f t="shared" si="34"/>
        <v>Variable</v>
      </c>
      <c r="I280" s="8">
        <f t="shared" si="37"/>
        <v>236.73999999999998</v>
      </c>
      <c r="J280" s="82" t="s">
        <v>284</v>
      </c>
      <c r="K280" s="19" t="s">
        <v>693</v>
      </c>
    </row>
    <row r="281" spans="1:11" x14ac:dyDescent="0.2">
      <c r="A281" s="20">
        <f t="shared" si="35"/>
        <v>2021</v>
      </c>
      <c r="B281" s="6">
        <f t="shared" si="36"/>
        <v>5</v>
      </c>
      <c r="C281" s="73">
        <v>44333</v>
      </c>
      <c r="D281" s="73">
        <v>44333</v>
      </c>
      <c r="E281" s="96" t="s">
        <v>98</v>
      </c>
      <c r="F281" s="8">
        <v>22.71</v>
      </c>
      <c r="G281" s="19" t="s">
        <v>68</v>
      </c>
      <c r="H281" s="7" t="str">
        <f t="shared" si="34"/>
        <v>Variable</v>
      </c>
      <c r="I281" s="8">
        <f t="shared" si="37"/>
        <v>259.45</v>
      </c>
      <c r="J281" s="44"/>
      <c r="K281" s="19" t="s">
        <v>693</v>
      </c>
    </row>
    <row r="282" spans="1:11" ht="17.25" customHeight="1" x14ac:dyDescent="0.2">
      <c r="A282" s="20">
        <f t="shared" si="35"/>
        <v>2021</v>
      </c>
      <c r="B282" s="6">
        <f t="shared" si="36"/>
        <v>5</v>
      </c>
      <c r="C282" s="73">
        <v>44334</v>
      </c>
      <c r="D282" s="73">
        <v>44334</v>
      </c>
      <c r="E282" s="96" t="s">
        <v>100</v>
      </c>
      <c r="F282" s="8">
        <v>86.25</v>
      </c>
      <c r="G282" s="199" t="s">
        <v>26</v>
      </c>
      <c r="H282" s="7" t="str">
        <f t="shared" si="34"/>
        <v>Fixed</v>
      </c>
      <c r="I282" s="8">
        <f t="shared" si="37"/>
        <v>345.7</v>
      </c>
      <c r="J282" s="199" t="s">
        <v>294</v>
      </c>
      <c r="K282" s="19" t="s">
        <v>788</v>
      </c>
    </row>
    <row r="283" spans="1:11" x14ac:dyDescent="0.2">
      <c r="A283" s="20">
        <f t="shared" si="35"/>
        <v>2021</v>
      </c>
      <c r="B283" s="6">
        <f t="shared" si="36"/>
        <v>5</v>
      </c>
      <c r="C283" s="73">
        <v>44335</v>
      </c>
      <c r="D283" s="73">
        <v>44335</v>
      </c>
      <c r="E283" s="96" t="s">
        <v>252</v>
      </c>
      <c r="F283" s="8">
        <v>12.71</v>
      </c>
      <c r="G283" s="19" t="s">
        <v>130</v>
      </c>
      <c r="H283" s="7" t="str">
        <f t="shared" ref="H283:H346" si="38">VLOOKUP(G283,Expense_Lookup,2,0)</f>
        <v>Fixed</v>
      </c>
      <c r="I283" s="8">
        <f t="shared" si="37"/>
        <v>358.40999999999997</v>
      </c>
      <c r="J283" s="44"/>
      <c r="K283" s="19" t="s">
        <v>633</v>
      </c>
    </row>
    <row r="284" spans="1:11" x14ac:dyDescent="0.2">
      <c r="A284" s="20">
        <f t="shared" si="35"/>
        <v>2021</v>
      </c>
      <c r="B284" s="6">
        <f t="shared" si="36"/>
        <v>5</v>
      </c>
      <c r="C284" s="73">
        <v>44335</v>
      </c>
      <c r="D284" s="73">
        <v>44335</v>
      </c>
      <c r="E284" s="96" t="s">
        <v>253</v>
      </c>
      <c r="F284" s="8">
        <v>91.85</v>
      </c>
      <c r="G284" s="183" t="s">
        <v>56</v>
      </c>
      <c r="H284" s="7" t="str">
        <f t="shared" si="38"/>
        <v>Variable</v>
      </c>
      <c r="I284" s="8">
        <f t="shared" si="37"/>
        <v>450.26</v>
      </c>
      <c r="J284" s="82" t="s">
        <v>35</v>
      </c>
      <c r="K284" s="183" t="s">
        <v>702</v>
      </c>
    </row>
    <row r="285" spans="1:11" x14ac:dyDescent="0.2">
      <c r="A285" s="20">
        <f t="shared" si="35"/>
        <v>2021</v>
      </c>
      <c r="B285" s="6">
        <f t="shared" si="36"/>
        <v>5</v>
      </c>
      <c r="C285" s="73">
        <v>44335</v>
      </c>
      <c r="D285" s="73">
        <v>44335</v>
      </c>
      <c r="E285" s="96" t="s">
        <v>98</v>
      </c>
      <c r="F285" s="8">
        <v>68.849999999999994</v>
      </c>
      <c r="G285" s="19" t="s">
        <v>68</v>
      </c>
      <c r="H285" s="7" t="str">
        <f t="shared" si="38"/>
        <v>Variable</v>
      </c>
      <c r="I285" s="8">
        <f t="shared" si="37"/>
        <v>519.11</v>
      </c>
      <c r="J285" s="44"/>
      <c r="K285" s="199" t="s">
        <v>693</v>
      </c>
    </row>
    <row r="286" spans="1:11" x14ac:dyDescent="0.2">
      <c r="A286" s="20">
        <f t="shared" si="35"/>
        <v>2021</v>
      </c>
      <c r="B286" s="6">
        <f t="shared" si="36"/>
        <v>5</v>
      </c>
      <c r="C286" s="73">
        <v>44335</v>
      </c>
      <c r="D286" s="73">
        <v>44335</v>
      </c>
      <c r="E286" s="96" t="s">
        <v>254</v>
      </c>
      <c r="F286" s="8">
        <v>22.58</v>
      </c>
      <c r="G286" s="19" t="s">
        <v>195</v>
      </c>
      <c r="H286" s="7" t="str">
        <f t="shared" si="38"/>
        <v>Variable</v>
      </c>
      <c r="I286" s="8">
        <f t="shared" si="37"/>
        <v>541.69000000000005</v>
      </c>
      <c r="J286" s="44"/>
      <c r="K286" s="199" t="s">
        <v>693</v>
      </c>
    </row>
    <row r="287" spans="1:11" x14ac:dyDescent="0.2">
      <c r="A287" s="20">
        <f t="shared" si="35"/>
        <v>2021</v>
      </c>
      <c r="B287" s="6">
        <f t="shared" si="36"/>
        <v>5</v>
      </c>
      <c r="C287" s="73">
        <v>44336</v>
      </c>
      <c r="D287" s="73">
        <v>44336</v>
      </c>
      <c r="E287" s="96" t="s">
        <v>60</v>
      </c>
      <c r="F287" s="8">
        <v>17.87</v>
      </c>
      <c r="G287" s="19" t="s">
        <v>24</v>
      </c>
      <c r="H287" s="7" t="str">
        <f t="shared" si="38"/>
        <v>Variable</v>
      </c>
      <c r="I287" s="8">
        <f t="shared" si="37"/>
        <v>559.56000000000006</v>
      </c>
      <c r="J287" s="44"/>
      <c r="K287" s="23" t="s">
        <v>633</v>
      </c>
    </row>
    <row r="288" spans="1:11" x14ac:dyDescent="0.2">
      <c r="A288" s="20">
        <f t="shared" si="35"/>
        <v>2021</v>
      </c>
      <c r="B288" s="6">
        <f t="shared" si="36"/>
        <v>5</v>
      </c>
      <c r="C288" s="73">
        <v>44336</v>
      </c>
      <c r="D288" s="73">
        <v>44336</v>
      </c>
      <c r="E288" s="96" t="s">
        <v>255</v>
      </c>
      <c r="F288" s="8">
        <v>26.97</v>
      </c>
      <c r="G288" s="19" t="s">
        <v>90</v>
      </c>
      <c r="H288" s="7" t="str">
        <f t="shared" si="38"/>
        <v>Variable</v>
      </c>
      <c r="I288" s="8">
        <f t="shared" si="37"/>
        <v>586.53000000000009</v>
      </c>
      <c r="J288" s="44"/>
      <c r="K288" s="19" t="s">
        <v>675</v>
      </c>
    </row>
    <row r="289" spans="1:11" x14ac:dyDescent="0.2">
      <c r="A289" s="20">
        <f t="shared" si="35"/>
        <v>2021</v>
      </c>
      <c r="B289" s="6">
        <f t="shared" si="36"/>
        <v>5</v>
      </c>
      <c r="C289" s="73">
        <v>44337</v>
      </c>
      <c r="D289" s="73">
        <v>44337</v>
      </c>
      <c r="E289" s="96" t="s">
        <v>256</v>
      </c>
      <c r="F289" s="8">
        <v>16</v>
      </c>
      <c r="G289" s="19" t="s">
        <v>41</v>
      </c>
      <c r="H289" s="7" t="str">
        <f t="shared" si="38"/>
        <v>Variable</v>
      </c>
      <c r="I289" s="8">
        <f t="shared" si="37"/>
        <v>602.53000000000009</v>
      </c>
      <c r="J289" s="44"/>
      <c r="K289" s="19" t="s">
        <v>675</v>
      </c>
    </row>
    <row r="290" spans="1:11" x14ac:dyDescent="0.2">
      <c r="A290" s="20">
        <f t="shared" si="35"/>
        <v>2021</v>
      </c>
      <c r="B290" s="6">
        <f t="shared" si="36"/>
        <v>5</v>
      </c>
      <c r="C290" s="73">
        <v>44337</v>
      </c>
      <c r="D290" s="73">
        <v>44337</v>
      </c>
      <c r="E290" s="96" t="s">
        <v>81</v>
      </c>
      <c r="F290" s="8">
        <v>7.99</v>
      </c>
      <c r="G290" s="82" t="s">
        <v>26</v>
      </c>
      <c r="H290" s="7" t="str">
        <f t="shared" si="38"/>
        <v>Fixed</v>
      </c>
      <c r="I290" s="8">
        <f t="shared" si="37"/>
        <v>610.5200000000001</v>
      </c>
      <c r="J290" s="82" t="s">
        <v>9</v>
      </c>
      <c r="K290" s="19" t="s">
        <v>788</v>
      </c>
    </row>
    <row r="291" spans="1:11" x14ac:dyDescent="0.2">
      <c r="A291" s="20">
        <f t="shared" si="35"/>
        <v>2021</v>
      </c>
      <c r="B291" s="6">
        <f t="shared" si="36"/>
        <v>5</v>
      </c>
      <c r="C291" s="73">
        <v>44337</v>
      </c>
      <c r="D291" s="73">
        <v>44337</v>
      </c>
      <c r="E291" s="96" t="s">
        <v>257</v>
      </c>
      <c r="F291" s="8">
        <v>31.25</v>
      </c>
      <c r="G291" s="19" t="s">
        <v>24</v>
      </c>
      <c r="H291" s="7" t="str">
        <f t="shared" si="38"/>
        <v>Variable</v>
      </c>
      <c r="I291" s="8">
        <f t="shared" si="37"/>
        <v>641.7700000000001</v>
      </c>
      <c r="J291" s="44"/>
      <c r="K291" s="23" t="s">
        <v>633</v>
      </c>
    </row>
    <row r="292" spans="1:11" x14ac:dyDescent="0.2">
      <c r="A292" s="20">
        <f t="shared" si="35"/>
        <v>2021</v>
      </c>
      <c r="B292" s="6">
        <f t="shared" si="36"/>
        <v>5</v>
      </c>
      <c r="C292" s="73">
        <v>44338</v>
      </c>
      <c r="D292" s="73">
        <v>44338</v>
      </c>
      <c r="E292" s="96" t="s">
        <v>258</v>
      </c>
      <c r="F292" s="8">
        <v>50.7</v>
      </c>
      <c r="G292" s="19" t="s">
        <v>68</v>
      </c>
      <c r="H292" s="7" t="str">
        <f t="shared" si="38"/>
        <v>Variable</v>
      </c>
      <c r="I292" s="8">
        <f t="shared" si="37"/>
        <v>692.47000000000014</v>
      </c>
      <c r="J292" s="82" t="s">
        <v>285</v>
      </c>
      <c r="K292" s="199" t="s">
        <v>693</v>
      </c>
    </row>
    <row r="293" spans="1:11" x14ac:dyDescent="0.2">
      <c r="A293" s="20">
        <f t="shared" si="35"/>
        <v>2021</v>
      </c>
      <c r="B293" s="6">
        <f t="shared" si="36"/>
        <v>5</v>
      </c>
      <c r="C293" s="73">
        <v>44338</v>
      </c>
      <c r="D293" s="73">
        <v>44338</v>
      </c>
      <c r="E293" s="96" t="s">
        <v>259</v>
      </c>
      <c r="F293" s="8">
        <v>37.89</v>
      </c>
      <c r="G293" s="19" t="s">
        <v>68</v>
      </c>
      <c r="H293" s="7" t="str">
        <f t="shared" si="38"/>
        <v>Variable</v>
      </c>
      <c r="I293" s="8">
        <f t="shared" si="37"/>
        <v>730.36000000000013</v>
      </c>
      <c r="J293" s="82" t="s">
        <v>286</v>
      </c>
      <c r="K293" s="199" t="s">
        <v>693</v>
      </c>
    </row>
    <row r="294" spans="1:11" x14ac:dyDescent="0.2">
      <c r="A294" s="20">
        <f t="shared" si="35"/>
        <v>2021</v>
      </c>
      <c r="B294" s="6">
        <f t="shared" si="36"/>
        <v>5</v>
      </c>
      <c r="C294" s="73">
        <v>44339</v>
      </c>
      <c r="D294" s="73">
        <v>44339</v>
      </c>
      <c r="E294" s="96" t="s">
        <v>196</v>
      </c>
      <c r="F294" s="8">
        <v>35</v>
      </c>
      <c r="G294" s="19" t="s">
        <v>89</v>
      </c>
      <c r="H294" s="7" t="str">
        <f t="shared" si="38"/>
        <v>Variable</v>
      </c>
      <c r="I294" s="8">
        <f t="shared" si="37"/>
        <v>765.36000000000013</v>
      </c>
      <c r="J294" s="82" t="s">
        <v>300</v>
      </c>
      <c r="K294" s="199" t="s">
        <v>633</v>
      </c>
    </row>
    <row r="295" spans="1:11" x14ac:dyDescent="0.2">
      <c r="A295" s="20">
        <f t="shared" si="35"/>
        <v>2021</v>
      </c>
      <c r="B295" s="6">
        <f t="shared" si="36"/>
        <v>5</v>
      </c>
      <c r="C295" s="73">
        <v>44340</v>
      </c>
      <c r="D295" s="73">
        <v>44340</v>
      </c>
      <c r="E295" s="96" t="s">
        <v>186</v>
      </c>
      <c r="F295" s="8">
        <v>2</v>
      </c>
      <c r="G295" s="19" t="s">
        <v>89</v>
      </c>
      <c r="H295" s="7" t="str">
        <f t="shared" si="38"/>
        <v>Variable</v>
      </c>
      <c r="I295" s="8">
        <f t="shared" si="37"/>
        <v>767.36000000000013</v>
      </c>
      <c r="J295" s="44"/>
      <c r="K295" s="199" t="s">
        <v>687</v>
      </c>
    </row>
    <row r="296" spans="1:11" x14ac:dyDescent="0.2">
      <c r="A296" s="20">
        <f t="shared" si="35"/>
        <v>2021</v>
      </c>
      <c r="B296" s="6">
        <f t="shared" si="36"/>
        <v>5</v>
      </c>
      <c r="C296" s="73">
        <v>44340</v>
      </c>
      <c r="D296" s="73">
        <v>44340</v>
      </c>
      <c r="E296" s="96" t="s">
        <v>21</v>
      </c>
      <c r="F296" s="8">
        <v>-1412.32</v>
      </c>
      <c r="G296" s="19" t="s">
        <v>22</v>
      </c>
      <c r="H296" s="7" t="str">
        <f t="shared" si="38"/>
        <v>Payment</v>
      </c>
      <c r="I296" s="8">
        <f t="shared" si="37"/>
        <v>-644.95999999999981</v>
      </c>
      <c r="J296" s="44"/>
      <c r="K296" s="19"/>
    </row>
    <row r="297" spans="1:11" x14ac:dyDescent="0.2">
      <c r="A297" s="20">
        <f t="shared" si="35"/>
        <v>2021</v>
      </c>
      <c r="B297" s="6">
        <f t="shared" si="36"/>
        <v>5</v>
      </c>
      <c r="C297" s="73">
        <v>44340</v>
      </c>
      <c r="D297" s="73">
        <v>44340</v>
      </c>
      <c r="E297" s="96" t="s">
        <v>260</v>
      </c>
      <c r="F297" s="8">
        <v>12.59</v>
      </c>
      <c r="G297" s="19" t="s">
        <v>41</v>
      </c>
      <c r="H297" s="7" t="str">
        <f t="shared" si="38"/>
        <v>Variable</v>
      </c>
      <c r="I297" s="8">
        <f t="shared" si="37"/>
        <v>-632.36999999999978</v>
      </c>
      <c r="J297" s="44"/>
      <c r="K297" s="19" t="s">
        <v>675</v>
      </c>
    </row>
    <row r="298" spans="1:11" x14ac:dyDescent="0.2">
      <c r="A298" s="20">
        <f t="shared" si="35"/>
        <v>2021</v>
      </c>
      <c r="B298" s="6">
        <f t="shared" si="36"/>
        <v>5</v>
      </c>
      <c r="C298" s="73">
        <v>44341</v>
      </c>
      <c r="D298" s="73">
        <v>44341</v>
      </c>
      <c r="E298" s="96" t="s">
        <v>261</v>
      </c>
      <c r="F298" s="8">
        <v>5.29</v>
      </c>
      <c r="G298" s="82" t="s">
        <v>26</v>
      </c>
      <c r="H298" s="7" t="str">
        <f t="shared" si="38"/>
        <v>Fixed</v>
      </c>
      <c r="I298" s="8">
        <f t="shared" si="37"/>
        <v>-627.07999999999981</v>
      </c>
      <c r="J298" s="82" t="s">
        <v>310</v>
      </c>
      <c r="K298" s="19" t="s">
        <v>788</v>
      </c>
    </row>
    <row r="299" spans="1:11" x14ac:dyDescent="0.2">
      <c r="A299" s="20">
        <f t="shared" si="35"/>
        <v>2021</v>
      </c>
      <c r="B299" s="6">
        <f t="shared" si="36"/>
        <v>5</v>
      </c>
      <c r="C299" s="73">
        <v>44341</v>
      </c>
      <c r="D299" s="73">
        <v>44341</v>
      </c>
      <c r="E299" s="96" t="s">
        <v>196</v>
      </c>
      <c r="F299" s="8">
        <v>35</v>
      </c>
      <c r="G299" s="19" t="s">
        <v>89</v>
      </c>
      <c r="H299" s="7" t="str">
        <f t="shared" si="38"/>
        <v>Variable</v>
      </c>
      <c r="I299" s="8">
        <f t="shared" si="37"/>
        <v>-592.07999999999981</v>
      </c>
      <c r="J299" s="82" t="s">
        <v>300</v>
      </c>
      <c r="K299" s="199" t="s">
        <v>633</v>
      </c>
    </row>
    <row r="300" spans="1:11" x14ac:dyDescent="0.2">
      <c r="A300" s="20">
        <f t="shared" si="35"/>
        <v>2021</v>
      </c>
      <c r="B300" s="6">
        <f t="shared" si="36"/>
        <v>5</v>
      </c>
      <c r="C300" s="73">
        <v>44341</v>
      </c>
      <c r="D300" s="73">
        <v>44341</v>
      </c>
      <c r="E300" s="96" t="s">
        <v>204</v>
      </c>
      <c r="F300" s="8">
        <v>12.59</v>
      </c>
      <c r="G300" s="19" t="s">
        <v>41</v>
      </c>
      <c r="H300" s="7" t="str">
        <f t="shared" si="38"/>
        <v>Variable</v>
      </c>
      <c r="I300" s="8">
        <f t="shared" si="37"/>
        <v>-579.48999999999978</v>
      </c>
      <c r="J300" s="44"/>
      <c r="K300" s="19" t="s">
        <v>675</v>
      </c>
    </row>
    <row r="301" spans="1:11" x14ac:dyDescent="0.2">
      <c r="A301" s="20">
        <f t="shared" si="35"/>
        <v>2021</v>
      </c>
      <c r="B301" s="6">
        <f t="shared" si="36"/>
        <v>5</v>
      </c>
      <c r="C301" s="73">
        <v>44341</v>
      </c>
      <c r="D301" s="73">
        <v>44341</v>
      </c>
      <c r="E301" s="96" t="s">
        <v>262</v>
      </c>
      <c r="F301" s="8">
        <v>22.25</v>
      </c>
      <c r="G301" s="19" t="s">
        <v>68</v>
      </c>
      <c r="H301" s="7" t="str">
        <f t="shared" si="38"/>
        <v>Variable</v>
      </c>
      <c r="I301" s="8">
        <f t="shared" si="37"/>
        <v>-557.23999999999978</v>
      </c>
      <c r="J301" s="44"/>
      <c r="K301" s="199" t="s">
        <v>693</v>
      </c>
    </row>
    <row r="302" spans="1:11" x14ac:dyDescent="0.2">
      <c r="A302" s="20">
        <f t="shared" si="35"/>
        <v>2021</v>
      </c>
      <c r="B302" s="6">
        <f t="shared" si="36"/>
        <v>5</v>
      </c>
      <c r="C302" s="73">
        <v>44342</v>
      </c>
      <c r="D302" s="73">
        <v>44342</v>
      </c>
      <c r="E302" s="96" t="s">
        <v>204</v>
      </c>
      <c r="F302" s="8">
        <v>17.37</v>
      </c>
      <c r="G302" s="19" t="s">
        <v>41</v>
      </c>
      <c r="H302" s="7" t="str">
        <f t="shared" si="38"/>
        <v>Variable</v>
      </c>
      <c r="I302" s="8">
        <f t="shared" si="37"/>
        <v>-539.86999999999978</v>
      </c>
      <c r="J302" s="44"/>
      <c r="K302" s="19" t="s">
        <v>675</v>
      </c>
    </row>
    <row r="303" spans="1:11" x14ac:dyDescent="0.2">
      <c r="A303" s="20">
        <f t="shared" si="35"/>
        <v>2021</v>
      </c>
      <c r="B303" s="6">
        <f t="shared" si="36"/>
        <v>5</v>
      </c>
      <c r="C303" s="73">
        <v>44343</v>
      </c>
      <c r="D303" s="73">
        <v>44343</v>
      </c>
      <c r="E303" s="96" t="s">
        <v>112</v>
      </c>
      <c r="F303" s="8">
        <v>9.99</v>
      </c>
      <c r="G303" s="82" t="s">
        <v>26</v>
      </c>
      <c r="H303" s="7" t="str">
        <f t="shared" si="38"/>
        <v>Fixed</v>
      </c>
      <c r="I303" s="8">
        <f t="shared" si="37"/>
        <v>-529.87999999999977</v>
      </c>
      <c r="J303" s="82" t="s">
        <v>295</v>
      </c>
      <c r="K303" s="19" t="s">
        <v>788</v>
      </c>
    </row>
    <row r="304" spans="1:11" x14ac:dyDescent="0.2">
      <c r="A304" s="20">
        <f t="shared" si="35"/>
        <v>2021</v>
      </c>
      <c r="B304" s="6">
        <f t="shared" si="36"/>
        <v>5</v>
      </c>
      <c r="C304" s="73">
        <v>44343</v>
      </c>
      <c r="D304" s="73">
        <v>44343</v>
      </c>
      <c r="E304" s="96" t="s">
        <v>263</v>
      </c>
      <c r="F304" s="8">
        <v>26.35</v>
      </c>
      <c r="G304" s="19" t="s">
        <v>119</v>
      </c>
      <c r="H304" s="7" t="str">
        <f t="shared" si="38"/>
        <v>Variable</v>
      </c>
      <c r="I304" s="8">
        <f t="shared" si="37"/>
        <v>-503.52999999999975</v>
      </c>
      <c r="J304" s="44"/>
      <c r="K304" s="199" t="s">
        <v>697</v>
      </c>
    </row>
    <row r="305" spans="1:11" x14ac:dyDescent="0.2">
      <c r="A305" s="20">
        <f t="shared" si="35"/>
        <v>2021</v>
      </c>
      <c r="B305" s="6">
        <f t="shared" si="36"/>
        <v>5</v>
      </c>
      <c r="C305" s="73">
        <v>44344</v>
      </c>
      <c r="D305" s="73">
        <v>44344</v>
      </c>
      <c r="E305" s="96" t="s">
        <v>264</v>
      </c>
      <c r="F305" s="8">
        <v>286.31</v>
      </c>
      <c r="G305" s="19" t="s">
        <v>130</v>
      </c>
      <c r="H305" s="7" t="str">
        <f t="shared" si="38"/>
        <v>Fixed</v>
      </c>
      <c r="I305" s="8">
        <f t="shared" si="37"/>
        <v>-217.21999999999974</v>
      </c>
      <c r="J305" s="82" t="s">
        <v>287</v>
      </c>
      <c r="K305" s="19" t="s">
        <v>633</v>
      </c>
    </row>
    <row r="306" spans="1:11" x14ac:dyDescent="0.2">
      <c r="A306" s="20">
        <f t="shared" si="35"/>
        <v>2021</v>
      </c>
      <c r="B306" s="6">
        <f t="shared" si="36"/>
        <v>5</v>
      </c>
      <c r="C306" s="73">
        <v>44344</v>
      </c>
      <c r="D306" s="73">
        <v>44344</v>
      </c>
      <c r="E306" s="96" t="s">
        <v>265</v>
      </c>
      <c r="F306" s="8">
        <v>21.24</v>
      </c>
      <c r="G306" s="19" t="s">
        <v>89</v>
      </c>
      <c r="H306" s="7" t="str">
        <f t="shared" si="38"/>
        <v>Variable</v>
      </c>
      <c r="I306" s="8">
        <f t="shared" si="37"/>
        <v>-195.97999999999973</v>
      </c>
      <c r="J306" s="44"/>
      <c r="K306" s="199" t="s">
        <v>633</v>
      </c>
    </row>
    <row r="307" spans="1:11" x14ac:dyDescent="0.2">
      <c r="A307" s="20">
        <f t="shared" si="35"/>
        <v>2021</v>
      </c>
      <c r="B307" s="6">
        <f t="shared" si="36"/>
        <v>5</v>
      </c>
      <c r="C307" s="73">
        <v>44344</v>
      </c>
      <c r="D307" s="73">
        <v>44344</v>
      </c>
      <c r="E307" s="96" t="s">
        <v>266</v>
      </c>
      <c r="F307" s="8">
        <v>51.77</v>
      </c>
      <c r="G307" s="19" t="s">
        <v>68</v>
      </c>
      <c r="H307" s="7" t="str">
        <f t="shared" si="38"/>
        <v>Variable</v>
      </c>
      <c r="I307" s="8">
        <f t="shared" si="37"/>
        <v>-144.20999999999972</v>
      </c>
      <c r="J307" s="44"/>
      <c r="K307" s="199" t="s">
        <v>693</v>
      </c>
    </row>
    <row r="308" spans="1:11" x14ac:dyDescent="0.2">
      <c r="A308" s="20">
        <f t="shared" si="35"/>
        <v>2021</v>
      </c>
      <c r="B308" s="6">
        <f t="shared" si="36"/>
        <v>5</v>
      </c>
      <c r="C308" s="73">
        <v>44345</v>
      </c>
      <c r="D308" s="73">
        <v>44345</v>
      </c>
      <c r="E308" s="96" t="s">
        <v>60</v>
      </c>
      <c r="F308" s="8">
        <v>28.92</v>
      </c>
      <c r="G308" s="19" t="s">
        <v>24</v>
      </c>
      <c r="H308" s="7" t="str">
        <f t="shared" si="38"/>
        <v>Variable</v>
      </c>
      <c r="I308" s="8">
        <f t="shared" si="37"/>
        <v>-115.28999999999972</v>
      </c>
      <c r="J308" s="44"/>
      <c r="K308" s="23" t="s">
        <v>633</v>
      </c>
    </row>
    <row r="309" spans="1:11" x14ac:dyDescent="0.2">
      <c r="A309" s="20">
        <f t="shared" si="35"/>
        <v>2021</v>
      </c>
      <c r="B309" s="6">
        <f t="shared" si="36"/>
        <v>5</v>
      </c>
      <c r="C309" s="73">
        <v>44345</v>
      </c>
      <c r="D309" s="73">
        <v>44345</v>
      </c>
      <c r="E309" s="96" t="s">
        <v>267</v>
      </c>
      <c r="F309" s="8">
        <v>26.84</v>
      </c>
      <c r="G309" s="19" t="s">
        <v>89</v>
      </c>
      <c r="H309" s="7" t="str">
        <f t="shared" si="38"/>
        <v>Variable</v>
      </c>
      <c r="I309" s="8">
        <f t="shared" si="37"/>
        <v>-88.449999999999719</v>
      </c>
      <c r="J309" s="44"/>
      <c r="K309" s="199" t="s">
        <v>633</v>
      </c>
    </row>
    <row r="310" spans="1:11" x14ac:dyDescent="0.2">
      <c r="A310" s="20">
        <f t="shared" si="35"/>
        <v>2021</v>
      </c>
      <c r="B310" s="6">
        <f t="shared" si="36"/>
        <v>5</v>
      </c>
      <c r="C310" s="73">
        <v>44345</v>
      </c>
      <c r="D310" s="73">
        <v>44345</v>
      </c>
      <c r="E310" s="96" t="s">
        <v>98</v>
      </c>
      <c r="F310" s="8">
        <v>39.200000000000003</v>
      </c>
      <c r="G310" s="19" t="s">
        <v>90</v>
      </c>
      <c r="H310" s="7" t="str">
        <f t="shared" si="38"/>
        <v>Variable</v>
      </c>
      <c r="I310" s="8">
        <f t="shared" si="37"/>
        <v>-49.249999999999716</v>
      </c>
      <c r="J310" s="44"/>
      <c r="K310" s="19" t="s">
        <v>675</v>
      </c>
    </row>
    <row r="311" spans="1:11" x14ac:dyDescent="0.2">
      <c r="A311" s="20">
        <f t="shared" si="35"/>
        <v>2021</v>
      </c>
      <c r="B311" s="6">
        <f t="shared" si="36"/>
        <v>5</v>
      </c>
      <c r="C311" s="73">
        <v>44345</v>
      </c>
      <c r="D311" s="73">
        <v>44345</v>
      </c>
      <c r="E311" s="96" t="s">
        <v>182</v>
      </c>
      <c r="F311" s="8">
        <v>4.1500000000000004</v>
      </c>
      <c r="G311" s="19" t="s">
        <v>41</v>
      </c>
      <c r="H311" s="7" t="str">
        <f t="shared" si="38"/>
        <v>Variable</v>
      </c>
      <c r="I311" s="8">
        <f t="shared" si="37"/>
        <v>-45.099999999999717</v>
      </c>
      <c r="J311" s="44"/>
      <c r="K311" s="19" t="s">
        <v>675</v>
      </c>
    </row>
    <row r="312" spans="1:11" x14ac:dyDescent="0.2">
      <c r="A312" s="20">
        <f t="shared" si="35"/>
        <v>2021</v>
      </c>
      <c r="B312" s="6">
        <f t="shared" si="36"/>
        <v>5</v>
      </c>
      <c r="C312" s="73">
        <v>44345</v>
      </c>
      <c r="D312" s="73">
        <v>44345</v>
      </c>
      <c r="E312" s="96" t="s">
        <v>182</v>
      </c>
      <c r="F312" s="8">
        <v>23.07</v>
      </c>
      <c r="G312" s="19" t="s">
        <v>41</v>
      </c>
      <c r="H312" s="7" t="str">
        <f t="shared" si="38"/>
        <v>Variable</v>
      </c>
      <c r="I312" s="8">
        <f t="shared" si="37"/>
        <v>-22.029999999999717</v>
      </c>
      <c r="J312" s="44"/>
      <c r="K312" s="19" t="s">
        <v>675</v>
      </c>
    </row>
    <row r="313" spans="1:11" x14ac:dyDescent="0.2">
      <c r="A313" s="20">
        <f t="shared" si="35"/>
        <v>2021</v>
      </c>
      <c r="B313" s="6">
        <f t="shared" si="36"/>
        <v>5</v>
      </c>
      <c r="C313" s="73">
        <v>44346</v>
      </c>
      <c r="D313" s="73">
        <v>44346</v>
      </c>
      <c r="E313" s="96" t="s">
        <v>128</v>
      </c>
      <c r="F313" s="8">
        <v>54</v>
      </c>
      <c r="G313" s="19" t="s">
        <v>41</v>
      </c>
      <c r="H313" s="7" t="str">
        <f t="shared" si="38"/>
        <v>Variable</v>
      </c>
      <c r="I313" s="8">
        <f t="shared" si="37"/>
        <v>31.970000000000283</v>
      </c>
      <c r="J313" s="44"/>
      <c r="K313" s="19" t="s">
        <v>675</v>
      </c>
    </row>
    <row r="314" spans="1:11" x14ac:dyDescent="0.2">
      <c r="A314" s="20">
        <f t="shared" si="35"/>
        <v>2021</v>
      </c>
      <c r="B314" s="6">
        <f t="shared" si="36"/>
        <v>5</v>
      </c>
      <c r="C314" s="73">
        <v>44346</v>
      </c>
      <c r="D314" s="73">
        <v>44346</v>
      </c>
      <c r="E314" s="96" t="s">
        <v>196</v>
      </c>
      <c r="F314" s="8">
        <v>35</v>
      </c>
      <c r="G314" s="19" t="s">
        <v>89</v>
      </c>
      <c r="H314" s="7" t="str">
        <f t="shared" si="38"/>
        <v>Variable</v>
      </c>
      <c r="I314" s="8">
        <f t="shared" si="37"/>
        <v>66.970000000000283</v>
      </c>
      <c r="J314" s="82" t="s">
        <v>300</v>
      </c>
      <c r="K314" s="199" t="s">
        <v>633</v>
      </c>
    </row>
    <row r="315" spans="1:11" x14ac:dyDescent="0.2">
      <c r="A315" s="20">
        <f t="shared" si="35"/>
        <v>2021</v>
      </c>
      <c r="B315" s="6">
        <f t="shared" si="36"/>
        <v>5</v>
      </c>
      <c r="C315" s="73">
        <v>44346</v>
      </c>
      <c r="D315" s="73">
        <v>44346</v>
      </c>
      <c r="E315" s="96" t="s">
        <v>63</v>
      </c>
      <c r="F315" s="8">
        <v>8.2799999999999994</v>
      </c>
      <c r="G315" s="19" t="s">
        <v>41</v>
      </c>
      <c r="H315" s="7" t="str">
        <f t="shared" si="38"/>
        <v>Variable</v>
      </c>
      <c r="I315" s="8">
        <f t="shared" si="37"/>
        <v>75.250000000000284</v>
      </c>
      <c r="J315" s="44"/>
      <c r="K315" s="19" t="s">
        <v>675</v>
      </c>
    </row>
    <row r="316" spans="1:11" x14ac:dyDescent="0.2">
      <c r="A316" s="20">
        <f t="shared" si="35"/>
        <v>2021</v>
      </c>
      <c r="B316" s="6">
        <f t="shared" si="36"/>
        <v>5</v>
      </c>
      <c r="C316" s="73">
        <v>44346</v>
      </c>
      <c r="D316" s="73">
        <v>44346</v>
      </c>
      <c r="E316" s="96" t="s">
        <v>262</v>
      </c>
      <c r="F316" s="8">
        <v>60.92</v>
      </c>
      <c r="G316" s="19" t="s">
        <v>68</v>
      </c>
      <c r="H316" s="7" t="str">
        <f t="shared" si="38"/>
        <v>Variable</v>
      </c>
      <c r="I316" s="8">
        <f t="shared" si="37"/>
        <v>136.1700000000003</v>
      </c>
      <c r="J316" s="44"/>
      <c r="K316" s="199" t="s">
        <v>693</v>
      </c>
    </row>
    <row r="317" spans="1:11" x14ac:dyDescent="0.2">
      <c r="A317" s="20">
        <f t="shared" si="35"/>
        <v>2021</v>
      </c>
      <c r="B317" s="6">
        <f t="shared" si="36"/>
        <v>5</v>
      </c>
      <c r="C317" s="73">
        <v>44347</v>
      </c>
      <c r="D317" s="73">
        <v>44347</v>
      </c>
      <c r="E317" s="96" t="s">
        <v>268</v>
      </c>
      <c r="F317" s="8">
        <v>17.309999999999999</v>
      </c>
      <c r="G317" s="19" t="s">
        <v>90</v>
      </c>
      <c r="H317" s="7" t="str">
        <f t="shared" si="38"/>
        <v>Variable</v>
      </c>
      <c r="I317" s="8">
        <f t="shared" si="37"/>
        <v>153.4800000000003</v>
      </c>
      <c r="J317" s="44"/>
      <c r="K317" s="19" t="s">
        <v>675</v>
      </c>
    </row>
    <row r="318" spans="1:11" x14ac:dyDescent="0.2">
      <c r="A318" s="20">
        <f t="shared" si="35"/>
        <v>2021</v>
      </c>
      <c r="B318" s="6">
        <f t="shared" si="36"/>
        <v>5</v>
      </c>
      <c r="C318" s="73">
        <v>44347</v>
      </c>
      <c r="D318" s="73">
        <v>44347</v>
      </c>
      <c r="E318" s="96" t="s">
        <v>269</v>
      </c>
      <c r="F318" s="8">
        <v>37.090000000000003</v>
      </c>
      <c r="G318" s="82" t="s">
        <v>26</v>
      </c>
      <c r="H318" s="7" t="str">
        <f t="shared" si="38"/>
        <v>Fixed</v>
      </c>
      <c r="I318" s="8">
        <f t="shared" si="37"/>
        <v>190.57000000000031</v>
      </c>
      <c r="J318" s="82" t="s">
        <v>309</v>
      </c>
      <c r="K318" s="19" t="s">
        <v>788</v>
      </c>
    </row>
    <row r="319" spans="1:11" x14ac:dyDescent="0.2">
      <c r="A319" s="20">
        <f t="shared" si="35"/>
        <v>2021</v>
      </c>
      <c r="B319" s="6">
        <f t="shared" si="36"/>
        <v>5</v>
      </c>
      <c r="C319" s="73">
        <v>44347</v>
      </c>
      <c r="D319" s="73">
        <v>44347</v>
      </c>
      <c r="E319" s="96" t="s">
        <v>270</v>
      </c>
      <c r="F319" s="8">
        <v>9.5500000000000007</v>
      </c>
      <c r="G319" s="19" t="s">
        <v>24</v>
      </c>
      <c r="H319" s="7" t="str">
        <f t="shared" si="38"/>
        <v>Variable</v>
      </c>
      <c r="I319" s="8">
        <f t="shared" si="37"/>
        <v>200.12000000000032</v>
      </c>
      <c r="J319" s="44"/>
      <c r="K319" s="23" t="s">
        <v>633</v>
      </c>
    </row>
    <row r="320" spans="1:11" x14ac:dyDescent="0.2">
      <c r="A320" s="20">
        <f t="shared" si="35"/>
        <v>2021</v>
      </c>
      <c r="B320" s="6">
        <f t="shared" si="36"/>
        <v>5</v>
      </c>
      <c r="C320" s="73">
        <v>44347</v>
      </c>
      <c r="D320" s="73">
        <v>44347</v>
      </c>
      <c r="E320" s="96" t="s">
        <v>98</v>
      </c>
      <c r="F320" s="8">
        <v>21.18</v>
      </c>
      <c r="G320" s="19" t="s">
        <v>90</v>
      </c>
      <c r="H320" s="7" t="str">
        <f t="shared" si="38"/>
        <v>Variable</v>
      </c>
      <c r="I320" s="8">
        <f t="shared" si="37"/>
        <v>221.30000000000032</v>
      </c>
      <c r="J320" s="44"/>
      <c r="K320" s="19" t="s">
        <v>675</v>
      </c>
    </row>
    <row r="321" spans="1:11" x14ac:dyDescent="0.2">
      <c r="A321" s="20">
        <f t="shared" si="35"/>
        <v>2021</v>
      </c>
      <c r="B321" s="6">
        <f t="shared" si="36"/>
        <v>5</v>
      </c>
      <c r="C321" s="73">
        <v>44347</v>
      </c>
      <c r="D321" s="73">
        <v>44347</v>
      </c>
      <c r="E321" s="96" t="s">
        <v>271</v>
      </c>
      <c r="F321" s="8">
        <v>57.27</v>
      </c>
      <c r="G321" s="19" t="s">
        <v>89</v>
      </c>
      <c r="H321" s="7" t="str">
        <f t="shared" si="38"/>
        <v>Variable</v>
      </c>
      <c r="I321" s="8">
        <f t="shared" si="37"/>
        <v>278.57000000000033</v>
      </c>
      <c r="J321" s="82" t="s">
        <v>300</v>
      </c>
      <c r="K321" s="199" t="s">
        <v>693</v>
      </c>
    </row>
    <row r="322" spans="1:11" x14ac:dyDescent="0.2">
      <c r="A322" s="20">
        <f t="shared" si="35"/>
        <v>2021</v>
      </c>
      <c r="B322" s="6">
        <f t="shared" si="36"/>
        <v>6</v>
      </c>
      <c r="C322" s="84">
        <v>44348</v>
      </c>
      <c r="D322" s="84">
        <v>44348</v>
      </c>
      <c r="E322" s="96" t="s">
        <v>184</v>
      </c>
      <c r="F322" s="8">
        <v>49</v>
      </c>
      <c r="G322" s="82" t="s">
        <v>26</v>
      </c>
      <c r="H322" s="7" t="str">
        <f t="shared" si="38"/>
        <v>Fixed</v>
      </c>
      <c r="I322" s="8">
        <f t="shared" si="37"/>
        <v>327.57000000000033</v>
      </c>
      <c r="J322" s="82" t="s">
        <v>323</v>
      </c>
      <c r="K322" s="90" t="s">
        <v>687</v>
      </c>
    </row>
    <row r="323" spans="1:11" x14ac:dyDescent="0.2">
      <c r="A323" s="20">
        <f t="shared" ref="A323:A363" si="39">YEAR(C323)</f>
        <v>2021</v>
      </c>
      <c r="B323" s="6">
        <f t="shared" ref="B323:B386" si="40">MONTH(C323)</f>
        <v>6</v>
      </c>
      <c r="C323" s="84">
        <v>44348</v>
      </c>
      <c r="D323" s="84">
        <v>44348</v>
      </c>
      <c r="E323" s="96" t="s">
        <v>272</v>
      </c>
      <c r="F323" s="8">
        <v>14.83</v>
      </c>
      <c r="G323" s="82" t="s">
        <v>26</v>
      </c>
      <c r="H323" s="7" t="str">
        <f t="shared" si="38"/>
        <v>Fixed</v>
      </c>
      <c r="I323" s="8">
        <f t="shared" si="37"/>
        <v>342.40000000000032</v>
      </c>
      <c r="J323" s="82" t="s">
        <v>7</v>
      </c>
      <c r="K323" s="19" t="s">
        <v>788</v>
      </c>
    </row>
    <row r="324" spans="1:11" x14ac:dyDescent="0.2">
      <c r="A324" s="20">
        <f t="shared" si="39"/>
        <v>2021</v>
      </c>
      <c r="B324" s="6">
        <f t="shared" si="40"/>
        <v>6</v>
      </c>
      <c r="C324" s="84">
        <v>44348</v>
      </c>
      <c r="D324" s="84">
        <v>44348</v>
      </c>
      <c r="E324" s="96" t="s">
        <v>273</v>
      </c>
      <c r="F324" s="8">
        <v>9.99</v>
      </c>
      <c r="G324" s="82" t="s">
        <v>26</v>
      </c>
      <c r="H324" s="7" t="str">
        <f t="shared" si="38"/>
        <v>Fixed</v>
      </c>
      <c r="I324" s="8">
        <f t="shared" ref="I324:I363" si="41">I323+F324</f>
        <v>352.39000000000033</v>
      </c>
      <c r="J324" s="82" t="s">
        <v>6</v>
      </c>
      <c r="K324" s="19" t="s">
        <v>788</v>
      </c>
    </row>
    <row r="325" spans="1:11" x14ac:dyDescent="0.2">
      <c r="A325" s="20">
        <f t="shared" si="39"/>
        <v>2021</v>
      </c>
      <c r="B325" s="6">
        <f t="shared" si="40"/>
        <v>6</v>
      </c>
      <c r="C325" s="84">
        <v>44349</v>
      </c>
      <c r="D325" s="84">
        <v>44350</v>
      </c>
      <c r="E325" s="96" t="s">
        <v>274</v>
      </c>
      <c r="F325" s="8">
        <v>29.04</v>
      </c>
      <c r="G325" s="19" t="s">
        <v>24</v>
      </c>
      <c r="H325" s="7" t="str">
        <f t="shared" si="38"/>
        <v>Variable</v>
      </c>
      <c r="I325" s="8">
        <f t="shared" si="41"/>
        <v>381.43000000000035</v>
      </c>
      <c r="J325" s="44"/>
      <c r="K325" s="23" t="s">
        <v>633</v>
      </c>
    </row>
    <row r="326" spans="1:11" x14ac:dyDescent="0.2">
      <c r="A326" s="20">
        <f t="shared" si="39"/>
        <v>2021</v>
      </c>
      <c r="B326" s="6">
        <f t="shared" si="40"/>
        <v>6</v>
      </c>
      <c r="C326" s="84">
        <v>44349</v>
      </c>
      <c r="D326" s="84">
        <v>44350</v>
      </c>
      <c r="E326" s="96" t="s">
        <v>275</v>
      </c>
      <c r="F326" s="8">
        <v>10</v>
      </c>
      <c r="G326" s="82" t="s">
        <v>26</v>
      </c>
      <c r="H326" s="7" t="str">
        <f t="shared" si="38"/>
        <v>Fixed</v>
      </c>
      <c r="I326" s="8">
        <f t="shared" si="41"/>
        <v>391.43000000000035</v>
      </c>
      <c r="J326" s="82" t="s">
        <v>299</v>
      </c>
      <c r="K326" s="19" t="s">
        <v>788</v>
      </c>
    </row>
    <row r="327" spans="1:11" x14ac:dyDescent="0.2">
      <c r="A327" s="20">
        <f t="shared" si="39"/>
        <v>2021</v>
      </c>
      <c r="B327" s="6">
        <f t="shared" si="40"/>
        <v>6</v>
      </c>
      <c r="C327" s="84">
        <v>44349</v>
      </c>
      <c r="D327" s="84">
        <v>44350</v>
      </c>
      <c r="E327" s="96" t="s">
        <v>181</v>
      </c>
      <c r="F327" s="8">
        <v>0.4</v>
      </c>
      <c r="G327" s="82" t="s">
        <v>26</v>
      </c>
      <c r="H327" s="7" t="str">
        <f t="shared" si="38"/>
        <v>Fixed</v>
      </c>
      <c r="I327" s="8">
        <f t="shared" si="41"/>
        <v>391.83000000000033</v>
      </c>
      <c r="J327" s="82" t="s">
        <v>298</v>
      </c>
      <c r="K327" s="19" t="s">
        <v>788</v>
      </c>
    </row>
    <row r="328" spans="1:11" x14ac:dyDescent="0.2">
      <c r="A328" s="20">
        <f t="shared" si="39"/>
        <v>2021</v>
      </c>
      <c r="B328" s="6">
        <f t="shared" si="40"/>
        <v>6</v>
      </c>
      <c r="C328" s="84">
        <v>44349</v>
      </c>
      <c r="D328" s="84">
        <v>44350</v>
      </c>
      <c r="E328" s="96" t="s">
        <v>276</v>
      </c>
      <c r="F328" s="8">
        <v>49.99</v>
      </c>
      <c r="G328" s="19" t="s">
        <v>52</v>
      </c>
      <c r="H328" s="7" t="str">
        <f t="shared" si="38"/>
        <v>Variable</v>
      </c>
      <c r="I328" s="8">
        <f t="shared" si="41"/>
        <v>441.82000000000033</v>
      </c>
      <c r="J328" s="82" t="s">
        <v>288</v>
      </c>
      <c r="K328" s="199" t="s">
        <v>632</v>
      </c>
    </row>
    <row r="329" spans="1:11" x14ac:dyDescent="0.2">
      <c r="A329" s="20">
        <f t="shared" si="39"/>
        <v>2021</v>
      </c>
      <c r="B329" s="6">
        <f t="shared" si="40"/>
        <v>6</v>
      </c>
      <c r="C329" s="84">
        <v>44349</v>
      </c>
      <c r="D329" s="84">
        <v>44350</v>
      </c>
      <c r="E329" s="96" t="s">
        <v>104</v>
      </c>
      <c r="F329" s="8">
        <v>1.99</v>
      </c>
      <c r="G329" s="82" t="s">
        <v>26</v>
      </c>
      <c r="H329" s="7" t="str">
        <f t="shared" si="38"/>
        <v>Fixed</v>
      </c>
      <c r="I329" s="8">
        <f t="shared" si="41"/>
        <v>443.81000000000034</v>
      </c>
      <c r="J329" s="82" t="s">
        <v>94</v>
      </c>
      <c r="K329" s="19" t="s">
        <v>788</v>
      </c>
    </row>
    <row r="330" spans="1:11" x14ac:dyDescent="0.2">
      <c r="A330" s="20">
        <f t="shared" si="39"/>
        <v>2021</v>
      </c>
      <c r="B330" s="6">
        <f t="shared" si="40"/>
        <v>6</v>
      </c>
      <c r="C330" s="84">
        <v>44350</v>
      </c>
      <c r="D330" s="84">
        <v>44350</v>
      </c>
      <c r="E330" s="96" t="s">
        <v>277</v>
      </c>
      <c r="F330" s="8">
        <v>78</v>
      </c>
      <c r="G330" s="82" t="s">
        <v>26</v>
      </c>
      <c r="H330" s="7" t="str">
        <f t="shared" si="38"/>
        <v>Fixed</v>
      </c>
      <c r="I330" s="8">
        <f t="shared" si="41"/>
        <v>521.8100000000004</v>
      </c>
      <c r="J330" s="82" t="s">
        <v>300</v>
      </c>
      <c r="K330" s="19" t="s">
        <v>788</v>
      </c>
    </row>
    <row r="331" spans="1:11" x14ac:dyDescent="0.2">
      <c r="A331" s="20">
        <f t="shared" si="39"/>
        <v>2021</v>
      </c>
      <c r="B331" s="6">
        <f t="shared" si="40"/>
        <v>6</v>
      </c>
      <c r="C331" s="84">
        <v>44350</v>
      </c>
      <c r="D331" s="84">
        <v>44350</v>
      </c>
      <c r="E331" s="96" t="s">
        <v>32</v>
      </c>
      <c r="F331" s="8">
        <v>69.88</v>
      </c>
      <c r="G331" s="82" t="s">
        <v>26</v>
      </c>
      <c r="H331" s="7" t="str">
        <f t="shared" si="38"/>
        <v>Fixed</v>
      </c>
      <c r="I331" s="8">
        <f t="shared" si="41"/>
        <v>591.6900000000004</v>
      </c>
      <c r="J331" s="82" t="s">
        <v>8</v>
      </c>
      <c r="K331" s="19" t="s">
        <v>788</v>
      </c>
    </row>
    <row r="332" spans="1:11" x14ac:dyDescent="0.2">
      <c r="A332" s="20">
        <f t="shared" si="39"/>
        <v>2021</v>
      </c>
      <c r="B332" s="6">
        <f t="shared" si="40"/>
        <v>6</v>
      </c>
      <c r="C332" s="84">
        <v>44350</v>
      </c>
      <c r="D332" s="84">
        <v>44350</v>
      </c>
      <c r="E332" s="96" t="s">
        <v>278</v>
      </c>
      <c r="F332" s="8">
        <v>105</v>
      </c>
      <c r="G332" s="19" t="s">
        <v>41</v>
      </c>
      <c r="H332" s="7" t="str">
        <f t="shared" si="38"/>
        <v>Variable</v>
      </c>
      <c r="I332" s="8">
        <f t="shared" si="41"/>
        <v>696.6900000000004</v>
      </c>
      <c r="J332" s="82" t="s">
        <v>289</v>
      </c>
      <c r="K332" s="19" t="s">
        <v>675</v>
      </c>
    </row>
    <row r="333" spans="1:11" x14ac:dyDescent="0.2">
      <c r="A333" s="20">
        <f t="shared" si="39"/>
        <v>2021</v>
      </c>
      <c r="B333" s="6">
        <f t="shared" si="40"/>
        <v>6</v>
      </c>
      <c r="C333" s="84">
        <v>44351</v>
      </c>
      <c r="D333" s="84">
        <v>44351</v>
      </c>
      <c r="E333" s="96" t="s">
        <v>21</v>
      </c>
      <c r="F333" s="8">
        <v>-1368.32</v>
      </c>
      <c r="G333" s="19" t="s">
        <v>22</v>
      </c>
      <c r="H333" s="7" t="str">
        <f t="shared" si="38"/>
        <v>Payment</v>
      </c>
      <c r="I333" s="8">
        <f t="shared" si="41"/>
        <v>-671.62999999999954</v>
      </c>
      <c r="J333" s="82"/>
      <c r="K333" s="19"/>
    </row>
    <row r="334" spans="1:11" x14ac:dyDescent="0.2">
      <c r="A334" s="20">
        <f t="shared" si="39"/>
        <v>2021</v>
      </c>
      <c r="B334" s="6">
        <f t="shared" si="40"/>
        <v>6</v>
      </c>
      <c r="C334" s="84">
        <v>44351</v>
      </c>
      <c r="D334" s="84">
        <v>44351</v>
      </c>
      <c r="E334" s="96" t="s">
        <v>98</v>
      </c>
      <c r="F334" s="8">
        <v>84.8</v>
      </c>
      <c r="G334" s="19" t="s">
        <v>68</v>
      </c>
      <c r="H334" s="7" t="str">
        <f t="shared" si="38"/>
        <v>Variable</v>
      </c>
      <c r="I334" s="8">
        <f t="shared" si="41"/>
        <v>-586.82999999999959</v>
      </c>
      <c r="J334" s="90" t="s">
        <v>354</v>
      </c>
      <c r="K334" s="199" t="s">
        <v>693</v>
      </c>
    </row>
    <row r="335" spans="1:11" x14ac:dyDescent="0.2">
      <c r="A335" s="20">
        <f t="shared" si="39"/>
        <v>2021</v>
      </c>
      <c r="B335" s="6">
        <f t="shared" si="40"/>
        <v>6</v>
      </c>
      <c r="C335" s="84">
        <v>44351</v>
      </c>
      <c r="D335" s="84">
        <v>44351</v>
      </c>
      <c r="E335" s="96" t="s">
        <v>335</v>
      </c>
      <c r="F335" s="8">
        <v>88.37</v>
      </c>
      <c r="G335" s="19" t="s">
        <v>89</v>
      </c>
      <c r="H335" s="7" t="str">
        <f t="shared" si="38"/>
        <v>Variable</v>
      </c>
      <c r="I335" s="8">
        <f t="shared" si="41"/>
        <v>-498.45999999999958</v>
      </c>
      <c r="J335" s="90" t="s">
        <v>354</v>
      </c>
      <c r="K335" s="199" t="s">
        <v>693</v>
      </c>
    </row>
    <row r="336" spans="1:11" x14ac:dyDescent="0.2">
      <c r="A336" s="20">
        <f t="shared" si="39"/>
        <v>2021</v>
      </c>
      <c r="B336" s="6">
        <f t="shared" si="40"/>
        <v>6</v>
      </c>
      <c r="C336" s="84">
        <v>44352</v>
      </c>
      <c r="D336" s="84">
        <v>44352</v>
      </c>
      <c r="E336" s="96" t="s">
        <v>251</v>
      </c>
      <c r="F336" s="8">
        <v>1.36</v>
      </c>
      <c r="G336" s="19" t="s">
        <v>195</v>
      </c>
      <c r="H336" s="7" t="str">
        <f t="shared" si="38"/>
        <v>Variable</v>
      </c>
      <c r="I336" s="8">
        <f t="shared" si="41"/>
        <v>-497.09999999999957</v>
      </c>
      <c r="J336" s="90" t="s">
        <v>354</v>
      </c>
      <c r="K336" s="199" t="s">
        <v>693</v>
      </c>
    </row>
    <row r="337" spans="1:11" x14ac:dyDescent="0.2">
      <c r="A337" s="20">
        <f t="shared" si="39"/>
        <v>2021</v>
      </c>
      <c r="B337" s="6">
        <f t="shared" si="40"/>
        <v>6</v>
      </c>
      <c r="C337" s="84">
        <v>44352</v>
      </c>
      <c r="D337" s="84">
        <v>44352</v>
      </c>
      <c r="E337" s="96" t="s">
        <v>336</v>
      </c>
      <c r="F337" s="8">
        <v>13.72</v>
      </c>
      <c r="G337" s="19" t="s">
        <v>41</v>
      </c>
      <c r="H337" s="7" t="str">
        <f t="shared" si="38"/>
        <v>Variable</v>
      </c>
      <c r="I337" s="8">
        <f t="shared" si="41"/>
        <v>-483.37999999999954</v>
      </c>
      <c r="J337" s="82"/>
      <c r="K337" s="19" t="s">
        <v>675</v>
      </c>
    </row>
    <row r="338" spans="1:11" x14ac:dyDescent="0.2">
      <c r="A338" s="20">
        <f t="shared" si="39"/>
        <v>2021</v>
      </c>
      <c r="B338" s="6">
        <f t="shared" si="40"/>
        <v>6</v>
      </c>
      <c r="C338" s="84">
        <v>44352</v>
      </c>
      <c r="D338" s="84">
        <v>44352</v>
      </c>
      <c r="E338" s="96" t="s">
        <v>98</v>
      </c>
      <c r="F338" s="8">
        <v>80.55</v>
      </c>
      <c r="G338" s="19" t="s">
        <v>68</v>
      </c>
      <c r="H338" s="7" t="str">
        <f t="shared" si="38"/>
        <v>Variable</v>
      </c>
      <c r="I338" s="8">
        <f t="shared" si="41"/>
        <v>-402.82999999999953</v>
      </c>
      <c r="J338" s="90" t="s">
        <v>354</v>
      </c>
      <c r="K338" s="199" t="s">
        <v>693</v>
      </c>
    </row>
    <row r="339" spans="1:11" x14ac:dyDescent="0.2">
      <c r="A339" s="20">
        <f t="shared" si="39"/>
        <v>2021</v>
      </c>
      <c r="B339" s="6">
        <f t="shared" si="40"/>
        <v>6</v>
      </c>
      <c r="C339" s="84">
        <v>44352</v>
      </c>
      <c r="D339" s="84">
        <v>44352</v>
      </c>
      <c r="E339" s="96" t="s">
        <v>337</v>
      </c>
      <c r="F339" s="8">
        <v>1.05</v>
      </c>
      <c r="G339" s="19" t="s">
        <v>119</v>
      </c>
      <c r="H339" s="7" t="str">
        <f t="shared" si="38"/>
        <v>Variable</v>
      </c>
      <c r="I339" s="8">
        <f t="shared" si="41"/>
        <v>-401.77999999999952</v>
      </c>
      <c r="J339" s="90" t="s">
        <v>354</v>
      </c>
      <c r="K339" s="199" t="s">
        <v>693</v>
      </c>
    </row>
    <row r="340" spans="1:11" x14ac:dyDescent="0.2">
      <c r="A340" s="20">
        <f t="shared" si="39"/>
        <v>2021</v>
      </c>
      <c r="B340" s="6">
        <f t="shared" si="40"/>
        <v>6</v>
      </c>
      <c r="C340" s="84">
        <v>44353</v>
      </c>
      <c r="D340" s="84">
        <v>44353</v>
      </c>
      <c r="E340" s="96" t="s">
        <v>338</v>
      </c>
      <c r="F340" s="8">
        <v>31.77</v>
      </c>
      <c r="G340" s="19" t="s">
        <v>89</v>
      </c>
      <c r="H340" s="7" t="str">
        <f t="shared" si="38"/>
        <v>Variable</v>
      </c>
      <c r="I340" s="8">
        <f t="shared" si="41"/>
        <v>-370.00999999999954</v>
      </c>
      <c r="J340" s="82"/>
      <c r="K340" s="199" t="s">
        <v>633</v>
      </c>
    </row>
    <row r="341" spans="1:11" x14ac:dyDescent="0.2">
      <c r="A341" s="20">
        <f t="shared" si="39"/>
        <v>2021</v>
      </c>
      <c r="B341" s="6">
        <f t="shared" si="40"/>
        <v>6</v>
      </c>
      <c r="C341" s="84">
        <v>44353</v>
      </c>
      <c r="D341" s="84">
        <v>44353</v>
      </c>
      <c r="E341" s="96" t="s">
        <v>98</v>
      </c>
      <c r="F341" s="8">
        <v>192.86</v>
      </c>
      <c r="G341" s="19" t="s">
        <v>68</v>
      </c>
      <c r="H341" s="7" t="str">
        <f t="shared" si="38"/>
        <v>Variable</v>
      </c>
      <c r="I341" s="8">
        <f t="shared" si="41"/>
        <v>-177.14999999999952</v>
      </c>
      <c r="J341" s="90" t="s">
        <v>354</v>
      </c>
      <c r="K341" s="199" t="s">
        <v>693</v>
      </c>
    </row>
    <row r="342" spans="1:11" x14ac:dyDescent="0.2">
      <c r="A342" s="20">
        <f t="shared" si="39"/>
        <v>2021</v>
      </c>
      <c r="B342" s="6">
        <f t="shared" si="40"/>
        <v>6</v>
      </c>
      <c r="C342" s="84">
        <v>44354</v>
      </c>
      <c r="D342" s="84">
        <v>44354</v>
      </c>
      <c r="E342" s="96" t="s">
        <v>184</v>
      </c>
      <c r="F342" s="8">
        <v>94.95</v>
      </c>
      <c r="G342" s="211" t="s">
        <v>26</v>
      </c>
      <c r="H342" s="7" t="str">
        <f t="shared" si="38"/>
        <v>Fixed</v>
      </c>
      <c r="I342" s="8">
        <f t="shared" si="41"/>
        <v>-82.19999999999952</v>
      </c>
      <c r="J342" s="82" t="s">
        <v>323</v>
      </c>
      <c r="K342" s="90" t="s">
        <v>687</v>
      </c>
    </row>
    <row r="343" spans="1:11" x14ac:dyDescent="0.2">
      <c r="A343" s="20">
        <f t="shared" si="39"/>
        <v>2021</v>
      </c>
      <c r="B343" s="6">
        <f t="shared" si="40"/>
        <v>6</v>
      </c>
      <c r="C343" s="84">
        <v>44354</v>
      </c>
      <c r="D343" s="84">
        <v>44354</v>
      </c>
      <c r="E343" s="96" t="s">
        <v>339</v>
      </c>
      <c r="F343" s="8">
        <v>110.19</v>
      </c>
      <c r="G343" s="19" t="s">
        <v>68</v>
      </c>
      <c r="H343" s="7" t="str">
        <f t="shared" si="38"/>
        <v>Variable</v>
      </c>
      <c r="I343" s="8">
        <f t="shared" si="41"/>
        <v>27.990000000000478</v>
      </c>
      <c r="J343" s="82"/>
      <c r="K343" s="199" t="s">
        <v>693</v>
      </c>
    </row>
    <row r="344" spans="1:11" x14ac:dyDescent="0.2">
      <c r="A344" s="20">
        <f t="shared" si="39"/>
        <v>2021</v>
      </c>
      <c r="B344" s="6">
        <f t="shared" si="40"/>
        <v>6</v>
      </c>
      <c r="C344" s="84">
        <v>44356</v>
      </c>
      <c r="D344" s="84">
        <v>44356</v>
      </c>
      <c r="E344" s="96" t="s">
        <v>340</v>
      </c>
      <c r="F344" s="8">
        <v>4.99</v>
      </c>
      <c r="G344" s="19" t="s">
        <v>68</v>
      </c>
      <c r="H344" s="7" t="str">
        <f t="shared" si="38"/>
        <v>Variable</v>
      </c>
      <c r="I344" s="8">
        <f t="shared" si="41"/>
        <v>32.98000000000048</v>
      </c>
      <c r="J344" s="185" t="s">
        <v>724</v>
      </c>
      <c r="K344" s="199" t="s">
        <v>693</v>
      </c>
    </row>
    <row r="345" spans="1:11" x14ac:dyDescent="0.2">
      <c r="A345" s="20">
        <f t="shared" si="39"/>
        <v>2021</v>
      </c>
      <c r="B345" s="6">
        <f t="shared" si="40"/>
        <v>6</v>
      </c>
      <c r="C345" s="84">
        <v>44356</v>
      </c>
      <c r="D345" s="84">
        <v>44356</v>
      </c>
      <c r="E345" s="96" t="s">
        <v>341</v>
      </c>
      <c r="F345" s="8">
        <v>3.89</v>
      </c>
      <c r="G345" s="19" t="s">
        <v>68</v>
      </c>
      <c r="H345" s="7" t="str">
        <f t="shared" si="38"/>
        <v>Variable</v>
      </c>
      <c r="I345" s="8">
        <f t="shared" si="41"/>
        <v>36.870000000000481</v>
      </c>
      <c r="J345" s="185" t="s">
        <v>724</v>
      </c>
      <c r="K345" s="199" t="s">
        <v>693</v>
      </c>
    </row>
    <row r="346" spans="1:11" x14ac:dyDescent="0.2">
      <c r="A346" s="20">
        <f t="shared" si="39"/>
        <v>2021</v>
      </c>
      <c r="B346" s="6">
        <f t="shared" si="40"/>
        <v>6</v>
      </c>
      <c r="C346" s="84">
        <v>44356</v>
      </c>
      <c r="D346" s="84">
        <v>44356</v>
      </c>
      <c r="E346" s="96" t="s">
        <v>238</v>
      </c>
      <c r="F346" s="8">
        <v>77.94</v>
      </c>
      <c r="G346" s="90" t="s">
        <v>26</v>
      </c>
      <c r="H346" s="7" t="str">
        <f t="shared" si="38"/>
        <v>Fixed</v>
      </c>
      <c r="I346" s="8">
        <f t="shared" si="41"/>
        <v>114.81000000000049</v>
      </c>
      <c r="J346" s="82" t="s">
        <v>282</v>
      </c>
      <c r="K346" s="19" t="s">
        <v>788</v>
      </c>
    </row>
    <row r="347" spans="1:11" x14ac:dyDescent="0.2">
      <c r="A347" s="20">
        <f t="shared" si="39"/>
        <v>2021</v>
      </c>
      <c r="B347" s="6">
        <f t="shared" si="40"/>
        <v>6</v>
      </c>
      <c r="C347" s="84">
        <v>44357</v>
      </c>
      <c r="D347" s="84">
        <v>44357</v>
      </c>
      <c r="E347" s="96" t="s">
        <v>342</v>
      </c>
      <c r="F347" s="8">
        <v>25.06</v>
      </c>
      <c r="G347" s="19" t="s">
        <v>41</v>
      </c>
      <c r="H347" s="7" t="str">
        <f t="shared" ref="H347:H410" si="42">VLOOKUP(G347,Expense_Lookup,2,0)</f>
        <v>Variable</v>
      </c>
      <c r="I347" s="8">
        <f t="shared" si="41"/>
        <v>139.87000000000049</v>
      </c>
      <c r="J347" s="82"/>
      <c r="K347" s="19" t="s">
        <v>675</v>
      </c>
    </row>
    <row r="348" spans="1:11" x14ac:dyDescent="0.2">
      <c r="A348" s="20">
        <f t="shared" si="39"/>
        <v>2021</v>
      </c>
      <c r="B348" s="6">
        <f t="shared" si="40"/>
        <v>6</v>
      </c>
      <c r="C348" s="84">
        <v>44357</v>
      </c>
      <c r="D348" s="84">
        <v>44357</v>
      </c>
      <c r="E348" s="96" t="s">
        <v>340</v>
      </c>
      <c r="F348" s="8">
        <v>6.25</v>
      </c>
      <c r="G348" s="19" t="s">
        <v>68</v>
      </c>
      <c r="H348" s="7" t="str">
        <f t="shared" si="42"/>
        <v>Variable</v>
      </c>
      <c r="I348" s="8">
        <f t="shared" si="41"/>
        <v>146.12000000000049</v>
      </c>
      <c r="J348" s="185" t="s">
        <v>724</v>
      </c>
      <c r="K348" s="199" t="s">
        <v>693</v>
      </c>
    </row>
    <row r="349" spans="1:11" x14ac:dyDescent="0.2">
      <c r="A349" s="20">
        <f t="shared" si="39"/>
        <v>2021</v>
      </c>
      <c r="B349" s="6">
        <f t="shared" si="40"/>
        <v>6</v>
      </c>
      <c r="C349" s="84">
        <v>44357</v>
      </c>
      <c r="D349" s="84">
        <v>44357</v>
      </c>
      <c r="E349" s="96" t="s">
        <v>340</v>
      </c>
      <c r="F349" s="8">
        <v>9.99</v>
      </c>
      <c r="G349" s="19" t="s">
        <v>68</v>
      </c>
      <c r="H349" s="7" t="str">
        <f t="shared" si="42"/>
        <v>Variable</v>
      </c>
      <c r="I349" s="8">
        <f t="shared" si="41"/>
        <v>156.1100000000005</v>
      </c>
      <c r="J349" s="185" t="s">
        <v>724</v>
      </c>
      <c r="K349" s="199" t="s">
        <v>693</v>
      </c>
    </row>
    <row r="350" spans="1:11" x14ac:dyDescent="0.2">
      <c r="A350" s="20">
        <f t="shared" si="39"/>
        <v>2021</v>
      </c>
      <c r="B350" s="6">
        <f t="shared" si="40"/>
        <v>6</v>
      </c>
      <c r="C350" s="84">
        <v>44357</v>
      </c>
      <c r="D350" s="84">
        <v>44357</v>
      </c>
      <c r="E350" s="96" t="s">
        <v>340</v>
      </c>
      <c r="F350" s="8">
        <v>11.99</v>
      </c>
      <c r="G350" s="19" t="s">
        <v>68</v>
      </c>
      <c r="H350" s="7" t="str">
        <f t="shared" si="42"/>
        <v>Variable</v>
      </c>
      <c r="I350" s="8">
        <f t="shared" si="41"/>
        <v>168.10000000000051</v>
      </c>
      <c r="J350" s="185" t="s">
        <v>724</v>
      </c>
      <c r="K350" s="199" t="s">
        <v>693</v>
      </c>
    </row>
    <row r="351" spans="1:11" x14ac:dyDescent="0.2">
      <c r="A351" s="20">
        <f t="shared" si="39"/>
        <v>2021</v>
      </c>
      <c r="B351" s="6">
        <f t="shared" si="40"/>
        <v>6</v>
      </c>
      <c r="C351" s="84">
        <v>44357</v>
      </c>
      <c r="D351" s="84">
        <v>44357</v>
      </c>
      <c r="E351" s="96" t="s">
        <v>343</v>
      </c>
      <c r="F351" s="8">
        <v>3.13</v>
      </c>
      <c r="G351" s="19" t="s">
        <v>41</v>
      </c>
      <c r="H351" s="7" t="str">
        <f t="shared" si="42"/>
        <v>Variable</v>
      </c>
      <c r="I351" s="8">
        <f t="shared" si="41"/>
        <v>171.2300000000005</v>
      </c>
      <c r="J351" s="82"/>
      <c r="K351" s="19" t="s">
        <v>675</v>
      </c>
    </row>
    <row r="352" spans="1:11" x14ac:dyDescent="0.2">
      <c r="A352" s="20">
        <f t="shared" si="39"/>
        <v>2021</v>
      </c>
      <c r="B352" s="6">
        <f t="shared" si="40"/>
        <v>6</v>
      </c>
      <c r="C352" s="84">
        <v>44358</v>
      </c>
      <c r="D352" s="84">
        <v>44358</v>
      </c>
      <c r="E352" s="96" t="s">
        <v>344</v>
      </c>
      <c r="F352" s="8">
        <v>15.89</v>
      </c>
      <c r="G352" s="90" t="s">
        <v>26</v>
      </c>
      <c r="H352" s="7" t="str">
        <f t="shared" si="42"/>
        <v>Fixed</v>
      </c>
      <c r="I352" s="8">
        <f t="shared" si="41"/>
        <v>187.12000000000052</v>
      </c>
      <c r="J352" s="82" t="s">
        <v>293</v>
      </c>
      <c r="K352" s="19" t="s">
        <v>788</v>
      </c>
    </row>
    <row r="353" spans="1:11" x14ac:dyDescent="0.2">
      <c r="A353" s="20">
        <f t="shared" si="39"/>
        <v>2021</v>
      </c>
      <c r="B353" s="6">
        <f t="shared" si="40"/>
        <v>6</v>
      </c>
      <c r="C353" s="84">
        <v>44358</v>
      </c>
      <c r="D353" s="84">
        <v>44358</v>
      </c>
      <c r="E353" s="96" t="s">
        <v>345</v>
      </c>
      <c r="F353" s="8">
        <v>16.78</v>
      </c>
      <c r="G353" s="19" t="s">
        <v>41</v>
      </c>
      <c r="H353" s="7" t="str">
        <f t="shared" si="42"/>
        <v>Variable</v>
      </c>
      <c r="I353" s="8">
        <f t="shared" si="41"/>
        <v>203.90000000000052</v>
      </c>
      <c r="J353" s="82"/>
      <c r="K353" s="19" t="s">
        <v>675</v>
      </c>
    </row>
    <row r="354" spans="1:11" x14ac:dyDescent="0.2">
      <c r="A354" s="20">
        <f t="shared" si="39"/>
        <v>2021</v>
      </c>
      <c r="B354" s="6">
        <f t="shared" si="40"/>
        <v>6</v>
      </c>
      <c r="C354" s="84">
        <v>44358</v>
      </c>
      <c r="D354" s="84">
        <v>44358</v>
      </c>
      <c r="E354" s="96" t="s">
        <v>346</v>
      </c>
      <c r="F354" s="8">
        <v>52.11</v>
      </c>
      <c r="G354" s="19" t="s">
        <v>68</v>
      </c>
      <c r="H354" s="7" t="str">
        <f t="shared" si="42"/>
        <v>Variable</v>
      </c>
      <c r="I354" s="8">
        <f t="shared" si="41"/>
        <v>256.0100000000005</v>
      </c>
      <c r="J354" s="90" t="s">
        <v>355</v>
      </c>
      <c r="K354" s="199" t="s">
        <v>693</v>
      </c>
    </row>
    <row r="355" spans="1:11" x14ac:dyDescent="0.2">
      <c r="A355" s="20">
        <f t="shared" si="39"/>
        <v>2021</v>
      </c>
      <c r="B355" s="6">
        <f t="shared" si="40"/>
        <v>6</v>
      </c>
      <c r="C355" s="84">
        <v>44358</v>
      </c>
      <c r="D355" s="84">
        <v>44358</v>
      </c>
      <c r="E355" s="96" t="s">
        <v>347</v>
      </c>
      <c r="F355" s="8">
        <v>31.8</v>
      </c>
      <c r="G355" s="19" t="s">
        <v>68</v>
      </c>
      <c r="H355" s="7" t="str">
        <f t="shared" si="42"/>
        <v>Variable</v>
      </c>
      <c r="I355" s="8">
        <f t="shared" si="41"/>
        <v>287.81000000000051</v>
      </c>
      <c r="J355" s="82"/>
      <c r="K355" s="199" t="s">
        <v>693</v>
      </c>
    </row>
    <row r="356" spans="1:11" x14ac:dyDescent="0.2">
      <c r="A356" s="20">
        <f t="shared" si="39"/>
        <v>2021</v>
      </c>
      <c r="B356" s="6">
        <f t="shared" si="40"/>
        <v>6</v>
      </c>
      <c r="C356" s="84">
        <v>44359</v>
      </c>
      <c r="D356" s="84">
        <v>44359</v>
      </c>
      <c r="E356" s="96" t="s">
        <v>348</v>
      </c>
      <c r="F356" s="8">
        <v>8.3699999999999992</v>
      </c>
      <c r="G356" s="19" t="s">
        <v>68</v>
      </c>
      <c r="H356" s="7" t="str">
        <f t="shared" si="42"/>
        <v>Variable</v>
      </c>
      <c r="I356" s="8">
        <f t="shared" si="41"/>
        <v>296.18000000000052</v>
      </c>
      <c r="J356" s="82"/>
      <c r="K356" s="199" t="s">
        <v>693</v>
      </c>
    </row>
    <row r="357" spans="1:11" x14ac:dyDescent="0.2">
      <c r="A357" s="20">
        <f t="shared" si="39"/>
        <v>2021</v>
      </c>
      <c r="B357" s="6">
        <f t="shared" si="40"/>
        <v>6</v>
      </c>
      <c r="C357" s="84">
        <v>44359</v>
      </c>
      <c r="D357" s="84">
        <v>44359</v>
      </c>
      <c r="E357" s="96" t="s">
        <v>349</v>
      </c>
      <c r="F357" s="8">
        <v>0.24</v>
      </c>
      <c r="G357" s="19" t="s">
        <v>68</v>
      </c>
      <c r="H357" s="7" t="str">
        <f t="shared" si="42"/>
        <v>Variable</v>
      </c>
      <c r="I357" s="8">
        <f t="shared" si="41"/>
        <v>296.42000000000053</v>
      </c>
      <c r="J357" s="90" t="s">
        <v>356</v>
      </c>
      <c r="K357" s="199" t="s">
        <v>693</v>
      </c>
    </row>
    <row r="358" spans="1:11" x14ac:dyDescent="0.2">
      <c r="A358" s="20">
        <f t="shared" si="39"/>
        <v>2021</v>
      </c>
      <c r="B358" s="6">
        <f t="shared" si="40"/>
        <v>6</v>
      </c>
      <c r="C358" s="84">
        <v>44359</v>
      </c>
      <c r="D358" s="84">
        <v>44359</v>
      </c>
      <c r="E358" s="96" t="s">
        <v>349</v>
      </c>
      <c r="F358" s="8">
        <v>14.18</v>
      </c>
      <c r="G358" s="19" t="s">
        <v>68</v>
      </c>
      <c r="H358" s="7" t="str">
        <f t="shared" si="42"/>
        <v>Variable</v>
      </c>
      <c r="I358" s="8">
        <f t="shared" si="41"/>
        <v>310.60000000000053</v>
      </c>
      <c r="J358" s="82"/>
      <c r="K358" s="199" t="s">
        <v>693</v>
      </c>
    </row>
    <row r="359" spans="1:11" x14ac:dyDescent="0.2">
      <c r="A359" s="20">
        <f t="shared" si="39"/>
        <v>2021</v>
      </c>
      <c r="B359" s="6">
        <f t="shared" si="40"/>
        <v>6</v>
      </c>
      <c r="C359" s="84">
        <v>44359</v>
      </c>
      <c r="D359" s="84">
        <v>44359</v>
      </c>
      <c r="E359" s="96" t="s">
        <v>59</v>
      </c>
      <c r="F359" s="8">
        <v>1.99</v>
      </c>
      <c r="G359" s="90" t="s">
        <v>26</v>
      </c>
      <c r="H359" s="7" t="str">
        <f t="shared" si="42"/>
        <v>Fixed</v>
      </c>
      <c r="I359" s="8">
        <f t="shared" si="41"/>
        <v>312.59000000000054</v>
      </c>
      <c r="J359" s="90" t="s">
        <v>283</v>
      </c>
      <c r="K359" s="19" t="s">
        <v>788</v>
      </c>
    </row>
    <row r="360" spans="1:11" x14ac:dyDescent="0.2">
      <c r="A360" s="20">
        <f t="shared" si="39"/>
        <v>2021</v>
      </c>
      <c r="B360" s="6">
        <f t="shared" si="40"/>
        <v>6</v>
      </c>
      <c r="C360" s="84">
        <v>44360</v>
      </c>
      <c r="D360" s="84">
        <v>44360</v>
      </c>
      <c r="E360" s="96" t="s">
        <v>350</v>
      </c>
      <c r="F360" s="8">
        <v>2.3199999999999998</v>
      </c>
      <c r="G360" s="19" t="s">
        <v>41</v>
      </c>
      <c r="H360" s="7" t="str">
        <f t="shared" si="42"/>
        <v>Variable</v>
      </c>
      <c r="I360" s="8">
        <f t="shared" si="41"/>
        <v>314.91000000000054</v>
      </c>
      <c r="J360" s="82"/>
      <c r="K360" s="19" t="s">
        <v>675</v>
      </c>
    </row>
    <row r="361" spans="1:11" x14ac:dyDescent="0.2">
      <c r="A361" s="20">
        <f t="shared" si="39"/>
        <v>2021</v>
      </c>
      <c r="B361" s="6">
        <f t="shared" si="40"/>
        <v>6</v>
      </c>
      <c r="C361" s="84">
        <v>44361</v>
      </c>
      <c r="D361" s="84">
        <v>44361</v>
      </c>
      <c r="E361" s="96" t="s">
        <v>351</v>
      </c>
      <c r="F361" s="8">
        <v>30.12</v>
      </c>
      <c r="G361" s="19" t="s">
        <v>24</v>
      </c>
      <c r="H361" s="7" t="str">
        <f t="shared" si="42"/>
        <v>Variable</v>
      </c>
      <c r="I361" s="8">
        <f t="shared" si="41"/>
        <v>345.03000000000054</v>
      </c>
      <c r="J361" s="82"/>
      <c r="K361" s="23" t="s">
        <v>633</v>
      </c>
    </row>
    <row r="362" spans="1:11" x14ac:dyDescent="0.2">
      <c r="A362" s="20">
        <f t="shared" si="39"/>
        <v>2021</v>
      </c>
      <c r="B362" s="6">
        <f t="shared" si="40"/>
        <v>6</v>
      </c>
      <c r="C362" s="84">
        <v>44363</v>
      </c>
      <c r="D362" s="84">
        <v>44363</v>
      </c>
      <c r="E362" s="96" t="s">
        <v>352</v>
      </c>
      <c r="F362" s="8">
        <v>194</v>
      </c>
      <c r="G362" s="19" t="s">
        <v>119</v>
      </c>
      <c r="H362" s="7" t="str">
        <f t="shared" si="42"/>
        <v>Variable</v>
      </c>
      <c r="I362" s="8">
        <f t="shared" si="41"/>
        <v>539.03000000000054</v>
      </c>
      <c r="J362" s="82"/>
      <c r="K362" s="199" t="s">
        <v>697</v>
      </c>
    </row>
    <row r="363" spans="1:11" x14ac:dyDescent="0.2">
      <c r="A363" s="20">
        <f t="shared" si="39"/>
        <v>2021</v>
      </c>
      <c r="B363" s="6">
        <f t="shared" si="40"/>
        <v>6</v>
      </c>
      <c r="C363" s="84">
        <v>44364</v>
      </c>
      <c r="D363" s="84">
        <v>44364</v>
      </c>
      <c r="E363" s="96" t="s">
        <v>353</v>
      </c>
      <c r="F363" s="8">
        <v>50</v>
      </c>
      <c r="G363" s="90" t="s">
        <v>26</v>
      </c>
      <c r="H363" s="7" t="str">
        <f t="shared" si="42"/>
        <v>Fixed</v>
      </c>
      <c r="I363" s="8">
        <f t="shared" si="41"/>
        <v>589.03000000000054</v>
      </c>
      <c r="J363" s="90" t="s">
        <v>358</v>
      </c>
      <c r="K363" s="19" t="s">
        <v>788</v>
      </c>
    </row>
    <row r="364" spans="1:11" x14ac:dyDescent="0.2">
      <c r="A364" s="20">
        <f t="shared" ref="A364:A427" si="43">YEAR(C364)</f>
        <v>2021</v>
      </c>
      <c r="B364" s="6">
        <f t="shared" si="40"/>
        <v>6</v>
      </c>
      <c r="C364" s="84">
        <v>44365</v>
      </c>
      <c r="D364" s="84">
        <v>44365</v>
      </c>
      <c r="E364" s="96" t="s">
        <v>536</v>
      </c>
      <c r="F364" s="8">
        <v>7.82</v>
      </c>
      <c r="G364" s="90" t="s">
        <v>68</v>
      </c>
      <c r="H364" s="7" t="str">
        <f t="shared" si="42"/>
        <v>Variable</v>
      </c>
      <c r="I364" s="8">
        <f t="shared" ref="I364:I427" si="44">I363+F364</f>
        <v>596.85000000000059</v>
      </c>
      <c r="J364" s="90"/>
      <c r="K364" s="199" t="s">
        <v>693</v>
      </c>
    </row>
    <row r="365" spans="1:11" x14ac:dyDescent="0.2">
      <c r="A365" s="20">
        <f t="shared" si="43"/>
        <v>2021</v>
      </c>
      <c r="B365" s="6">
        <f t="shared" si="40"/>
        <v>6</v>
      </c>
      <c r="C365" s="84">
        <v>44365</v>
      </c>
      <c r="D365" s="84">
        <v>44365</v>
      </c>
      <c r="E365" s="99" t="s">
        <v>100</v>
      </c>
      <c r="F365" s="8">
        <v>86.25</v>
      </c>
      <c r="G365" s="116" t="s">
        <v>26</v>
      </c>
      <c r="H365" s="7" t="str">
        <f t="shared" si="42"/>
        <v>Fixed</v>
      </c>
      <c r="I365" s="8">
        <f t="shared" si="44"/>
        <v>683.10000000000059</v>
      </c>
      <c r="J365" s="116" t="s">
        <v>294</v>
      </c>
      <c r="K365" s="19" t="s">
        <v>788</v>
      </c>
    </row>
    <row r="366" spans="1:11" x14ac:dyDescent="0.2">
      <c r="A366" s="20">
        <f t="shared" si="43"/>
        <v>2021</v>
      </c>
      <c r="B366" s="6">
        <f t="shared" si="40"/>
        <v>6</v>
      </c>
      <c r="C366" s="84">
        <v>44366</v>
      </c>
      <c r="D366" s="84">
        <v>44366</v>
      </c>
      <c r="E366" s="96" t="s">
        <v>537</v>
      </c>
      <c r="F366" s="8">
        <v>11.05</v>
      </c>
      <c r="G366" s="90" t="s">
        <v>41</v>
      </c>
      <c r="H366" s="7" t="str">
        <f t="shared" si="42"/>
        <v>Variable</v>
      </c>
      <c r="I366" s="8">
        <f t="shared" si="44"/>
        <v>694.15000000000055</v>
      </c>
      <c r="J366" s="90"/>
      <c r="K366" s="19" t="s">
        <v>675</v>
      </c>
    </row>
    <row r="367" spans="1:11" x14ac:dyDescent="0.2">
      <c r="A367" s="20">
        <f t="shared" si="43"/>
        <v>2021</v>
      </c>
      <c r="B367" s="6">
        <f t="shared" si="40"/>
        <v>6</v>
      </c>
      <c r="C367" s="84">
        <v>44366</v>
      </c>
      <c r="D367" s="84">
        <v>44366</v>
      </c>
      <c r="E367" s="96" t="s">
        <v>538</v>
      </c>
      <c r="F367" s="8">
        <v>74.19</v>
      </c>
      <c r="G367" s="90" t="s">
        <v>68</v>
      </c>
      <c r="H367" s="7" t="str">
        <f t="shared" si="42"/>
        <v>Variable</v>
      </c>
      <c r="I367" s="8">
        <f t="shared" si="44"/>
        <v>768.3400000000006</v>
      </c>
      <c r="J367" s="90"/>
      <c r="K367" s="199" t="s">
        <v>693</v>
      </c>
    </row>
    <row r="368" spans="1:11" x14ac:dyDescent="0.2">
      <c r="A368" s="20">
        <f t="shared" si="43"/>
        <v>2021</v>
      </c>
      <c r="B368" s="6">
        <f t="shared" si="40"/>
        <v>6</v>
      </c>
      <c r="C368" s="84">
        <v>44367</v>
      </c>
      <c r="D368" s="84">
        <v>44367</v>
      </c>
      <c r="E368" s="96" t="s">
        <v>539</v>
      </c>
      <c r="F368" s="8">
        <v>17.53</v>
      </c>
      <c r="G368" s="90" t="s">
        <v>24</v>
      </c>
      <c r="H368" s="7" t="str">
        <f t="shared" si="42"/>
        <v>Variable</v>
      </c>
      <c r="I368" s="8">
        <f t="shared" si="44"/>
        <v>785.87000000000057</v>
      </c>
      <c r="J368" s="90"/>
      <c r="K368" s="23" t="s">
        <v>633</v>
      </c>
    </row>
    <row r="369" spans="1:11" x14ac:dyDescent="0.2">
      <c r="A369" s="20">
        <f t="shared" si="43"/>
        <v>2021</v>
      </c>
      <c r="B369" s="6">
        <f t="shared" si="40"/>
        <v>6</v>
      </c>
      <c r="C369" s="84">
        <v>44368</v>
      </c>
      <c r="D369" s="84">
        <v>44368</v>
      </c>
      <c r="E369" s="96" t="s">
        <v>540</v>
      </c>
      <c r="F369" s="8">
        <v>5.4</v>
      </c>
      <c r="G369" s="90" t="s">
        <v>68</v>
      </c>
      <c r="H369" s="7" t="str">
        <f t="shared" si="42"/>
        <v>Variable</v>
      </c>
      <c r="I369" s="8">
        <f t="shared" si="44"/>
        <v>791.27000000000055</v>
      </c>
      <c r="J369" s="90"/>
      <c r="K369" s="199" t="s">
        <v>693</v>
      </c>
    </row>
    <row r="370" spans="1:11" x14ac:dyDescent="0.2">
      <c r="A370" s="20">
        <f t="shared" si="43"/>
        <v>2021</v>
      </c>
      <c r="B370" s="6">
        <f t="shared" si="40"/>
        <v>6</v>
      </c>
      <c r="C370" s="84">
        <v>44368</v>
      </c>
      <c r="D370" s="84">
        <v>44368</v>
      </c>
      <c r="E370" s="96" t="s">
        <v>541</v>
      </c>
      <c r="F370" s="8">
        <v>27.87</v>
      </c>
      <c r="G370" s="90" t="s">
        <v>24</v>
      </c>
      <c r="H370" s="7" t="str">
        <f t="shared" si="42"/>
        <v>Variable</v>
      </c>
      <c r="I370" s="8">
        <f t="shared" si="44"/>
        <v>819.14000000000055</v>
      </c>
      <c r="J370" s="90"/>
      <c r="K370" s="23" t="s">
        <v>633</v>
      </c>
    </row>
    <row r="371" spans="1:11" x14ac:dyDescent="0.2">
      <c r="A371" s="20">
        <f t="shared" si="43"/>
        <v>2021</v>
      </c>
      <c r="B371" s="6">
        <f t="shared" si="40"/>
        <v>6</v>
      </c>
      <c r="C371" s="84">
        <v>44368</v>
      </c>
      <c r="D371" s="84">
        <v>44368</v>
      </c>
      <c r="E371" s="96" t="s">
        <v>542</v>
      </c>
      <c r="F371" s="8">
        <v>3.81</v>
      </c>
      <c r="G371" s="90" t="s">
        <v>41</v>
      </c>
      <c r="H371" s="7" t="str">
        <f t="shared" si="42"/>
        <v>Variable</v>
      </c>
      <c r="I371" s="8">
        <f t="shared" si="44"/>
        <v>822.9500000000005</v>
      </c>
      <c r="J371" s="90"/>
      <c r="K371" s="19" t="s">
        <v>675</v>
      </c>
    </row>
    <row r="372" spans="1:11" x14ac:dyDescent="0.2">
      <c r="A372" s="20">
        <f t="shared" si="43"/>
        <v>2021</v>
      </c>
      <c r="B372" s="6">
        <f t="shared" si="40"/>
        <v>6</v>
      </c>
      <c r="C372" s="84">
        <v>44368</v>
      </c>
      <c r="D372" s="84">
        <v>44368</v>
      </c>
      <c r="E372" s="96" t="s">
        <v>543</v>
      </c>
      <c r="F372" s="8">
        <v>75</v>
      </c>
      <c r="G372" s="90" t="s">
        <v>52</v>
      </c>
      <c r="H372" s="7" t="str">
        <f t="shared" si="42"/>
        <v>Variable</v>
      </c>
      <c r="I372" s="8">
        <f t="shared" si="44"/>
        <v>897.9500000000005</v>
      </c>
      <c r="J372" s="116" t="s">
        <v>602</v>
      </c>
      <c r="K372" s="199" t="s">
        <v>693</v>
      </c>
    </row>
    <row r="373" spans="1:11" x14ac:dyDescent="0.2">
      <c r="A373" s="20">
        <f t="shared" si="43"/>
        <v>2021</v>
      </c>
      <c r="B373" s="6">
        <f t="shared" si="40"/>
        <v>6</v>
      </c>
      <c r="C373" s="84">
        <v>44368</v>
      </c>
      <c r="D373" s="84">
        <v>44368</v>
      </c>
      <c r="E373" s="96" t="s">
        <v>81</v>
      </c>
      <c r="F373" s="8">
        <v>7.99</v>
      </c>
      <c r="G373" s="116" t="s">
        <v>26</v>
      </c>
      <c r="H373" s="7" t="str">
        <f t="shared" si="42"/>
        <v>Fixed</v>
      </c>
      <c r="I373" s="8">
        <f t="shared" si="44"/>
        <v>905.94000000000051</v>
      </c>
      <c r="J373" s="116" t="s">
        <v>9</v>
      </c>
      <c r="K373" s="19" t="s">
        <v>788</v>
      </c>
    </row>
    <row r="374" spans="1:11" x14ac:dyDescent="0.2">
      <c r="A374" s="20">
        <f t="shared" si="43"/>
        <v>2021</v>
      </c>
      <c r="B374" s="6">
        <f t="shared" si="40"/>
        <v>6</v>
      </c>
      <c r="C374" s="84">
        <v>44368</v>
      </c>
      <c r="D374" s="84">
        <v>44368</v>
      </c>
      <c r="E374" s="96" t="s">
        <v>98</v>
      </c>
      <c r="F374" s="8">
        <v>60.38</v>
      </c>
      <c r="G374" s="90" t="s">
        <v>68</v>
      </c>
      <c r="H374" s="7" t="str">
        <f t="shared" si="42"/>
        <v>Variable</v>
      </c>
      <c r="I374" s="8">
        <f t="shared" si="44"/>
        <v>966.3200000000005</v>
      </c>
      <c r="J374" s="90"/>
      <c r="K374" s="199" t="s">
        <v>693</v>
      </c>
    </row>
    <row r="375" spans="1:11" x14ac:dyDescent="0.2">
      <c r="A375" s="20">
        <f t="shared" si="43"/>
        <v>2021</v>
      </c>
      <c r="B375" s="6">
        <f t="shared" si="40"/>
        <v>6</v>
      </c>
      <c r="C375" s="84">
        <v>44368</v>
      </c>
      <c r="D375" s="84">
        <v>44368</v>
      </c>
      <c r="E375" s="96" t="s">
        <v>544</v>
      </c>
      <c r="F375" s="8">
        <v>200</v>
      </c>
      <c r="G375" s="90" t="s">
        <v>41</v>
      </c>
      <c r="H375" s="7" t="str">
        <f t="shared" si="42"/>
        <v>Variable</v>
      </c>
      <c r="I375" s="8">
        <f t="shared" si="44"/>
        <v>1166.3200000000006</v>
      </c>
      <c r="J375" s="116" t="s">
        <v>605</v>
      </c>
      <c r="K375" s="19" t="s">
        <v>675</v>
      </c>
    </row>
    <row r="376" spans="1:11" x14ac:dyDescent="0.2">
      <c r="A376" s="20">
        <f t="shared" si="43"/>
        <v>2021</v>
      </c>
      <c r="B376" s="6">
        <f t="shared" si="40"/>
        <v>6</v>
      </c>
      <c r="C376" s="84">
        <v>44369</v>
      </c>
      <c r="D376" s="84">
        <v>44369</v>
      </c>
      <c r="E376" s="96" t="s">
        <v>196</v>
      </c>
      <c r="F376" s="8">
        <v>35</v>
      </c>
      <c r="G376" s="90" t="s">
        <v>89</v>
      </c>
      <c r="H376" s="7" t="str">
        <f t="shared" si="42"/>
        <v>Variable</v>
      </c>
      <c r="I376" s="8">
        <f t="shared" si="44"/>
        <v>1201.3200000000006</v>
      </c>
      <c r="J376" s="90"/>
      <c r="K376" s="199" t="s">
        <v>633</v>
      </c>
    </row>
    <row r="377" spans="1:11" x14ac:dyDescent="0.2">
      <c r="A377" s="20">
        <f t="shared" si="43"/>
        <v>2021</v>
      </c>
      <c r="B377" s="6">
        <f t="shared" si="40"/>
        <v>6</v>
      </c>
      <c r="C377" s="84">
        <v>44369</v>
      </c>
      <c r="D377" s="84">
        <v>44369</v>
      </c>
      <c r="E377" s="96" t="s">
        <v>545</v>
      </c>
      <c r="F377" s="8">
        <v>199</v>
      </c>
      <c r="G377" s="90" t="s">
        <v>91</v>
      </c>
      <c r="H377" s="7" t="str">
        <f t="shared" si="42"/>
        <v>Variable</v>
      </c>
      <c r="I377" s="8">
        <f t="shared" si="44"/>
        <v>1400.3200000000006</v>
      </c>
      <c r="J377" s="90"/>
      <c r="K377" s="199" t="s">
        <v>693</v>
      </c>
    </row>
    <row r="378" spans="1:11" x14ac:dyDescent="0.2">
      <c r="A378" s="20">
        <f t="shared" si="43"/>
        <v>2021</v>
      </c>
      <c r="B378" s="6">
        <f t="shared" si="40"/>
        <v>6</v>
      </c>
      <c r="C378" s="84">
        <v>44370</v>
      </c>
      <c r="D378" s="84">
        <v>44370</v>
      </c>
      <c r="E378" s="96" t="s">
        <v>21</v>
      </c>
      <c r="F378" s="8">
        <v>-1869</v>
      </c>
      <c r="G378" s="90" t="s">
        <v>22</v>
      </c>
      <c r="H378" s="7" t="str">
        <f t="shared" si="42"/>
        <v>Payment</v>
      </c>
      <c r="I378" s="8">
        <f t="shared" si="44"/>
        <v>-468.67999999999938</v>
      </c>
      <c r="J378" s="90"/>
      <c r="K378" s="90"/>
    </row>
    <row r="379" spans="1:11" x14ac:dyDescent="0.2">
      <c r="A379" s="20">
        <f t="shared" si="43"/>
        <v>2021</v>
      </c>
      <c r="B379" s="6">
        <f t="shared" si="40"/>
        <v>6</v>
      </c>
      <c r="C379" s="84">
        <v>44370</v>
      </c>
      <c r="D379" s="84">
        <v>44370</v>
      </c>
      <c r="E379" s="96" t="s">
        <v>546</v>
      </c>
      <c r="F379" s="8">
        <v>22</v>
      </c>
      <c r="G379" s="90" t="s">
        <v>41</v>
      </c>
      <c r="H379" s="7" t="str">
        <f t="shared" si="42"/>
        <v>Variable</v>
      </c>
      <c r="I379" s="8">
        <f t="shared" si="44"/>
        <v>-446.67999999999938</v>
      </c>
      <c r="J379" s="116"/>
      <c r="K379" s="19" t="s">
        <v>675</v>
      </c>
    </row>
    <row r="380" spans="1:11" x14ac:dyDescent="0.2">
      <c r="A380" s="20">
        <f t="shared" si="43"/>
        <v>2021</v>
      </c>
      <c r="B380" s="6">
        <f t="shared" si="40"/>
        <v>6</v>
      </c>
      <c r="C380" s="84">
        <v>44371</v>
      </c>
      <c r="D380" s="84">
        <v>44371</v>
      </c>
      <c r="E380" s="96" t="s">
        <v>547</v>
      </c>
      <c r="F380" s="8">
        <v>36.520000000000003</v>
      </c>
      <c r="G380" s="90" t="s">
        <v>90</v>
      </c>
      <c r="H380" s="7" t="str">
        <f t="shared" si="42"/>
        <v>Variable</v>
      </c>
      <c r="I380" s="8">
        <f t="shared" si="44"/>
        <v>-410.1599999999994</v>
      </c>
      <c r="J380" s="90"/>
      <c r="K380" s="19" t="s">
        <v>675</v>
      </c>
    </row>
    <row r="381" spans="1:11" x14ac:dyDescent="0.2">
      <c r="A381" s="20">
        <f t="shared" si="43"/>
        <v>2021</v>
      </c>
      <c r="B381" s="6">
        <f t="shared" si="40"/>
        <v>6</v>
      </c>
      <c r="C381" s="84">
        <v>44371</v>
      </c>
      <c r="D381" s="84">
        <v>44371</v>
      </c>
      <c r="E381" s="96" t="s">
        <v>548</v>
      </c>
      <c r="F381" s="8">
        <v>88.85</v>
      </c>
      <c r="G381" s="90" t="s">
        <v>52</v>
      </c>
      <c r="H381" s="7" t="str">
        <f t="shared" si="42"/>
        <v>Variable</v>
      </c>
      <c r="I381" s="8">
        <f t="shared" si="44"/>
        <v>-321.30999999999938</v>
      </c>
      <c r="J381" s="116" t="s">
        <v>603</v>
      </c>
      <c r="K381" s="199" t="s">
        <v>693</v>
      </c>
    </row>
    <row r="382" spans="1:11" x14ac:dyDescent="0.2">
      <c r="A382" s="20">
        <f t="shared" si="43"/>
        <v>2021</v>
      </c>
      <c r="B382" s="6">
        <f t="shared" si="40"/>
        <v>6</v>
      </c>
      <c r="C382" s="84">
        <v>44372</v>
      </c>
      <c r="D382" s="84">
        <v>44372</v>
      </c>
      <c r="E382" s="96" t="s">
        <v>549</v>
      </c>
      <c r="F382" s="8">
        <v>55.11</v>
      </c>
      <c r="G382" s="90" t="s">
        <v>68</v>
      </c>
      <c r="H382" s="7" t="str">
        <f t="shared" si="42"/>
        <v>Variable</v>
      </c>
      <c r="I382" s="8">
        <f t="shared" si="44"/>
        <v>-266.19999999999936</v>
      </c>
      <c r="J382" s="90"/>
      <c r="K382" s="199" t="s">
        <v>675</v>
      </c>
    </row>
    <row r="383" spans="1:11" x14ac:dyDescent="0.2">
      <c r="A383" s="20">
        <f t="shared" si="43"/>
        <v>2021</v>
      </c>
      <c r="B383" s="6">
        <f t="shared" si="40"/>
        <v>6</v>
      </c>
      <c r="C383" s="84">
        <v>44372</v>
      </c>
      <c r="D383" s="84">
        <v>44372</v>
      </c>
      <c r="E383" s="96" t="s">
        <v>550</v>
      </c>
      <c r="F383" s="8">
        <v>8.6300000000000008</v>
      </c>
      <c r="G383" s="90" t="s">
        <v>41</v>
      </c>
      <c r="H383" s="7" t="str">
        <f t="shared" si="42"/>
        <v>Variable</v>
      </c>
      <c r="I383" s="8">
        <f t="shared" si="44"/>
        <v>-257.56999999999937</v>
      </c>
      <c r="J383" s="90"/>
      <c r="K383" s="19" t="s">
        <v>675</v>
      </c>
    </row>
    <row r="384" spans="1:11" x14ac:dyDescent="0.2">
      <c r="A384" s="20">
        <f t="shared" si="43"/>
        <v>2021</v>
      </c>
      <c r="B384" s="6">
        <f t="shared" si="40"/>
        <v>6</v>
      </c>
      <c r="C384" s="84">
        <v>44372</v>
      </c>
      <c r="D384" s="84">
        <v>44372</v>
      </c>
      <c r="E384" s="96" t="s">
        <v>140</v>
      </c>
      <c r="F384" s="8">
        <v>268.14999999999998</v>
      </c>
      <c r="G384" s="90" t="s">
        <v>68</v>
      </c>
      <c r="H384" s="7" t="str">
        <f t="shared" si="42"/>
        <v>Variable</v>
      </c>
      <c r="I384" s="8">
        <f t="shared" si="44"/>
        <v>10.580000000000609</v>
      </c>
      <c r="J384" s="90"/>
      <c r="K384" s="199" t="s">
        <v>693</v>
      </c>
    </row>
    <row r="385" spans="1:11" x14ac:dyDescent="0.2">
      <c r="A385" s="20">
        <f t="shared" si="43"/>
        <v>2021</v>
      </c>
      <c r="B385" s="6">
        <f t="shared" si="40"/>
        <v>6</v>
      </c>
      <c r="C385" s="84">
        <v>44373</v>
      </c>
      <c r="D385" s="84">
        <v>44373</v>
      </c>
      <c r="E385" s="96" t="s">
        <v>551</v>
      </c>
      <c r="F385" s="8">
        <v>9.07</v>
      </c>
      <c r="G385" s="90" t="s">
        <v>41</v>
      </c>
      <c r="H385" s="7" t="str">
        <f t="shared" si="42"/>
        <v>Variable</v>
      </c>
      <c r="I385" s="8">
        <f t="shared" si="44"/>
        <v>19.65000000000061</v>
      </c>
      <c r="J385" s="116" t="s">
        <v>604</v>
      </c>
      <c r="K385" s="19" t="s">
        <v>682</v>
      </c>
    </row>
    <row r="386" spans="1:11" x14ac:dyDescent="0.2">
      <c r="A386" s="20">
        <f t="shared" si="43"/>
        <v>2021</v>
      </c>
      <c r="B386" s="6">
        <f t="shared" si="40"/>
        <v>6</v>
      </c>
      <c r="C386" s="84">
        <v>44373</v>
      </c>
      <c r="D386" s="84">
        <v>44373</v>
      </c>
      <c r="E386" s="96" t="s">
        <v>552</v>
      </c>
      <c r="F386" s="8">
        <v>2.75</v>
      </c>
      <c r="G386" s="90" t="s">
        <v>89</v>
      </c>
      <c r="H386" s="7" t="str">
        <f t="shared" si="42"/>
        <v>Variable</v>
      </c>
      <c r="I386" s="8">
        <f t="shared" si="44"/>
        <v>22.40000000000061</v>
      </c>
      <c r="J386" s="116" t="s">
        <v>604</v>
      </c>
      <c r="K386" s="19" t="s">
        <v>682</v>
      </c>
    </row>
    <row r="387" spans="1:11" x14ac:dyDescent="0.2">
      <c r="A387" s="20">
        <f t="shared" si="43"/>
        <v>2021</v>
      </c>
      <c r="B387" s="6">
        <f t="shared" ref="B387:B446" si="45">MONTH(C387)</f>
        <v>6</v>
      </c>
      <c r="C387" s="84">
        <v>44373</v>
      </c>
      <c r="D387" s="84">
        <v>44373</v>
      </c>
      <c r="E387" s="96" t="s">
        <v>553</v>
      </c>
      <c r="F387" s="8">
        <v>2.75</v>
      </c>
      <c r="G387" s="90" t="s">
        <v>89</v>
      </c>
      <c r="H387" s="7" t="str">
        <f t="shared" si="42"/>
        <v>Variable</v>
      </c>
      <c r="I387" s="8">
        <f t="shared" si="44"/>
        <v>25.15000000000061</v>
      </c>
      <c r="J387" s="116" t="s">
        <v>604</v>
      </c>
      <c r="K387" s="19" t="s">
        <v>682</v>
      </c>
    </row>
    <row r="388" spans="1:11" x14ac:dyDescent="0.2">
      <c r="A388" s="20">
        <f t="shared" si="43"/>
        <v>2021</v>
      </c>
      <c r="B388" s="6">
        <f t="shared" si="45"/>
        <v>6</v>
      </c>
      <c r="C388" s="84">
        <v>44373</v>
      </c>
      <c r="D388" s="84">
        <v>44374</v>
      </c>
      <c r="E388" s="96" t="s">
        <v>554</v>
      </c>
      <c r="F388" s="8">
        <v>-5.4</v>
      </c>
      <c r="G388" s="90" t="s">
        <v>22</v>
      </c>
      <c r="H388" s="7" t="str">
        <f t="shared" si="42"/>
        <v>Payment</v>
      </c>
      <c r="I388" s="8">
        <f t="shared" si="44"/>
        <v>19.750000000000611</v>
      </c>
      <c r="J388" s="90"/>
      <c r="K388" s="90"/>
    </row>
    <row r="389" spans="1:11" x14ac:dyDescent="0.2">
      <c r="A389" s="20">
        <f t="shared" si="43"/>
        <v>2021</v>
      </c>
      <c r="B389" s="6">
        <f t="shared" si="45"/>
        <v>6</v>
      </c>
      <c r="C389" s="84">
        <v>44374</v>
      </c>
      <c r="D389" s="84">
        <v>44374</v>
      </c>
      <c r="E389" s="96" t="s">
        <v>340</v>
      </c>
      <c r="F389" s="8">
        <v>10</v>
      </c>
      <c r="G389" s="90" t="s">
        <v>68</v>
      </c>
      <c r="H389" s="7" t="str">
        <f t="shared" si="42"/>
        <v>Variable</v>
      </c>
      <c r="I389" s="8">
        <f t="shared" si="44"/>
        <v>29.750000000000611</v>
      </c>
      <c r="J389" s="185" t="s">
        <v>724</v>
      </c>
      <c r="K389" s="199" t="s">
        <v>693</v>
      </c>
    </row>
    <row r="390" spans="1:11" x14ac:dyDescent="0.2">
      <c r="A390" s="20">
        <f t="shared" si="43"/>
        <v>2021</v>
      </c>
      <c r="B390" s="6">
        <f t="shared" si="45"/>
        <v>6</v>
      </c>
      <c r="C390" s="84">
        <v>44374</v>
      </c>
      <c r="D390" s="84">
        <v>44374</v>
      </c>
      <c r="E390" s="96" t="s">
        <v>555</v>
      </c>
      <c r="F390" s="8">
        <v>3.99</v>
      </c>
      <c r="G390" s="90" t="s">
        <v>90</v>
      </c>
      <c r="H390" s="7" t="str">
        <f t="shared" si="42"/>
        <v>Variable</v>
      </c>
      <c r="I390" s="8">
        <f t="shared" si="44"/>
        <v>33.740000000000613</v>
      </c>
      <c r="J390" s="116" t="s">
        <v>604</v>
      </c>
      <c r="K390" s="19" t="s">
        <v>682</v>
      </c>
    </row>
    <row r="391" spans="1:11" x14ac:dyDescent="0.2">
      <c r="A391" s="20">
        <f t="shared" si="43"/>
        <v>2021</v>
      </c>
      <c r="B391" s="6">
        <f t="shared" si="45"/>
        <v>6</v>
      </c>
      <c r="C391" s="84">
        <v>44374</v>
      </c>
      <c r="D391" s="84">
        <v>44374</v>
      </c>
      <c r="E391" s="96" t="s">
        <v>556</v>
      </c>
      <c r="F391" s="8">
        <v>2.75</v>
      </c>
      <c r="G391" s="90" t="s">
        <v>89</v>
      </c>
      <c r="H391" s="7" t="str">
        <f t="shared" si="42"/>
        <v>Variable</v>
      </c>
      <c r="I391" s="8">
        <f t="shared" si="44"/>
        <v>36.490000000000613</v>
      </c>
      <c r="J391" s="116" t="s">
        <v>604</v>
      </c>
      <c r="K391" s="19" t="s">
        <v>682</v>
      </c>
    </row>
    <row r="392" spans="1:11" x14ac:dyDescent="0.2">
      <c r="A392" s="20">
        <f t="shared" si="43"/>
        <v>2021</v>
      </c>
      <c r="B392" s="6">
        <f t="shared" si="45"/>
        <v>6</v>
      </c>
      <c r="C392" s="84">
        <v>44374</v>
      </c>
      <c r="D392" s="84">
        <v>44374</v>
      </c>
      <c r="E392" s="96" t="s">
        <v>557</v>
      </c>
      <c r="F392" s="8">
        <v>2.75</v>
      </c>
      <c r="G392" s="90" t="s">
        <v>89</v>
      </c>
      <c r="H392" s="7" t="str">
        <f t="shared" si="42"/>
        <v>Variable</v>
      </c>
      <c r="I392" s="8">
        <f t="shared" si="44"/>
        <v>39.240000000000613</v>
      </c>
      <c r="J392" s="116" t="s">
        <v>604</v>
      </c>
      <c r="K392" s="19" t="s">
        <v>682</v>
      </c>
    </row>
    <row r="393" spans="1:11" x14ac:dyDescent="0.2">
      <c r="A393" s="20">
        <f t="shared" si="43"/>
        <v>2021</v>
      </c>
      <c r="B393" s="6">
        <f t="shared" si="45"/>
        <v>6</v>
      </c>
      <c r="C393" s="84">
        <v>44374</v>
      </c>
      <c r="D393" s="84">
        <v>44374</v>
      </c>
      <c r="E393" s="96" t="s">
        <v>112</v>
      </c>
      <c r="F393" s="8">
        <v>9.99</v>
      </c>
      <c r="G393" s="116" t="s">
        <v>26</v>
      </c>
      <c r="H393" s="7" t="str">
        <f t="shared" si="42"/>
        <v>Fixed</v>
      </c>
      <c r="I393" s="8">
        <f t="shared" si="44"/>
        <v>49.230000000000615</v>
      </c>
      <c r="J393" s="116" t="s">
        <v>295</v>
      </c>
      <c r="K393" s="19" t="s">
        <v>788</v>
      </c>
    </row>
    <row r="394" spans="1:11" x14ac:dyDescent="0.2">
      <c r="A394" s="20">
        <f t="shared" si="43"/>
        <v>2021</v>
      </c>
      <c r="B394" s="6">
        <f t="shared" si="45"/>
        <v>6</v>
      </c>
      <c r="C394" s="84">
        <v>44374</v>
      </c>
      <c r="D394" s="84">
        <v>44374</v>
      </c>
      <c r="E394" s="96" t="s">
        <v>558</v>
      </c>
      <c r="F394" s="8">
        <v>10.25</v>
      </c>
      <c r="G394" s="90" t="s">
        <v>90</v>
      </c>
      <c r="H394" s="7" t="str">
        <f t="shared" si="42"/>
        <v>Variable</v>
      </c>
      <c r="I394" s="8">
        <f t="shared" si="44"/>
        <v>59.480000000000615</v>
      </c>
      <c r="J394" s="116" t="s">
        <v>604</v>
      </c>
      <c r="K394" s="19" t="s">
        <v>682</v>
      </c>
    </row>
    <row r="395" spans="1:11" x14ac:dyDescent="0.2">
      <c r="A395" s="20">
        <f t="shared" si="43"/>
        <v>2021</v>
      </c>
      <c r="B395" s="6">
        <f t="shared" si="45"/>
        <v>6</v>
      </c>
      <c r="C395" s="84">
        <v>44375</v>
      </c>
      <c r="D395" s="84">
        <v>44375</v>
      </c>
      <c r="E395" s="96" t="s">
        <v>559</v>
      </c>
      <c r="F395" s="8">
        <v>21.77</v>
      </c>
      <c r="G395" s="90" t="s">
        <v>195</v>
      </c>
      <c r="H395" s="7" t="str">
        <f t="shared" si="42"/>
        <v>Variable</v>
      </c>
      <c r="I395" s="8">
        <f t="shared" si="44"/>
        <v>81.250000000000611</v>
      </c>
      <c r="J395" s="116" t="s">
        <v>604</v>
      </c>
      <c r="K395" s="19" t="s">
        <v>682</v>
      </c>
    </row>
    <row r="396" spans="1:11" x14ac:dyDescent="0.2">
      <c r="A396" s="20">
        <f t="shared" si="43"/>
        <v>2021</v>
      </c>
      <c r="B396" s="6">
        <f t="shared" si="45"/>
        <v>6</v>
      </c>
      <c r="C396" s="84">
        <v>44375</v>
      </c>
      <c r="D396" s="84">
        <v>44375</v>
      </c>
      <c r="E396" s="96" t="s">
        <v>560</v>
      </c>
      <c r="F396" s="8">
        <v>5.38</v>
      </c>
      <c r="G396" s="90" t="s">
        <v>89</v>
      </c>
      <c r="H396" s="7" t="str">
        <f t="shared" si="42"/>
        <v>Variable</v>
      </c>
      <c r="I396" s="8">
        <f t="shared" si="44"/>
        <v>86.630000000000607</v>
      </c>
      <c r="J396" s="116" t="s">
        <v>604</v>
      </c>
      <c r="K396" s="19" t="s">
        <v>682</v>
      </c>
    </row>
    <row r="397" spans="1:11" x14ac:dyDescent="0.2">
      <c r="A397" s="20">
        <f t="shared" si="43"/>
        <v>2021</v>
      </c>
      <c r="B397" s="6">
        <f t="shared" si="45"/>
        <v>6</v>
      </c>
      <c r="C397" s="84">
        <v>44375</v>
      </c>
      <c r="D397" s="84">
        <v>44375</v>
      </c>
      <c r="E397" s="96" t="s">
        <v>561</v>
      </c>
      <c r="F397" s="8">
        <v>2.75</v>
      </c>
      <c r="G397" s="90" t="s">
        <v>89</v>
      </c>
      <c r="H397" s="7" t="str">
        <f t="shared" si="42"/>
        <v>Variable</v>
      </c>
      <c r="I397" s="8">
        <f t="shared" si="44"/>
        <v>89.380000000000607</v>
      </c>
      <c r="J397" s="116" t="s">
        <v>604</v>
      </c>
      <c r="K397" s="19" t="s">
        <v>682</v>
      </c>
    </row>
    <row r="398" spans="1:11" x14ac:dyDescent="0.2">
      <c r="A398" s="20">
        <f t="shared" si="43"/>
        <v>2021</v>
      </c>
      <c r="B398" s="6">
        <f t="shared" si="45"/>
        <v>6</v>
      </c>
      <c r="C398" s="84">
        <v>44375</v>
      </c>
      <c r="D398" s="84">
        <v>44375</v>
      </c>
      <c r="E398" s="96" t="s">
        <v>562</v>
      </c>
      <c r="F398" s="8">
        <v>52.02</v>
      </c>
      <c r="G398" s="90" t="s">
        <v>41</v>
      </c>
      <c r="H398" s="7" t="str">
        <f t="shared" si="42"/>
        <v>Variable</v>
      </c>
      <c r="I398" s="8">
        <f t="shared" si="44"/>
        <v>141.4000000000006</v>
      </c>
      <c r="J398" s="116" t="s">
        <v>604</v>
      </c>
      <c r="K398" s="19" t="s">
        <v>682</v>
      </c>
    </row>
    <row r="399" spans="1:11" x14ac:dyDescent="0.2">
      <c r="A399" s="20">
        <f t="shared" si="43"/>
        <v>2021</v>
      </c>
      <c r="B399" s="6">
        <f t="shared" si="45"/>
        <v>6</v>
      </c>
      <c r="C399" s="84">
        <v>44375</v>
      </c>
      <c r="D399" s="84">
        <v>44376</v>
      </c>
      <c r="E399" s="96" t="s">
        <v>563</v>
      </c>
      <c r="F399" s="8">
        <v>-55.11</v>
      </c>
      <c r="G399" s="116" t="s">
        <v>22</v>
      </c>
      <c r="H399" s="7" t="str">
        <f t="shared" si="42"/>
        <v>Payment</v>
      </c>
      <c r="I399" s="8">
        <f t="shared" si="44"/>
        <v>86.290000000000603</v>
      </c>
      <c r="J399" s="90"/>
      <c r="K399" s="116"/>
    </row>
    <row r="400" spans="1:11" x14ac:dyDescent="0.2">
      <c r="A400" s="20">
        <f t="shared" si="43"/>
        <v>2021</v>
      </c>
      <c r="B400" s="6">
        <f t="shared" si="45"/>
        <v>6</v>
      </c>
      <c r="C400" s="84">
        <v>44376</v>
      </c>
      <c r="D400" s="84">
        <v>44376</v>
      </c>
      <c r="E400" s="96" t="s">
        <v>564</v>
      </c>
      <c r="F400" s="8">
        <v>2.75</v>
      </c>
      <c r="G400" s="90" t="s">
        <v>89</v>
      </c>
      <c r="H400" s="7" t="str">
        <f t="shared" si="42"/>
        <v>Variable</v>
      </c>
      <c r="I400" s="8">
        <f t="shared" si="44"/>
        <v>89.040000000000603</v>
      </c>
      <c r="J400" s="116" t="s">
        <v>604</v>
      </c>
      <c r="K400" s="19" t="s">
        <v>682</v>
      </c>
    </row>
    <row r="401" spans="1:11" x14ac:dyDescent="0.2">
      <c r="A401" s="20">
        <f t="shared" si="43"/>
        <v>2021</v>
      </c>
      <c r="B401" s="6">
        <f t="shared" si="45"/>
        <v>6</v>
      </c>
      <c r="C401" s="84">
        <v>44376</v>
      </c>
      <c r="D401" s="84">
        <v>44376</v>
      </c>
      <c r="E401" s="96" t="s">
        <v>565</v>
      </c>
      <c r="F401" s="8">
        <v>2.75</v>
      </c>
      <c r="G401" s="90" t="s">
        <v>89</v>
      </c>
      <c r="H401" s="7" t="str">
        <f t="shared" si="42"/>
        <v>Variable</v>
      </c>
      <c r="I401" s="8">
        <f t="shared" si="44"/>
        <v>91.790000000000603</v>
      </c>
      <c r="J401" s="116" t="s">
        <v>604</v>
      </c>
      <c r="K401" s="19" t="s">
        <v>682</v>
      </c>
    </row>
    <row r="402" spans="1:11" x14ac:dyDescent="0.2">
      <c r="A402" s="20">
        <f t="shared" si="43"/>
        <v>2021</v>
      </c>
      <c r="B402" s="6">
        <f t="shared" si="45"/>
        <v>6</v>
      </c>
      <c r="C402" s="84">
        <v>44376</v>
      </c>
      <c r="D402" s="84">
        <v>44376</v>
      </c>
      <c r="E402" s="96" t="s">
        <v>566</v>
      </c>
      <c r="F402" s="8">
        <v>43.54</v>
      </c>
      <c r="G402" s="90" t="s">
        <v>90</v>
      </c>
      <c r="H402" s="7" t="str">
        <f t="shared" si="42"/>
        <v>Variable</v>
      </c>
      <c r="I402" s="8">
        <f t="shared" si="44"/>
        <v>135.33000000000061</v>
      </c>
      <c r="J402" s="116" t="s">
        <v>604</v>
      </c>
      <c r="K402" s="19" t="s">
        <v>682</v>
      </c>
    </row>
    <row r="403" spans="1:11" x14ac:dyDescent="0.2">
      <c r="A403" s="20">
        <f t="shared" si="43"/>
        <v>2021</v>
      </c>
      <c r="B403" s="6">
        <f t="shared" si="45"/>
        <v>6</v>
      </c>
      <c r="C403" s="84">
        <v>44377</v>
      </c>
      <c r="D403" s="84">
        <v>44377</v>
      </c>
      <c r="E403" s="96" t="s">
        <v>567</v>
      </c>
      <c r="F403" s="8">
        <v>6.34</v>
      </c>
      <c r="G403" s="90" t="s">
        <v>90</v>
      </c>
      <c r="H403" s="7" t="str">
        <f t="shared" si="42"/>
        <v>Variable</v>
      </c>
      <c r="I403" s="8">
        <f t="shared" si="44"/>
        <v>141.67000000000061</v>
      </c>
      <c r="J403" s="116" t="s">
        <v>604</v>
      </c>
      <c r="K403" s="19" t="s">
        <v>682</v>
      </c>
    </row>
    <row r="404" spans="1:11" x14ac:dyDescent="0.2">
      <c r="A404" s="20">
        <f t="shared" si="43"/>
        <v>2021</v>
      </c>
      <c r="B404" s="6">
        <f t="shared" si="45"/>
        <v>6</v>
      </c>
      <c r="C404" s="84">
        <v>44377</v>
      </c>
      <c r="D404" s="84">
        <v>44377</v>
      </c>
      <c r="E404" s="96" t="s">
        <v>568</v>
      </c>
      <c r="F404" s="8">
        <v>43.63</v>
      </c>
      <c r="G404" s="90" t="s">
        <v>68</v>
      </c>
      <c r="H404" s="7" t="str">
        <f t="shared" si="42"/>
        <v>Variable</v>
      </c>
      <c r="I404" s="8">
        <f t="shared" si="44"/>
        <v>185.30000000000061</v>
      </c>
      <c r="J404" s="116" t="s">
        <v>604</v>
      </c>
      <c r="K404" s="19" t="s">
        <v>682</v>
      </c>
    </row>
    <row r="405" spans="1:11" x14ac:dyDescent="0.2">
      <c r="A405" s="20">
        <f t="shared" si="43"/>
        <v>2021</v>
      </c>
      <c r="B405" s="6">
        <f t="shared" si="45"/>
        <v>7</v>
      </c>
      <c r="C405" s="115">
        <v>44378</v>
      </c>
      <c r="D405" s="115">
        <v>44378</v>
      </c>
      <c r="E405" s="96" t="s">
        <v>21</v>
      </c>
      <c r="F405" s="8">
        <v>-871.96</v>
      </c>
      <c r="G405" s="90" t="s">
        <v>22</v>
      </c>
      <c r="H405" s="7" t="str">
        <f t="shared" si="42"/>
        <v>Payment</v>
      </c>
      <c r="I405" s="8">
        <f t="shared" si="44"/>
        <v>-686.6599999999994</v>
      </c>
      <c r="J405" s="90"/>
      <c r="K405" s="90"/>
    </row>
    <row r="406" spans="1:11" x14ac:dyDescent="0.2">
      <c r="A406" s="20">
        <f t="shared" si="43"/>
        <v>2021</v>
      </c>
      <c r="B406" s="6">
        <f t="shared" si="45"/>
        <v>7</v>
      </c>
      <c r="C406" s="115">
        <v>44378</v>
      </c>
      <c r="D406" s="115">
        <v>44378</v>
      </c>
      <c r="E406" s="96" t="s">
        <v>569</v>
      </c>
      <c r="F406" s="8">
        <v>14.83</v>
      </c>
      <c r="G406" s="116" t="s">
        <v>26</v>
      </c>
      <c r="H406" s="7" t="str">
        <f t="shared" si="42"/>
        <v>Fixed</v>
      </c>
      <c r="I406" s="8">
        <f t="shared" si="44"/>
        <v>-671.82999999999936</v>
      </c>
      <c r="J406" s="116" t="s">
        <v>7</v>
      </c>
      <c r="K406" s="19" t="s">
        <v>788</v>
      </c>
    </row>
    <row r="407" spans="1:11" x14ac:dyDescent="0.2">
      <c r="A407" s="20">
        <f t="shared" si="43"/>
        <v>2021</v>
      </c>
      <c r="B407" s="6">
        <f t="shared" si="45"/>
        <v>7</v>
      </c>
      <c r="C407" s="115">
        <v>44378</v>
      </c>
      <c r="D407" s="115">
        <v>44378</v>
      </c>
      <c r="E407" s="96" t="s">
        <v>570</v>
      </c>
      <c r="F407" s="8">
        <v>1380.63</v>
      </c>
      <c r="G407" s="116" t="s">
        <v>52</v>
      </c>
      <c r="H407" s="7" t="str">
        <f t="shared" si="42"/>
        <v>Variable</v>
      </c>
      <c r="I407" s="8">
        <f t="shared" si="44"/>
        <v>708.80000000000075</v>
      </c>
      <c r="J407" s="116" t="s">
        <v>601</v>
      </c>
      <c r="K407" s="199" t="s">
        <v>673</v>
      </c>
    </row>
    <row r="408" spans="1:11" x14ac:dyDescent="0.2">
      <c r="A408" s="20">
        <f t="shared" si="43"/>
        <v>2021</v>
      </c>
      <c r="B408" s="6">
        <f t="shared" si="45"/>
        <v>7</v>
      </c>
      <c r="C408" s="115">
        <v>44378</v>
      </c>
      <c r="D408" s="115">
        <v>44378</v>
      </c>
      <c r="E408" s="96" t="s">
        <v>571</v>
      </c>
      <c r="F408" s="8">
        <v>9.99</v>
      </c>
      <c r="G408" s="116" t="s">
        <v>26</v>
      </c>
      <c r="H408" s="7" t="str">
        <f t="shared" si="42"/>
        <v>Fixed</v>
      </c>
      <c r="I408" s="8">
        <f t="shared" si="44"/>
        <v>718.79000000000076</v>
      </c>
      <c r="J408" s="116" t="s">
        <v>6</v>
      </c>
      <c r="K408" s="19" t="s">
        <v>788</v>
      </c>
    </row>
    <row r="409" spans="1:11" x14ac:dyDescent="0.2">
      <c r="A409" s="20">
        <f t="shared" si="43"/>
        <v>2021</v>
      </c>
      <c r="B409" s="6">
        <f t="shared" si="45"/>
        <v>7</v>
      </c>
      <c r="C409" s="115">
        <v>44378</v>
      </c>
      <c r="D409" s="115">
        <v>44378</v>
      </c>
      <c r="E409" s="96" t="s">
        <v>572</v>
      </c>
      <c r="F409" s="8">
        <v>220</v>
      </c>
      <c r="G409" s="116" t="s">
        <v>41</v>
      </c>
      <c r="H409" s="7" t="str">
        <f t="shared" si="42"/>
        <v>Variable</v>
      </c>
      <c r="I409" s="8">
        <f t="shared" si="44"/>
        <v>938.79000000000076</v>
      </c>
      <c r="J409" s="116" t="s">
        <v>604</v>
      </c>
      <c r="K409" s="19" t="s">
        <v>682</v>
      </c>
    </row>
    <row r="410" spans="1:11" x14ac:dyDescent="0.2">
      <c r="A410" s="20">
        <f t="shared" si="43"/>
        <v>2021</v>
      </c>
      <c r="B410" s="6">
        <f t="shared" si="45"/>
        <v>7</v>
      </c>
      <c r="C410" s="115">
        <v>44378</v>
      </c>
      <c r="D410" s="115">
        <v>44378</v>
      </c>
      <c r="E410" s="96" t="s">
        <v>573</v>
      </c>
      <c r="F410" s="8">
        <v>129.80000000000001</v>
      </c>
      <c r="G410" s="90" t="s">
        <v>68</v>
      </c>
      <c r="H410" s="7" t="str">
        <f t="shared" si="42"/>
        <v>Variable</v>
      </c>
      <c r="I410" s="8">
        <f t="shared" si="44"/>
        <v>1068.5900000000008</v>
      </c>
      <c r="J410" s="116" t="s">
        <v>604</v>
      </c>
      <c r="K410" s="19" t="s">
        <v>682</v>
      </c>
    </row>
    <row r="411" spans="1:11" x14ac:dyDescent="0.2">
      <c r="A411" s="20">
        <f t="shared" si="43"/>
        <v>2021</v>
      </c>
      <c r="B411" s="6">
        <f t="shared" si="45"/>
        <v>7</v>
      </c>
      <c r="C411" s="115">
        <v>44379</v>
      </c>
      <c r="D411" s="115">
        <v>44380</v>
      </c>
      <c r="E411" s="96" t="s">
        <v>574</v>
      </c>
      <c r="F411" s="8">
        <v>71.78</v>
      </c>
      <c r="G411" s="90" t="s">
        <v>41</v>
      </c>
      <c r="H411" s="7" t="str">
        <f t="shared" ref="H411:H446" si="46">VLOOKUP(G411,Expense_Lookup,2,0)</f>
        <v>Variable</v>
      </c>
      <c r="I411" s="8">
        <f t="shared" si="44"/>
        <v>1140.3700000000008</v>
      </c>
      <c r="J411" s="116" t="s">
        <v>604</v>
      </c>
      <c r="K411" s="19" t="s">
        <v>682</v>
      </c>
    </row>
    <row r="412" spans="1:11" x14ac:dyDescent="0.2">
      <c r="A412" s="20">
        <f t="shared" si="43"/>
        <v>2021</v>
      </c>
      <c r="B412" s="6">
        <f t="shared" si="45"/>
        <v>7</v>
      </c>
      <c r="C412" s="115">
        <v>44379</v>
      </c>
      <c r="D412" s="115">
        <v>44380</v>
      </c>
      <c r="E412" s="96" t="s">
        <v>575</v>
      </c>
      <c r="F412" s="8">
        <v>13.88</v>
      </c>
      <c r="G412" s="90" t="s">
        <v>41</v>
      </c>
      <c r="H412" s="7" t="str">
        <f t="shared" si="46"/>
        <v>Variable</v>
      </c>
      <c r="I412" s="8">
        <f t="shared" si="44"/>
        <v>1154.2500000000009</v>
      </c>
      <c r="J412" s="116" t="s">
        <v>604</v>
      </c>
      <c r="K412" s="19" t="s">
        <v>682</v>
      </c>
    </row>
    <row r="413" spans="1:11" x14ac:dyDescent="0.2">
      <c r="A413" s="20">
        <f t="shared" si="43"/>
        <v>2021</v>
      </c>
      <c r="B413" s="6">
        <f t="shared" si="45"/>
        <v>7</v>
      </c>
      <c r="C413" s="115">
        <v>44379</v>
      </c>
      <c r="D413" s="115">
        <v>44380</v>
      </c>
      <c r="E413" s="96" t="s">
        <v>576</v>
      </c>
      <c r="F413" s="8">
        <v>6.24</v>
      </c>
      <c r="G413" s="90" t="s">
        <v>90</v>
      </c>
      <c r="H413" s="7" t="str">
        <f t="shared" si="46"/>
        <v>Variable</v>
      </c>
      <c r="I413" s="8">
        <f t="shared" si="44"/>
        <v>1160.4900000000009</v>
      </c>
      <c r="J413" s="116" t="s">
        <v>604</v>
      </c>
      <c r="K413" s="19" t="s">
        <v>682</v>
      </c>
    </row>
    <row r="414" spans="1:11" x14ac:dyDescent="0.2">
      <c r="A414" s="20">
        <f t="shared" si="43"/>
        <v>2021</v>
      </c>
      <c r="B414" s="6">
        <f t="shared" si="45"/>
        <v>7</v>
      </c>
      <c r="C414" s="115">
        <v>44379</v>
      </c>
      <c r="D414" s="115">
        <v>44380</v>
      </c>
      <c r="E414" s="96" t="s">
        <v>577</v>
      </c>
      <c r="F414" s="8">
        <v>10</v>
      </c>
      <c r="G414" s="116" t="s">
        <v>26</v>
      </c>
      <c r="H414" s="7" t="str">
        <f t="shared" si="46"/>
        <v>Fixed</v>
      </c>
      <c r="I414" s="8">
        <f t="shared" si="44"/>
        <v>1170.4900000000009</v>
      </c>
      <c r="J414" s="116" t="s">
        <v>299</v>
      </c>
      <c r="K414" s="19" t="s">
        <v>788</v>
      </c>
    </row>
    <row r="415" spans="1:11" x14ac:dyDescent="0.2">
      <c r="A415" s="20">
        <f t="shared" si="43"/>
        <v>2021</v>
      </c>
      <c r="B415" s="6">
        <f t="shared" si="45"/>
        <v>7</v>
      </c>
      <c r="C415" s="115">
        <v>44379</v>
      </c>
      <c r="D415" s="115">
        <v>44380</v>
      </c>
      <c r="E415" s="96" t="s">
        <v>578</v>
      </c>
      <c r="F415" s="8">
        <v>3</v>
      </c>
      <c r="G415" s="90" t="s">
        <v>89</v>
      </c>
      <c r="H415" s="7" t="str">
        <f t="shared" si="46"/>
        <v>Variable</v>
      </c>
      <c r="I415" s="8">
        <f t="shared" si="44"/>
        <v>1173.4900000000009</v>
      </c>
      <c r="J415" s="116" t="s">
        <v>604</v>
      </c>
      <c r="K415" s="19" t="s">
        <v>682</v>
      </c>
    </row>
    <row r="416" spans="1:11" x14ac:dyDescent="0.2">
      <c r="A416" s="20">
        <f t="shared" si="43"/>
        <v>2021</v>
      </c>
      <c r="B416" s="6">
        <f t="shared" si="45"/>
        <v>7</v>
      </c>
      <c r="C416" s="115">
        <v>44379</v>
      </c>
      <c r="D416" s="115">
        <v>44380</v>
      </c>
      <c r="E416" s="96" t="s">
        <v>579</v>
      </c>
      <c r="F416" s="8">
        <v>2.75</v>
      </c>
      <c r="G416" s="90" t="s">
        <v>89</v>
      </c>
      <c r="H416" s="7" t="str">
        <f t="shared" si="46"/>
        <v>Variable</v>
      </c>
      <c r="I416" s="8">
        <f t="shared" si="44"/>
        <v>1176.2400000000009</v>
      </c>
      <c r="J416" s="116" t="s">
        <v>604</v>
      </c>
      <c r="K416" s="19" t="s">
        <v>682</v>
      </c>
    </row>
    <row r="417" spans="1:11" x14ac:dyDescent="0.2">
      <c r="A417" s="20">
        <f t="shared" si="43"/>
        <v>2021</v>
      </c>
      <c r="B417" s="6">
        <f t="shared" si="45"/>
        <v>7</v>
      </c>
      <c r="C417" s="115">
        <v>44379</v>
      </c>
      <c r="D417" s="115">
        <v>44380</v>
      </c>
      <c r="E417" s="96" t="s">
        <v>580</v>
      </c>
      <c r="F417" s="8">
        <v>2.75</v>
      </c>
      <c r="G417" s="90" t="s">
        <v>89</v>
      </c>
      <c r="H417" s="7" t="str">
        <f t="shared" si="46"/>
        <v>Variable</v>
      </c>
      <c r="I417" s="8">
        <f t="shared" si="44"/>
        <v>1178.9900000000009</v>
      </c>
      <c r="J417" s="116" t="s">
        <v>604</v>
      </c>
      <c r="K417" s="19" t="s">
        <v>682</v>
      </c>
    </row>
    <row r="418" spans="1:11" x14ac:dyDescent="0.2">
      <c r="A418" s="20">
        <f t="shared" si="43"/>
        <v>2021</v>
      </c>
      <c r="B418" s="6">
        <f t="shared" si="45"/>
        <v>7</v>
      </c>
      <c r="C418" s="115">
        <v>44379</v>
      </c>
      <c r="D418" s="115">
        <v>44380</v>
      </c>
      <c r="E418" s="96" t="s">
        <v>581</v>
      </c>
      <c r="F418" s="8">
        <v>9.36</v>
      </c>
      <c r="G418" s="90" t="s">
        <v>90</v>
      </c>
      <c r="H418" s="7" t="str">
        <f t="shared" si="46"/>
        <v>Variable</v>
      </c>
      <c r="I418" s="8">
        <f t="shared" si="44"/>
        <v>1188.3500000000008</v>
      </c>
      <c r="J418" s="116" t="s">
        <v>604</v>
      </c>
      <c r="K418" s="19" t="s">
        <v>682</v>
      </c>
    </row>
    <row r="419" spans="1:11" x14ac:dyDescent="0.2">
      <c r="A419" s="20">
        <f t="shared" si="43"/>
        <v>2021</v>
      </c>
      <c r="B419" s="6">
        <f t="shared" si="45"/>
        <v>7</v>
      </c>
      <c r="C419" s="115">
        <v>44379</v>
      </c>
      <c r="D419" s="115">
        <v>44380</v>
      </c>
      <c r="E419" s="96" t="s">
        <v>573</v>
      </c>
      <c r="F419" s="8">
        <v>199.4</v>
      </c>
      <c r="G419" s="90" t="s">
        <v>68</v>
      </c>
      <c r="H419" s="7" t="str">
        <f t="shared" si="46"/>
        <v>Variable</v>
      </c>
      <c r="I419" s="8">
        <f t="shared" si="44"/>
        <v>1387.7500000000009</v>
      </c>
      <c r="J419" s="116" t="s">
        <v>604</v>
      </c>
      <c r="K419" s="19" t="s">
        <v>682</v>
      </c>
    </row>
    <row r="420" spans="1:11" x14ac:dyDescent="0.2">
      <c r="A420" s="20">
        <f t="shared" si="43"/>
        <v>2021</v>
      </c>
      <c r="B420" s="6">
        <f t="shared" si="45"/>
        <v>7</v>
      </c>
      <c r="C420" s="115">
        <v>44379</v>
      </c>
      <c r="D420" s="115">
        <v>44381</v>
      </c>
      <c r="E420" s="96" t="s">
        <v>573</v>
      </c>
      <c r="F420" s="8">
        <v>-129.69999999999999</v>
      </c>
      <c r="G420" s="90" t="s">
        <v>22</v>
      </c>
      <c r="H420" s="7" t="str">
        <f t="shared" si="46"/>
        <v>Payment</v>
      </c>
      <c r="I420" s="8">
        <f t="shared" si="44"/>
        <v>1258.0500000000009</v>
      </c>
      <c r="J420" s="116" t="s">
        <v>604</v>
      </c>
      <c r="K420" s="19" t="s">
        <v>682</v>
      </c>
    </row>
    <row r="421" spans="1:11" x14ac:dyDescent="0.2">
      <c r="A421" s="20">
        <f t="shared" si="43"/>
        <v>2021</v>
      </c>
      <c r="B421" s="6">
        <f t="shared" si="45"/>
        <v>7</v>
      </c>
      <c r="C421" s="115">
        <v>44380</v>
      </c>
      <c r="D421" s="115">
        <v>44380</v>
      </c>
      <c r="E421" s="96" t="s">
        <v>582</v>
      </c>
      <c r="F421" s="8">
        <v>62.54</v>
      </c>
      <c r="G421" s="90" t="s">
        <v>89</v>
      </c>
      <c r="H421" s="7" t="str">
        <f t="shared" si="46"/>
        <v>Variable</v>
      </c>
      <c r="I421" s="8">
        <f t="shared" si="44"/>
        <v>1320.5900000000008</v>
      </c>
      <c r="J421" s="116" t="s">
        <v>604</v>
      </c>
      <c r="K421" s="19" t="s">
        <v>682</v>
      </c>
    </row>
    <row r="422" spans="1:11" x14ac:dyDescent="0.2">
      <c r="A422" s="20">
        <f t="shared" si="43"/>
        <v>2021</v>
      </c>
      <c r="B422" s="6">
        <f t="shared" si="45"/>
        <v>7</v>
      </c>
      <c r="C422" s="115">
        <v>44380</v>
      </c>
      <c r="D422" s="115">
        <v>44380</v>
      </c>
      <c r="E422" s="96" t="s">
        <v>583</v>
      </c>
      <c r="F422" s="8">
        <v>2.75</v>
      </c>
      <c r="G422" s="90" t="s">
        <v>89</v>
      </c>
      <c r="H422" s="7" t="str">
        <f t="shared" si="46"/>
        <v>Variable</v>
      </c>
      <c r="I422" s="8">
        <f t="shared" si="44"/>
        <v>1323.3400000000008</v>
      </c>
      <c r="J422" s="116" t="s">
        <v>604</v>
      </c>
      <c r="K422" s="19" t="s">
        <v>682</v>
      </c>
    </row>
    <row r="423" spans="1:11" x14ac:dyDescent="0.2">
      <c r="A423" s="20">
        <f t="shared" si="43"/>
        <v>2021</v>
      </c>
      <c r="B423" s="6">
        <f t="shared" si="45"/>
        <v>7</v>
      </c>
      <c r="C423" s="115">
        <v>44380</v>
      </c>
      <c r="D423" s="115">
        <v>44380</v>
      </c>
      <c r="E423" s="96" t="s">
        <v>584</v>
      </c>
      <c r="F423" s="8">
        <v>2.75</v>
      </c>
      <c r="G423" s="90" t="s">
        <v>89</v>
      </c>
      <c r="H423" s="7" t="str">
        <f t="shared" si="46"/>
        <v>Variable</v>
      </c>
      <c r="I423" s="8">
        <f t="shared" si="44"/>
        <v>1326.0900000000008</v>
      </c>
      <c r="J423" s="116" t="s">
        <v>604</v>
      </c>
      <c r="K423" s="19" t="s">
        <v>682</v>
      </c>
    </row>
    <row r="424" spans="1:11" x14ac:dyDescent="0.2">
      <c r="A424" s="20">
        <f t="shared" si="43"/>
        <v>2021</v>
      </c>
      <c r="B424" s="6">
        <f t="shared" si="45"/>
        <v>7</v>
      </c>
      <c r="C424" s="115">
        <v>44380</v>
      </c>
      <c r="D424" s="115">
        <v>44380</v>
      </c>
      <c r="E424" s="96" t="s">
        <v>585</v>
      </c>
      <c r="F424" s="8">
        <v>2.75</v>
      </c>
      <c r="G424" s="90" t="s">
        <v>89</v>
      </c>
      <c r="H424" s="7" t="str">
        <f t="shared" si="46"/>
        <v>Variable</v>
      </c>
      <c r="I424" s="8">
        <f t="shared" si="44"/>
        <v>1328.8400000000008</v>
      </c>
      <c r="J424" s="116" t="s">
        <v>604</v>
      </c>
      <c r="K424" s="19" t="s">
        <v>682</v>
      </c>
    </row>
    <row r="425" spans="1:11" x14ac:dyDescent="0.2">
      <c r="A425" s="20">
        <f t="shared" si="43"/>
        <v>2021</v>
      </c>
      <c r="B425" s="6">
        <f t="shared" si="45"/>
        <v>7</v>
      </c>
      <c r="C425" s="115">
        <v>44380</v>
      </c>
      <c r="D425" s="115">
        <v>44380</v>
      </c>
      <c r="E425" s="96" t="s">
        <v>586</v>
      </c>
      <c r="F425" s="8">
        <v>2.75</v>
      </c>
      <c r="G425" s="90" t="s">
        <v>89</v>
      </c>
      <c r="H425" s="7" t="str">
        <f t="shared" si="46"/>
        <v>Variable</v>
      </c>
      <c r="I425" s="8">
        <f t="shared" si="44"/>
        <v>1331.5900000000008</v>
      </c>
      <c r="J425" s="116" t="s">
        <v>604</v>
      </c>
      <c r="K425" s="19" t="s">
        <v>682</v>
      </c>
    </row>
    <row r="426" spans="1:11" x14ac:dyDescent="0.2">
      <c r="A426" s="20">
        <f t="shared" si="43"/>
        <v>2021</v>
      </c>
      <c r="B426" s="6">
        <f t="shared" si="45"/>
        <v>7</v>
      </c>
      <c r="C426" s="115">
        <v>44380</v>
      </c>
      <c r="D426" s="115">
        <v>44380</v>
      </c>
      <c r="E426" s="96" t="s">
        <v>587</v>
      </c>
      <c r="F426" s="8">
        <v>2.75</v>
      </c>
      <c r="G426" s="90" t="s">
        <v>89</v>
      </c>
      <c r="H426" s="7" t="str">
        <f t="shared" si="46"/>
        <v>Variable</v>
      </c>
      <c r="I426" s="8">
        <f t="shared" si="44"/>
        <v>1334.3400000000008</v>
      </c>
      <c r="J426" s="116" t="s">
        <v>604</v>
      </c>
      <c r="K426" s="19" t="s">
        <v>682</v>
      </c>
    </row>
    <row r="427" spans="1:11" x14ac:dyDescent="0.2">
      <c r="A427" s="20">
        <f t="shared" si="43"/>
        <v>2021</v>
      </c>
      <c r="B427" s="6">
        <f t="shared" si="45"/>
        <v>7</v>
      </c>
      <c r="C427" s="115">
        <v>44380</v>
      </c>
      <c r="D427" s="115">
        <v>44380</v>
      </c>
      <c r="E427" s="96" t="s">
        <v>588</v>
      </c>
      <c r="F427" s="8">
        <v>2.75</v>
      </c>
      <c r="G427" s="90" t="s">
        <v>89</v>
      </c>
      <c r="H427" s="7" t="str">
        <f t="shared" si="46"/>
        <v>Variable</v>
      </c>
      <c r="I427" s="8">
        <f t="shared" si="44"/>
        <v>1337.0900000000008</v>
      </c>
      <c r="J427" s="116" t="s">
        <v>604</v>
      </c>
      <c r="K427" s="19" t="s">
        <v>682</v>
      </c>
    </row>
    <row r="428" spans="1:11" x14ac:dyDescent="0.2">
      <c r="A428" s="20">
        <f t="shared" ref="A428:A446" si="47">YEAR(C428)</f>
        <v>2021</v>
      </c>
      <c r="B428" s="6">
        <f t="shared" si="45"/>
        <v>7</v>
      </c>
      <c r="C428" s="115">
        <v>44380</v>
      </c>
      <c r="D428" s="115">
        <v>44380</v>
      </c>
      <c r="E428" s="96" t="s">
        <v>181</v>
      </c>
      <c r="F428" s="8">
        <v>11.99</v>
      </c>
      <c r="G428" s="116" t="s">
        <v>26</v>
      </c>
      <c r="H428" s="7" t="str">
        <f t="shared" si="46"/>
        <v>Fixed</v>
      </c>
      <c r="I428" s="8">
        <f t="shared" ref="I428:I446" si="48">I427+F428</f>
        <v>1349.0800000000008</v>
      </c>
      <c r="J428" s="116" t="s">
        <v>298</v>
      </c>
      <c r="K428" s="19" t="s">
        <v>788</v>
      </c>
    </row>
    <row r="429" spans="1:11" x14ac:dyDescent="0.2">
      <c r="A429" s="20">
        <f t="shared" si="47"/>
        <v>2021</v>
      </c>
      <c r="B429" s="6">
        <f t="shared" si="45"/>
        <v>7</v>
      </c>
      <c r="C429" s="115">
        <v>44380</v>
      </c>
      <c r="D429" s="115">
        <v>44380</v>
      </c>
      <c r="E429" s="96" t="s">
        <v>32</v>
      </c>
      <c r="F429" s="8">
        <v>92.07</v>
      </c>
      <c r="G429" s="116" t="s">
        <v>26</v>
      </c>
      <c r="H429" s="7" t="str">
        <f t="shared" si="46"/>
        <v>Fixed</v>
      </c>
      <c r="I429" s="8">
        <f t="shared" si="48"/>
        <v>1441.1500000000008</v>
      </c>
      <c r="J429" s="116" t="s">
        <v>8</v>
      </c>
      <c r="K429" s="19" t="s">
        <v>788</v>
      </c>
    </row>
    <row r="430" spans="1:11" x14ac:dyDescent="0.2">
      <c r="A430" s="20">
        <f t="shared" si="47"/>
        <v>2021</v>
      </c>
      <c r="B430" s="6">
        <f t="shared" si="45"/>
        <v>7</v>
      </c>
      <c r="C430" s="115">
        <v>44380</v>
      </c>
      <c r="D430" s="115">
        <v>44380</v>
      </c>
      <c r="E430" s="96" t="s">
        <v>573</v>
      </c>
      <c r="F430" s="8">
        <v>29.9</v>
      </c>
      <c r="G430" s="90" t="s">
        <v>68</v>
      </c>
      <c r="H430" s="7" t="str">
        <f t="shared" si="46"/>
        <v>Variable</v>
      </c>
      <c r="I430" s="8">
        <f t="shared" si="48"/>
        <v>1471.0500000000009</v>
      </c>
      <c r="J430" s="116" t="s">
        <v>604</v>
      </c>
      <c r="K430" s="19" t="s">
        <v>682</v>
      </c>
    </row>
    <row r="431" spans="1:11" x14ac:dyDescent="0.2">
      <c r="A431" s="20">
        <f t="shared" si="47"/>
        <v>2021</v>
      </c>
      <c r="B431" s="6">
        <f t="shared" si="45"/>
        <v>7</v>
      </c>
      <c r="C431" s="115">
        <v>44381</v>
      </c>
      <c r="D431" s="115">
        <v>44381</v>
      </c>
      <c r="E431" s="96" t="s">
        <v>21</v>
      </c>
      <c r="F431" s="8">
        <v>-1854.26</v>
      </c>
      <c r="G431" s="90" t="s">
        <v>22</v>
      </c>
      <c r="H431" s="7" t="str">
        <f t="shared" si="46"/>
        <v>Payment</v>
      </c>
      <c r="I431" s="8">
        <f t="shared" si="48"/>
        <v>-383.20999999999913</v>
      </c>
      <c r="J431" s="90"/>
      <c r="K431" s="90"/>
    </row>
    <row r="432" spans="1:11" x14ac:dyDescent="0.2">
      <c r="A432" s="20">
        <f t="shared" si="47"/>
        <v>2021</v>
      </c>
      <c r="B432" s="6">
        <f t="shared" si="45"/>
        <v>7</v>
      </c>
      <c r="C432" s="115">
        <v>44381</v>
      </c>
      <c r="D432" s="115">
        <v>44381</v>
      </c>
      <c r="E432" s="96" t="s">
        <v>589</v>
      </c>
      <c r="F432" s="8">
        <v>78.17</v>
      </c>
      <c r="G432" s="90" t="s">
        <v>89</v>
      </c>
      <c r="H432" s="7" t="str">
        <f t="shared" si="46"/>
        <v>Variable</v>
      </c>
      <c r="I432" s="8">
        <f t="shared" si="48"/>
        <v>-305.03999999999911</v>
      </c>
      <c r="J432" s="116" t="s">
        <v>604</v>
      </c>
      <c r="K432" s="19" t="s">
        <v>682</v>
      </c>
    </row>
    <row r="433" spans="1:11" x14ac:dyDescent="0.2">
      <c r="A433" s="20">
        <f t="shared" si="47"/>
        <v>2021</v>
      </c>
      <c r="B433" s="6">
        <f t="shared" si="45"/>
        <v>7</v>
      </c>
      <c r="C433" s="115">
        <v>44381</v>
      </c>
      <c r="D433" s="115">
        <v>44381</v>
      </c>
      <c r="E433" s="96" t="s">
        <v>590</v>
      </c>
      <c r="F433" s="8">
        <v>37.619999999999997</v>
      </c>
      <c r="G433" s="90" t="s">
        <v>41</v>
      </c>
      <c r="H433" s="7" t="str">
        <f t="shared" si="46"/>
        <v>Variable</v>
      </c>
      <c r="I433" s="8">
        <f t="shared" si="48"/>
        <v>-267.41999999999911</v>
      </c>
      <c r="J433" s="116" t="s">
        <v>604</v>
      </c>
      <c r="K433" s="19" t="s">
        <v>682</v>
      </c>
    </row>
    <row r="434" spans="1:11" x14ac:dyDescent="0.2">
      <c r="A434" s="20">
        <f t="shared" si="47"/>
        <v>2021</v>
      </c>
      <c r="B434" s="6">
        <f t="shared" si="45"/>
        <v>7</v>
      </c>
      <c r="C434" s="115">
        <v>44381</v>
      </c>
      <c r="D434" s="115">
        <v>44381</v>
      </c>
      <c r="E434" s="96" t="s">
        <v>591</v>
      </c>
      <c r="F434" s="8">
        <v>2.75</v>
      </c>
      <c r="G434" s="90" t="s">
        <v>89</v>
      </c>
      <c r="H434" s="7" t="str">
        <f t="shared" si="46"/>
        <v>Variable</v>
      </c>
      <c r="I434" s="8">
        <f t="shared" si="48"/>
        <v>-264.66999999999911</v>
      </c>
      <c r="J434" s="116" t="s">
        <v>604</v>
      </c>
      <c r="K434" s="19" t="s">
        <v>682</v>
      </c>
    </row>
    <row r="435" spans="1:11" x14ac:dyDescent="0.2">
      <c r="A435" s="20">
        <f t="shared" si="47"/>
        <v>2021</v>
      </c>
      <c r="B435" s="6">
        <f t="shared" si="45"/>
        <v>7</v>
      </c>
      <c r="C435" s="115">
        <v>44381</v>
      </c>
      <c r="D435" s="115">
        <v>44381</v>
      </c>
      <c r="E435" s="96" t="s">
        <v>592</v>
      </c>
      <c r="F435" s="8">
        <v>2.75</v>
      </c>
      <c r="G435" s="90" t="s">
        <v>89</v>
      </c>
      <c r="H435" s="7" t="str">
        <f t="shared" si="46"/>
        <v>Variable</v>
      </c>
      <c r="I435" s="8">
        <f t="shared" si="48"/>
        <v>-261.91999999999911</v>
      </c>
      <c r="J435" s="116" t="s">
        <v>604</v>
      </c>
      <c r="K435" s="19" t="s">
        <v>682</v>
      </c>
    </row>
    <row r="436" spans="1:11" x14ac:dyDescent="0.2">
      <c r="A436" s="20">
        <f t="shared" si="47"/>
        <v>2021</v>
      </c>
      <c r="B436" s="6">
        <f t="shared" si="45"/>
        <v>7</v>
      </c>
      <c r="C436" s="115">
        <v>44381</v>
      </c>
      <c r="D436" s="115">
        <v>44381</v>
      </c>
      <c r="E436" s="96" t="s">
        <v>593</v>
      </c>
      <c r="F436" s="8">
        <v>2.75</v>
      </c>
      <c r="G436" s="90" t="s">
        <v>89</v>
      </c>
      <c r="H436" s="7" t="str">
        <f t="shared" si="46"/>
        <v>Variable</v>
      </c>
      <c r="I436" s="8">
        <f t="shared" si="48"/>
        <v>-259.16999999999911</v>
      </c>
      <c r="J436" s="116" t="s">
        <v>604</v>
      </c>
      <c r="K436" s="19" t="s">
        <v>682</v>
      </c>
    </row>
    <row r="437" spans="1:11" x14ac:dyDescent="0.2">
      <c r="A437" s="20">
        <f t="shared" si="47"/>
        <v>2021</v>
      </c>
      <c r="B437" s="6">
        <f t="shared" si="45"/>
        <v>7</v>
      </c>
      <c r="C437" s="115">
        <v>44381</v>
      </c>
      <c r="D437" s="115">
        <v>44381</v>
      </c>
      <c r="E437" s="96" t="s">
        <v>594</v>
      </c>
      <c r="F437" s="8">
        <v>2.75</v>
      </c>
      <c r="G437" s="90" t="s">
        <v>89</v>
      </c>
      <c r="H437" s="7" t="str">
        <f t="shared" si="46"/>
        <v>Variable</v>
      </c>
      <c r="I437" s="8">
        <f t="shared" si="48"/>
        <v>-256.41999999999911</v>
      </c>
      <c r="J437" s="116" t="s">
        <v>604</v>
      </c>
      <c r="K437" s="19" t="s">
        <v>682</v>
      </c>
    </row>
    <row r="438" spans="1:11" x14ac:dyDescent="0.2">
      <c r="A438" s="20">
        <f t="shared" si="47"/>
        <v>2021</v>
      </c>
      <c r="B438" s="6">
        <f t="shared" si="45"/>
        <v>7</v>
      </c>
      <c r="C438" s="115">
        <v>44381</v>
      </c>
      <c r="D438" s="115">
        <v>44381</v>
      </c>
      <c r="E438" s="96" t="s">
        <v>595</v>
      </c>
      <c r="F438" s="8">
        <v>51.44</v>
      </c>
      <c r="G438" s="90" t="s">
        <v>89</v>
      </c>
      <c r="H438" s="7" t="str">
        <f t="shared" si="46"/>
        <v>Variable</v>
      </c>
      <c r="I438" s="8">
        <f t="shared" si="48"/>
        <v>-204.97999999999911</v>
      </c>
      <c r="J438" s="116" t="s">
        <v>604</v>
      </c>
      <c r="K438" s="19" t="s">
        <v>682</v>
      </c>
    </row>
    <row r="439" spans="1:11" x14ac:dyDescent="0.2">
      <c r="A439" s="20">
        <f t="shared" si="47"/>
        <v>2021</v>
      </c>
      <c r="B439" s="6">
        <f t="shared" si="45"/>
        <v>7</v>
      </c>
      <c r="C439" s="115">
        <v>44382</v>
      </c>
      <c r="D439" s="115">
        <v>44382</v>
      </c>
      <c r="E439" s="96" t="s">
        <v>21</v>
      </c>
      <c r="F439" s="8">
        <v>-367.73</v>
      </c>
      <c r="G439" s="90" t="s">
        <v>22</v>
      </c>
      <c r="H439" s="7" t="str">
        <f t="shared" si="46"/>
        <v>Payment</v>
      </c>
      <c r="I439" s="8">
        <f t="shared" si="48"/>
        <v>-572.70999999999913</v>
      </c>
      <c r="J439" s="90"/>
      <c r="K439" s="90"/>
    </row>
    <row r="440" spans="1:11" x14ac:dyDescent="0.2">
      <c r="A440" s="20">
        <f t="shared" si="47"/>
        <v>2021</v>
      </c>
      <c r="B440" s="6">
        <f t="shared" si="45"/>
        <v>7</v>
      </c>
      <c r="C440" s="115">
        <v>44382</v>
      </c>
      <c r="D440" s="115">
        <v>44382</v>
      </c>
      <c r="E440" s="96" t="s">
        <v>596</v>
      </c>
      <c r="F440" s="8">
        <v>10.9</v>
      </c>
      <c r="G440" s="90" t="s">
        <v>41</v>
      </c>
      <c r="H440" s="7" t="str">
        <f t="shared" si="46"/>
        <v>Variable</v>
      </c>
      <c r="I440" s="8">
        <f t="shared" si="48"/>
        <v>-561.80999999999915</v>
      </c>
      <c r="J440" s="116"/>
      <c r="K440" s="19" t="s">
        <v>675</v>
      </c>
    </row>
    <row r="441" spans="1:11" x14ac:dyDescent="0.2">
      <c r="A441" s="20">
        <f t="shared" si="47"/>
        <v>2021</v>
      </c>
      <c r="B441" s="6">
        <f t="shared" si="45"/>
        <v>7</v>
      </c>
      <c r="C441" s="115">
        <v>44382</v>
      </c>
      <c r="D441" s="115">
        <v>44382</v>
      </c>
      <c r="E441" s="96" t="s">
        <v>597</v>
      </c>
      <c r="F441" s="8">
        <v>32.33</v>
      </c>
      <c r="G441" s="90" t="s">
        <v>24</v>
      </c>
      <c r="H441" s="7" t="str">
        <f t="shared" si="46"/>
        <v>Variable</v>
      </c>
      <c r="I441" s="8">
        <f t="shared" si="48"/>
        <v>-529.47999999999911</v>
      </c>
      <c r="J441" s="90"/>
      <c r="K441" s="23" t="s">
        <v>633</v>
      </c>
    </row>
    <row r="442" spans="1:11" x14ac:dyDescent="0.2">
      <c r="A442" s="20">
        <f t="shared" si="47"/>
        <v>2021</v>
      </c>
      <c r="B442" s="6">
        <f t="shared" si="45"/>
        <v>7</v>
      </c>
      <c r="C442" s="115">
        <v>44382</v>
      </c>
      <c r="D442" s="115">
        <v>44382</v>
      </c>
      <c r="E442" s="96" t="s">
        <v>598</v>
      </c>
      <c r="F442" s="8">
        <v>48.99</v>
      </c>
      <c r="G442" s="90" t="s">
        <v>89</v>
      </c>
      <c r="H442" s="7" t="str">
        <f t="shared" si="46"/>
        <v>Variable</v>
      </c>
      <c r="I442" s="8">
        <f t="shared" si="48"/>
        <v>-480.4899999999991</v>
      </c>
      <c r="J442" s="90"/>
      <c r="K442" s="199" t="s">
        <v>633</v>
      </c>
    </row>
    <row r="443" spans="1:11" x14ac:dyDescent="0.2">
      <c r="A443" s="20">
        <f t="shared" si="47"/>
        <v>2021</v>
      </c>
      <c r="B443" s="6">
        <f t="shared" si="45"/>
        <v>7</v>
      </c>
      <c r="C443" s="115">
        <v>44382</v>
      </c>
      <c r="D443" s="115">
        <v>44384</v>
      </c>
      <c r="E443" s="96" t="s">
        <v>140</v>
      </c>
      <c r="F443" s="8">
        <v>-190.79</v>
      </c>
      <c r="G443" s="90" t="s">
        <v>22</v>
      </c>
      <c r="H443" s="7" t="str">
        <f t="shared" si="46"/>
        <v>Payment</v>
      </c>
      <c r="I443" s="8">
        <f t="shared" si="48"/>
        <v>-671.27999999999906</v>
      </c>
      <c r="J443" s="90"/>
      <c r="K443" s="199" t="s">
        <v>693</v>
      </c>
    </row>
    <row r="444" spans="1:11" x14ac:dyDescent="0.2">
      <c r="A444" s="20">
        <f t="shared" si="47"/>
        <v>2021</v>
      </c>
      <c r="B444" s="6">
        <f t="shared" si="45"/>
        <v>7</v>
      </c>
      <c r="C444" s="115">
        <v>44384</v>
      </c>
      <c r="D444" s="115">
        <v>44384</v>
      </c>
      <c r="E444" s="96" t="s">
        <v>184</v>
      </c>
      <c r="F444" s="8">
        <v>94.95</v>
      </c>
      <c r="G444" s="199" t="s">
        <v>26</v>
      </c>
      <c r="H444" s="7" t="str">
        <f t="shared" si="46"/>
        <v>Fixed</v>
      </c>
      <c r="I444" s="8">
        <f t="shared" si="48"/>
        <v>-576.32999999999902</v>
      </c>
      <c r="J444" s="90"/>
      <c r="K444" s="199" t="s">
        <v>687</v>
      </c>
    </row>
    <row r="445" spans="1:11" x14ac:dyDescent="0.2">
      <c r="A445" s="20">
        <f t="shared" si="47"/>
        <v>2021</v>
      </c>
      <c r="B445" s="6">
        <f t="shared" si="45"/>
        <v>7</v>
      </c>
      <c r="C445" s="115">
        <v>44384</v>
      </c>
      <c r="D445" s="115">
        <v>44384</v>
      </c>
      <c r="E445" s="96" t="s">
        <v>599</v>
      </c>
      <c r="F445" s="8">
        <v>382.98</v>
      </c>
      <c r="G445" s="90" t="s">
        <v>68</v>
      </c>
      <c r="H445" s="7" t="str">
        <f t="shared" si="46"/>
        <v>Variable</v>
      </c>
      <c r="I445" s="8">
        <f t="shared" si="48"/>
        <v>-193.349999999999</v>
      </c>
      <c r="J445" s="116" t="s">
        <v>602</v>
      </c>
      <c r="K445" s="199" t="s">
        <v>693</v>
      </c>
    </row>
    <row r="446" spans="1:11" ht="18" customHeight="1" x14ac:dyDescent="0.2">
      <c r="A446" s="20">
        <f t="shared" si="47"/>
        <v>2021</v>
      </c>
      <c r="B446" s="6">
        <f t="shared" si="45"/>
        <v>7</v>
      </c>
      <c r="C446" s="115">
        <v>44385</v>
      </c>
      <c r="D446" s="115">
        <v>44385</v>
      </c>
      <c r="E446" s="96" t="s">
        <v>600</v>
      </c>
      <c r="F446" s="8">
        <v>27.68</v>
      </c>
      <c r="G446" s="90" t="s">
        <v>89</v>
      </c>
      <c r="H446" s="7" t="str">
        <f t="shared" si="46"/>
        <v>Variable</v>
      </c>
      <c r="I446" s="8">
        <f t="shared" si="48"/>
        <v>-165.66999999999899</v>
      </c>
      <c r="J446" s="90"/>
      <c r="K446" s="199" t="s">
        <v>633</v>
      </c>
    </row>
    <row r="447" spans="1:11" ht="18" customHeight="1" x14ac:dyDescent="0.2">
      <c r="A447" s="20">
        <f t="shared" ref="A447:A467" si="49">YEAR(C447)</f>
        <v>2021</v>
      </c>
      <c r="B447" s="6">
        <f t="shared" ref="B447:B467" si="50">MONTH(C447)</f>
        <v>7</v>
      </c>
      <c r="C447" s="115">
        <v>44386</v>
      </c>
      <c r="D447" s="115">
        <v>44386</v>
      </c>
      <c r="E447" s="186" t="s">
        <v>340</v>
      </c>
      <c r="F447" s="8">
        <v>19.989999999999998</v>
      </c>
      <c r="G447" s="90" t="s">
        <v>68</v>
      </c>
      <c r="H447" s="7" t="str">
        <f t="shared" ref="H447:H467" si="51">VLOOKUP(G447,Expense_Lookup,2,0)</f>
        <v>Variable</v>
      </c>
      <c r="I447" s="8">
        <f t="shared" ref="I447:I467" si="52">I446+F447</f>
        <v>-145.67999999999898</v>
      </c>
      <c r="J447" s="185" t="s">
        <v>724</v>
      </c>
      <c r="K447" s="199" t="s">
        <v>693</v>
      </c>
    </row>
    <row r="448" spans="1:11" ht="18" customHeight="1" x14ac:dyDescent="0.2">
      <c r="A448" s="20">
        <f t="shared" si="49"/>
        <v>2021</v>
      </c>
      <c r="B448" s="6">
        <f t="shared" si="50"/>
        <v>7</v>
      </c>
      <c r="C448" s="115">
        <v>44386</v>
      </c>
      <c r="D448" s="115">
        <v>44386</v>
      </c>
      <c r="E448" s="96" t="s">
        <v>196</v>
      </c>
      <c r="F448" s="8">
        <v>35</v>
      </c>
      <c r="G448" s="90" t="s">
        <v>89</v>
      </c>
      <c r="H448" s="7" t="str">
        <f t="shared" si="51"/>
        <v>Variable</v>
      </c>
      <c r="I448" s="8">
        <f t="shared" si="52"/>
        <v>-110.67999999999898</v>
      </c>
      <c r="J448" s="90"/>
      <c r="K448" s="199" t="s">
        <v>633</v>
      </c>
    </row>
    <row r="449" spans="1:11" ht="18" customHeight="1" x14ac:dyDescent="0.2">
      <c r="A449" s="20">
        <f t="shared" si="49"/>
        <v>2021</v>
      </c>
      <c r="B449" s="6">
        <f t="shared" si="50"/>
        <v>7</v>
      </c>
      <c r="C449" s="115">
        <v>44386</v>
      </c>
      <c r="D449" s="115">
        <v>44386</v>
      </c>
      <c r="E449" s="96" t="s">
        <v>714</v>
      </c>
      <c r="F449" s="8">
        <v>13.12</v>
      </c>
      <c r="G449" s="90" t="s">
        <v>41</v>
      </c>
      <c r="H449" s="7" t="str">
        <f t="shared" si="51"/>
        <v>Variable</v>
      </c>
      <c r="I449" s="8">
        <f t="shared" si="52"/>
        <v>-97.559999999998979</v>
      </c>
      <c r="J449" s="90"/>
      <c r="K449" s="19" t="s">
        <v>675</v>
      </c>
    </row>
    <row r="450" spans="1:11" ht="18" customHeight="1" x14ac:dyDescent="0.2">
      <c r="A450" s="20">
        <f t="shared" si="49"/>
        <v>2021</v>
      </c>
      <c r="B450" s="6">
        <f t="shared" si="50"/>
        <v>7</v>
      </c>
      <c r="C450" s="115">
        <v>44386</v>
      </c>
      <c r="D450" s="115">
        <v>44386</v>
      </c>
      <c r="E450" s="96" t="s">
        <v>715</v>
      </c>
      <c r="F450" s="8">
        <v>60.82</v>
      </c>
      <c r="G450" s="90" t="s">
        <v>90</v>
      </c>
      <c r="H450" s="7" t="str">
        <f t="shared" si="51"/>
        <v>Variable</v>
      </c>
      <c r="I450" s="8">
        <f t="shared" si="52"/>
        <v>-36.739999999998979</v>
      </c>
      <c r="J450" s="90"/>
      <c r="K450" s="19" t="s">
        <v>675</v>
      </c>
    </row>
    <row r="451" spans="1:11" ht="18" customHeight="1" x14ac:dyDescent="0.2">
      <c r="A451" s="20">
        <f t="shared" si="49"/>
        <v>2021</v>
      </c>
      <c r="B451" s="6">
        <f t="shared" si="50"/>
        <v>7</v>
      </c>
      <c r="C451" s="115">
        <v>44386</v>
      </c>
      <c r="D451" s="115">
        <v>44386</v>
      </c>
      <c r="E451" s="96" t="s">
        <v>98</v>
      </c>
      <c r="F451" s="8">
        <v>24.29</v>
      </c>
      <c r="G451" s="90" t="s">
        <v>68</v>
      </c>
      <c r="H451" s="7" t="str">
        <f t="shared" si="51"/>
        <v>Variable</v>
      </c>
      <c r="I451" s="8">
        <f t="shared" si="52"/>
        <v>-12.44999999999898</v>
      </c>
      <c r="J451" s="90"/>
      <c r="K451" s="199" t="s">
        <v>693</v>
      </c>
    </row>
    <row r="452" spans="1:11" ht="18" customHeight="1" x14ac:dyDescent="0.2">
      <c r="A452" s="20">
        <f t="shared" si="49"/>
        <v>2021</v>
      </c>
      <c r="B452" s="6">
        <f t="shared" si="50"/>
        <v>7</v>
      </c>
      <c r="C452" s="115">
        <v>44387</v>
      </c>
      <c r="D452" s="115">
        <v>44387</v>
      </c>
      <c r="E452" s="96" t="s">
        <v>716</v>
      </c>
      <c r="F452" s="8">
        <v>15.89</v>
      </c>
      <c r="G452" s="185" t="s">
        <v>26</v>
      </c>
      <c r="H452" s="7" t="str">
        <f t="shared" si="51"/>
        <v>Fixed</v>
      </c>
      <c r="I452" s="8">
        <f t="shared" si="52"/>
        <v>3.4400000000010209</v>
      </c>
      <c r="J452" s="185" t="s">
        <v>293</v>
      </c>
      <c r="K452" s="19" t="s">
        <v>788</v>
      </c>
    </row>
    <row r="453" spans="1:11" ht="18" customHeight="1" x14ac:dyDescent="0.2">
      <c r="A453" s="20">
        <f t="shared" si="49"/>
        <v>2021</v>
      </c>
      <c r="B453" s="6">
        <f t="shared" si="50"/>
        <v>7</v>
      </c>
      <c r="C453" s="115">
        <v>44387</v>
      </c>
      <c r="D453" s="115">
        <v>44387</v>
      </c>
      <c r="E453" s="96" t="s">
        <v>548</v>
      </c>
      <c r="F453" s="8">
        <v>65.150000000000006</v>
      </c>
      <c r="G453" s="90" t="s">
        <v>52</v>
      </c>
      <c r="H453" s="7" t="str">
        <f t="shared" si="51"/>
        <v>Variable</v>
      </c>
      <c r="I453" s="8">
        <f t="shared" si="52"/>
        <v>68.590000000001027</v>
      </c>
      <c r="J453" s="90"/>
      <c r="K453" s="199" t="s">
        <v>693</v>
      </c>
    </row>
    <row r="454" spans="1:11" ht="18" customHeight="1" x14ac:dyDescent="0.2">
      <c r="A454" s="20">
        <f t="shared" si="49"/>
        <v>2021</v>
      </c>
      <c r="B454" s="6">
        <f t="shared" si="50"/>
        <v>7</v>
      </c>
      <c r="C454" s="115">
        <v>44387</v>
      </c>
      <c r="D454" s="115">
        <v>44387</v>
      </c>
      <c r="E454" s="96" t="s">
        <v>543</v>
      </c>
      <c r="F454" s="8">
        <v>401.51</v>
      </c>
      <c r="G454" s="90" t="s">
        <v>52</v>
      </c>
      <c r="H454" s="7" t="str">
        <f t="shared" si="51"/>
        <v>Variable</v>
      </c>
      <c r="I454" s="8">
        <f t="shared" si="52"/>
        <v>470.10000000000105</v>
      </c>
      <c r="J454" s="185" t="s">
        <v>602</v>
      </c>
      <c r="K454" s="199" t="s">
        <v>693</v>
      </c>
    </row>
    <row r="455" spans="1:11" ht="18" customHeight="1" x14ac:dyDescent="0.2">
      <c r="A455" s="20">
        <f t="shared" si="49"/>
        <v>2021</v>
      </c>
      <c r="B455" s="6">
        <f t="shared" si="50"/>
        <v>7</v>
      </c>
      <c r="C455" s="115">
        <v>44387</v>
      </c>
      <c r="D455" s="115">
        <v>44387</v>
      </c>
      <c r="E455" s="96" t="s">
        <v>100</v>
      </c>
      <c r="F455" s="8">
        <v>86.25</v>
      </c>
      <c r="G455" s="199" t="s">
        <v>26</v>
      </c>
      <c r="H455" s="7" t="str">
        <f t="shared" si="51"/>
        <v>Fixed</v>
      </c>
      <c r="I455" s="8">
        <f t="shared" si="52"/>
        <v>556.35000000000105</v>
      </c>
      <c r="J455" s="199" t="s">
        <v>294</v>
      </c>
      <c r="K455" s="199" t="s">
        <v>693</v>
      </c>
    </row>
    <row r="456" spans="1:11" ht="18" customHeight="1" x14ac:dyDescent="0.2">
      <c r="A456" s="20">
        <f t="shared" si="49"/>
        <v>2021</v>
      </c>
      <c r="B456" s="6">
        <f t="shared" si="50"/>
        <v>7</v>
      </c>
      <c r="C456" s="115">
        <v>44387</v>
      </c>
      <c r="D456" s="115">
        <v>44387</v>
      </c>
      <c r="E456" s="96" t="s">
        <v>717</v>
      </c>
      <c r="F456" s="8">
        <v>8.7899999999999991</v>
      </c>
      <c r="G456" s="90" t="s">
        <v>24</v>
      </c>
      <c r="H456" s="7" t="str">
        <f t="shared" si="51"/>
        <v>Variable</v>
      </c>
      <c r="I456" s="8">
        <f t="shared" si="52"/>
        <v>565.14000000000101</v>
      </c>
      <c r="J456" s="90"/>
      <c r="K456" s="23" t="s">
        <v>633</v>
      </c>
    </row>
    <row r="457" spans="1:11" ht="18" customHeight="1" x14ac:dyDescent="0.2">
      <c r="A457" s="20">
        <f t="shared" si="49"/>
        <v>2021</v>
      </c>
      <c r="B457" s="6">
        <f t="shared" si="50"/>
        <v>7</v>
      </c>
      <c r="C457" s="115">
        <v>44388</v>
      </c>
      <c r="D457" s="115">
        <v>44388</v>
      </c>
      <c r="E457" s="99" t="s">
        <v>718</v>
      </c>
      <c r="F457" s="8">
        <v>16.670000000000002</v>
      </c>
      <c r="G457" s="90" t="s">
        <v>41</v>
      </c>
      <c r="H457" s="7" t="str">
        <f t="shared" si="51"/>
        <v>Variable</v>
      </c>
      <c r="I457" s="8">
        <f t="shared" si="52"/>
        <v>581.81000000000097</v>
      </c>
      <c r="J457" s="90"/>
      <c r="K457" s="19" t="s">
        <v>675</v>
      </c>
    </row>
    <row r="458" spans="1:11" ht="18" customHeight="1" x14ac:dyDescent="0.2">
      <c r="A458" s="20">
        <f t="shared" si="49"/>
        <v>2021</v>
      </c>
      <c r="B458" s="6">
        <f t="shared" si="50"/>
        <v>7</v>
      </c>
      <c r="C458" s="115">
        <v>44389</v>
      </c>
      <c r="D458" s="115">
        <v>44389</v>
      </c>
      <c r="E458" s="96" t="s">
        <v>719</v>
      </c>
      <c r="F458" s="8">
        <v>6.67</v>
      </c>
      <c r="G458" s="90" t="s">
        <v>90</v>
      </c>
      <c r="H458" s="7" t="str">
        <f t="shared" si="51"/>
        <v>Variable</v>
      </c>
      <c r="I458" s="8">
        <f t="shared" si="52"/>
        <v>588.48000000000093</v>
      </c>
      <c r="J458" s="90"/>
      <c r="K458" s="19" t="s">
        <v>675</v>
      </c>
    </row>
    <row r="459" spans="1:11" ht="18" customHeight="1" x14ac:dyDescent="0.2">
      <c r="A459" s="20">
        <f t="shared" si="49"/>
        <v>2021</v>
      </c>
      <c r="B459" s="6">
        <f t="shared" si="50"/>
        <v>7</v>
      </c>
      <c r="C459" s="115">
        <v>44389</v>
      </c>
      <c r="D459" s="115">
        <v>44389</v>
      </c>
      <c r="E459" s="96" t="s">
        <v>59</v>
      </c>
      <c r="F459" s="8">
        <v>1.99</v>
      </c>
      <c r="G459" s="185" t="s">
        <v>26</v>
      </c>
      <c r="H459" s="7" t="str">
        <f t="shared" si="51"/>
        <v>Fixed</v>
      </c>
      <c r="I459" s="8">
        <f t="shared" si="52"/>
        <v>590.47000000000094</v>
      </c>
      <c r="J459" s="185" t="s">
        <v>283</v>
      </c>
      <c r="K459" s="19" t="s">
        <v>788</v>
      </c>
    </row>
    <row r="460" spans="1:11" ht="18" customHeight="1" x14ac:dyDescent="0.2">
      <c r="A460" s="20">
        <f t="shared" si="49"/>
        <v>2021</v>
      </c>
      <c r="B460" s="6">
        <f t="shared" si="50"/>
        <v>7</v>
      </c>
      <c r="C460" s="115">
        <v>44389</v>
      </c>
      <c r="D460" s="115">
        <v>44389</v>
      </c>
      <c r="E460" s="96" t="s">
        <v>598</v>
      </c>
      <c r="F460" s="8">
        <v>7.34</v>
      </c>
      <c r="G460" s="90" t="s">
        <v>89</v>
      </c>
      <c r="H460" s="7" t="str">
        <f t="shared" si="51"/>
        <v>Variable</v>
      </c>
      <c r="I460" s="8">
        <f t="shared" si="52"/>
        <v>597.81000000000097</v>
      </c>
      <c r="J460" s="90"/>
      <c r="K460" s="199" t="s">
        <v>633</v>
      </c>
    </row>
    <row r="461" spans="1:11" ht="18" customHeight="1" x14ac:dyDescent="0.2">
      <c r="A461" s="20">
        <f t="shared" si="49"/>
        <v>2021</v>
      </c>
      <c r="B461" s="6">
        <f t="shared" si="50"/>
        <v>7</v>
      </c>
      <c r="C461" s="115">
        <v>44389</v>
      </c>
      <c r="D461" s="115">
        <v>44389</v>
      </c>
      <c r="E461" s="96" t="s">
        <v>598</v>
      </c>
      <c r="F461" s="8">
        <v>16.96</v>
      </c>
      <c r="G461" s="90" t="s">
        <v>89</v>
      </c>
      <c r="H461" s="7" t="str">
        <f t="shared" si="51"/>
        <v>Variable</v>
      </c>
      <c r="I461" s="8">
        <f t="shared" si="52"/>
        <v>614.770000000001</v>
      </c>
      <c r="J461" s="90"/>
      <c r="K461" s="199" t="s">
        <v>633</v>
      </c>
    </row>
    <row r="462" spans="1:11" ht="18" customHeight="1" x14ac:dyDescent="0.2">
      <c r="A462" s="20">
        <f t="shared" si="49"/>
        <v>2021</v>
      </c>
      <c r="B462" s="6">
        <f t="shared" si="50"/>
        <v>7</v>
      </c>
      <c r="C462" s="115">
        <v>44389</v>
      </c>
      <c r="D462" s="115">
        <v>44389</v>
      </c>
      <c r="E462" s="96" t="s">
        <v>598</v>
      </c>
      <c r="F462" s="8">
        <v>20</v>
      </c>
      <c r="G462" s="90" t="s">
        <v>89</v>
      </c>
      <c r="H462" s="7" t="str">
        <f t="shared" si="51"/>
        <v>Variable</v>
      </c>
      <c r="I462" s="8">
        <f t="shared" si="52"/>
        <v>634.770000000001</v>
      </c>
      <c r="J462" s="90"/>
      <c r="K462" s="199" t="s">
        <v>633</v>
      </c>
    </row>
    <row r="463" spans="1:11" ht="18" customHeight="1" x14ac:dyDescent="0.2">
      <c r="A463" s="20">
        <f t="shared" si="49"/>
        <v>2021</v>
      </c>
      <c r="B463" s="6">
        <f t="shared" si="50"/>
        <v>7</v>
      </c>
      <c r="C463" s="115">
        <v>44390</v>
      </c>
      <c r="D463" s="115">
        <v>44390</v>
      </c>
      <c r="E463" s="96" t="s">
        <v>720</v>
      </c>
      <c r="F463" s="8">
        <v>67.22</v>
      </c>
      <c r="G463" s="90" t="s">
        <v>90</v>
      </c>
      <c r="H463" s="7" t="str">
        <f t="shared" si="51"/>
        <v>Variable</v>
      </c>
      <c r="I463" s="8">
        <f t="shared" si="52"/>
        <v>701.99000000000103</v>
      </c>
      <c r="J463" s="90"/>
      <c r="K463" s="19" t="s">
        <v>675</v>
      </c>
    </row>
    <row r="464" spans="1:11" ht="18" customHeight="1" x14ac:dyDescent="0.2">
      <c r="A464" s="20">
        <f t="shared" si="49"/>
        <v>2021</v>
      </c>
      <c r="B464" s="6">
        <f t="shared" si="50"/>
        <v>7</v>
      </c>
      <c r="C464" s="115">
        <v>44390</v>
      </c>
      <c r="D464" s="115">
        <v>44390</v>
      </c>
      <c r="E464" s="96" t="s">
        <v>721</v>
      </c>
      <c r="F464" s="8">
        <v>113.96</v>
      </c>
      <c r="G464" s="90" t="s">
        <v>89</v>
      </c>
      <c r="H464" s="7" t="str">
        <f t="shared" si="51"/>
        <v>Variable</v>
      </c>
      <c r="I464" s="8">
        <f t="shared" si="52"/>
        <v>815.95000000000107</v>
      </c>
      <c r="J464" s="90"/>
      <c r="K464" s="199" t="s">
        <v>633</v>
      </c>
    </row>
    <row r="465" spans="1:11" ht="18" customHeight="1" x14ac:dyDescent="0.2">
      <c r="A465" s="20">
        <f t="shared" si="49"/>
        <v>2021</v>
      </c>
      <c r="B465" s="6">
        <f t="shared" si="50"/>
        <v>7</v>
      </c>
      <c r="C465" s="115">
        <v>44391</v>
      </c>
      <c r="D465" s="115">
        <v>44391</v>
      </c>
      <c r="E465" s="96" t="s">
        <v>722</v>
      </c>
      <c r="F465" s="8">
        <v>60</v>
      </c>
      <c r="G465" s="90" t="s">
        <v>41</v>
      </c>
      <c r="H465" s="7" t="str">
        <f t="shared" si="51"/>
        <v>Variable</v>
      </c>
      <c r="I465" s="8">
        <f t="shared" si="52"/>
        <v>875.95000000000107</v>
      </c>
      <c r="J465" s="90"/>
      <c r="K465" s="19" t="s">
        <v>675</v>
      </c>
    </row>
    <row r="466" spans="1:11" ht="18" customHeight="1" x14ac:dyDescent="0.2">
      <c r="A466" s="20">
        <f t="shared" si="49"/>
        <v>2021</v>
      </c>
      <c r="B466" s="6">
        <f t="shared" si="50"/>
        <v>7</v>
      </c>
      <c r="C466" s="115">
        <v>44392</v>
      </c>
      <c r="D466" s="115">
        <v>44392</v>
      </c>
      <c r="E466" s="96" t="s">
        <v>725</v>
      </c>
      <c r="F466" s="8">
        <v>40</v>
      </c>
      <c r="G466" s="90" t="s">
        <v>41</v>
      </c>
      <c r="H466" s="7" t="str">
        <f t="shared" si="51"/>
        <v>Variable</v>
      </c>
      <c r="I466" s="8">
        <f t="shared" si="52"/>
        <v>915.95000000000107</v>
      </c>
      <c r="J466" s="90"/>
      <c r="K466" s="19" t="s">
        <v>675</v>
      </c>
    </row>
    <row r="467" spans="1:11" ht="18" customHeight="1" x14ac:dyDescent="0.2">
      <c r="A467" s="20">
        <f t="shared" si="49"/>
        <v>2021</v>
      </c>
      <c r="B467" s="6">
        <f t="shared" si="50"/>
        <v>7</v>
      </c>
      <c r="C467" s="115">
        <v>44392</v>
      </c>
      <c r="D467" s="115">
        <v>44392</v>
      </c>
      <c r="E467" s="96" t="s">
        <v>723</v>
      </c>
      <c r="F467" s="8">
        <v>16.600000000000001</v>
      </c>
      <c r="G467" s="90" t="s">
        <v>90</v>
      </c>
      <c r="H467" s="7" t="str">
        <f t="shared" si="51"/>
        <v>Variable</v>
      </c>
      <c r="I467" s="8">
        <f t="shared" si="52"/>
        <v>932.55000000000109</v>
      </c>
      <c r="J467" s="90"/>
      <c r="K467" s="19" t="s">
        <v>675</v>
      </c>
    </row>
    <row r="468" spans="1:11" ht="18" customHeight="1" x14ac:dyDescent="0.2">
      <c r="A468" s="20">
        <f t="shared" ref="A468:A504" si="53">YEAR(C468)</f>
        <v>2021</v>
      </c>
      <c r="B468" s="6">
        <f t="shared" ref="B468:B504" si="54">MONTH(C468)</f>
        <v>7</v>
      </c>
      <c r="C468" s="115">
        <v>44393</v>
      </c>
      <c r="D468" s="115">
        <v>44393</v>
      </c>
      <c r="E468" s="96" t="s">
        <v>726</v>
      </c>
      <c r="F468" s="8">
        <v>25</v>
      </c>
      <c r="G468" s="90" t="s">
        <v>41</v>
      </c>
      <c r="H468" s="7" t="str">
        <f t="shared" ref="H468:H504" si="55">VLOOKUP(G468,Expense_Lookup,2,0)</f>
        <v>Variable</v>
      </c>
      <c r="I468" s="8">
        <f t="shared" ref="I468:I504" si="56">I467+F468</f>
        <v>957.55000000000109</v>
      </c>
      <c r="J468" s="90"/>
      <c r="K468" s="19" t="s">
        <v>675</v>
      </c>
    </row>
    <row r="469" spans="1:11" ht="18" customHeight="1" x14ac:dyDescent="0.2">
      <c r="A469" s="20">
        <f t="shared" si="53"/>
        <v>2021</v>
      </c>
      <c r="B469" s="6">
        <f t="shared" si="54"/>
        <v>7</v>
      </c>
      <c r="C469" s="115">
        <v>44393</v>
      </c>
      <c r="D469" s="115">
        <v>44393</v>
      </c>
      <c r="E469" s="96" t="s">
        <v>727</v>
      </c>
      <c r="F469" s="8">
        <v>56.81</v>
      </c>
      <c r="G469" s="90" t="s">
        <v>68</v>
      </c>
      <c r="H469" s="7" t="str">
        <f t="shared" si="55"/>
        <v>Variable</v>
      </c>
      <c r="I469" s="8">
        <f t="shared" si="56"/>
        <v>1014.360000000001</v>
      </c>
      <c r="J469" s="90"/>
      <c r="K469" s="199" t="s">
        <v>693</v>
      </c>
    </row>
    <row r="470" spans="1:11" ht="18" customHeight="1" x14ac:dyDescent="0.2">
      <c r="A470" s="20">
        <f t="shared" si="53"/>
        <v>2021</v>
      </c>
      <c r="B470" s="6">
        <f t="shared" si="54"/>
        <v>7</v>
      </c>
      <c r="C470" s="115">
        <v>44393</v>
      </c>
      <c r="D470" s="115">
        <v>44393</v>
      </c>
      <c r="E470" s="96" t="s">
        <v>728</v>
      </c>
      <c r="F470" s="8">
        <v>56.81</v>
      </c>
      <c r="G470" s="90" t="s">
        <v>68</v>
      </c>
      <c r="H470" s="7" t="str">
        <f t="shared" si="55"/>
        <v>Variable</v>
      </c>
      <c r="I470" s="8">
        <f t="shared" si="56"/>
        <v>1071.170000000001</v>
      </c>
      <c r="J470" s="90"/>
      <c r="K470" s="199" t="s">
        <v>693</v>
      </c>
    </row>
    <row r="471" spans="1:11" ht="18" customHeight="1" x14ac:dyDescent="0.2">
      <c r="A471" s="20">
        <f t="shared" si="53"/>
        <v>2021</v>
      </c>
      <c r="B471" s="6">
        <f t="shared" si="54"/>
        <v>7</v>
      </c>
      <c r="C471" s="115">
        <v>44393</v>
      </c>
      <c r="D471" s="115">
        <v>44393</v>
      </c>
      <c r="E471" s="96" t="s">
        <v>729</v>
      </c>
      <c r="F471" s="8">
        <v>69.98</v>
      </c>
      <c r="G471" s="90" t="s">
        <v>89</v>
      </c>
      <c r="H471" s="7" t="str">
        <f t="shared" si="55"/>
        <v>Variable</v>
      </c>
      <c r="I471" s="8">
        <f t="shared" si="56"/>
        <v>1141.150000000001</v>
      </c>
      <c r="J471" s="187" t="s">
        <v>749</v>
      </c>
      <c r="K471" s="199" t="s">
        <v>682</v>
      </c>
    </row>
    <row r="472" spans="1:11" ht="18" customHeight="1" x14ac:dyDescent="0.2">
      <c r="A472" s="20">
        <f t="shared" si="53"/>
        <v>2021</v>
      </c>
      <c r="B472" s="6">
        <f t="shared" si="54"/>
        <v>7</v>
      </c>
      <c r="C472" s="115">
        <v>44393</v>
      </c>
      <c r="D472" s="115">
        <v>44393</v>
      </c>
      <c r="E472" s="96" t="s">
        <v>730</v>
      </c>
      <c r="F472" s="8">
        <v>5.7</v>
      </c>
      <c r="G472" s="90" t="s">
        <v>90</v>
      </c>
      <c r="H472" s="7" t="str">
        <f t="shared" si="55"/>
        <v>Variable</v>
      </c>
      <c r="I472" s="8">
        <f t="shared" si="56"/>
        <v>1146.850000000001</v>
      </c>
      <c r="J472" s="90"/>
      <c r="K472" s="19" t="s">
        <v>675</v>
      </c>
    </row>
    <row r="473" spans="1:11" ht="18" customHeight="1" x14ac:dyDescent="0.2">
      <c r="A473" s="20">
        <f t="shared" si="53"/>
        <v>2021</v>
      </c>
      <c r="B473" s="6">
        <f t="shared" si="54"/>
        <v>7</v>
      </c>
      <c r="C473" s="115">
        <v>44393</v>
      </c>
      <c r="D473" s="115">
        <v>44393</v>
      </c>
      <c r="E473" s="96" t="s">
        <v>730</v>
      </c>
      <c r="F473" s="8">
        <v>20.54</v>
      </c>
      <c r="G473" s="90" t="s">
        <v>90</v>
      </c>
      <c r="H473" s="7" t="str">
        <f t="shared" si="55"/>
        <v>Variable</v>
      </c>
      <c r="I473" s="8">
        <f t="shared" si="56"/>
        <v>1167.390000000001</v>
      </c>
      <c r="J473" s="90"/>
      <c r="K473" s="19" t="s">
        <v>675</v>
      </c>
    </row>
    <row r="474" spans="1:11" ht="18" customHeight="1" x14ac:dyDescent="0.2">
      <c r="A474" s="20">
        <f t="shared" si="53"/>
        <v>2021</v>
      </c>
      <c r="B474" s="6">
        <f t="shared" si="54"/>
        <v>7</v>
      </c>
      <c r="C474" s="115">
        <v>44393</v>
      </c>
      <c r="D474" s="115">
        <v>44393</v>
      </c>
      <c r="E474" s="96" t="s">
        <v>21</v>
      </c>
      <c r="F474" s="8">
        <v>-1000</v>
      </c>
      <c r="G474" s="90" t="s">
        <v>22</v>
      </c>
      <c r="H474" s="7" t="str">
        <f t="shared" si="55"/>
        <v>Payment</v>
      </c>
      <c r="I474" s="8">
        <f t="shared" si="56"/>
        <v>167.39000000000101</v>
      </c>
      <c r="J474" s="90"/>
      <c r="K474" s="90"/>
    </row>
    <row r="475" spans="1:11" ht="18" customHeight="1" x14ac:dyDescent="0.2">
      <c r="A475" s="20">
        <f t="shared" si="53"/>
        <v>2021</v>
      </c>
      <c r="B475" s="6">
        <f t="shared" si="54"/>
        <v>7</v>
      </c>
      <c r="C475" s="115">
        <v>44393</v>
      </c>
      <c r="D475" s="115">
        <v>44393</v>
      </c>
      <c r="E475" s="96" t="s">
        <v>731</v>
      </c>
      <c r="F475" s="8">
        <v>30.29</v>
      </c>
      <c r="G475" s="90" t="s">
        <v>24</v>
      </c>
      <c r="H475" s="7" t="str">
        <f t="shared" si="55"/>
        <v>Variable</v>
      </c>
      <c r="I475" s="8">
        <f t="shared" si="56"/>
        <v>197.680000000001</v>
      </c>
      <c r="J475" s="90"/>
      <c r="K475" s="23" t="s">
        <v>633</v>
      </c>
    </row>
    <row r="476" spans="1:11" ht="18" customHeight="1" x14ac:dyDescent="0.2">
      <c r="A476" s="20">
        <f t="shared" si="53"/>
        <v>2021</v>
      </c>
      <c r="B476" s="6">
        <f t="shared" si="54"/>
        <v>7</v>
      </c>
      <c r="C476" s="115">
        <v>44393</v>
      </c>
      <c r="D476" s="115">
        <v>44393</v>
      </c>
      <c r="E476" s="96" t="s">
        <v>141</v>
      </c>
      <c r="F476" s="8">
        <v>4.99</v>
      </c>
      <c r="G476" s="90" t="s">
        <v>68</v>
      </c>
      <c r="H476" s="7" t="str">
        <f t="shared" si="55"/>
        <v>Variable</v>
      </c>
      <c r="I476" s="8">
        <f t="shared" si="56"/>
        <v>202.67000000000101</v>
      </c>
      <c r="J476" s="187" t="s">
        <v>748</v>
      </c>
      <c r="K476" s="199" t="s">
        <v>632</v>
      </c>
    </row>
    <row r="477" spans="1:11" ht="18" customHeight="1" x14ac:dyDescent="0.2">
      <c r="A477" s="20">
        <f t="shared" si="53"/>
        <v>2021</v>
      </c>
      <c r="B477" s="6">
        <f t="shared" si="54"/>
        <v>7</v>
      </c>
      <c r="C477" s="115">
        <v>44393</v>
      </c>
      <c r="D477" s="115">
        <v>44393</v>
      </c>
      <c r="E477" s="96" t="s">
        <v>141</v>
      </c>
      <c r="F477" s="8">
        <v>59.99</v>
      </c>
      <c r="G477" s="90" t="s">
        <v>68</v>
      </c>
      <c r="H477" s="7" t="str">
        <f t="shared" si="55"/>
        <v>Variable</v>
      </c>
      <c r="I477" s="8">
        <f t="shared" si="56"/>
        <v>262.66000000000099</v>
      </c>
      <c r="J477" s="187" t="s">
        <v>747</v>
      </c>
      <c r="K477" s="199" t="s">
        <v>632</v>
      </c>
    </row>
    <row r="478" spans="1:11" ht="18" customHeight="1" x14ac:dyDescent="0.2">
      <c r="A478" s="20">
        <f t="shared" si="53"/>
        <v>2021</v>
      </c>
      <c r="B478" s="6">
        <f t="shared" si="54"/>
        <v>7</v>
      </c>
      <c r="C478" s="115">
        <v>44393</v>
      </c>
      <c r="D478" s="115">
        <v>44393</v>
      </c>
      <c r="E478" s="96" t="s">
        <v>732</v>
      </c>
      <c r="F478" s="8">
        <v>50</v>
      </c>
      <c r="G478" s="187" t="s">
        <v>26</v>
      </c>
      <c r="H478" s="7" t="str">
        <f t="shared" si="55"/>
        <v>Fixed</v>
      </c>
      <c r="I478" s="8">
        <f t="shared" si="56"/>
        <v>312.66000000000099</v>
      </c>
      <c r="J478" s="187" t="s">
        <v>746</v>
      </c>
      <c r="K478" s="19" t="s">
        <v>788</v>
      </c>
    </row>
    <row r="479" spans="1:11" ht="18" customHeight="1" x14ac:dyDescent="0.2">
      <c r="A479" s="20">
        <f t="shared" si="53"/>
        <v>2021</v>
      </c>
      <c r="B479" s="6">
        <f t="shared" si="54"/>
        <v>7</v>
      </c>
      <c r="C479" s="115">
        <v>44394</v>
      </c>
      <c r="D479" s="115">
        <v>44394</v>
      </c>
      <c r="E479" s="96" t="s">
        <v>733</v>
      </c>
      <c r="F479" s="8">
        <v>5.87</v>
      </c>
      <c r="G479" s="90" t="s">
        <v>41</v>
      </c>
      <c r="H479" s="7" t="str">
        <f t="shared" si="55"/>
        <v>Variable</v>
      </c>
      <c r="I479" s="8">
        <f t="shared" si="56"/>
        <v>318.530000000001</v>
      </c>
      <c r="J479" s="187" t="s">
        <v>749</v>
      </c>
      <c r="K479" s="199" t="s">
        <v>682</v>
      </c>
    </row>
    <row r="480" spans="1:11" ht="18" customHeight="1" x14ac:dyDescent="0.2">
      <c r="A480" s="20">
        <f t="shared" si="53"/>
        <v>2021</v>
      </c>
      <c r="B480" s="6">
        <f t="shared" si="54"/>
        <v>7</v>
      </c>
      <c r="C480" s="115">
        <v>44394</v>
      </c>
      <c r="D480" s="115">
        <v>44394</v>
      </c>
      <c r="E480" s="96" t="s">
        <v>733</v>
      </c>
      <c r="F480" s="8">
        <v>8.8699999999999992</v>
      </c>
      <c r="G480" s="90" t="s">
        <v>41</v>
      </c>
      <c r="H480" s="7" t="str">
        <f t="shared" si="55"/>
        <v>Variable</v>
      </c>
      <c r="I480" s="8">
        <f t="shared" si="56"/>
        <v>327.400000000001</v>
      </c>
      <c r="J480" s="187" t="s">
        <v>749</v>
      </c>
      <c r="K480" s="199" t="s">
        <v>682</v>
      </c>
    </row>
    <row r="481" spans="1:11" ht="18" customHeight="1" x14ac:dyDescent="0.2">
      <c r="A481" s="20">
        <f t="shared" si="53"/>
        <v>2021</v>
      </c>
      <c r="B481" s="6">
        <f t="shared" si="54"/>
        <v>7</v>
      </c>
      <c r="C481" s="115">
        <v>44394</v>
      </c>
      <c r="D481" s="115">
        <v>44394</v>
      </c>
      <c r="E481" s="96" t="s">
        <v>733</v>
      </c>
      <c r="F481" s="8">
        <v>13.31</v>
      </c>
      <c r="G481" s="90" t="s">
        <v>41</v>
      </c>
      <c r="H481" s="7" t="str">
        <f t="shared" si="55"/>
        <v>Variable</v>
      </c>
      <c r="I481" s="8">
        <f t="shared" si="56"/>
        <v>340.710000000001</v>
      </c>
      <c r="J481" s="187" t="s">
        <v>749</v>
      </c>
      <c r="K481" s="199" t="s">
        <v>682</v>
      </c>
    </row>
    <row r="482" spans="1:11" ht="18" customHeight="1" x14ac:dyDescent="0.2">
      <c r="A482" s="20">
        <f t="shared" si="53"/>
        <v>2021</v>
      </c>
      <c r="B482" s="6">
        <f t="shared" si="54"/>
        <v>7</v>
      </c>
      <c r="C482" s="115">
        <v>44394</v>
      </c>
      <c r="D482" s="115">
        <v>44394</v>
      </c>
      <c r="E482" s="96" t="s">
        <v>733</v>
      </c>
      <c r="F482" s="8">
        <v>26.92</v>
      </c>
      <c r="G482" s="90" t="s">
        <v>41</v>
      </c>
      <c r="H482" s="7" t="str">
        <f t="shared" si="55"/>
        <v>Variable</v>
      </c>
      <c r="I482" s="8">
        <f t="shared" si="56"/>
        <v>367.63000000000102</v>
      </c>
      <c r="J482" s="187" t="s">
        <v>749</v>
      </c>
      <c r="K482" s="199" t="s">
        <v>682</v>
      </c>
    </row>
    <row r="483" spans="1:11" ht="18" customHeight="1" x14ac:dyDescent="0.2">
      <c r="A483" s="20">
        <f t="shared" si="53"/>
        <v>2021</v>
      </c>
      <c r="B483" s="6">
        <f t="shared" si="54"/>
        <v>7</v>
      </c>
      <c r="C483" s="115">
        <v>44394</v>
      </c>
      <c r="D483" s="115">
        <v>44394</v>
      </c>
      <c r="E483" s="96" t="s">
        <v>733</v>
      </c>
      <c r="F483" s="8">
        <v>27.82</v>
      </c>
      <c r="G483" s="90" t="s">
        <v>41</v>
      </c>
      <c r="H483" s="7" t="str">
        <f t="shared" si="55"/>
        <v>Variable</v>
      </c>
      <c r="I483" s="8">
        <f t="shared" si="56"/>
        <v>395.45000000000101</v>
      </c>
      <c r="J483" s="187" t="s">
        <v>749</v>
      </c>
      <c r="K483" s="199" t="s">
        <v>682</v>
      </c>
    </row>
    <row r="484" spans="1:11" ht="18" customHeight="1" x14ac:dyDescent="0.2">
      <c r="A484" s="20">
        <f t="shared" si="53"/>
        <v>2021</v>
      </c>
      <c r="B484" s="6">
        <f t="shared" si="54"/>
        <v>7</v>
      </c>
      <c r="C484" s="115">
        <v>44394</v>
      </c>
      <c r="D484" s="115">
        <v>44394</v>
      </c>
      <c r="E484" s="96" t="s">
        <v>734</v>
      </c>
      <c r="F484" s="8">
        <v>42.79</v>
      </c>
      <c r="G484" s="90" t="s">
        <v>89</v>
      </c>
      <c r="H484" s="7" t="str">
        <f t="shared" si="55"/>
        <v>Variable</v>
      </c>
      <c r="I484" s="8">
        <f t="shared" si="56"/>
        <v>438.24000000000103</v>
      </c>
      <c r="J484" s="187" t="s">
        <v>749</v>
      </c>
      <c r="K484" s="199" t="s">
        <v>682</v>
      </c>
    </row>
    <row r="485" spans="1:11" ht="18" customHeight="1" x14ac:dyDescent="0.2">
      <c r="A485" s="20">
        <f t="shared" si="53"/>
        <v>2021</v>
      </c>
      <c r="B485" s="6">
        <f t="shared" si="54"/>
        <v>7</v>
      </c>
      <c r="C485" s="115">
        <v>44394</v>
      </c>
      <c r="D485" s="115">
        <v>44394</v>
      </c>
      <c r="E485" s="96" t="s">
        <v>734</v>
      </c>
      <c r="F485" s="8">
        <v>42.8</v>
      </c>
      <c r="G485" s="90" t="s">
        <v>89</v>
      </c>
      <c r="H485" s="7" t="str">
        <f t="shared" si="55"/>
        <v>Variable</v>
      </c>
      <c r="I485" s="8">
        <f t="shared" si="56"/>
        <v>481.04000000000104</v>
      </c>
      <c r="J485" s="187" t="s">
        <v>749</v>
      </c>
      <c r="K485" s="199" t="s">
        <v>682</v>
      </c>
    </row>
    <row r="486" spans="1:11" ht="18" customHeight="1" x14ac:dyDescent="0.2">
      <c r="A486" s="20">
        <f t="shared" si="53"/>
        <v>2021</v>
      </c>
      <c r="B486" s="6">
        <f t="shared" si="54"/>
        <v>7</v>
      </c>
      <c r="C486" s="115">
        <v>44394</v>
      </c>
      <c r="D486" s="115">
        <v>44394</v>
      </c>
      <c r="E486" s="96" t="s">
        <v>735</v>
      </c>
      <c r="F486" s="8">
        <v>25</v>
      </c>
      <c r="G486" s="90" t="s">
        <v>52</v>
      </c>
      <c r="H486" s="7" t="str">
        <f t="shared" si="55"/>
        <v>Variable</v>
      </c>
      <c r="I486" s="8">
        <f t="shared" si="56"/>
        <v>506.04000000000104</v>
      </c>
      <c r="J486" s="187" t="s">
        <v>749</v>
      </c>
      <c r="K486" s="199" t="s">
        <v>682</v>
      </c>
    </row>
    <row r="487" spans="1:11" ht="18" customHeight="1" x14ac:dyDescent="0.2">
      <c r="A487" s="20">
        <f t="shared" si="53"/>
        <v>2021</v>
      </c>
      <c r="B487" s="6">
        <f t="shared" si="54"/>
        <v>7</v>
      </c>
      <c r="C487" s="115">
        <v>44394</v>
      </c>
      <c r="D487" s="115">
        <v>44394</v>
      </c>
      <c r="E487" s="96" t="s">
        <v>736</v>
      </c>
      <c r="F487" s="8">
        <v>10</v>
      </c>
      <c r="G487" s="90" t="s">
        <v>68</v>
      </c>
      <c r="H487" s="7" t="str">
        <f t="shared" si="55"/>
        <v>Variable</v>
      </c>
      <c r="I487" s="8">
        <f t="shared" si="56"/>
        <v>516.0400000000011</v>
      </c>
      <c r="J487" s="187" t="s">
        <v>749</v>
      </c>
      <c r="K487" s="199" t="s">
        <v>682</v>
      </c>
    </row>
    <row r="488" spans="1:11" ht="18" customHeight="1" x14ac:dyDescent="0.2">
      <c r="A488" s="20">
        <f t="shared" si="53"/>
        <v>2021</v>
      </c>
      <c r="B488" s="6">
        <f t="shared" si="54"/>
        <v>7</v>
      </c>
      <c r="C488" s="115">
        <v>44394</v>
      </c>
      <c r="D488" s="115">
        <v>44394</v>
      </c>
      <c r="E488" s="96" t="s">
        <v>737</v>
      </c>
      <c r="F488" s="8">
        <v>9.7200000000000006</v>
      </c>
      <c r="G488" s="90" t="s">
        <v>68</v>
      </c>
      <c r="H488" s="7" t="str">
        <f t="shared" si="55"/>
        <v>Variable</v>
      </c>
      <c r="I488" s="8">
        <f t="shared" si="56"/>
        <v>525.76000000000113</v>
      </c>
      <c r="J488" s="90"/>
      <c r="K488" s="199" t="s">
        <v>675</v>
      </c>
    </row>
    <row r="489" spans="1:11" ht="18" customHeight="1" x14ac:dyDescent="0.2">
      <c r="A489" s="20">
        <f t="shared" si="53"/>
        <v>2021</v>
      </c>
      <c r="B489" s="6">
        <f t="shared" si="54"/>
        <v>7</v>
      </c>
      <c r="C489" s="115">
        <v>44395</v>
      </c>
      <c r="D489" s="115">
        <v>44395</v>
      </c>
      <c r="E489" s="96" t="s">
        <v>738</v>
      </c>
      <c r="F489" s="8">
        <v>14.06</v>
      </c>
      <c r="G489" s="90" t="s">
        <v>41</v>
      </c>
      <c r="H489" s="7" t="str">
        <f t="shared" si="55"/>
        <v>Variable</v>
      </c>
      <c r="I489" s="8">
        <f t="shared" si="56"/>
        <v>539.82000000000107</v>
      </c>
      <c r="J489" s="90"/>
      <c r="K489" s="19" t="s">
        <v>675</v>
      </c>
    </row>
    <row r="490" spans="1:11" ht="18" customHeight="1" x14ac:dyDescent="0.2">
      <c r="A490" s="20">
        <f t="shared" si="53"/>
        <v>2021</v>
      </c>
      <c r="B490" s="6">
        <f t="shared" si="54"/>
        <v>7</v>
      </c>
      <c r="C490" s="115">
        <v>44395</v>
      </c>
      <c r="D490" s="115">
        <v>44395</v>
      </c>
      <c r="E490" s="96" t="s">
        <v>141</v>
      </c>
      <c r="F490" s="8">
        <v>4.79</v>
      </c>
      <c r="G490" s="90" t="s">
        <v>68</v>
      </c>
      <c r="H490" s="7" t="str">
        <f t="shared" si="55"/>
        <v>Variable</v>
      </c>
      <c r="I490" s="8">
        <f t="shared" si="56"/>
        <v>544.61000000000104</v>
      </c>
      <c r="J490" s="90"/>
      <c r="K490" s="199" t="s">
        <v>632</v>
      </c>
    </row>
    <row r="491" spans="1:11" ht="18" customHeight="1" x14ac:dyDescent="0.2">
      <c r="A491" s="20">
        <f t="shared" si="53"/>
        <v>2021</v>
      </c>
      <c r="B491" s="6">
        <f t="shared" si="54"/>
        <v>7</v>
      </c>
      <c r="C491" s="115">
        <v>44395</v>
      </c>
      <c r="D491" s="115">
        <v>44395</v>
      </c>
      <c r="E491" s="96" t="s">
        <v>141</v>
      </c>
      <c r="F491" s="8">
        <v>14.75</v>
      </c>
      <c r="G491" s="90" t="s">
        <v>68</v>
      </c>
      <c r="H491" s="7" t="str">
        <f t="shared" si="55"/>
        <v>Variable</v>
      </c>
      <c r="I491" s="8">
        <f t="shared" si="56"/>
        <v>559.36000000000104</v>
      </c>
      <c r="J491" s="90"/>
      <c r="K491" s="199" t="s">
        <v>632</v>
      </c>
    </row>
    <row r="492" spans="1:11" ht="18" customHeight="1" x14ac:dyDescent="0.2">
      <c r="A492" s="20">
        <f t="shared" si="53"/>
        <v>2021</v>
      </c>
      <c r="B492" s="6">
        <f t="shared" si="54"/>
        <v>7</v>
      </c>
      <c r="C492" s="115">
        <v>44395</v>
      </c>
      <c r="D492" s="115">
        <v>44395</v>
      </c>
      <c r="E492" s="96" t="s">
        <v>739</v>
      </c>
      <c r="F492" s="8">
        <v>22.63</v>
      </c>
      <c r="G492" s="90" t="s">
        <v>41</v>
      </c>
      <c r="H492" s="7" t="str">
        <f t="shared" si="55"/>
        <v>Variable</v>
      </c>
      <c r="I492" s="8">
        <f t="shared" si="56"/>
        <v>581.99000000000103</v>
      </c>
      <c r="J492" s="90"/>
      <c r="K492" s="19" t="s">
        <v>675</v>
      </c>
    </row>
    <row r="493" spans="1:11" ht="18" customHeight="1" x14ac:dyDescent="0.2">
      <c r="A493" s="20">
        <f t="shared" si="53"/>
        <v>2021</v>
      </c>
      <c r="B493" s="6">
        <f t="shared" si="54"/>
        <v>7</v>
      </c>
      <c r="C493" s="115">
        <v>44396</v>
      </c>
      <c r="D493" s="115">
        <v>44396</v>
      </c>
      <c r="E493" s="96" t="s">
        <v>740</v>
      </c>
      <c r="F493" s="8">
        <v>5</v>
      </c>
      <c r="G493" s="90" t="s">
        <v>52</v>
      </c>
      <c r="H493" s="7" t="str">
        <f t="shared" si="55"/>
        <v>Variable</v>
      </c>
      <c r="I493" s="8">
        <f t="shared" si="56"/>
        <v>586.99000000000103</v>
      </c>
      <c r="J493" s="191" t="s">
        <v>751</v>
      </c>
      <c r="K493" s="199" t="s">
        <v>693</v>
      </c>
    </row>
    <row r="494" spans="1:11" ht="18" customHeight="1" x14ac:dyDescent="0.2">
      <c r="A494" s="20">
        <f t="shared" si="53"/>
        <v>2021</v>
      </c>
      <c r="B494" s="6">
        <f t="shared" si="54"/>
        <v>7</v>
      </c>
      <c r="C494" s="115">
        <v>44396</v>
      </c>
      <c r="D494" s="115">
        <v>44396</v>
      </c>
      <c r="E494" s="96" t="s">
        <v>352</v>
      </c>
      <c r="F494" s="8">
        <v>194</v>
      </c>
      <c r="G494" s="90" t="s">
        <v>119</v>
      </c>
      <c r="H494" s="7" t="str">
        <f t="shared" si="55"/>
        <v>Variable</v>
      </c>
      <c r="I494" s="8">
        <f t="shared" si="56"/>
        <v>780.99000000000103</v>
      </c>
      <c r="J494" s="90"/>
      <c r="K494" s="199" t="s">
        <v>693</v>
      </c>
    </row>
    <row r="495" spans="1:11" ht="18" customHeight="1" x14ac:dyDescent="0.2">
      <c r="A495" s="20">
        <f t="shared" si="53"/>
        <v>2021</v>
      </c>
      <c r="B495" s="6">
        <f t="shared" si="54"/>
        <v>7</v>
      </c>
      <c r="C495" s="115">
        <v>44396</v>
      </c>
      <c r="D495" s="115">
        <v>44398</v>
      </c>
      <c r="E495" s="96" t="s">
        <v>352</v>
      </c>
      <c r="F495" s="8">
        <v>-194</v>
      </c>
      <c r="G495" s="90" t="s">
        <v>22</v>
      </c>
      <c r="H495" s="7" t="str">
        <f t="shared" si="55"/>
        <v>Payment</v>
      </c>
      <c r="I495" s="8">
        <f t="shared" si="56"/>
        <v>586.99000000000103</v>
      </c>
      <c r="J495" s="90"/>
      <c r="K495" s="199" t="s">
        <v>693</v>
      </c>
    </row>
    <row r="496" spans="1:11" ht="18" customHeight="1" x14ac:dyDescent="0.2">
      <c r="A496" s="20">
        <f t="shared" si="53"/>
        <v>2021</v>
      </c>
      <c r="B496" s="6">
        <f t="shared" si="54"/>
        <v>7</v>
      </c>
      <c r="C496" s="115">
        <v>44397</v>
      </c>
      <c r="D496" s="115">
        <v>44397</v>
      </c>
      <c r="E496" s="96" t="s">
        <v>741</v>
      </c>
      <c r="F496" s="8">
        <v>9.4600000000000009</v>
      </c>
      <c r="G496" s="90" t="s">
        <v>90</v>
      </c>
      <c r="H496" s="7" t="str">
        <f t="shared" si="55"/>
        <v>Variable</v>
      </c>
      <c r="I496" s="8">
        <f t="shared" si="56"/>
        <v>596.45000000000107</v>
      </c>
      <c r="J496" s="90"/>
      <c r="K496" s="19" t="s">
        <v>675</v>
      </c>
    </row>
    <row r="497" spans="1:11" ht="18" customHeight="1" x14ac:dyDescent="0.2">
      <c r="A497" s="20">
        <f t="shared" si="53"/>
        <v>2021</v>
      </c>
      <c r="B497" s="6">
        <f t="shared" si="54"/>
        <v>7</v>
      </c>
      <c r="C497" s="115">
        <v>44397</v>
      </c>
      <c r="D497" s="115">
        <v>44397</v>
      </c>
      <c r="E497" s="96" t="s">
        <v>741</v>
      </c>
      <c r="F497" s="8">
        <v>70.040000000000006</v>
      </c>
      <c r="G497" s="90" t="s">
        <v>90</v>
      </c>
      <c r="H497" s="7" t="str">
        <f t="shared" si="55"/>
        <v>Variable</v>
      </c>
      <c r="I497" s="8">
        <f t="shared" si="56"/>
        <v>666.49000000000103</v>
      </c>
      <c r="J497" s="90"/>
      <c r="K497" s="19" t="s">
        <v>675</v>
      </c>
    </row>
    <row r="498" spans="1:11" ht="18" customHeight="1" x14ac:dyDescent="0.2">
      <c r="A498" s="20">
        <f t="shared" si="53"/>
        <v>2021</v>
      </c>
      <c r="B498" s="6">
        <f t="shared" si="54"/>
        <v>7</v>
      </c>
      <c r="C498" s="115">
        <v>44397</v>
      </c>
      <c r="D498" s="115">
        <v>44397</v>
      </c>
      <c r="E498" s="96" t="s">
        <v>742</v>
      </c>
      <c r="F498" s="8">
        <v>15.88</v>
      </c>
      <c r="G498" s="90" t="s">
        <v>130</v>
      </c>
      <c r="H498" s="7" t="str">
        <f t="shared" si="55"/>
        <v>Fixed</v>
      </c>
      <c r="I498" s="8">
        <f t="shared" si="56"/>
        <v>682.37000000000103</v>
      </c>
      <c r="J498" s="90"/>
      <c r="K498" s="19" t="s">
        <v>633</v>
      </c>
    </row>
    <row r="499" spans="1:11" ht="18" customHeight="1" x14ac:dyDescent="0.2">
      <c r="A499" s="20">
        <f t="shared" si="53"/>
        <v>2021</v>
      </c>
      <c r="B499" s="6">
        <f t="shared" si="54"/>
        <v>7</v>
      </c>
      <c r="C499" s="115">
        <v>44397</v>
      </c>
      <c r="D499" s="115">
        <v>44397</v>
      </c>
      <c r="E499" s="96" t="s">
        <v>743</v>
      </c>
      <c r="F499" s="8">
        <v>28.6</v>
      </c>
      <c r="G499" s="90" t="s">
        <v>68</v>
      </c>
      <c r="H499" s="7" t="str">
        <f t="shared" si="55"/>
        <v>Variable</v>
      </c>
      <c r="I499" s="8">
        <f t="shared" si="56"/>
        <v>710.97000000000105</v>
      </c>
      <c r="J499" s="90"/>
      <c r="K499" s="199" t="s">
        <v>693</v>
      </c>
    </row>
    <row r="500" spans="1:11" ht="18" customHeight="1" x14ac:dyDescent="0.2">
      <c r="A500" s="20">
        <f t="shared" si="53"/>
        <v>2021</v>
      </c>
      <c r="B500" s="6">
        <f t="shared" si="54"/>
        <v>7</v>
      </c>
      <c r="C500" s="115">
        <v>44397</v>
      </c>
      <c r="D500" s="115">
        <v>44397</v>
      </c>
      <c r="E500" s="96" t="s">
        <v>744</v>
      </c>
      <c r="F500" s="8">
        <v>18</v>
      </c>
      <c r="G500" s="90" t="s">
        <v>130</v>
      </c>
      <c r="H500" s="7" t="str">
        <f t="shared" si="55"/>
        <v>Fixed</v>
      </c>
      <c r="I500" s="8">
        <f t="shared" si="56"/>
        <v>728.97000000000105</v>
      </c>
      <c r="J500" s="90"/>
      <c r="K500" s="19" t="s">
        <v>633</v>
      </c>
    </row>
    <row r="501" spans="1:11" ht="18" customHeight="1" x14ac:dyDescent="0.2">
      <c r="A501" s="20">
        <f t="shared" si="53"/>
        <v>2021</v>
      </c>
      <c r="B501" s="6">
        <f t="shared" si="54"/>
        <v>7</v>
      </c>
      <c r="C501" s="115">
        <v>44397</v>
      </c>
      <c r="D501" s="115">
        <v>44397</v>
      </c>
      <c r="E501" s="96" t="s">
        <v>730</v>
      </c>
      <c r="F501" s="8">
        <v>56.29</v>
      </c>
      <c r="G501" s="90" t="s">
        <v>90</v>
      </c>
      <c r="H501" s="7" t="str">
        <f t="shared" si="55"/>
        <v>Variable</v>
      </c>
      <c r="I501" s="8">
        <f t="shared" si="56"/>
        <v>785.26000000000101</v>
      </c>
      <c r="J501" s="90"/>
      <c r="K501" s="19" t="s">
        <v>675</v>
      </c>
    </row>
    <row r="502" spans="1:11" ht="18" customHeight="1" x14ac:dyDescent="0.2">
      <c r="A502" s="20">
        <f t="shared" si="53"/>
        <v>2021</v>
      </c>
      <c r="B502" s="6">
        <f t="shared" si="54"/>
        <v>7</v>
      </c>
      <c r="C502" s="115">
        <v>44397</v>
      </c>
      <c r="D502" s="115">
        <v>44397</v>
      </c>
      <c r="E502" s="96" t="s">
        <v>745</v>
      </c>
      <c r="F502" s="8">
        <v>20.02</v>
      </c>
      <c r="G502" s="90" t="s">
        <v>68</v>
      </c>
      <c r="H502" s="7" t="str">
        <f t="shared" si="55"/>
        <v>Variable</v>
      </c>
      <c r="I502" s="8">
        <f t="shared" si="56"/>
        <v>805.280000000001</v>
      </c>
      <c r="J502" s="187" t="s">
        <v>750</v>
      </c>
      <c r="K502" s="199" t="s">
        <v>693</v>
      </c>
    </row>
    <row r="503" spans="1:11" ht="18" customHeight="1" x14ac:dyDescent="0.2">
      <c r="A503" s="20">
        <f t="shared" si="53"/>
        <v>2021</v>
      </c>
      <c r="B503" s="6">
        <f t="shared" si="54"/>
        <v>7</v>
      </c>
      <c r="C503" s="115">
        <v>44398</v>
      </c>
      <c r="D503" s="115">
        <v>44398</v>
      </c>
      <c r="E503" s="96" t="s">
        <v>81</v>
      </c>
      <c r="F503" s="8">
        <v>7.99</v>
      </c>
      <c r="G503" s="187" t="s">
        <v>26</v>
      </c>
      <c r="H503" s="7" t="str">
        <f t="shared" si="55"/>
        <v>Fixed</v>
      </c>
      <c r="I503" s="8">
        <f t="shared" si="56"/>
        <v>813.270000000001</v>
      </c>
      <c r="J503" s="116" t="s">
        <v>9</v>
      </c>
      <c r="K503" s="19" t="s">
        <v>788</v>
      </c>
    </row>
    <row r="504" spans="1:11" ht="18" customHeight="1" x14ac:dyDescent="0.2">
      <c r="A504" s="20">
        <f t="shared" si="53"/>
        <v>2021</v>
      </c>
      <c r="B504" s="6">
        <f t="shared" si="54"/>
        <v>7</v>
      </c>
      <c r="C504" s="115">
        <v>44399</v>
      </c>
      <c r="D504" s="115">
        <v>44399</v>
      </c>
      <c r="E504" s="96" t="s">
        <v>21</v>
      </c>
      <c r="F504" s="8">
        <v>-1518.65</v>
      </c>
      <c r="G504" s="90" t="s">
        <v>22</v>
      </c>
      <c r="H504" s="7" t="str">
        <f t="shared" si="55"/>
        <v>Payment</v>
      </c>
      <c r="I504" s="8">
        <f t="shared" si="56"/>
        <v>-705.37999999999909</v>
      </c>
      <c r="J504" s="90"/>
      <c r="K504" s="90"/>
    </row>
    <row r="505" spans="1:11" ht="18" customHeight="1" x14ac:dyDescent="0.2">
      <c r="A505" s="20">
        <f t="shared" ref="A505:A570" si="57">YEAR(C505)</f>
        <v>2021</v>
      </c>
      <c r="B505" s="6">
        <f t="shared" ref="B505:B570" si="58">MONTH(C505)</f>
        <v>7</v>
      </c>
      <c r="C505" s="115">
        <v>44399</v>
      </c>
      <c r="D505" s="115">
        <v>44399</v>
      </c>
      <c r="E505" s="96" t="s">
        <v>196</v>
      </c>
      <c r="F505" s="8">
        <v>35</v>
      </c>
      <c r="G505" s="90" t="s">
        <v>89</v>
      </c>
      <c r="H505" s="7" t="str">
        <f t="shared" ref="H505:H570" si="59">VLOOKUP(G505,Expense_Lookup,2,0)</f>
        <v>Variable</v>
      </c>
      <c r="I505" s="8">
        <f t="shared" ref="I505:I570" si="60">I504+F505</f>
        <v>-670.37999999999909</v>
      </c>
      <c r="J505" s="90"/>
      <c r="K505" s="90" t="s">
        <v>633</v>
      </c>
    </row>
    <row r="506" spans="1:11" ht="18" customHeight="1" x14ac:dyDescent="0.2">
      <c r="A506" s="20">
        <f t="shared" si="57"/>
        <v>2021</v>
      </c>
      <c r="B506" s="6">
        <f t="shared" si="58"/>
        <v>7</v>
      </c>
      <c r="C506" s="115">
        <v>44400</v>
      </c>
      <c r="D506" s="115">
        <v>44400</v>
      </c>
      <c r="E506" s="96" t="s">
        <v>791</v>
      </c>
      <c r="F506" s="8">
        <v>17.989999999999998</v>
      </c>
      <c r="G506" s="90" t="s">
        <v>41</v>
      </c>
      <c r="H506" s="7" t="str">
        <f t="shared" si="59"/>
        <v>Variable</v>
      </c>
      <c r="I506" s="8">
        <f t="shared" si="60"/>
        <v>-652.38999999999908</v>
      </c>
      <c r="J506" s="90"/>
      <c r="K506" s="90" t="s">
        <v>675</v>
      </c>
    </row>
    <row r="507" spans="1:11" ht="18" customHeight="1" x14ac:dyDescent="0.2">
      <c r="A507" s="20">
        <f t="shared" si="57"/>
        <v>2021</v>
      </c>
      <c r="B507" s="6">
        <f t="shared" si="58"/>
        <v>7</v>
      </c>
      <c r="C507" s="115">
        <v>44402</v>
      </c>
      <c r="D507" s="115">
        <v>44402</v>
      </c>
      <c r="E507" s="96" t="s">
        <v>792</v>
      </c>
      <c r="F507" s="8">
        <v>33.340000000000003</v>
      </c>
      <c r="G507" s="90" t="s">
        <v>130</v>
      </c>
      <c r="H507" s="7" t="str">
        <f t="shared" si="59"/>
        <v>Fixed</v>
      </c>
      <c r="I507" s="8">
        <f t="shared" si="60"/>
        <v>-619.04999999999905</v>
      </c>
      <c r="J507" s="90"/>
      <c r="K507" s="90" t="s">
        <v>633</v>
      </c>
    </row>
    <row r="508" spans="1:11" ht="18" customHeight="1" x14ac:dyDescent="0.2">
      <c r="A508" s="20">
        <f t="shared" si="57"/>
        <v>2021</v>
      </c>
      <c r="B508" s="6">
        <f t="shared" si="58"/>
        <v>7</v>
      </c>
      <c r="C508" s="115">
        <v>44402</v>
      </c>
      <c r="D508" s="115">
        <v>44402</v>
      </c>
      <c r="E508" s="96" t="s">
        <v>793</v>
      </c>
      <c r="F508" s="8">
        <v>32.75</v>
      </c>
      <c r="G508" s="90" t="s">
        <v>68</v>
      </c>
      <c r="H508" s="7" t="str">
        <f t="shared" si="59"/>
        <v>Variable</v>
      </c>
      <c r="I508" s="8">
        <f t="shared" si="60"/>
        <v>-586.29999999999905</v>
      </c>
      <c r="J508" s="90"/>
      <c r="K508" s="90" t="s">
        <v>676</v>
      </c>
    </row>
    <row r="509" spans="1:11" ht="18" customHeight="1" x14ac:dyDescent="0.2">
      <c r="A509" s="20">
        <f t="shared" si="57"/>
        <v>2021</v>
      </c>
      <c r="B509" s="6">
        <f t="shared" si="58"/>
        <v>7</v>
      </c>
      <c r="C509" s="115">
        <v>44402</v>
      </c>
      <c r="D509" s="115">
        <v>44402</v>
      </c>
      <c r="E509" s="96" t="s">
        <v>188</v>
      </c>
      <c r="F509" s="8">
        <v>3</v>
      </c>
      <c r="G509" s="90" t="s">
        <v>130</v>
      </c>
      <c r="H509" s="7" t="str">
        <f t="shared" si="59"/>
        <v>Fixed</v>
      </c>
      <c r="I509" s="8">
        <f t="shared" si="60"/>
        <v>-583.29999999999905</v>
      </c>
      <c r="J509" s="90"/>
      <c r="K509" s="90" t="s">
        <v>633</v>
      </c>
    </row>
    <row r="510" spans="1:11" ht="18" customHeight="1" x14ac:dyDescent="0.2">
      <c r="A510" s="20">
        <f t="shared" si="57"/>
        <v>2021</v>
      </c>
      <c r="B510" s="6">
        <f t="shared" si="58"/>
        <v>7</v>
      </c>
      <c r="C510" s="115">
        <v>44404</v>
      </c>
      <c r="D510" s="115">
        <v>44404</v>
      </c>
      <c r="E510" s="96" t="s">
        <v>794</v>
      </c>
      <c r="F510" s="8">
        <v>1.1200000000000001</v>
      </c>
      <c r="G510" s="90" t="s">
        <v>41</v>
      </c>
      <c r="H510" s="7" t="str">
        <f t="shared" si="59"/>
        <v>Variable</v>
      </c>
      <c r="I510" s="8">
        <f t="shared" si="60"/>
        <v>-582.17999999999904</v>
      </c>
      <c r="J510" s="90"/>
      <c r="K510" s="90" t="s">
        <v>675</v>
      </c>
    </row>
    <row r="511" spans="1:11" ht="18" customHeight="1" x14ac:dyDescent="0.2">
      <c r="A511" s="20">
        <f t="shared" si="57"/>
        <v>2021</v>
      </c>
      <c r="B511" s="6">
        <f t="shared" si="58"/>
        <v>7</v>
      </c>
      <c r="C511" s="115">
        <v>44404</v>
      </c>
      <c r="D511" s="115">
        <v>44404</v>
      </c>
      <c r="E511" s="96" t="s">
        <v>112</v>
      </c>
      <c r="F511" s="8">
        <v>9.99</v>
      </c>
      <c r="G511" s="90" t="s">
        <v>52</v>
      </c>
      <c r="H511" s="203" t="s">
        <v>26</v>
      </c>
      <c r="I511" s="8">
        <f t="shared" si="60"/>
        <v>-572.18999999999903</v>
      </c>
      <c r="J511" s="116" t="s">
        <v>295</v>
      </c>
      <c r="K511" s="90" t="s">
        <v>788</v>
      </c>
    </row>
    <row r="512" spans="1:11" ht="18" customHeight="1" x14ac:dyDescent="0.2">
      <c r="A512" s="20">
        <f t="shared" si="57"/>
        <v>2021</v>
      </c>
      <c r="B512" s="6">
        <f t="shared" si="58"/>
        <v>7</v>
      </c>
      <c r="C512" s="115">
        <v>44404</v>
      </c>
      <c r="D512" s="115">
        <v>44404</v>
      </c>
      <c r="E512" s="96" t="s">
        <v>795</v>
      </c>
      <c r="F512" s="8">
        <v>29.5</v>
      </c>
      <c r="G512" s="90" t="s">
        <v>89</v>
      </c>
      <c r="H512" s="7" t="str">
        <f t="shared" si="59"/>
        <v>Variable</v>
      </c>
      <c r="I512" s="8">
        <f t="shared" si="60"/>
        <v>-542.68999999999903</v>
      </c>
      <c r="J512" s="203" t="s">
        <v>842</v>
      </c>
      <c r="K512" s="90" t="s">
        <v>632</v>
      </c>
    </row>
    <row r="513" spans="1:11" ht="18" customHeight="1" x14ac:dyDescent="0.2">
      <c r="A513" s="20">
        <f t="shared" si="57"/>
        <v>2021</v>
      </c>
      <c r="B513" s="6">
        <f t="shared" si="58"/>
        <v>7</v>
      </c>
      <c r="C513" s="115">
        <v>44405</v>
      </c>
      <c r="D513" s="115">
        <v>44405</v>
      </c>
      <c r="E513" s="96" t="s">
        <v>796</v>
      </c>
      <c r="F513" s="8">
        <v>324.04000000000002</v>
      </c>
      <c r="G513" s="90" t="s">
        <v>130</v>
      </c>
      <c r="H513" s="7" t="str">
        <f t="shared" si="59"/>
        <v>Fixed</v>
      </c>
      <c r="I513" s="8">
        <f t="shared" si="60"/>
        <v>-218.64999999999901</v>
      </c>
      <c r="J513" s="203" t="s">
        <v>843</v>
      </c>
      <c r="K513" s="90" t="s">
        <v>633</v>
      </c>
    </row>
    <row r="514" spans="1:11" ht="18" customHeight="1" x14ac:dyDescent="0.2">
      <c r="A514" s="20">
        <f t="shared" si="57"/>
        <v>2021</v>
      </c>
      <c r="B514" s="6">
        <f t="shared" si="58"/>
        <v>7</v>
      </c>
      <c r="C514" s="115">
        <v>44406</v>
      </c>
      <c r="D514" s="115">
        <v>44406</v>
      </c>
      <c r="E514" s="96" t="s">
        <v>797</v>
      </c>
      <c r="F514" s="8">
        <v>61.97</v>
      </c>
      <c r="G514" s="90" t="s">
        <v>89</v>
      </c>
      <c r="H514" s="7" t="str">
        <f t="shared" si="59"/>
        <v>Variable</v>
      </c>
      <c r="I514" s="8">
        <f t="shared" si="60"/>
        <v>-156.67999999999901</v>
      </c>
      <c r="J514" s="203" t="s">
        <v>843</v>
      </c>
      <c r="K514" s="90" t="s">
        <v>633</v>
      </c>
    </row>
    <row r="515" spans="1:11" ht="18" customHeight="1" x14ac:dyDescent="0.2">
      <c r="A515" s="20">
        <f t="shared" si="57"/>
        <v>2021</v>
      </c>
      <c r="B515" s="6">
        <f t="shared" si="58"/>
        <v>7</v>
      </c>
      <c r="C515" s="115">
        <v>44406</v>
      </c>
      <c r="D515" s="115">
        <v>44406</v>
      </c>
      <c r="E515" s="96" t="s">
        <v>798</v>
      </c>
      <c r="F515" s="8">
        <v>30</v>
      </c>
      <c r="G515" s="90" t="s">
        <v>41</v>
      </c>
      <c r="H515" s="7" t="str">
        <f t="shared" si="59"/>
        <v>Variable</v>
      </c>
      <c r="I515" s="8">
        <f t="shared" si="60"/>
        <v>-126.67999999999901</v>
      </c>
      <c r="J515" s="90"/>
      <c r="K515" s="90" t="s">
        <v>675</v>
      </c>
    </row>
    <row r="516" spans="1:11" ht="18" customHeight="1" x14ac:dyDescent="0.2">
      <c r="A516" s="20">
        <f t="shared" si="57"/>
        <v>2021</v>
      </c>
      <c r="B516" s="6">
        <f t="shared" si="58"/>
        <v>7</v>
      </c>
      <c r="C516" s="115">
        <v>44407</v>
      </c>
      <c r="D516" s="115">
        <v>44407</v>
      </c>
      <c r="E516" s="96" t="s">
        <v>799</v>
      </c>
      <c r="F516" s="8">
        <v>8.3000000000000007</v>
      </c>
      <c r="G516" s="90" t="s">
        <v>52</v>
      </c>
      <c r="H516" s="7" t="str">
        <f t="shared" si="59"/>
        <v>Variable</v>
      </c>
      <c r="I516" s="8">
        <f t="shared" si="60"/>
        <v>-118.37999999999901</v>
      </c>
      <c r="J516" s="203" t="s">
        <v>842</v>
      </c>
      <c r="K516" s="90" t="s">
        <v>632</v>
      </c>
    </row>
    <row r="517" spans="1:11" ht="18" customHeight="1" x14ac:dyDescent="0.2">
      <c r="A517" s="20">
        <f t="shared" si="57"/>
        <v>2021</v>
      </c>
      <c r="B517" s="6">
        <f t="shared" si="58"/>
        <v>7</v>
      </c>
      <c r="C517" s="115">
        <v>44407</v>
      </c>
      <c r="D517" s="115">
        <v>44407</v>
      </c>
      <c r="E517" s="96" t="s">
        <v>800</v>
      </c>
      <c r="F517" s="8">
        <v>15.3</v>
      </c>
      <c r="G517" s="90" t="s">
        <v>68</v>
      </c>
      <c r="H517" s="7" t="str">
        <f t="shared" si="59"/>
        <v>Variable</v>
      </c>
      <c r="I517" s="8">
        <f t="shared" si="60"/>
        <v>-103.07999999999902</v>
      </c>
      <c r="J517" s="203" t="s">
        <v>844</v>
      </c>
      <c r="K517" s="90" t="s">
        <v>687</v>
      </c>
    </row>
    <row r="518" spans="1:11" ht="18" customHeight="1" x14ac:dyDescent="0.2">
      <c r="A518" s="20">
        <f t="shared" si="57"/>
        <v>2021</v>
      </c>
      <c r="B518" s="6">
        <f t="shared" si="58"/>
        <v>7</v>
      </c>
      <c r="C518" s="115">
        <v>44408</v>
      </c>
      <c r="D518" s="115">
        <v>44408</v>
      </c>
      <c r="E518" s="96" t="s">
        <v>801</v>
      </c>
      <c r="F518" s="8">
        <v>3.78</v>
      </c>
      <c r="G518" s="90" t="s">
        <v>68</v>
      </c>
      <c r="H518" s="7" t="str">
        <f t="shared" si="59"/>
        <v>Variable</v>
      </c>
      <c r="I518" s="8">
        <f t="shared" si="60"/>
        <v>-99.299999999999017</v>
      </c>
      <c r="J518" s="90"/>
      <c r="K518" s="90" t="s">
        <v>676</v>
      </c>
    </row>
    <row r="519" spans="1:11" ht="18" customHeight="1" x14ac:dyDescent="0.2">
      <c r="A519" s="20">
        <f t="shared" si="57"/>
        <v>2021</v>
      </c>
      <c r="B519" s="6">
        <f t="shared" si="58"/>
        <v>7</v>
      </c>
      <c r="C519" s="115">
        <v>44408</v>
      </c>
      <c r="D519" s="115">
        <v>44408</v>
      </c>
      <c r="E519" s="96" t="s">
        <v>802</v>
      </c>
      <c r="F519" s="8">
        <v>12.02</v>
      </c>
      <c r="G519" s="90" t="s">
        <v>41</v>
      </c>
      <c r="H519" s="7" t="str">
        <f t="shared" si="59"/>
        <v>Variable</v>
      </c>
      <c r="I519" s="8">
        <f t="shared" si="60"/>
        <v>-87.279999999999021</v>
      </c>
      <c r="J519" s="203" t="s">
        <v>53</v>
      </c>
      <c r="K519" s="90" t="s">
        <v>675</v>
      </c>
    </row>
    <row r="520" spans="1:11" ht="18" customHeight="1" x14ac:dyDescent="0.2">
      <c r="A520" s="20">
        <f t="shared" si="57"/>
        <v>2021</v>
      </c>
      <c r="B520" s="6">
        <f t="shared" si="58"/>
        <v>7</v>
      </c>
      <c r="C520" s="115">
        <v>44408</v>
      </c>
      <c r="D520" s="115">
        <v>44408</v>
      </c>
      <c r="E520" s="96" t="s">
        <v>803</v>
      </c>
      <c r="F520" s="8">
        <v>84</v>
      </c>
      <c r="G520" s="90" t="s">
        <v>89</v>
      </c>
      <c r="H520" s="7" t="str">
        <f t="shared" si="59"/>
        <v>Variable</v>
      </c>
      <c r="I520" s="8">
        <f t="shared" si="60"/>
        <v>-3.2799999999990206</v>
      </c>
      <c r="J520" s="203" t="s">
        <v>842</v>
      </c>
      <c r="K520" s="90" t="s">
        <v>632</v>
      </c>
    </row>
    <row r="521" spans="1:11" ht="18" customHeight="1" x14ac:dyDescent="0.2">
      <c r="A521" s="20">
        <f t="shared" si="57"/>
        <v>2021</v>
      </c>
      <c r="B521" s="6">
        <f t="shared" si="58"/>
        <v>7</v>
      </c>
      <c r="C521" s="115">
        <v>44408</v>
      </c>
      <c r="D521" s="115">
        <v>44408</v>
      </c>
      <c r="E521" s="96" t="s">
        <v>804</v>
      </c>
      <c r="F521" s="8">
        <v>9</v>
      </c>
      <c r="G521" s="90" t="s">
        <v>52</v>
      </c>
      <c r="H521" s="7" t="str">
        <f t="shared" si="59"/>
        <v>Variable</v>
      </c>
      <c r="I521" s="8">
        <f t="shared" si="60"/>
        <v>5.7200000000009794</v>
      </c>
      <c r="J521" s="203" t="s">
        <v>53</v>
      </c>
      <c r="K521" s="90" t="s">
        <v>633</v>
      </c>
    </row>
    <row r="522" spans="1:11" ht="18" customHeight="1" x14ac:dyDescent="0.2">
      <c r="A522" s="20">
        <f t="shared" si="57"/>
        <v>2021</v>
      </c>
      <c r="B522" s="6">
        <f t="shared" si="58"/>
        <v>8</v>
      </c>
      <c r="C522" s="206">
        <v>44409</v>
      </c>
      <c r="D522" s="206">
        <v>44409</v>
      </c>
      <c r="E522" s="96" t="s">
        <v>805</v>
      </c>
      <c r="F522" s="8">
        <v>14.83</v>
      </c>
      <c r="G522" s="203" t="s">
        <v>26</v>
      </c>
      <c r="H522" s="7" t="str">
        <f t="shared" si="59"/>
        <v>Fixed</v>
      </c>
      <c r="I522" s="8">
        <f t="shared" si="60"/>
        <v>20.550000000000978</v>
      </c>
      <c r="J522" s="203" t="s">
        <v>7</v>
      </c>
      <c r="K522" s="90" t="s">
        <v>788</v>
      </c>
    </row>
    <row r="523" spans="1:11" ht="18" customHeight="1" x14ac:dyDescent="0.2">
      <c r="A523" s="20">
        <f t="shared" si="57"/>
        <v>2021</v>
      </c>
      <c r="B523" s="6">
        <f t="shared" si="58"/>
        <v>8</v>
      </c>
      <c r="C523" s="206">
        <v>44409</v>
      </c>
      <c r="D523" s="206">
        <v>44409</v>
      </c>
      <c r="E523" s="96" t="s">
        <v>806</v>
      </c>
      <c r="F523" s="8">
        <v>30.06</v>
      </c>
      <c r="G523" s="90" t="s">
        <v>41</v>
      </c>
      <c r="H523" s="7" t="str">
        <f t="shared" si="59"/>
        <v>Variable</v>
      </c>
      <c r="I523" s="8">
        <f t="shared" si="60"/>
        <v>50.61000000000098</v>
      </c>
      <c r="J523" s="203" t="s">
        <v>53</v>
      </c>
      <c r="K523" s="90" t="s">
        <v>675</v>
      </c>
    </row>
    <row r="524" spans="1:11" ht="18" customHeight="1" x14ac:dyDescent="0.2">
      <c r="A524" s="20">
        <f t="shared" si="57"/>
        <v>2021</v>
      </c>
      <c r="B524" s="6">
        <f t="shared" si="58"/>
        <v>8</v>
      </c>
      <c r="C524" s="206">
        <v>44409</v>
      </c>
      <c r="D524" s="206">
        <v>44409</v>
      </c>
      <c r="E524" s="96" t="s">
        <v>141</v>
      </c>
      <c r="F524" s="8">
        <v>15.98</v>
      </c>
      <c r="G524" s="90" t="s">
        <v>68</v>
      </c>
      <c r="H524" s="7" t="str">
        <f t="shared" si="59"/>
        <v>Variable</v>
      </c>
      <c r="I524" s="8">
        <f t="shared" si="60"/>
        <v>66.590000000000984</v>
      </c>
      <c r="J524" s="203" t="s">
        <v>845</v>
      </c>
      <c r="K524" s="90" t="s">
        <v>632</v>
      </c>
    </row>
    <row r="525" spans="1:11" ht="18" customHeight="1" x14ac:dyDescent="0.2">
      <c r="A525" s="20">
        <f t="shared" si="57"/>
        <v>2021</v>
      </c>
      <c r="B525" s="6">
        <f t="shared" si="58"/>
        <v>8</v>
      </c>
      <c r="C525" s="206">
        <v>44409</v>
      </c>
      <c r="D525" s="206">
        <v>44409</v>
      </c>
      <c r="E525" s="96" t="s">
        <v>141</v>
      </c>
      <c r="F525" s="8">
        <v>65.66</v>
      </c>
      <c r="G525" s="90" t="s">
        <v>68</v>
      </c>
      <c r="H525" s="7" t="str">
        <f t="shared" si="59"/>
        <v>Variable</v>
      </c>
      <c r="I525" s="8">
        <f t="shared" si="60"/>
        <v>132.25000000000097</v>
      </c>
      <c r="J525" s="203" t="s">
        <v>845</v>
      </c>
      <c r="K525" s="90" t="s">
        <v>632</v>
      </c>
    </row>
    <row r="526" spans="1:11" ht="18" customHeight="1" x14ac:dyDescent="0.2">
      <c r="A526" s="20">
        <f t="shared" si="57"/>
        <v>2021</v>
      </c>
      <c r="B526" s="6">
        <f t="shared" si="58"/>
        <v>8</v>
      </c>
      <c r="C526" s="206">
        <v>44409</v>
      </c>
      <c r="D526" s="206">
        <v>44409</v>
      </c>
      <c r="E526" s="96" t="s">
        <v>807</v>
      </c>
      <c r="F526" s="8">
        <v>9.99</v>
      </c>
      <c r="G526" s="203" t="s">
        <v>26</v>
      </c>
      <c r="H526" s="7" t="str">
        <f t="shared" si="59"/>
        <v>Fixed</v>
      </c>
      <c r="I526" s="8">
        <f t="shared" si="60"/>
        <v>142.24000000000098</v>
      </c>
      <c r="J526" s="203" t="s">
        <v>6</v>
      </c>
      <c r="K526" s="90" t="s">
        <v>632</v>
      </c>
    </row>
    <row r="527" spans="1:11" ht="18" customHeight="1" x14ac:dyDescent="0.2">
      <c r="A527" s="20">
        <f t="shared" si="57"/>
        <v>2021</v>
      </c>
      <c r="B527" s="6">
        <f t="shared" si="58"/>
        <v>8</v>
      </c>
      <c r="C527" s="206">
        <v>44409</v>
      </c>
      <c r="D527" s="206">
        <v>44411</v>
      </c>
      <c r="E527" s="96" t="s">
        <v>808</v>
      </c>
      <c r="F527" s="8">
        <v>17.47</v>
      </c>
      <c r="G527" s="90" t="s">
        <v>52</v>
      </c>
      <c r="H527" s="7" t="str">
        <f t="shared" si="59"/>
        <v>Variable</v>
      </c>
      <c r="I527" s="8">
        <f t="shared" si="60"/>
        <v>159.71000000000097</v>
      </c>
      <c r="J527" s="203" t="s">
        <v>846</v>
      </c>
      <c r="K527" s="90" t="s">
        <v>702</v>
      </c>
    </row>
    <row r="528" spans="1:11" ht="18" customHeight="1" x14ac:dyDescent="0.2">
      <c r="A528" s="20">
        <f t="shared" si="57"/>
        <v>2021</v>
      </c>
      <c r="B528" s="6">
        <f t="shared" si="58"/>
        <v>8</v>
      </c>
      <c r="C528" s="206">
        <v>44410</v>
      </c>
      <c r="D528" s="206">
        <v>44410</v>
      </c>
      <c r="E528" s="96" t="s">
        <v>809</v>
      </c>
      <c r="F528" s="8">
        <v>21.19</v>
      </c>
      <c r="G528" s="203" t="s">
        <v>26</v>
      </c>
      <c r="H528" s="7" t="str">
        <f t="shared" si="59"/>
        <v>Fixed</v>
      </c>
      <c r="I528" s="8">
        <f t="shared" si="60"/>
        <v>180.90000000000097</v>
      </c>
      <c r="J528" s="211" t="s">
        <v>851</v>
      </c>
      <c r="K528" s="90" t="s">
        <v>788</v>
      </c>
    </row>
    <row r="529" spans="1:11" ht="18" customHeight="1" x14ac:dyDescent="0.2">
      <c r="A529" s="20">
        <f t="shared" si="57"/>
        <v>2021</v>
      </c>
      <c r="B529" s="6">
        <f t="shared" si="58"/>
        <v>8</v>
      </c>
      <c r="C529" s="206">
        <v>44410</v>
      </c>
      <c r="D529" s="206">
        <v>44410</v>
      </c>
      <c r="E529" s="96" t="s">
        <v>810</v>
      </c>
      <c r="F529" s="8">
        <v>31.79</v>
      </c>
      <c r="G529" s="203" t="s">
        <v>26</v>
      </c>
      <c r="H529" s="7" t="str">
        <f t="shared" si="59"/>
        <v>Fixed</v>
      </c>
      <c r="I529" s="8">
        <f t="shared" si="60"/>
        <v>212.69000000000096</v>
      </c>
      <c r="J529" s="211" t="s">
        <v>853</v>
      </c>
      <c r="K529" s="90" t="s">
        <v>788</v>
      </c>
    </row>
    <row r="530" spans="1:11" ht="18" customHeight="1" x14ac:dyDescent="0.2">
      <c r="A530" s="20">
        <f t="shared" si="57"/>
        <v>2021</v>
      </c>
      <c r="B530" s="6">
        <f t="shared" si="58"/>
        <v>8</v>
      </c>
      <c r="C530" s="206">
        <v>44410</v>
      </c>
      <c r="D530" s="206">
        <v>44411</v>
      </c>
      <c r="E530" s="96" t="s">
        <v>811</v>
      </c>
      <c r="F530" s="8">
        <v>15</v>
      </c>
      <c r="G530" s="90" t="s">
        <v>68</v>
      </c>
      <c r="H530" s="7" t="str">
        <f t="shared" si="59"/>
        <v>Variable</v>
      </c>
      <c r="I530" s="8">
        <f t="shared" si="60"/>
        <v>227.69000000000096</v>
      </c>
      <c r="J530" s="203" t="s">
        <v>844</v>
      </c>
      <c r="K530" s="90" t="s">
        <v>687</v>
      </c>
    </row>
    <row r="531" spans="1:11" ht="18" customHeight="1" x14ac:dyDescent="0.2">
      <c r="A531" s="20">
        <f t="shared" si="57"/>
        <v>2021</v>
      </c>
      <c r="B531" s="6">
        <f t="shared" si="58"/>
        <v>8</v>
      </c>
      <c r="C531" s="206">
        <v>44410</v>
      </c>
      <c r="D531" s="206">
        <v>44411</v>
      </c>
      <c r="E531" s="96" t="s">
        <v>812</v>
      </c>
      <c r="F531" s="8">
        <v>31.75</v>
      </c>
      <c r="G531" s="90" t="s">
        <v>68</v>
      </c>
      <c r="H531" s="7" t="str">
        <f t="shared" si="59"/>
        <v>Variable</v>
      </c>
      <c r="I531" s="8">
        <f t="shared" si="60"/>
        <v>259.44000000000096</v>
      </c>
      <c r="J531" s="203" t="s">
        <v>847</v>
      </c>
      <c r="K531" s="90" t="s">
        <v>693</v>
      </c>
    </row>
    <row r="532" spans="1:11" ht="18" customHeight="1" x14ac:dyDescent="0.2">
      <c r="A532" s="20">
        <f t="shared" si="57"/>
        <v>2021</v>
      </c>
      <c r="B532" s="6">
        <f t="shared" si="58"/>
        <v>8</v>
      </c>
      <c r="C532" s="206">
        <v>44410</v>
      </c>
      <c r="D532" s="206">
        <v>44411</v>
      </c>
      <c r="E532" s="96" t="s">
        <v>813</v>
      </c>
      <c r="F532" s="8">
        <v>7.49</v>
      </c>
      <c r="G532" s="203" t="s">
        <v>26</v>
      </c>
      <c r="H532" s="7" t="str">
        <f t="shared" si="59"/>
        <v>Fixed</v>
      </c>
      <c r="I532" s="8">
        <f t="shared" si="60"/>
        <v>266.93000000000097</v>
      </c>
      <c r="J532" s="90"/>
      <c r="K532" s="90" t="s">
        <v>788</v>
      </c>
    </row>
    <row r="533" spans="1:11" ht="18" customHeight="1" x14ac:dyDescent="0.2">
      <c r="A533" s="20">
        <f t="shared" si="57"/>
        <v>2021</v>
      </c>
      <c r="B533" s="6">
        <f t="shared" si="58"/>
        <v>8</v>
      </c>
      <c r="C533" s="206">
        <v>44410</v>
      </c>
      <c r="D533" s="206">
        <v>44411</v>
      </c>
      <c r="E533" s="96" t="s">
        <v>577</v>
      </c>
      <c r="F533" s="8">
        <v>10</v>
      </c>
      <c r="G533" s="203" t="s">
        <v>26</v>
      </c>
      <c r="H533" s="7" t="str">
        <f t="shared" si="59"/>
        <v>Fixed</v>
      </c>
      <c r="I533" s="8">
        <f t="shared" si="60"/>
        <v>276.93000000000097</v>
      </c>
      <c r="J533" s="211" t="s">
        <v>299</v>
      </c>
      <c r="K533" s="90" t="s">
        <v>788</v>
      </c>
    </row>
    <row r="534" spans="1:11" ht="18" customHeight="1" x14ac:dyDescent="0.2">
      <c r="A534" s="20">
        <f t="shared" si="57"/>
        <v>2021</v>
      </c>
      <c r="B534" s="6">
        <f t="shared" si="58"/>
        <v>8</v>
      </c>
      <c r="C534" s="206">
        <v>44411</v>
      </c>
      <c r="D534" s="206">
        <v>44411</v>
      </c>
      <c r="E534" s="96" t="s">
        <v>814</v>
      </c>
      <c r="F534" s="8">
        <v>51.94</v>
      </c>
      <c r="G534" s="90" t="s">
        <v>68</v>
      </c>
      <c r="H534" s="7" t="str">
        <f t="shared" si="59"/>
        <v>Variable</v>
      </c>
      <c r="I534" s="8">
        <f t="shared" si="60"/>
        <v>328.87000000000097</v>
      </c>
      <c r="J534" s="203" t="s">
        <v>847</v>
      </c>
      <c r="K534" s="90" t="s">
        <v>693</v>
      </c>
    </row>
    <row r="535" spans="1:11" ht="18" customHeight="1" x14ac:dyDescent="0.2">
      <c r="A535" s="20">
        <f t="shared" si="57"/>
        <v>2021</v>
      </c>
      <c r="B535" s="6">
        <f t="shared" si="58"/>
        <v>8</v>
      </c>
      <c r="C535" s="206">
        <v>44411</v>
      </c>
      <c r="D535" s="206">
        <v>44411</v>
      </c>
      <c r="E535" s="96" t="s">
        <v>815</v>
      </c>
      <c r="F535" s="8">
        <v>63.59</v>
      </c>
      <c r="G535" s="203" t="s">
        <v>26</v>
      </c>
      <c r="H535" s="7" t="str">
        <f t="shared" si="59"/>
        <v>Fixed</v>
      </c>
      <c r="I535" s="8">
        <f t="shared" si="60"/>
        <v>392.46000000000095</v>
      </c>
      <c r="J535" s="203" t="s">
        <v>852</v>
      </c>
      <c r="K535" s="90" t="s">
        <v>788</v>
      </c>
    </row>
    <row r="536" spans="1:11" ht="18" customHeight="1" x14ac:dyDescent="0.2">
      <c r="A536" s="20">
        <f t="shared" si="57"/>
        <v>2021</v>
      </c>
      <c r="B536" s="6">
        <f t="shared" si="58"/>
        <v>8</v>
      </c>
      <c r="C536" s="206">
        <v>44411</v>
      </c>
      <c r="D536" s="206">
        <v>44411</v>
      </c>
      <c r="E536" s="96" t="s">
        <v>816</v>
      </c>
      <c r="F536" s="8">
        <v>4.97</v>
      </c>
      <c r="G536" s="90" t="s">
        <v>41</v>
      </c>
      <c r="H536" s="7" t="str">
        <f t="shared" si="59"/>
        <v>Variable</v>
      </c>
      <c r="I536" s="8">
        <f t="shared" si="60"/>
        <v>397.43000000000097</v>
      </c>
      <c r="J536" s="90"/>
      <c r="K536" s="90" t="s">
        <v>675</v>
      </c>
    </row>
    <row r="537" spans="1:11" ht="18" customHeight="1" x14ac:dyDescent="0.2">
      <c r="A537" s="20">
        <f t="shared" si="57"/>
        <v>2021</v>
      </c>
      <c r="B537" s="6">
        <f t="shared" si="58"/>
        <v>8</v>
      </c>
      <c r="C537" s="206">
        <v>44411</v>
      </c>
      <c r="D537" s="206">
        <v>44411</v>
      </c>
      <c r="E537" s="96" t="s">
        <v>816</v>
      </c>
      <c r="F537" s="8">
        <v>13.72</v>
      </c>
      <c r="G537" s="90" t="s">
        <v>41</v>
      </c>
      <c r="H537" s="7" t="str">
        <f t="shared" si="59"/>
        <v>Variable</v>
      </c>
      <c r="I537" s="8">
        <f t="shared" si="60"/>
        <v>411.150000000001</v>
      </c>
      <c r="J537" s="90"/>
      <c r="K537" s="90" t="s">
        <v>675</v>
      </c>
    </row>
    <row r="538" spans="1:11" ht="18" customHeight="1" x14ac:dyDescent="0.2">
      <c r="A538" s="20">
        <f t="shared" si="57"/>
        <v>2021</v>
      </c>
      <c r="B538" s="6">
        <f t="shared" si="58"/>
        <v>8</v>
      </c>
      <c r="C538" s="206">
        <v>44411</v>
      </c>
      <c r="D538" s="206">
        <v>44411</v>
      </c>
      <c r="E538" s="96" t="s">
        <v>547</v>
      </c>
      <c r="F538" s="8">
        <v>36.78</v>
      </c>
      <c r="G538" s="90" t="s">
        <v>90</v>
      </c>
      <c r="H538" s="7" t="str">
        <f t="shared" si="59"/>
        <v>Variable</v>
      </c>
      <c r="I538" s="8">
        <f t="shared" si="60"/>
        <v>447.93000000000097</v>
      </c>
      <c r="J538" s="90"/>
      <c r="K538" s="90" t="s">
        <v>675</v>
      </c>
    </row>
    <row r="539" spans="1:11" ht="18" customHeight="1" x14ac:dyDescent="0.2">
      <c r="A539" s="20">
        <f t="shared" si="57"/>
        <v>2021</v>
      </c>
      <c r="B539" s="6">
        <f t="shared" si="58"/>
        <v>8</v>
      </c>
      <c r="C539" s="206">
        <v>44411</v>
      </c>
      <c r="D539" s="206">
        <v>44411</v>
      </c>
      <c r="E539" s="96" t="s">
        <v>731</v>
      </c>
      <c r="F539" s="8">
        <v>29.69</v>
      </c>
      <c r="G539" s="90" t="s">
        <v>24</v>
      </c>
      <c r="H539" s="7" t="str">
        <f t="shared" si="59"/>
        <v>Variable</v>
      </c>
      <c r="I539" s="8">
        <f t="shared" si="60"/>
        <v>477.62000000000097</v>
      </c>
      <c r="J539" s="90"/>
      <c r="K539" s="90" t="s">
        <v>633</v>
      </c>
    </row>
    <row r="540" spans="1:11" ht="18" customHeight="1" x14ac:dyDescent="0.2">
      <c r="A540" s="20">
        <f t="shared" si="57"/>
        <v>2021</v>
      </c>
      <c r="B540" s="6">
        <f t="shared" si="58"/>
        <v>8</v>
      </c>
      <c r="C540" s="206">
        <v>44411</v>
      </c>
      <c r="D540" s="206">
        <v>44411</v>
      </c>
      <c r="E540" s="96" t="s">
        <v>181</v>
      </c>
      <c r="F540" s="8">
        <v>11.99</v>
      </c>
      <c r="G540" s="203" t="s">
        <v>26</v>
      </c>
      <c r="H540" s="7" t="str">
        <f t="shared" si="59"/>
        <v>Fixed</v>
      </c>
      <c r="I540" s="8">
        <f t="shared" si="60"/>
        <v>489.61000000000098</v>
      </c>
      <c r="J540" s="203" t="s">
        <v>298</v>
      </c>
      <c r="K540" s="90" t="s">
        <v>788</v>
      </c>
    </row>
    <row r="541" spans="1:11" ht="18" customHeight="1" x14ac:dyDescent="0.2">
      <c r="A541" s="20">
        <f t="shared" si="57"/>
        <v>2021</v>
      </c>
      <c r="B541" s="6">
        <f t="shared" si="58"/>
        <v>8</v>
      </c>
      <c r="C541" s="206">
        <v>44411</v>
      </c>
      <c r="D541" s="206">
        <v>44411</v>
      </c>
      <c r="E541" s="96" t="s">
        <v>32</v>
      </c>
      <c r="F541" s="8">
        <v>92.07</v>
      </c>
      <c r="G541" s="203" t="s">
        <v>26</v>
      </c>
      <c r="H541" s="7" t="str">
        <f t="shared" si="59"/>
        <v>Fixed</v>
      </c>
      <c r="I541" s="8">
        <f t="shared" si="60"/>
        <v>581.68000000000097</v>
      </c>
      <c r="J541" s="203" t="s">
        <v>8</v>
      </c>
      <c r="K541" s="90" t="s">
        <v>788</v>
      </c>
    </row>
    <row r="542" spans="1:11" ht="18" customHeight="1" x14ac:dyDescent="0.2">
      <c r="A542" s="20">
        <f t="shared" si="57"/>
        <v>2021</v>
      </c>
      <c r="B542" s="6">
        <f t="shared" si="58"/>
        <v>8</v>
      </c>
      <c r="C542" s="206">
        <v>44411</v>
      </c>
      <c r="D542" s="206">
        <v>44411</v>
      </c>
      <c r="E542" s="96" t="s">
        <v>817</v>
      </c>
      <c r="F542" s="8">
        <v>4.8</v>
      </c>
      <c r="G542" s="90" t="s">
        <v>91</v>
      </c>
      <c r="H542" s="7" t="str">
        <f t="shared" si="59"/>
        <v>Variable</v>
      </c>
      <c r="I542" s="8">
        <f t="shared" si="60"/>
        <v>586.48000000000093</v>
      </c>
      <c r="J542" s="90"/>
      <c r="K542" s="90" t="s">
        <v>702</v>
      </c>
    </row>
    <row r="543" spans="1:11" ht="18" customHeight="1" x14ac:dyDescent="0.2">
      <c r="A543" s="20">
        <f t="shared" si="57"/>
        <v>2021</v>
      </c>
      <c r="B543" s="6">
        <f t="shared" si="58"/>
        <v>8</v>
      </c>
      <c r="C543" s="206">
        <v>44412</v>
      </c>
      <c r="D543" s="206">
        <v>44412</v>
      </c>
      <c r="E543" s="96" t="s">
        <v>818</v>
      </c>
      <c r="F543" s="8">
        <v>63.59</v>
      </c>
      <c r="G543" s="203" t="s">
        <v>26</v>
      </c>
      <c r="H543" s="7" t="str">
        <f t="shared" si="59"/>
        <v>Fixed</v>
      </c>
      <c r="I543" s="8">
        <f t="shared" si="60"/>
        <v>650.07000000000096</v>
      </c>
      <c r="K543" s="90" t="s">
        <v>788</v>
      </c>
    </row>
    <row r="544" spans="1:11" ht="18" customHeight="1" x14ac:dyDescent="0.2">
      <c r="A544" s="20">
        <f t="shared" si="57"/>
        <v>2021</v>
      </c>
      <c r="B544" s="6">
        <f t="shared" si="58"/>
        <v>8</v>
      </c>
      <c r="C544" s="206">
        <v>44412</v>
      </c>
      <c r="D544" s="206">
        <v>44412</v>
      </c>
      <c r="E544" s="96" t="s">
        <v>819</v>
      </c>
      <c r="F544" s="8">
        <v>20</v>
      </c>
      <c r="G544" s="90" t="s">
        <v>41</v>
      </c>
      <c r="H544" s="7" t="str">
        <f t="shared" si="59"/>
        <v>Variable</v>
      </c>
      <c r="I544" s="8">
        <f t="shared" si="60"/>
        <v>670.07000000000096</v>
      </c>
      <c r="J544" s="90"/>
      <c r="K544" s="90" t="s">
        <v>675</v>
      </c>
    </row>
    <row r="545" spans="1:11" ht="18" customHeight="1" x14ac:dyDescent="0.2">
      <c r="A545" s="20">
        <f t="shared" si="57"/>
        <v>2021</v>
      </c>
      <c r="B545" s="6">
        <f t="shared" si="58"/>
        <v>8</v>
      </c>
      <c r="C545" s="206">
        <v>44412</v>
      </c>
      <c r="D545" s="206">
        <v>44412</v>
      </c>
      <c r="E545" s="96" t="s">
        <v>21</v>
      </c>
      <c r="F545" s="8">
        <v>-1173.17</v>
      </c>
      <c r="G545" s="90" t="s">
        <v>22</v>
      </c>
      <c r="H545" s="7" t="str">
        <f t="shared" si="59"/>
        <v>Payment</v>
      </c>
      <c r="I545" s="8">
        <f t="shared" si="60"/>
        <v>-503.09999999999911</v>
      </c>
      <c r="J545" s="90"/>
      <c r="K545" s="90"/>
    </row>
    <row r="546" spans="1:11" ht="18" customHeight="1" x14ac:dyDescent="0.2">
      <c r="A546" s="20">
        <f t="shared" si="57"/>
        <v>2021</v>
      </c>
      <c r="B546" s="6">
        <f t="shared" si="58"/>
        <v>8</v>
      </c>
      <c r="C546" s="206">
        <v>44413</v>
      </c>
      <c r="D546" s="206">
        <v>44413</v>
      </c>
      <c r="E546" s="96" t="s">
        <v>204</v>
      </c>
      <c r="F546" s="8">
        <v>12.59</v>
      </c>
      <c r="G546" s="90" t="s">
        <v>41</v>
      </c>
      <c r="H546" s="7" t="str">
        <f t="shared" si="59"/>
        <v>Variable</v>
      </c>
      <c r="I546" s="8">
        <f t="shared" si="60"/>
        <v>-490.50999999999914</v>
      </c>
      <c r="J546" s="90"/>
      <c r="K546" s="90" t="s">
        <v>675</v>
      </c>
    </row>
    <row r="547" spans="1:11" ht="18" customHeight="1" x14ac:dyDescent="0.2">
      <c r="A547" s="20">
        <f t="shared" si="57"/>
        <v>2021</v>
      </c>
      <c r="B547" s="6">
        <f t="shared" si="58"/>
        <v>8</v>
      </c>
      <c r="C547" s="206">
        <v>44413</v>
      </c>
      <c r="D547" s="206">
        <v>44413</v>
      </c>
      <c r="E547" s="96" t="s">
        <v>820</v>
      </c>
      <c r="F547" s="8">
        <v>4.75</v>
      </c>
      <c r="G547" s="90" t="s">
        <v>41</v>
      </c>
      <c r="H547" s="7" t="str">
        <f t="shared" si="59"/>
        <v>Variable</v>
      </c>
      <c r="I547" s="8">
        <f t="shared" si="60"/>
        <v>-485.75999999999914</v>
      </c>
      <c r="J547" s="90"/>
      <c r="K547" s="90" t="s">
        <v>675</v>
      </c>
    </row>
    <row r="548" spans="1:11" ht="18" customHeight="1" x14ac:dyDescent="0.2">
      <c r="A548" s="20">
        <f t="shared" si="57"/>
        <v>2021</v>
      </c>
      <c r="B548" s="6">
        <f t="shared" si="58"/>
        <v>8</v>
      </c>
      <c r="C548" s="206">
        <v>44416</v>
      </c>
      <c r="D548" s="206">
        <v>44416</v>
      </c>
      <c r="E548" s="96" t="s">
        <v>340</v>
      </c>
      <c r="F548" s="8">
        <v>7.15</v>
      </c>
      <c r="G548" s="90" t="s">
        <v>68</v>
      </c>
      <c r="H548" s="7" t="str">
        <f t="shared" si="59"/>
        <v>Variable</v>
      </c>
      <c r="I548" s="8">
        <f t="shared" si="60"/>
        <v>-478.60999999999916</v>
      </c>
      <c r="J548" s="203" t="s">
        <v>848</v>
      </c>
      <c r="K548" s="90" t="s">
        <v>693</v>
      </c>
    </row>
    <row r="549" spans="1:11" ht="18" customHeight="1" x14ac:dyDescent="0.2">
      <c r="A549" s="20">
        <f t="shared" si="57"/>
        <v>2021</v>
      </c>
      <c r="B549" s="6">
        <f t="shared" si="58"/>
        <v>8</v>
      </c>
      <c r="C549" s="206">
        <v>44416</v>
      </c>
      <c r="D549" s="206">
        <v>44416</v>
      </c>
      <c r="E549" s="96" t="s">
        <v>821</v>
      </c>
      <c r="F549" s="8">
        <v>31.58</v>
      </c>
      <c r="G549" s="203" t="s">
        <v>291</v>
      </c>
      <c r="H549" s="7" t="str">
        <f t="shared" si="59"/>
        <v>Variable</v>
      </c>
      <c r="I549" s="8">
        <f t="shared" si="60"/>
        <v>-447.02999999999918</v>
      </c>
      <c r="J549" s="90"/>
      <c r="K549" s="90" t="s">
        <v>633</v>
      </c>
    </row>
    <row r="550" spans="1:11" ht="18" customHeight="1" x14ac:dyDescent="0.2">
      <c r="A550" s="20">
        <f t="shared" si="57"/>
        <v>2021</v>
      </c>
      <c r="B550" s="6">
        <f t="shared" si="58"/>
        <v>8</v>
      </c>
      <c r="C550" s="206">
        <v>44416</v>
      </c>
      <c r="D550" s="206">
        <v>44416</v>
      </c>
      <c r="E550" s="96" t="s">
        <v>141</v>
      </c>
      <c r="F550" s="8">
        <v>12.99</v>
      </c>
      <c r="G550" s="90" t="s">
        <v>68</v>
      </c>
      <c r="H550" s="7" t="str">
        <f t="shared" si="59"/>
        <v>Variable</v>
      </c>
      <c r="I550" s="8">
        <f t="shared" si="60"/>
        <v>-434.03999999999917</v>
      </c>
      <c r="J550" s="203" t="s">
        <v>845</v>
      </c>
      <c r="K550" s="90" t="s">
        <v>632</v>
      </c>
    </row>
    <row r="551" spans="1:11" ht="18" customHeight="1" x14ac:dyDescent="0.2">
      <c r="A551" s="20">
        <f t="shared" si="57"/>
        <v>2021</v>
      </c>
      <c r="B551" s="6">
        <f t="shared" si="58"/>
        <v>8</v>
      </c>
      <c r="C551" s="206">
        <v>44416</v>
      </c>
      <c r="D551" s="206">
        <v>44416</v>
      </c>
      <c r="E551" s="96" t="s">
        <v>141</v>
      </c>
      <c r="F551" s="8">
        <v>12.99</v>
      </c>
      <c r="G551" s="90" t="s">
        <v>68</v>
      </c>
      <c r="H551" s="7" t="str">
        <f t="shared" si="59"/>
        <v>Variable</v>
      </c>
      <c r="I551" s="8">
        <f t="shared" si="60"/>
        <v>-421.04999999999916</v>
      </c>
      <c r="J551" s="203" t="s">
        <v>845</v>
      </c>
      <c r="K551" s="90" t="s">
        <v>632</v>
      </c>
    </row>
    <row r="552" spans="1:11" ht="18" customHeight="1" x14ac:dyDescent="0.2">
      <c r="A552" s="20">
        <f t="shared" si="57"/>
        <v>2021</v>
      </c>
      <c r="B552" s="6">
        <f t="shared" si="58"/>
        <v>8</v>
      </c>
      <c r="C552" s="206">
        <v>44416</v>
      </c>
      <c r="D552" s="206">
        <v>44416</v>
      </c>
      <c r="E552" s="96" t="s">
        <v>141</v>
      </c>
      <c r="F552" s="8">
        <v>130.81</v>
      </c>
      <c r="G552" s="90" t="s">
        <v>68</v>
      </c>
      <c r="H552" s="7" t="str">
        <f t="shared" si="59"/>
        <v>Variable</v>
      </c>
      <c r="I552" s="8">
        <f t="shared" si="60"/>
        <v>-290.23999999999916</v>
      </c>
      <c r="J552" s="203" t="s">
        <v>839</v>
      </c>
      <c r="K552" s="90" t="s">
        <v>632</v>
      </c>
    </row>
    <row r="553" spans="1:11" ht="18" customHeight="1" x14ac:dyDescent="0.2">
      <c r="A553" s="20">
        <f t="shared" si="57"/>
        <v>2021</v>
      </c>
      <c r="B553" s="6">
        <f t="shared" si="58"/>
        <v>8</v>
      </c>
      <c r="C553" s="206">
        <v>44416</v>
      </c>
      <c r="D553" s="206">
        <v>44416</v>
      </c>
      <c r="E553" s="96" t="s">
        <v>822</v>
      </c>
      <c r="F553" s="8">
        <v>21.73</v>
      </c>
      <c r="G553" s="90" t="s">
        <v>41</v>
      </c>
      <c r="H553" s="7" t="str">
        <f t="shared" si="59"/>
        <v>Variable</v>
      </c>
      <c r="I553" s="8">
        <f t="shared" si="60"/>
        <v>-268.50999999999914</v>
      </c>
      <c r="J553" s="90"/>
      <c r="K553" s="90" t="s">
        <v>675</v>
      </c>
    </row>
    <row r="554" spans="1:11" ht="18" customHeight="1" x14ac:dyDescent="0.2">
      <c r="A554" s="20">
        <f t="shared" si="57"/>
        <v>2021</v>
      </c>
      <c r="B554" s="6">
        <f t="shared" si="58"/>
        <v>8</v>
      </c>
      <c r="C554" s="206">
        <v>44417</v>
      </c>
      <c r="D554" s="206">
        <v>44417</v>
      </c>
      <c r="E554" s="96" t="s">
        <v>184</v>
      </c>
      <c r="F554" s="8">
        <v>94.95</v>
      </c>
      <c r="G554" s="203" t="s">
        <v>26</v>
      </c>
      <c r="H554" s="7" t="str">
        <f t="shared" si="59"/>
        <v>Fixed</v>
      </c>
      <c r="I554" s="8">
        <f t="shared" si="60"/>
        <v>-173.55999999999915</v>
      </c>
      <c r="J554" s="82" t="s">
        <v>323</v>
      </c>
      <c r="K554" s="90" t="s">
        <v>687</v>
      </c>
    </row>
    <row r="555" spans="1:11" ht="18" customHeight="1" x14ac:dyDescent="0.2">
      <c r="A555" s="20">
        <f t="shared" ref="A555:A556" si="61">YEAR(C555)</f>
        <v>2021</v>
      </c>
      <c r="B555" s="6">
        <f t="shared" ref="B555:B556" si="62">MONTH(C555)</f>
        <v>8</v>
      </c>
      <c r="C555" s="206">
        <v>44418</v>
      </c>
      <c r="D555" s="206">
        <v>44418</v>
      </c>
      <c r="E555" s="96" t="s">
        <v>823</v>
      </c>
      <c r="F555" s="210">
        <f>14.99 + (3.06/3)</f>
        <v>16.010000000000002</v>
      </c>
      <c r="G555" s="203" t="s">
        <v>26</v>
      </c>
      <c r="H555" s="7" t="str">
        <f t="shared" ref="H555:H557" si="63">VLOOKUP(G555,Expense_Lookup,2,0)</f>
        <v>Fixed</v>
      </c>
      <c r="I555" s="8">
        <f t="shared" ref="I555:I557" si="64">I554+F555</f>
        <v>-157.54999999999916</v>
      </c>
      <c r="J555" s="185" t="s">
        <v>293</v>
      </c>
      <c r="K555" s="90"/>
    </row>
    <row r="556" spans="1:11" ht="18" customHeight="1" x14ac:dyDescent="0.2">
      <c r="A556" s="20">
        <f t="shared" si="61"/>
        <v>2021</v>
      </c>
      <c r="B556" s="6">
        <f t="shared" si="62"/>
        <v>8</v>
      </c>
      <c r="C556" s="206">
        <v>44418</v>
      </c>
      <c r="D556" s="206">
        <v>44418</v>
      </c>
      <c r="E556" s="96" t="s">
        <v>823</v>
      </c>
      <c r="F556" s="8">
        <f>19.99 + (3.06/3)</f>
        <v>21.009999999999998</v>
      </c>
      <c r="G556" s="203" t="s">
        <v>26</v>
      </c>
      <c r="H556" s="7" t="str">
        <f t="shared" si="63"/>
        <v>Fixed</v>
      </c>
      <c r="I556" s="8">
        <f t="shared" si="64"/>
        <v>-136.53999999999917</v>
      </c>
      <c r="J556" s="211" t="s">
        <v>851</v>
      </c>
      <c r="K556" s="90"/>
    </row>
    <row r="557" spans="1:11" ht="18" customHeight="1" x14ac:dyDescent="0.2">
      <c r="A557" s="20">
        <f t="shared" si="57"/>
        <v>2021</v>
      </c>
      <c r="B557" s="6">
        <f t="shared" si="58"/>
        <v>8</v>
      </c>
      <c r="C557" s="206">
        <v>44418</v>
      </c>
      <c r="D557" s="206">
        <v>44418</v>
      </c>
      <c r="E557" s="96" t="s">
        <v>823</v>
      </c>
      <c r="F557" s="8">
        <f>15.99 + (3.06/3)</f>
        <v>17.010000000000002</v>
      </c>
      <c r="G557" s="203" t="s">
        <v>26</v>
      </c>
      <c r="H557" s="7" t="str">
        <f t="shared" si="63"/>
        <v>Fixed</v>
      </c>
      <c r="I557" s="8">
        <f t="shared" si="64"/>
        <v>-119.52999999999916</v>
      </c>
      <c r="J557" s="211" t="s">
        <v>925</v>
      </c>
      <c r="K557" s="90" t="s">
        <v>788</v>
      </c>
    </row>
    <row r="558" spans="1:11" ht="18" customHeight="1" x14ac:dyDescent="0.2">
      <c r="A558" s="20">
        <f t="shared" si="57"/>
        <v>2021</v>
      </c>
      <c r="B558" s="6">
        <f t="shared" si="58"/>
        <v>8</v>
      </c>
      <c r="C558" s="206">
        <v>44418</v>
      </c>
      <c r="D558" s="206">
        <v>44418</v>
      </c>
      <c r="E558" s="96" t="s">
        <v>824</v>
      </c>
      <c r="F558" s="8">
        <v>6.94</v>
      </c>
      <c r="G558" s="90" t="s">
        <v>24</v>
      </c>
      <c r="H558" s="7" t="str">
        <f t="shared" si="59"/>
        <v>Variable</v>
      </c>
      <c r="I558" s="8">
        <f t="shared" si="60"/>
        <v>-112.58999999999916</v>
      </c>
      <c r="J558" s="90"/>
      <c r="K558" s="90" t="s">
        <v>633</v>
      </c>
    </row>
    <row r="559" spans="1:11" ht="18" customHeight="1" x14ac:dyDescent="0.2">
      <c r="A559" s="20">
        <f t="shared" si="57"/>
        <v>2021</v>
      </c>
      <c r="B559" s="6">
        <f t="shared" si="58"/>
        <v>8</v>
      </c>
      <c r="C559" s="206">
        <v>44419</v>
      </c>
      <c r="D559" s="206">
        <v>44419</v>
      </c>
      <c r="E559" s="96" t="s">
        <v>825</v>
      </c>
      <c r="F559" s="8">
        <v>149</v>
      </c>
      <c r="G559" s="90" t="s">
        <v>52</v>
      </c>
      <c r="H559" s="203" t="s">
        <v>26</v>
      </c>
      <c r="I559" s="8">
        <f t="shared" si="60"/>
        <v>36.410000000000835</v>
      </c>
      <c r="J559" s="191" t="s">
        <v>840</v>
      </c>
      <c r="K559" s="90" t="s">
        <v>693</v>
      </c>
    </row>
    <row r="560" spans="1:11" ht="18" customHeight="1" x14ac:dyDescent="0.2">
      <c r="A560" s="20">
        <f t="shared" si="57"/>
        <v>2021</v>
      </c>
      <c r="B560" s="6">
        <f t="shared" si="58"/>
        <v>8</v>
      </c>
      <c r="C560" s="206">
        <v>44419</v>
      </c>
      <c r="D560" s="206">
        <v>44419</v>
      </c>
      <c r="E560" s="96" t="s">
        <v>715</v>
      </c>
      <c r="F560" s="8">
        <v>42.35</v>
      </c>
      <c r="G560" s="90" t="s">
        <v>90</v>
      </c>
      <c r="H560" s="7" t="str">
        <f t="shared" si="59"/>
        <v>Variable</v>
      </c>
      <c r="I560" s="8">
        <f t="shared" si="60"/>
        <v>78.760000000000844</v>
      </c>
      <c r="J560" s="90"/>
      <c r="K560" s="90" t="s">
        <v>675</v>
      </c>
    </row>
    <row r="561" spans="1:11" ht="18" customHeight="1" x14ac:dyDescent="0.2">
      <c r="A561" s="20">
        <f t="shared" si="57"/>
        <v>2021</v>
      </c>
      <c r="B561" s="6">
        <f t="shared" si="58"/>
        <v>8</v>
      </c>
      <c r="C561" s="206">
        <v>44419</v>
      </c>
      <c r="D561" s="206">
        <v>44419</v>
      </c>
      <c r="E561" s="96" t="s">
        <v>98</v>
      </c>
      <c r="F561" s="8">
        <v>56.36</v>
      </c>
      <c r="G561" s="90" t="s">
        <v>68</v>
      </c>
      <c r="H561" s="7" t="str">
        <f t="shared" si="59"/>
        <v>Variable</v>
      </c>
      <c r="I561" s="8">
        <f t="shared" si="60"/>
        <v>135.12000000000086</v>
      </c>
      <c r="J561" s="90"/>
      <c r="K561" s="90" t="s">
        <v>693</v>
      </c>
    </row>
    <row r="562" spans="1:11" ht="18" customHeight="1" x14ac:dyDescent="0.2">
      <c r="A562" s="20">
        <f t="shared" si="57"/>
        <v>2021</v>
      </c>
      <c r="B562" s="6">
        <f t="shared" si="58"/>
        <v>8</v>
      </c>
      <c r="C562" s="206">
        <v>44420</v>
      </c>
      <c r="D562" s="206">
        <v>44420</v>
      </c>
      <c r="E562" s="96" t="s">
        <v>196</v>
      </c>
      <c r="F562" s="8">
        <v>35</v>
      </c>
      <c r="G562" s="90" t="s">
        <v>89</v>
      </c>
      <c r="H562" s="7" t="str">
        <f t="shared" si="59"/>
        <v>Variable</v>
      </c>
      <c r="I562" s="8">
        <f t="shared" si="60"/>
        <v>170.12000000000086</v>
      </c>
      <c r="J562" s="90"/>
      <c r="K562" s="90" t="s">
        <v>633</v>
      </c>
    </row>
    <row r="563" spans="1:11" ht="18" customHeight="1" x14ac:dyDescent="0.2">
      <c r="A563" s="20">
        <f t="shared" si="57"/>
        <v>2021</v>
      </c>
      <c r="B563" s="6">
        <f t="shared" si="58"/>
        <v>8</v>
      </c>
      <c r="C563" s="206">
        <v>44420</v>
      </c>
      <c r="D563" s="206">
        <v>44420</v>
      </c>
      <c r="E563" s="96" t="s">
        <v>826</v>
      </c>
      <c r="F563" s="8">
        <v>1.99</v>
      </c>
      <c r="G563" s="203" t="s">
        <v>26</v>
      </c>
      <c r="H563" s="7" t="str">
        <f t="shared" si="59"/>
        <v>Fixed</v>
      </c>
      <c r="I563" s="8">
        <f t="shared" si="60"/>
        <v>172.11000000000087</v>
      </c>
      <c r="J563" s="185" t="s">
        <v>283</v>
      </c>
      <c r="K563" s="90" t="s">
        <v>788</v>
      </c>
    </row>
    <row r="564" spans="1:11" ht="18" customHeight="1" x14ac:dyDescent="0.2">
      <c r="A564" s="20">
        <f t="shared" si="57"/>
        <v>2021</v>
      </c>
      <c r="B564" s="6">
        <f t="shared" si="58"/>
        <v>8</v>
      </c>
      <c r="C564" s="206">
        <v>44420</v>
      </c>
      <c r="D564" s="206">
        <v>44420</v>
      </c>
      <c r="E564" s="96" t="s">
        <v>827</v>
      </c>
      <c r="F564" s="8">
        <v>42.68</v>
      </c>
      <c r="G564" s="90" t="s">
        <v>68</v>
      </c>
      <c r="H564" s="7" t="str">
        <f t="shared" si="59"/>
        <v>Variable</v>
      </c>
      <c r="I564" s="8">
        <f t="shared" si="60"/>
        <v>214.79000000000087</v>
      </c>
      <c r="J564" s="90"/>
      <c r="K564" s="90" t="s">
        <v>693</v>
      </c>
    </row>
    <row r="565" spans="1:11" ht="18" customHeight="1" x14ac:dyDescent="0.2">
      <c r="A565" s="20">
        <f t="shared" si="57"/>
        <v>2021</v>
      </c>
      <c r="B565" s="6">
        <f t="shared" si="58"/>
        <v>8</v>
      </c>
      <c r="C565" s="206">
        <v>44421</v>
      </c>
      <c r="D565" s="206">
        <v>44421</v>
      </c>
      <c r="E565" s="96" t="s">
        <v>828</v>
      </c>
      <c r="F565" s="8">
        <v>22</v>
      </c>
      <c r="G565" s="90" t="s">
        <v>52</v>
      </c>
      <c r="H565" s="7" t="str">
        <f t="shared" si="59"/>
        <v>Variable</v>
      </c>
      <c r="I565" s="8">
        <f t="shared" si="60"/>
        <v>236.79000000000087</v>
      </c>
      <c r="J565" s="203" t="s">
        <v>210</v>
      </c>
      <c r="K565" s="90" t="s">
        <v>633</v>
      </c>
    </row>
    <row r="566" spans="1:11" ht="18" customHeight="1" x14ac:dyDescent="0.2">
      <c r="A566" s="20">
        <f t="shared" si="57"/>
        <v>2021</v>
      </c>
      <c r="B566" s="6">
        <f t="shared" si="58"/>
        <v>8</v>
      </c>
      <c r="C566" s="206">
        <v>44421</v>
      </c>
      <c r="D566" s="206">
        <v>44421</v>
      </c>
      <c r="E566" s="96" t="s">
        <v>821</v>
      </c>
      <c r="F566" s="8">
        <v>31.5</v>
      </c>
      <c r="G566" s="203" t="s">
        <v>291</v>
      </c>
      <c r="H566" s="7" t="str">
        <f t="shared" si="59"/>
        <v>Variable</v>
      </c>
      <c r="I566" s="8">
        <f t="shared" si="60"/>
        <v>268.29000000000087</v>
      </c>
      <c r="J566" s="90"/>
      <c r="K566" s="90" t="s">
        <v>633</v>
      </c>
    </row>
    <row r="567" spans="1:11" ht="18" customHeight="1" x14ac:dyDescent="0.2">
      <c r="A567" s="20">
        <f t="shared" si="57"/>
        <v>2021</v>
      </c>
      <c r="B567" s="6">
        <f t="shared" si="58"/>
        <v>8</v>
      </c>
      <c r="C567" s="206">
        <v>44421</v>
      </c>
      <c r="D567" s="206">
        <v>44421</v>
      </c>
      <c r="E567" s="96" t="s">
        <v>829</v>
      </c>
      <c r="F567" s="8">
        <v>134</v>
      </c>
      <c r="G567" s="90" t="s">
        <v>41</v>
      </c>
      <c r="H567" s="7" t="str">
        <f t="shared" si="59"/>
        <v>Variable</v>
      </c>
      <c r="I567" s="8">
        <f t="shared" si="60"/>
        <v>402.29000000000087</v>
      </c>
      <c r="J567" s="203" t="s">
        <v>210</v>
      </c>
      <c r="K567" s="90" t="s">
        <v>675</v>
      </c>
    </row>
    <row r="568" spans="1:11" ht="18" customHeight="1" x14ac:dyDescent="0.2">
      <c r="A568" s="20">
        <f t="shared" si="57"/>
        <v>2021</v>
      </c>
      <c r="B568" s="6">
        <f t="shared" si="58"/>
        <v>8</v>
      </c>
      <c r="C568" s="206">
        <v>44422</v>
      </c>
      <c r="D568" s="206">
        <v>44422</v>
      </c>
      <c r="E568" s="96" t="s">
        <v>830</v>
      </c>
      <c r="F568" s="8">
        <v>80</v>
      </c>
      <c r="G568" s="90" t="s">
        <v>41</v>
      </c>
      <c r="H568" s="7" t="str">
        <f t="shared" si="59"/>
        <v>Variable</v>
      </c>
      <c r="I568" s="8">
        <f t="shared" si="60"/>
        <v>482.29000000000087</v>
      </c>
      <c r="J568" s="203" t="s">
        <v>210</v>
      </c>
      <c r="K568" s="90" t="s">
        <v>675</v>
      </c>
    </row>
    <row r="569" spans="1:11" ht="18" customHeight="1" x14ac:dyDescent="0.2">
      <c r="A569" s="20">
        <f t="shared" si="57"/>
        <v>2021</v>
      </c>
      <c r="B569" s="6">
        <f t="shared" si="58"/>
        <v>8</v>
      </c>
      <c r="C569" s="206">
        <v>44422</v>
      </c>
      <c r="D569" s="206">
        <v>44422</v>
      </c>
      <c r="E569" s="96" t="s">
        <v>831</v>
      </c>
      <c r="F569" s="8">
        <v>3.99</v>
      </c>
      <c r="G569" s="203" t="s">
        <v>849</v>
      </c>
      <c r="H569" s="7" t="str">
        <f t="shared" si="59"/>
        <v>Fixed</v>
      </c>
      <c r="I569" s="8">
        <f t="shared" si="60"/>
        <v>486.28000000000088</v>
      </c>
      <c r="J569" s="211" t="s">
        <v>928</v>
      </c>
      <c r="K569" s="90" t="s">
        <v>702</v>
      </c>
    </row>
    <row r="570" spans="1:11" ht="18" customHeight="1" x14ac:dyDescent="0.2">
      <c r="A570" s="20">
        <f t="shared" si="57"/>
        <v>2021</v>
      </c>
      <c r="B570" s="6">
        <f t="shared" si="58"/>
        <v>8</v>
      </c>
      <c r="C570" s="206">
        <v>44422</v>
      </c>
      <c r="D570" s="206">
        <v>44422</v>
      </c>
      <c r="E570" s="96" t="s">
        <v>832</v>
      </c>
      <c r="F570" s="8">
        <v>6.83</v>
      </c>
      <c r="G570" s="90" t="s">
        <v>68</v>
      </c>
      <c r="H570" s="7" t="str">
        <f t="shared" si="59"/>
        <v>Variable</v>
      </c>
      <c r="I570" s="8">
        <f t="shared" si="60"/>
        <v>493.11000000000087</v>
      </c>
      <c r="J570" s="203" t="s">
        <v>210</v>
      </c>
      <c r="K570" s="90" t="s">
        <v>693</v>
      </c>
    </row>
    <row r="571" spans="1:11" ht="18" customHeight="1" x14ac:dyDescent="0.2">
      <c r="A571" s="20">
        <f t="shared" ref="A571:A577" si="65">YEAR(C571)</f>
        <v>2021</v>
      </c>
      <c r="B571" s="6">
        <f t="shared" ref="B571:B577" si="66">MONTH(C571)</f>
        <v>8</v>
      </c>
      <c r="C571" s="206">
        <v>44423</v>
      </c>
      <c r="D571" s="206">
        <v>44423</v>
      </c>
      <c r="E571" s="96" t="s">
        <v>833</v>
      </c>
      <c r="F571" s="8">
        <v>6.3</v>
      </c>
      <c r="G571" s="90" t="s">
        <v>41</v>
      </c>
      <c r="H571" s="7" t="str">
        <f t="shared" ref="H571:H577" si="67">VLOOKUP(G571,Expense_Lookup,2,0)</f>
        <v>Variable</v>
      </c>
      <c r="I571" s="8">
        <f t="shared" ref="I571:I577" si="68">I570+F571</f>
        <v>499.41000000000088</v>
      </c>
      <c r="J571" s="203" t="s">
        <v>841</v>
      </c>
      <c r="K571" s="90" t="s">
        <v>675</v>
      </c>
    </row>
    <row r="572" spans="1:11" ht="18" customHeight="1" x14ac:dyDescent="0.2">
      <c r="A572" s="20">
        <f t="shared" si="65"/>
        <v>2021</v>
      </c>
      <c r="B572" s="6">
        <f t="shared" si="66"/>
        <v>8</v>
      </c>
      <c r="C572" s="206">
        <v>44423</v>
      </c>
      <c r="D572" s="206">
        <v>44423</v>
      </c>
      <c r="E572" s="96" t="s">
        <v>834</v>
      </c>
      <c r="F572" s="8">
        <v>9.94</v>
      </c>
      <c r="G572" s="90" t="s">
        <v>41</v>
      </c>
      <c r="H572" s="7" t="str">
        <f t="shared" si="67"/>
        <v>Variable</v>
      </c>
      <c r="I572" s="8">
        <f t="shared" si="68"/>
        <v>509.35000000000088</v>
      </c>
      <c r="J572" s="203" t="s">
        <v>841</v>
      </c>
      <c r="K572" s="90" t="s">
        <v>675</v>
      </c>
    </row>
    <row r="573" spans="1:11" ht="18" customHeight="1" x14ac:dyDescent="0.2">
      <c r="A573" s="20">
        <f t="shared" si="65"/>
        <v>2021</v>
      </c>
      <c r="B573" s="6">
        <f t="shared" si="66"/>
        <v>8</v>
      </c>
      <c r="C573" s="206">
        <v>44424</v>
      </c>
      <c r="D573" s="206">
        <v>44424</v>
      </c>
      <c r="E573" s="96" t="s">
        <v>835</v>
      </c>
      <c r="F573" s="8">
        <v>350</v>
      </c>
      <c r="G573" s="90" t="s">
        <v>41</v>
      </c>
      <c r="H573" s="7" t="str">
        <f t="shared" si="67"/>
        <v>Variable</v>
      </c>
      <c r="I573" s="8">
        <f t="shared" si="68"/>
        <v>859.35000000000082</v>
      </c>
      <c r="J573" s="203" t="s">
        <v>841</v>
      </c>
      <c r="K573" s="90" t="s">
        <v>675</v>
      </c>
    </row>
    <row r="574" spans="1:11" ht="18" customHeight="1" x14ac:dyDescent="0.2">
      <c r="A574" s="20">
        <f t="shared" si="65"/>
        <v>2021</v>
      </c>
      <c r="B574" s="6">
        <f t="shared" si="66"/>
        <v>8</v>
      </c>
      <c r="C574" s="206">
        <v>44424</v>
      </c>
      <c r="D574" s="206">
        <v>44424</v>
      </c>
      <c r="E574" s="96" t="s">
        <v>836</v>
      </c>
      <c r="F574" s="8">
        <v>50</v>
      </c>
      <c r="G574" s="203" t="s">
        <v>26</v>
      </c>
      <c r="H574" s="7" t="str">
        <f t="shared" si="67"/>
        <v>Fixed</v>
      </c>
      <c r="I574" s="8">
        <f t="shared" si="68"/>
        <v>909.35000000000082</v>
      </c>
      <c r="J574" s="203" t="s">
        <v>358</v>
      </c>
      <c r="K574" s="90" t="s">
        <v>697</v>
      </c>
    </row>
    <row r="575" spans="1:11" ht="18" customHeight="1" x14ac:dyDescent="0.2">
      <c r="A575" s="20">
        <f t="shared" si="65"/>
        <v>2021</v>
      </c>
      <c r="B575" s="6">
        <f t="shared" si="66"/>
        <v>8</v>
      </c>
      <c r="C575" s="206">
        <v>44424</v>
      </c>
      <c r="D575" s="206">
        <v>44424</v>
      </c>
      <c r="E575" s="96" t="s">
        <v>49</v>
      </c>
      <c r="F575" s="8">
        <v>27.15</v>
      </c>
      <c r="G575" s="90" t="s">
        <v>68</v>
      </c>
      <c r="H575" s="7" t="str">
        <f t="shared" si="67"/>
        <v>Variable</v>
      </c>
      <c r="I575" s="8">
        <f t="shared" si="68"/>
        <v>936.5000000000008</v>
      </c>
      <c r="J575" s="90"/>
      <c r="K575" s="90" t="s">
        <v>693</v>
      </c>
    </row>
    <row r="576" spans="1:11" ht="18" customHeight="1" x14ac:dyDescent="0.2">
      <c r="A576" s="20">
        <f t="shared" si="65"/>
        <v>2021</v>
      </c>
      <c r="B576" s="6">
        <f t="shared" si="66"/>
        <v>8</v>
      </c>
      <c r="C576" s="206">
        <v>44426</v>
      </c>
      <c r="D576" s="206">
        <v>44426</v>
      </c>
      <c r="E576" s="96" t="s">
        <v>837</v>
      </c>
      <c r="F576" s="8">
        <v>8.4700000000000006</v>
      </c>
      <c r="G576" s="203" t="s">
        <v>26</v>
      </c>
      <c r="H576" s="7" t="str">
        <f t="shared" si="67"/>
        <v>Fixed</v>
      </c>
      <c r="I576" s="8">
        <f t="shared" si="68"/>
        <v>944.97000000000082</v>
      </c>
      <c r="J576" s="203" t="s">
        <v>850</v>
      </c>
      <c r="K576" s="90" t="s">
        <v>788</v>
      </c>
    </row>
    <row r="577" spans="1:11" ht="18" customHeight="1" x14ac:dyDescent="0.2">
      <c r="A577" s="20">
        <f t="shared" si="65"/>
        <v>2021</v>
      </c>
      <c r="B577" s="6">
        <f t="shared" si="66"/>
        <v>8</v>
      </c>
      <c r="C577" s="206">
        <v>44426</v>
      </c>
      <c r="D577" s="206">
        <v>44426</v>
      </c>
      <c r="E577" s="96" t="s">
        <v>838</v>
      </c>
      <c r="F577" s="8">
        <v>42.39</v>
      </c>
      <c r="G577" s="203" t="s">
        <v>26</v>
      </c>
      <c r="H577" s="7" t="str">
        <f t="shared" si="67"/>
        <v>Fixed</v>
      </c>
      <c r="I577" s="8">
        <f t="shared" si="68"/>
        <v>987.36000000000081</v>
      </c>
      <c r="J577" s="203" t="s">
        <v>851</v>
      </c>
      <c r="K577" s="90" t="s">
        <v>788</v>
      </c>
    </row>
    <row r="578" spans="1:11" ht="18" customHeight="1" x14ac:dyDescent="0.2">
      <c r="A578" s="20">
        <f t="shared" ref="A578:A641" si="69">YEAR(C578)</f>
        <v>2021</v>
      </c>
      <c r="B578" s="6">
        <f t="shared" ref="B578:B641" si="70">MONTH(C578)</f>
        <v>8</v>
      </c>
      <c r="C578" s="206">
        <v>44427</v>
      </c>
      <c r="D578" s="206">
        <v>44427</v>
      </c>
      <c r="E578" s="96" t="s">
        <v>867</v>
      </c>
      <c r="F578" s="8">
        <v>34.04</v>
      </c>
      <c r="G578" s="203" t="s">
        <v>41</v>
      </c>
      <c r="H578" s="7" t="str">
        <f t="shared" ref="H578:H641" si="71">VLOOKUP(G578,Expense_Lookup,2,0)</f>
        <v>Variable</v>
      </c>
      <c r="I578" s="8">
        <f t="shared" ref="I578:I641" si="72">I577+F578</f>
        <v>1021.4000000000008</v>
      </c>
      <c r="J578" s="203"/>
      <c r="K578" s="90"/>
    </row>
    <row r="579" spans="1:11" ht="18" customHeight="1" x14ac:dyDescent="0.2">
      <c r="A579" s="20">
        <f t="shared" si="69"/>
        <v>2021</v>
      </c>
      <c r="B579" s="6">
        <f t="shared" si="70"/>
        <v>8</v>
      </c>
      <c r="C579" s="206">
        <v>44427</v>
      </c>
      <c r="D579" s="206">
        <v>44427</v>
      </c>
      <c r="E579" s="96" t="s">
        <v>196</v>
      </c>
      <c r="F579" s="8">
        <v>35</v>
      </c>
      <c r="G579" s="203" t="s">
        <v>89</v>
      </c>
      <c r="H579" s="7" t="str">
        <f t="shared" si="71"/>
        <v>Variable</v>
      </c>
      <c r="I579" s="8">
        <f t="shared" si="72"/>
        <v>1056.4000000000008</v>
      </c>
      <c r="J579" s="203"/>
      <c r="K579" s="90"/>
    </row>
    <row r="580" spans="1:11" ht="18" customHeight="1" x14ac:dyDescent="0.2">
      <c r="A580" s="20">
        <f t="shared" si="69"/>
        <v>2021</v>
      </c>
      <c r="B580" s="6">
        <f t="shared" si="70"/>
        <v>8</v>
      </c>
      <c r="C580" s="206">
        <v>44427</v>
      </c>
      <c r="D580" s="206">
        <v>44427</v>
      </c>
      <c r="E580" s="96" t="s">
        <v>868</v>
      </c>
      <c r="F580" s="8">
        <v>4.6100000000000003</v>
      </c>
      <c r="G580" s="203" t="s">
        <v>24</v>
      </c>
      <c r="H580" s="7" t="str">
        <f t="shared" si="71"/>
        <v>Variable</v>
      </c>
      <c r="I580" s="8">
        <f t="shared" si="72"/>
        <v>1061.0100000000007</v>
      </c>
      <c r="J580" s="203"/>
      <c r="K580" s="90"/>
    </row>
    <row r="581" spans="1:11" ht="18" customHeight="1" x14ac:dyDescent="0.2">
      <c r="A581" s="20">
        <f t="shared" si="69"/>
        <v>2021</v>
      </c>
      <c r="B581" s="6">
        <f t="shared" si="70"/>
        <v>8</v>
      </c>
      <c r="C581" s="206">
        <v>44428</v>
      </c>
      <c r="D581" s="206">
        <v>44428</v>
      </c>
      <c r="E581" s="96" t="s">
        <v>869</v>
      </c>
      <c r="F581" s="8">
        <v>27.22</v>
      </c>
      <c r="G581" s="203" t="s">
        <v>41</v>
      </c>
      <c r="H581" s="7" t="str">
        <f t="shared" si="71"/>
        <v>Variable</v>
      </c>
      <c r="I581" s="8">
        <f t="shared" si="72"/>
        <v>1088.2300000000007</v>
      </c>
      <c r="J581" s="203"/>
      <c r="K581" s="90"/>
    </row>
    <row r="582" spans="1:11" ht="18" customHeight="1" x14ac:dyDescent="0.2">
      <c r="A582" s="20">
        <f t="shared" si="69"/>
        <v>2021</v>
      </c>
      <c r="B582" s="6">
        <f t="shared" si="70"/>
        <v>8</v>
      </c>
      <c r="C582" s="206">
        <v>44428</v>
      </c>
      <c r="D582" s="206">
        <v>44428</v>
      </c>
      <c r="E582" s="96" t="s">
        <v>870</v>
      </c>
      <c r="F582" s="8">
        <v>20</v>
      </c>
      <c r="G582" s="203" t="s">
        <v>52</v>
      </c>
      <c r="H582" s="7" t="str">
        <f t="shared" si="71"/>
        <v>Variable</v>
      </c>
      <c r="I582" s="8">
        <f t="shared" si="72"/>
        <v>1108.2300000000007</v>
      </c>
      <c r="J582" s="203"/>
      <c r="K582" s="90"/>
    </row>
    <row r="583" spans="1:11" ht="18" customHeight="1" x14ac:dyDescent="0.2">
      <c r="A583" s="20">
        <f t="shared" si="69"/>
        <v>2021</v>
      </c>
      <c r="B583" s="6">
        <f t="shared" si="70"/>
        <v>8</v>
      </c>
      <c r="C583" s="206">
        <v>44428</v>
      </c>
      <c r="D583" s="206">
        <v>44428</v>
      </c>
      <c r="E583" s="96" t="s">
        <v>202</v>
      </c>
      <c r="F583" s="8">
        <v>20.25</v>
      </c>
      <c r="G583" s="203" t="s">
        <v>68</v>
      </c>
      <c r="H583" s="7" t="str">
        <f t="shared" si="71"/>
        <v>Variable</v>
      </c>
      <c r="I583" s="8">
        <f t="shared" si="72"/>
        <v>1128.4800000000007</v>
      </c>
      <c r="J583" s="203"/>
      <c r="K583" s="90"/>
    </row>
    <row r="584" spans="1:11" ht="18" customHeight="1" x14ac:dyDescent="0.2">
      <c r="A584" s="20">
        <f t="shared" si="69"/>
        <v>2021</v>
      </c>
      <c r="B584" s="6">
        <f t="shared" si="70"/>
        <v>8</v>
      </c>
      <c r="C584" s="206">
        <v>44429</v>
      </c>
      <c r="D584" s="206">
        <v>44429</v>
      </c>
      <c r="E584" s="96" t="s">
        <v>726</v>
      </c>
      <c r="F584" s="8">
        <v>40</v>
      </c>
      <c r="G584" s="203" t="s">
        <v>41</v>
      </c>
      <c r="H584" s="7" t="str">
        <f t="shared" si="71"/>
        <v>Variable</v>
      </c>
      <c r="I584" s="8">
        <f t="shared" si="72"/>
        <v>1168.4800000000007</v>
      </c>
      <c r="J584" s="203"/>
      <c r="K584" s="90"/>
    </row>
    <row r="585" spans="1:11" ht="18" customHeight="1" x14ac:dyDescent="0.2">
      <c r="A585" s="20">
        <f t="shared" si="69"/>
        <v>2021</v>
      </c>
      <c r="B585" s="6">
        <f t="shared" si="70"/>
        <v>8</v>
      </c>
      <c r="C585" s="206">
        <v>44429</v>
      </c>
      <c r="D585" s="206">
        <v>44429</v>
      </c>
      <c r="E585" s="96" t="s">
        <v>871</v>
      </c>
      <c r="F585" s="8">
        <v>5.4</v>
      </c>
      <c r="G585" s="203" t="s">
        <v>89</v>
      </c>
      <c r="H585" s="7" t="str">
        <f t="shared" si="71"/>
        <v>Variable</v>
      </c>
      <c r="I585" s="8">
        <f t="shared" si="72"/>
        <v>1173.8800000000008</v>
      </c>
      <c r="J585" s="203"/>
      <c r="K585" s="90"/>
    </row>
    <row r="586" spans="1:11" ht="18" customHeight="1" x14ac:dyDescent="0.2">
      <c r="A586" s="20">
        <f t="shared" si="69"/>
        <v>2021</v>
      </c>
      <c r="B586" s="6">
        <f t="shared" si="70"/>
        <v>8</v>
      </c>
      <c r="C586" s="206">
        <v>44429</v>
      </c>
      <c r="D586" s="206">
        <v>44429</v>
      </c>
      <c r="E586" s="96" t="s">
        <v>731</v>
      </c>
      <c r="F586" s="8">
        <v>28.34</v>
      </c>
      <c r="G586" s="203" t="s">
        <v>24</v>
      </c>
      <c r="H586" s="7" t="str">
        <f t="shared" si="71"/>
        <v>Variable</v>
      </c>
      <c r="I586" s="8">
        <f t="shared" si="72"/>
        <v>1202.2200000000007</v>
      </c>
      <c r="J586" s="203"/>
      <c r="K586" s="90"/>
    </row>
    <row r="587" spans="1:11" ht="18" customHeight="1" x14ac:dyDescent="0.2">
      <c r="A587" s="20">
        <f t="shared" si="69"/>
        <v>2021</v>
      </c>
      <c r="B587" s="6">
        <f t="shared" si="70"/>
        <v>8</v>
      </c>
      <c r="C587" s="206">
        <v>44429</v>
      </c>
      <c r="D587" s="206">
        <v>44429</v>
      </c>
      <c r="E587" s="96" t="s">
        <v>81</v>
      </c>
      <c r="F587" s="8">
        <v>7.99</v>
      </c>
      <c r="G587" s="211" t="s">
        <v>26</v>
      </c>
      <c r="H587" s="7" t="str">
        <f t="shared" si="71"/>
        <v>Fixed</v>
      </c>
      <c r="I587" s="8">
        <f t="shared" si="72"/>
        <v>1210.2100000000007</v>
      </c>
      <c r="J587" s="211" t="s">
        <v>9</v>
      </c>
      <c r="K587" s="19" t="s">
        <v>788</v>
      </c>
    </row>
    <row r="588" spans="1:11" ht="18" customHeight="1" x14ac:dyDescent="0.2">
      <c r="A588" s="20">
        <f t="shared" si="69"/>
        <v>2021</v>
      </c>
      <c r="B588" s="6">
        <f t="shared" si="70"/>
        <v>8</v>
      </c>
      <c r="C588" s="206">
        <v>44429</v>
      </c>
      <c r="D588" s="206">
        <v>44429</v>
      </c>
      <c r="E588" s="96" t="s">
        <v>202</v>
      </c>
      <c r="F588" s="8">
        <v>19.260000000000002</v>
      </c>
      <c r="G588" s="203" t="s">
        <v>89</v>
      </c>
      <c r="H588" s="7" t="str">
        <f t="shared" si="71"/>
        <v>Variable</v>
      </c>
      <c r="I588" s="8">
        <f t="shared" si="72"/>
        <v>1229.4700000000007</v>
      </c>
      <c r="J588" s="203"/>
      <c r="K588" s="90"/>
    </row>
    <row r="589" spans="1:11" ht="18" customHeight="1" x14ac:dyDescent="0.2">
      <c r="A589" s="20">
        <f t="shared" si="69"/>
        <v>2021</v>
      </c>
      <c r="B589" s="6">
        <f t="shared" si="70"/>
        <v>8</v>
      </c>
      <c r="C589" s="206">
        <v>44430</v>
      </c>
      <c r="D589" s="206">
        <v>44430</v>
      </c>
      <c r="E589" s="96" t="s">
        <v>872</v>
      </c>
      <c r="F589" s="8">
        <v>30.74</v>
      </c>
      <c r="G589" s="203" t="s">
        <v>68</v>
      </c>
      <c r="H589" s="7" t="str">
        <f t="shared" si="71"/>
        <v>Variable</v>
      </c>
      <c r="I589" s="8">
        <f t="shared" si="72"/>
        <v>1260.2100000000007</v>
      </c>
      <c r="J589" s="203"/>
      <c r="K589" s="90"/>
    </row>
    <row r="590" spans="1:11" ht="18" customHeight="1" x14ac:dyDescent="0.2">
      <c r="A590" s="20">
        <f t="shared" si="69"/>
        <v>2021</v>
      </c>
      <c r="B590" s="6">
        <f t="shared" si="70"/>
        <v>8</v>
      </c>
      <c r="C590" s="206">
        <v>44430</v>
      </c>
      <c r="D590" s="206">
        <v>44430</v>
      </c>
      <c r="E590" s="96" t="s">
        <v>61</v>
      </c>
      <c r="F590" s="8">
        <v>-38.86</v>
      </c>
      <c r="G590" s="203" t="s">
        <v>62</v>
      </c>
      <c r="H590" s="7" t="str">
        <f t="shared" si="71"/>
        <v>Payment</v>
      </c>
      <c r="I590" s="8">
        <f t="shared" si="72"/>
        <v>1221.3500000000008</v>
      </c>
      <c r="J590" s="203"/>
      <c r="K590" s="90"/>
    </row>
    <row r="591" spans="1:11" ht="18" customHeight="1" x14ac:dyDescent="0.2">
      <c r="A591" s="20">
        <f t="shared" si="69"/>
        <v>2021</v>
      </c>
      <c r="B591" s="6">
        <f t="shared" si="70"/>
        <v>8</v>
      </c>
      <c r="C591" s="206">
        <v>44430</v>
      </c>
      <c r="D591" s="206">
        <v>44430</v>
      </c>
      <c r="E591" s="96" t="s">
        <v>21</v>
      </c>
      <c r="F591" s="8">
        <v>-961.14</v>
      </c>
      <c r="G591" s="203" t="s">
        <v>22</v>
      </c>
      <c r="H591" s="7" t="str">
        <f t="shared" si="71"/>
        <v>Payment</v>
      </c>
      <c r="I591" s="8">
        <f t="shared" si="72"/>
        <v>260.21000000000083</v>
      </c>
      <c r="J591" s="203"/>
      <c r="K591" s="90"/>
    </row>
    <row r="592" spans="1:11" ht="18" customHeight="1" x14ac:dyDescent="0.2">
      <c r="A592" s="20">
        <f t="shared" si="69"/>
        <v>2021</v>
      </c>
      <c r="B592" s="6">
        <f t="shared" si="70"/>
        <v>8</v>
      </c>
      <c r="C592" s="206">
        <v>44430</v>
      </c>
      <c r="D592" s="206">
        <v>44430</v>
      </c>
      <c r="E592" s="96" t="s">
        <v>873</v>
      </c>
      <c r="F592" s="8">
        <v>38.97</v>
      </c>
      <c r="G592" s="203" t="s">
        <v>89</v>
      </c>
      <c r="H592" s="7" t="str">
        <f t="shared" si="71"/>
        <v>Variable</v>
      </c>
      <c r="I592" s="8">
        <f t="shared" si="72"/>
        <v>299.18000000000086</v>
      </c>
      <c r="J592" s="211" t="s">
        <v>922</v>
      </c>
      <c r="K592" s="90"/>
    </row>
    <row r="593" spans="1:11" ht="18" customHeight="1" x14ac:dyDescent="0.2">
      <c r="A593" s="20">
        <f t="shared" si="69"/>
        <v>2021</v>
      </c>
      <c r="B593" s="6">
        <f t="shared" si="70"/>
        <v>8</v>
      </c>
      <c r="C593" s="206">
        <v>44430</v>
      </c>
      <c r="D593" s="206">
        <v>44430</v>
      </c>
      <c r="E593" s="96" t="s">
        <v>337</v>
      </c>
      <c r="F593" s="8">
        <v>1.05</v>
      </c>
      <c r="G593" s="203" t="s">
        <v>119</v>
      </c>
      <c r="H593" s="7" t="str">
        <f t="shared" si="71"/>
        <v>Variable</v>
      </c>
      <c r="I593" s="8">
        <f t="shared" si="72"/>
        <v>300.23000000000087</v>
      </c>
      <c r="J593" s="203"/>
      <c r="K593" s="90"/>
    </row>
    <row r="594" spans="1:11" ht="18" customHeight="1" x14ac:dyDescent="0.2">
      <c r="A594" s="20">
        <f t="shared" si="69"/>
        <v>2021</v>
      </c>
      <c r="B594" s="6">
        <f t="shared" si="70"/>
        <v>8</v>
      </c>
      <c r="C594" s="206">
        <v>44431</v>
      </c>
      <c r="D594" s="206">
        <v>44431</v>
      </c>
      <c r="E594" s="96" t="s">
        <v>874</v>
      </c>
      <c r="F594" s="8">
        <v>16.28</v>
      </c>
      <c r="G594" s="203" t="s">
        <v>41</v>
      </c>
      <c r="H594" s="7" t="str">
        <f t="shared" si="71"/>
        <v>Variable</v>
      </c>
      <c r="I594" s="8">
        <f t="shared" si="72"/>
        <v>316.5100000000009</v>
      </c>
      <c r="J594" s="203"/>
      <c r="K594" s="90"/>
    </row>
    <row r="595" spans="1:11" ht="18" customHeight="1" x14ac:dyDescent="0.2">
      <c r="A595" s="20">
        <f t="shared" si="69"/>
        <v>2021</v>
      </c>
      <c r="B595" s="6">
        <f t="shared" si="70"/>
        <v>8</v>
      </c>
      <c r="C595" s="206">
        <v>44432</v>
      </c>
      <c r="D595" s="206">
        <v>44432</v>
      </c>
      <c r="E595" s="96" t="s">
        <v>875</v>
      </c>
      <c r="F595" s="8">
        <v>8.51</v>
      </c>
      <c r="G595" s="203" t="s">
        <v>41</v>
      </c>
      <c r="H595" s="7" t="str">
        <f t="shared" si="71"/>
        <v>Variable</v>
      </c>
      <c r="I595" s="8">
        <f t="shared" si="72"/>
        <v>325.02000000000089</v>
      </c>
      <c r="J595" s="203"/>
      <c r="K595" s="90"/>
    </row>
    <row r="596" spans="1:11" ht="18" customHeight="1" x14ac:dyDescent="0.2">
      <c r="A596" s="20">
        <f t="shared" si="69"/>
        <v>2021</v>
      </c>
      <c r="B596" s="6">
        <f t="shared" si="70"/>
        <v>8</v>
      </c>
      <c r="C596" s="206">
        <v>44432</v>
      </c>
      <c r="D596" s="206">
        <v>44432</v>
      </c>
      <c r="E596" s="96" t="s">
        <v>254</v>
      </c>
      <c r="F596" s="8">
        <v>81.069999999999993</v>
      </c>
      <c r="G596" s="203" t="s">
        <v>195</v>
      </c>
      <c r="H596" s="7" t="str">
        <f t="shared" si="71"/>
        <v>Variable</v>
      </c>
      <c r="I596" s="8">
        <f t="shared" si="72"/>
        <v>406.09000000000088</v>
      </c>
      <c r="J596" s="203"/>
      <c r="K596" s="90"/>
    </row>
    <row r="597" spans="1:11" ht="18" customHeight="1" x14ac:dyDescent="0.2">
      <c r="A597" s="20">
        <f t="shared" si="69"/>
        <v>2021</v>
      </c>
      <c r="B597" s="6">
        <f t="shared" si="70"/>
        <v>8</v>
      </c>
      <c r="C597" s="206">
        <v>44432</v>
      </c>
      <c r="D597" s="206">
        <v>44434</v>
      </c>
      <c r="E597" s="96" t="s">
        <v>352</v>
      </c>
      <c r="F597" s="8">
        <v>-97</v>
      </c>
      <c r="G597" s="203" t="s">
        <v>22</v>
      </c>
      <c r="H597" s="7" t="str">
        <f t="shared" si="71"/>
        <v>Payment</v>
      </c>
      <c r="I597" s="8">
        <f t="shared" si="72"/>
        <v>309.09000000000088</v>
      </c>
      <c r="J597" s="203"/>
      <c r="K597" s="90"/>
    </row>
    <row r="598" spans="1:11" ht="18" customHeight="1" x14ac:dyDescent="0.2">
      <c r="A598" s="20">
        <f t="shared" si="69"/>
        <v>2021</v>
      </c>
      <c r="B598" s="6">
        <f t="shared" si="70"/>
        <v>8</v>
      </c>
      <c r="C598" s="206">
        <v>44433</v>
      </c>
      <c r="D598" s="206">
        <v>44433</v>
      </c>
      <c r="E598" s="96" t="s">
        <v>876</v>
      </c>
      <c r="F598" s="8">
        <v>10.59</v>
      </c>
      <c r="G598" s="203" t="s">
        <v>68</v>
      </c>
      <c r="H598" s="7" t="str">
        <f t="shared" si="71"/>
        <v>Variable</v>
      </c>
      <c r="I598" s="8">
        <f t="shared" si="72"/>
        <v>319.68000000000086</v>
      </c>
      <c r="J598" s="203"/>
      <c r="K598" s="90"/>
    </row>
    <row r="599" spans="1:11" ht="18" customHeight="1" x14ac:dyDescent="0.2">
      <c r="A599" s="20">
        <f t="shared" si="69"/>
        <v>2021</v>
      </c>
      <c r="B599" s="6">
        <f t="shared" si="70"/>
        <v>8</v>
      </c>
      <c r="C599" s="206">
        <v>44433</v>
      </c>
      <c r="D599" s="206">
        <v>44433</v>
      </c>
      <c r="E599" s="96" t="s">
        <v>192</v>
      </c>
      <c r="F599" s="8">
        <v>8.1999999999999993</v>
      </c>
      <c r="G599" s="203" t="s">
        <v>41</v>
      </c>
      <c r="H599" s="7" t="str">
        <f t="shared" si="71"/>
        <v>Variable</v>
      </c>
      <c r="I599" s="8">
        <f t="shared" si="72"/>
        <v>327.88000000000085</v>
      </c>
      <c r="J599" s="203"/>
      <c r="K599" s="90"/>
    </row>
    <row r="600" spans="1:11" ht="18" customHeight="1" x14ac:dyDescent="0.2">
      <c r="A600" s="20">
        <f t="shared" si="69"/>
        <v>2021</v>
      </c>
      <c r="B600" s="6">
        <f t="shared" si="70"/>
        <v>8</v>
      </c>
      <c r="C600" s="206">
        <v>44433</v>
      </c>
      <c r="D600" s="206">
        <v>44433</v>
      </c>
      <c r="E600" s="96" t="s">
        <v>254</v>
      </c>
      <c r="F600" s="8">
        <v>8.44</v>
      </c>
      <c r="G600" s="203" t="s">
        <v>195</v>
      </c>
      <c r="H600" s="7" t="str">
        <f t="shared" si="71"/>
        <v>Variable</v>
      </c>
      <c r="I600" s="8">
        <f t="shared" si="72"/>
        <v>336.32000000000085</v>
      </c>
      <c r="J600" s="203"/>
      <c r="K600" s="90"/>
    </row>
    <row r="601" spans="1:11" ht="18" customHeight="1" x14ac:dyDescent="0.2">
      <c r="A601" s="20">
        <f t="shared" si="69"/>
        <v>2021</v>
      </c>
      <c r="B601" s="6">
        <f t="shared" si="70"/>
        <v>8</v>
      </c>
      <c r="C601" s="206">
        <v>44434</v>
      </c>
      <c r="D601" s="206">
        <v>44434</v>
      </c>
      <c r="E601" s="96" t="s">
        <v>877</v>
      </c>
      <c r="F601" s="8">
        <v>17.46</v>
      </c>
      <c r="G601" s="211" t="s">
        <v>26</v>
      </c>
      <c r="H601" s="7" t="str">
        <f t="shared" si="71"/>
        <v>Fixed</v>
      </c>
      <c r="I601" s="8">
        <f t="shared" si="72"/>
        <v>353.78000000000083</v>
      </c>
      <c r="J601" s="211" t="s">
        <v>925</v>
      </c>
      <c r="K601" s="90"/>
    </row>
    <row r="602" spans="1:11" ht="18" customHeight="1" x14ac:dyDescent="0.2">
      <c r="A602" s="20">
        <f t="shared" si="69"/>
        <v>2021</v>
      </c>
      <c r="B602" s="6">
        <f t="shared" si="70"/>
        <v>8</v>
      </c>
      <c r="C602" s="206">
        <v>44434</v>
      </c>
      <c r="D602" s="206">
        <v>44434</v>
      </c>
      <c r="E602" s="96" t="s">
        <v>196</v>
      </c>
      <c r="F602" s="8">
        <v>35</v>
      </c>
      <c r="G602" s="203" t="s">
        <v>89</v>
      </c>
      <c r="H602" s="7" t="str">
        <f t="shared" si="71"/>
        <v>Variable</v>
      </c>
      <c r="I602" s="8">
        <f t="shared" si="72"/>
        <v>388.78000000000083</v>
      </c>
      <c r="J602" s="203"/>
      <c r="K602" s="90"/>
    </row>
    <row r="603" spans="1:11" ht="18" customHeight="1" x14ac:dyDescent="0.2">
      <c r="A603" s="20">
        <f t="shared" si="69"/>
        <v>2021</v>
      </c>
      <c r="B603" s="6">
        <f t="shared" si="70"/>
        <v>8</v>
      </c>
      <c r="C603" s="206">
        <v>44434</v>
      </c>
      <c r="D603" s="206">
        <v>44434</v>
      </c>
      <c r="E603" s="96" t="s">
        <v>21</v>
      </c>
      <c r="F603" s="8">
        <v>-1040.93</v>
      </c>
      <c r="G603" s="203" t="s">
        <v>22</v>
      </c>
      <c r="H603" s="7" t="str">
        <f t="shared" si="71"/>
        <v>Payment</v>
      </c>
      <c r="I603" s="8">
        <f t="shared" si="72"/>
        <v>-652.14999999999918</v>
      </c>
      <c r="J603" s="203"/>
      <c r="K603" s="90"/>
    </row>
    <row r="604" spans="1:11" ht="18" customHeight="1" x14ac:dyDescent="0.2">
      <c r="A604" s="20">
        <f t="shared" si="69"/>
        <v>2021</v>
      </c>
      <c r="B604" s="6">
        <f t="shared" si="70"/>
        <v>8</v>
      </c>
      <c r="C604" s="206">
        <v>44434</v>
      </c>
      <c r="D604" s="206">
        <v>44434</v>
      </c>
      <c r="E604" s="96" t="s">
        <v>239</v>
      </c>
      <c r="F604" s="8">
        <v>9.27</v>
      </c>
      <c r="G604" s="203" t="s">
        <v>41</v>
      </c>
      <c r="H604" s="7" t="str">
        <f t="shared" si="71"/>
        <v>Variable</v>
      </c>
      <c r="I604" s="8">
        <f t="shared" si="72"/>
        <v>-642.8799999999992</v>
      </c>
      <c r="J604" s="203"/>
      <c r="K604" s="90"/>
    </row>
    <row r="605" spans="1:11" ht="18" customHeight="1" x14ac:dyDescent="0.2">
      <c r="A605" s="20">
        <f t="shared" si="69"/>
        <v>2021</v>
      </c>
      <c r="B605" s="6">
        <f t="shared" si="70"/>
        <v>8</v>
      </c>
      <c r="C605" s="206">
        <v>44434</v>
      </c>
      <c r="D605" s="206">
        <v>44434</v>
      </c>
      <c r="E605" s="96" t="s">
        <v>878</v>
      </c>
      <c r="F605" s="8">
        <v>7.41</v>
      </c>
      <c r="G605" s="203" t="s">
        <v>68</v>
      </c>
      <c r="H605" s="7" t="str">
        <f t="shared" si="71"/>
        <v>Variable</v>
      </c>
      <c r="I605" s="8">
        <f t="shared" si="72"/>
        <v>-635.46999999999923</v>
      </c>
      <c r="J605" s="203"/>
      <c r="K605" s="90"/>
    </row>
    <row r="606" spans="1:11" ht="18" customHeight="1" x14ac:dyDescent="0.2">
      <c r="A606" s="20">
        <f t="shared" si="69"/>
        <v>2021</v>
      </c>
      <c r="B606" s="6">
        <f t="shared" si="70"/>
        <v>8</v>
      </c>
      <c r="C606" s="206">
        <v>44435</v>
      </c>
      <c r="D606" s="206">
        <v>44435</v>
      </c>
      <c r="E606" s="96" t="s">
        <v>879</v>
      </c>
      <c r="F606" s="8">
        <v>22.05</v>
      </c>
      <c r="G606" s="211" t="s">
        <v>26</v>
      </c>
      <c r="H606" s="7" t="str">
        <f t="shared" si="71"/>
        <v>Fixed</v>
      </c>
      <c r="I606" s="8">
        <f t="shared" si="72"/>
        <v>-613.41999999999928</v>
      </c>
      <c r="J606" s="211" t="s">
        <v>925</v>
      </c>
      <c r="K606" s="90"/>
    </row>
    <row r="607" spans="1:11" ht="18" customHeight="1" x14ac:dyDescent="0.2">
      <c r="A607" s="20">
        <f t="shared" si="69"/>
        <v>2021</v>
      </c>
      <c r="B607" s="6">
        <f t="shared" si="70"/>
        <v>8</v>
      </c>
      <c r="C607" s="206">
        <v>44435</v>
      </c>
      <c r="D607" s="206">
        <v>44435</v>
      </c>
      <c r="E607" s="96" t="s">
        <v>880</v>
      </c>
      <c r="F607" s="8">
        <v>7.68</v>
      </c>
      <c r="G607" s="203" t="s">
        <v>24</v>
      </c>
      <c r="H607" s="7" t="str">
        <f t="shared" si="71"/>
        <v>Variable</v>
      </c>
      <c r="I607" s="8">
        <f t="shared" si="72"/>
        <v>-605.73999999999933</v>
      </c>
      <c r="J607" s="203"/>
      <c r="K607" s="90"/>
    </row>
    <row r="608" spans="1:11" ht="18" customHeight="1" x14ac:dyDescent="0.2">
      <c r="A608" s="20">
        <f t="shared" si="69"/>
        <v>2021</v>
      </c>
      <c r="B608" s="6">
        <f t="shared" si="70"/>
        <v>8</v>
      </c>
      <c r="C608" s="206">
        <v>44435</v>
      </c>
      <c r="D608" s="206">
        <v>44435</v>
      </c>
      <c r="E608" s="96" t="s">
        <v>880</v>
      </c>
      <c r="F608" s="8">
        <v>20.420000000000002</v>
      </c>
      <c r="G608" s="203" t="s">
        <v>24</v>
      </c>
      <c r="H608" s="7" t="str">
        <f t="shared" si="71"/>
        <v>Variable</v>
      </c>
      <c r="I608" s="8">
        <f t="shared" si="72"/>
        <v>-585.31999999999937</v>
      </c>
      <c r="J608" s="203"/>
      <c r="K608" s="90"/>
    </row>
    <row r="609" spans="1:11" ht="18" customHeight="1" x14ac:dyDescent="0.2">
      <c r="A609" s="20">
        <f t="shared" si="69"/>
        <v>2021</v>
      </c>
      <c r="B609" s="6">
        <f t="shared" si="70"/>
        <v>8</v>
      </c>
      <c r="C609" s="206">
        <v>44435</v>
      </c>
      <c r="D609" s="206">
        <v>44435</v>
      </c>
      <c r="E609" s="96" t="s">
        <v>881</v>
      </c>
      <c r="F609" s="8">
        <v>25.54</v>
      </c>
      <c r="G609" s="203" t="s">
        <v>41</v>
      </c>
      <c r="H609" s="7" t="str">
        <f t="shared" si="71"/>
        <v>Variable</v>
      </c>
      <c r="I609" s="8">
        <f t="shared" si="72"/>
        <v>-559.7799999999994</v>
      </c>
      <c r="J609" s="211" t="s">
        <v>923</v>
      </c>
      <c r="K609" s="90"/>
    </row>
    <row r="610" spans="1:11" ht="18" customHeight="1" x14ac:dyDescent="0.2">
      <c r="A610" s="20">
        <f t="shared" si="69"/>
        <v>2021</v>
      </c>
      <c r="B610" s="6">
        <f t="shared" si="70"/>
        <v>8</v>
      </c>
      <c r="C610" s="206">
        <v>44435</v>
      </c>
      <c r="D610" s="206">
        <v>44435</v>
      </c>
      <c r="E610" s="96" t="s">
        <v>112</v>
      </c>
      <c r="F610" s="8">
        <v>9.99</v>
      </c>
      <c r="G610" s="211" t="s">
        <v>26</v>
      </c>
      <c r="H610" s="7" t="str">
        <f t="shared" si="71"/>
        <v>Fixed</v>
      </c>
      <c r="I610" s="8">
        <f t="shared" si="72"/>
        <v>-549.7899999999994</v>
      </c>
      <c r="J610" s="211" t="s">
        <v>295</v>
      </c>
      <c r="K610" s="90" t="s">
        <v>788</v>
      </c>
    </row>
    <row r="611" spans="1:11" ht="18" customHeight="1" x14ac:dyDescent="0.2">
      <c r="A611" s="20">
        <f t="shared" si="69"/>
        <v>2021</v>
      </c>
      <c r="B611" s="6">
        <f t="shared" si="70"/>
        <v>8</v>
      </c>
      <c r="C611" s="206">
        <v>44435</v>
      </c>
      <c r="D611" s="206">
        <v>44435</v>
      </c>
      <c r="E611" s="96" t="s">
        <v>882</v>
      </c>
      <c r="F611" s="8">
        <v>35.78</v>
      </c>
      <c r="G611" s="203" t="s">
        <v>90</v>
      </c>
      <c r="H611" s="7" t="str">
        <f t="shared" si="71"/>
        <v>Variable</v>
      </c>
      <c r="I611" s="8">
        <f t="shared" si="72"/>
        <v>-514.00999999999942</v>
      </c>
      <c r="J611" s="211" t="s">
        <v>922</v>
      </c>
      <c r="K611" s="90"/>
    </row>
    <row r="612" spans="1:11" ht="18" customHeight="1" x14ac:dyDescent="0.2">
      <c r="A612" s="20">
        <f t="shared" si="69"/>
        <v>2021</v>
      </c>
      <c r="B612" s="6">
        <f t="shared" si="70"/>
        <v>8</v>
      </c>
      <c r="C612" s="206">
        <v>44436</v>
      </c>
      <c r="D612" s="206">
        <v>44436</v>
      </c>
      <c r="E612" s="96" t="s">
        <v>883</v>
      </c>
      <c r="F612" s="8">
        <v>19.5</v>
      </c>
      <c r="G612" s="203" t="s">
        <v>24</v>
      </c>
      <c r="H612" s="7" t="str">
        <f t="shared" si="71"/>
        <v>Variable</v>
      </c>
      <c r="I612" s="8">
        <f t="shared" si="72"/>
        <v>-494.50999999999942</v>
      </c>
      <c r="J612" s="211" t="s">
        <v>922</v>
      </c>
      <c r="K612" s="90"/>
    </row>
    <row r="613" spans="1:11" ht="18" customHeight="1" x14ac:dyDescent="0.2">
      <c r="A613" s="20">
        <f t="shared" si="69"/>
        <v>2021</v>
      </c>
      <c r="B613" s="6">
        <f t="shared" si="70"/>
        <v>8</v>
      </c>
      <c r="C613" s="206">
        <v>44436</v>
      </c>
      <c r="D613" s="206">
        <v>44436</v>
      </c>
      <c r="E613" s="96" t="s">
        <v>884</v>
      </c>
      <c r="F613" s="8">
        <v>49.99</v>
      </c>
      <c r="G613" s="203" t="s">
        <v>68</v>
      </c>
      <c r="H613" s="7" t="str">
        <f t="shared" si="71"/>
        <v>Variable</v>
      </c>
      <c r="I613" s="8">
        <f t="shared" si="72"/>
        <v>-444.51999999999941</v>
      </c>
      <c r="J613" s="211" t="s">
        <v>922</v>
      </c>
      <c r="K613" s="90"/>
    </row>
    <row r="614" spans="1:11" ht="18" customHeight="1" x14ac:dyDescent="0.2">
      <c r="A614" s="20">
        <f t="shared" si="69"/>
        <v>2021</v>
      </c>
      <c r="B614" s="6">
        <f t="shared" si="70"/>
        <v>8</v>
      </c>
      <c r="C614" s="206">
        <v>44436</v>
      </c>
      <c r="D614" s="206">
        <v>44436</v>
      </c>
      <c r="E614" s="96" t="s">
        <v>885</v>
      </c>
      <c r="F614" s="8">
        <v>20.46</v>
      </c>
      <c r="G614" s="203" t="s">
        <v>119</v>
      </c>
      <c r="H614" s="7" t="str">
        <f t="shared" si="71"/>
        <v>Variable</v>
      </c>
      <c r="I614" s="8">
        <f t="shared" si="72"/>
        <v>-424.05999999999943</v>
      </c>
      <c r="J614" s="211" t="s">
        <v>922</v>
      </c>
      <c r="K614" s="90"/>
    </row>
    <row r="615" spans="1:11" ht="18" customHeight="1" x14ac:dyDescent="0.2">
      <c r="A615" s="20">
        <f t="shared" si="69"/>
        <v>2021</v>
      </c>
      <c r="B615" s="6">
        <f t="shared" si="70"/>
        <v>8</v>
      </c>
      <c r="C615" s="206">
        <v>44436</v>
      </c>
      <c r="D615" s="206">
        <v>44436</v>
      </c>
      <c r="E615" s="96" t="s">
        <v>886</v>
      </c>
      <c r="F615" s="8">
        <v>32.82</v>
      </c>
      <c r="G615" s="203" t="s">
        <v>41</v>
      </c>
      <c r="H615" s="7" t="str">
        <f t="shared" si="71"/>
        <v>Variable</v>
      </c>
      <c r="I615" s="8">
        <f t="shared" si="72"/>
        <v>-391.23999999999944</v>
      </c>
      <c r="J615" s="211" t="s">
        <v>922</v>
      </c>
      <c r="K615" s="90"/>
    </row>
    <row r="616" spans="1:11" ht="18" customHeight="1" x14ac:dyDescent="0.2">
      <c r="A616" s="20">
        <f t="shared" si="69"/>
        <v>2021</v>
      </c>
      <c r="B616" s="6">
        <f t="shared" si="70"/>
        <v>8</v>
      </c>
      <c r="C616" s="206">
        <v>44436</v>
      </c>
      <c r="D616" s="206">
        <v>44436</v>
      </c>
      <c r="E616" s="96" t="s">
        <v>887</v>
      </c>
      <c r="F616" s="8">
        <v>24.34</v>
      </c>
      <c r="G616" s="203" t="s">
        <v>24</v>
      </c>
      <c r="H616" s="7" t="str">
        <f t="shared" si="71"/>
        <v>Variable</v>
      </c>
      <c r="I616" s="8">
        <f t="shared" si="72"/>
        <v>-366.89999999999947</v>
      </c>
      <c r="J616" s="211" t="s">
        <v>922</v>
      </c>
      <c r="K616" s="90"/>
    </row>
    <row r="617" spans="1:11" ht="18" customHeight="1" x14ac:dyDescent="0.2">
      <c r="A617" s="20">
        <f t="shared" si="69"/>
        <v>2021</v>
      </c>
      <c r="B617" s="6">
        <f t="shared" si="70"/>
        <v>8</v>
      </c>
      <c r="C617" s="206">
        <v>44436</v>
      </c>
      <c r="D617" s="206">
        <v>44436</v>
      </c>
      <c r="E617" s="96" t="s">
        <v>888</v>
      </c>
      <c r="F617" s="8">
        <v>51.53</v>
      </c>
      <c r="G617" s="203" t="s">
        <v>41</v>
      </c>
      <c r="H617" s="7" t="str">
        <f t="shared" si="71"/>
        <v>Variable</v>
      </c>
      <c r="I617" s="8">
        <f t="shared" si="72"/>
        <v>-315.36999999999944</v>
      </c>
      <c r="J617" s="211" t="s">
        <v>922</v>
      </c>
      <c r="K617" s="90"/>
    </row>
    <row r="618" spans="1:11" ht="18" customHeight="1" x14ac:dyDescent="0.2">
      <c r="A618" s="20">
        <f t="shared" si="69"/>
        <v>2021</v>
      </c>
      <c r="B618" s="6">
        <f t="shared" si="70"/>
        <v>8</v>
      </c>
      <c r="C618" s="206">
        <v>44437</v>
      </c>
      <c r="D618" s="206">
        <v>44437</v>
      </c>
      <c r="E618" s="96" t="s">
        <v>889</v>
      </c>
      <c r="F618" s="8">
        <v>10.59</v>
      </c>
      <c r="G618" s="211" t="s">
        <v>26</v>
      </c>
      <c r="H618" s="7" t="str">
        <f t="shared" si="71"/>
        <v>Fixed</v>
      </c>
      <c r="I618" s="8">
        <f t="shared" si="72"/>
        <v>-304.77999999999946</v>
      </c>
      <c r="J618" s="211" t="s">
        <v>927</v>
      </c>
      <c r="K618" s="90"/>
    </row>
    <row r="619" spans="1:11" ht="18" customHeight="1" x14ac:dyDescent="0.2">
      <c r="A619" s="20">
        <f t="shared" si="69"/>
        <v>2021</v>
      </c>
      <c r="B619" s="6">
        <f t="shared" si="70"/>
        <v>8</v>
      </c>
      <c r="C619" s="206">
        <v>44437</v>
      </c>
      <c r="D619" s="206">
        <v>44437</v>
      </c>
      <c r="E619" s="96" t="s">
        <v>890</v>
      </c>
      <c r="F619" s="8">
        <v>31.13</v>
      </c>
      <c r="G619" s="203" t="s">
        <v>24</v>
      </c>
      <c r="H619" s="7" t="str">
        <f t="shared" si="71"/>
        <v>Variable</v>
      </c>
      <c r="I619" s="8">
        <f t="shared" si="72"/>
        <v>-273.64999999999947</v>
      </c>
      <c r="J619" s="211" t="s">
        <v>922</v>
      </c>
      <c r="K619" s="90"/>
    </row>
    <row r="620" spans="1:11" ht="18" customHeight="1" x14ac:dyDescent="0.2">
      <c r="A620" s="20">
        <f t="shared" si="69"/>
        <v>2021</v>
      </c>
      <c r="B620" s="6">
        <f t="shared" si="70"/>
        <v>8</v>
      </c>
      <c r="C620" s="206">
        <v>44437</v>
      </c>
      <c r="D620" s="206">
        <v>44437</v>
      </c>
      <c r="E620" s="96" t="s">
        <v>891</v>
      </c>
      <c r="F620" s="8">
        <v>36.450000000000003</v>
      </c>
      <c r="G620" s="203" t="s">
        <v>89</v>
      </c>
      <c r="H620" s="7" t="str">
        <f t="shared" si="71"/>
        <v>Variable</v>
      </c>
      <c r="I620" s="8">
        <f t="shared" si="72"/>
        <v>-237.19999999999948</v>
      </c>
      <c r="J620" s="211" t="s">
        <v>922</v>
      </c>
      <c r="K620" s="90"/>
    </row>
    <row r="621" spans="1:11" ht="18" customHeight="1" x14ac:dyDescent="0.2">
      <c r="A621" s="20">
        <f t="shared" si="69"/>
        <v>2021</v>
      </c>
      <c r="B621" s="6">
        <f t="shared" si="70"/>
        <v>8</v>
      </c>
      <c r="C621" s="206">
        <v>44437</v>
      </c>
      <c r="D621" s="206">
        <v>44437</v>
      </c>
      <c r="E621" s="96" t="s">
        <v>892</v>
      </c>
      <c r="F621" s="8">
        <v>30.9</v>
      </c>
      <c r="G621" s="203" t="s">
        <v>68</v>
      </c>
      <c r="H621" s="7" t="str">
        <f t="shared" si="71"/>
        <v>Variable</v>
      </c>
      <c r="I621" s="8">
        <f t="shared" si="72"/>
        <v>-206.29999999999947</v>
      </c>
      <c r="J621" s="211" t="s">
        <v>922</v>
      </c>
      <c r="K621" s="90"/>
    </row>
    <row r="622" spans="1:11" ht="18" customHeight="1" x14ac:dyDescent="0.2">
      <c r="A622" s="20">
        <f t="shared" si="69"/>
        <v>2021</v>
      </c>
      <c r="B622" s="6">
        <f t="shared" si="70"/>
        <v>8</v>
      </c>
      <c r="C622" s="206">
        <v>44437</v>
      </c>
      <c r="D622" s="206">
        <v>44437</v>
      </c>
      <c r="E622" s="96" t="s">
        <v>892</v>
      </c>
      <c r="F622" s="8">
        <v>35</v>
      </c>
      <c r="G622" s="203" t="s">
        <v>68</v>
      </c>
      <c r="H622" s="7" t="str">
        <f t="shared" si="71"/>
        <v>Variable</v>
      </c>
      <c r="I622" s="8">
        <f t="shared" si="72"/>
        <v>-171.29999999999947</v>
      </c>
      <c r="J622" s="211" t="s">
        <v>922</v>
      </c>
      <c r="K622" s="90"/>
    </row>
    <row r="623" spans="1:11" ht="18" customHeight="1" x14ac:dyDescent="0.2">
      <c r="A623" s="20">
        <f t="shared" si="69"/>
        <v>2021</v>
      </c>
      <c r="B623" s="6">
        <f t="shared" si="70"/>
        <v>8</v>
      </c>
      <c r="C623" s="206">
        <v>44437</v>
      </c>
      <c r="D623" s="206">
        <v>44437</v>
      </c>
      <c r="E623" s="96" t="s">
        <v>893</v>
      </c>
      <c r="F623" s="8">
        <v>2.2599999999999998</v>
      </c>
      <c r="G623" s="203" t="s">
        <v>89</v>
      </c>
      <c r="H623" s="7" t="str">
        <f t="shared" si="71"/>
        <v>Variable</v>
      </c>
      <c r="I623" s="8">
        <f t="shared" si="72"/>
        <v>-169.03999999999948</v>
      </c>
      <c r="J623" s="211" t="s">
        <v>922</v>
      </c>
      <c r="K623" s="90"/>
    </row>
    <row r="624" spans="1:11" ht="18" customHeight="1" x14ac:dyDescent="0.2">
      <c r="A624" s="20">
        <f t="shared" si="69"/>
        <v>2021</v>
      </c>
      <c r="B624" s="6">
        <f t="shared" si="70"/>
        <v>8</v>
      </c>
      <c r="C624" s="206">
        <v>44437</v>
      </c>
      <c r="D624" s="206">
        <v>44437</v>
      </c>
      <c r="E624" s="96" t="s">
        <v>893</v>
      </c>
      <c r="F624" s="8">
        <v>2.2799999999999998</v>
      </c>
      <c r="G624" s="203" t="s">
        <v>89</v>
      </c>
      <c r="H624" s="7" t="str">
        <f t="shared" si="71"/>
        <v>Variable</v>
      </c>
      <c r="I624" s="8">
        <f t="shared" si="72"/>
        <v>-166.75999999999948</v>
      </c>
      <c r="J624" s="211" t="s">
        <v>922</v>
      </c>
      <c r="K624" s="90"/>
    </row>
    <row r="625" spans="1:11" ht="18" customHeight="1" x14ac:dyDescent="0.2">
      <c r="A625" s="20">
        <f t="shared" si="69"/>
        <v>2021</v>
      </c>
      <c r="B625" s="6">
        <f t="shared" si="70"/>
        <v>8</v>
      </c>
      <c r="C625" s="206">
        <v>44437</v>
      </c>
      <c r="D625" s="206">
        <v>44437</v>
      </c>
      <c r="E625" s="96" t="s">
        <v>893</v>
      </c>
      <c r="F625" s="8">
        <v>3.04</v>
      </c>
      <c r="G625" s="203" t="s">
        <v>89</v>
      </c>
      <c r="H625" s="7" t="str">
        <f t="shared" si="71"/>
        <v>Variable</v>
      </c>
      <c r="I625" s="8">
        <f t="shared" si="72"/>
        <v>-163.71999999999949</v>
      </c>
      <c r="J625" s="211" t="s">
        <v>922</v>
      </c>
      <c r="K625" s="90"/>
    </row>
    <row r="626" spans="1:11" ht="18" customHeight="1" x14ac:dyDescent="0.2">
      <c r="A626" s="20">
        <f t="shared" si="69"/>
        <v>2021</v>
      </c>
      <c r="B626" s="6">
        <f t="shared" si="70"/>
        <v>8</v>
      </c>
      <c r="C626" s="206">
        <v>44437</v>
      </c>
      <c r="D626" s="206">
        <v>44437</v>
      </c>
      <c r="E626" s="96" t="s">
        <v>893</v>
      </c>
      <c r="F626" s="8">
        <v>4.8499999999999996</v>
      </c>
      <c r="G626" s="203" t="s">
        <v>89</v>
      </c>
      <c r="H626" s="7" t="str">
        <f t="shared" si="71"/>
        <v>Variable</v>
      </c>
      <c r="I626" s="8">
        <f t="shared" si="72"/>
        <v>-158.86999999999949</v>
      </c>
      <c r="J626" s="211" t="s">
        <v>922</v>
      </c>
      <c r="K626" s="90"/>
    </row>
    <row r="627" spans="1:11" ht="18" customHeight="1" x14ac:dyDescent="0.2">
      <c r="A627" s="20">
        <f t="shared" si="69"/>
        <v>2021</v>
      </c>
      <c r="B627" s="6">
        <f t="shared" si="70"/>
        <v>8</v>
      </c>
      <c r="C627" s="206">
        <v>44437</v>
      </c>
      <c r="D627" s="206">
        <v>44437</v>
      </c>
      <c r="E627" s="96" t="s">
        <v>893</v>
      </c>
      <c r="F627" s="8">
        <v>6.34</v>
      </c>
      <c r="G627" s="203" t="s">
        <v>89</v>
      </c>
      <c r="H627" s="7" t="str">
        <f t="shared" si="71"/>
        <v>Variable</v>
      </c>
      <c r="I627" s="8">
        <f t="shared" si="72"/>
        <v>-152.52999999999949</v>
      </c>
      <c r="J627" s="211" t="s">
        <v>922</v>
      </c>
      <c r="K627" s="90"/>
    </row>
    <row r="628" spans="1:11" ht="18" customHeight="1" x14ac:dyDescent="0.2">
      <c r="A628" s="20">
        <f t="shared" si="69"/>
        <v>2021</v>
      </c>
      <c r="B628" s="6">
        <f t="shared" si="70"/>
        <v>8</v>
      </c>
      <c r="C628" s="206">
        <v>44438</v>
      </c>
      <c r="D628" s="206">
        <v>44438</v>
      </c>
      <c r="E628" s="96" t="s">
        <v>340</v>
      </c>
      <c r="F628" s="8">
        <v>4.99</v>
      </c>
      <c r="G628" s="211" t="s">
        <v>26</v>
      </c>
      <c r="H628" s="7" t="str">
        <f t="shared" si="71"/>
        <v>Fixed</v>
      </c>
      <c r="I628" s="8">
        <f t="shared" si="72"/>
        <v>-147.53999999999948</v>
      </c>
      <c r="J628" s="211" t="s">
        <v>724</v>
      </c>
      <c r="K628" s="90"/>
    </row>
    <row r="629" spans="1:11" ht="18" customHeight="1" x14ac:dyDescent="0.2">
      <c r="A629" s="20">
        <f t="shared" si="69"/>
        <v>2021</v>
      </c>
      <c r="B629" s="6">
        <f t="shared" si="70"/>
        <v>8</v>
      </c>
      <c r="C629" s="206">
        <v>44438</v>
      </c>
      <c r="D629" s="206">
        <v>44438</v>
      </c>
      <c r="E629" s="96" t="s">
        <v>894</v>
      </c>
      <c r="F629" s="8">
        <v>27.23</v>
      </c>
      <c r="G629" s="203" t="s">
        <v>24</v>
      </c>
      <c r="H629" s="7" t="str">
        <f t="shared" si="71"/>
        <v>Variable</v>
      </c>
      <c r="I629" s="8">
        <f t="shared" si="72"/>
        <v>-120.30999999999948</v>
      </c>
      <c r="J629" s="211" t="s">
        <v>922</v>
      </c>
      <c r="K629" s="90"/>
    </row>
    <row r="630" spans="1:11" ht="18" customHeight="1" x14ac:dyDescent="0.2">
      <c r="A630" s="20">
        <f t="shared" si="69"/>
        <v>2021</v>
      </c>
      <c r="B630" s="6">
        <f t="shared" si="70"/>
        <v>8</v>
      </c>
      <c r="C630" s="206">
        <v>44438</v>
      </c>
      <c r="D630" s="206">
        <v>44438</v>
      </c>
      <c r="E630" s="96" t="s">
        <v>895</v>
      </c>
      <c r="F630" s="8">
        <v>30</v>
      </c>
      <c r="G630" s="203" t="s">
        <v>41</v>
      </c>
      <c r="H630" s="7" t="str">
        <f t="shared" si="71"/>
        <v>Variable</v>
      </c>
      <c r="I630" s="8">
        <f t="shared" si="72"/>
        <v>-90.309999999999476</v>
      </c>
      <c r="J630" s="211" t="s">
        <v>922</v>
      </c>
      <c r="K630" s="90"/>
    </row>
    <row r="631" spans="1:11" ht="18" customHeight="1" x14ac:dyDescent="0.2">
      <c r="A631" s="20">
        <f t="shared" si="69"/>
        <v>2021</v>
      </c>
      <c r="B631" s="6">
        <f t="shared" si="70"/>
        <v>8</v>
      </c>
      <c r="C631" s="206">
        <v>44438</v>
      </c>
      <c r="D631" s="206">
        <v>44438</v>
      </c>
      <c r="E631" s="96" t="s">
        <v>896</v>
      </c>
      <c r="F631" s="8">
        <v>1</v>
      </c>
      <c r="G631" s="203" t="s">
        <v>52</v>
      </c>
      <c r="H631" s="7" t="str">
        <f t="shared" si="71"/>
        <v>Variable</v>
      </c>
      <c r="I631" s="8">
        <f t="shared" si="72"/>
        <v>-89.309999999999476</v>
      </c>
      <c r="J631" s="211" t="s">
        <v>922</v>
      </c>
      <c r="K631" s="90"/>
    </row>
    <row r="632" spans="1:11" ht="18" customHeight="1" x14ac:dyDescent="0.2">
      <c r="A632" s="20">
        <f t="shared" si="69"/>
        <v>2021</v>
      </c>
      <c r="B632" s="6">
        <f t="shared" si="70"/>
        <v>8</v>
      </c>
      <c r="C632" s="206">
        <v>44438</v>
      </c>
      <c r="D632" s="206">
        <v>44438</v>
      </c>
      <c r="E632" s="96" t="s">
        <v>897</v>
      </c>
      <c r="F632" s="8">
        <v>67.56</v>
      </c>
      <c r="G632" s="203" t="s">
        <v>52</v>
      </c>
      <c r="H632" s="7" t="str">
        <f t="shared" si="71"/>
        <v>Variable</v>
      </c>
      <c r="I632" s="8">
        <f t="shared" si="72"/>
        <v>-21.749999999999474</v>
      </c>
      <c r="J632" s="211" t="s">
        <v>922</v>
      </c>
      <c r="K632" s="90"/>
    </row>
    <row r="633" spans="1:11" ht="18" customHeight="1" x14ac:dyDescent="0.2">
      <c r="A633" s="20">
        <f t="shared" si="69"/>
        <v>2021</v>
      </c>
      <c r="B633" s="6">
        <f t="shared" si="70"/>
        <v>8</v>
      </c>
      <c r="C633" s="206">
        <v>44439</v>
      </c>
      <c r="D633" s="206">
        <v>44439</v>
      </c>
      <c r="E633" s="96" t="s">
        <v>898</v>
      </c>
      <c r="F633" s="8">
        <v>5</v>
      </c>
      <c r="G633" s="203" t="s">
        <v>52</v>
      </c>
      <c r="H633" s="7" t="str">
        <f t="shared" si="71"/>
        <v>Variable</v>
      </c>
      <c r="I633" s="8">
        <f t="shared" si="72"/>
        <v>-16.749999999999474</v>
      </c>
      <c r="J633" s="211" t="s">
        <v>922</v>
      </c>
      <c r="K633" s="90"/>
    </row>
    <row r="634" spans="1:11" ht="18" customHeight="1" x14ac:dyDescent="0.2">
      <c r="A634" s="20">
        <f t="shared" si="69"/>
        <v>2021</v>
      </c>
      <c r="B634" s="6">
        <f t="shared" si="70"/>
        <v>8</v>
      </c>
      <c r="C634" s="206">
        <v>44439</v>
      </c>
      <c r="D634" s="206">
        <v>44439</v>
      </c>
      <c r="E634" s="96" t="s">
        <v>893</v>
      </c>
      <c r="F634" s="8">
        <v>2.44</v>
      </c>
      <c r="G634" s="203" t="s">
        <v>89</v>
      </c>
      <c r="H634" s="7" t="str">
        <f t="shared" si="71"/>
        <v>Variable</v>
      </c>
      <c r="I634" s="8">
        <f t="shared" si="72"/>
        <v>-14.309999999999475</v>
      </c>
      <c r="J634" s="211" t="s">
        <v>922</v>
      </c>
      <c r="K634" s="90"/>
    </row>
    <row r="635" spans="1:11" ht="18" customHeight="1" x14ac:dyDescent="0.2">
      <c r="A635" s="20">
        <f t="shared" si="69"/>
        <v>2021</v>
      </c>
      <c r="B635" s="6">
        <f t="shared" si="70"/>
        <v>8</v>
      </c>
      <c r="C635" s="206">
        <v>44439</v>
      </c>
      <c r="D635" s="206">
        <v>44439</v>
      </c>
      <c r="E635" s="96" t="s">
        <v>899</v>
      </c>
      <c r="F635" s="8">
        <v>15</v>
      </c>
      <c r="G635" s="203" t="s">
        <v>89</v>
      </c>
      <c r="H635" s="7" t="str">
        <f t="shared" si="71"/>
        <v>Variable</v>
      </c>
      <c r="I635" s="8">
        <f t="shared" si="72"/>
        <v>0.6900000000005253</v>
      </c>
      <c r="J635" s="211" t="s">
        <v>922</v>
      </c>
      <c r="K635" s="90"/>
    </row>
    <row r="636" spans="1:11" ht="18" customHeight="1" x14ac:dyDescent="0.2">
      <c r="A636" s="20">
        <f t="shared" si="69"/>
        <v>2021</v>
      </c>
      <c r="B636" s="6">
        <f t="shared" si="70"/>
        <v>8</v>
      </c>
      <c r="C636" s="206">
        <v>44439</v>
      </c>
      <c r="D636" s="206">
        <v>44439</v>
      </c>
      <c r="E636" s="96" t="s">
        <v>900</v>
      </c>
      <c r="F636" s="8">
        <v>50</v>
      </c>
      <c r="G636" s="203" t="s">
        <v>41</v>
      </c>
      <c r="H636" s="7" t="str">
        <f t="shared" si="71"/>
        <v>Variable</v>
      </c>
      <c r="I636" s="8">
        <f t="shared" si="72"/>
        <v>50.690000000000524</v>
      </c>
      <c r="J636" s="211" t="s">
        <v>922</v>
      </c>
      <c r="K636" s="90"/>
    </row>
    <row r="637" spans="1:11" ht="18" customHeight="1" x14ac:dyDescent="0.2">
      <c r="A637" s="20">
        <f t="shared" si="69"/>
        <v>2021</v>
      </c>
      <c r="B637" s="6">
        <f t="shared" si="70"/>
        <v>8</v>
      </c>
      <c r="C637" s="206">
        <v>44439</v>
      </c>
      <c r="D637" s="206">
        <v>44439</v>
      </c>
      <c r="E637" s="96" t="s">
        <v>901</v>
      </c>
      <c r="F637" s="8">
        <v>1</v>
      </c>
      <c r="G637" s="203" t="s">
        <v>52</v>
      </c>
      <c r="H637" s="7" t="str">
        <f t="shared" si="71"/>
        <v>Variable</v>
      </c>
      <c r="I637" s="8">
        <f t="shared" si="72"/>
        <v>51.690000000000524</v>
      </c>
      <c r="J637" s="211" t="s">
        <v>922</v>
      </c>
      <c r="K637" s="90"/>
    </row>
    <row r="638" spans="1:11" ht="18" customHeight="1" x14ac:dyDescent="0.2">
      <c r="A638" s="20">
        <f t="shared" si="69"/>
        <v>2021</v>
      </c>
      <c r="B638" s="6">
        <f t="shared" si="70"/>
        <v>9</v>
      </c>
      <c r="C638" s="207">
        <v>44440</v>
      </c>
      <c r="D638" s="207">
        <v>44440</v>
      </c>
      <c r="E638" s="96" t="s">
        <v>893</v>
      </c>
      <c r="F638" s="8">
        <v>3.77</v>
      </c>
      <c r="G638" s="203" t="s">
        <v>89</v>
      </c>
      <c r="H638" s="7" t="str">
        <f t="shared" si="71"/>
        <v>Variable</v>
      </c>
      <c r="I638" s="8">
        <f t="shared" si="72"/>
        <v>55.460000000000527</v>
      </c>
      <c r="J638" s="211" t="s">
        <v>922</v>
      </c>
      <c r="K638" s="90"/>
    </row>
    <row r="639" spans="1:11" ht="18" customHeight="1" x14ac:dyDescent="0.2">
      <c r="A639" s="20">
        <f t="shared" si="69"/>
        <v>2021</v>
      </c>
      <c r="B639" s="6">
        <f t="shared" si="70"/>
        <v>9</v>
      </c>
      <c r="C639" s="207">
        <v>44440</v>
      </c>
      <c r="D639" s="207">
        <v>44440</v>
      </c>
      <c r="E639" s="96" t="s">
        <v>902</v>
      </c>
      <c r="F639" s="8">
        <v>14.83</v>
      </c>
      <c r="G639" s="211" t="s">
        <v>26</v>
      </c>
      <c r="H639" s="7" t="str">
        <f t="shared" si="71"/>
        <v>Fixed</v>
      </c>
      <c r="I639" s="8">
        <f t="shared" si="72"/>
        <v>70.290000000000532</v>
      </c>
      <c r="J639" s="211" t="s">
        <v>7</v>
      </c>
      <c r="K639" s="90"/>
    </row>
    <row r="640" spans="1:11" ht="18" customHeight="1" x14ac:dyDescent="0.2">
      <c r="A640" s="20">
        <f t="shared" si="69"/>
        <v>2021</v>
      </c>
      <c r="B640" s="6">
        <f t="shared" si="70"/>
        <v>9</v>
      </c>
      <c r="C640" s="207">
        <v>44440</v>
      </c>
      <c r="D640" s="207">
        <v>44440</v>
      </c>
      <c r="E640" s="96" t="s">
        <v>903</v>
      </c>
      <c r="F640" s="8">
        <v>9.99</v>
      </c>
      <c r="G640" s="211" t="s">
        <v>26</v>
      </c>
      <c r="H640" s="7" t="str">
        <f t="shared" si="71"/>
        <v>Fixed</v>
      </c>
      <c r="I640" s="8">
        <f t="shared" si="72"/>
        <v>80.280000000000527</v>
      </c>
      <c r="J640" s="211" t="s">
        <v>6</v>
      </c>
      <c r="K640" s="90"/>
    </row>
    <row r="641" spans="1:11" ht="18" customHeight="1" x14ac:dyDescent="0.2">
      <c r="A641" s="20">
        <f t="shared" si="69"/>
        <v>2021</v>
      </c>
      <c r="B641" s="6">
        <f t="shared" si="70"/>
        <v>9</v>
      </c>
      <c r="C641" s="207">
        <v>44440</v>
      </c>
      <c r="D641" s="207">
        <v>44442</v>
      </c>
      <c r="E641" s="96" t="s">
        <v>904</v>
      </c>
      <c r="F641" s="8">
        <v>5.41</v>
      </c>
      <c r="G641" s="203" t="s">
        <v>24</v>
      </c>
      <c r="H641" s="7" t="str">
        <f t="shared" si="71"/>
        <v>Variable</v>
      </c>
      <c r="I641" s="8">
        <f t="shared" si="72"/>
        <v>85.690000000000524</v>
      </c>
      <c r="J641" s="211" t="s">
        <v>922</v>
      </c>
      <c r="K641" s="90"/>
    </row>
    <row r="642" spans="1:11" ht="18" customHeight="1" x14ac:dyDescent="0.2">
      <c r="A642" s="20">
        <f t="shared" ref="A642:A666" si="73">YEAR(C642)</f>
        <v>2021</v>
      </c>
      <c r="B642" s="6">
        <f t="shared" ref="B642:B666" si="74">MONTH(C642)</f>
        <v>9</v>
      </c>
      <c r="C642" s="207">
        <v>44440</v>
      </c>
      <c r="D642" s="207">
        <v>44442</v>
      </c>
      <c r="E642" s="96" t="s">
        <v>905</v>
      </c>
      <c r="F642" s="8">
        <v>15.37</v>
      </c>
      <c r="G642" s="203" t="s">
        <v>41</v>
      </c>
      <c r="H642" s="7" t="str">
        <f t="shared" ref="H642:H666" si="75">VLOOKUP(G642,Expense_Lookup,2,0)</f>
        <v>Variable</v>
      </c>
      <c r="I642" s="8">
        <f t="shared" ref="I642:I666" si="76">I641+F642</f>
        <v>101.06000000000053</v>
      </c>
      <c r="J642" s="211" t="s">
        <v>922</v>
      </c>
      <c r="K642" s="90"/>
    </row>
    <row r="643" spans="1:11" ht="18" customHeight="1" x14ac:dyDescent="0.2">
      <c r="A643" s="20">
        <f t="shared" si="73"/>
        <v>2021</v>
      </c>
      <c r="B643" s="6">
        <f t="shared" si="74"/>
        <v>9</v>
      </c>
      <c r="C643" s="207">
        <v>44440</v>
      </c>
      <c r="D643" s="207">
        <v>44442</v>
      </c>
      <c r="E643" s="96" t="s">
        <v>906</v>
      </c>
      <c r="F643" s="8">
        <v>10</v>
      </c>
      <c r="G643" s="203" t="s">
        <v>52</v>
      </c>
      <c r="H643" s="7" t="str">
        <f t="shared" si="75"/>
        <v>Variable</v>
      </c>
      <c r="I643" s="8">
        <f t="shared" si="76"/>
        <v>111.06000000000053</v>
      </c>
      <c r="J643" s="211" t="s">
        <v>922</v>
      </c>
      <c r="K643" s="90"/>
    </row>
    <row r="644" spans="1:11" ht="18" customHeight="1" x14ac:dyDescent="0.2">
      <c r="A644" s="20">
        <f t="shared" si="73"/>
        <v>2021</v>
      </c>
      <c r="B644" s="6">
        <f t="shared" si="74"/>
        <v>9</v>
      </c>
      <c r="C644" s="207">
        <v>44440</v>
      </c>
      <c r="D644" s="207">
        <v>44442</v>
      </c>
      <c r="E644" s="96" t="s">
        <v>907</v>
      </c>
      <c r="F644" s="8">
        <v>80</v>
      </c>
      <c r="G644" s="203" t="s">
        <v>41</v>
      </c>
      <c r="H644" s="7" t="str">
        <f t="shared" si="75"/>
        <v>Variable</v>
      </c>
      <c r="I644" s="8">
        <f t="shared" si="76"/>
        <v>191.06000000000051</v>
      </c>
      <c r="J644" s="211" t="s">
        <v>922</v>
      </c>
      <c r="K644" s="90"/>
    </row>
    <row r="645" spans="1:11" ht="18" customHeight="1" x14ac:dyDescent="0.2">
      <c r="A645" s="20">
        <f t="shared" si="73"/>
        <v>2021</v>
      </c>
      <c r="B645" s="6">
        <f t="shared" si="74"/>
        <v>9</v>
      </c>
      <c r="C645" s="207">
        <v>44441</v>
      </c>
      <c r="D645" s="207">
        <v>44442</v>
      </c>
      <c r="E645" s="96" t="s">
        <v>908</v>
      </c>
      <c r="F645" s="8">
        <v>40</v>
      </c>
      <c r="G645" s="203" t="s">
        <v>52</v>
      </c>
      <c r="H645" s="7" t="str">
        <f t="shared" si="75"/>
        <v>Variable</v>
      </c>
      <c r="I645" s="8">
        <f t="shared" si="76"/>
        <v>231.06000000000051</v>
      </c>
      <c r="J645" s="211" t="s">
        <v>924</v>
      </c>
      <c r="K645" s="90"/>
    </row>
    <row r="646" spans="1:11" ht="18" customHeight="1" x14ac:dyDescent="0.2">
      <c r="A646" s="20">
        <f t="shared" si="73"/>
        <v>2021</v>
      </c>
      <c r="B646" s="6">
        <f t="shared" si="74"/>
        <v>9</v>
      </c>
      <c r="C646" s="207">
        <v>44441</v>
      </c>
      <c r="D646" s="207">
        <v>44442</v>
      </c>
      <c r="E646" s="96" t="s">
        <v>909</v>
      </c>
      <c r="F646" s="8">
        <v>11.64</v>
      </c>
      <c r="G646" s="211" t="s">
        <v>68</v>
      </c>
      <c r="H646" s="7" t="str">
        <f t="shared" si="75"/>
        <v>Variable</v>
      </c>
      <c r="I646" s="8">
        <f t="shared" si="76"/>
        <v>242.7000000000005</v>
      </c>
      <c r="J646" s="211" t="s">
        <v>926</v>
      </c>
      <c r="K646" s="90"/>
    </row>
    <row r="647" spans="1:11" ht="18" customHeight="1" x14ac:dyDescent="0.2">
      <c r="A647" s="20">
        <f t="shared" si="73"/>
        <v>2021</v>
      </c>
      <c r="B647" s="6">
        <f t="shared" si="74"/>
        <v>9</v>
      </c>
      <c r="C647" s="207">
        <v>44441</v>
      </c>
      <c r="D647" s="207">
        <v>44442</v>
      </c>
      <c r="E647" s="96" t="s">
        <v>910</v>
      </c>
      <c r="F647" s="8">
        <v>20</v>
      </c>
      <c r="G647" s="203" t="s">
        <v>89</v>
      </c>
      <c r="H647" s="7" t="str">
        <f t="shared" si="75"/>
        <v>Variable</v>
      </c>
      <c r="I647" s="8">
        <f t="shared" si="76"/>
        <v>262.7000000000005</v>
      </c>
      <c r="J647" s="211" t="s">
        <v>922</v>
      </c>
      <c r="K647" s="90"/>
    </row>
    <row r="648" spans="1:11" ht="18" customHeight="1" x14ac:dyDescent="0.2">
      <c r="A648" s="20">
        <f t="shared" si="73"/>
        <v>2021</v>
      </c>
      <c r="B648" s="6">
        <f t="shared" si="74"/>
        <v>9</v>
      </c>
      <c r="C648" s="207">
        <v>44441</v>
      </c>
      <c r="D648" s="207">
        <v>44442</v>
      </c>
      <c r="E648" s="96" t="s">
        <v>577</v>
      </c>
      <c r="F648" s="8">
        <v>10</v>
      </c>
      <c r="G648" s="211" t="s">
        <v>26</v>
      </c>
      <c r="H648" s="7" t="str">
        <f t="shared" si="75"/>
        <v>Fixed</v>
      </c>
      <c r="I648" s="8">
        <f t="shared" si="76"/>
        <v>272.7000000000005</v>
      </c>
      <c r="J648" s="211" t="s">
        <v>299</v>
      </c>
      <c r="K648" s="90" t="s">
        <v>788</v>
      </c>
    </row>
    <row r="649" spans="1:11" ht="18" customHeight="1" x14ac:dyDescent="0.2">
      <c r="A649" s="20">
        <f t="shared" si="73"/>
        <v>2021</v>
      </c>
      <c r="B649" s="6">
        <f t="shared" si="74"/>
        <v>9</v>
      </c>
      <c r="C649" s="207">
        <v>44441</v>
      </c>
      <c r="D649" s="207">
        <v>44442</v>
      </c>
      <c r="E649" s="96" t="s">
        <v>911</v>
      </c>
      <c r="F649" s="8">
        <v>37.880000000000003</v>
      </c>
      <c r="G649" s="203" t="s">
        <v>68</v>
      </c>
      <c r="H649" s="7" t="str">
        <f t="shared" si="75"/>
        <v>Variable</v>
      </c>
      <c r="I649" s="8">
        <f t="shared" si="76"/>
        <v>310.5800000000005</v>
      </c>
      <c r="J649" s="211" t="s">
        <v>922</v>
      </c>
      <c r="K649" s="90"/>
    </row>
    <row r="650" spans="1:11" ht="18" customHeight="1" x14ac:dyDescent="0.2">
      <c r="A650" s="20">
        <f t="shared" si="73"/>
        <v>2021</v>
      </c>
      <c r="B650" s="6">
        <f t="shared" si="74"/>
        <v>9</v>
      </c>
      <c r="C650" s="207">
        <v>44441</v>
      </c>
      <c r="D650" s="207">
        <v>44442</v>
      </c>
      <c r="E650" s="96" t="s">
        <v>893</v>
      </c>
      <c r="F650" s="8">
        <v>0.94</v>
      </c>
      <c r="G650" s="203" t="s">
        <v>89</v>
      </c>
      <c r="H650" s="7" t="str">
        <f t="shared" si="75"/>
        <v>Variable</v>
      </c>
      <c r="I650" s="8">
        <f t="shared" si="76"/>
        <v>311.52000000000049</v>
      </c>
      <c r="J650" s="211" t="s">
        <v>922</v>
      </c>
      <c r="K650" s="90"/>
    </row>
    <row r="651" spans="1:11" ht="18" customHeight="1" x14ac:dyDescent="0.2">
      <c r="A651" s="20">
        <f t="shared" si="73"/>
        <v>2021</v>
      </c>
      <c r="B651" s="6">
        <f t="shared" si="74"/>
        <v>9</v>
      </c>
      <c r="C651" s="207">
        <v>44441</v>
      </c>
      <c r="D651" s="207">
        <v>44442</v>
      </c>
      <c r="E651" s="96" t="s">
        <v>893</v>
      </c>
      <c r="F651" s="8">
        <v>0.94</v>
      </c>
      <c r="G651" s="203" t="s">
        <v>89</v>
      </c>
      <c r="H651" s="7" t="str">
        <f t="shared" si="75"/>
        <v>Variable</v>
      </c>
      <c r="I651" s="8">
        <f t="shared" si="76"/>
        <v>312.46000000000049</v>
      </c>
      <c r="J651" s="211" t="s">
        <v>922</v>
      </c>
      <c r="K651" s="90"/>
    </row>
    <row r="652" spans="1:11" ht="18" customHeight="1" x14ac:dyDescent="0.2">
      <c r="A652" s="20">
        <f t="shared" si="73"/>
        <v>2021</v>
      </c>
      <c r="B652" s="6">
        <f t="shared" si="74"/>
        <v>9</v>
      </c>
      <c r="C652" s="207">
        <v>44441</v>
      </c>
      <c r="D652" s="207">
        <v>44442</v>
      </c>
      <c r="E652" s="96" t="s">
        <v>893</v>
      </c>
      <c r="F652" s="8">
        <v>1.57</v>
      </c>
      <c r="G652" s="203" t="s">
        <v>89</v>
      </c>
      <c r="H652" s="7" t="str">
        <f t="shared" si="75"/>
        <v>Variable</v>
      </c>
      <c r="I652" s="8">
        <f t="shared" si="76"/>
        <v>314.03000000000048</v>
      </c>
      <c r="J652" s="211" t="s">
        <v>922</v>
      </c>
      <c r="K652" s="90"/>
    </row>
    <row r="653" spans="1:11" ht="18" customHeight="1" x14ac:dyDescent="0.2">
      <c r="A653" s="20">
        <f t="shared" si="73"/>
        <v>2021</v>
      </c>
      <c r="B653" s="6">
        <f t="shared" si="74"/>
        <v>9</v>
      </c>
      <c r="C653" s="207">
        <v>44441</v>
      </c>
      <c r="D653" s="207">
        <v>44442</v>
      </c>
      <c r="E653" s="96" t="s">
        <v>912</v>
      </c>
      <c r="F653" s="8">
        <v>2.4500000000000002</v>
      </c>
      <c r="G653" s="203" t="s">
        <v>41</v>
      </c>
      <c r="H653" s="7" t="str">
        <f t="shared" si="75"/>
        <v>Variable</v>
      </c>
      <c r="I653" s="8">
        <f t="shared" si="76"/>
        <v>316.48000000000047</v>
      </c>
      <c r="J653" s="211" t="s">
        <v>922</v>
      </c>
      <c r="K653" s="90"/>
    </row>
    <row r="654" spans="1:11" ht="18" customHeight="1" x14ac:dyDescent="0.2">
      <c r="A654" s="20">
        <f t="shared" si="73"/>
        <v>2021</v>
      </c>
      <c r="B654" s="6">
        <f t="shared" si="74"/>
        <v>9</v>
      </c>
      <c r="C654" s="207">
        <v>44441</v>
      </c>
      <c r="D654" s="207">
        <v>44442</v>
      </c>
      <c r="E654" s="96" t="s">
        <v>913</v>
      </c>
      <c r="F654" s="8">
        <v>9</v>
      </c>
      <c r="G654" s="203" t="s">
        <v>89</v>
      </c>
      <c r="H654" s="7" t="str">
        <f t="shared" si="75"/>
        <v>Variable</v>
      </c>
      <c r="I654" s="8">
        <f t="shared" si="76"/>
        <v>325.48000000000047</v>
      </c>
      <c r="J654" s="211" t="s">
        <v>922</v>
      </c>
      <c r="K654" s="90"/>
    </row>
    <row r="655" spans="1:11" ht="18" customHeight="1" x14ac:dyDescent="0.2">
      <c r="A655" s="20">
        <f t="shared" si="73"/>
        <v>2021</v>
      </c>
      <c r="B655" s="6">
        <f t="shared" si="74"/>
        <v>9</v>
      </c>
      <c r="C655" s="207">
        <v>44441</v>
      </c>
      <c r="D655" s="207">
        <v>44442</v>
      </c>
      <c r="E655" s="96" t="s">
        <v>913</v>
      </c>
      <c r="F655" s="8">
        <v>31</v>
      </c>
      <c r="G655" s="203" t="s">
        <v>89</v>
      </c>
      <c r="H655" s="7" t="str">
        <f t="shared" si="75"/>
        <v>Variable</v>
      </c>
      <c r="I655" s="8">
        <f t="shared" si="76"/>
        <v>356.48000000000047</v>
      </c>
      <c r="J655" s="211" t="s">
        <v>922</v>
      </c>
      <c r="K655" s="90"/>
    </row>
    <row r="656" spans="1:11" ht="18" customHeight="1" x14ac:dyDescent="0.2">
      <c r="A656" s="20">
        <f t="shared" si="73"/>
        <v>2021</v>
      </c>
      <c r="B656" s="6">
        <f t="shared" si="74"/>
        <v>9</v>
      </c>
      <c r="C656" s="207">
        <v>44441</v>
      </c>
      <c r="D656" s="207">
        <v>44442</v>
      </c>
      <c r="E656" s="96" t="s">
        <v>914</v>
      </c>
      <c r="F656" s="8">
        <v>47.5</v>
      </c>
      <c r="G656" s="203" t="s">
        <v>89</v>
      </c>
      <c r="H656" s="7" t="str">
        <f t="shared" si="75"/>
        <v>Variable</v>
      </c>
      <c r="I656" s="8">
        <f t="shared" si="76"/>
        <v>403.98000000000047</v>
      </c>
      <c r="J656" s="211" t="s">
        <v>922</v>
      </c>
      <c r="K656" s="90"/>
    </row>
    <row r="657" spans="1:11" ht="18" customHeight="1" x14ac:dyDescent="0.2">
      <c r="A657" s="20">
        <f t="shared" si="73"/>
        <v>2021</v>
      </c>
      <c r="B657" s="6">
        <f t="shared" si="74"/>
        <v>9</v>
      </c>
      <c r="C657" s="207">
        <v>44441</v>
      </c>
      <c r="D657" s="207">
        <v>44442</v>
      </c>
      <c r="E657" s="96" t="s">
        <v>915</v>
      </c>
      <c r="F657" s="8">
        <v>6.72</v>
      </c>
      <c r="G657" s="203" t="s">
        <v>89</v>
      </c>
      <c r="H657" s="7" t="str">
        <f t="shared" si="75"/>
        <v>Variable</v>
      </c>
      <c r="I657" s="8">
        <f t="shared" si="76"/>
        <v>410.7000000000005</v>
      </c>
      <c r="J657" s="211" t="s">
        <v>922</v>
      </c>
      <c r="K657" s="90"/>
    </row>
    <row r="658" spans="1:11" ht="18" customHeight="1" x14ac:dyDescent="0.2">
      <c r="A658" s="20">
        <f t="shared" si="73"/>
        <v>2021</v>
      </c>
      <c r="B658" s="6">
        <f t="shared" si="74"/>
        <v>9</v>
      </c>
      <c r="C658" s="207">
        <v>44442</v>
      </c>
      <c r="D658" s="207">
        <v>44442</v>
      </c>
      <c r="E658" s="96" t="s">
        <v>916</v>
      </c>
      <c r="F658" s="8">
        <v>39.69</v>
      </c>
      <c r="G658" s="203" t="s">
        <v>24</v>
      </c>
      <c r="H658" s="7" t="str">
        <f t="shared" si="75"/>
        <v>Variable</v>
      </c>
      <c r="I658" s="8">
        <f t="shared" si="76"/>
        <v>450.3900000000005</v>
      </c>
      <c r="J658" s="211" t="s">
        <v>922</v>
      </c>
      <c r="K658" s="90"/>
    </row>
    <row r="659" spans="1:11" ht="18" customHeight="1" x14ac:dyDescent="0.2">
      <c r="A659" s="20">
        <f t="shared" si="73"/>
        <v>2021</v>
      </c>
      <c r="B659" s="6">
        <f t="shared" si="74"/>
        <v>9</v>
      </c>
      <c r="C659" s="207">
        <v>44442</v>
      </c>
      <c r="D659" s="207">
        <v>44442</v>
      </c>
      <c r="E659" s="96" t="s">
        <v>917</v>
      </c>
      <c r="F659" s="8">
        <v>18.059999999999999</v>
      </c>
      <c r="G659" s="203" t="s">
        <v>24</v>
      </c>
      <c r="H659" s="7" t="str">
        <f t="shared" si="75"/>
        <v>Variable</v>
      </c>
      <c r="I659" s="8">
        <f t="shared" si="76"/>
        <v>468.4500000000005</v>
      </c>
      <c r="J659" s="211" t="s">
        <v>922</v>
      </c>
      <c r="K659" s="90"/>
    </row>
    <row r="660" spans="1:11" ht="18" customHeight="1" x14ac:dyDescent="0.2">
      <c r="A660" s="20">
        <f t="shared" si="73"/>
        <v>2021</v>
      </c>
      <c r="B660" s="6">
        <f t="shared" si="74"/>
        <v>9</v>
      </c>
      <c r="C660" s="207">
        <v>44442</v>
      </c>
      <c r="D660" s="207">
        <v>44442</v>
      </c>
      <c r="E660" s="96" t="s">
        <v>918</v>
      </c>
      <c r="F660" s="8">
        <v>4</v>
      </c>
      <c r="G660" s="203" t="s">
        <v>52</v>
      </c>
      <c r="H660" s="7" t="str">
        <f t="shared" si="75"/>
        <v>Variable</v>
      </c>
      <c r="I660" s="8">
        <f t="shared" si="76"/>
        <v>472.4500000000005</v>
      </c>
      <c r="J660" s="211" t="s">
        <v>922</v>
      </c>
      <c r="K660" s="90"/>
    </row>
    <row r="661" spans="1:11" ht="18" customHeight="1" x14ac:dyDescent="0.2">
      <c r="A661" s="20">
        <f t="shared" si="73"/>
        <v>2021</v>
      </c>
      <c r="B661" s="6">
        <f t="shared" si="74"/>
        <v>9</v>
      </c>
      <c r="C661" s="207">
        <v>44442</v>
      </c>
      <c r="D661" s="207">
        <v>44442</v>
      </c>
      <c r="E661" s="96" t="s">
        <v>181</v>
      </c>
      <c r="F661" s="8">
        <v>11.99</v>
      </c>
      <c r="G661" s="211" t="s">
        <v>26</v>
      </c>
      <c r="H661" s="7" t="str">
        <f t="shared" si="75"/>
        <v>Fixed</v>
      </c>
      <c r="I661" s="8">
        <f t="shared" si="76"/>
        <v>484.44000000000051</v>
      </c>
      <c r="J661" s="211" t="s">
        <v>298</v>
      </c>
      <c r="K661" s="90"/>
    </row>
    <row r="662" spans="1:11" ht="18" customHeight="1" x14ac:dyDescent="0.2">
      <c r="A662" s="20">
        <f t="shared" si="73"/>
        <v>2021</v>
      </c>
      <c r="B662" s="6">
        <f t="shared" si="74"/>
        <v>9</v>
      </c>
      <c r="C662" s="207">
        <v>44442</v>
      </c>
      <c r="D662" s="207">
        <v>44442</v>
      </c>
      <c r="E662" s="96" t="s">
        <v>919</v>
      </c>
      <c r="F662" s="8">
        <v>35.380000000000003</v>
      </c>
      <c r="G662" s="203" t="s">
        <v>24</v>
      </c>
      <c r="H662" s="7" t="str">
        <f t="shared" si="75"/>
        <v>Variable</v>
      </c>
      <c r="I662" s="8">
        <f t="shared" si="76"/>
        <v>519.8200000000005</v>
      </c>
      <c r="J662" s="211" t="s">
        <v>922</v>
      </c>
      <c r="K662" s="90"/>
    </row>
    <row r="663" spans="1:11" ht="18" customHeight="1" x14ac:dyDescent="0.2">
      <c r="A663" s="20">
        <f t="shared" si="73"/>
        <v>2021</v>
      </c>
      <c r="B663" s="6">
        <f t="shared" si="74"/>
        <v>9</v>
      </c>
      <c r="C663" s="207">
        <v>44442</v>
      </c>
      <c r="D663" s="207">
        <v>44442</v>
      </c>
      <c r="E663" s="96" t="s">
        <v>32</v>
      </c>
      <c r="F663" s="8">
        <v>68.52</v>
      </c>
      <c r="G663" s="211" t="s">
        <v>26</v>
      </c>
      <c r="H663" s="7" t="str">
        <f t="shared" si="75"/>
        <v>Fixed</v>
      </c>
      <c r="I663" s="8">
        <f t="shared" si="76"/>
        <v>588.34000000000049</v>
      </c>
      <c r="J663" s="211" t="s">
        <v>8</v>
      </c>
      <c r="K663" s="90"/>
    </row>
    <row r="664" spans="1:11" ht="18" customHeight="1" x14ac:dyDescent="0.2">
      <c r="A664" s="20">
        <f t="shared" si="73"/>
        <v>2021</v>
      </c>
      <c r="B664" s="6">
        <f t="shared" si="74"/>
        <v>9</v>
      </c>
      <c r="C664" s="207">
        <v>44442</v>
      </c>
      <c r="D664" s="207">
        <v>44442</v>
      </c>
      <c r="E664" s="96" t="s">
        <v>920</v>
      </c>
      <c r="F664" s="8">
        <v>125.03</v>
      </c>
      <c r="G664" s="203" t="s">
        <v>41</v>
      </c>
      <c r="H664" s="7" t="str">
        <f t="shared" si="75"/>
        <v>Variable</v>
      </c>
      <c r="I664" s="8">
        <f t="shared" si="76"/>
        <v>713.37000000000046</v>
      </c>
      <c r="J664" s="211" t="s">
        <v>922</v>
      </c>
      <c r="K664" s="90"/>
    </row>
    <row r="665" spans="1:11" ht="18" customHeight="1" x14ac:dyDescent="0.2">
      <c r="A665" s="20">
        <f t="shared" si="73"/>
        <v>2021</v>
      </c>
      <c r="B665" s="6">
        <f t="shared" si="74"/>
        <v>9</v>
      </c>
      <c r="C665" s="207">
        <v>44443</v>
      </c>
      <c r="D665" s="207">
        <v>44443</v>
      </c>
      <c r="E665" s="96" t="s">
        <v>921</v>
      </c>
      <c r="F665" s="8">
        <v>93.71</v>
      </c>
      <c r="G665" s="203" t="s">
        <v>130</v>
      </c>
      <c r="H665" s="7" t="str">
        <f t="shared" si="75"/>
        <v>Fixed</v>
      </c>
      <c r="I665" s="8">
        <f t="shared" si="76"/>
        <v>807.0800000000005</v>
      </c>
      <c r="J665" s="211" t="s">
        <v>922</v>
      </c>
      <c r="K665" s="90"/>
    </row>
    <row r="666" spans="1:11" ht="18" customHeight="1" x14ac:dyDescent="0.2">
      <c r="A666" s="20">
        <f t="shared" si="73"/>
        <v>2021</v>
      </c>
      <c r="B666" s="6">
        <f t="shared" si="74"/>
        <v>9</v>
      </c>
      <c r="C666" s="207">
        <v>44444</v>
      </c>
      <c r="D666" s="207">
        <v>44444</v>
      </c>
      <c r="E666" s="96" t="s">
        <v>21</v>
      </c>
      <c r="F666" s="8">
        <v>-1253.96</v>
      </c>
      <c r="G666" s="203" t="s">
        <v>22</v>
      </c>
      <c r="H666" s="7" t="str">
        <f t="shared" si="75"/>
        <v>Payment</v>
      </c>
      <c r="I666" s="8">
        <f t="shared" si="76"/>
        <v>-446.87999999999954</v>
      </c>
      <c r="J666" s="203"/>
      <c r="K666" s="90"/>
    </row>
    <row r="667" spans="1:11" ht="18" customHeight="1" x14ac:dyDescent="0.2">
      <c r="A667" s="20">
        <f t="shared" ref="A667:A730" si="77">YEAR(C667)</f>
        <v>2021</v>
      </c>
      <c r="B667" s="6">
        <f t="shared" ref="B667:B730" si="78">MONTH(C667)</f>
        <v>9</v>
      </c>
      <c r="C667" s="207">
        <v>44444</v>
      </c>
      <c r="D667" s="207">
        <v>44444</v>
      </c>
      <c r="E667" s="96" t="s">
        <v>939</v>
      </c>
      <c r="F667" s="8">
        <v>10</v>
      </c>
      <c r="G667" s="203" t="s">
        <v>52</v>
      </c>
      <c r="H667" s="7" t="str">
        <f t="shared" ref="H667:H731" si="79">VLOOKUP(G667,Expense_Lookup,2,0)</f>
        <v>Variable</v>
      </c>
      <c r="I667" s="8">
        <f t="shared" ref="I667:I731" si="80">I666+F667</f>
        <v>-436.87999999999954</v>
      </c>
      <c r="J667" s="203"/>
      <c r="K667" s="90"/>
    </row>
    <row r="668" spans="1:11" ht="18" customHeight="1" x14ac:dyDescent="0.2">
      <c r="A668" s="20">
        <f t="shared" si="77"/>
        <v>2021</v>
      </c>
      <c r="B668" s="6">
        <f t="shared" si="78"/>
        <v>9</v>
      </c>
      <c r="C668" s="207">
        <v>44444</v>
      </c>
      <c r="D668" s="207">
        <v>44444</v>
      </c>
      <c r="E668" s="96" t="s">
        <v>940</v>
      </c>
      <c r="F668" s="8">
        <v>29.12</v>
      </c>
      <c r="G668" s="203" t="s">
        <v>24</v>
      </c>
      <c r="H668" s="7" t="str">
        <f t="shared" si="79"/>
        <v>Variable</v>
      </c>
      <c r="I668" s="8">
        <f t="shared" si="80"/>
        <v>-407.75999999999954</v>
      </c>
      <c r="J668" s="203"/>
      <c r="K668" s="90"/>
    </row>
    <row r="669" spans="1:11" ht="18" customHeight="1" x14ac:dyDescent="0.2">
      <c r="A669" s="20">
        <f t="shared" si="77"/>
        <v>2021</v>
      </c>
      <c r="B669" s="6">
        <f t="shared" si="78"/>
        <v>9</v>
      </c>
      <c r="C669" s="207">
        <v>44444</v>
      </c>
      <c r="D669" s="207">
        <v>44444</v>
      </c>
      <c r="E669" s="96" t="s">
        <v>941</v>
      </c>
      <c r="F669" s="8">
        <v>80</v>
      </c>
      <c r="G669" s="203" t="s">
        <v>41</v>
      </c>
      <c r="H669" s="7" t="str">
        <f t="shared" si="79"/>
        <v>Variable</v>
      </c>
      <c r="I669" s="8">
        <f t="shared" si="80"/>
        <v>-327.75999999999954</v>
      </c>
      <c r="J669" s="203"/>
      <c r="K669" s="90"/>
    </row>
    <row r="670" spans="1:11" ht="18" customHeight="1" x14ac:dyDescent="0.2">
      <c r="A670" s="20">
        <f t="shared" si="77"/>
        <v>2021</v>
      </c>
      <c r="B670" s="6">
        <f t="shared" si="78"/>
        <v>9</v>
      </c>
      <c r="C670" s="207">
        <v>44444</v>
      </c>
      <c r="D670" s="207">
        <v>44444</v>
      </c>
      <c r="E670" s="96" t="s">
        <v>942</v>
      </c>
      <c r="F670" s="8">
        <v>28.16</v>
      </c>
      <c r="G670" s="203" t="s">
        <v>68</v>
      </c>
      <c r="H670" s="7" t="str">
        <f t="shared" si="79"/>
        <v>Variable</v>
      </c>
      <c r="I670" s="8">
        <f t="shared" si="80"/>
        <v>-299.59999999999951</v>
      </c>
      <c r="J670" s="203"/>
      <c r="K670" s="90"/>
    </row>
    <row r="671" spans="1:11" ht="18" customHeight="1" x14ac:dyDescent="0.2">
      <c r="A671" s="20">
        <f t="shared" si="77"/>
        <v>2021</v>
      </c>
      <c r="B671" s="6">
        <f t="shared" si="78"/>
        <v>9</v>
      </c>
      <c r="C671" s="207">
        <v>44445</v>
      </c>
      <c r="D671" s="207">
        <v>44445</v>
      </c>
      <c r="E671" s="214" t="s">
        <v>943</v>
      </c>
      <c r="F671" s="8">
        <v>14.99</v>
      </c>
      <c r="G671" s="203" t="s">
        <v>68</v>
      </c>
      <c r="H671" s="7" t="str">
        <f t="shared" si="79"/>
        <v>Variable</v>
      </c>
      <c r="I671" s="8">
        <f t="shared" si="80"/>
        <v>-284.6099999999995</v>
      </c>
      <c r="J671" s="215" t="s">
        <v>1018</v>
      </c>
      <c r="K671" s="90"/>
    </row>
    <row r="672" spans="1:11" ht="18" customHeight="1" x14ac:dyDescent="0.2">
      <c r="A672" s="20">
        <f t="shared" si="77"/>
        <v>2021</v>
      </c>
      <c r="B672" s="6">
        <f t="shared" si="78"/>
        <v>9</v>
      </c>
      <c r="C672" s="207">
        <v>44445</v>
      </c>
      <c r="D672" s="207">
        <v>44445</v>
      </c>
      <c r="E672" s="96" t="s">
        <v>944</v>
      </c>
      <c r="F672" s="8">
        <v>60</v>
      </c>
      <c r="G672" s="203" t="s">
        <v>41</v>
      </c>
      <c r="H672" s="7" t="str">
        <f t="shared" si="79"/>
        <v>Variable</v>
      </c>
      <c r="I672" s="8">
        <f t="shared" si="80"/>
        <v>-224.6099999999995</v>
      </c>
      <c r="J672" s="203"/>
      <c r="K672" s="90"/>
    </row>
    <row r="673" spans="1:11" ht="18" customHeight="1" x14ac:dyDescent="0.2">
      <c r="A673" s="20">
        <f t="shared" si="77"/>
        <v>2021</v>
      </c>
      <c r="B673" s="6">
        <f t="shared" si="78"/>
        <v>9</v>
      </c>
      <c r="C673" s="207">
        <v>44446</v>
      </c>
      <c r="D673" s="207">
        <v>44446</v>
      </c>
      <c r="E673" s="214" t="s">
        <v>945</v>
      </c>
      <c r="F673" s="8">
        <v>27.15</v>
      </c>
      <c r="G673" s="203" t="s">
        <v>68</v>
      </c>
      <c r="H673" s="7" t="str">
        <f t="shared" si="79"/>
        <v>Variable</v>
      </c>
      <c r="I673" s="8">
        <f t="shared" si="80"/>
        <v>-197.4599999999995</v>
      </c>
      <c r="J673" s="215" t="s">
        <v>1019</v>
      </c>
      <c r="K673" s="90"/>
    </row>
    <row r="674" spans="1:11" ht="18" customHeight="1" x14ac:dyDescent="0.2">
      <c r="A674" s="20">
        <f t="shared" si="77"/>
        <v>2021</v>
      </c>
      <c r="B674" s="6">
        <f t="shared" si="78"/>
        <v>9</v>
      </c>
      <c r="C674" s="207">
        <v>44446</v>
      </c>
      <c r="D674" s="207">
        <v>44446</v>
      </c>
      <c r="E674" s="96" t="s">
        <v>946</v>
      </c>
      <c r="F674" s="8">
        <v>30.94</v>
      </c>
      <c r="G674" s="203" t="s">
        <v>68</v>
      </c>
      <c r="H674" s="7" t="str">
        <f t="shared" si="79"/>
        <v>Variable</v>
      </c>
      <c r="I674" s="8">
        <f t="shared" si="80"/>
        <v>-166.5199999999995</v>
      </c>
      <c r="J674" s="203"/>
      <c r="K674" s="90"/>
    </row>
    <row r="675" spans="1:11" ht="18" customHeight="1" x14ac:dyDescent="0.2">
      <c r="A675" s="20">
        <f t="shared" si="77"/>
        <v>2021</v>
      </c>
      <c r="B675" s="6">
        <f t="shared" si="78"/>
        <v>9</v>
      </c>
      <c r="C675" s="207">
        <v>44446</v>
      </c>
      <c r="D675" s="207">
        <v>44446</v>
      </c>
      <c r="E675" s="96" t="s">
        <v>947</v>
      </c>
      <c r="F675" s="8">
        <v>122.55</v>
      </c>
      <c r="G675" s="203" t="s">
        <v>68</v>
      </c>
      <c r="H675" s="7" t="str">
        <f t="shared" si="79"/>
        <v>Variable</v>
      </c>
      <c r="I675" s="8">
        <f t="shared" si="80"/>
        <v>-43.969999999999501</v>
      </c>
      <c r="J675" s="203"/>
      <c r="K675" s="90"/>
    </row>
    <row r="676" spans="1:11" ht="18" customHeight="1" x14ac:dyDescent="0.2">
      <c r="A676" s="20">
        <f t="shared" si="77"/>
        <v>2021</v>
      </c>
      <c r="B676" s="6">
        <f t="shared" si="78"/>
        <v>9</v>
      </c>
      <c r="C676" s="207">
        <v>44447</v>
      </c>
      <c r="D676" s="207">
        <v>44447</v>
      </c>
      <c r="E676" s="96" t="s">
        <v>948</v>
      </c>
      <c r="F676" s="8">
        <v>2.97</v>
      </c>
      <c r="G676" s="203" t="s">
        <v>41</v>
      </c>
      <c r="H676" s="7" t="str">
        <f t="shared" si="79"/>
        <v>Variable</v>
      </c>
      <c r="I676" s="8">
        <f t="shared" si="80"/>
        <v>-40.999999999999503</v>
      </c>
      <c r="J676" s="203"/>
      <c r="K676" s="90"/>
    </row>
    <row r="677" spans="1:11" ht="18" customHeight="1" x14ac:dyDescent="0.2">
      <c r="A677" s="20">
        <f t="shared" si="77"/>
        <v>2021</v>
      </c>
      <c r="B677" s="6">
        <f t="shared" si="78"/>
        <v>9</v>
      </c>
      <c r="C677" s="207">
        <v>44447</v>
      </c>
      <c r="D677" s="207">
        <v>44447</v>
      </c>
      <c r="E677" s="96" t="s">
        <v>948</v>
      </c>
      <c r="F677" s="8">
        <v>8.64</v>
      </c>
      <c r="G677" s="203" t="s">
        <v>41</v>
      </c>
      <c r="H677" s="7" t="str">
        <f t="shared" si="79"/>
        <v>Variable</v>
      </c>
      <c r="I677" s="8">
        <f t="shared" si="80"/>
        <v>-32.359999999999502</v>
      </c>
      <c r="J677" s="203"/>
      <c r="K677" s="90"/>
    </row>
    <row r="678" spans="1:11" ht="18" customHeight="1" x14ac:dyDescent="0.2">
      <c r="A678" s="20">
        <f t="shared" si="77"/>
        <v>2021</v>
      </c>
      <c r="B678" s="6">
        <f t="shared" si="78"/>
        <v>9</v>
      </c>
      <c r="C678" s="207">
        <v>44447</v>
      </c>
      <c r="D678" s="207">
        <v>44447</v>
      </c>
      <c r="E678" s="96" t="s">
        <v>340</v>
      </c>
      <c r="F678" s="8">
        <v>11</v>
      </c>
      <c r="G678" s="215" t="s">
        <v>26</v>
      </c>
      <c r="H678" s="7" t="str">
        <f t="shared" si="79"/>
        <v>Fixed</v>
      </c>
      <c r="I678" s="8">
        <f t="shared" si="80"/>
        <v>-21.359999999999502</v>
      </c>
      <c r="J678" s="211" t="s">
        <v>724</v>
      </c>
      <c r="K678" s="90"/>
    </row>
    <row r="679" spans="1:11" ht="18" customHeight="1" x14ac:dyDescent="0.2">
      <c r="A679" s="20">
        <f t="shared" si="77"/>
        <v>2021</v>
      </c>
      <c r="B679" s="6">
        <f t="shared" si="78"/>
        <v>9</v>
      </c>
      <c r="C679" s="207">
        <v>44447</v>
      </c>
      <c r="D679" s="207">
        <v>44447</v>
      </c>
      <c r="E679" s="96" t="s">
        <v>949</v>
      </c>
      <c r="F679" s="8">
        <v>53</v>
      </c>
      <c r="G679" s="203" t="s">
        <v>68</v>
      </c>
      <c r="H679" s="7" t="str">
        <f t="shared" si="79"/>
        <v>Variable</v>
      </c>
      <c r="I679" s="8">
        <f t="shared" si="80"/>
        <v>31.640000000000498</v>
      </c>
      <c r="J679" s="203"/>
      <c r="K679" s="90"/>
    </row>
    <row r="680" spans="1:11" ht="18" customHeight="1" x14ac:dyDescent="0.2">
      <c r="A680" s="20">
        <f t="shared" si="77"/>
        <v>2021</v>
      </c>
      <c r="B680" s="6">
        <f t="shared" si="78"/>
        <v>9</v>
      </c>
      <c r="C680" s="207">
        <v>44447</v>
      </c>
      <c r="D680" s="207">
        <v>44447</v>
      </c>
      <c r="E680" s="96" t="s">
        <v>230</v>
      </c>
      <c r="F680" s="8">
        <v>25.58</v>
      </c>
      <c r="G680" s="203" t="s">
        <v>89</v>
      </c>
      <c r="H680" s="7" t="str">
        <f t="shared" si="79"/>
        <v>Variable</v>
      </c>
      <c r="I680" s="8">
        <f t="shared" si="80"/>
        <v>57.220000000000496</v>
      </c>
      <c r="J680" s="203"/>
      <c r="K680" s="90"/>
    </row>
    <row r="681" spans="1:11" ht="18" customHeight="1" x14ac:dyDescent="0.2">
      <c r="A681" s="20">
        <f t="shared" si="77"/>
        <v>2021</v>
      </c>
      <c r="B681" s="6">
        <f t="shared" si="78"/>
        <v>9</v>
      </c>
      <c r="C681" s="207">
        <v>44447</v>
      </c>
      <c r="D681" s="207">
        <v>44447</v>
      </c>
      <c r="E681" s="96" t="s">
        <v>950</v>
      </c>
      <c r="F681" s="8">
        <v>86.25</v>
      </c>
      <c r="G681" s="215" t="s">
        <v>26</v>
      </c>
      <c r="H681" s="7" t="str">
        <f t="shared" si="79"/>
        <v>Fixed</v>
      </c>
      <c r="I681" s="8">
        <f t="shared" si="80"/>
        <v>143.47000000000048</v>
      </c>
      <c r="J681" s="215" t="s">
        <v>294</v>
      </c>
      <c r="K681" s="90"/>
    </row>
    <row r="682" spans="1:11" ht="18" customHeight="1" x14ac:dyDescent="0.2">
      <c r="A682" s="20">
        <f t="shared" si="77"/>
        <v>2021</v>
      </c>
      <c r="B682" s="6">
        <f t="shared" si="78"/>
        <v>9</v>
      </c>
      <c r="C682" s="207">
        <v>44448</v>
      </c>
      <c r="D682" s="207">
        <v>44448</v>
      </c>
      <c r="E682" s="96" t="s">
        <v>951</v>
      </c>
      <c r="F682" s="8">
        <v>8.59</v>
      </c>
      <c r="G682" s="203" t="s">
        <v>41</v>
      </c>
      <c r="H682" s="7" t="str">
        <f t="shared" si="79"/>
        <v>Variable</v>
      </c>
      <c r="I682" s="8">
        <f t="shared" si="80"/>
        <v>152.06000000000049</v>
      </c>
      <c r="J682" s="203"/>
      <c r="K682" s="90"/>
    </row>
    <row r="683" spans="1:11" ht="18" customHeight="1" x14ac:dyDescent="0.2">
      <c r="A683" s="20">
        <f t="shared" si="77"/>
        <v>2021</v>
      </c>
      <c r="B683" s="6">
        <f t="shared" si="78"/>
        <v>9</v>
      </c>
      <c r="C683" s="207">
        <v>44448</v>
      </c>
      <c r="D683" s="207">
        <v>44448</v>
      </c>
      <c r="E683" s="96" t="s">
        <v>952</v>
      </c>
      <c r="F683" s="8">
        <v>28.76</v>
      </c>
      <c r="G683" s="203" t="s">
        <v>24</v>
      </c>
      <c r="H683" s="7" t="str">
        <f t="shared" si="79"/>
        <v>Variable</v>
      </c>
      <c r="I683" s="8">
        <f t="shared" si="80"/>
        <v>180.82000000000048</v>
      </c>
      <c r="J683" s="203"/>
      <c r="K683" s="90"/>
    </row>
    <row r="684" spans="1:11" ht="18" customHeight="1" x14ac:dyDescent="0.2">
      <c r="A684" s="20">
        <f t="shared" si="77"/>
        <v>2021</v>
      </c>
      <c r="B684" s="6">
        <f t="shared" si="78"/>
        <v>9</v>
      </c>
      <c r="C684" s="207">
        <v>44448</v>
      </c>
      <c r="D684" s="207">
        <v>44448</v>
      </c>
      <c r="E684" s="96" t="s">
        <v>953</v>
      </c>
      <c r="F684" s="8">
        <v>48.5</v>
      </c>
      <c r="G684" s="203" t="s">
        <v>41</v>
      </c>
      <c r="H684" s="7" t="str">
        <f t="shared" si="79"/>
        <v>Variable</v>
      </c>
      <c r="I684" s="8">
        <f t="shared" si="80"/>
        <v>229.32000000000048</v>
      </c>
      <c r="J684" s="203"/>
      <c r="K684" s="90"/>
    </row>
    <row r="685" spans="1:11" ht="18" customHeight="1" x14ac:dyDescent="0.2">
      <c r="A685" s="20">
        <f t="shared" si="77"/>
        <v>2021</v>
      </c>
      <c r="B685" s="6">
        <f t="shared" si="78"/>
        <v>9</v>
      </c>
      <c r="C685" s="207">
        <v>44449</v>
      </c>
      <c r="D685" s="207">
        <v>44449</v>
      </c>
      <c r="E685" s="96" t="s">
        <v>954</v>
      </c>
      <c r="F685" s="8">
        <v>11.87</v>
      </c>
      <c r="G685" s="203" t="s">
        <v>41</v>
      </c>
      <c r="H685" s="7" t="str">
        <f t="shared" si="79"/>
        <v>Variable</v>
      </c>
      <c r="I685" s="8">
        <f t="shared" si="80"/>
        <v>241.19000000000048</v>
      </c>
      <c r="J685" s="203"/>
      <c r="K685" s="90"/>
    </row>
    <row r="686" spans="1:11" ht="18" customHeight="1" x14ac:dyDescent="0.2">
      <c r="A686" s="20">
        <f t="shared" si="77"/>
        <v>2021</v>
      </c>
      <c r="B686" s="6">
        <f t="shared" si="78"/>
        <v>9</v>
      </c>
      <c r="C686" s="207">
        <v>44449</v>
      </c>
      <c r="D686" s="207">
        <v>44449</v>
      </c>
      <c r="E686" s="96" t="s">
        <v>951</v>
      </c>
      <c r="F686" s="8">
        <v>11.71</v>
      </c>
      <c r="G686" s="203" t="s">
        <v>41</v>
      </c>
      <c r="H686" s="7" t="str">
        <f t="shared" si="79"/>
        <v>Variable</v>
      </c>
      <c r="I686" s="8">
        <f t="shared" si="80"/>
        <v>252.90000000000049</v>
      </c>
      <c r="J686" s="203"/>
      <c r="K686" s="90"/>
    </row>
    <row r="687" spans="1:11" ht="18" customHeight="1" x14ac:dyDescent="0.2">
      <c r="A687" s="20">
        <f t="shared" si="77"/>
        <v>2021</v>
      </c>
      <c r="B687" s="6">
        <f t="shared" si="78"/>
        <v>9</v>
      </c>
      <c r="C687" s="207">
        <v>44449</v>
      </c>
      <c r="D687" s="207">
        <v>44449</v>
      </c>
      <c r="E687" s="96" t="s">
        <v>21</v>
      </c>
      <c r="F687" s="8">
        <v>-925.18</v>
      </c>
      <c r="G687" s="203" t="s">
        <v>22</v>
      </c>
      <c r="H687" s="7" t="str">
        <f t="shared" si="79"/>
        <v>Payment</v>
      </c>
      <c r="I687" s="8">
        <f t="shared" si="80"/>
        <v>-672.27999999999952</v>
      </c>
      <c r="J687" s="203"/>
      <c r="K687" s="90"/>
    </row>
    <row r="688" spans="1:11" ht="18" customHeight="1" x14ac:dyDescent="0.2">
      <c r="A688" s="20">
        <f t="shared" si="77"/>
        <v>2021</v>
      </c>
      <c r="B688" s="6">
        <f t="shared" si="78"/>
        <v>9</v>
      </c>
      <c r="C688" s="207">
        <v>44449</v>
      </c>
      <c r="D688" s="207">
        <v>44449</v>
      </c>
      <c r="E688" s="96" t="s">
        <v>955</v>
      </c>
      <c r="F688" s="8">
        <v>60</v>
      </c>
      <c r="G688" s="203" t="s">
        <v>41</v>
      </c>
      <c r="H688" s="7" t="str">
        <f t="shared" si="79"/>
        <v>Variable</v>
      </c>
      <c r="I688" s="8">
        <f t="shared" si="80"/>
        <v>-612.27999999999952</v>
      </c>
      <c r="J688" s="203"/>
      <c r="K688" s="90"/>
    </row>
    <row r="689" spans="1:11" ht="18" customHeight="1" x14ac:dyDescent="0.2">
      <c r="A689" s="20">
        <f t="shared" si="77"/>
        <v>2021</v>
      </c>
      <c r="B689" s="6">
        <f t="shared" si="78"/>
        <v>9</v>
      </c>
      <c r="C689" s="207">
        <v>44450</v>
      </c>
      <c r="D689" s="207">
        <v>44450</v>
      </c>
      <c r="E689" s="96" t="s">
        <v>956</v>
      </c>
      <c r="F689" s="8">
        <f>14.99 +0.69</f>
        <v>15.68</v>
      </c>
      <c r="G689" s="215" t="s">
        <v>26</v>
      </c>
      <c r="H689" s="7" t="str">
        <f t="shared" si="79"/>
        <v>Fixed</v>
      </c>
      <c r="I689" s="8">
        <f t="shared" si="80"/>
        <v>-596.59999999999957</v>
      </c>
      <c r="J689" s="215" t="s">
        <v>293</v>
      </c>
      <c r="K689" s="216"/>
    </row>
    <row r="690" spans="1:11" ht="18" customHeight="1" x14ac:dyDescent="0.2">
      <c r="A690" s="20">
        <f t="shared" si="77"/>
        <v>2021</v>
      </c>
      <c r="B690" s="6">
        <f t="shared" si="78"/>
        <v>9</v>
      </c>
      <c r="C690" s="207">
        <v>44450</v>
      </c>
      <c r="D690" s="207">
        <v>44450</v>
      </c>
      <c r="E690" s="96" t="s">
        <v>956</v>
      </c>
      <c r="F690" s="8">
        <f>7.99+0.69</f>
        <v>8.68</v>
      </c>
      <c r="G690" s="215" t="s">
        <v>26</v>
      </c>
      <c r="H690" s="7" t="str">
        <f t="shared" ref="H690" si="81">VLOOKUP(G690,Expense_Lookup,2,0)</f>
        <v>Fixed</v>
      </c>
      <c r="I690" s="8">
        <f t="shared" ref="I690" si="82">I689+F690</f>
        <v>-587.91999999999962</v>
      </c>
      <c r="J690" s="215" t="s">
        <v>925</v>
      </c>
      <c r="K690" s="216"/>
    </row>
    <row r="691" spans="1:11" ht="18" customHeight="1" x14ac:dyDescent="0.2">
      <c r="A691" s="20">
        <f t="shared" si="77"/>
        <v>2021</v>
      </c>
      <c r="B691" s="6">
        <f t="shared" si="78"/>
        <v>9</v>
      </c>
      <c r="C691" s="207">
        <v>44450</v>
      </c>
      <c r="D691" s="207">
        <v>44450</v>
      </c>
      <c r="E691" s="96" t="s">
        <v>957</v>
      </c>
      <c r="F691" s="8">
        <v>60</v>
      </c>
      <c r="G691" s="203" t="s">
        <v>41</v>
      </c>
      <c r="H691" s="7" t="str">
        <f t="shared" si="79"/>
        <v>Variable</v>
      </c>
      <c r="I691" s="8">
        <f>I689+F691</f>
        <v>-536.59999999999957</v>
      </c>
      <c r="J691" s="203"/>
      <c r="K691" s="216"/>
    </row>
    <row r="692" spans="1:11" ht="18" customHeight="1" x14ac:dyDescent="0.2">
      <c r="A692" s="20">
        <f t="shared" si="77"/>
        <v>2021</v>
      </c>
      <c r="B692" s="6">
        <f t="shared" si="78"/>
        <v>9</v>
      </c>
      <c r="C692" s="207">
        <v>44450</v>
      </c>
      <c r="D692" s="207">
        <v>44450</v>
      </c>
      <c r="E692" s="96" t="s">
        <v>958</v>
      </c>
      <c r="F692" s="8">
        <v>1.85</v>
      </c>
      <c r="G692" s="203" t="s">
        <v>52</v>
      </c>
      <c r="H692" s="7" t="str">
        <f t="shared" si="79"/>
        <v>Variable</v>
      </c>
      <c r="I692" s="8">
        <f t="shared" si="80"/>
        <v>-534.74999999999955</v>
      </c>
      <c r="J692" s="203"/>
      <c r="K692" s="90"/>
    </row>
    <row r="693" spans="1:11" ht="18" customHeight="1" x14ac:dyDescent="0.2">
      <c r="A693" s="20">
        <f t="shared" si="77"/>
        <v>2021</v>
      </c>
      <c r="B693" s="6">
        <f t="shared" si="78"/>
        <v>9</v>
      </c>
      <c r="C693" s="207">
        <v>44450</v>
      </c>
      <c r="D693" s="207">
        <v>44450</v>
      </c>
      <c r="E693" s="96" t="s">
        <v>959</v>
      </c>
      <c r="F693" s="8">
        <v>1.85</v>
      </c>
      <c r="G693" s="203" t="s">
        <v>52</v>
      </c>
      <c r="H693" s="7" t="str">
        <f t="shared" si="79"/>
        <v>Variable</v>
      </c>
      <c r="I693" s="8">
        <f t="shared" si="80"/>
        <v>-532.89999999999952</v>
      </c>
      <c r="J693" s="203"/>
      <c r="K693" s="90"/>
    </row>
    <row r="694" spans="1:11" ht="18" customHeight="1" x14ac:dyDescent="0.2">
      <c r="A694" s="20">
        <f t="shared" si="77"/>
        <v>2021</v>
      </c>
      <c r="B694" s="6">
        <f t="shared" si="78"/>
        <v>9</v>
      </c>
      <c r="C694" s="207">
        <v>44450</v>
      </c>
      <c r="D694" s="207">
        <v>44450</v>
      </c>
      <c r="E694" s="96" t="s">
        <v>960</v>
      </c>
      <c r="F694" s="8">
        <v>1.85</v>
      </c>
      <c r="G694" s="203" t="s">
        <v>52</v>
      </c>
      <c r="H694" s="7" t="str">
        <f t="shared" si="79"/>
        <v>Variable</v>
      </c>
      <c r="I694" s="8">
        <f t="shared" si="80"/>
        <v>-531.0499999999995</v>
      </c>
      <c r="J694" s="203"/>
      <c r="K694" s="90"/>
    </row>
    <row r="695" spans="1:11" ht="18" customHeight="1" x14ac:dyDescent="0.2">
      <c r="A695" s="20">
        <f t="shared" si="77"/>
        <v>2021</v>
      </c>
      <c r="B695" s="6">
        <f t="shared" si="78"/>
        <v>9</v>
      </c>
      <c r="C695" s="207">
        <v>44450</v>
      </c>
      <c r="D695" s="207">
        <v>44450</v>
      </c>
      <c r="E695" s="96" t="s">
        <v>961</v>
      </c>
      <c r="F695" s="8">
        <v>80</v>
      </c>
      <c r="G695" s="203" t="s">
        <v>52</v>
      </c>
      <c r="H695" s="7" t="str">
        <f t="shared" si="79"/>
        <v>Variable</v>
      </c>
      <c r="I695" s="8">
        <f t="shared" si="80"/>
        <v>-451.0499999999995</v>
      </c>
      <c r="J695" s="203"/>
      <c r="K695" s="90"/>
    </row>
    <row r="696" spans="1:11" ht="18" customHeight="1" x14ac:dyDescent="0.2">
      <c r="A696" s="20">
        <f t="shared" si="77"/>
        <v>2021</v>
      </c>
      <c r="B696" s="6">
        <f t="shared" si="78"/>
        <v>9</v>
      </c>
      <c r="C696" s="207">
        <v>44450</v>
      </c>
      <c r="D696" s="207">
        <v>44450</v>
      </c>
      <c r="E696" s="96" t="s">
        <v>962</v>
      </c>
      <c r="F696" s="8">
        <v>10.33</v>
      </c>
      <c r="G696" s="203" t="s">
        <v>41</v>
      </c>
      <c r="H696" s="7" t="str">
        <f t="shared" si="79"/>
        <v>Variable</v>
      </c>
      <c r="I696" s="8">
        <f t="shared" si="80"/>
        <v>-440.71999999999952</v>
      </c>
      <c r="J696" s="203"/>
      <c r="K696" s="90"/>
    </row>
    <row r="697" spans="1:11" ht="18" customHeight="1" x14ac:dyDescent="0.2">
      <c r="A697" s="20">
        <f t="shared" si="77"/>
        <v>2021</v>
      </c>
      <c r="B697" s="6">
        <f t="shared" si="78"/>
        <v>9</v>
      </c>
      <c r="C697" s="207">
        <v>44450</v>
      </c>
      <c r="D697" s="207">
        <v>44450</v>
      </c>
      <c r="E697" s="96" t="s">
        <v>963</v>
      </c>
      <c r="F697" s="8">
        <v>19.149999999999999</v>
      </c>
      <c r="G697" s="203" t="s">
        <v>41</v>
      </c>
      <c r="H697" s="7" t="str">
        <f t="shared" si="79"/>
        <v>Variable</v>
      </c>
      <c r="I697" s="8">
        <f t="shared" si="80"/>
        <v>-421.56999999999954</v>
      </c>
      <c r="J697" s="203"/>
      <c r="K697" s="90"/>
    </row>
    <row r="698" spans="1:11" ht="18" customHeight="1" x14ac:dyDescent="0.2">
      <c r="A698" s="20">
        <f t="shared" si="77"/>
        <v>2021</v>
      </c>
      <c r="B698" s="6">
        <f t="shared" si="78"/>
        <v>9</v>
      </c>
      <c r="C698" s="207">
        <v>44450</v>
      </c>
      <c r="D698" s="207">
        <v>44450</v>
      </c>
      <c r="E698" s="96" t="s">
        <v>964</v>
      </c>
      <c r="F698" s="8">
        <v>144.91999999999999</v>
      </c>
      <c r="G698" s="203" t="s">
        <v>68</v>
      </c>
      <c r="H698" s="7" t="str">
        <f t="shared" si="79"/>
        <v>Variable</v>
      </c>
      <c r="I698" s="8">
        <f t="shared" si="80"/>
        <v>-276.64999999999952</v>
      </c>
      <c r="J698" s="203"/>
      <c r="K698" s="90"/>
    </row>
    <row r="699" spans="1:11" ht="18" customHeight="1" x14ac:dyDescent="0.2">
      <c r="A699" s="20">
        <f t="shared" si="77"/>
        <v>2021</v>
      </c>
      <c r="B699" s="6">
        <f t="shared" si="78"/>
        <v>9</v>
      </c>
      <c r="C699" s="207">
        <v>44451</v>
      </c>
      <c r="D699" s="207">
        <v>44451</v>
      </c>
      <c r="E699" s="96" t="s">
        <v>143</v>
      </c>
      <c r="F699" s="8">
        <v>15.89</v>
      </c>
      <c r="G699" s="215" t="s">
        <v>26</v>
      </c>
      <c r="H699" s="7" t="str">
        <f t="shared" si="79"/>
        <v>Fixed</v>
      </c>
      <c r="I699" s="8">
        <f t="shared" si="80"/>
        <v>-260.75999999999954</v>
      </c>
      <c r="J699" s="215" t="s">
        <v>853</v>
      </c>
      <c r="K699" s="90"/>
    </row>
    <row r="700" spans="1:11" ht="18" customHeight="1" x14ac:dyDescent="0.2">
      <c r="A700" s="20">
        <f t="shared" si="77"/>
        <v>2021</v>
      </c>
      <c r="B700" s="6">
        <f t="shared" si="78"/>
        <v>9</v>
      </c>
      <c r="C700" s="207">
        <v>44451</v>
      </c>
      <c r="D700" s="207">
        <v>44451</v>
      </c>
      <c r="E700" s="96" t="s">
        <v>59</v>
      </c>
      <c r="F700" s="8">
        <v>1.99</v>
      </c>
      <c r="G700" s="215" t="s">
        <v>26</v>
      </c>
      <c r="H700" s="7" t="str">
        <f t="shared" si="79"/>
        <v>Fixed</v>
      </c>
      <c r="I700" s="8">
        <f t="shared" si="80"/>
        <v>-258.76999999999953</v>
      </c>
      <c r="J700" s="215" t="s">
        <v>283</v>
      </c>
      <c r="K700" s="90"/>
    </row>
    <row r="701" spans="1:11" ht="18" customHeight="1" x14ac:dyDescent="0.2">
      <c r="A701" s="20">
        <f t="shared" si="77"/>
        <v>2021</v>
      </c>
      <c r="B701" s="6">
        <f t="shared" si="78"/>
        <v>9</v>
      </c>
      <c r="C701" s="207">
        <v>44451</v>
      </c>
      <c r="D701" s="207">
        <v>44451</v>
      </c>
      <c r="E701" s="96" t="s">
        <v>271</v>
      </c>
      <c r="F701" s="8">
        <v>1130</v>
      </c>
      <c r="G701" s="203" t="s">
        <v>68</v>
      </c>
      <c r="H701" s="7" t="str">
        <f t="shared" si="79"/>
        <v>Variable</v>
      </c>
      <c r="I701" s="8">
        <f t="shared" si="80"/>
        <v>871.23000000000047</v>
      </c>
      <c r="J701" s="203"/>
      <c r="K701" s="90"/>
    </row>
    <row r="702" spans="1:11" ht="18" customHeight="1" x14ac:dyDescent="0.2">
      <c r="A702" s="20">
        <f t="shared" si="77"/>
        <v>2021</v>
      </c>
      <c r="B702" s="6">
        <f t="shared" si="78"/>
        <v>9</v>
      </c>
      <c r="C702" s="207">
        <v>44452</v>
      </c>
      <c r="D702" s="207">
        <v>44452</v>
      </c>
      <c r="E702" s="96" t="s">
        <v>965</v>
      </c>
      <c r="F702" s="8">
        <v>35.9</v>
      </c>
      <c r="G702" s="203" t="s">
        <v>24</v>
      </c>
      <c r="H702" s="7" t="str">
        <f t="shared" si="79"/>
        <v>Variable</v>
      </c>
      <c r="I702" s="8">
        <f t="shared" si="80"/>
        <v>907.13000000000045</v>
      </c>
      <c r="J702" s="203"/>
      <c r="K702" s="90"/>
    </row>
    <row r="703" spans="1:11" ht="18" customHeight="1" x14ac:dyDescent="0.2">
      <c r="A703" s="20">
        <f t="shared" si="77"/>
        <v>2021</v>
      </c>
      <c r="B703" s="6">
        <f t="shared" si="78"/>
        <v>9</v>
      </c>
      <c r="C703" s="207">
        <v>44452</v>
      </c>
      <c r="D703" s="207">
        <v>44452</v>
      </c>
      <c r="E703" s="96" t="s">
        <v>966</v>
      </c>
      <c r="F703" s="8">
        <v>1.85</v>
      </c>
      <c r="G703" s="203" t="s">
        <v>68</v>
      </c>
      <c r="H703" s="7" t="str">
        <f t="shared" si="79"/>
        <v>Variable</v>
      </c>
      <c r="I703" s="8">
        <f t="shared" si="80"/>
        <v>908.98000000000047</v>
      </c>
      <c r="J703" s="203"/>
      <c r="K703" s="90"/>
    </row>
    <row r="704" spans="1:11" ht="18" customHeight="1" x14ac:dyDescent="0.2">
      <c r="A704" s="20">
        <f t="shared" si="77"/>
        <v>2021</v>
      </c>
      <c r="B704" s="6">
        <f t="shared" si="78"/>
        <v>9</v>
      </c>
      <c r="C704" s="207">
        <v>44452</v>
      </c>
      <c r="D704" s="207">
        <v>44452</v>
      </c>
      <c r="E704" s="96" t="s">
        <v>966</v>
      </c>
      <c r="F704" s="8">
        <v>15.27</v>
      </c>
      <c r="G704" s="203" t="s">
        <v>68</v>
      </c>
      <c r="H704" s="7" t="str">
        <f t="shared" si="79"/>
        <v>Variable</v>
      </c>
      <c r="I704" s="8">
        <f t="shared" si="80"/>
        <v>924.25000000000045</v>
      </c>
      <c r="J704" s="203"/>
      <c r="K704" s="90"/>
    </row>
    <row r="705" spans="1:11" ht="18" customHeight="1" x14ac:dyDescent="0.2">
      <c r="A705" s="20">
        <f t="shared" si="77"/>
        <v>2021</v>
      </c>
      <c r="B705" s="6">
        <f t="shared" si="78"/>
        <v>9</v>
      </c>
      <c r="C705" s="207">
        <v>44453</v>
      </c>
      <c r="D705" s="207">
        <v>44453</v>
      </c>
      <c r="E705" s="96" t="s">
        <v>948</v>
      </c>
      <c r="F705" s="8">
        <v>2.7</v>
      </c>
      <c r="G705" s="203" t="s">
        <v>41</v>
      </c>
      <c r="H705" s="7" t="str">
        <f t="shared" si="79"/>
        <v>Variable</v>
      </c>
      <c r="I705" s="8">
        <f t="shared" si="80"/>
        <v>926.9500000000005</v>
      </c>
      <c r="J705" s="203"/>
      <c r="K705" s="90"/>
    </row>
    <row r="706" spans="1:11" ht="18" customHeight="1" x14ac:dyDescent="0.2">
      <c r="A706" s="20">
        <f t="shared" si="77"/>
        <v>2021</v>
      </c>
      <c r="B706" s="6">
        <f t="shared" si="78"/>
        <v>9</v>
      </c>
      <c r="C706" s="207">
        <v>44453</v>
      </c>
      <c r="D706" s="207">
        <v>44453</v>
      </c>
      <c r="E706" s="96" t="s">
        <v>951</v>
      </c>
      <c r="F706" s="8">
        <v>5.93</v>
      </c>
      <c r="G706" s="203" t="s">
        <v>41</v>
      </c>
      <c r="H706" s="7" t="str">
        <f t="shared" si="79"/>
        <v>Variable</v>
      </c>
      <c r="I706" s="8">
        <f t="shared" si="80"/>
        <v>932.88000000000045</v>
      </c>
      <c r="J706" s="203"/>
      <c r="K706" s="90"/>
    </row>
    <row r="707" spans="1:11" ht="18" customHeight="1" x14ac:dyDescent="0.2">
      <c r="A707" s="20">
        <f t="shared" si="77"/>
        <v>2021</v>
      </c>
      <c r="B707" s="6">
        <f t="shared" si="78"/>
        <v>9</v>
      </c>
      <c r="C707" s="207">
        <v>44453</v>
      </c>
      <c r="D707" s="207">
        <v>44453</v>
      </c>
      <c r="E707" s="96" t="s">
        <v>948</v>
      </c>
      <c r="F707" s="8">
        <v>8.82</v>
      </c>
      <c r="G707" s="203" t="s">
        <v>41</v>
      </c>
      <c r="H707" s="7" t="str">
        <f t="shared" si="79"/>
        <v>Variable</v>
      </c>
      <c r="I707" s="8">
        <f t="shared" si="80"/>
        <v>941.7000000000005</v>
      </c>
      <c r="J707" s="203"/>
      <c r="K707" s="90"/>
    </row>
    <row r="708" spans="1:11" ht="18" customHeight="1" x14ac:dyDescent="0.2">
      <c r="A708" s="20">
        <f t="shared" si="77"/>
        <v>2021</v>
      </c>
      <c r="B708" s="6">
        <f t="shared" si="78"/>
        <v>9</v>
      </c>
      <c r="C708" s="207">
        <v>44453</v>
      </c>
      <c r="D708" s="207">
        <v>44453</v>
      </c>
      <c r="E708" s="96" t="s">
        <v>340</v>
      </c>
      <c r="F708" s="8">
        <v>3</v>
      </c>
      <c r="G708" s="215" t="s">
        <v>26</v>
      </c>
      <c r="H708" s="7" t="str">
        <f t="shared" si="79"/>
        <v>Fixed</v>
      </c>
      <c r="I708" s="8">
        <f t="shared" si="80"/>
        <v>944.7000000000005</v>
      </c>
      <c r="J708" s="215" t="s">
        <v>724</v>
      </c>
      <c r="K708" s="90"/>
    </row>
    <row r="709" spans="1:11" ht="18" customHeight="1" x14ac:dyDescent="0.2">
      <c r="A709" s="20">
        <f t="shared" si="77"/>
        <v>2021</v>
      </c>
      <c r="B709" s="6">
        <f t="shared" si="78"/>
        <v>9</v>
      </c>
      <c r="C709" s="207">
        <v>44454</v>
      </c>
      <c r="D709" s="207">
        <v>44454</v>
      </c>
      <c r="E709" s="96" t="s">
        <v>967</v>
      </c>
      <c r="F709" s="8">
        <v>82.37</v>
      </c>
      <c r="G709" s="203" t="s">
        <v>68</v>
      </c>
      <c r="H709" s="7" t="str">
        <f t="shared" si="79"/>
        <v>Variable</v>
      </c>
      <c r="I709" s="8">
        <f t="shared" si="80"/>
        <v>1027.0700000000006</v>
      </c>
      <c r="J709" s="203"/>
      <c r="K709" s="90"/>
    </row>
    <row r="710" spans="1:11" ht="18" customHeight="1" x14ac:dyDescent="0.2">
      <c r="A710" s="20">
        <f t="shared" si="77"/>
        <v>2021</v>
      </c>
      <c r="B710" s="6">
        <f t="shared" si="78"/>
        <v>9</v>
      </c>
      <c r="C710" s="207">
        <v>44454</v>
      </c>
      <c r="D710" s="207">
        <v>44454</v>
      </c>
      <c r="E710" s="96" t="s">
        <v>968</v>
      </c>
      <c r="F710" s="8">
        <v>16.809999999999999</v>
      </c>
      <c r="G710" s="203" t="s">
        <v>41</v>
      </c>
      <c r="H710" s="7" t="str">
        <f t="shared" si="79"/>
        <v>Variable</v>
      </c>
      <c r="I710" s="8">
        <f t="shared" si="80"/>
        <v>1043.8800000000006</v>
      </c>
      <c r="J710" s="203"/>
      <c r="K710" s="90"/>
    </row>
    <row r="711" spans="1:11" ht="18" customHeight="1" x14ac:dyDescent="0.2">
      <c r="A711" s="20">
        <f t="shared" si="77"/>
        <v>2021</v>
      </c>
      <c r="B711" s="6">
        <f t="shared" si="78"/>
        <v>9</v>
      </c>
      <c r="C711" s="207">
        <v>44455</v>
      </c>
      <c r="D711" s="207">
        <v>44455</v>
      </c>
      <c r="E711" s="96" t="s">
        <v>969</v>
      </c>
      <c r="F711" s="8">
        <v>2</v>
      </c>
      <c r="G711" s="203" t="s">
        <v>52</v>
      </c>
      <c r="H711" s="7" t="str">
        <f t="shared" si="79"/>
        <v>Variable</v>
      </c>
      <c r="I711" s="8">
        <f t="shared" si="80"/>
        <v>1045.8800000000006</v>
      </c>
      <c r="J711" s="203"/>
      <c r="K711" s="90"/>
    </row>
    <row r="712" spans="1:11" ht="18" customHeight="1" x14ac:dyDescent="0.2">
      <c r="A712" s="20">
        <f t="shared" si="77"/>
        <v>2021</v>
      </c>
      <c r="B712" s="6">
        <f t="shared" si="78"/>
        <v>9</v>
      </c>
      <c r="C712" s="207">
        <v>44455</v>
      </c>
      <c r="D712" s="207">
        <v>44455</v>
      </c>
      <c r="E712" s="96" t="s">
        <v>970</v>
      </c>
      <c r="F712" s="8">
        <v>30</v>
      </c>
      <c r="G712" s="203" t="s">
        <v>52</v>
      </c>
      <c r="H712" s="7" t="str">
        <f t="shared" si="79"/>
        <v>Variable</v>
      </c>
      <c r="I712" s="8">
        <f t="shared" si="80"/>
        <v>1075.8800000000006</v>
      </c>
      <c r="J712" s="203"/>
      <c r="K712" s="90"/>
    </row>
    <row r="713" spans="1:11" ht="18" customHeight="1" x14ac:dyDescent="0.2">
      <c r="A713" s="20">
        <f t="shared" si="77"/>
        <v>2021</v>
      </c>
      <c r="B713" s="6">
        <f t="shared" si="78"/>
        <v>9</v>
      </c>
      <c r="C713" s="207">
        <v>44455</v>
      </c>
      <c r="D713" s="207">
        <v>44455</v>
      </c>
      <c r="E713" s="96" t="s">
        <v>971</v>
      </c>
      <c r="F713" s="8">
        <v>7.49</v>
      </c>
      <c r="G713" s="203" t="s">
        <v>90</v>
      </c>
      <c r="H713" s="7" t="str">
        <f t="shared" si="79"/>
        <v>Variable</v>
      </c>
      <c r="I713" s="8">
        <f t="shared" si="80"/>
        <v>1083.3700000000006</v>
      </c>
      <c r="J713" s="203"/>
      <c r="K713" s="90"/>
    </row>
    <row r="714" spans="1:11" ht="18" customHeight="1" x14ac:dyDescent="0.2">
      <c r="A714" s="20">
        <f t="shared" si="77"/>
        <v>2021</v>
      </c>
      <c r="B714" s="6">
        <f t="shared" si="78"/>
        <v>9</v>
      </c>
      <c r="C714" s="207">
        <v>44455</v>
      </c>
      <c r="D714" s="207">
        <v>44455</v>
      </c>
      <c r="E714" s="96" t="s">
        <v>972</v>
      </c>
      <c r="F714" s="8">
        <v>25</v>
      </c>
      <c r="G714" s="203" t="s">
        <v>41</v>
      </c>
      <c r="H714" s="7" t="str">
        <f t="shared" si="79"/>
        <v>Variable</v>
      </c>
      <c r="I714" s="8">
        <f t="shared" si="80"/>
        <v>1108.3700000000006</v>
      </c>
      <c r="J714" s="203"/>
      <c r="K714" s="90"/>
    </row>
    <row r="715" spans="1:11" ht="18" customHeight="1" x14ac:dyDescent="0.2">
      <c r="A715" s="20">
        <f t="shared" si="77"/>
        <v>2021</v>
      </c>
      <c r="B715" s="6">
        <f t="shared" si="78"/>
        <v>9</v>
      </c>
      <c r="C715" s="207">
        <v>44455</v>
      </c>
      <c r="D715" s="207">
        <v>44455</v>
      </c>
      <c r="E715" s="96" t="s">
        <v>973</v>
      </c>
      <c r="F715" s="8">
        <v>27.38</v>
      </c>
      <c r="G715" s="203" t="s">
        <v>24</v>
      </c>
      <c r="H715" s="7" t="str">
        <f t="shared" si="79"/>
        <v>Variable</v>
      </c>
      <c r="I715" s="8">
        <f t="shared" si="80"/>
        <v>1135.7500000000007</v>
      </c>
      <c r="J715" s="203"/>
      <c r="K715" s="90"/>
    </row>
    <row r="716" spans="1:11" ht="18" customHeight="1" x14ac:dyDescent="0.2">
      <c r="A716" s="20">
        <f t="shared" si="77"/>
        <v>2021</v>
      </c>
      <c r="B716" s="6">
        <f t="shared" si="78"/>
        <v>9</v>
      </c>
      <c r="C716" s="207">
        <v>44455</v>
      </c>
      <c r="D716" s="207">
        <v>44455</v>
      </c>
      <c r="E716" s="96" t="s">
        <v>974</v>
      </c>
      <c r="F716" s="8">
        <v>1.61</v>
      </c>
      <c r="G716" s="203" t="s">
        <v>24</v>
      </c>
      <c r="H716" s="7" t="str">
        <f t="shared" si="79"/>
        <v>Variable</v>
      </c>
      <c r="I716" s="8">
        <f t="shared" si="80"/>
        <v>1137.3600000000006</v>
      </c>
      <c r="J716" s="203"/>
      <c r="K716" s="90"/>
    </row>
    <row r="717" spans="1:11" ht="18" customHeight="1" x14ac:dyDescent="0.2">
      <c r="A717" s="20">
        <f t="shared" si="77"/>
        <v>2021</v>
      </c>
      <c r="B717" s="6">
        <f t="shared" si="78"/>
        <v>9</v>
      </c>
      <c r="C717" s="207">
        <v>44455</v>
      </c>
      <c r="D717" s="207">
        <v>44455</v>
      </c>
      <c r="E717" s="96" t="s">
        <v>975</v>
      </c>
      <c r="F717" s="8">
        <v>6.75</v>
      </c>
      <c r="G717" s="203" t="s">
        <v>41</v>
      </c>
      <c r="H717" s="7" t="str">
        <f t="shared" si="79"/>
        <v>Variable</v>
      </c>
      <c r="I717" s="8">
        <f t="shared" si="80"/>
        <v>1144.1100000000006</v>
      </c>
      <c r="J717" s="203"/>
      <c r="K717" s="90"/>
    </row>
    <row r="718" spans="1:11" ht="18" customHeight="1" x14ac:dyDescent="0.2">
      <c r="A718" s="20">
        <f t="shared" si="77"/>
        <v>2021</v>
      </c>
      <c r="B718" s="6">
        <f t="shared" si="78"/>
        <v>9</v>
      </c>
      <c r="C718" s="207">
        <v>44455</v>
      </c>
      <c r="D718" s="207">
        <v>44455</v>
      </c>
      <c r="E718" s="96" t="s">
        <v>976</v>
      </c>
      <c r="F718" s="8">
        <v>9.6300000000000008</v>
      </c>
      <c r="G718" s="203" t="s">
        <v>41</v>
      </c>
      <c r="H718" s="7" t="str">
        <f t="shared" si="79"/>
        <v>Variable</v>
      </c>
      <c r="I718" s="8">
        <f t="shared" si="80"/>
        <v>1153.7400000000007</v>
      </c>
      <c r="J718" s="203"/>
      <c r="K718" s="90"/>
    </row>
    <row r="719" spans="1:11" ht="18" customHeight="1" x14ac:dyDescent="0.2">
      <c r="A719" s="20">
        <f t="shared" si="77"/>
        <v>2021</v>
      </c>
      <c r="B719" s="6">
        <f t="shared" si="78"/>
        <v>9</v>
      </c>
      <c r="C719" s="207">
        <v>44455</v>
      </c>
      <c r="D719" s="207">
        <v>44455</v>
      </c>
      <c r="E719" s="96" t="s">
        <v>977</v>
      </c>
      <c r="F719" s="8">
        <v>7</v>
      </c>
      <c r="G719" s="203" t="s">
        <v>90</v>
      </c>
      <c r="H719" s="7" t="str">
        <f t="shared" si="79"/>
        <v>Variable</v>
      </c>
      <c r="I719" s="8">
        <f t="shared" si="80"/>
        <v>1160.7400000000007</v>
      </c>
      <c r="J719" s="203"/>
      <c r="K719" s="90"/>
    </row>
    <row r="720" spans="1:11" ht="18" customHeight="1" x14ac:dyDescent="0.2">
      <c r="A720" s="20">
        <f t="shared" si="77"/>
        <v>2021</v>
      </c>
      <c r="B720" s="6">
        <f t="shared" si="78"/>
        <v>9</v>
      </c>
      <c r="C720" s="207">
        <v>44456</v>
      </c>
      <c r="D720" s="207">
        <v>44456</v>
      </c>
      <c r="E720" s="96" t="s">
        <v>978</v>
      </c>
      <c r="F720" s="8">
        <v>1.0900000000000001</v>
      </c>
      <c r="G720" s="203" t="s">
        <v>24</v>
      </c>
      <c r="H720" s="7" t="str">
        <f t="shared" si="79"/>
        <v>Variable</v>
      </c>
      <c r="I720" s="8">
        <f t="shared" si="80"/>
        <v>1161.8300000000006</v>
      </c>
      <c r="J720" s="203"/>
      <c r="K720" s="90"/>
    </row>
    <row r="721" spans="1:11" ht="18" customHeight="1" x14ac:dyDescent="0.2">
      <c r="A721" s="20">
        <f t="shared" si="77"/>
        <v>2021</v>
      </c>
      <c r="B721" s="6">
        <f t="shared" si="78"/>
        <v>9</v>
      </c>
      <c r="C721" s="207">
        <v>44456</v>
      </c>
      <c r="D721" s="207">
        <v>44456</v>
      </c>
      <c r="E721" s="96" t="s">
        <v>979</v>
      </c>
      <c r="F721" s="8">
        <v>59.57</v>
      </c>
      <c r="G721" s="203" t="s">
        <v>68</v>
      </c>
      <c r="H721" s="7" t="str">
        <f t="shared" si="79"/>
        <v>Variable</v>
      </c>
      <c r="I721" s="8">
        <f t="shared" si="80"/>
        <v>1221.4000000000005</v>
      </c>
      <c r="J721" s="203"/>
      <c r="K721" s="90"/>
    </row>
    <row r="722" spans="1:11" ht="18" customHeight="1" x14ac:dyDescent="0.2">
      <c r="A722" s="20">
        <f t="shared" si="77"/>
        <v>2021</v>
      </c>
      <c r="B722" s="6">
        <f t="shared" si="78"/>
        <v>9</v>
      </c>
      <c r="C722" s="207">
        <v>44456</v>
      </c>
      <c r="D722" s="207">
        <v>44456</v>
      </c>
      <c r="E722" s="96" t="s">
        <v>980</v>
      </c>
      <c r="F722" s="8">
        <v>5.29</v>
      </c>
      <c r="G722" s="215" t="s">
        <v>26</v>
      </c>
      <c r="H722" s="7" t="str">
        <f t="shared" si="79"/>
        <v>Fixed</v>
      </c>
      <c r="I722" s="8">
        <f t="shared" si="80"/>
        <v>1226.6900000000005</v>
      </c>
      <c r="J722" s="215" t="s">
        <v>1020</v>
      </c>
      <c r="K722" s="90"/>
    </row>
    <row r="723" spans="1:11" ht="18" customHeight="1" x14ac:dyDescent="0.2">
      <c r="A723" s="20">
        <f t="shared" si="77"/>
        <v>2021</v>
      </c>
      <c r="B723" s="6">
        <f t="shared" si="78"/>
        <v>9</v>
      </c>
      <c r="C723" s="207">
        <v>44456</v>
      </c>
      <c r="D723" s="207">
        <v>44456</v>
      </c>
      <c r="E723" s="96" t="s">
        <v>981</v>
      </c>
      <c r="F723" s="8">
        <v>5.78</v>
      </c>
      <c r="G723" s="203" t="s">
        <v>24</v>
      </c>
      <c r="H723" s="7" t="str">
        <f t="shared" si="79"/>
        <v>Variable</v>
      </c>
      <c r="I723" s="8">
        <f t="shared" si="80"/>
        <v>1232.4700000000005</v>
      </c>
      <c r="J723" s="203"/>
      <c r="K723" s="90"/>
    </row>
    <row r="724" spans="1:11" ht="18" customHeight="1" x14ac:dyDescent="0.2">
      <c r="A724" s="20">
        <f t="shared" si="77"/>
        <v>2021</v>
      </c>
      <c r="B724" s="6">
        <f t="shared" si="78"/>
        <v>9</v>
      </c>
      <c r="C724" s="207">
        <v>44456</v>
      </c>
      <c r="D724" s="207">
        <v>44456</v>
      </c>
      <c r="E724" s="96" t="s">
        <v>982</v>
      </c>
      <c r="F724" s="8">
        <v>21.78</v>
      </c>
      <c r="G724" s="203" t="s">
        <v>24</v>
      </c>
      <c r="H724" s="7" t="str">
        <f t="shared" si="79"/>
        <v>Variable</v>
      </c>
      <c r="I724" s="8">
        <f t="shared" si="80"/>
        <v>1254.2500000000005</v>
      </c>
      <c r="J724" s="203"/>
      <c r="K724" s="90"/>
    </row>
    <row r="725" spans="1:11" ht="18" customHeight="1" x14ac:dyDescent="0.2">
      <c r="A725" s="20">
        <f t="shared" si="77"/>
        <v>2021</v>
      </c>
      <c r="B725" s="6">
        <f t="shared" si="78"/>
        <v>9</v>
      </c>
      <c r="C725" s="207">
        <v>44456</v>
      </c>
      <c r="D725" s="207">
        <v>44456</v>
      </c>
      <c r="E725" s="96" t="s">
        <v>983</v>
      </c>
      <c r="F725" s="8">
        <v>8.6199999999999992</v>
      </c>
      <c r="G725" s="203" t="s">
        <v>41</v>
      </c>
      <c r="H725" s="7" t="str">
        <f t="shared" si="79"/>
        <v>Variable</v>
      </c>
      <c r="I725" s="8">
        <f t="shared" si="80"/>
        <v>1262.8700000000003</v>
      </c>
      <c r="J725" s="203"/>
      <c r="K725" s="90"/>
    </row>
    <row r="726" spans="1:11" ht="18" customHeight="1" x14ac:dyDescent="0.2">
      <c r="A726" s="20">
        <f t="shared" si="77"/>
        <v>2021</v>
      </c>
      <c r="B726" s="6">
        <f t="shared" si="78"/>
        <v>9</v>
      </c>
      <c r="C726" s="207">
        <v>44456</v>
      </c>
      <c r="D726" s="207">
        <v>44456</v>
      </c>
      <c r="E726" s="96" t="s">
        <v>21</v>
      </c>
      <c r="F726" s="8">
        <v>-925.99</v>
      </c>
      <c r="G726" s="203" t="s">
        <v>22</v>
      </c>
      <c r="H726" s="7" t="str">
        <f t="shared" si="79"/>
        <v>Payment</v>
      </c>
      <c r="I726" s="8">
        <f t="shared" si="80"/>
        <v>336.88000000000034</v>
      </c>
      <c r="J726" s="203"/>
      <c r="K726" s="90"/>
    </row>
    <row r="727" spans="1:11" ht="18" customHeight="1" x14ac:dyDescent="0.2">
      <c r="A727" s="20">
        <f t="shared" si="77"/>
        <v>2021</v>
      </c>
      <c r="B727" s="6">
        <f t="shared" si="78"/>
        <v>9</v>
      </c>
      <c r="C727" s="207">
        <v>44456</v>
      </c>
      <c r="D727" s="207">
        <v>44456</v>
      </c>
      <c r="E727" s="96" t="s">
        <v>984</v>
      </c>
      <c r="F727" s="8">
        <v>50</v>
      </c>
      <c r="G727" s="203" t="s">
        <v>68</v>
      </c>
      <c r="H727" s="7" t="str">
        <f t="shared" si="79"/>
        <v>Variable</v>
      </c>
      <c r="I727" s="8">
        <f t="shared" si="80"/>
        <v>386.88000000000034</v>
      </c>
      <c r="J727" s="203"/>
      <c r="K727" s="90"/>
    </row>
    <row r="728" spans="1:11" ht="18" customHeight="1" x14ac:dyDescent="0.2">
      <c r="A728" s="20">
        <f t="shared" si="77"/>
        <v>2021</v>
      </c>
      <c r="B728" s="6">
        <f t="shared" si="78"/>
        <v>9</v>
      </c>
      <c r="C728" s="207">
        <v>44456</v>
      </c>
      <c r="D728" s="207">
        <v>44456</v>
      </c>
      <c r="E728" s="96" t="s">
        <v>985</v>
      </c>
      <c r="F728" s="8">
        <v>20</v>
      </c>
      <c r="G728" s="203" t="s">
        <v>41</v>
      </c>
      <c r="H728" s="7" t="str">
        <f t="shared" si="79"/>
        <v>Variable</v>
      </c>
      <c r="I728" s="8">
        <f t="shared" si="80"/>
        <v>406.88000000000034</v>
      </c>
      <c r="J728" s="203"/>
      <c r="K728" s="90"/>
    </row>
    <row r="729" spans="1:11" ht="18" customHeight="1" x14ac:dyDescent="0.2">
      <c r="A729" s="20">
        <f t="shared" si="77"/>
        <v>2021</v>
      </c>
      <c r="B729" s="6">
        <f t="shared" si="78"/>
        <v>9</v>
      </c>
      <c r="C729" s="207">
        <v>44456</v>
      </c>
      <c r="D729" s="207">
        <v>44456</v>
      </c>
      <c r="E729" s="96" t="s">
        <v>986</v>
      </c>
      <c r="F729" s="8">
        <v>30</v>
      </c>
      <c r="G729" s="203" t="s">
        <v>89</v>
      </c>
      <c r="H729" s="7" t="str">
        <f t="shared" si="79"/>
        <v>Variable</v>
      </c>
      <c r="I729" s="8">
        <f t="shared" si="80"/>
        <v>436.88000000000034</v>
      </c>
      <c r="J729" s="203"/>
      <c r="K729" s="90"/>
    </row>
    <row r="730" spans="1:11" ht="18" customHeight="1" x14ac:dyDescent="0.2">
      <c r="A730" s="20">
        <f t="shared" si="77"/>
        <v>2021</v>
      </c>
      <c r="B730" s="6">
        <f t="shared" si="78"/>
        <v>9</v>
      </c>
      <c r="C730" s="207">
        <v>44456</v>
      </c>
      <c r="D730" s="207">
        <v>44456</v>
      </c>
      <c r="E730" s="96" t="s">
        <v>570</v>
      </c>
      <c r="F730" s="8">
        <v>86.74</v>
      </c>
      <c r="G730" s="203" t="s">
        <v>89</v>
      </c>
      <c r="H730" s="7" t="str">
        <f t="shared" si="79"/>
        <v>Variable</v>
      </c>
      <c r="I730" s="8">
        <f t="shared" si="80"/>
        <v>523.62000000000035</v>
      </c>
      <c r="J730" s="203"/>
      <c r="K730" s="90"/>
    </row>
    <row r="731" spans="1:11" ht="18" customHeight="1" x14ac:dyDescent="0.2">
      <c r="A731" s="20">
        <f t="shared" ref="A731:A777" si="83">YEAR(C731)</f>
        <v>2021</v>
      </c>
      <c r="B731" s="6">
        <f t="shared" ref="B731:B777" si="84">MONTH(C731)</f>
        <v>9</v>
      </c>
      <c r="C731" s="207">
        <v>44456</v>
      </c>
      <c r="D731" s="207">
        <v>44456</v>
      </c>
      <c r="E731" s="96" t="s">
        <v>987</v>
      </c>
      <c r="F731" s="8">
        <v>30</v>
      </c>
      <c r="G731" s="203" t="s">
        <v>41</v>
      </c>
      <c r="H731" s="7" t="str">
        <f t="shared" si="79"/>
        <v>Variable</v>
      </c>
      <c r="I731" s="8">
        <f t="shared" si="80"/>
        <v>553.62000000000035</v>
      </c>
      <c r="J731" s="203"/>
      <c r="K731" s="90"/>
    </row>
    <row r="732" spans="1:11" ht="18" customHeight="1" x14ac:dyDescent="0.2">
      <c r="A732" s="20">
        <f t="shared" si="83"/>
        <v>2021</v>
      </c>
      <c r="B732" s="6">
        <f t="shared" si="84"/>
        <v>9</v>
      </c>
      <c r="C732" s="207">
        <v>44457</v>
      </c>
      <c r="D732" s="207">
        <v>44457</v>
      </c>
      <c r="E732" s="96" t="s">
        <v>988</v>
      </c>
      <c r="F732" s="8">
        <v>31.15</v>
      </c>
      <c r="G732" s="203" t="s">
        <v>24</v>
      </c>
      <c r="H732" s="7" t="str">
        <f t="shared" ref="H732:H777" si="85">VLOOKUP(G732,Expense_Lookup,2,0)</f>
        <v>Variable</v>
      </c>
      <c r="I732" s="8">
        <f t="shared" ref="I732:I777" si="86">I731+F732</f>
        <v>584.77000000000032</v>
      </c>
      <c r="J732" s="203"/>
      <c r="K732" s="90"/>
    </row>
    <row r="733" spans="1:11" ht="18" customHeight="1" x14ac:dyDescent="0.2">
      <c r="A733" s="20">
        <f t="shared" si="83"/>
        <v>2021</v>
      </c>
      <c r="B733" s="6">
        <f t="shared" si="84"/>
        <v>9</v>
      </c>
      <c r="C733" s="207">
        <v>44457</v>
      </c>
      <c r="D733" s="207">
        <v>44457</v>
      </c>
      <c r="E733" s="96" t="s">
        <v>989</v>
      </c>
      <c r="F733" s="8">
        <v>10.67</v>
      </c>
      <c r="G733" s="203" t="s">
        <v>89</v>
      </c>
      <c r="H733" s="7" t="str">
        <f t="shared" si="85"/>
        <v>Variable</v>
      </c>
      <c r="I733" s="8">
        <f t="shared" si="86"/>
        <v>595.44000000000028</v>
      </c>
      <c r="J733" s="203"/>
      <c r="K733" s="90"/>
    </row>
    <row r="734" spans="1:11" ht="18" customHeight="1" x14ac:dyDescent="0.2">
      <c r="A734" s="20">
        <f t="shared" si="83"/>
        <v>2021</v>
      </c>
      <c r="B734" s="6">
        <f t="shared" si="84"/>
        <v>9</v>
      </c>
      <c r="C734" s="207">
        <v>44457</v>
      </c>
      <c r="D734" s="207">
        <v>44457</v>
      </c>
      <c r="E734" s="96" t="s">
        <v>141</v>
      </c>
      <c r="F734" s="8">
        <v>4.99</v>
      </c>
      <c r="G734" s="203" t="s">
        <v>68</v>
      </c>
      <c r="H734" s="7" t="str">
        <f t="shared" si="85"/>
        <v>Variable</v>
      </c>
      <c r="I734" s="8">
        <f t="shared" si="86"/>
        <v>600.43000000000029</v>
      </c>
      <c r="J734" s="203"/>
      <c r="K734" s="90"/>
    </row>
    <row r="735" spans="1:11" ht="18" customHeight="1" x14ac:dyDescent="0.2">
      <c r="A735" s="20">
        <f t="shared" si="83"/>
        <v>2021</v>
      </c>
      <c r="B735" s="6">
        <f t="shared" si="84"/>
        <v>9</v>
      </c>
      <c r="C735" s="207">
        <v>44457</v>
      </c>
      <c r="D735" s="207">
        <v>44457</v>
      </c>
      <c r="E735" s="96" t="s">
        <v>990</v>
      </c>
      <c r="F735" s="8">
        <v>15.95</v>
      </c>
      <c r="G735" s="203" t="s">
        <v>41</v>
      </c>
      <c r="H735" s="7" t="str">
        <f t="shared" si="85"/>
        <v>Variable</v>
      </c>
      <c r="I735" s="8">
        <f t="shared" si="86"/>
        <v>616.38000000000034</v>
      </c>
      <c r="J735" s="203"/>
      <c r="K735" s="90"/>
    </row>
    <row r="736" spans="1:11" ht="18" customHeight="1" x14ac:dyDescent="0.2">
      <c r="A736" s="20">
        <f t="shared" si="83"/>
        <v>2021</v>
      </c>
      <c r="B736" s="6">
        <f t="shared" si="84"/>
        <v>9</v>
      </c>
      <c r="C736" s="207">
        <v>44458</v>
      </c>
      <c r="D736" s="207">
        <v>44458</v>
      </c>
      <c r="E736" s="96" t="s">
        <v>991</v>
      </c>
      <c r="F736" s="8">
        <v>58.37</v>
      </c>
      <c r="G736" s="203" t="s">
        <v>90</v>
      </c>
      <c r="H736" s="7" t="str">
        <f t="shared" si="85"/>
        <v>Variable</v>
      </c>
      <c r="I736" s="8">
        <f t="shared" si="86"/>
        <v>674.75000000000034</v>
      </c>
      <c r="J736" s="203"/>
      <c r="K736" s="90"/>
    </row>
    <row r="737" spans="1:11" ht="18" customHeight="1" x14ac:dyDescent="0.2">
      <c r="A737" s="20">
        <f t="shared" si="83"/>
        <v>2021</v>
      </c>
      <c r="B737" s="6">
        <f t="shared" si="84"/>
        <v>9</v>
      </c>
      <c r="C737" s="207">
        <v>44458</v>
      </c>
      <c r="D737" s="207">
        <v>44458</v>
      </c>
      <c r="E737" s="96" t="s">
        <v>992</v>
      </c>
      <c r="F737" s="8">
        <v>213.94</v>
      </c>
      <c r="G737" s="203" t="s">
        <v>68</v>
      </c>
      <c r="H737" s="7" t="str">
        <f t="shared" si="85"/>
        <v>Variable</v>
      </c>
      <c r="I737" s="8">
        <f t="shared" si="86"/>
        <v>888.69000000000028</v>
      </c>
      <c r="J737" s="203"/>
      <c r="K737" s="90"/>
    </row>
    <row r="738" spans="1:11" ht="18" customHeight="1" x14ac:dyDescent="0.2">
      <c r="A738" s="20">
        <f t="shared" si="83"/>
        <v>2021</v>
      </c>
      <c r="B738" s="6">
        <f t="shared" si="84"/>
        <v>9</v>
      </c>
      <c r="C738" s="207">
        <v>44458</v>
      </c>
      <c r="D738" s="207">
        <v>44458</v>
      </c>
      <c r="E738" s="96" t="s">
        <v>993</v>
      </c>
      <c r="F738" s="8">
        <v>30</v>
      </c>
      <c r="G738" s="203" t="s">
        <v>41</v>
      </c>
      <c r="H738" s="7" t="str">
        <f t="shared" si="85"/>
        <v>Variable</v>
      </c>
      <c r="I738" s="8">
        <f t="shared" si="86"/>
        <v>918.69000000000028</v>
      </c>
      <c r="J738" s="203"/>
      <c r="K738" s="90"/>
    </row>
    <row r="739" spans="1:11" ht="18" customHeight="1" x14ac:dyDescent="0.2">
      <c r="A739" s="20">
        <f t="shared" si="83"/>
        <v>2021</v>
      </c>
      <c r="B739" s="6">
        <f t="shared" si="84"/>
        <v>9</v>
      </c>
      <c r="C739" s="207">
        <v>44459</v>
      </c>
      <c r="D739" s="207">
        <v>44459</v>
      </c>
      <c r="E739" s="96" t="s">
        <v>994</v>
      </c>
      <c r="F739" s="8">
        <v>12.47</v>
      </c>
      <c r="G739" s="203" t="s">
        <v>41</v>
      </c>
      <c r="H739" s="7" t="str">
        <f t="shared" si="85"/>
        <v>Variable</v>
      </c>
      <c r="I739" s="8">
        <f t="shared" si="86"/>
        <v>931.16000000000031</v>
      </c>
      <c r="J739" s="203"/>
      <c r="K739" s="90"/>
    </row>
    <row r="740" spans="1:11" ht="18" customHeight="1" x14ac:dyDescent="0.2">
      <c r="A740" s="20">
        <f t="shared" si="83"/>
        <v>2021</v>
      </c>
      <c r="B740" s="6">
        <f t="shared" si="84"/>
        <v>9</v>
      </c>
      <c r="C740" s="207">
        <v>44459</v>
      </c>
      <c r="D740" s="207">
        <v>44459</v>
      </c>
      <c r="E740" s="96" t="s">
        <v>995</v>
      </c>
      <c r="F740" s="8">
        <v>5.42</v>
      </c>
      <c r="G740" s="203" t="s">
        <v>68</v>
      </c>
      <c r="H740" s="7" t="str">
        <f t="shared" si="85"/>
        <v>Variable</v>
      </c>
      <c r="I740" s="8">
        <f t="shared" si="86"/>
        <v>936.58000000000027</v>
      </c>
      <c r="J740" s="203"/>
      <c r="K740" s="90"/>
    </row>
    <row r="741" spans="1:11" ht="18" customHeight="1" x14ac:dyDescent="0.2">
      <c r="A741" s="20">
        <f t="shared" si="83"/>
        <v>2021</v>
      </c>
      <c r="B741" s="6">
        <f t="shared" si="84"/>
        <v>9</v>
      </c>
      <c r="C741" s="207">
        <v>44459</v>
      </c>
      <c r="D741" s="207">
        <v>44459</v>
      </c>
      <c r="E741" s="96" t="s">
        <v>996</v>
      </c>
      <c r="F741" s="8">
        <v>18.25</v>
      </c>
      <c r="G741" s="203" t="s">
        <v>41</v>
      </c>
      <c r="H741" s="7" t="str">
        <f t="shared" si="85"/>
        <v>Variable</v>
      </c>
      <c r="I741" s="8">
        <f t="shared" si="86"/>
        <v>954.83000000000027</v>
      </c>
      <c r="J741" s="203"/>
      <c r="K741" s="90"/>
    </row>
    <row r="742" spans="1:11" ht="18" customHeight="1" x14ac:dyDescent="0.2">
      <c r="A742" s="20">
        <f t="shared" si="83"/>
        <v>2021</v>
      </c>
      <c r="B742" s="6">
        <f t="shared" si="84"/>
        <v>9</v>
      </c>
      <c r="C742" s="207">
        <v>44459</v>
      </c>
      <c r="D742" s="207">
        <v>44459</v>
      </c>
      <c r="E742" s="96" t="s">
        <v>997</v>
      </c>
      <c r="F742" s="8">
        <v>13.29</v>
      </c>
      <c r="G742" s="203" t="s">
        <v>41</v>
      </c>
      <c r="H742" s="7" t="str">
        <f t="shared" si="85"/>
        <v>Variable</v>
      </c>
      <c r="I742" s="8">
        <f t="shared" si="86"/>
        <v>968.12000000000023</v>
      </c>
      <c r="J742" s="203"/>
      <c r="K742" s="90"/>
    </row>
    <row r="743" spans="1:11" ht="18" customHeight="1" x14ac:dyDescent="0.2">
      <c r="A743" s="20">
        <f t="shared" si="83"/>
        <v>2021</v>
      </c>
      <c r="B743" s="6">
        <f t="shared" si="84"/>
        <v>9</v>
      </c>
      <c r="C743" s="207">
        <v>44460</v>
      </c>
      <c r="D743" s="207">
        <v>44460</v>
      </c>
      <c r="E743" s="96" t="s">
        <v>951</v>
      </c>
      <c r="F743" s="8">
        <v>6.47</v>
      </c>
      <c r="G743" s="203" t="s">
        <v>41</v>
      </c>
      <c r="H743" s="7" t="str">
        <f t="shared" si="85"/>
        <v>Variable</v>
      </c>
      <c r="I743" s="8">
        <f t="shared" si="86"/>
        <v>974.59000000000026</v>
      </c>
      <c r="J743" s="203"/>
      <c r="K743" s="90"/>
    </row>
    <row r="744" spans="1:11" ht="18" customHeight="1" x14ac:dyDescent="0.2">
      <c r="A744" s="20">
        <f t="shared" si="83"/>
        <v>2021</v>
      </c>
      <c r="B744" s="6">
        <f t="shared" si="84"/>
        <v>9</v>
      </c>
      <c r="C744" s="207">
        <v>44461</v>
      </c>
      <c r="D744" s="207">
        <v>44461</v>
      </c>
      <c r="E744" s="96" t="s">
        <v>998</v>
      </c>
      <c r="F744" s="8">
        <v>30.44</v>
      </c>
      <c r="G744" s="203" t="s">
        <v>41</v>
      </c>
      <c r="H744" s="7" t="str">
        <f t="shared" si="85"/>
        <v>Variable</v>
      </c>
      <c r="I744" s="8">
        <f t="shared" si="86"/>
        <v>1005.0300000000003</v>
      </c>
      <c r="J744" s="203"/>
      <c r="K744" s="90"/>
    </row>
    <row r="745" spans="1:11" ht="18" customHeight="1" x14ac:dyDescent="0.2">
      <c r="A745" s="20">
        <f t="shared" si="83"/>
        <v>2021</v>
      </c>
      <c r="B745" s="6">
        <f t="shared" si="84"/>
        <v>9</v>
      </c>
      <c r="C745" s="207">
        <v>44461</v>
      </c>
      <c r="D745" s="207">
        <v>44461</v>
      </c>
      <c r="E745" s="96" t="s">
        <v>999</v>
      </c>
      <c r="F745" s="8">
        <v>67</v>
      </c>
      <c r="G745" s="203" t="s">
        <v>52</v>
      </c>
      <c r="H745" s="7" t="str">
        <f t="shared" si="85"/>
        <v>Variable</v>
      </c>
      <c r="I745" s="8">
        <f t="shared" si="86"/>
        <v>1072.0300000000002</v>
      </c>
      <c r="J745" s="203"/>
      <c r="K745" s="90"/>
    </row>
    <row r="746" spans="1:11" ht="18" customHeight="1" x14ac:dyDescent="0.2">
      <c r="A746" s="20">
        <f t="shared" si="83"/>
        <v>2021</v>
      </c>
      <c r="B746" s="6">
        <f t="shared" si="84"/>
        <v>9</v>
      </c>
      <c r="C746" s="207">
        <v>44461</v>
      </c>
      <c r="D746" s="207">
        <v>44461</v>
      </c>
      <c r="E746" s="96" t="s">
        <v>81</v>
      </c>
      <c r="F746" s="8">
        <v>7.99</v>
      </c>
      <c r="G746" s="215" t="s">
        <v>26</v>
      </c>
      <c r="H746" s="7" t="str">
        <f t="shared" si="85"/>
        <v>Fixed</v>
      </c>
      <c r="I746" s="8">
        <f t="shared" si="86"/>
        <v>1080.0200000000002</v>
      </c>
      <c r="J746" s="215" t="s">
        <v>9</v>
      </c>
      <c r="K746" s="90"/>
    </row>
    <row r="747" spans="1:11" ht="18" customHeight="1" x14ac:dyDescent="0.2">
      <c r="A747" s="20">
        <f t="shared" si="83"/>
        <v>2021</v>
      </c>
      <c r="B747" s="6">
        <f t="shared" si="84"/>
        <v>9</v>
      </c>
      <c r="C747" s="207">
        <v>44461</v>
      </c>
      <c r="D747" s="207">
        <v>44461</v>
      </c>
      <c r="E747" s="96" t="s">
        <v>1000</v>
      </c>
      <c r="F747" s="8">
        <v>126.55</v>
      </c>
      <c r="G747" s="203" t="s">
        <v>52</v>
      </c>
      <c r="H747" s="7" t="str">
        <f t="shared" si="85"/>
        <v>Variable</v>
      </c>
      <c r="I747" s="8">
        <f t="shared" si="86"/>
        <v>1206.5700000000002</v>
      </c>
      <c r="J747" s="203"/>
      <c r="K747" s="90"/>
    </row>
    <row r="748" spans="1:11" ht="18" customHeight="1" x14ac:dyDescent="0.2">
      <c r="A748" s="20">
        <f t="shared" si="83"/>
        <v>2021</v>
      </c>
      <c r="B748" s="6">
        <f t="shared" si="84"/>
        <v>9</v>
      </c>
      <c r="C748" s="207">
        <v>44462</v>
      </c>
      <c r="D748" s="207">
        <v>44462</v>
      </c>
      <c r="E748" s="96" t="s">
        <v>951</v>
      </c>
      <c r="F748" s="8">
        <v>8.09</v>
      </c>
      <c r="G748" s="203" t="s">
        <v>41</v>
      </c>
      <c r="H748" s="7" t="str">
        <f t="shared" si="85"/>
        <v>Variable</v>
      </c>
      <c r="I748" s="8">
        <f t="shared" si="86"/>
        <v>1214.6600000000001</v>
      </c>
      <c r="J748" s="203"/>
      <c r="K748" s="90"/>
    </row>
    <row r="749" spans="1:11" ht="18" customHeight="1" x14ac:dyDescent="0.2">
      <c r="A749" s="20">
        <f t="shared" si="83"/>
        <v>2021</v>
      </c>
      <c r="B749" s="6">
        <f t="shared" si="84"/>
        <v>9</v>
      </c>
      <c r="C749" s="207">
        <v>44462</v>
      </c>
      <c r="D749" s="207">
        <v>44462</v>
      </c>
      <c r="E749" s="96" t="s">
        <v>1001</v>
      </c>
      <c r="F749" s="8">
        <v>47.89</v>
      </c>
      <c r="G749" s="203" t="s">
        <v>41</v>
      </c>
      <c r="H749" s="7" t="str">
        <f t="shared" si="85"/>
        <v>Variable</v>
      </c>
      <c r="I749" s="8">
        <f t="shared" si="86"/>
        <v>1262.5500000000002</v>
      </c>
      <c r="J749" s="203"/>
      <c r="K749" s="90"/>
    </row>
    <row r="750" spans="1:11" ht="18" customHeight="1" x14ac:dyDescent="0.2">
      <c r="A750" s="20">
        <f t="shared" si="83"/>
        <v>2021</v>
      </c>
      <c r="B750" s="6">
        <f t="shared" si="84"/>
        <v>9</v>
      </c>
      <c r="C750" s="207">
        <v>44462</v>
      </c>
      <c r="D750" s="207">
        <v>44462</v>
      </c>
      <c r="E750" s="96" t="s">
        <v>1002</v>
      </c>
      <c r="F750" s="8">
        <v>32.979999999999997</v>
      </c>
      <c r="G750" s="203" t="s">
        <v>24</v>
      </c>
      <c r="H750" s="7" t="str">
        <f t="shared" si="85"/>
        <v>Variable</v>
      </c>
      <c r="I750" s="8">
        <f t="shared" si="86"/>
        <v>1295.5300000000002</v>
      </c>
      <c r="J750" s="203"/>
      <c r="K750" s="90"/>
    </row>
    <row r="751" spans="1:11" ht="18" customHeight="1" x14ac:dyDescent="0.2">
      <c r="A751" s="20">
        <f t="shared" si="83"/>
        <v>2021</v>
      </c>
      <c r="B751" s="6">
        <f t="shared" si="84"/>
        <v>9</v>
      </c>
      <c r="C751" s="207">
        <v>44462</v>
      </c>
      <c r="D751" s="207">
        <v>44462</v>
      </c>
      <c r="E751" s="96" t="s">
        <v>1000</v>
      </c>
      <c r="F751" s="8">
        <v>85.79</v>
      </c>
      <c r="G751" s="203" t="s">
        <v>89</v>
      </c>
      <c r="H751" s="7" t="str">
        <f t="shared" si="85"/>
        <v>Variable</v>
      </c>
      <c r="I751" s="8">
        <f t="shared" si="86"/>
        <v>1381.3200000000002</v>
      </c>
      <c r="J751" s="203"/>
      <c r="K751" s="90"/>
    </row>
    <row r="752" spans="1:11" ht="18" customHeight="1" x14ac:dyDescent="0.2">
      <c r="A752" s="20">
        <f t="shared" si="83"/>
        <v>2021</v>
      </c>
      <c r="B752" s="6">
        <f t="shared" si="84"/>
        <v>9</v>
      </c>
      <c r="C752" s="207">
        <v>44462</v>
      </c>
      <c r="D752" s="207">
        <v>44462</v>
      </c>
      <c r="E752" s="96" t="s">
        <v>1003</v>
      </c>
      <c r="F752" s="8">
        <v>37.979999999999997</v>
      </c>
      <c r="G752" s="203" t="s">
        <v>68</v>
      </c>
      <c r="H752" s="7" t="str">
        <f t="shared" si="85"/>
        <v>Variable</v>
      </c>
      <c r="I752" s="8">
        <f t="shared" si="86"/>
        <v>1419.3000000000002</v>
      </c>
      <c r="J752" s="203"/>
      <c r="K752" s="90"/>
    </row>
    <row r="753" spans="1:11" ht="18" customHeight="1" x14ac:dyDescent="0.2">
      <c r="A753" s="20">
        <f t="shared" si="83"/>
        <v>2021</v>
      </c>
      <c r="B753" s="6">
        <f t="shared" si="84"/>
        <v>9</v>
      </c>
      <c r="C753" s="207">
        <v>44463</v>
      </c>
      <c r="D753" s="207">
        <v>44463</v>
      </c>
      <c r="E753" s="96" t="s">
        <v>1004</v>
      </c>
      <c r="F753" s="8">
        <v>6.08</v>
      </c>
      <c r="G753" s="203" t="s">
        <v>24</v>
      </c>
      <c r="H753" s="7" t="str">
        <f t="shared" si="85"/>
        <v>Variable</v>
      </c>
      <c r="I753" s="8">
        <f t="shared" si="86"/>
        <v>1425.38</v>
      </c>
      <c r="J753" s="203"/>
      <c r="K753" s="90"/>
    </row>
    <row r="754" spans="1:11" ht="18" customHeight="1" x14ac:dyDescent="0.2">
      <c r="A754" s="20">
        <f t="shared" si="83"/>
        <v>2021</v>
      </c>
      <c r="B754" s="6">
        <f t="shared" si="84"/>
        <v>9</v>
      </c>
      <c r="C754" s="207">
        <v>44463</v>
      </c>
      <c r="D754" s="207">
        <v>44463</v>
      </c>
      <c r="E754" s="96" t="s">
        <v>1005</v>
      </c>
      <c r="F754" s="8">
        <v>20.57</v>
      </c>
      <c r="G754" s="203" t="s">
        <v>41</v>
      </c>
      <c r="H754" s="7" t="str">
        <f t="shared" si="85"/>
        <v>Variable</v>
      </c>
      <c r="I754" s="8">
        <f t="shared" si="86"/>
        <v>1445.95</v>
      </c>
      <c r="J754" s="203"/>
      <c r="K754" s="90"/>
    </row>
    <row r="755" spans="1:11" ht="18" customHeight="1" x14ac:dyDescent="0.2">
      <c r="A755" s="20">
        <f t="shared" si="83"/>
        <v>2021</v>
      </c>
      <c r="B755" s="6">
        <f t="shared" si="84"/>
        <v>9</v>
      </c>
      <c r="C755" s="207">
        <v>44463</v>
      </c>
      <c r="D755" s="207">
        <v>44463</v>
      </c>
      <c r="E755" s="96" t="s">
        <v>1006</v>
      </c>
      <c r="F755" s="8">
        <v>71.75</v>
      </c>
      <c r="G755" s="203" t="s">
        <v>90</v>
      </c>
      <c r="H755" s="7" t="str">
        <f t="shared" si="85"/>
        <v>Variable</v>
      </c>
      <c r="I755" s="8">
        <f t="shared" si="86"/>
        <v>1517.7</v>
      </c>
      <c r="J755" s="203"/>
      <c r="K755" s="90"/>
    </row>
    <row r="756" spans="1:11" ht="18" customHeight="1" x14ac:dyDescent="0.2">
      <c r="A756" s="20">
        <f t="shared" si="83"/>
        <v>2021</v>
      </c>
      <c r="B756" s="6">
        <f t="shared" si="84"/>
        <v>9</v>
      </c>
      <c r="C756" s="207">
        <v>44464</v>
      </c>
      <c r="D756" s="207">
        <v>44464</v>
      </c>
      <c r="E756" s="96" t="s">
        <v>1007</v>
      </c>
      <c r="F756" s="8">
        <v>13.74</v>
      </c>
      <c r="G756" s="203" t="s">
        <v>68</v>
      </c>
      <c r="H756" s="7" t="str">
        <f t="shared" si="85"/>
        <v>Variable</v>
      </c>
      <c r="I756" s="8">
        <f t="shared" si="86"/>
        <v>1531.44</v>
      </c>
      <c r="J756" s="203"/>
      <c r="K756" s="90"/>
    </row>
    <row r="757" spans="1:11" ht="18" customHeight="1" x14ac:dyDescent="0.2">
      <c r="A757" s="20">
        <f t="shared" si="83"/>
        <v>2021</v>
      </c>
      <c r="B757" s="6">
        <f t="shared" si="84"/>
        <v>9</v>
      </c>
      <c r="C757" s="207">
        <v>44464</v>
      </c>
      <c r="D757" s="207">
        <v>44464</v>
      </c>
      <c r="E757" s="96" t="s">
        <v>1008</v>
      </c>
      <c r="F757" s="8">
        <v>320</v>
      </c>
      <c r="G757" s="221" t="s">
        <v>26</v>
      </c>
      <c r="H757" s="7" t="str">
        <f t="shared" si="85"/>
        <v>Fixed</v>
      </c>
      <c r="I757" s="8">
        <f t="shared" si="86"/>
        <v>1851.44</v>
      </c>
      <c r="J757" s="221" t="s">
        <v>1147</v>
      </c>
      <c r="K757" s="90"/>
    </row>
    <row r="758" spans="1:11" ht="18" customHeight="1" x14ac:dyDescent="0.2">
      <c r="A758" s="20">
        <f t="shared" si="83"/>
        <v>2021</v>
      </c>
      <c r="B758" s="6">
        <f t="shared" si="84"/>
        <v>9</v>
      </c>
      <c r="C758" s="207">
        <v>44464</v>
      </c>
      <c r="D758" s="207">
        <v>44464</v>
      </c>
      <c r="E758" s="96" t="s">
        <v>21</v>
      </c>
      <c r="F758" s="8">
        <v>-1500</v>
      </c>
      <c r="G758" s="203" t="s">
        <v>22</v>
      </c>
      <c r="H758" s="7" t="str">
        <f t="shared" si="85"/>
        <v>Payment</v>
      </c>
      <c r="I758" s="8">
        <f t="shared" si="86"/>
        <v>351.44000000000005</v>
      </c>
      <c r="J758" s="203"/>
      <c r="K758" s="90"/>
    </row>
    <row r="759" spans="1:11" ht="18" customHeight="1" x14ac:dyDescent="0.2">
      <c r="A759" s="20">
        <f t="shared" si="83"/>
        <v>2021</v>
      </c>
      <c r="B759" s="6">
        <f t="shared" si="84"/>
        <v>9</v>
      </c>
      <c r="C759" s="207">
        <v>44464</v>
      </c>
      <c r="D759" s="207">
        <v>44464</v>
      </c>
      <c r="E759" s="96" t="s">
        <v>1005</v>
      </c>
      <c r="F759" s="8">
        <v>26.97</v>
      </c>
      <c r="G759" s="203" t="s">
        <v>41</v>
      </c>
      <c r="H759" s="7" t="str">
        <f t="shared" si="85"/>
        <v>Variable</v>
      </c>
      <c r="I759" s="8">
        <f t="shared" si="86"/>
        <v>378.41000000000008</v>
      </c>
      <c r="J759" s="203"/>
      <c r="K759" s="90"/>
    </row>
    <row r="760" spans="1:11" ht="18" customHeight="1" x14ac:dyDescent="0.2">
      <c r="A760" s="20">
        <f t="shared" si="83"/>
        <v>2021</v>
      </c>
      <c r="B760" s="6">
        <f t="shared" si="84"/>
        <v>9</v>
      </c>
      <c r="C760" s="207">
        <v>44465</v>
      </c>
      <c r="D760" s="207">
        <v>44465</v>
      </c>
      <c r="E760" s="96" t="s">
        <v>1009</v>
      </c>
      <c r="F760" s="8">
        <v>4.34</v>
      </c>
      <c r="G760" s="203" t="s">
        <v>41</v>
      </c>
      <c r="H760" s="7" t="str">
        <f t="shared" si="85"/>
        <v>Variable</v>
      </c>
      <c r="I760" s="8">
        <f t="shared" si="86"/>
        <v>382.75000000000006</v>
      </c>
      <c r="J760" s="203"/>
      <c r="K760" s="90"/>
    </row>
    <row r="761" spans="1:11" ht="18" customHeight="1" x14ac:dyDescent="0.2">
      <c r="A761" s="20">
        <f t="shared" si="83"/>
        <v>2021</v>
      </c>
      <c r="B761" s="6">
        <f t="shared" si="84"/>
        <v>9</v>
      </c>
      <c r="C761" s="207">
        <v>44465</v>
      </c>
      <c r="D761" s="207">
        <v>44465</v>
      </c>
      <c r="E761" s="96" t="s">
        <v>1010</v>
      </c>
      <c r="F761" s="8">
        <v>75</v>
      </c>
      <c r="G761" s="203" t="s">
        <v>41</v>
      </c>
      <c r="H761" s="7" t="str">
        <f t="shared" si="85"/>
        <v>Variable</v>
      </c>
      <c r="I761" s="8">
        <f t="shared" si="86"/>
        <v>457.75000000000006</v>
      </c>
      <c r="J761" s="203"/>
      <c r="K761" s="90"/>
    </row>
    <row r="762" spans="1:11" ht="18" customHeight="1" x14ac:dyDescent="0.2">
      <c r="A762" s="20">
        <f t="shared" si="83"/>
        <v>2021</v>
      </c>
      <c r="B762" s="6">
        <f t="shared" si="84"/>
        <v>9</v>
      </c>
      <c r="C762" s="207">
        <v>44465</v>
      </c>
      <c r="D762" s="207">
        <v>44465</v>
      </c>
      <c r="E762" s="96" t="s">
        <v>1003</v>
      </c>
      <c r="F762" s="8">
        <v>33.82</v>
      </c>
      <c r="G762" s="203" t="s">
        <v>68</v>
      </c>
      <c r="H762" s="7" t="str">
        <f t="shared" si="85"/>
        <v>Variable</v>
      </c>
      <c r="I762" s="8">
        <f t="shared" si="86"/>
        <v>491.57000000000005</v>
      </c>
      <c r="J762" s="203"/>
      <c r="K762" s="90"/>
    </row>
    <row r="763" spans="1:11" ht="18" customHeight="1" x14ac:dyDescent="0.2">
      <c r="A763" s="20">
        <f t="shared" si="83"/>
        <v>2021</v>
      </c>
      <c r="B763" s="6">
        <f t="shared" si="84"/>
        <v>9</v>
      </c>
      <c r="C763" s="207">
        <v>44466</v>
      </c>
      <c r="D763" s="207">
        <v>44466</v>
      </c>
      <c r="E763" s="96" t="s">
        <v>112</v>
      </c>
      <c r="F763" s="8">
        <v>9.99</v>
      </c>
      <c r="G763" s="215" t="s">
        <v>26</v>
      </c>
      <c r="H763" s="7" t="str">
        <f t="shared" si="85"/>
        <v>Fixed</v>
      </c>
      <c r="I763" s="8">
        <f t="shared" si="86"/>
        <v>501.56000000000006</v>
      </c>
      <c r="J763" s="215" t="s">
        <v>295</v>
      </c>
      <c r="K763" s="90"/>
    </row>
    <row r="764" spans="1:11" ht="18" customHeight="1" x14ac:dyDescent="0.2">
      <c r="A764" s="20">
        <f t="shared" si="83"/>
        <v>2021</v>
      </c>
      <c r="B764" s="6">
        <f t="shared" si="84"/>
        <v>9</v>
      </c>
      <c r="C764" s="207">
        <v>44466</v>
      </c>
      <c r="D764" s="207">
        <v>44466</v>
      </c>
      <c r="E764" s="96" t="s">
        <v>1011</v>
      </c>
      <c r="F764" s="8">
        <v>24.72</v>
      </c>
      <c r="G764" s="203" t="s">
        <v>90</v>
      </c>
      <c r="H764" s="7" t="str">
        <f t="shared" si="85"/>
        <v>Variable</v>
      </c>
      <c r="I764" s="8">
        <f t="shared" si="86"/>
        <v>526.28000000000009</v>
      </c>
      <c r="J764" s="203"/>
      <c r="K764" s="90"/>
    </row>
    <row r="765" spans="1:11" ht="18" customHeight="1" x14ac:dyDescent="0.2">
      <c r="A765" s="20">
        <f t="shared" si="83"/>
        <v>2021</v>
      </c>
      <c r="B765" s="6">
        <f t="shared" si="84"/>
        <v>9</v>
      </c>
      <c r="C765" s="207">
        <v>44466</v>
      </c>
      <c r="D765" s="207">
        <v>44466</v>
      </c>
      <c r="E765" s="96" t="s">
        <v>1012</v>
      </c>
      <c r="F765" s="8">
        <v>39.5</v>
      </c>
      <c r="G765" s="203" t="s">
        <v>41</v>
      </c>
      <c r="H765" s="7" t="str">
        <f t="shared" si="85"/>
        <v>Variable</v>
      </c>
      <c r="I765" s="8">
        <f t="shared" si="86"/>
        <v>565.78000000000009</v>
      </c>
      <c r="J765" s="203"/>
      <c r="K765" s="90"/>
    </row>
    <row r="766" spans="1:11" ht="18" customHeight="1" x14ac:dyDescent="0.2">
      <c r="A766" s="20">
        <f t="shared" si="83"/>
        <v>2021</v>
      </c>
      <c r="B766" s="6">
        <f t="shared" si="84"/>
        <v>9</v>
      </c>
      <c r="C766" s="207">
        <v>44467</v>
      </c>
      <c r="D766" s="207">
        <v>44467</v>
      </c>
      <c r="E766" s="96" t="s">
        <v>337</v>
      </c>
      <c r="F766" s="8">
        <v>1.1000000000000001</v>
      </c>
      <c r="G766" s="203" t="s">
        <v>119</v>
      </c>
      <c r="H766" s="7" t="str">
        <f t="shared" si="85"/>
        <v>Variable</v>
      </c>
      <c r="I766" s="8">
        <f t="shared" si="86"/>
        <v>566.88000000000011</v>
      </c>
      <c r="J766" s="203"/>
      <c r="K766" s="90"/>
    </row>
    <row r="767" spans="1:11" ht="18" customHeight="1" x14ac:dyDescent="0.2">
      <c r="A767" s="20">
        <f t="shared" si="83"/>
        <v>2021</v>
      </c>
      <c r="B767" s="6">
        <f t="shared" si="84"/>
        <v>9</v>
      </c>
      <c r="C767" s="207">
        <v>44467</v>
      </c>
      <c r="D767" s="207">
        <v>44467</v>
      </c>
      <c r="E767" s="96" t="s">
        <v>337</v>
      </c>
      <c r="F767" s="8">
        <v>1.1000000000000001</v>
      </c>
      <c r="G767" s="203" t="s">
        <v>119</v>
      </c>
      <c r="H767" s="7" t="str">
        <f t="shared" si="85"/>
        <v>Variable</v>
      </c>
      <c r="I767" s="8">
        <f t="shared" si="86"/>
        <v>567.98000000000013</v>
      </c>
      <c r="J767" s="203"/>
      <c r="K767" s="90"/>
    </row>
    <row r="768" spans="1:11" ht="18" customHeight="1" x14ac:dyDescent="0.2">
      <c r="A768" s="20">
        <f t="shared" si="83"/>
        <v>2021</v>
      </c>
      <c r="B768" s="6">
        <f t="shared" si="84"/>
        <v>9</v>
      </c>
      <c r="C768" s="207">
        <v>44467</v>
      </c>
      <c r="D768" s="207">
        <v>44467</v>
      </c>
      <c r="E768" s="96" t="s">
        <v>337</v>
      </c>
      <c r="F768" s="8">
        <v>1.1000000000000001</v>
      </c>
      <c r="G768" s="203" t="s">
        <v>119</v>
      </c>
      <c r="H768" s="7" t="str">
        <f t="shared" si="85"/>
        <v>Variable</v>
      </c>
      <c r="I768" s="8">
        <f t="shared" si="86"/>
        <v>569.08000000000015</v>
      </c>
      <c r="J768" s="203"/>
      <c r="K768" s="90"/>
    </row>
    <row r="769" spans="1:11" ht="18" customHeight="1" x14ac:dyDescent="0.2">
      <c r="A769" s="20">
        <f t="shared" si="83"/>
        <v>2021</v>
      </c>
      <c r="B769" s="6">
        <f t="shared" si="84"/>
        <v>9</v>
      </c>
      <c r="C769" s="207">
        <v>44467</v>
      </c>
      <c r="D769" s="207">
        <v>44467</v>
      </c>
      <c r="E769" s="96" t="s">
        <v>337</v>
      </c>
      <c r="F769" s="8">
        <v>1.1000000000000001</v>
      </c>
      <c r="G769" s="203" t="s">
        <v>119</v>
      </c>
      <c r="H769" s="7" t="str">
        <f t="shared" si="85"/>
        <v>Variable</v>
      </c>
      <c r="I769" s="8">
        <f t="shared" si="86"/>
        <v>570.18000000000018</v>
      </c>
      <c r="J769" s="203"/>
      <c r="K769" s="90"/>
    </row>
    <row r="770" spans="1:11" ht="18" customHeight="1" x14ac:dyDescent="0.2">
      <c r="A770" s="20">
        <f t="shared" si="83"/>
        <v>2021</v>
      </c>
      <c r="B770" s="6">
        <f t="shared" si="84"/>
        <v>9</v>
      </c>
      <c r="C770" s="207">
        <v>44468</v>
      </c>
      <c r="D770" s="207">
        <v>44468</v>
      </c>
      <c r="E770" s="96" t="s">
        <v>1013</v>
      </c>
      <c r="F770" s="8">
        <v>10.59</v>
      </c>
      <c r="G770" s="215" t="s">
        <v>26</v>
      </c>
      <c r="H770" s="7" t="str">
        <f t="shared" si="85"/>
        <v>Fixed</v>
      </c>
      <c r="I770" s="8">
        <f t="shared" si="86"/>
        <v>580.77000000000021</v>
      </c>
      <c r="J770" s="215" t="s">
        <v>927</v>
      </c>
      <c r="K770" s="90"/>
    </row>
    <row r="771" spans="1:11" ht="18" customHeight="1" x14ac:dyDescent="0.2">
      <c r="A771" s="20">
        <f t="shared" si="83"/>
        <v>2021</v>
      </c>
      <c r="B771" s="6">
        <f t="shared" si="84"/>
        <v>9</v>
      </c>
      <c r="C771" s="207">
        <v>44468</v>
      </c>
      <c r="D771" s="207">
        <v>44468</v>
      </c>
      <c r="E771" s="96" t="s">
        <v>1014</v>
      </c>
      <c r="F771" s="8">
        <v>25</v>
      </c>
      <c r="G771" s="203" t="s">
        <v>119</v>
      </c>
      <c r="H771" s="7" t="str">
        <f t="shared" si="85"/>
        <v>Variable</v>
      </c>
      <c r="I771" s="8">
        <f t="shared" si="86"/>
        <v>605.77000000000021</v>
      </c>
      <c r="J771" s="215" t="s">
        <v>1021</v>
      </c>
      <c r="K771" s="90"/>
    </row>
    <row r="772" spans="1:11" ht="18" customHeight="1" x14ac:dyDescent="0.2">
      <c r="A772" s="20">
        <f t="shared" si="83"/>
        <v>2021</v>
      </c>
      <c r="B772" s="6">
        <f t="shared" si="84"/>
        <v>9</v>
      </c>
      <c r="C772" s="207">
        <v>44468</v>
      </c>
      <c r="D772" s="207">
        <v>44468</v>
      </c>
      <c r="E772" s="96" t="s">
        <v>1015</v>
      </c>
      <c r="F772" s="8">
        <v>17</v>
      </c>
      <c r="G772" s="203" t="s">
        <v>130</v>
      </c>
      <c r="H772" s="7" t="str">
        <f t="shared" si="85"/>
        <v>Fixed</v>
      </c>
      <c r="I772" s="8">
        <f t="shared" si="86"/>
        <v>622.77000000000021</v>
      </c>
      <c r="J772" s="203"/>
      <c r="K772" s="90"/>
    </row>
    <row r="773" spans="1:11" ht="18" customHeight="1" x14ac:dyDescent="0.2">
      <c r="A773" s="20">
        <f t="shared" si="83"/>
        <v>2021</v>
      </c>
      <c r="B773" s="6">
        <f t="shared" si="84"/>
        <v>9</v>
      </c>
      <c r="C773" s="207">
        <v>44468</v>
      </c>
      <c r="D773" s="207">
        <v>44468</v>
      </c>
      <c r="E773" s="96" t="s">
        <v>1016</v>
      </c>
      <c r="F773" s="8">
        <v>33.01</v>
      </c>
      <c r="G773" s="203" t="s">
        <v>24</v>
      </c>
      <c r="H773" s="7" t="str">
        <f t="shared" si="85"/>
        <v>Variable</v>
      </c>
      <c r="I773" s="8">
        <f t="shared" si="86"/>
        <v>655.7800000000002</v>
      </c>
      <c r="J773" s="203"/>
      <c r="K773" s="90"/>
    </row>
    <row r="774" spans="1:11" ht="18" customHeight="1" x14ac:dyDescent="0.2">
      <c r="A774" s="20">
        <f t="shared" si="83"/>
        <v>2021</v>
      </c>
      <c r="B774" s="6">
        <f t="shared" si="84"/>
        <v>9</v>
      </c>
      <c r="C774" s="207">
        <v>44468</v>
      </c>
      <c r="D774" s="207">
        <v>44468</v>
      </c>
      <c r="E774" s="96" t="s">
        <v>1005</v>
      </c>
      <c r="F774" s="8">
        <v>21.44</v>
      </c>
      <c r="G774" s="203" t="s">
        <v>41</v>
      </c>
      <c r="H774" s="7" t="str">
        <f t="shared" si="85"/>
        <v>Variable</v>
      </c>
      <c r="I774" s="8">
        <f t="shared" si="86"/>
        <v>677.22000000000025</v>
      </c>
      <c r="J774" s="203"/>
      <c r="K774" s="90"/>
    </row>
    <row r="775" spans="1:11" ht="18" customHeight="1" x14ac:dyDescent="0.2">
      <c r="A775" s="20">
        <f t="shared" si="83"/>
        <v>2021</v>
      </c>
      <c r="B775" s="6">
        <f t="shared" si="84"/>
        <v>9</v>
      </c>
      <c r="C775" s="207">
        <v>44468</v>
      </c>
      <c r="D775" s="207">
        <v>44468</v>
      </c>
      <c r="E775" s="96" t="s">
        <v>1011</v>
      </c>
      <c r="F775" s="8">
        <v>18.48</v>
      </c>
      <c r="G775" s="203" t="s">
        <v>90</v>
      </c>
      <c r="H775" s="7" t="str">
        <f t="shared" si="85"/>
        <v>Variable</v>
      </c>
      <c r="I775" s="8">
        <f t="shared" si="86"/>
        <v>695.70000000000027</v>
      </c>
      <c r="J775" s="203"/>
      <c r="K775" s="90"/>
    </row>
    <row r="776" spans="1:11" ht="18" customHeight="1" x14ac:dyDescent="0.2">
      <c r="A776" s="20">
        <f t="shared" si="83"/>
        <v>2021</v>
      </c>
      <c r="B776" s="6">
        <f t="shared" si="84"/>
        <v>9</v>
      </c>
      <c r="C776" s="207">
        <v>44468</v>
      </c>
      <c r="D776" s="207">
        <v>44468</v>
      </c>
      <c r="E776" s="96" t="s">
        <v>1003</v>
      </c>
      <c r="F776" s="8">
        <v>20.71</v>
      </c>
      <c r="G776" s="203" t="s">
        <v>68</v>
      </c>
      <c r="H776" s="7" t="str">
        <f t="shared" si="85"/>
        <v>Variable</v>
      </c>
      <c r="I776" s="8">
        <f t="shared" si="86"/>
        <v>716.41000000000031</v>
      </c>
      <c r="J776" s="203"/>
      <c r="K776" s="90"/>
    </row>
    <row r="777" spans="1:11" ht="18" customHeight="1" x14ac:dyDescent="0.2">
      <c r="A777" s="20">
        <f t="shared" si="83"/>
        <v>2021</v>
      </c>
      <c r="B777" s="6">
        <f t="shared" si="84"/>
        <v>9</v>
      </c>
      <c r="C777" s="207">
        <v>44469</v>
      </c>
      <c r="D777" s="207">
        <v>44469</v>
      </c>
      <c r="E777" s="96" t="s">
        <v>1017</v>
      </c>
      <c r="F777" s="8">
        <v>111.51</v>
      </c>
      <c r="G777" s="203" t="s">
        <v>119</v>
      </c>
      <c r="H777" s="7" t="str">
        <f t="shared" si="85"/>
        <v>Variable</v>
      </c>
      <c r="I777" s="8">
        <f t="shared" si="86"/>
        <v>827.9200000000003</v>
      </c>
      <c r="J777" s="215" t="s">
        <v>138</v>
      </c>
      <c r="K777" s="90"/>
    </row>
    <row r="778" spans="1:11" ht="18" customHeight="1" x14ac:dyDescent="0.2">
      <c r="A778" s="20">
        <f t="shared" ref="A778:A841" si="87">YEAR(C778)</f>
        <v>2021</v>
      </c>
      <c r="B778" s="6">
        <f t="shared" ref="B778:B841" si="88">MONTH(C778)</f>
        <v>9</v>
      </c>
      <c r="C778" s="207">
        <v>44469</v>
      </c>
      <c r="D778" s="207">
        <v>44472</v>
      </c>
      <c r="E778" s="96" t="s">
        <v>340</v>
      </c>
      <c r="F778" s="8">
        <v>4.99</v>
      </c>
      <c r="G778" s="221" t="s">
        <v>26</v>
      </c>
      <c r="H778" s="7" t="str">
        <f t="shared" ref="H778:H841" si="89">VLOOKUP(G778,Expense_Lookup,2,0)</f>
        <v>Fixed</v>
      </c>
      <c r="I778" s="8">
        <f t="shared" ref="I778:I841" si="90">I777+F778</f>
        <v>832.91000000000031</v>
      </c>
      <c r="J778" s="221" t="s">
        <v>724</v>
      </c>
      <c r="K778" s="90"/>
    </row>
    <row r="779" spans="1:11" ht="18" customHeight="1" x14ac:dyDescent="0.2">
      <c r="A779" s="20">
        <f t="shared" si="87"/>
        <v>2021</v>
      </c>
      <c r="B779" s="6">
        <f t="shared" si="88"/>
        <v>9</v>
      </c>
      <c r="C779" s="207">
        <v>44469</v>
      </c>
      <c r="D779" s="207">
        <v>44472</v>
      </c>
      <c r="E779" s="96" t="s">
        <v>1005</v>
      </c>
      <c r="F779" s="8">
        <v>24.96</v>
      </c>
      <c r="G779" s="203" t="s">
        <v>41</v>
      </c>
      <c r="H779" s="7" t="str">
        <f t="shared" si="89"/>
        <v>Variable</v>
      </c>
      <c r="I779" s="8">
        <f t="shared" si="90"/>
        <v>857.87000000000035</v>
      </c>
      <c r="J779" s="215"/>
      <c r="K779" s="90"/>
    </row>
    <row r="780" spans="1:11" ht="18" customHeight="1" x14ac:dyDescent="0.2">
      <c r="A780" s="20">
        <f t="shared" si="87"/>
        <v>2021</v>
      </c>
      <c r="B780" s="6">
        <f t="shared" si="88"/>
        <v>9</v>
      </c>
      <c r="C780" s="207">
        <v>44469</v>
      </c>
      <c r="D780" s="207">
        <v>44472</v>
      </c>
      <c r="E780" s="96" t="s">
        <v>1062</v>
      </c>
      <c r="F780" s="8">
        <v>4.8499999999999996</v>
      </c>
      <c r="G780" s="203" t="s">
        <v>90</v>
      </c>
      <c r="H780" s="7" t="str">
        <f t="shared" si="89"/>
        <v>Variable</v>
      </c>
      <c r="I780" s="8">
        <f t="shared" si="90"/>
        <v>862.72000000000037</v>
      </c>
      <c r="J780" s="215"/>
      <c r="K780" s="90"/>
    </row>
    <row r="781" spans="1:11" ht="18" customHeight="1" x14ac:dyDescent="0.2">
      <c r="A781" s="20">
        <f t="shared" si="87"/>
        <v>2021</v>
      </c>
      <c r="B781" s="6">
        <f t="shared" si="88"/>
        <v>10</v>
      </c>
      <c r="C781" s="206">
        <v>44470</v>
      </c>
      <c r="D781" s="206">
        <v>44472</v>
      </c>
      <c r="E781" s="96" t="s">
        <v>1063</v>
      </c>
      <c r="F781" s="8">
        <v>23.2</v>
      </c>
      <c r="G781" s="203" t="s">
        <v>41</v>
      </c>
      <c r="H781" s="7" t="str">
        <f t="shared" si="89"/>
        <v>Variable</v>
      </c>
      <c r="I781" s="8">
        <f t="shared" si="90"/>
        <v>885.92000000000041</v>
      </c>
      <c r="J781" s="215"/>
      <c r="K781" s="90"/>
    </row>
    <row r="782" spans="1:11" ht="18" customHeight="1" x14ac:dyDescent="0.2">
      <c r="A782" s="20">
        <f t="shared" si="87"/>
        <v>2021</v>
      </c>
      <c r="B782" s="6">
        <f t="shared" si="88"/>
        <v>10</v>
      </c>
      <c r="C782" s="206">
        <v>44470</v>
      </c>
      <c r="D782" s="206">
        <v>44472</v>
      </c>
      <c r="E782" s="96" t="s">
        <v>1064</v>
      </c>
      <c r="F782" s="8">
        <v>14.83</v>
      </c>
      <c r="G782" s="221" t="s">
        <v>26</v>
      </c>
      <c r="H782" s="7" t="str">
        <f t="shared" si="89"/>
        <v>Fixed</v>
      </c>
      <c r="I782" s="8">
        <f t="shared" si="90"/>
        <v>900.75000000000045</v>
      </c>
      <c r="J782" s="221" t="s">
        <v>7</v>
      </c>
      <c r="K782" s="90"/>
    </row>
    <row r="783" spans="1:11" ht="18" customHeight="1" x14ac:dyDescent="0.2">
      <c r="A783" s="20">
        <f t="shared" si="87"/>
        <v>2021</v>
      </c>
      <c r="B783" s="6">
        <f t="shared" si="88"/>
        <v>10</v>
      </c>
      <c r="C783" s="206">
        <v>44470</v>
      </c>
      <c r="D783" s="206">
        <v>44472</v>
      </c>
      <c r="E783" s="96" t="s">
        <v>1065</v>
      </c>
      <c r="F783" s="8">
        <v>100</v>
      </c>
      <c r="G783" s="203" t="s">
        <v>52</v>
      </c>
      <c r="H783" s="7" t="str">
        <f t="shared" si="89"/>
        <v>Variable</v>
      </c>
      <c r="I783" s="8">
        <f t="shared" si="90"/>
        <v>1000.7500000000005</v>
      </c>
      <c r="J783" s="215"/>
      <c r="K783" s="90"/>
    </row>
    <row r="784" spans="1:11" ht="18" customHeight="1" x14ac:dyDescent="0.2">
      <c r="A784" s="20">
        <f t="shared" si="87"/>
        <v>2021</v>
      </c>
      <c r="B784" s="6">
        <f t="shared" si="88"/>
        <v>10</v>
      </c>
      <c r="C784" s="206">
        <v>44470</v>
      </c>
      <c r="D784" s="206">
        <v>44472</v>
      </c>
      <c r="E784" s="96" t="s">
        <v>1066</v>
      </c>
      <c r="F784" s="8">
        <v>9.99</v>
      </c>
      <c r="G784" s="221" t="s">
        <v>26</v>
      </c>
      <c r="H784" s="7" t="str">
        <f t="shared" si="89"/>
        <v>Fixed</v>
      </c>
      <c r="I784" s="8">
        <f t="shared" si="90"/>
        <v>1010.7400000000005</v>
      </c>
      <c r="J784" s="221" t="s">
        <v>6</v>
      </c>
      <c r="K784" s="90"/>
    </row>
    <row r="785" spans="1:11" ht="18" customHeight="1" x14ac:dyDescent="0.2">
      <c r="A785" s="20">
        <f t="shared" si="87"/>
        <v>2021</v>
      </c>
      <c r="B785" s="6">
        <f t="shared" si="88"/>
        <v>10</v>
      </c>
      <c r="C785" s="206">
        <v>44471</v>
      </c>
      <c r="D785" s="206">
        <v>44472</v>
      </c>
      <c r="E785" s="96" t="s">
        <v>577</v>
      </c>
      <c r="F785" s="8">
        <v>10</v>
      </c>
      <c r="G785" s="221" t="s">
        <v>26</v>
      </c>
      <c r="H785" s="7" t="str">
        <f t="shared" si="89"/>
        <v>Fixed</v>
      </c>
      <c r="I785" s="8">
        <f t="shared" si="90"/>
        <v>1020.7400000000005</v>
      </c>
      <c r="J785" s="221" t="s">
        <v>299</v>
      </c>
      <c r="K785" s="90"/>
    </row>
    <row r="786" spans="1:11" ht="18" customHeight="1" x14ac:dyDescent="0.2">
      <c r="A786" s="20">
        <f t="shared" si="87"/>
        <v>2021</v>
      </c>
      <c r="B786" s="6">
        <f t="shared" si="88"/>
        <v>10</v>
      </c>
      <c r="C786" s="206">
        <v>44471</v>
      </c>
      <c r="D786" s="206">
        <v>44472</v>
      </c>
      <c r="E786" s="96" t="s">
        <v>1067</v>
      </c>
      <c r="F786" s="8">
        <v>30.82</v>
      </c>
      <c r="G786" s="203" t="s">
        <v>52</v>
      </c>
      <c r="H786" s="7" t="str">
        <f t="shared" si="89"/>
        <v>Variable</v>
      </c>
      <c r="I786" s="8">
        <f t="shared" si="90"/>
        <v>1051.5600000000004</v>
      </c>
      <c r="J786" s="215"/>
      <c r="K786" s="90"/>
    </row>
    <row r="787" spans="1:11" ht="18" customHeight="1" x14ac:dyDescent="0.2">
      <c r="A787" s="20">
        <f t="shared" si="87"/>
        <v>2021</v>
      </c>
      <c r="B787" s="6">
        <f t="shared" si="88"/>
        <v>10</v>
      </c>
      <c r="C787" s="206">
        <v>44471</v>
      </c>
      <c r="D787" s="206">
        <v>44472</v>
      </c>
      <c r="E787" s="96" t="s">
        <v>1003</v>
      </c>
      <c r="F787" s="8">
        <v>20.09</v>
      </c>
      <c r="G787" s="203" t="s">
        <v>68</v>
      </c>
      <c r="H787" s="7" t="str">
        <f t="shared" si="89"/>
        <v>Variable</v>
      </c>
      <c r="I787" s="8">
        <f t="shared" si="90"/>
        <v>1071.6500000000003</v>
      </c>
      <c r="J787" s="215"/>
      <c r="K787" s="90"/>
    </row>
    <row r="788" spans="1:11" ht="18" customHeight="1" x14ac:dyDescent="0.2">
      <c r="A788" s="20">
        <f t="shared" si="87"/>
        <v>2021</v>
      </c>
      <c r="B788" s="6">
        <f t="shared" si="88"/>
        <v>10</v>
      </c>
      <c r="C788" s="206">
        <v>44472</v>
      </c>
      <c r="D788" s="206">
        <v>44472</v>
      </c>
      <c r="E788" s="96" t="s">
        <v>181</v>
      </c>
      <c r="F788" s="8">
        <v>11.99</v>
      </c>
      <c r="G788" s="221" t="s">
        <v>26</v>
      </c>
      <c r="H788" s="7" t="str">
        <f t="shared" si="89"/>
        <v>Fixed</v>
      </c>
      <c r="I788" s="8">
        <f t="shared" si="90"/>
        <v>1083.6400000000003</v>
      </c>
      <c r="J788" s="221" t="s">
        <v>298</v>
      </c>
      <c r="K788" s="90"/>
    </row>
    <row r="789" spans="1:11" ht="18" customHeight="1" x14ac:dyDescent="0.2">
      <c r="A789" s="20">
        <f t="shared" si="87"/>
        <v>2021</v>
      </c>
      <c r="B789" s="6">
        <f t="shared" si="88"/>
        <v>10</v>
      </c>
      <c r="C789" s="206">
        <v>44472</v>
      </c>
      <c r="D789" s="206">
        <v>44472</v>
      </c>
      <c r="E789" s="96" t="s">
        <v>1068</v>
      </c>
      <c r="F789" s="8">
        <v>76.89</v>
      </c>
      <c r="G789" s="203" t="s">
        <v>41</v>
      </c>
      <c r="H789" s="7" t="str">
        <f t="shared" si="89"/>
        <v>Variable</v>
      </c>
      <c r="I789" s="8">
        <f t="shared" si="90"/>
        <v>1160.5300000000004</v>
      </c>
      <c r="J789" s="215"/>
      <c r="K789" s="90"/>
    </row>
    <row r="790" spans="1:11" ht="18" customHeight="1" x14ac:dyDescent="0.2">
      <c r="A790" s="20">
        <f t="shared" si="87"/>
        <v>2021</v>
      </c>
      <c r="B790" s="6">
        <f t="shared" si="88"/>
        <v>10</v>
      </c>
      <c r="C790" s="206">
        <v>44473</v>
      </c>
      <c r="D790" s="206">
        <v>44473</v>
      </c>
      <c r="E790" s="96" t="s">
        <v>1069</v>
      </c>
      <c r="F790" s="8">
        <v>11.97</v>
      </c>
      <c r="G790" s="203" t="s">
        <v>90</v>
      </c>
      <c r="H790" s="7" t="str">
        <f t="shared" si="89"/>
        <v>Variable</v>
      </c>
      <c r="I790" s="8">
        <f t="shared" si="90"/>
        <v>1172.5000000000005</v>
      </c>
      <c r="J790" s="215"/>
      <c r="K790" s="90"/>
    </row>
    <row r="791" spans="1:11" ht="18" customHeight="1" x14ac:dyDescent="0.2">
      <c r="A791" s="20">
        <f t="shared" si="87"/>
        <v>2021</v>
      </c>
      <c r="B791" s="6">
        <f t="shared" si="88"/>
        <v>10</v>
      </c>
      <c r="C791" s="206">
        <v>44473</v>
      </c>
      <c r="D791" s="206">
        <v>44473</v>
      </c>
      <c r="E791" s="96" t="s">
        <v>1070</v>
      </c>
      <c r="F791" s="8">
        <v>8.91</v>
      </c>
      <c r="G791" s="203" t="s">
        <v>41</v>
      </c>
      <c r="H791" s="7" t="str">
        <f t="shared" si="89"/>
        <v>Variable</v>
      </c>
      <c r="I791" s="8">
        <f t="shared" si="90"/>
        <v>1181.4100000000005</v>
      </c>
      <c r="J791" s="215"/>
      <c r="K791" s="90"/>
    </row>
    <row r="792" spans="1:11" ht="18" customHeight="1" x14ac:dyDescent="0.2">
      <c r="A792" s="20">
        <f t="shared" si="87"/>
        <v>2021</v>
      </c>
      <c r="B792" s="6">
        <f t="shared" si="88"/>
        <v>10</v>
      </c>
      <c r="C792" s="206">
        <v>44474</v>
      </c>
      <c r="D792" s="206">
        <v>44474</v>
      </c>
      <c r="E792" s="96" t="s">
        <v>21</v>
      </c>
      <c r="F792" s="8">
        <v>-1682.31</v>
      </c>
      <c r="G792" s="203" t="s">
        <v>22</v>
      </c>
      <c r="H792" s="7" t="str">
        <f t="shared" si="89"/>
        <v>Payment</v>
      </c>
      <c r="I792" s="8">
        <f t="shared" si="90"/>
        <v>-500.89999999999941</v>
      </c>
      <c r="J792" s="215"/>
      <c r="K792" s="90"/>
    </row>
    <row r="793" spans="1:11" ht="18" customHeight="1" x14ac:dyDescent="0.2">
      <c r="A793" s="20">
        <f t="shared" si="87"/>
        <v>2021</v>
      </c>
      <c r="B793" s="6">
        <f t="shared" si="88"/>
        <v>10</v>
      </c>
      <c r="C793" s="206">
        <v>44474</v>
      </c>
      <c r="D793" s="206">
        <v>44474</v>
      </c>
      <c r="E793" s="96" t="s">
        <v>1071</v>
      </c>
      <c r="F793" s="8">
        <v>11.21</v>
      </c>
      <c r="G793" s="203" t="s">
        <v>41</v>
      </c>
      <c r="H793" s="7" t="str">
        <f t="shared" si="89"/>
        <v>Variable</v>
      </c>
      <c r="I793" s="8">
        <f t="shared" si="90"/>
        <v>-489.68999999999943</v>
      </c>
      <c r="J793" s="215"/>
      <c r="K793" s="90"/>
    </row>
    <row r="794" spans="1:11" ht="18" customHeight="1" x14ac:dyDescent="0.2">
      <c r="A794" s="20">
        <f t="shared" si="87"/>
        <v>2021</v>
      </c>
      <c r="B794" s="6">
        <f t="shared" si="88"/>
        <v>10</v>
      </c>
      <c r="C794" s="206">
        <v>44474</v>
      </c>
      <c r="D794" s="206">
        <v>44474</v>
      </c>
      <c r="E794" s="96" t="s">
        <v>32</v>
      </c>
      <c r="F794" s="8">
        <v>84.85</v>
      </c>
      <c r="G794" s="221" t="s">
        <v>26</v>
      </c>
      <c r="H794" s="7" t="str">
        <f t="shared" si="89"/>
        <v>Fixed</v>
      </c>
      <c r="I794" s="8">
        <f t="shared" si="90"/>
        <v>-404.83999999999946</v>
      </c>
      <c r="J794" s="221" t="s">
        <v>8</v>
      </c>
      <c r="K794" s="90"/>
    </row>
    <row r="795" spans="1:11" ht="18" customHeight="1" x14ac:dyDescent="0.2">
      <c r="A795" s="20">
        <f t="shared" si="87"/>
        <v>2021</v>
      </c>
      <c r="B795" s="6">
        <f t="shared" si="88"/>
        <v>10</v>
      </c>
      <c r="C795" s="206">
        <v>44474</v>
      </c>
      <c r="D795" s="206">
        <v>44474</v>
      </c>
      <c r="E795" s="96" t="s">
        <v>1072</v>
      </c>
      <c r="F795" s="8">
        <v>13.6</v>
      </c>
      <c r="G795" s="203" t="s">
        <v>41</v>
      </c>
      <c r="H795" s="7" t="str">
        <f t="shared" si="89"/>
        <v>Variable</v>
      </c>
      <c r="I795" s="8">
        <f t="shared" si="90"/>
        <v>-391.23999999999944</v>
      </c>
      <c r="J795" s="215"/>
      <c r="K795" s="90"/>
    </row>
    <row r="796" spans="1:11" ht="18" customHeight="1" x14ac:dyDescent="0.2">
      <c r="A796" s="20">
        <f t="shared" si="87"/>
        <v>2021</v>
      </c>
      <c r="B796" s="6">
        <f t="shared" si="88"/>
        <v>10</v>
      </c>
      <c r="C796" s="206">
        <v>44474</v>
      </c>
      <c r="D796" s="206">
        <v>44474</v>
      </c>
      <c r="E796" s="96" t="s">
        <v>1073</v>
      </c>
      <c r="F796" s="8">
        <v>12.97</v>
      </c>
      <c r="G796" s="203" t="s">
        <v>68</v>
      </c>
      <c r="H796" s="7" t="str">
        <f t="shared" si="89"/>
        <v>Variable</v>
      </c>
      <c r="I796" s="8">
        <f t="shared" si="90"/>
        <v>-378.26999999999941</v>
      </c>
      <c r="J796" s="215"/>
      <c r="K796" s="90"/>
    </row>
    <row r="797" spans="1:11" ht="18" customHeight="1" x14ac:dyDescent="0.2">
      <c r="A797" s="20">
        <f t="shared" si="87"/>
        <v>2021</v>
      </c>
      <c r="B797" s="6">
        <f t="shared" si="88"/>
        <v>10</v>
      </c>
      <c r="C797" s="206">
        <v>44474</v>
      </c>
      <c r="D797" s="206">
        <v>44474</v>
      </c>
      <c r="E797" s="96" t="s">
        <v>1073</v>
      </c>
      <c r="F797" s="8">
        <v>23.79</v>
      </c>
      <c r="G797" s="203" t="s">
        <v>68</v>
      </c>
      <c r="H797" s="7" t="str">
        <f t="shared" si="89"/>
        <v>Variable</v>
      </c>
      <c r="I797" s="8">
        <f t="shared" si="90"/>
        <v>-354.47999999999939</v>
      </c>
      <c r="J797" s="215"/>
      <c r="K797" s="90"/>
    </row>
    <row r="798" spans="1:11" ht="18" customHeight="1" x14ac:dyDescent="0.2">
      <c r="A798" s="20">
        <f t="shared" si="87"/>
        <v>2021</v>
      </c>
      <c r="B798" s="6">
        <f t="shared" si="88"/>
        <v>10</v>
      </c>
      <c r="C798" s="206">
        <v>44475</v>
      </c>
      <c r="D798" s="206">
        <v>44475</v>
      </c>
      <c r="E798" s="96" t="s">
        <v>1074</v>
      </c>
      <c r="F798" s="8">
        <v>189.95</v>
      </c>
      <c r="G798" s="203" t="s">
        <v>52</v>
      </c>
      <c r="H798" s="7" t="str">
        <f t="shared" si="89"/>
        <v>Variable</v>
      </c>
      <c r="I798" s="8">
        <f t="shared" si="90"/>
        <v>-164.5299999999994</v>
      </c>
      <c r="J798" s="215"/>
      <c r="K798" s="90"/>
    </row>
    <row r="799" spans="1:11" ht="18" customHeight="1" x14ac:dyDescent="0.2">
      <c r="A799" s="20">
        <f t="shared" si="87"/>
        <v>2021</v>
      </c>
      <c r="B799" s="6">
        <f t="shared" si="88"/>
        <v>10</v>
      </c>
      <c r="C799" s="206">
        <v>44475</v>
      </c>
      <c r="D799" s="206">
        <v>44475</v>
      </c>
      <c r="E799" s="96" t="s">
        <v>1075</v>
      </c>
      <c r="F799" s="8">
        <v>5.4</v>
      </c>
      <c r="G799" s="203" t="s">
        <v>195</v>
      </c>
      <c r="H799" s="7" t="str">
        <f t="shared" si="89"/>
        <v>Variable</v>
      </c>
      <c r="I799" s="8">
        <f t="shared" si="90"/>
        <v>-159.1299999999994</v>
      </c>
      <c r="J799" s="215"/>
      <c r="K799" s="90"/>
    </row>
    <row r="800" spans="1:11" ht="18" customHeight="1" x14ac:dyDescent="0.2">
      <c r="A800" s="20">
        <f t="shared" si="87"/>
        <v>2021</v>
      </c>
      <c r="B800" s="6">
        <f t="shared" si="88"/>
        <v>10</v>
      </c>
      <c r="C800" s="206">
        <v>44475</v>
      </c>
      <c r="D800" s="206">
        <v>44475</v>
      </c>
      <c r="E800" s="96" t="s">
        <v>1073</v>
      </c>
      <c r="F800" s="8">
        <v>42.46</v>
      </c>
      <c r="G800" s="203" t="s">
        <v>68</v>
      </c>
      <c r="H800" s="7" t="str">
        <f t="shared" si="89"/>
        <v>Variable</v>
      </c>
      <c r="I800" s="8">
        <f t="shared" si="90"/>
        <v>-116.66999999999939</v>
      </c>
      <c r="J800" s="215"/>
      <c r="K800" s="90"/>
    </row>
    <row r="801" spans="1:11" ht="18" customHeight="1" x14ac:dyDescent="0.2">
      <c r="A801" s="20">
        <f t="shared" si="87"/>
        <v>2021</v>
      </c>
      <c r="B801" s="6">
        <f t="shared" si="88"/>
        <v>10</v>
      </c>
      <c r="C801" s="206">
        <v>44476</v>
      </c>
      <c r="D801" s="206">
        <v>44476</v>
      </c>
      <c r="E801" s="96" t="s">
        <v>1076</v>
      </c>
      <c r="F801" s="8">
        <v>6</v>
      </c>
      <c r="G801" s="203" t="s">
        <v>68</v>
      </c>
      <c r="H801" s="7" t="str">
        <f t="shared" si="89"/>
        <v>Variable</v>
      </c>
      <c r="I801" s="8">
        <f t="shared" si="90"/>
        <v>-110.66999999999939</v>
      </c>
      <c r="J801" s="215"/>
      <c r="K801" s="90"/>
    </row>
    <row r="802" spans="1:11" ht="18" customHeight="1" x14ac:dyDescent="0.2">
      <c r="A802" s="20">
        <f t="shared" si="87"/>
        <v>2021</v>
      </c>
      <c r="B802" s="6">
        <f t="shared" si="88"/>
        <v>10</v>
      </c>
      <c r="C802" s="206">
        <v>44476</v>
      </c>
      <c r="D802" s="206">
        <v>44476</v>
      </c>
      <c r="E802" s="96" t="s">
        <v>1077</v>
      </c>
      <c r="F802" s="8">
        <v>28.19</v>
      </c>
      <c r="G802" s="203" t="s">
        <v>24</v>
      </c>
      <c r="H802" s="7" t="str">
        <f t="shared" si="89"/>
        <v>Variable</v>
      </c>
      <c r="I802" s="8">
        <f t="shared" si="90"/>
        <v>-82.479999999999393</v>
      </c>
      <c r="J802" s="215"/>
      <c r="K802" s="90"/>
    </row>
    <row r="803" spans="1:11" ht="18" customHeight="1" x14ac:dyDescent="0.2">
      <c r="A803" s="20">
        <f t="shared" si="87"/>
        <v>2021</v>
      </c>
      <c r="B803" s="6">
        <f t="shared" si="88"/>
        <v>10</v>
      </c>
      <c r="C803" s="206">
        <v>44476</v>
      </c>
      <c r="D803" s="206">
        <v>44476</v>
      </c>
      <c r="E803" s="96" t="s">
        <v>947</v>
      </c>
      <c r="F803" s="8">
        <v>32.090000000000003</v>
      </c>
      <c r="G803" s="203" t="s">
        <v>68</v>
      </c>
      <c r="H803" s="7" t="str">
        <f t="shared" si="89"/>
        <v>Variable</v>
      </c>
      <c r="I803" s="8">
        <f t="shared" si="90"/>
        <v>-50.38999999999939</v>
      </c>
      <c r="J803" s="215"/>
      <c r="K803" s="90"/>
    </row>
    <row r="804" spans="1:11" ht="18" customHeight="1" x14ac:dyDescent="0.2">
      <c r="A804" s="20">
        <f t="shared" si="87"/>
        <v>2021</v>
      </c>
      <c r="B804" s="6">
        <f t="shared" si="88"/>
        <v>10</v>
      </c>
      <c r="C804" s="206">
        <v>44477</v>
      </c>
      <c r="D804" s="206">
        <v>44477</v>
      </c>
      <c r="E804" s="96" t="s">
        <v>954</v>
      </c>
      <c r="F804" s="8">
        <v>12.84</v>
      </c>
      <c r="G804" s="203" t="s">
        <v>41</v>
      </c>
      <c r="H804" s="7" t="str">
        <f t="shared" si="89"/>
        <v>Variable</v>
      </c>
      <c r="I804" s="8">
        <f t="shared" si="90"/>
        <v>-37.549999999999386</v>
      </c>
      <c r="J804" s="215"/>
      <c r="K804" s="90"/>
    </row>
    <row r="805" spans="1:11" ht="18" customHeight="1" x14ac:dyDescent="0.2">
      <c r="A805" s="20">
        <f t="shared" si="87"/>
        <v>2021</v>
      </c>
      <c r="B805" s="6">
        <f t="shared" si="88"/>
        <v>10</v>
      </c>
      <c r="C805" s="206">
        <v>44477</v>
      </c>
      <c r="D805" s="206">
        <v>44477</v>
      </c>
      <c r="E805" s="96" t="s">
        <v>340</v>
      </c>
      <c r="F805" s="8">
        <v>11</v>
      </c>
      <c r="G805" s="221" t="s">
        <v>26</v>
      </c>
      <c r="H805" s="7" t="str">
        <f t="shared" si="89"/>
        <v>Fixed</v>
      </c>
      <c r="I805" s="8">
        <f t="shared" si="90"/>
        <v>-26.549999999999386</v>
      </c>
      <c r="J805" s="221" t="s">
        <v>724</v>
      </c>
      <c r="K805" s="90"/>
    </row>
    <row r="806" spans="1:11" ht="18" customHeight="1" x14ac:dyDescent="0.2">
      <c r="A806" s="20">
        <f t="shared" si="87"/>
        <v>2021</v>
      </c>
      <c r="B806" s="6">
        <f t="shared" si="88"/>
        <v>10</v>
      </c>
      <c r="C806" s="206">
        <v>44477</v>
      </c>
      <c r="D806" s="206">
        <v>44477</v>
      </c>
      <c r="E806" s="96" t="s">
        <v>1078</v>
      </c>
      <c r="F806" s="8">
        <v>4.78</v>
      </c>
      <c r="G806" s="203" t="s">
        <v>41</v>
      </c>
      <c r="H806" s="7" t="str">
        <f t="shared" si="89"/>
        <v>Variable</v>
      </c>
      <c r="I806" s="8">
        <f t="shared" si="90"/>
        <v>-21.769999999999385</v>
      </c>
      <c r="J806" s="215"/>
      <c r="K806" s="90"/>
    </row>
    <row r="807" spans="1:11" ht="18" customHeight="1" x14ac:dyDescent="0.2">
      <c r="A807" s="20">
        <f t="shared" si="87"/>
        <v>2021</v>
      </c>
      <c r="B807" s="6">
        <f t="shared" si="88"/>
        <v>10</v>
      </c>
      <c r="C807" s="206">
        <v>44478</v>
      </c>
      <c r="D807" s="206">
        <v>44478</v>
      </c>
      <c r="E807" s="96" t="s">
        <v>1079</v>
      </c>
      <c r="F807" s="8">
        <v>4</v>
      </c>
      <c r="G807" s="203" t="s">
        <v>89</v>
      </c>
      <c r="H807" s="7" t="str">
        <f t="shared" si="89"/>
        <v>Variable</v>
      </c>
      <c r="I807" s="8">
        <f t="shared" si="90"/>
        <v>-17.769999999999385</v>
      </c>
      <c r="J807" s="215"/>
      <c r="K807" s="90"/>
    </row>
    <row r="808" spans="1:11" ht="18" customHeight="1" x14ac:dyDescent="0.2">
      <c r="A808" s="20">
        <f t="shared" si="87"/>
        <v>2021</v>
      </c>
      <c r="B808" s="6">
        <f t="shared" si="88"/>
        <v>10</v>
      </c>
      <c r="C808" s="206">
        <v>44478</v>
      </c>
      <c r="D808" s="206">
        <v>44478</v>
      </c>
      <c r="E808" s="96" t="s">
        <v>1080</v>
      </c>
      <c r="F808" s="8">
        <v>1.24</v>
      </c>
      <c r="G808" s="203" t="s">
        <v>68</v>
      </c>
      <c r="H808" s="7" t="str">
        <f t="shared" si="89"/>
        <v>Variable</v>
      </c>
      <c r="I808" s="8">
        <f t="shared" si="90"/>
        <v>-16.529999999999387</v>
      </c>
      <c r="J808" s="215"/>
      <c r="K808" s="90"/>
    </row>
    <row r="809" spans="1:11" ht="18" customHeight="1" x14ac:dyDescent="0.2">
      <c r="A809" s="20">
        <f t="shared" si="87"/>
        <v>2021</v>
      </c>
      <c r="B809" s="6">
        <f t="shared" si="88"/>
        <v>10</v>
      </c>
      <c r="C809" s="206">
        <v>44478</v>
      </c>
      <c r="D809" s="206">
        <v>44478</v>
      </c>
      <c r="E809" s="96" t="s">
        <v>1081</v>
      </c>
      <c r="F809" s="8">
        <v>8</v>
      </c>
      <c r="G809" s="203" t="s">
        <v>41</v>
      </c>
      <c r="H809" s="7" t="str">
        <f t="shared" si="89"/>
        <v>Variable</v>
      </c>
      <c r="I809" s="8">
        <f t="shared" si="90"/>
        <v>-8.5299999999993865</v>
      </c>
      <c r="J809" s="215"/>
      <c r="K809" s="90"/>
    </row>
    <row r="810" spans="1:11" ht="18" customHeight="1" x14ac:dyDescent="0.2">
      <c r="A810" s="20">
        <f t="shared" si="87"/>
        <v>2021</v>
      </c>
      <c r="B810" s="6">
        <f t="shared" si="88"/>
        <v>10</v>
      </c>
      <c r="C810" s="206">
        <v>44478</v>
      </c>
      <c r="D810" s="206">
        <v>44478</v>
      </c>
      <c r="E810" s="96" t="s">
        <v>1082</v>
      </c>
      <c r="F810" s="8">
        <v>31.75</v>
      </c>
      <c r="G810" s="203" t="s">
        <v>52</v>
      </c>
      <c r="H810" s="7" t="str">
        <f t="shared" si="89"/>
        <v>Variable</v>
      </c>
      <c r="I810" s="8">
        <f t="shared" si="90"/>
        <v>23.220000000000613</v>
      </c>
      <c r="J810" s="215"/>
      <c r="K810" s="90"/>
    </row>
    <row r="811" spans="1:11" ht="18" customHeight="1" x14ac:dyDescent="0.2">
      <c r="A811" s="20">
        <f t="shared" si="87"/>
        <v>2021</v>
      </c>
      <c r="B811" s="6">
        <f t="shared" si="88"/>
        <v>10</v>
      </c>
      <c r="C811" s="206">
        <v>44478</v>
      </c>
      <c r="D811" s="206">
        <v>44478</v>
      </c>
      <c r="E811" s="96" t="s">
        <v>1083</v>
      </c>
      <c r="F811" s="8">
        <v>29.49</v>
      </c>
      <c r="G811" s="203" t="s">
        <v>41</v>
      </c>
      <c r="H811" s="7" t="str">
        <f t="shared" si="89"/>
        <v>Variable</v>
      </c>
      <c r="I811" s="8">
        <f t="shared" si="90"/>
        <v>52.710000000000612</v>
      </c>
      <c r="J811" s="215"/>
      <c r="K811" s="90"/>
    </row>
    <row r="812" spans="1:11" ht="18" customHeight="1" x14ac:dyDescent="0.2">
      <c r="A812" s="20">
        <f t="shared" si="87"/>
        <v>2021</v>
      </c>
      <c r="B812" s="6">
        <f t="shared" si="88"/>
        <v>10</v>
      </c>
      <c r="C812" s="206">
        <v>44479</v>
      </c>
      <c r="D812" s="206">
        <v>44479</v>
      </c>
      <c r="E812" s="96" t="s">
        <v>1084</v>
      </c>
      <c r="F812" s="8">
        <v>27.78</v>
      </c>
      <c r="G812" s="203" t="s">
        <v>68</v>
      </c>
      <c r="H812" s="7" t="str">
        <f t="shared" si="89"/>
        <v>Variable</v>
      </c>
      <c r="I812" s="8">
        <f t="shared" si="90"/>
        <v>80.490000000000606</v>
      </c>
      <c r="J812" s="215"/>
      <c r="K812" s="90"/>
    </row>
    <row r="813" spans="1:11" ht="18" customHeight="1" x14ac:dyDescent="0.2">
      <c r="A813" s="20">
        <f t="shared" si="87"/>
        <v>2021</v>
      </c>
      <c r="B813" s="6">
        <f t="shared" si="88"/>
        <v>10</v>
      </c>
      <c r="C813" s="206">
        <v>44479</v>
      </c>
      <c r="D813" s="206">
        <v>44479</v>
      </c>
      <c r="E813" s="96" t="s">
        <v>1085</v>
      </c>
      <c r="F813" s="8">
        <v>42.39</v>
      </c>
      <c r="G813" s="203" t="s">
        <v>68</v>
      </c>
      <c r="H813" s="7" t="str">
        <f t="shared" si="89"/>
        <v>Variable</v>
      </c>
      <c r="I813" s="8">
        <f t="shared" si="90"/>
        <v>122.88000000000061</v>
      </c>
      <c r="J813" s="215"/>
      <c r="K813" s="90"/>
    </row>
    <row r="814" spans="1:11" ht="18" customHeight="1" x14ac:dyDescent="0.2">
      <c r="A814" s="20">
        <f t="shared" si="87"/>
        <v>2021</v>
      </c>
      <c r="B814" s="6">
        <f t="shared" si="88"/>
        <v>10</v>
      </c>
      <c r="C814" s="206">
        <v>44479</v>
      </c>
      <c r="D814" s="206">
        <v>44479</v>
      </c>
      <c r="E814" s="96" t="s">
        <v>1086</v>
      </c>
      <c r="F814" s="8">
        <v>161.61000000000001</v>
      </c>
      <c r="G814" s="203" t="s">
        <v>195</v>
      </c>
      <c r="H814" s="7" t="str">
        <f t="shared" si="89"/>
        <v>Variable</v>
      </c>
      <c r="I814" s="8">
        <f t="shared" si="90"/>
        <v>284.49000000000063</v>
      </c>
      <c r="J814" s="215"/>
      <c r="K814" s="90"/>
    </row>
    <row r="815" spans="1:11" ht="18" customHeight="1" x14ac:dyDescent="0.2">
      <c r="A815" s="20">
        <f t="shared" si="87"/>
        <v>2021</v>
      </c>
      <c r="B815" s="6">
        <f t="shared" si="88"/>
        <v>10</v>
      </c>
      <c r="C815" s="206">
        <v>44480</v>
      </c>
      <c r="D815" s="206">
        <v>44480</v>
      </c>
      <c r="E815" s="96" t="s">
        <v>1087</v>
      </c>
      <c r="F815" s="8">
        <v>69.95</v>
      </c>
      <c r="G815" s="203" t="s">
        <v>68</v>
      </c>
      <c r="H815" s="7" t="str">
        <f t="shared" si="89"/>
        <v>Variable</v>
      </c>
      <c r="I815" s="8">
        <f t="shared" si="90"/>
        <v>354.44000000000062</v>
      </c>
      <c r="J815" s="215"/>
      <c r="K815" s="90"/>
    </row>
    <row r="816" spans="1:11" ht="18" customHeight="1" x14ac:dyDescent="0.2">
      <c r="A816" s="20">
        <f t="shared" si="87"/>
        <v>2021</v>
      </c>
      <c r="B816" s="6">
        <f t="shared" si="88"/>
        <v>10</v>
      </c>
      <c r="C816" s="206">
        <v>44480</v>
      </c>
      <c r="D816" s="206">
        <v>44480</v>
      </c>
      <c r="E816" s="96" t="s">
        <v>1088</v>
      </c>
      <c r="F816" s="8">
        <v>20.62</v>
      </c>
      <c r="G816" s="203" t="s">
        <v>68</v>
      </c>
      <c r="H816" s="7" t="str">
        <f t="shared" si="89"/>
        <v>Variable</v>
      </c>
      <c r="I816" s="8">
        <f t="shared" si="90"/>
        <v>375.06000000000063</v>
      </c>
      <c r="J816" s="215"/>
      <c r="K816" s="90"/>
    </row>
    <row r="817" spans="1:11" ht="18" customHeight="1" x14ac:dyDescent="0.2">
      <c r="A817" s="20">
        <f t="shared" si="87"/>
        <v>2021</v>
      </c>
      <c r="B817" s="6">
        <f t="shared" si="88"/>
        <v>10</v>
      </c>
      <c r="C817" s="206">
        <v>44480</v>
      </c>
      <c r="D817" s="206">
        <v>44480</v>
      </c>
      <c r="E817" s="96" t="s">
        <v>1088</v>
      </c>
      <c r="F817" s="8">
        <v>173.81</v>
      </c>
      <c r="G817" s="203" t="s">
        <v>68</v>
      </c>
      <c r="H817" s="7" t="str">
        <f t="shared" si="89"/>
        <v>Variable</v>
      </c>
      <c r="I817" s="8">
        <f t="shared" si="90"/>
        <v>548.87000000000057</v>
      </c>
      <c r="J817" s="215"/>
      <c r="K817" s="90"/>
    </row>
    <row r="818" spans="1:11" ht="18" customHeight="1" x14ac:dyDescent="0.2">
      <c r="A818" s="20">
        <f t="shared" si="87"/>
        <v>2021</v>
      </c>
      <c r="B818" s="6">
        <f t="shared" si="88"/>
        <v>10</v>
      </c>
      <c r="C818" s="206">
        <v>44481</v>
      </c>
      <c r="D818" s="206">
        <v>44481</v>
      </c>
      <c r="E818" s="96" t="s">
        <v>1089</v>
      </c>
      <c r="F818" s="8">
        <v>124.99</v>
      </c>
      <c r="G818" s="221" t="s">
        <v>68</v>
      </c>
      <c r="H818" s="7" t="str">
        <f t="shared" si="89"/>
        <v>Variable</v>
      </c>
      <c r="I818" s="8">
        <f t="shared" si="90"/>
        <v>673.86000000000058</v>
      </c>
      <c r="J818" s="215"/>
      <c r="K818" s="90"/>
    </row>
    <row r="819" spans="1:11" ht="18" customHeight="1" x14ac:dyDescent="0.2">
      <c r="A819" s="20">
        <f t="shared" si="87"/>
        <v>2021</v>
      </c>
      <c r="B819" s="6">
        <f t="shared" si="88"/>
        <v>10</v>
      </c>
      <c r="C819" s="206">
        <v>44481</v>
      </c>
      <c r="D819" s="206">
        <v>44481</v>
      </c>
      <c r="E819" s="96" t="s">
        <v>59</v>
      </c>
      <c r="F819" s="8">
        <v>1.99</v>
      </c>
      <c r="G819" s="221" t="s">
        <v>26</v>
      </c>
      <c r="H819" s="7" t="str">
        <f t="shared" si="89"/>
        <v>Fixed</v>
      </c>
      <c r="I819" s="8">
        <f t="shared" si="90"/>
        <v>675.85000000000059</v>
      </c>
      <c r="J819" s="221" t="s">
        <v>283</v>
      </c>
      <c r="K819" s="90"/>
    </row>
    <row r="820" spans="1:11" ht="18" customHeight="1" x14ac:dyDescent="0.2">
      <c r="A820" s="20">
        <f t="shared" si="87"/>
        <v>2021</v>
      </c>
      <c r="B820" s="6">
        <f t="shared" si="88"/>
        <v>10</v>
      </c>
      <c r="C820" s="206">
        <v>44483</v>
      </c>
      <c r="D820" s="206">
        <v>44483</v>
      </c>
      <c r="E820" s="96" t="s">
        <v>1090</v>
      </c>
      <c r="F820" s="8">
        <v>31.87</v>
      </c>
      <c r="G820" s="203" t="s">
        <v>68</v>
      </c>
      <c r="H820" s="7" t="str">
        <f t="shared" si="89"/>
        <v>Variable</v>
      </c>
      <c r="I820" s="8">
        <f t="shared" si="90"/>
        <v>707.7200000000006</v>
      </c>
      <c r="J820" s="215"/>
      <c r="K820" s="90"/>
    </row>
    <row r="821" spans="1:11" ht="18" customHeight="1" x14ac:dyDescent="0.2">
      <c r="A821" s="20">
        <f t="shared" si="87"/>
        <v>2021</v>
      </c>
      <c r="B821" s="6">
        <f t="shared" si="88"/>
        <v>10</v>
      </c>
      <c r="C821" s="206">
        <v>44483</v>
      </c>
      <c r="D821" s="206">
        <v>44483</v>
      </c>
      <c r="E821" s="96" t="s">
        <v>1091</v>
      </c>
      <c r="F821" s="8">
        <v>13.45</v>
      </c>
      <c r="G821" s="203" t="s">
        <v>41</v>
      </c>
      <c r="H821" s="7" t="str">
        <f t="shared" si="89"/>
        <v>Variable</v>
      </c>
      <c r="I821" s="8">
        <f t="shared" si="90"/>
        <v>721.17000000000064</v>
      </c>
      <c r="J821" s="215"/>
      <c r="K821" s="90"/>
    </row>
    <row r="822" spans="1:11" ht="18" customHeight="1" x14ac:dyDescent="0.2">
      <c r="A822" s="20">
        <f t="shared" si="87"/>
        <v>2021</v>
      </c>
      <c r="B822" s="6">
        <f t="shared" si="88"/>
        <v>10</v>
      </c>
      <c r="C822" s="206">
        <v>44483</v>
      </c>
      <c r="D822" s="206">
        <v>44483</v>
      </c>
      <c r="E822" s="96" t="s">
        <v>1092</v>
      </c>
      <c r="F822" s="8">
        <v>44.98</v>
      </c>
      <c r="G822" s="203" t="s">
        <v>68</v>
      </c>
      <c r="H822" s="7" t="str">
        <f t="shared" si="89"/>
        <v>Variable</v>
      </c>
      <c r="I822" s="8">
        <f t="shared" si="90"/>
        <v>766.15000000000066</v>
      </c>
      <c r="J822" s="215"/>
      <c r="K822" s="90"/>
    </row>
    <row r="823" spans="1:11" ht="18" customHeight="1" x14ac:dyDescent="0.2">
      <c r="A823" s="20">
        <f t="shared" si="87"/>
        <v>2021</v>
      </c>
      <c r="B823" s="6">
        <f t="shared" si="88"/>
        <v>10</v>
      </c>
      <c r="C823" s="206">
        <v>44484</v>
      </c>
      <c r="D823" s="206">
        <v>44484</v>
      </c>
      <c r="E823" s="96" t="s">
        <v>1093</v>
      </c>
      <c r="F823" s="8">
        <v>15.89</v>
      </c>
      <c r="G823" s="221" t="s">
        <v>26</v>
      </c>
      <c r="H823" s="7" t="str">
        <f t="shared" si="89"/>
        <v>Fixed</v>
      </c>
      <c r="I823" s="8">
        <f t="shared" si="90"/>
        <v>782.04000000000065</v>
      </c>
      <c r="J823" s="221" t="s">
        <v>293</v>
      </c>
      <c r="K823" s="90"/>
    </row>
    <row r="824" spans="1:11" ht="18" customHeight="1" x14ac:dyDescent="0.2">
      <c r="A824" s="20">
        <f t="shared" si="87"/>
        <v>2021</v>
      </c>
      <c r="B824" s="6">
        <f t="shared" si="88"/>
        <v>10</v>
      </c>
      <c r="C824" s="206">
        <v>44484</v>
      </c>
      <c r="D824" s="206">
        <v>44484</v>
      </c>
      <c r="E824" s="96" t="s">
        <v>1069</v>
      </c>
      <c r="F824" s="8">
        <v>84.14</v>
      </c>
      <c r="G824" s="203" t="s">
        <v>90</v>
      </c>
      <c r="H824" s="7" t="str">
        <f t="shared" si="89"/>
        <v>Variable</v>
      </c>
      <c r="I824" s="8">
        <f t="shared" si="90"/>
        <v>866.18000000000063</v>
      </c>
      <c r="J824" s="215"/>
      <c r="K824" s="90"/>
    </row>
    <row r="825" spans="1:11" ht="18" customHeight="1" x14ac:dyDescent="0.2">
      <c r="A825" s="20">
        <f t="shared" si="87"/>
        <v>2021</v>
      </c>
      <c r="B825" s="6">
        <f t="shared" si="88"/>
        <v>10</v>
      </c>
      <c r="C825" s="206">
        <v>44485</v>
      </c>
      <c r="D825" s="206">
        <v>44485</v>
      </c>
      <c r="E825" s="96" t="s">
        <v>1094</v>
      </c>
      <c r="F825" s="8">
        <v>34.35</v>
      </c>
      <c r="G825" s="203" t="s">
        <v>24</v>
      </c>
      <c r="H825" s="7" t="str">
        <f t="shared" si="89"/>
        <v>Variable</v>
      </c>
      <c r="I825" s="8">
        <f t="shared" si="90"/>
        <v>900.53000000000065</v>
      </c>
      <c r="J825" s="215"/>
      <c r="K825" s="90"/>
    </row>
    <row r="826" spans="1:11" ht="18" customHeight="1" x14ac:dyDescent="0.2">
      <c r="A826" s="20">
        <f t="shared" si="87"/>
        <v>2021</v>
      </c>
      <c r="B826" s="6">
        <f t="shared" si="88"/>
        <v>10</v>
      </c>
      <c r="C826" s="206">
        <v>44486</v>
      </c>
      <c r="D826" s="206">
        <v>44486</v>
      </c>
      <c r="E826" s="96" t="s">
        <v>1095</v>
      </c>
      <c r="F826" s="8">
        <v>39.68</v>
      </c>
      <c r="G826" s="203" t="s">
        <v>68</v>
      </c>
      <c r="H826" s="7" t="str">
        <f t="shared" si="89"/>
        <v>Variable</v>
      </c>
      <c r="I826" s="8">
        <f t="shared" si="90"/>
        <v>940.2100000000006</v>
      </c>
      <c r="J826" s="215"/>
      <c r="K826" s="90"/>
    </row>
    <row r="827" spans="1:11" ht="18" customHeight="1" x14ac:dyDescent="0.2">
      <c r="A827" s="20">
        <f t="shared" si="87"/>
        <v>2021</v>
      </c>
      <c r="B827" s="6">
        <f t="shared" si="88"/>
        <v>10</v>
      </c>
      <c r="C827" s="206">
        <v>44486</v>
      </c>
      <c r="D827" s="206">
        <v>44486</v>
      </c>
      <c r="E827" s="96" t="s">
        <v>1096</v>
      </c>
      <c r="F827" s="8">
        <v>5.29</v>
      </c>
      <c r="G827" s="221" t="s">
        <v>26</v>
      </c>
      <c r="H827" s="7" t="str">
        <f t="shared" si="89"/>
        <v>Fixed</v>
      </c>
      <c r="I827" s="8">
        <f t="shared" si="90"/>
        <v>945.50000000000057</v>
      </c>
      <c r="J827" s="221" t="s">
        <v>1020</v>
      </c>
      <c r="K827" s="90"/>
    </row>
    <row r="828" spans="1:11" ht="18" customHeight="1" x14ac:dyDescent="0.2">
      <c r="A828" s="20">
        <f t="shared" si="87"/>
        <v>2021</v>
      </c>
      <c r="B828" s="6">
        <f t="shared" si="88"/>
        <v>10</v>
      </c>
      <c r="C828" s="206">
        <v>44486</v>
      </c>
      <c r="D828" s="206">
        <v>44486</v>
      </c>
      <c r="E828" s="96" t="s">
        <v>141</v>
      </c>
      <c r="F828" s="8">
        <v>59.99</v>
      </c>
      <c r="G828" s="203" t="s">
        <v>68</v>
      </c>
      <c r="H828" s="7" t="str">
        <f t="shared" si="89"/>
        <v>Variable</v>
      </c>
      <c r="I828" s="8">
        <f t="shared" si="90"/>
        <v>1005.4900000000006</v>
      </c>
      <c r="J828" s="215"/>
      <c r="K828" s="90"/>
    </row>
    <row r="829" spans="1:11" ht="18" customHeight="1" x14ac:dyDescent="0.2">
      <c r="A829" s="20">
        <f t="shared" si="87"/>
        <v>2021</v>
      </c>
      <c r="B829" s="6">
        <f t="shared" si="88"/>
        <v>10</v>
      </c>
      <c r="C829" s="206">
        <v>44486</v>
      </c>
      <c r="D829" s="206">
        <v>44486</v>
      </c>
      <c r="E829" s="96" t="s">
        <v>1097</v>
      </c>
      <c r="F829" s="8">
        <v>15.45</v>
      </c>
      <c r="G829" s="203" t="s">
        <v>90</v>
      </c>
      <c r="H829" s="7" t="str">
        <f t="shared" si="89"/>
        <v>Variable</v>
      </c>
      <c r="I829" s="8">
        <f t="shared" si="90"/>
        <v>1020.9400000000006</v>
      </c>
      <c r="J829" s="215"/>
      <c r="K829" s="90"/>
    </row>
    <row r="830" spans="1:11" ht="18" customHeight="1" x14ac:dyDescent="0.2">
      <c r="A830" s="20">
        <f t="shared" si="87"/>
        <v>2021</v>
      </c>
      <c r="B830" s="6">
        <f t="shared" si="88"/>
        <v>10</v>
      </c>
      <c r="C830" s="206">
        <v>44486</v>
      </c>
      <c r="D830" s="206">
        <v>44486</v>
      </c>
      <c r="E830" s="96" t="s">
        <v>1098</v>
      </c>
      <c r="F830" s="8">
        <v>80</v>
      </c>
      <c r="G830" s="221" t="s">
        <v>26</v>
      </c>
      <c r="H830" s="7" t="str">
        <f t="shared" si="89"/>
        <v>Fixed</v>
      </c>
      <c r="I830" s="8">
        <f t="shared" si="90"/>
        <v>1100.9400000000005</v>
      </c>
      <c r="J830" s="221" t="s">
        <v>294</v>
      </c>
      <c r="K830" s="90"/>
    </row>
    <row r="831" spans="1:11" ht="18" customHeight="1" x14ac:dyDescent="0.2">
      <c r="A831" s="20">
        <f t="shared" si="87"/>
        <v>2021</v>
      </c>
      <c r="B831" s="6">
        <f t="shared" si="88"/>
        <v>10</v>
      </c>
      <c r="C831" s="206">
        <v>44486</v>
      </c>
      <c r="D831" s="206">
        <v>44486</v>
      </c>
      <c r="E831" s="96" t="s">
        <v>1099</v>
      </c>
      <c r="F831" s="8">
        <v>22.81</v>
      </c>
      <c r="G831" s="203" t="s">
        <v>41</v>
      </c>
      <c r="H831" s="7" t="str">
        <f t="shared" si="89"/>
        <v>Variable</v>
      </c>
      <c r="I831" s="8">
        <f t="shared" si="90"/>
        <v>1123.7500000000005</v>
      </c>
      <c r="J831" s="215"/>
      <c r="K831" s="90"/>
    </row>
    <row r="832" spans="1:11" ht="18" customHeight="1" x14ac:dyDescent="0.2">
      <c r="A832" s="20">
        <f t="shared" si="87"/>
        <v>2021</v>
      </c>
      <c r="B832" s="6">
        <f t="shared" si="88"/>
        <v>10</v>
      </c>
      <c r="C832" s="206">
        <v>44487</v>
      </c>
      <c r="D832" s="206">
        <v>44487</v>
      </c>
      <c r="E832" s="96" t="s">
        <v>1100</v>
      </c>
      <c r="F832" s="8">
        <v>26.69</v>
      </c>
      <c r="G832" s="203" t="s">
        <v>41</v>
      </c>
      <c r="H832" s="7" t="str">
        <f t="shared" si="89"/>
        <v>Variable</v>
      </c>
      <c r="I832" s="8">
        <f t="shared" si="90"/>
        <v>1150.4400000000005</v>
      </c>
      <c r="J832" s="215"/>
      <c r="K832" s="90"/>
    </row>
    <row r="833" spans="1:11" ht="18" customHeight="1" x14ac:dyDescent="0.2">
      <c r="A833" s="20">
        <f t="shared" si="87"/>
        <v>2021</v>
      </c>
      <c r="B833" s="6">
        <f t="shared" si="88"/>
        <v>10</v>
      </c>
      <c r="C833" s="206">
        <v>44488</v>
      </c>
      <c r="D833" s="206">
        <v>44488</v>
      </c>
      <c r="E833" s="96" t="s">
        <v>1101</v>
      </c>
      <c r="F833" s="8">
        <v>19.28</v>
      </c>
      <c r="G833" s="203" t="s">
        <v>41</v>
      </c>
      <c r="H833" s="7" t="str">
        <f t="shared" si="89"/>
        <v>Variable</v>
      </c>
      <c r="I833" s="8">
        <f t="shared" si="90"/>
        <v>1169.7200000000005</v>
      </c>
      <c r="J833" s="215"/>
      <c r="K833" s="90"/>
    </row>
    <row r="834" spans="1:11" ht="18" customHeight="1" x14ac:dyDescent="0.2">
      <c r="A834" s="20">
        <f t="shared" si="87"/>
        <v>2021</v>
      </c>
      <c r="B834" s="6">
        <f t="shared" si="88"/>
        <v>10</v>
      </c>
      <c r="C834" s="206">
        <v>44488</v>
      </c>
      <c r="D834" s="206">
        <v>44488</v>
      </c>
      <c r="E834" s="96" t="s">
        <v>948</v>
      </c>
      <c r="F834" s="8">
        <v>6.13</v>
      </c>
      <c r="G834" s="203" t="s">
        <v>41</v>
      </c>
      <c r="H834" s="7" t="str">
        <f t="shared" si="89"/>
        <v>Variable</v>
      </c>
      <c r="I834" s="8">
        <f t="shared" si="90"/>
        <v>1175.8500000000006</v>
      </c>
      <c r="J834" s="215"/>
      <c r="K834" s="90"/>
    </row>
    <row r="835" spans="1:11" ht="18" customHeight="1" x14ac:dyDescent="0.2">
      <c r="A835" s="20">
        <f t="shared" si="87"/>
        <v>2021</v>
      </c>
      <c r="B835" s="6">
        <f t="shared" si="88"/>
        <v>10</v>
      </c>
      <c r="C835" s="206">
        <v>44488</v>
      </c>
      <c r="D835" s="206">
        <v>44488</v>
      </c>
      <c r="E835" s="96" t="s">
        <v>1102</v>
      </c>
      <c r="F835" s="8">
        <v>35</v>
      </c>
      <c r="G835" s="203" t="s">
        <v>41</v>
      </c>
      <c r="H835" s="7" t="str">
        <f t="shared" si="89"/>
        <v>Variable</v>
      </c>
      <c r="I835" s="8">
        <f t="shared" si="90"/>
        <v>1210.8500000000006</v>
      </c>
      <c r="J835" s="215"/>
      <c r="K835" s="90"/>
    </row>
    <row r="836" spans="1:11" ht="18" customHeight="1" x14ac:dyDescent="0.2">
      <c r="A836" s="20">
        <f t="shared" si="87"/>
        <v>2021</v>
      </c>
      <c r="B836" s="6">
        <f t="shared" si="88"/>
        <v>10</v>
      </c>
      <c r="C836" s="206">
        <v>44489</v>
      </c>
      <c r="D836" s="206">
        <v>44489</v>
      </c>
      <c r="E836" s="96" t="s">
        <v>948</v>
      </c>
      <c r="F836" s="8">
        <v>10.45</v>
      </c>
      <c r="G836" s="203" t="s">
        <v>41</v>
      </c>
      <c r="H836" s="7" t="str">
        <f t="shared" si="89"/>
        <v>Variable</v>
      </c>
      <c r="I836" s="8">
        <f t="shared" si="90"/>
        <v>1221.3000000000006</v>
      </c>
      <c r="J836" s="215"/>
      <c r="K836" s="90"/>
    </row>
    <row r="837" spans="1:11" ht="18" customHeight="1" x14ac:dyDescent="0.2">
      <c r="A837" s="20">
        <f t="shared" si="87"/>
        <v>2021</v>
      </c>
      <c r="B837" s="6">
        <f t="shared" si="88"/>
        <v>10</v>
      </c>
      <c r="C837" s="206">
        <v>44489</v>
      </c>
      <c r="D837" s="206">
        <v>44489</v>
      </c>
      <c r="E837" s="96" t="s">
        <v>1103</v>
      </c>
      <c r="F837" s="8">
        <v>70.58</v>
      </c>
      <c r="G837" s="221" t="s">
        <v>26</v>
      </c>
      <c r="H837" s="7" t="str">
        <f t="shared" si="89"/>
        <v>Fixed</v>
      </c>
      <c r="I837" s="8">
        <f t="shared" si="90"/>
        <v>1291.8800000000006</v>
      </c>
      <c r="J837" s="221" t="s">
        <v>297</v>
      </c>
      <c r="K837" s="90"/>
    </row>
    <row r="838" spans="1:11" ht="18" customHeight="1" x14ac:dyDescent="0.2">
      <c r="A838" s="20">
        <f t="shared" si="87"/>
        <v>2021</v>
      </c>
      <c r="B838" s="6">
        <f t="shared" si="88"/>
        <v>10</v>
      </c>
      <c r="C838" s="206">
        <v>44490</v>
      </c>
      <c r="D838" s="206">
        <v>44490</v>
      </c>
      <c r="E838" s="96" t="s">
        <v>1104</v>
      </c>
      <c r="F838" s="8">
        <v>26.65</v>
      </c>
      <c r="G838" s="203" t="s">
        <v>68</v>
      </c>
      <c r="H838" s="7" t="str">
        <f t="shared" si="89"/>
        <v>Variable</v>
      </c>
      <c r="I838" s="8">
        <f t="shared" si="90"/>
        <v>1318.5300000000007</v>
      </c>
      <c r="J838" s="215"/>
      <c r="K838" s="90"/>
    </row>
    <row r="839" spans="1:11" ht="18" customHeight="1" x14ac:dyDescent="0.2">
      <c r="A839" s="20">
        <f t="shared" si="87"/>
        <v>2021</v>
      </c>
      <c r="B839" s="6">
        <f t="shared" si="88"/>
        <v>10</v>
      </c>
      <c r="C839" s="206">
        <v>44490</v>
      </c>
      <c r="D839" s="206">
        <v>44490</v>
      </c>
      <c r="E839" s="96" t="s">
        <v>1105</v>
      </c>
      <c r="F839" s="8">
        <v>10.72</v>
      </c>
      <c r="G839" s="203" t="s">
        <v>41</v>
      </c>
      <c r="H839" s="7" t="str">
        <f t="shared" si="89"/>
        <v>Variable</v>
      </c>
      <c r="I839" s="8">
        <f t="shared" si="90"/>
        <v>1329.2500000000007</v>
      </c>
      <c r="J839" s="215"/>
      <c r="K839" s="90"/>
    </row>
    <row r="840" spans="1:11" ht="18" customHeight="1" x14ac:dyDescent="0.2">
      <c r="A840" s="20">
        <f t="shared" si="87"/>
        <v>2021</v>
      </c>
      <c r="B840" s="6">
        <f t="shared" si="88"/>
        <v>10</v>
      </c>
      <c r="C840" s="206">
        <v>44490</v>
      </c>
      <c r="D840" s="206">
        <v>44490</v>
      </c>
      <c r="E840" s="96" t="s">
        <v>81</v>
      </c>
      <c r="F840" s="8">
        <v>7.99</v>
      </c>
      <c r="G840" s="221" t="s">
        <v>26</v>
      </c>
      <c r="H840" s="7" t="str">
        <f t="shared" si="89"/>
        <v>Fixed</v>
      </c>
      <c r="I840" s="8">
        <f t="shared" si="90"/>
        <v>1337.2400000000007</v>
      </c>
      <c r="J840" s="221" t="s">
        <v>1146</v>
      </c>
      <c r="K840" s="90"/>
    </row>
    <row r="841" spans="1:11" ht="18" customHeight="1" x14ac:dyDescent="0.2">
      <c r="A841" s="20">
        <f t="shared" si="87"/>
        <v>2021</v>
      </c>
      <c r="B841" s="6">
        <f t="shared" si="88"/>
        <v>10</v>
      </c>
      <c r="C841" s="206">
        <v>44491</v>
      </c>
      <c r="D841" s="206">
        <v>44491</v>
      </c>
      <c r="E841" s="96" t="s">
        <v>1106</v>
      </c>
      <c r="F841" s="8">
        <v>103</v>
      </c>
      <c r="G841" s="203" t="s">
        <v>68</v>
      </c>
      <c r="H841" s="7" t="str">
        <f t="shared" si="89"/>
        <v>Variable</v>
      </c>
      <c r="I841" s="8">
        <f t="shared" si="90"/>
        <v>1440.2400000000007</v>
      </c>
      <c r="J841" s="215"/>
      <c r="K841" s="90"/>
    </row>
    <row r="842" spans="1:11" ht="18" customHeight="1" x14ac:dyDescent="0.2">
      <c r="A842" s="20">
        <f t="shared" ref="A842:A903" si="91">YEAR(C842)</f>
        <v>2021</v>
      </c>
      <c r="B842" s="6">
        <f t="shared" ref="B842:B903" si="92">MONTH(C842)</f>
        <v>10</v>
      </c>
      <c r="C842" s="206">
        <v>44491</v>
      </c>
      <c r="D842" s="206">
        <v>44491</v>
      </c>
      <c r="E842" s="96" t="s">
        <v>1107</v>
      </c>
      <c r="F842" s="8">
        <v>12.57</v>
      </c>
      <c r="G842" s="203" t="s">
        <v>41</v>
      </c>
      <c r="H842" s="7" t="str">
        <f t="shared" ref="H842:H903" si="93">VLOOKUP(G842,Expense_Lookup,2,0)</f>
        <v>Variable</v>
      </c>
      <c r="I842" s="8">
        <f t="shared" ref="I842:I903" si="94">I841+F842</f>
        <v>1452.8100000000006</v>
      </c>
      <c r="J842" s="215"/>
      <c r="K842" s="90"/>
    </row>
    <row r="843" spans="1:11" ht="18" customHeight="1" x14ac:dyDescent="0.2">
      <c r="A843" s="20">
        <f t="shared" si="91"/>
        <v>2021</v>
      </c>
      <c r="B843" s="6">
        <f t="shared" si="92"/>
        <v>10</v>
      </c>
      <c r="C843" s="206">
        <v>44492</v>
      </c>
      <c r="D843" s="206">
        <v>44492</v>
      </c>
      <c r="E843" s="96" t="s">
        <v>1108</v>
      </c>
      <c r="F843" s="8">
        <v>105.99</v>
      </c>
      <c r="G843" s="221" t="s">
        <v>26</v>
      </c>
      <c r="H843" s="7" t="str">
        <f t="shared" si="93"/>
        <v>Fixed</v>
      </c>
      <c r="I843" s="8">
        <f t="shared" si="94"/>
        <v>1558.8000000000006</v>
      </c>
      <c r="J843" s="215"/>
      <c r="K843" s="90"/>
    </row>
    <row r="844" spans="1:11" ht="18" customHeight="1" x14ac:dyDescent="0.2">
      <c r="A844" s="20">
        <f t="shared" si="91"/>
        <v>2021</v>
      </c>
      <c r="B844" s="6">
        <f t="shared" si="92"/>
        <v>10</v>
      </c>
      <c r="C844" s="206">
        <v>44492</v>
      </c>
      <c r="D844" s="206">
        <v>44492</v>
      </c>
      <c r="E844" s="96" t="s">
        <v>1109</v>
      </c>
      <c r="F844" s="8">
        <v>40</v>
      </c>
      <c r="G844" s="221" t="s">
        <v>89</v>
      </c>
      <c r="H844" s="7" t="str">
        <f t="shared" si="93"/>
        <v>Variable</v>
      </c>
      <c r="I844" s="8">
        <f t="shared" si="94"/>
        <v>1598.8000000000006</v>
      </c>
      <c r="J844" s="221" t="s">
        <v>1187</v>
      </c>
      <c r="K844" s="90"/>
    </row>
    <row r="845" spans="1:11" ht="18" customHeight="1" x14ac:dyDescent="0.2">
      <c r="A845" s="20">
        <f t="shared" si="91"/>
        <v>2021</v>
      </c>
      <c r="B845" s="6">
        <f t="shared" si="92"/>
        <v>10</v>
      </c>
      <c r="C845" s="206">
        <v>44492</v>
      </c>
      <c r="D845" s="206">
        <v>44492</v>
      </c>
      <c r="E845" s="96" t="s">
        <v>1099</v>
      </c>
      <c r="F845" s="8">
        <v>17.54</v>
      </c>
      <c r="G845" s="203" t="s">
        <v>41</v>
      </c>
      <c r="H845" s="7" t="str">
        <f t="shared" si="93"/>
        <v>Variable</v>
      </c>
      <c r="I845" s="8">
        <f t="shared" si="94"/>
        <v>1616.3400000000006</v>
      </c>
      <c r="J845" s="215"/>
      <c r="K845" s="90"/>
    </row>
    <row r="846" spans="1:11" ht="18" customHeight="1" x14ac:dyDescent="0.2">
      <c r="A846" s="20">
        <f t="shared" si="91"/>
        <v>2021</v>
      </c>
      <c r="B846" s="6">
        <f t="shared" si="92"/>
        <v>10</v>
      </c>
      <c r="C846" s="206">
        <v>44494</v>
      </c>
      <c r="D846" s="206">
        <v>44494</v>
      </c>
      <c r="E846" s="96" t="s">
        <v>1008</v>
      </c>
      <c r="F846" s="8">
        <v>320</v>
      </c>
      <c r="G846" s="221" t="s">
        <v>26</v>
      </c>
      <c r="H846" s="7" t="str">
        <f t="shared" si="93"/>
        <v>Fixed</v>
      </c>
      <c r="I846" s="8">
        <f t="shared" si="94"/>
        <v>1936.3400000000006</v>
      </c>
      <c r="J846" s="221" t="s">
        <v>1147</v>
      </c>
      <c r="K846" s="90"/>
    </row>
    <row r="847" spans="1:11" ht="18" customHeight="1" x14ac:dyDescent="0.2">
      <c r="A847" s="20">
        <f t="shared" si="91"/>
        <v>2021</v>
      </c>
      <c r="B847" s="6">
        <f t="shared" si="92"/>
        <v>10</v>
      </c>
      <c r="C847" s="206">
        <v>44494</v>
      </c>
      <c r="D847" s="206">
        <v>44494</v>
      </c>
      <c r="E847" s="96" t="s">
        <v>1110</v>
      </c>
      <c r="F847" s="8">
        <v>16.149999999999999</v>
      </c>
      <c r="G847" s="221" t="s">
        <v>26</v>
      </c>
      <c r="H847" s="7" t="str">
        <f t="shared" si="93"/>
        <v>Fixed</v>
      </c>
      <c r="I847" s="8">
        <f t="shared" si="94"/>
        <v>1952.4900000000007</v>
      </c>
      <c r="J847" s="221" t="s">
        <v>1148</v>
      </c>
      <c r="K847" s="90"/>
    </row>
    <row r="848" spans="1:11" ht="18" customHeight="1" x14ac:dyDescent="0.2">
      <c r="A848" s="20">
        <f t="shared" si="91"/>
        <v>2021</v>
      </c>
      <c r="B848" s="6">
        <f t="shared" si="92"/>
        <v>10</v>
      </c>
      <c r="C848" s="206">
        <v>44494</v>
      </c>
      <c r="D848" s="206">
        <v>44494</v>
      </c>
      <c r="E848" s="96" t="s">
        <v>1069</v>
      </c>
      <c r="F848" s="8">
        <v>14.49</v>
      </c>
      <c r="G848" s="203" t="s">
        <v>90</v>
      </c>
      <c r="H848" s="7" t="str">
        <f t="shared" si="93"/>
        <v>Variable</v>
      </c>
      <c r="I848" s="8">
        <f t="shared" si="94"/>
        <v>1966.9800000000007</v>
      </c>
      <c r="J848" s="215"/>
      <c r="K848" s="90"/>
    </row>
    <row r="849" spans="1:11" ht="18" customHeight="1" x14ac:dyDescent="0.2">
      <c r="A849" s="20">
        <f t="shared" si="91"/>
        <v>2021</v>
      </c>
      <c r="B849" s="6">
        <f t="shared" si="92"/>
        <v>10</v>
      </c>
      <c r="C849" s="206">
        <v>44494</v>
      </c>
      <c r="D849" s="206">
        <v>44494</v>
      </c>
      <c r="E849" s="96" t="s">
        <v>1111</v>
      </c>
      <c r="F849" s="8">
        <v>39.08</v>
      </c>
      <c r="G849" s="203" t="s">
        <v>41</v>
      </c>
      <c r="H849" s="7" t="str">
        <f t="shared" si="93"/>
        <v>Variable</v>
      </c>
      <c r="I849" s="8">
        <f t="shared" si="94"/>
        <v>2006.0600000000006</v>
      </c>
      <c r="J849" s="215"/>
      <c r="K849" s="90"/>
    </row>
    <row r="850" spans="1:11" ht="18" customHeight="1" x14ac:dyDescent="0.2">
      <c r="A850" s="20">
        <f t="shared" si="91"/>
        <v>2021</v>
      </c>
      <c r="B850" s="6">
        <f t="shared" si="92"/>
        <v>10</v>
      </c>
      <c r="C850" s="206">
        <v>44495</v>
      </c>
      <c r="D850" s="206">
        <v>44495</v>
      </c>
      <c r="E850" s="96" t="s">
        <v>1112</v>
      </c>
      <c r="F850" s="8">
        <v>35.58</v>
      </c>
      <c r="G850" s="203" t="s">
        <v>24</v>
      </c>
      <c r="H850" s="7" t="str">
        <f t="shared" si="93"/>
        <v>Variable</v>
      </c>
      <c r="I850" s="8">
        <f t="shared" si="94"/>
        <v>2041.6400000000006</v>
      </c>
      <c r="J850" s="215"/>
      <c r="K850" s="90"/>
    </row>
    <row r="851" spans="1:11" ht="18" customHeight="1" x14ac:dyDescent="0.2">
      <c r="A851" s="20">
        <f t="shared" si="91"/>
        <v>2021</v>
      </c>
      <c r="B851" s="6">
        <f t="shared" si="92"/>
        <v>10</v>
      </c>
      <c r="C851" s="206">
        <v>44495</v>
      </c>
      <c r="D851" s="206">
        <v>44495</v>
      </c>
      <c r="E851" s="96" t="s">
        <v>1113</v>
      </c>
      <c r="F851" s="8">
        <v>48.86</v>
      </c>
      <c r="G851" s="221" t="s">
        <v>68</v>
      </c>
      <c r="H851" s="7" t="str">
        <f t="shared" si="93"/>
        <v>Variable</v>
      </c>
      <c r="I851" s="8">
        <f t="shared" si="94"/>
        <v>2090.5000000000005</v>
      </c>
      <c r="J851" s="221" t="s">
        <v>1186</v>
      </c>
      <c r="K851" s="90"/>
    </row>
    <row r="852" spans="1:11" ht="18" customHeight="1" x14ac:dyDescent="0.2">
      <c r="A852" s="20">
        <f t="shared" si="91"/>
        <v>2021</v>
      </c>
      <c r="B852" s="6">
        <f t="shared" si="92"/>
        <v>10</v>
      </c>
      <c r="C852" s="206">
        <v>44495</v>
      </c>
      <c r="D852" s="206">
        <v>44495</v>
      </c>
      <c r="E852" s="96" t="s">
        <v>1114</v>
      </c>
      <c r="F852" s="8">
        <v>30</v>
      </c>
      <c r="G852" s="203" t="s">
        <v>41</v>
      </c>
      <c r="H852" s="7" t="str">
        <f t="shared" si="93"/>
        <v>Variable</v>
      </c>
      <c r="I852" s="8">
        <f t="shared" si="94"/>
        <v>2120.5000000000005</v>
      </c>
      <c r="J852" s="215"/>
      <c r="K852" s="90"/>
    </row>
    <row r="853" spans="1:11" ht="18" customHeight="1" x14ac:dyDescent="0.2">
      <c r="A853" s="20">
        <f t="shared" si="91"/>
        <v>2021</v>
      </c>
      <c r="B853" s="6">
        <f t="shared" si="92"/>
        <v>10</v>
      </c>
      <c r="C853" s="206">
        <v>44496</v>
      </c>
      <c r="D853" s="206">
        <v>44496</v>
      </c>
      <c r="E853" s="96" t="s">
        <v>1115</v>
      </c>
      <c r="F853" s="8">
        <v>24.37</v>
      </c>
      <c r="G853" s="221" t="s">
        <v>26</v>
      </c>
      <c r="H853" s="7" t="str">
        <f t="shared" si="93"/>
        <v>Fixed</v>
      </c>
      <c r="I853" s="8">
        <f t="shared" si="94"/>
        <v>2144.8700000000003</v>
      </c>
      <c r="J853" s="221" t="s">
        <v>297</v>
      </c>
      <c r="K853" s="90"/>
    </row>
    <row r="854" spans="1:11" ht="18" customHeight="1" x14ac:dyDescent="0.2">
      <c r="A854" s="20">
        <f t="shared" si="91"/>
        <v>2021</v>
      </c>
      <c r="B854" s="6">
        <f t="shared" si="92"/>
        <v>10</v>
      </c>
      <c r="C854" s="206">
        <v>44496</v>
      </c>
      <c r="D854" s="206">
        <v>44496</v>
      </c>
      <c r="E854" s="96" t="s">
        <v>1116</v>
      </c>
      <c r="F854" s="8">
        <v>198.74</v>
      </c>
      <c r="G854" s="221" t="s">
        <v>68</v>
      </c>
      <c r="H854" s="7" t="str">
        <f t="shared" si="93"/>
        <v>Variable</v>
      </c>
      <c r="I854" s="8">
        <f t="shared" si="94"/>
        <v>2343.6100000000006</v>
      </c>
      <c r="J854" s="221" t="s">
        <v>1185</v>
      </c>
      <c r="K854" s="90"/>
    </row>
    <row r="855" spans="1:11" ht="18" customHeight="1" x14ac:dyDescent="0.2">
      <c r="A855" s="20">
        <f t="shared" si="91"/>
        <v>2021</v>
      </c>
      <c r="B855" s="6">
        <f t="shared" si="92"/>
        <v>10</v>
      </c>
      <c r="C855" s="206">
        <v>44497</v>
      </c>
      <c r="D855" s="206">
        <v>44497</v>
      </c>
      <c r="E855" s="96" t="s">
        <v>1117</v>
      </c>
      <c r="F855" s="8">
        <v>366.23</v>
      </c>
      <c r="G855" s="203" t="s">
        <v>68</v>
      </c>
      <c r="H855" s="7" t="str">
        <f t="shared" si="93"/>
        <v>Variable</v>
      </c>
      <c r="I855" s="8">
        <f t="shared" si="94"/>
        <v>2709.8400000000006</v>
      </c>
      <c r="J855" s="221" t="s">
        <v>1149</v>
      </c>
      <c r="K855" s="90"/>
    </row>
    <row r="856" spans="1:11" ht="18" customHeight="1" x14ac:dyDescent="0.2">
      <c r="A856" s="20">
        <f t="shared" si="91"/>
        <v>2021</v>
      </c>
      <c r="B856" s="6">
        <f t="shared" si="92"/>
        <v>10</v>
      </c>
      <c r="C856" s="206">
        <v>44498</v>
      </c>
      <c r="D856" s="206">
        <v>44498</v>
      </c>
      <c r="E856" s="96" t="s">
        <v>1118</v>
      </c>
      <c r="F856" s="8">
        <v>17.14</v>
      </c>
      <c r="G856" s="203" t="s">
        <v>89</v>
      </c>
      <c r="H856" s="7" t="str">
        <f t="shared" si="93"/>
        <v>Variable</v>
      </c>
      <c r="I856" s="8">
        <f t="shared" si="94"/>
        <v>2726.9800000000005</v>
      </c>
      <c r="J856" s="215"/>
      <c r="K856" s="90"/>
    </row>
    <row r="857" spans="1:11" ht="18" customHeight="1" x14ac:dyDescent="0.2">
      <c r="A857" s="20">
        <f t="shared" si="91"/>
        <v>2021</v>
      </c>
      <c r="B857" s="6">
        <f t="shared" si="92"/>
        <v>10</v>
      </c>
      <c r="C857" s="206">
        <v>44498</v>
      </c>
      <c r="D857" s="206">
        <v>44498</v>
      </c>
      <c r="E857" s="96" t="s">
        <v>954</v>
      </c>
      <c r="F857" s="8">
        <v>27.41</v>
      </c>
      <c r="G857" s="203" t="s">
        <v>41</v>
      </c>
      <c r="H857" s="7" t="str">
        <f t="shared" si="93"/>
        <v>Variable</v>
      </c>
      <c r="I857" s="8">
        <f t="shared" si="94"/>
        <v>2754.3900000000003</v>
      </c>
      <c r="J857" s="215"/>
      <c r="K857" s="90"/>
    </row>
    <row r="858" spans="1:11" ht="18" customHeight="1" x14ac:dyDescent="0.2">
      <c r="A858" s="20">
        <f t="shared" si="91"/>
        <v>2021</v>
      </c>
      <c r="B858" s="6">
        <f t="shared" si="92"/>
        <v>10</v>
      </c>
      <c r="C858" s="206">
        <v>44498</v>
      </c>
      <c r="D858" s="206">
        <v>44498</v>
      </c>
      <c r="E858" s="96" t="s">
        <v>1119</v>
      </c>
      <c r="F858" s="8">
        <v>5.73</v>
      </c>
      <c r="G858" s="203" t="s">
        <v>41</v>
      </c>
      <c r="H858" s="7" t="str">
        <f t="shared" si="93"/>
        <v>Variable</v>
      </c>
      <c r="I858" s="8">
        <f t="shared" si="94"/>
        <v>2760.1200000000003</v>
      </c>
      <c r="J858" s="215"/>
      <c r="K858" s="90"/>
    </row>
    <row r="859" spans="1:11" ht="18" customHeight="1" x14ac:dyDescent="0.2">
      <c r="A859" s="20">
        <f t="shared" si="91"/>
        <v>2021</v>
      </c>
      <c r="B859" s="6">
        <f t="shared" si="92"/>
        <v>10</v>
      </c>
      <c r="C859" s="206">
        <v>44498</v>
      </c>
      <c r="D859" s="206">
        <v>44498</v>
      </c>
      <c r="E859" s="96" t="s">
        <v>1120</v>
      </c>
      <c r="F859" s="8">
        <v>92.77</v>
      </c>
      <c r="G859" s="203" t="s">
        <v>90</v>
      </c>
      <c r="H859" s="7" t="str">
        <f t="shared" si="93"/>
        <v>Variable</v>
      </c>
      <c r="I859" s="8">
        <f t="shared" si="94"/>
        <v>2852.8900000000003</v>
      </c>
      <c r="J859" s="215"/>
      <c r="K859" s="90"/>
    </row>
    <row r="860" spans="1:11" ht="18" customHeight="1" x14ac:dyDescent="0.2">
      <c r="A860" s="20">
        <f t="shared" si="91"/>
        <v>2021</v>
      </c>
      <c r="B860" s="6">
        <f t="shared" si="92"/>
        <v>10</v>
      </c>
      <c r="C860" s="206">
        <v>44499</v>
      </c>
      <c r="D860" s="206">
        <v>44499</v>
      </c>
      <c r="E860" s="96" t="s">
        <v>1121</v>
      </c>
      <c r="F860" s="8">
        <v>4.88</v>
      </c>
      <c r="G860" s="203" t="s">
        <v>24</v>
      </c>
      <c r="H860" s="7" t="str">
        <f t="shared" si="93"/>
        <v>Variable</v>
      </c>
      <c r="I860" s="8">
        <f t="shared" si="94"/>
        <v>2857.7700000000004</v>
      </c>
      <c r="J860" s="215"/>
      <c r="K860" s="90"/>
    </row>
    <row r="861" spans="1:11" ht="18" customHeight="1" x14ac:dyDescent="0.2">
      <c r="A861" s="20">
        <f t="shared" si="91"/>
        <v>2021</v>
      </c>
      <c r="B861" s="6">
        <f t="shared" si="92"/>
        <v>10</v>
      </c>
      <c r="C861" s="206">
        <v>44499</v>
      </c>
      <c r="D861" s="206">
        <v>44499</v>
      </c>
      <c r="E861" s="96" t="s">
        <v>1120</v>
      </c>
      <c r="F861" s="8">
        <v>5.48</v>
      </c>
      <c r="G861" s="203" t="s">
        <v>68</v>
      </c>
      <c r="H861" s="7" t="str">
        <f t="shared" si="93"/>
        <v>Variable</v>
      </c>
      <c r="I861" s="8">
        <f t="shared" si="94"/>
        <v>2863.2500000000005</v>
      </c>
      <c r="J861" s="215"/>
      <c r="K861" s="90"/>
    </row>
    <row r="862" spans="1:11" ht="18" customHeight="1" x14ac:dyDescent="0.2">
      <c r="A862" s="20">
        <f t="shared" si="91"/>
        <v>2021</v>
      </c>
      <c r="B862" s="6">
        <f t="shared" si="92"/>
        <v>10</v>
      </c>
      <c r="C862" s="206">
        <v>44499</v>
      </c>
      <c r="D862" s="206">
        <v>44499</v>
      </c>
      <c r="E862" s="96" t="s">
        <v>1120</v>
      </c>
      <c r="F862" s="8">
        <v>8.1300000000000008</v>
      </c>
      <c r="G862" s="203" t="s">
        <v>68</v>
      </c>
      <c r="H862" s="7" t="str">
        <f t="shared" si="93"/>
        <v>Variable</v>
      </c>
      <c r="I862" s="8">
        <f t="shared" si="94"/>
        <v>2871.3800000000006</v>
      </c>
      <c r="J862" s="215"/>
      <c r="K862" s="90"/>
    </row>
    <row r="863" spans="1:11" ht="18" customHeight="1" x14ac:dyDescent="0.2">
      <c r="A863" s="20">
        <f t="shared" si="91"/>
        <v>2021</v>
      </c>
      <c r="B863" s="6">
        <f t="shared" si="92"/>
        <v>10</v>
      </c>
      <c r="C863" s="206">
        <v>44499</v>
      </c>
      <c r="D863" s="206">
        <v>44501</v>
      </c>
      <c r="E863" s="96" t="s">
        <v>1106</v>
      </c>
      <c r="F863" s="8">
        <v>-32.42</v>
      </c>
      <c r="G863" s="203" t="s">
        <v>22</v>
      </c>
      <c r="H863" s="7" t="str">
        <f t="shared" si="93"/>
        <v>Payment</v>
      </c>
      <c r="I863" s="8">
        <f t="shared" si="94"/>
        <v>2838.9600000000005</v>
      </c>
      <c r="J863" s="215"/>
      <c r="K863" s="90"/>
    </row>
    <row r="864" spans="1:11" ht="18" customHeight="1" x14ac:dyDescent="0.2">
      <c r="A864" s="20">
        <f t="shared" si="91"/>
        <v>2021</v>
      </c>
      <c r="B864" s="6">
        <f t="shared" si="92"/>
        <v>11</v>
      </c>
      <c r="C864" s="222">
        <v>44501</v>
      </c>
      <c r="D864" s="222">
        <v>44501</v>
      </c>
      <c r="E864" s="96" t="s">
        <v>948</v>
      </c>
      <c r="F864" s="8">
        <v>10.71</v>
      </c>
      <c r="G864" s="203" t="s">
        <v>41</v>
      </c>
      <c r="H864" s="7" t="str">
        <f t="shared" si="93"/>
        <v>Variable</v>
      </c>
      <c r="I864" s="8">
        <f t="shared" si="94"/>
        <v>2849.6700000000005</v>
      </c>
      <c r="J864" s="215"/>
      <c r="K864" s="90"/>
    </row>
    <row r="865" spans="1:11" ht="18" customHeight="1" x14ac:dyDescent="0.2">
      <c r="A865" s="20">
        <f t="shared" si="91"/>
        <v>2021</v>
      </c>
      <c r="B865" s="6">
        <f t="shared" si="92"/>
        <v>11</v>
      </c>
      <c r="C865" s="222">
        <v>44501</v>
      </c>
      <c r="D865" s="222">
        <v>44501</v>
      </c>
      <c r="E865" s="96" t="s">
        <v>1122</v>
      </c>
      <c r="F865" s="8">
        <v>14.83</v>
      </c>
      <c r="G865" s="221" t="s">
        <v>26</v>
      </c>
      <c r="H865" s="7" t="str">
        <f t="shared" si="93"/>
        <v>Fixed</v>
      </c>
      <c r="I865" s="8">
        <f t="shared" si="94"/>
        <v>2864.5000000000005</v>
      </c>
      <c r="J865" s="221" t="s">
        <v>7</v>
      </c>
      <c r="K865" s="90"/>
    </row>
    <row r="866" spans="1:11" ht="18" customHeight="1" x14ac:dyDescent="0.2">
      <c r="A866" s="20">
        <f t="shared" si="91"/>
        <v>2021</v>
      </c>
      <c r="B866" s="6">
        <f t="shared" si="92"/>
        <v>11</v>
      </c>
      <c r="C866" s="222">
        <v>44501</v>
      </c>
      <c r="D866" s="222">
        <v>44503</v>
      </c>
      <c r="E866" s="96" t="s">
        <v>1123</v>
      </c>
      <c r="F866" s="8">
        <v>9.99</v>
      </c>
      <c r="G866" s="221" t="s">
        <v>26</v>
      </c>
      <c r="H866" s="7" t="str">
        <f t="shared" si="93"/>
        <v>Fixed</v>
      </c>
      <c r="I866" s="8">
        <f t="shared" si="94"/>
        <v>2874.4900000000002</v>
      </c>
      <c r="J866" s="221" t="s">
        <v>6</v>
      </c>
      <c r="K866" s="90"/>
    </row>
    <row r="867" spans="1:11" ht="18" customHeight="1" x14ac:dyDescent="0.2">
      <c r="A867" s="20">
        <f t="shared" si="91"/>
        <v>2021</v>
      </c>
      <c r="B867" s="6">
        <f t="shared" si="92"/>
        <v>11</v>
      </c>
      <c r="C867" s="222">
        <v>44502</v>
      </c>
      <c r="D867" s="222">
        <v>44503</v>
      </c>
      <c r="E867" s="96" t="s">
        <v>577</v>
      </c>
      <c r="F867" s="8">
        <v>10</v>
      </c>
      <c r="G867" s="221" t="s">
        <v>26</v>
      </c>
      <c r="H867" s="7" t="str">
        <f t="shared" si="93"/>
        <v>Fixed</v>
      </c>
      <c r="I867" s="8">
        <f t="shared" si="94"/>
        <v>2884.4900000000002</v>
      </c>
      <c r="J867" s="221" t="s">
        <v>299</v>
      </c>
      <c r="K867" s="90"/>
    </row>
    <row r="868" spans="1:11" ht="18" customHeight="1" x14ac:dyDescent="0.2">
      <c r="A868" s="20">
        <f t="shared" si="91"/>
        <v>2021</v>
      </c>
      <c r="B868" s="6">
        <f t="shared" si="92"/>
        <v>11</v>
      </c>
      <c r="C868" s="222">
        <v>44503</v>
      </c>
      <c r="D868" s="222">
        <v>44503</v>
      </c>
      <c r="E868" s="96" t="s">
        <v>61</v>
      </c>
      <c r="F868" s="8">
        <v>-43.38</v>
      </c>
      <c r="G868" s="203" t="s">
        <v>62</v>
      </c>
      <c r="H868" s="7" t="str">
        <f t="shared" si="93"/>
        <v>Payment</v>
      </c>
      <c r="I868" s="8">
        <f t="shared" si="94"/>
        <v>2841.11</v>
      </c>
      <c r="J868" s="215"/>
      <c r="K868" s="90"/>
    </row>
    <row r="869" spans="1:11" ht="18" customHeight="1" x14ac:dyDescent="0.2">
      <c r="A869" s="20">
        <f t="shared" si="91"/>
        <v>2021</v>
      </c>
      <c r="B869" s="6">
        <f t="shared" si="92"/>
        <v>11</v>
      </c>
      <c r="C869" s="222">
        <v>44503</v>
      </c>
      <c r="D869" s="222">
        <v>44503</v>
      </c>
      <c r="E869" s="96" t="s">
        <v>21</v>
      </c>
      <c r="F869" s="8">
        <v>-1000</v>
      </c>
      <c r="G869" s="203" t="s">
        <v>22</v>
      </c>
      <c r="H869" s="7" t="str">
        <f t="shared" si="93"/>
        <v>Payment</v>
      </c>
      <c r="I869" s="8">
        <f t="shared" si="94"/>
        <v>1841.1100000000001</v>
      </c>
      <c r="J869" s="215"/>
      <c r="K869" s="90"/>
    </row>
    <row r="870" spans="1:11" ht="18" customHeight="1" x14ac:dyDescent="0.2">
      <c r="A870" s="20">
        <f t="shared" si="91"/>
        <v>2021</v>
      </c>
      <c r="B870" s="6">
        <f t="shared" si="92"/>
        <v>11</v>
      </c>
      <c r="C870" s="222">
        <v>44503</v>
      </c>
      <c r="D870" s="222">
        <v>44503</v>
      </c>
      <c r="E870" s="96" t="s">
        <v>181</v>
      </c>
      <c r="F870" s="8">
        <v>12.99</v>
      </c>
      <c r="G870" s="221" t="s">
        <v>26</v>
      </c>
      <c r="H870" s="7" t="str">
        <f t="shared" si="93"/>
        <v>Fixed</v>
      </c>
      <c r="I870" s="8">
        <f t="shared" si="94"/>
        <v>1854.1000000000001</v>
      </c>
      <c r="J870" s="221" t="s">
        <v>298</v>
      </c>
      <c r="K870" s="90"/>
    </row>
    <row r="871" spans="1:11" ht="18" customHeight="1" x14ac:dyDescent="0.2">
      <c r="A871" s="20">
        <f t="shared" si="91"/>
        <v>2021</v>
      </c>
      <c r="B871" s="6">
        <f t="shared" si="92"/>
        <v>11</v>
      </c>
      <c r="C871" s="222">
        <v>44503</v>
      </c>
      <c r="D871" s="222">
        <v>44503</v>
      </c>
      <c r="E871" s="96" t="s">
        <v>32</v>
      </c>
      <c r="F871" s="8">
        <v>102.79</v>
      </c>
      <c r="G871" s="221" t="s">
        <v>26</v>
      </c>
      <c r="H871" s="7" t="str">
        <f t="shared" si="93"/>
        <v>Fixed</v>
      </c>
      <c r="I871" s="8">
        <f t="shared" si="94"/>
        <v>1956.89</v>
      </c>
      <c r="J871" s="221" t="s">
        <v>8</v>
      </c>
      <c r="K871" s="90"/>
    </row>
    <row r="872" spans="1:11" ht="18" customHeight="1" x14ac:dyDescent="0.2">
      <c r="A872" s="20">
        <f t="shared" si="91"/>
        <v>2021</v>
      </c>
      <c r="B872" s="6">
        <f t="shared" si="92"/>
        <v>11</v>
      </c>
      <c r="C872" s="222">
        <v>44503</v>
      </c>
      <c r="D872" s="222">
        <v>44503</v>
      </c>
      <c r="E872" s="96" t="s">
        <v>1099</v>
      </c>
      <c r="F872" s="8">
        <v>17.29</v>
      </c>
      <c r="G872" s="203" t="s">
        <v>41</v>
      </c>
      <c r="H872" s="7" t="str">
        <f t="shared" si="93"/>
        <v>Variable</v>
      </c>
      <c r="I872" s="8">
        <f t="shared" si="94"/>
        <v>1974.18</v>
      </c>
      <c r="J872" s="215"/>
      <c r="K872" s="90"/>
    </row>
    <row r="873" spans="1:11" ht="18" customHeight="1" x14ac:dyDescent="0.2">
      <c r="A873" s="20">
        <f t="shared" si="91"/>
        <v>2021</v>
      </c>
      <c r="B873" s="6">
        <f t="shared" si="92"/>
        <v>11</v>
      </c>
      <c r="C873" s="222">
        <v>44503</v>
      </c>
      <c r="D873" s="222">
        <v>44503</v>
      </c>
      <c r="E873" s="96" t="s">
        <v>1073</v>
      </c>
      <c r="F873" s="8">
        <v>34.590000000000003</v>
      </c>
      <c r="G873" s="203" t="s">
        <v>68</v>
      </c>
      <c r="H873" s="7" t="str">
        <f t="shared" si="93"/>
        <v>Variable</v>
      </c>
      <c r="I873" s="8">
        <f t="shared" si="94"/>
        <v>2008.77</v>
      </c>
      <c r="J873" s="215"/>
      <c r="K873" s="90"/>
    </row>
    <row r="874" spans="1:11" ht="18" customHeight="1" x14ac:dyDescent="0.2">
      <c r="A874" s="20">
        <f t="shared" si="91"/>
        <v>2021</v>
      </c>
      <c r="B874" s="6">
        <f t="shared" si="92"/>
        <v>11</v>
      </c>
      <c r="C874" s="222">
        <v>44505</v>
      </c>
      <c r="D874" s="222">
        <v>44505</v>
      </c>
      <c r="E874" s="96" t="s">
        <v>1124</v>
      </c>
      <c r="F874" s="8">
        <v>14.98</v>
      </c>
      <c r="G874" s="203" t="s">
        <v>41</v>
      </c>
      <c r="H874" s="7" t="str">
        <f t="shared" si="93"/>
        <v>Variable</v>
      </c>
      <c r="I874" s="8">
        <f t="shared" si="94"/>
        <v>2023.75</v>
      </c>
      <c r="J874" s="215"/>
      <c r="K874" s="90"/>
    </row>
    <row r="875" spans="1:11" ht="18" customHeight="1" x14ac:dyDescent="0.2">
      <c r="A875" s="20">
        <f t="shared" si="91"/>
        <v>2021</v>
      </c>
      <c r="B875" s="6">
        <f t="shared" si="92"/>
        <v>11</v>
      </c>
      <c r="C875" s="222">
        <v>44505</v>
      </c>
      <c r="D875" s="222">
        <v>44505</v>
      </c>
      <c r="E875" s="96" t="s">
        <v>1125</v>
      </c>
      <c r="F875" s="8">
        <v>107.36</v>
      </c>
      <c r="G875" s="203" t="s">
        <v>68</v>
      </c>
      <c r="H875" s="7" t="str">
        <f t="shared" si="93"/>
        <v>Variable</v>
      </c>
      <c r="I875" s="8">
        <f t="shared" si="94"/>
        <v>2131.11</v>
      </c>
      <c r="J875" s="221" t="s">
        <v>1184</v>
      </c>
      <c r="K875" s="90"/>
    </row>
    <row r="876" spans="1:11" ht="18" customHeight="1" x14ac:dyDescent="0.2">
      <c r="A876" s="20">
        <f t="shared" si="91"/>
        <v>2021</v>
      </c>
      <c r="B876" s="6">
        <f t="shared" si="92"/>
        <v>11</v>
      </c>
      <c r="C876" s="222">
        <v>44505</v>
      </c>
      <c r="D876" s="222">
        <v>44505</v>
      </c>
      <c r="E876" s="96" t="s">
        <v>1126</v>
      </c>
      <c r="F876" s="8">
        <v>17.37</v>
      </c>
      <c r="G876" s="203" t="s">
        <v>68</v>
      </c>
      <c r="H876" s="7" t="str">
        <f t="shared" si="93"/>
        <v>Variable</v>
      </c>
      <c r="I876" s="8">
        <f t="shared" si="94"/>
        <v>2148.48</v>
      </c>
      <c r="J876" s="215"/>
      <c r="K876" s="90"/>
    </row>
    <row r="877" spans="1:11" ht="18" customHeight="1" x14ac:dyDescent="0.2">
      <c r="A877" s="20">
        <f t="shared" si="91"/>
        <v>2021</v>
      </c>
      <c r="B877" s="6">
        <f t="shared" si="92"/>
        <v>11</v>
      </c>
      <c r="C877" s="222">
        <v>44506</v>
      </c>
      <c r="D877" s="222">
        <v>44506</v>
      </c>
      <c r="E877" s="96" t="s">
        <v>21</v>
      </c>
      <c r="F877" s="8">
        <v>-1000</v>
      </c>
      <c r="G877" s="203" t="s">
        <v>22</v>
      </c>
      <c r="H877" s="7" t="str">
        <f t="shared" si="93"/>
        <v>Payment</v>
      </c>
      <c r="I877" s="8">
        <f t="shared" si="94"/>
        <v>1148.48</v>
      </c>
      <c r="J877" s="215"/>
      <c r="K877" s="90"/>
    </row>
    <row r="878" spans="1:11" ht="18" customHeight="1" x14ac:dyDescent="0.2">
      <c r="A878" s="20">
        <f t="shared" si="91"/>
        <v>2021</v>
      </c>
      <c r="B878" s="6">
        <f t="shared" si="92"/>
        <v>11</v>
      </c>
      <c r="C878" s="222">
        <v>44506</v>
      </c>
      <c r="D878" s="222">
        <v>44506</v>
      </c>
      <c r="E878" s="96" t="s">
        <v>1127</v>
      </c>
      <c r="F878" s="8">
        <v>62.05</v>
      </c>
      <c r="G878" s="203" t="s">
        <v>90</v>
      </c>
      <c r="H878" s="7" t="str">
        <f t="shared" si="93"/>
        <v>Variable</v>
      </c>
      <c r="I878" s="8">
        <f t="shared" si="94"/>
        <v>1210.53</v>
      </c>
      <c r="J878" s="215"/>
      <c r="K878" s="90"/>
    </row>
    <row r="879" spans="1:11" ht="18" customHeight="1" x14ac:dyDescent="0.2">
      <c r="A879" s="20">
        <f t="shared" si="91"/>
        <v>2021</v>
      </c>
      <c r="B879" s="6">
        <f t="shared" si="92"/>
        <v>11</v>
      </c>
      <c r="C879" s="222">
        <v>44507</v>
      </c>
      <c r="D879" s="222">
        <v>44507</v>
      </c>
      <c r="E879" s="96" t="s">
        <v>1128</v>
      </c>
      <c r="F879" s="8">
        <v>5</v>
      </c>
      <c r="G879" s="203" t="s">
        <v>52</v>
      </c>
      <c r="H879" s="7" t="str">
        <f t="shared" si="93"/>
        <v>Variable</v>
      </c>
      <c r="I879" s="8">
        <f t="shared" si="94"/>
        <v>1215.53</v>
      </c>
      <c r="J879" s="215"/>
      <c r="K879" s="90"/>
    </row>
    <row r="880" spans="1:11" ht="18" customHeight="1" x14ac:dyDescent="0.2">
      <c r="A880" s="20">
        <f t="shared" si="91"/>
        <v>2021</v>
      </c>
      <c r="B880" s="6">
        <f t="shared" si="92"/>
        <v>11</v>
      </c>
      <c r="C880" s="222">
        <v>44507</v>
      </c>
      <c r="D880" s="222">
        <v>44507</v>
      </c>
      <c r="E880" s="96" t="s">
        <v>1129</v>
      </c>
      <c r="F880" s="8">
        <v>9.7799999999999994</v>
      </c>
      <c r="G880" s="203" t="s">
        <v>41</v>
      </c>
      <c r="H880" s="7" t="str">
        <f t="shared" si="93"/>
        <v>Variable</v>
      </c>
      <c r="I880" s="8">
        <f t="shared" si="94"/>
        <v>1225.31</v>
      </c>
      <c r="J880" s="215"/>
      <c r="K880" s="90"/>
    </row>
    <row r="881" spans="1:11" ht="18" customHeight="1" x14ac:dyDescent="0.2">
      <c r="A881" s="20">
        <f t="shared" si="91"/>
        <v>2021</v>
      </c>
      <c r="B881" s="6">
        <f t="shared" si="92"/>
        <v>11</v>
      </c>
      <c r="C881" s="222">
        <v>44507</v>
      </c>
      <c r="D881" s="222">
        <v>44507</v>
      </c>
      <c r="E881" s="96" t="s">
        <v>1129</v>
      </c>
      <c r="F881" s="8">
        <v>16.690000000000001</v>
      </c>
      <c r="G881" s="203" t="s">
        <v>41</v>
      </c>
      <c r="H881" s="7" t="str">
        <f t="shared" si="93"/>
        <v>Variable</v>
      </c>
      <c r="I881" s="8">
        <f t="shared" si="94"/>
        <v>1242</v>
      </c>
      <c r="J881" s="215"/>
      <c r="K881" s="90"/>
    </row>
    <row r="882" spans="1:11" ht="18" customHeight="1" x14ac:dyDescent="0.2">
      <c r="A882" s="20">
        <f t="shared" si="91"/>
        <v>2021</v>
      </c>
      <c r="B882" s="6">
        <f t="shared" si="92"/>
        <v>11</v>
      </c>
      <c r="C882" s="222">
        <v>44507</v>
      </c>
      <c r="D882" s="222">
        <v>44507</v>
      </c>
      <c r="E882" s="96" t="s">
        <v>1130</v>
      </c>
      <c r="F882" s="8">
        <v>35</v>
      </c>
      <c r="G882" s="203" t="s">
        <v>89</v>
      </c>
      <c r="H882" s="7" t="str">
        <f t="shared" si="93"/>
        <v>Variable</v>
      </c>
      <c r="I882" s="8">
        <f t="shared" si="94"/>
        <v>1277</v>
      </c>
      <c r="J882" s="221" t="s">
        <v>1183</v>
      </c>
      <c r="K882" s="90"/>
    </row>
    <row r="883" spans="1:11" ht="18" customHeight="1" x14ac:dyDescent="0.2">
      <c r="A883" s="20">
        <f t="shared" si="91"/>
        <v>2021</v>
      </c>
      <c r="B883" s="6">
        <f t="shared" si="92"/>
        <v>11</v>
      </c>
      <c r="C883" s="222">
        <v>44507</v>
      </c>
      <c r="D883" s="222">
        <v>44507</v>
      </c>
      <c r="E883" s="96" t="s">
        <v>1131</v>
      </c>
      <c r="F883" s="8">
        <v>10.82</v>
      </c>
      <c r="G883" s="203" t="s">
        <v>68</v>
      </c>
      <c r="H883" s="7" t="str">
        <f t="shared" si="93"/>
        <v>Variable</v>
      </c>
      <c r="I883" s="8">
        <f t="shared" si="94"/>
        <v>1287.82</v>
      </c>
      <c r="J883" s="215"/>
      <c r="K883" s="90"/>
    </row>
    <row r="884" spans="1:11" ht="18" customHeight="1" x14ac:dyDescent="0.2">
      <c r="A884" s="20">
        <f t="shared" si="91"/>
        <v>2021</v>
      </c>
      <c r="B884" s="6">
        <f t="shared" si="92"/>
        <v>11</v>
      </c>
      <c r="C884" s="222">
        <v>44508</v>
      </c>
      <c r="D884" s="222">
        <v>44508</v>
      </c>
      <c r="E884" s="96" t="s">
        <v>1132</v>
      </c>
      <c r="F884" s="8">
        <v>50.46</v>
      </c>
      <c r="G884" s="203" t="s">
        <v>68</v>
      </c>
      <c r="H884" s="7" t="str">
        <f t="shared" si="93"/>
        <v>Variable</v>
      </c>
      <c r="I884" s="8">
        <f t="shared" si="94"/>
        <v>1338.28</v>
      </c>
      <c r="J884" s="215"/>
      <c r="K884" s="90"/>
    </row>
    <row r="885" spans="1:11" ht="18" customHeight="1" x14ac:dyDescent="0.2">
      <c r="A885" s="20">
        <f t="shared" si="91"/>
        <v>2021</v>
      </c>
      <c r="B885" s="6">
        <f t="shared" si="92"/>
        <v>11</v>
      </c>
      <c r="C885" s="222">
        <v>44509</v>
      </c>
      <c r="D885" s="222">
        <v>44509</v>
      </c>
      <c r="E885" s="96" t="s">
        <v>1133</v>
      </c>
      <c r="F885" s="8">
        <v>134.18</v>
      </c>
      <c r="G885" s="203" t="s">
        <v>119</v>
      </c>
      <c r="H885" s="7" t="str">
        <f t="shared" si="93"/>
        <v>Variable</v>
      </c>
      <c r="I885" s="8">
        <f t="shared" si="94"/>
        <v>1472.46</v>
      </c>
      <c r="J885" s="215"/>
      <c r="K885" s="90"/>
    </row>
    <row r="886" spans="1:11" ht="18" customHeight="1" x14ac:dyDescent="0.2">
      <c r="A886" s="20">
        <f t="shared" si="91"/>
        <v>2021</v>
      </c>
      <c r="B886" s="6">
        <f t="shared" si="92"/>
        <v>11</v>
      </c>
      <c r="C886" s="222">
        <v>44509</v>
      </c>
      <c r="D886" s="222">
        <v>44509</v>
      </c>
      <c r="E886" s="96" t="s">
        <v>1076</v>
      </c>
      <c r="F886" s="8">
        <v>20.83</v>
      </c>
      <c r="G886" s="203" t="s">
        <v>68</v>
      </c>
      <c r="H886" s="7" t="str">
        <f t="shared" si="93"/>
        <v>Variable</v>
      </c>
      <c r="I886" s="8">
        <f t="shared" si="94"/>
        <v>1493.29</v>
      </c>
      <c r="J886" s="215"/>
      <c r="K886" s="90"/>
    </row>
    <row r="887" spans="1:11" ht="18" customHeight="1" x14ac:dyDescent="0.2">
      <c r="A887" s="20">
        <f t="shared" si="91"/>
        <v>2021</v>
      </c>
      <c r="B887" s="6">
        <f t="shared" si="92"/>
        <v>11</v>
      </c>
      <c r="C887" s="222">
        <v>44509</v>
      </c>
      <c r="D887" s="222">
        <v>44509</v>
      </c>
      <c r="E887" s="96" t="s">
        <v>1134</v>
      </c>
      <c r="F887" s="8">
        <v>3.96</v>
      </c>
      <c r="G887" s="203" t="s">
        <v>119</v>
      </c>
      <c r="H887" s="7" t="str">
        <f t="shared" si="93"/>
        <v>Variable</v>
      </c>
      <c r="I887" s="8">
        <f t="shared" si="94"/>
        <v>1497.25</v>
      </c>
      <c r="J887" s="215"/>
      <c r="K887" s="90"/>
    </row>
    <row r="888" spans="1:11" ht="18" customHeight="1" x14ac:dyDescent="0.2">
      <c r="A888" s="20">
        <f t="shared" si="91"/>
        <v>2021</v>
      </c>
      <c r="B888" s="6">
        <f t="shared" si="92"/>
        <v>11</v>
      </c>
      <c r="C888" s="222">
        <v>44509</v>
      </c>
      <c r="D888" s="222">
        <v>44509</v>
      </c>
      <c r="E888" s="96" t="s">
        <v>1062</v>
      </c>
      <c r="F888" s="8">
        <v>41.34</v>
      </c>
      <c r="G888" s="203" t="s">
        <v>90</v>
      </c>
      <c r="H888" s="7" t="str">
        <f t="shared" si="93"/>
        <v>Variable</v>
      </c>
      <c r="I888" s="8">
        <f t="shared" si="94"/>
        <v>1538.59</v>
      </c>
      <c r="J888" s="215"/>
      <c r="K888" s="90"/>
    </row>
    <row r="889" spans="1:11" ht="18" customHeight="1" x14ac:dyDescent="0.2">
      <c r="A889" s="20">
        <f t="shared" si="91"/>
        <v>2021</v>
      </c>
      <c r="B889" s="6">
        <f t="shared" si="92"/>
        <v>11</v>
      </c>
      <c r="C889" s="222">
        <v>44509</v>
      </c>
      <c r="D889" s="222">
        <v>44509</v>
      </c>
      <c r="E889" s="96" t="s">
        <v>1135</v>
      </c>
      <c r="F889" s="8">
        <v>27.82</v>
      </c>
      <c r="G889" s="203" t="s">
        <v>41</v>
      </c>
      <c r="H889" s="7" t="str">
        <f t="shared" si="93"/>
        <v>Variable</v>
      </c>
      <c r="I889" s="8">
        <f t="shared" si="94"/>
        <v>1566.4099999999999</v>
      </c>
      <c r="J889" s="215"/>
      <c r="K889" s="90"/>
    </row>
    <row r="890" spans="1:11" ht="18" customHeight="1" x14ac:dyDescent="0.2">
      <c r="A890" s="20">
        <f t="shared" si="91"/>
        <v>2021</v>
      </c>
      <c r="B890" s="6">
        <f t="shared" si="92"/>
        <v>11</v>
      </c>
      <c r="C890" s="222">
        <v>44509</v>
      </c>
      <c r="D890" s="222">
        <v>44509</v>
      </c>
      <c r="E890" s="96" t="s">
        <v>1136</v>
      </c>
      <c r="F890" s="8">
        <v>25</v>
      </c>
      <c r="G890" s="203" t="s">
        <v>68</v>
      </c>
      <c r="H890" s="7" t="str">
        <f t="shared" si="93"/>
        <v>Variable</v>
      </c>
      <c r="I890" s="8">
        <f t="shared" si="94"/>
        <v>1591.4099999999999</v>
      </c>
      <c r="J890" s="215"/>
      <c r="K890" s="90"/>
    </row>
    <row r="891" spans="1:11" ht="18" customHeight="1" x14ac:dyDescent="0.2">
      <c r="A891" s="20">
        <f t="shared" si="91"/>
        <v>2021</v>
      </c>
      <c r="B891" s="6">
        <f t="shared" si="92"/>
        <v>11</v>
      </c>
      <c r="C891" s="222">
        <v>44510</v>
      </c>
      <c r="D891" s="222">
        <v>44510</v>
      </c>
      <c r="E891" s="96" t="s">
        <v>1137</v>
      </c>
      <c r="F891" s="8">
        <v>20.37</v>
      </c>
      <c r="G891" s="203" t="s">
        <v>41</v>
      </c>
      <c r="H891" s="7" t="str">
        <f t="shared" si="93"/>
        <v>Variable</v>
      </c>
      <c r="I891" s="8">
        <f t="shared" si="94"/>
        <v>1611.7799999999997</v>
      </c>
      <c r="J891" s="215"/>
      <c r="K891" s="90"/>
    </row>
    <row r="892" spans="1:11" ht="18" customHeight="1" x14ac:dyDescent="0.2">
      <c r="A892" s="20">
        <f t="shared" si="91"/>
        <v>2021</v>
      </c>
      <c r="B892" s="6">
        <f t="shared" si="92"/>
        <v>11</v>
      </c>
      <c r="C892" s="222">
        <v>44512</v>
      </c>
      <c r="D892" s="222">
        <v>44512</v>
      </c>
      <c r="E892" s="96" t="s">
        <v>59</v>
      </c>
      <c r="F892" s="8">
        <v>1.99</v>
      </c>
      <c r="G892" s="221" t="s">
        <v>26</v>
      </c>
      <c r="H892" s="7" t="str">
        <f t="shared" si="93"/>
        <v>Fixed</v>
      </c>
      <c r="I892" s="8">
        <f t="shared" si="94"/>
        <v>1613.7699999999998</v>
      </c>
      <c r="J892" s="221" t="s">
        <v>283</v>
      </c>
      <c r="K892" s="90"/>
    </row>
    <row r="893" spans="1:11" ht="18" customHeight="1" x14ac:dyDescent="0.2">
      <c r="A893" s="20">
        <f t="shared" si="91"/>
        <v>2021</v>
      </c>
      <c r="B893" s="6">
        <f t="shared" si="92"/>
        <v>11</v>
      </c>
      <c r="C893" s="222">
        <v>44512</v>
      </c>
      <c r="D893" s="222">
        <v>44512</v>
      </c>
      <c r="E893" s="96" t="s">
        <v>1135</v>
      </c>
      <c r="F893" s="8">
        <v>34.92</v>
      </c>
      <c r="G893" s="203" t="s">
        <v>41</v>
      </c>
      <c r="H893" s="7" t="str">
        <f t="shared" si="93"/>
        <v>Variable</v>
      </c>
      <c r="I893" s="8">
        <f t="shared" si="94"/>
        <v>1648.6899999999998</v>
      </c>
      <c r="J893" s="215"/>
      <c r="K893" s="90"/>
    </row>
    <row r="894" spans="1:11" ht="18" customHeight="1" x14ac:dyDescent="0.2">
      <c r="A894" s="20">
        <f t="shared" si="91"/>
        <v>2021</v>
      </c>
      <c r="B894" s="6">
        <f t="shared" si="92"/>
        <v>11</v>
      </c>
      <c r="C894" s="222">
        <v>44513</v>
      </c>
      <c r="D894" s="222">
        <v>44513</v>
      </c>
      <c r="E894" s="96" t="s">
        <v>1138</v>
      </c>
      <c r="F894" s="8">
        <v>50</v>
      </c>
      <c r="G894" s="203" t="s">
        <v>41</v>
      </c>
      <c r="H894" s="7" t="str">
        <f t="shared" si="93"/>
        <v>Variable</v>
      </c>
      <c r="I894" s="8">
        <f t="shared" si="94"/>
        <v>1698.6899999999998</v>
      </c>
      <c r="J894" s="215"/>
      <c r="K894" s="90"/>
    </row>
    <row r="895" spans="1:11" ht="18" customHeight="1" x14ac:dyDescent="0.2">
      <c r="A895" s="20">
        <f t="shared" si="91"/>
        <v>2021</v>
      </c>
      <c r="B895" s="6">
        <f t="shared" si="92"/>
        <v>11</v>
      </c>
      <c r="C895" s="222">
        <v>44514</v>
      </c>
      <c r="D895" s="222">
        <v>44514</v>
      </c>
      <c r="E895" s="96" t="s">
        <v>1139</v>
      </c>
      <c r="F895" s="8">
        <v>15.33</v>
      </c>
      <c r="G895" s="203" t="s">
        <v>89</v>
      </c>
      <c r="H895" s="7" t="str">
        <f t="shared" si="93"/>
        <v>Variable</v>
      </c>
      <c r="I895" s="8">
        <f t="shared" si="94"/>
        <v>1714.0199999999998</v>
      </c>
      <c r="J895" s="215"/>
      <c r="K895" s="90"/>
    </row>
    <row r="896" spans="1:11" ht="18" customHeight="1" x14ac:dyDescent="0.2">
      <c r="A896" s="20">
        <f t="shared" si="91"/>
        <v>2021</v>
      </c>
      <c r="B896" s="6">
        <f t="shared" si="92"/>
        <v>11</v>
      </c>
      <c r="C896" s="222">
        <v>44514</v>
      </c>
      <c r="D896" s="222">
        <v>44514</v>
      </c>
      <c r="E896" s="96" t="s">
        <v>1140</v>
      </c>
      <c r="F896" s="8">
        <v>26.84</v>
      </c>
      <c r="G896" s="203" t="s">
        <v>41</v>
      </c>
      <c r="H896" s="7" t="str">
        <f t="shared" si="93"/>
        <v>Variable</v>
      </c>
      <c r="I896" s="8">
        <f t="shared" si="94"/>
        <v>1740.8599999999997</v>
      </c>
      <c r="J896" s="215"/>
      <c r="K896" s="90"/>
    </row>
    <row r="897" spans="1:11" ht="18" customHeight="1" x14ac:dyDescent="0.2">
      <c r="A897" s="20">
        <f t="shared" si="91"/>
        <v>2021</v>
      </c>
      <c r="B897" s="6">
        <f t="shared" si="92"/>
        <v>11</v>
      </c>
      <c r="C897" s="222">
        <v>44514</v>
      </c>
      <c r="D897" s="222">
        <v>44514</v>
      </c>
      <c r="E897" s="96" t="s">
        <v>1141</v>
      </c>
      <c r="F897" s="8">
        <v>0.15</v>
      </c>
      <c r="G897" s="203" t="s">
        <v>89</v>
      </c>
      <c r="H897" s="7" t="str">
        <f t="shared" si="93"/>
        <v>Variable</v>
      </c>
      <c r="I897" s="8">
        <f t="shared" si="94"/>
        <v>1741.0099999999998</v>
      </c>
      <c r="J897" s="215"/>
      <c r="K897" s="90"/>
    </row>
    <row r="898" spans="1:11" ht="18" customHeight="1" x14ac:dyDescent="0.2">
      <c r="A898" s="20">
        <f t="shared" si="91"/>
        <v>2021</v>
      </c>
      <c r="B898" s="6">
        <f t="shared" si="92"/>
        <v>11</v>
      </c>
      <c r="C898" s="222">
        <v>44514</v>
      </c>
      <c r="D898" s="222">
        <v>44514</v>
      </c>
      <c r="E898" s="96" t="s">
        <v>1141</v>
      </c>
      <c r="F898" s="8">
        <v>8.6199999999999992</v>
      </c>
      <c r="G898" s="203" t="s">
        <v>89</v>
      </c>
      <c r="H898" s="7" t="str">
        <f t="shared" si="93"/>
        <v>Variable</v>
      </c>
      <c r="I898" s="8">
        <f t="shared" si="94"/>
        <v>1749.6299999999997</v>
      </c>
      <c r="J898" s="215"/>
      <c r="K898" s="90"/>
    </row>
    <row r="899" spans="1:11" ht="18" customHeight="1" x14ac:dyDescent="0.2">
      <c r="A899" s="20">
        <f t="shared" si="91"/>
        <v>2021</v>
      </c>
      <c r="B899" s="6">
        <f t="shared" si="92"/>
        <v>11</v>
      </c>
      <c r="C899" s="222">
        <v>44514</v>
      </c>
      <c r="D899" s="222">
        <v>44514</v>
      </c>
      <c r="E899" s="96" t="s">
        <v>1141</v>
      </c>
      <c r="F899" s="8">
        <v>10.1</v>
      </c>
      <c r="G899" s="203" t="s">
        <v>89</v>
      </c>
      <c r="H899" s="7" t="str">
        <f t="shared" si="93"/>
        <v>Variable</v>
      </c>
      <c r="I899" s="8">
        <f t="shared" si="94"/>
        <v>1759.7299999999996</v>
      </c>
      <c r="J899" s="215"/>
      <c r="K899" s="90"/>
    </row>
    <row r="900" spans="1:11" ht="18" customHeight="1" x14ac:dyDescent="0.2">
      <c r="A900" s="20">
        <f t="shared" si="91"/>
        <v>2021</v>
      </c>
      <c r="B900" s="6">
        <f t="shared" si="92"/>
        <v>11</v>
      </c>
      <c r="C900" s="222">
        <v>44514</v>
      </c>
      <c r="D900" s="222">
        <v>44514</v>
      </c>
      <c r="E900" s="96" t="s">
        <v>1142</v>
      </c>
      <c r="F900" s="8">
        <v>11.05</v>
      </c>
      <c r="G900" s="203" t="s">
        <v>41</v>
      </c>
      <c r="H900" s="7" t="str">
        <f t="shared" si="93"/>
        <v>Variable</v>
      </c>
      <c r="I900" s="8">
        <f t="shared" si="94"/>
        <v>1770.7799999999995</v>
      </c>
      <c r="J900" s="215"/>
      <c r="K900" s="90"/>
    </row>
    <row r="901" spans="1:11" ht="18" customHeight="1" x14ac:dyDescent="0.2">
      <c r="A901" s="20">
        <f t="shared" si="91"/>
        <v>2021</v>
      </c>
      <c r="B901" s="6">
        <f t="shared" si="92"/>
        <v>11</v>
      </c>
      <c r="C901" s="222">
        <v>44514</v>
      </c>
      <c r="D901" s="222">
        <v>44514</v>
      </c>
      <c r="E901" s="96" t="s">
        <v>1143</v>
      </c>
      <c r="F901" s="8">
        <v>6.5</v>
      </c>
      <c r="G901" s="221" t="s">
        <v>41</v>
      </c>
      <c r="H901" s="7" t="str">
        <f t="shared" si="93"/>
        <v>Variable</v>
      </c>
      <c r="I901" s="8">
        <f t="shared" si="94"/>
        <v>1777.2799999999995</v>
      </c>
      <c r="J901" s="215"/>
      <c r="K901" s="90"/>
    </row>
    <row r="902" spans="1:11" ht="18" customHeight="1" x14ac:dyDescent="0.2">
      <c r="A902" s="20">
        <f t="shared" si="91"/>
        <v>2021</v>
      </c>
      <c r="B902" s="6">
        <f t="shared" si="92"/>
        <v>11</v>
      </c>
      <c r="C902" s="222">
        <v>44514</v>
      </c>
      <c r="D902" s="222">
        <v>44514</v>
      </c>
      <c r="E902" s="96" t="s">
        <v>1144</v>
      </c>
      <c r="F902" s="8">
        <v>6.01</v>
      </c>
      <c r="G902" s="203" t="s">
        <v>41</v>
      </c>
      <c r="H902" s="7" t="str">
        <f t="shared" si="93"/>
        <v>Variable</v>
      </c>
      <c r="I902" s="8">
        <f t="shared" si="94"/>
        <v>1783.2899999999995</v>
      </c>
      <c r="J902" s="215"/>
      <c r="K902" s="90"/>
    </row>
    <row r="903" spans="1:11" ht="18" customHeight="1" x14ac:dyDescent="0.2">
      <c r="A903" s="20">
        <f t="shared" si="91"/>
        <v>2021</v>
      </c>
      <c r="B903" s="6">
        <f t="shared" si="92"/>
        <v>11</v>
      </c>
      <c r="C903" s="222">
        <v>44515</v>
      </c>
      <c r="D903" s="222">
        <v>44515</v>
      </c>
      <c r="E903" s="96" t="s">
        <v>1145</v>
      </c>
      <c r="F903" s="8">
        <v>-1675.51</v>
      </c>
      <c r="G903" s="203" t="s">
        <v>22</v>
      </c>
      <c r="H903" s="7" t="str">
        <f t="shared" si="93"/>
        <v>Payment</v>
      </c>
      <c r="I903" s="8">
        <f t="shared" si="94"/>
        <v>107.77999999999952</v>
      </c>
      <c r="J903" s="215"/>
      <c r="K903" s="90"/>
    </row>
  </sheetData>
  <autoFilter ref="A1:K903" xr:uid="{685C96C8-7254-425B-861C-3AE606D68153}"/>
  <conditionalFormatting sqref="S7:AC7 AB8:AC2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8:AA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0:AA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disablePrompts="1" count="1">
    <dataValidation type="list" allowBlank="1" showInputMessage="1" showErrorMessage="1" sqref="K610 K587 K2:K577 K648" xr:uid="{49AF0B35-A8E2-4D1B-8801-34C924A4D563}">
      <formula1>Expense_Categories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743EC-F2C7-4F3A-9AC4-085EAD7F4B4D}">
  <dimension ref="F1:N20"/>
  <sheetViews>
    <sheetView tabSelected="1" workbookViewId="0">
      <selection activeCell="C28" sqref="C28"/>
    </sheetView>
  </sheetViews>
  <sheetFormatPr defaultRowHeight="11.25" x14ac:dyDescent="0.2"/>
  <cols>
    <col min="6" max="6" width="12" style="237" bestFit="1" customWidth="1"/>
    <col min="7" max="7" width="10.83203125" bestFit="1" customWidth="1"/>
    <col min="8" max="8" width="10.5" bestFit="1" customWidth="1"/>
    <col min="9" max="9" width="10.83203125" bestFit="1" customWidth="1"/>
    <col min="14" max="14" width="10.5" bestFit="1" customWidth="1"/>
  </cols>
  <sheetData>
    <row r="1" spans="6:14" x14ac:dyDescent="0.2">
      <c r="M1" s="236">
        <v>44533</v>
      </c>
      <c r="N1" s="75">
        <v>1962.31</v>
      </c>
    </row>
    <row r="2" spans="6:14" x14ac:dyDescent="0.2">
      <c r="J2" t="s">
        <v>71</v>
      </c>
      <c r="K2" s="75">
        <v>742.18</v>
      </c>
      <c r="M2" s="236">
        <v>44547</v>
      </c>
      <c r="N2" s="75">
        <v>1962.31</v>
      </c>
    </row>
    <row r="3" spans="6:14" x14ac:dyDescent="0.2">
      <c r="J3" t="s">
        <v>1190</v>
      </c>
      <c r="K3" s="75">
        <v>54.01</v>
      </c>
      <c r="M3" s="236">
        <v>44561</v>
      </c>
      <c r="N3" s="75">
        <v>1962.31</v>
      </c>
    </row>
    <row r="4" spans="6:14" x14ac:dyDescent="0.2">
      <c r="G4" t="s">
        <v>1188</v>
      </c>
      <c r="H4" t="s">
        <v>1189</v>
      </c>
      <c r="J4" t="s">
        <v>1193</v>
      </c>
      <c r="K4" s="75">
        <v>140</v>
      </c>
    </row>
    <row r="5" spans="6:14" x14ac:dyDescent="0.2">
      <c r="G5" s="75">
        <v>1422.84</v>
      </c>
      <c r="H5" s="75">
        <v>2011.06</v>
      </c>
      <c r="I5" s="75"/>
    </row>
    <row r="6" spans="6:14" x14ac:dyDescent="0.2">
      <c r="F6" s="237" t="s">
        <v>1191</v>
      </c>
      <c r="G6" s="75">
        <f>G5-K3</f>
        <v>1368.83</v>
      </c>
      <c r="H6" s="75"/>
      <c r="I6" s="75"/>
    </row>
    <row r="7" spans="6:14" x14ac:dyDescent="0.2">
      <c r="F7" s="237" t="s">
        <v>1192</v>
      </c>
      <c r="G7" s="75">
        <f>G6-K2</f>
        <v>626.65</v>
      </c>
      <c r="H7" s="75"/>
      <c r="I7" s="75"/>
    </row>
    <row r="8" spans="6:14" x14ac:dyDescent="0.2">
      <c r="F8" s="237" t="s">
        <v>1194</v>
      </c>
      <c r="G8" s="75">
        <f>G7-I8</f>
        <v>324.99099999999999</v>
      </c>
      <c r="H8" s="75">
        <f>H5*0.85</f>
        <v>1709.4009999999998</v>
      </c>
      <c r="I8" s="75">
        <f>H5*0.15</f>
        <v>301.65899999999999</v>
      </c>
    </row>
    <row r="9" spans="6:14" x14ac:dyDescent="0.2">
      <c r="F9" s="237" t="s">
        <v>1195</v>
      </c>
      <c r="G9" s="75">
        <f>G8+44.4</f>
        <v>369.39099999999996</v>
      </c>
      <c r="H9" s="75"/>
      <c r="I9" s="75"/>
    </row>
    <row r="14" spans="6:14" x14ac:dyDescent="0.2">
      <c r="F14" s="238" t="s">
        <v>1196</v>
      </c>
    </row>
    <row r="18" spans="6:6" x14ac:dyDescent="0.2">
      <c r="F18" s="237">
        <v>725</v>
      </c>
    </row>
    <row r="19" spans="6:6" x14ac:dyDescent="0.2">
      <c r="F19" s="237">
        <v>1149</v>
      </c>
    </row>
    <row r="20" spans="6:6" x14ac:dyDescent="0.2">
      <c r="F20" s="237">
        <f>F19+F18</f>
        <v>1874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7C99-3D90-4F6E-90C3-B25A2639D502}">
  <sheetPr>
    <tabColor rgb="FF00CC99"/>
  </sheetPr>
  <dimension ref="A1:S42"/>
  <sheetViews>
    <sheetView zoomScale="85" zoomScaleNormal="85" workbookViewId="0">
      <selection activeCell="S8" sqref="S8"/>
    </sheetView>
  </sheetViews>
  <sheetFormatPr defaultRowHeight="11.25" x14ac:dyDescent="0.2"/>
  <cols>
    <col min="1" max="1" width="14.1640625" bestFit="1" customWidth="1"/>
    <col min="2" max="3" width="9.5" hidden="1" customWidth="1"/>
    <col min="4" max="4" width="3.5" style="79" hidden="1" customWidth="1"/>
    <col min="5" max="5" width="10.1640625" bestFit="1" customWidth="1"/>
    <col min="7" max="7" width="10" bestFit="1" customWidth="1"/>
    <col min="14" max="14" width="8.83203125" style="79"/>
  </cols>
  <sheetData>
    <row r="1" spans="1:19" x14ac:dyDescent="0.2">
      <c r="A1" s="2" t="s">
        <v>301</v>
      </c>
      <c r="B1" s="2" t="s">
        <v>314</v>
      </c>
      <c r="C1" s="2" t="s">
        <v>316</v>
      </c>
      <c r="D1" s="86" t="s">
        <v>332</v>
      </c>
      <c r="E1" s="2" t="s">
        <v>302</v>
      </c>
      <c r="F1" s="2" t="s">
        <v>303</v>
      </c>
      <c r="G1" s="2" t="s">
        <v>304</v>
      </c>
      <c r="H1" s="2" t="s">
        <v>2</v>
      </c>
      <c r="I1" s="2" t="s">
        <v>305</v>
      </c>
      <c r="J1" s="2" t="s">
        <v>306</v>
      </c>
      <c r="K1" s="2" t="s">
        <v>307</v>
      </c>
      <c r="L1" s="2" t="s">
        <v>308</v>
      </c>
      <c r="M1" s="2" t="s">
        <v>279</v>
      </c>
      <c r="N1" s="86" t="s">
        <v>326</v>
      </c>
      <c r="O1" s="86" t="s">
        <v>328</v>
      </c>
      <c r="P1" s="86" t="s">
        <v>329</v>
      </c>
      <c r="Q1" s="86" t="s">
        <v>327</v>
      </c>
      <c r="R1" s="86" t="s">
        <v>330</v>
      </c>
      <c r="S1" s="86" t="s">
        <v>331</v>
      </c>
    </row>
    <row r="2" spans="1:19" x14ac:dyDescent="0.2">
      <c r="A2" t="str" cm="1">
        <f t="array" ref="A2:A40">_xlfn._xlws.SORT(_xlfn.UNIQUE(_xlfn.UNIQUE(_xlfn._xlws.FILTER(Discover!J:J, (Discover!G:G = "APP")*(Discover!J:J &lt;&gt;0)),1)))</f>
        <v>Apple Music</v>
      </c>
      <c r="B2" s="75" t="s">
        <v>4</v>
      </c>
      <c r="C2" s="75" t="s">
        <v>317</v>
      </c>
      <c r="D2" s="85" cm="1">
        <f t="array" ref="D2">AVERAGE(DAY(_xlfn.UNIQUE(_xlfn._xlws.FILTER(Discover!C:C, Discover!J:J = A2,0),1)))</f>
        <v>29</v>
      </c>
      <c r="E2" s="75">
        <f>SUMIFS(Discover!F:F,Discover!J:J,Subscriptions!A2)</f>
        <v>21.18</v>
      </c>
      <c r="F2">
        <f>COUNTIFS(Discover!J:J,Subscriptions!A2,Discover!G:G,"APP")</f>
        <v>2</v>
      </c>
      <c r="G2" s="75">
        <f>E2/F2</f>
        <v>10.59</v>
      </c>
      <c r="H2" s="75">
        <f>SUMIFS(Discover!$F:$F,Discover!$J:$J,Subscriptions!$A2,Discover!$B:$B,1)</f>
        <v>0</v>
      </c>
      <c r="I2" s="75">
        <f>SUMIFS(Discover!$F:$F,Discover!$J:$J,Subscriptions!$A2,Discover!$B:$B,2)</f>
        <v>0</v>
      </c>
      <c r="J2" s="75">
        <f>SUMIFS(Discover!$F:$F,Discover!$J:$J,Subscriptions!$A2,Discover!$B:$B,3)</f>
        <v>0</v>
      </c>
      <c r="K2" s="75">
        <f>SUMIFS(Discover!$F:$F,Discover!$J:$J,Subscriptions!$A2,Discover!$B:$B,4)</f>
        <v>0</v>
      </c>
      <c r="L2" s="75">
        <f>SUMIFS(Discover!$F:$F,Discover!$J:$J,Subscriptions!$A2,Discover!$B:$B,5)</f>
        <v>0</v>
      </c>
      <c r="M2" s="75">
        <f>SUMIFS(Discover!$F:$F,Discover!$J:$J,Subscriptions!$A2,Discover!$B:$B,6)</f>
        <v>0</v>
      </c>
      <c r="N2" s="75">
        <f>SUMIFS(Discover!$F:$F,Discover!$J:$J,Subscriptions!$A2,Discover!$B:$B,7)</f>
        <v>0</v>
      </c>
      <c r="O2" s="75">
        <f>SUMIFS(Discover!$F:$F,Discover!$J:$J,Subscriptions!$A2,Discover!$B:$B,8)</f>
        <v>10.59</v>
      </c>
      <c r="P2" s="75">
        <f>SUMIFS(Discover!$F:$F,Discover!$J:$J,Subscriptions!$A2,Discover!$B:$B,9)</f>
        <v>10.59</v>
      </c>
      <c r="Q2" s="75">
        <f>SUMIFS(Discover!$F:$F,Discover!$J:$J,Subscriptions!$A2,Discover!$B:$B,10)</f>
        <v>0</v>
      </c>
      <c r="R2" s="75">
        <f>SUMIFS(Discover!$F:$F,Discover!$J:$J,Subscriptions!$A2,Discover!$B:$B,11)</f>
        <v>0</v>
      </c>
      <c r="S2" s="75">
        <f>SUMIFS(Discover!$F:$F,Discover!$J:$J,Subscriptions!$A2,Discover!$B:$B,12)</f>
        <v>0</v>
      </c>
    </row>
    <row r="3" spans="1:19" x14ac:dyDescent="0.2">
      <c r="A3" t="str">
        <v>Apple TV+</v>
      </c>
      <c r="B3" s="75" t="s">
        <v>315</v>
      </c>
      <c r="C3" s="75" t="s">
        <v>318</v>
      </c>
      <c r="D3" s="85" cm="1">
        <f t="array" ref="D3">AVERAGE(DAY(_xlfn.UNIQUE(_xlfn._xlws.FILTER(Discover!C:C, Discover!J:J = A3,0),1)))</f>
        <v>17</v>
      </c>
      <c r="E3" s="75">
        <f>SUMIFS(Discover!F:F,Discover!J:J,Subscriptions!A3)</f>
        <v>10.58</v>
      </c>
      <c r="F3">
        <f>COUNTIFS(Discover!J:J,Subscriptions!A3,Discover!G:G,"APP")</f>
        <v>2</v>
      </c>
      <c r="G3" s="75">
        <f t="shared" ref="G3:G21" si="0">E3/F3</f>
        <v>5.29</v>
      </c>
      <c r="H3" s="75">
        <f>SUMIFS(Discover!$F:$F,Discover!$J:$J,Subscriptions!$A3,Discover!$B:$B,1)</f>
        <v>0</v>
      </c>
      <c r="I3" s="75">
        <f>SUMIFS(Discover!$F:$F,Discover!$J:$J,Subscriptions!$A3,Discover!$B:$B,2)</f>
        <v>0</v>
      </c>
      <c r="J3" s="75">
        <f>SUMIFS(Discover!$F:$F,Discover!$J:$J,Subscriptions!$A3,Discover!$B:$B,3)</f>
        <v>0</v>
      </c>
      <c r="K3" s="75">
        <f>SUMIFS(Discover!$F:$F,Discover!$J:$J,Subscriptions!$A3,Discover!$B:$B,4)</f>
        <v>0</v>
      </c>
      <c r="L3" s="75">
        <f>SUMIFS(Discover!$F:$F,Discover!$J:$J,Subscriptions!$A3,Discover!$B:$B,5)</f>
        <v>0</v>
      </c>
      <c r="M3" s="75">
        <f>SUMIFS(Discover!$F:$F,Discover!$J:$J,Subscriptions!$A3,Discover!$B:$B,6)</f>
        <v>0</v>
      </c>
      <c r="N3" s="75">
        <f>SUMIFS(Discover!$F:$F,Discover!$J:$J,Subscriptions!$A3,Discover!$B:$B,7)</f>
        <v>0</v>
      </c>
      <c r="O3" s="75">
        <f>SUMIFS(Discover!$F:$F,Discover!$J:$J,Subscriptions!$A3,Discover!$B:$B,8)</f>
        <v>0</v>
      </c>
      <c r="P3" s="75">
        <f>SUMIFS(Discover!$F:$F,Discover!$J:$J,Subscriptions!$A3,Discover!$B:$B,9)</f>
        <v>5.29</v>
      </c>
      <c r="Q3" s="75">
        <f>SUMIFS(Discover!$F:$F,Discover!$J:$J,Subscriptions!$A3,Discover!$B:$B,10)</f>
        <v>5.29</v>
      </c>
      <c r="R3" s="75">
        <f>SUMIFS(Discover!$F:$F,Discover!$J:$J,Subscriptions!$A3,Discover!$B:$B,11)</f>
        <v>0</v>
      </c>
      <c r="S3" s="75">
        <f>SUMIFS(Discover!$F:$F,Discover!$J:$J,Subscriptions!$A3,Discover!$B:$B,12)</f>
        <v>0</v>
      </c>
    </row>
    <row r="4" spans="1:19" x14ac:dyDescent="0.2">
      <c r="A4" t="str">
        <v>Audible</v>
      </c>
      <c r="B4" s="75" t="s">
        <v>4</v>
      </c>
      <c r="C4" s="75" t="s">
        <v>318</v>
      </c>
      <c r="D4" s="85" cm="1">
        <f t="array" ref="D4">AVERAGE(DAY(_xlfn.UNIQUE(_xlfn._xlws.FILTER(Discover!C:C, Discover!J:J = A4,0),1)))</f>
        <v>18.5</v>
      </c>
      <c r="E4" s="75">
        <f>SUMIFS(Discover!F:F,Discover!J:J,Subscriptions!A4)</f>
        <v>65.199999999999989</v>
      </c>
      <c r="F4">
        <f>COUNTIFS(Discover!J:J,Subscriptions!A4,Discover!G:G,"APP")</f>
        <v>4</v>
      </c>
      <c r="G4" s="75">
        <f t="shared" si="0"/>
        <v>16.299999999999997</v>
      </c>
      <c r="H4" s="75">
        <f>SUMIFS(Discover!$F:$F,Discover!$J:$J,Subscriptions!$A4,Discover!$B:$B,1)</f>
        <v>0</v>
      </c>
      <c r="I4" s="75">
        <f>SUMIFS(Discover!$F:$F,Discover!$J:$J,Subscriptions!$A4,Discover!$B:$B,2)</f>
        <v>0</v>
      </c>
      <c r="J4" s="75">
        <f>SUMIFS(Discover!$F:$F,Discover!$J:$J,Subscriptions!$A4,Discover!$B:$B,3)</f>
        <v>0</v>
      </c>
      <c r="K4" s="75">
        <f>SUMIFS(Discover!$F:$F,Discover!$J:$J,Subscriptions!$A4,Discover!$B:$B,4)</f>
        <v>0</v>
      </c>
      <c r="L4" s="75">
        <f>SUMIFS(Discover!$F:$F,Discover!$J:$J,Subscriptions!$A4,Discover!$B:$B,5)</f>
        <v>0</v>
      </c>
      <c r="M4" s="75">
        <f>SUMIFS(Discover!$F:$F,Discover!$J:$J,Subscriptions!$A4,Discover!$B:$B,6)</f>
        <v>0</v>
      </c>
      <c r="N4" s="75">
        <f>SUMIFS(Discover!$F:$F,Discover!$J:$J,Subscriptions!$A4,Discover!$B:$B,7)</f>
        <v>0</v>
      </c>
      <c r="O4" s="75">
        <f>SUMIFS(Discover!$F:$F,Discover!$J:$J,Subscriptions!$A4,Discover!$B:$B,8)</f>
        <v>56.519999999999996</v>
      </c>
      <c r="P4" s="75">
        <f>SUMIFS(Discover!$F:$F,Discover!$J:$J,Subscriptions!$A4,Discover!$B:$B,9)</f>
        <v>8.68</v>
      </c>
      <c r="Q4" s="75">
        <f>SUMIFS(Discover!$F:$F,Discover!$J:$J,Subscriptions!$A4,Discover!$B:$B,10)</f>
        <v>0</v>
      </c>
      <c r="R4" s="75">
        <f>SUMIFS(Discover!$F:$F,Discover!$J:$J,Subscriptions!$A4,Discover!$B:$B,11)</f>
        <v>0</v>
      </c>
      <c r="S4" s="75">
        <f>SUMIFS(Discover!$F:$F,Discover!$J:$J,Subscriptions!$A4,Discover!$B:$B,12)</f>
        <v>0</v>
      </c>
    </row>
    <row r="5" spans="1:19" x14ac:dyDescent="0.2">
      <c r="A5" t="str">
        <v>Bloomberg</v>
      </c>
      <c r="B5" s="75" t="s">
        <v>4</v>
      </c>
      <c r="C5" s="75" t="s">
        <v>317</v>
      </c>
      <c r="D5" s="85" cm="1">
        <f t="array" ref="D5">AVERAGE(DAY(_xlfn.UNIQUE(_xlfn._xlws.FILTER(Discover!C:C, Discover!J:J = A5,0),1)))</f>
        <v>31</v>
      </c>
      <c r="E5" s="75">
        <f>SUMIFS(Discover!F:F,Discover!J:J,Subscriptions!A5)</f>
        <v>37.090000000000003</v>
      </c>
      <c r="F5">
        <f>COUNTIFS(Discover!J:J,Subscriptions!A5,Discover!G:G,"APP")</f>
        <v>1</v>
      </c>
      <c r="G5" s="75">
        <f t="shared" si="0"/>
        <v>37.090000000000003</v>
      </c>
      <c r="H5" s="75">
        <f>SUMIFS(Discover!$F:$F,Discover!$J:$J,Subscriptions!$A5,Discover!$B:$B,1)</f>
        <v>0</v>
      </c>
      <c r="I5" s="75">
        <f>SUMIFS(Discover!$F:$F,Discover!$J:$J,Subscriptions!$A5,Discover!$B:$B,2)</f>
        <v>0</v>
      </c>
      <c r="J5" s="75">
        <f>SUMIFS(Discover!$F:$F,Discover!$J:$J,Subscriptions!$A5,Discover!$B:$B,3)</f>
        <v>0</v>
      </c>
      <c r="K5" s="75">
        <f>SUMIFS(Discover!$F:$F,Discover!$J:$J,Subscriptions!$A5,Discover!$B:$B,4)</f>
        <v>0</v>
      </c>
      <c r="L5" s="75">
        <f>SUMIFS(Discover!$F:$F,Discover!$J:$J,Subscriptions!$A5,Discover!$B:$B,5)</f>
        <v>37.090000000000003</v>
      </c>
      <c r="M5" s="75">
        <f>SUMIFS(Discover!$F:$F,Discover!$J:$J,Subscriptions!$A5,Discover!$B:$B,6)</f>
        <v>0</v>
      </c>
      <c r="N5" s="75">
        <f>SUMIFS(Discover!$F:$F,Discover!$J:$J,Subscriptions!$A5,Discover!$B:$B,7)</f>
        <v>0</v>
      </c>
      <c r="O5" s="75">
        <f>SUMIFS(Discover!$F:$F,Discover!$J:$J,Subscriptions!$A5,Discover!$B:$B,8)</f>
        <v>0</v>
      </c>
      <c r="P5" s="75">
        <f>SUMIFS(Discover!$F:$F,Discover!$J:$J,Subscriptions!$A5,Discover!$B:$B,9)</f>
        <v>0</v>
      </c>
      <c r="Q5" s="75">
        <f>SUMIFS(Discover!$F:$F,Discover!$J:$J,Subscriptions!$A5,Discover!$B:$B,10)</f>
        <v>0</v>
      </c>
      <c r="R5" s="75">
        <f>SUMIFS(Discover!$F:$F,Discover!$J:$J,Subscriptions!$A5,Discover!$B:$B,11)</f>
        <v>0</v>
      </c>
      <c r="S5" s="75">
        <f>SUMIFS(Discover!$F:$F,Discover!$J:$J,Subscriptions!$A5,Discover!$B:$B,12)</f>
        <v>0</v>
      </c>
    </row>
    <row r="6" spans="1:19" x14ac:dyDescent="0.2">
      <c r="A6" t="str">
        <v>Bumble</v>
      </c>
      <c r="B6" s="75" t="s">
        <v>4</v>
      </c>
      <c r="C6" s="75" t="s">
        <v>317</v>
      </c>
      <c r="D6" s="85" cm="1">
        <f t="array" ref="D6">AVERAGE(DAY(_xlfn.UNIQUE(_xlfn._xlws.FILTER(Discover!C:C, Discover!J:J = A6,0),1)))</f>
        <v>10</v>
      </c>
      <c r="E6" s="75">
        <f>SUMIFS(Discover!F:F,Discover!J:J,Subscriptions!A6)</f>
        <v>84.59</v>
      </c>
      <c r="F6">
        <f>COUNTIFS(Discover!J:J,Subscriptions!A6,Discover!G:G,"APP")</f>
        <v>3</v>
      </c>
      <c r="G6" s="75">
        <f t="shared" si="0"/>
        <v>28.196666666666669</v>
      </c>
      <c r="H6" s="75">
        <f>SUMIFS(Discover!$F:$F,Discover!$J:$J,Subscriptions!$A6,Discover!$B:$B,1)</f>
        <v>0</v>
      </c>
      <c r="I6" s="75">
        <f>SUMIFS(Discover!$F:$F,Discover!$J:$J,Subscriptions!$A6,Discover!$B:$B,2)</f>
        <v>0</v>
      </c>
      <c r="J6" s="75">
        <f>SUMIFS(Discover!$F:$F,Discover!$J:$J,Subscriptions!$A6,Discover!$B:$B,3)</f>
        <v>0</v>
      </c>
      <c r="K6" s="75">
        <f>SUMIFS(Discover!$F:$F,Discover!$J:$J,Subscriptions!$A6,Discover!$B:$B,4)</f>
        <v>0</v>
      </c>
      <c r="L6" s="75">
        <f>SUMIFS(Discover!$F:$F,Discover!$J:$J,Subscriptions!$A6,Discover!$B:$B,5)</f>
        <v>0</v>
      </c>
      <c r="M6" s="75">
        <f>SUMIFS(Discover!$F:$F,Discover!$J:$J,Subscriptions!$A6,Discover!$B:$B,6)</f>
        <v>0</v>
      </c>
      <c r="N6" s="75">
        <f>SUMIFS(Discover!$F:$F,Discover!$J:$J,Subscriptions!$A6,Discover!$B:$B,7)</f>
        <v>0</v>
      </c>
      <c r="O6" s="75">
        <f>SUMIFS(Discover!$F:$F,Discover!$J:$J,Subscriptions!$A6,Discover!$B:$B,8)</f>
        <v>84.59</v>
      </c>
      <c r="P6" s="75">
        <f>SUMIFS(Discover!$F:$F,Discover!$J:$J,Subscriptions!$A6,Discover!$B:$B,9)</f>
        <v>0</v>
      </c>
      <c r="Q6" s="75">
        <f>SUMIFS(Discover!$F:$F,Discover!$J:$J,Subscriptions!$A6,Discover!$B:$B,10)</f>
        <v>0</v>
      </c>
      <c r="R6" s="75">
        <f>SUMIFS(Discover!$F:$F,Discover!$J:$J,Subscriptions!$A6,Discover!$B:$B,11)</f>
        <v>0</v>
      </c>
      <c r="S6" s="75">
        <f>SUMIFS(Discover!$F:$F,Discover!$J:$J,Subscriptions!$A6,Discover!$B:$B,12)</f>
        <v>0</v>
      </c>
    </row>
    <row r="7" spans="1:19" x14ac:dyDescent="0.2">
      <c r="A7" t="str">
        <v>Catan Gold</v>
      </c>
      <c r="B7" s="75" t="s">
        <v>4</v>
      </c>
      <c r="C7" s="75" t="s">
        <v>318</v>
      </c>
      <c r="D7" s="85" cm="1">
        <f t="array" ref="D7">AVERAGE(DAY(_xlfn.UNIQUE(_xlfn._xlws.FILTER(Discover!C:C, Discover!J:J = A7,0),1)))</f>
        <v>26</v>
      </c>
      <c r="E7" s="75">
        <f>SUMIFS(Discover!F:F,Discover!J:J,Subscriptions!A7)</f>
        <v>14.99</v>
      </c>
      <c r="F7">
        <f>COUNTIFS(Discover!J:J,Subscriptions!A7,Discover!G:G,"APP")</f>
        <v>1</v>
      </c>
      <c r="G7" s="75">
        <f t="shared" si="0"/>
        <v>14.99</v>
      </c>
      <c r="H7" s="75">
        <f>SUMIFS(Discover!$F:$F,Discover!$J:$J,Subscriptions!$A7,Discover!$B:$B,1)</f>
        <v>0</v>
      </c>
      <c r="I7" s="75">
        <f>SUMIFS(Discover!$F:$F,Discover!$J:$J,Subscriptions!$A7,Discover!$B:$B,2)</f>
        <v>0</v>
      </c>
      <c r="J7" s="75">
        <f>SUMIFS(Discover!$F:$F,Discover!$J:$J,Subscriptions!$A7,Discover!$B:$B,3)</f>
        <v>14.99</v>
      </c>
      <c r="K7" s="75">
        <f>SUMIFS(Discover!$F:$F,Discover!$J:$J,Subscriptions!$A7,Discover!$B:$B,4)</f>
        <v>0</v>
      </c>
      <c r="L7" s="75">
        <f>SUMIFS(Discover!$F:$F,Discover!$J:$J,Subscriptions!$A7,Discover!$B:$B,5)</f>
        <v>0</v>
      </c>
      <c r="M7" s="75">
        <f>SUMIFS(Discover!$F:$F,Discover!$J:$J,Subscriptions!$A7,Discover!$B:$B,6)</f>
        <v>0</v>
      </c>
      <c r="N7" s="75">
        <f>SUMIFS(Discover!$F:$F,Discover!$J:$J,Subscriptions!$A7,Discover!$B:$B,7)</f>
        <v>0</v>
      </c>
      <c r="O7" s="75">
        <f>SUMIFS(Discover!$F:$F,Discover!$J:$J,Subscriptions!$A7,Discover!$B:$B,8)</f>
        <v>0</v>
      </c>
      <c r="P7" s="75">
        <f>SUMIFS(Discover!$F:$F,Discover!$J:$J,Subscriptions!$A7,Discover!$B:$B,9)</f>
        <v>0</v>
      </c>
      <c r="Q7" s="75">
        <f>SUMIFS(Discover!$F:$F,Discover!$J:$J,Subscriptions!$A7,Discover!$B:$B,10)</f>
        <v>0</v>
      </c>
      <c r="R7" s="75">
        <f>SUMIFS(Discover!$F:$F,Discover!$J:$J,Subscriptions!$A7,Discover!$B:$B,11)</f>
        <v>0</v>
      </c>
      <c r="S7" s="75">
        <f>SUMIFS(Discover!$F:$F,Discover!$J:$J,Subscriptions!$A7,Discover!$B:$B,12)</f>
        <v>0</v>
      </c>
    </row>
    <row r="8" spans="1:19" x14ac:dyDescent="0.2">
      <c r="A8" t="str">
        <v>Couple Cents</v>
      </c>
      <c r="B8" s="75" t="s">
        <v>319</v>
      </c>
      <c r="C8" s="75" t="s">
        <v>318</v>
      </c>
      <c r="D8" s="85" cm="1">
        <f t="array" ref="D8">AVERAGE(DAY(_xlfn.UNIQUE(_xlfn._xlws.FILTER(Discover!C:C, Discover!J:J = A8,0),1)))</f>
        <v>27</v>
      </c>
      <c r="E8" s="75">
        <f>SUMIFS(Discover!F:F,Discover!J:J,Subscriptions!A8)</f>
        <v>79.92</v>
      </c>
      <c r="F8">
        <f>COUNTIFS(Discover!J:J,Subscriptions!A8,Discover!G:G,"APP")</f>
        <v>7</v>
      </c>
      <c r="G8" s="75">
        <f t="shared" si="0"/>
        <v>11.417142857142858</v>
      </c>
      <c r="H8" s="75">
        <f>SUMIFS(Discover!$F:$F,Discover!$J:$J,Subscriptions!$A8,Discover!$B:$B,1)</f>
        <v>0</v>
      </c>
      <c r="I8" s="75">
        <f>SUMIFS(Discover!$F:$F,Discover!$J:$J,Subscriptions!$A8,Discover!$B:$B,2)</f>
        <v>9.99</v>
      </c>
      <c r="J8" s="75">
        <f>SUMIFS(Discover!$F:$F,Discover!$J:$J,Subscriptions!$A8,Discover!$B:$B,3)</f>
        <v>9.99</v>
      </c>
      <c r="K8" s="75">
        <f>SUMIFS(Discover!$F:$F,Discover!$J:$J,Subscriptions!$A8,Discover!$B:$B,4)</f>
        <v>9.99</v>
      </c>
      <c r="L8" s="75">
        <f>SUMIFS(Discover!$F:$F,Discover!$J:$J,Subscriptions!$A8,Discover!$B:$B,5)</f>
        <v>9.99</v>
      </c>
      <c r="M8" s="75">
        <f>SUMIFS(Discover!$F:$F,Discover!$J:$J,Subscriptions!$A8,Discover!$B:$B,6)</f>
        <v>9.99</v>
      </c>
      <c r="N8" s="75">
        <f>SUMIFS(Discover!$F:$F,Discover!$J:$J,Subscriptions!$A8,Discover!$B:$B,7)</f>
        <v>9.99</v>
      </c>
      <c r="O8" s="75">
        <f>SUMIFS(Discover!$F:$F,Discover!$J:$J,Subscriptions!$A8,Discover!$B:$B,8)</f>
        <v>9.99</v>
      </c>
      <c r="P8" s="75">
        <f>SUMIFS(Discover!$F:$F,Discover!$J:$J,Subscriptions!$A8,Discover!$B:$B,9)</f>
        <v>9.99</v>
      </c>
      <c r="Q8" s="75">
        <f>SUMIFS(Discover!$F:$F,Discover!$J:$J,Subscriptions!$A8,Discover!$B:$B,10)</f>
        <v>0</v>
      </c>
      <c r="R8" s="75">
        <f>SUMIFS(Discover!$F:$F,Discover!$J:$J,Subscriptions!$A8,Discover!$B:$B,11)</f>
        <v>0</v>
      </c>
      <c r="S8" s="75">
        <f>SUMIFS(Discover!$F:$F,Discover!$J:$J,Subscriptions!$A8,Discover!$B:$B,12)</f>
        <v>0</v>
      </c>
    </row>
    <row r="9" spans="1:19" x14ac:dyDescent="0.2">
      <c r="A9" t="str">
        <v>Credit Score</v>
      </c>
      <c r="B9" s="75" t="s">
        <v>4</v>
      </c>
      <c r="C9" s="75" t="s">
        <v>317</v>
      </c>
      <c r="D9" s="85" cm="1">
        <f t="array" ref="D9">AVERAGE(DAY(_xlfn.UNIQUE(_xlfn._xlws.FILTER(Discover!C:C, Discover!J:J = A9,0),1)))</f>
        <v>5</v>
      </c>
      <c r="E9" s="75">
        <f>SUMIFS(Discover!F:F,Discover!J:J,Subscriptions!A9)</f>
        <v>39.950000000000003</v>
      </c>
      <c r="F9">
        <f>COUNTIFS(Discover!J:J,Subscriptions!A9,Discover!G:G,"APP")</f>
        <v>1</v>
      </c>
      <c r="G9" s="75">
        <f t="shared" si="0"/>
        <v>39.950000000000003</v>
      </c>
      <c r="H9" s="75">
        <f>SUMIFS(Discover!$F:$F,Discover!$J:$J,Subscriptions!$A9,Discover!$B:$B,1)</f>
        <v>39.950000000000003</v>
      </c>
      <c r="I9" s="75">
        <f>SUMIFS(Discover!$F:$F,Discover!$J:$J,Subscriptions!$A9,Discover!$B:$B,2)</f>
        <v>0</v>
      </c>
      <c r="J9" s="75">
        <f>SUMIFS(Discover!$F:$F,Discover!$J:$J,Subscriptions!$A9,Discover!$B:$B,3)</f>
        <v>0</v>
      </c>
      <c r="K9" s="75">
        <f>SUMIFS(Discover!$F:$F,Discover!$J:$J,Subscriptions!$A9,Discover!$B:$B,4)</f>
        <v>0</v>
      </c>
      <c r="L9" s="75">
        <f>SUMIFS(Discover!$F:$F,Discover!$J:$J,Subscriptions!$A9,Discover!$B:$B,5)</f>
        <v>0</v>
      </c>
      <c r="M9" s="75">
        <f>SUMIFS(Discover!$F:$F,Discover!$J:$J,Subscriptions!$A9,Discover!$B:$B,6)</f>
        <v>0</v>
      </c>
      <c r="N9" s="75">
        <f>SUMIFS(Discover!$F:$F,Discover!$J:$J,Subscriptions!$A9,Discover!$B:$B,7)</f>
        <v>0</v>
      </c>
      <c r="O9" s="75">
        <f>SUMIFS(Discover!$F:$F,Discover!$J:$J,Subscriptions!$A9,Discover!$B:$B,8)</f>
        <v>0</v>
      </c>
      <c r="P9" s="75">
        <f>SUMIFS(Discover!$F:$F,Discover!$J:$J,Subscriptions!$A9,Discover!$B:$B,9)</f>
        <v>0</v>
      </c>
      <c r="Q9" s="75">
        <f>SUMIFS(Discover!$F:$F,Discover!$J:$J,Subscriptions!$A9,Discover!$B:$B,10)</f>
        <v>0</v>
      </c>
      <c r="R9" s="75">
        <f>SUMIFS(Discover!$F:$F,Discover!$J:$J,Subscriptions!$A9,Discover!$B:$B,11)</f>
        <v>0</v>
      </c>
      <c r="S9" s="75">
        <f>SUMIFS(Discover!$F:$F,Discover!$J:$J,Subscriptions!$A9,Discover!$B:$B,12)</f>
        <v>0</v>
      </c>
    </row>
    <row r="10" spans="1:19" x14ac:dyDescent="0.2">
      <c r="A10" t="str">
        <v>Crunch Fitness</v>
      </c>
      <c r="B10" s="75" t="s">
        <v>325</v>
      </c>
      <c r="C10" s="75" t="s">
        <v>318</v>
      </c>
      <c r="D10" s="85" cm="1">
        <f t="array" ref="D10">AVERAGE(DAY(_xlfn.UNIQUE(_xlfn._xlws.FILTER(Discover!C:C, Discover!J:J = A10,0),1)))</f>
        <v>28</v>
      </c>
      <c r="E10" s="75">
        <f>SUMIFS(Discover!F:F,Discover!J:J,Subscriptions!A10)</f>
        <v>29.849999999999998</v>
      </c>
      <c r="F10">
        <f>COUNTIFS(Discover!J:J,Subscriptions!A10,Discover!G:G,"APP")</f>
        <v>3</v>
      </c>
      <c r="G10" s="75">
        <f t="shared" si="0"/>
        <v>9.9499999999999993</v>
      </c>
      <c r="H10" s="75">
        <f>SUMIFS(Discover!$F:$F,Discover!$J:$J,Subscriptions!$A10,Discover!$B:$B,1)</f>
        <v>9.9499999999999993</v>
      </c>
      <c r="I10" s="75">
        <f>SUMIFS(Discover!$F:$F,Discover!$J:$J,Subscriptions!$A10,Discover!$B:$B,2)</f>
        <v>9.9499999999999993</v>
      </c>
      <c r="J10" s="75">
        <f>SUMIFS(Discover!$F:$F,Discover!$J:$J,Subscriptions!$A10,Discover!$B:$B,3)</f>
        <v>9.9499999999999993</v>
      </c>
      <c r="K10" s="75">
        <f>SUMIFS(Discover!$F:$F,Discover!$J:$J,Subscriptions!$A10,Discover!$B:$B,4)</f>
        <v>0</v>
      </c>
      <c r="L10" s="75">
        <f>SUMIFS(Discover!$F:$F,Discover!$J:$J,Subscriptions!$A10,Discover!$B:$B,5)</f>
        <v>0</v>
      </c>
      <c r="M10" s="75">
        <f>SUMIFS(Discover!$F:$F,Discover!$J:$J,Subscriptions!$A10,Discover!$B:$B,6)</f>
        <v>0</v>
      </c>
      <c r="N10" s="75">
        <f>SUMIFS(Discover!$F:$F,Discover!$J:$J,Subscriptions!$A10,Discover!$B:$B,7)</f>
        <v>0</v>
      </c>
      <c r="O10" s="75">
        <f>SUMIFS(Discover!$F:$F,Discover!$J:$J,Subscriptions!$A10,Discover!$B:$B,8)</f>
        <v>0</v>
      </c>
      <c r="P10" s="75">
        <f>SUMIFS(Discover!$F:$F,Discover!$J:$J,Subscriptions!$A10,Discover!$B:$B,9)</f>
        <v>0</v>
      </c>
      <c r="Q10" s="75">
        <f>SUMIFS(Discover!$F:$F,Discover!$J:$J,Subscriptions!$A10,Discover!$B:$B,10)</f>
        <v>0</v>
      </c>
      <c r="R10" s="75">
        <f>SUMIFS(Discover!$F:$F,Discover!$J:$J,Subscriptions!$A10,Discover!$B:$B,11)</f>
        <v>0</v>
      </c>
      <c r="S10" s="75">
        <f>SUMIFS(Discover!$F:$F,Discover!$J:$J,Subscriptions!$A10,Discover!$B:$B,12)</f>
        <v>0</v>
      </c>
    </row>
    <row r="11" spans="1:19" x14ac:dyDescent="0.2">
      <c r="A11" t="str">
        <v>Crunchyroll</v>
      </c>
      <c r="B11" s="75" t="s">
        <v>320</v>
      </c>
      <c r="C11" s="75" t="s">
        <v>317</v>
      </c>
      <c r="D11" s="85" cm="1">
        <f t="array" ref="D11">AVERAGE(DAY(_xlfn.UNIQUE(_xlfn._xlws.FILTER(Discover!C:C, Discover!J:J = A11,0),1)))</f>
        <v>21.111111111111111</v>
      </c>
      <c r="E11" s="75">
        <f>SUMIFS(Discover!F:F,Discover!J:J,Subscriptions!A11)</f>
        <v>71.910000000000011</v>
      </c>
      <c r="F11">
        <f>COUNTIFS(Discover!J:J,Subscriptions!A11,Discover!G:G,"APP")</f>
        <v>9</v>
      </c>
      <c r="G11" s="75">
        <f t="shared" si="0"/>
        <v>7.9900000000000011</v>
      </c>
      <c r="H11" s="75">
        <f>SUMIFS(Discover!$F:$F,Discover!$J:$J,Subscriptions!$A11,Discover!$B:$B,1)</f>
        <v>7.99</v>
      </c>
      <c r="I11" s="75">
        <f>SUMIFS(Discover!$F:$F,Discover!$J:$J,Subscriptions!$A11,Discover!$B:$B,2)</f>
        <v>7.99</v>
      </c>
      <c r="J11" s="75">
        <f>SUMIFS(Discover!$F:$F,Discover!$J:$J,Subscriptions!$A11,Discover!$B:$B,3)</f>
        <v>7.99</v>
      </c>
      <c r="K11" s="75">
        <f>SUMIFS(Discover!$F:$F,Discover!$J:$J,Subscriptions!$A11,Discover!$B:$B,4)</f>
        <v>7.99</v>
      </c>
      <c r="L11" s="75">
        <f>SUMIFS(Discover!$F:$F,Discover!$J:$J,Subscriptions!$A11,Discover!$B:$B,5)</f>
        <v>7.99</v>
      </c>
      <c r="M11" s="75">
        <f>SUMIFS(Discover!$F:$F,Discover!$J:$J,Subscriptions!$A11,Discover!$B:$B,6)</f>
        <v>7.99</v>
      </c>
      <c r="N11" s="75">
        <f>SUMIFS(Discover!$F:$F,Discover!$J:$J,Subscriptions!$A11,Discover!$B:$B,7)</f>
        <v>7.99</v>
      </c>
      <c r="O11" s="75">
        <f>SUMIFS(Discover!$F:$F,Discover!$J:$J,Subscriptions!$A11,Discover!$B:$B,8)</f>
        <v>7.99</v>
      </c>
      <c r="P11" s="75">
        <f>SUMIFS(Discover!$F:$F,Discover!$J:$J,Subscriptions!$A11,Discover!$B:$B,9)</f>
        <v>7.99</v>
      </c>
      <c r="Q11" s="75">
        <f>SUMIFS(Discover!$F:$F,Discover!$J:$J,Subscriptions!$A11,Discover!$B:$B,10)</f>
        <v>0</v>
      </c>
      <c r="R11" s="75">
        <f>SUMIFS(Discover!$F:$F,Discover!$J:$J,Subscriptions!$A11,Discover!$B:$B,11)</f>
        <v>0</v>
      </c>
      <c r="S11" s="75">
        <f>SUMIFS(Discover!$F:$F,Discover!$J:$J,Subscriptions!$A11,Discover!$B:$B,12)</f>
        <v>0</v>
      </c>
    </row>
    <row r="12" spans="1:19" x14ac:dyDescent="0.2">
      <c r="A12" t="str">
        <v>Disney</v>
      </c>
      <c r="B12" s="75" t="s">
        <v>321</v>
      </c>
      <c r="C12" s="75" t="s">
        <v>317</v>
      </c>
      <c r="D12" s="85" cm="1">
        <f t="array" ref="D12">AVERAGE(DAY(_xlfn.UNIQUE(_xlfn._xlws.FILTER(Discover!C:C, Discover!J:J = A12,0),1)))</f>
        <v>1</v>
      </c>
      <c r="E12" s="75">
        <f>SUMIFS(Discover!F:F,Discover!J:J,Subscriptions!A12)</f>
        <v>69.989999999999995</v>
      </c>
      <c r="F12">
        <f>COUNTIFS(Discover!J:J,Subscriptions!A12,Discover!G:G,"APP")</f>
        <v>1</v>
      </c>
      <c r="G12" s="75">
        <f t="shared" si="0"/>
        <v>69.989999999999995</v>
      </c>
      <c r="H12" s="75">
        <f>SUMIFS(Discover!$F:$F,Discover!$J:$J,Subscriptions!$A12,Discover!$B:$B,1)</f>
        <v>0</v>
      </c>
      <c r="I12" s="75">
        <f>SUMIFS(Discover!$F:$F,Discover!$J:$J,Subscriptions!$A12,Discover!$B:$B,2)</f>
        <v>0</v>
      </c>
      <c r="J12" s="75">
        <f>SUMIFS(Discover!$F:$F,Discover!$J:$J,Subscriptions!$A12,Discover!$B:$B,3)</f>
        <v>69.989999999999995</v>
      </c>
      <c r="K12" s="75">
        <f>SUMIFS(Discover!$F:$F,Discover!$J:$J,Subscriptions!$A12,Discover!$B:$B,4)</f>
        <v>0</v>
      </c>
      <c r="L12" s="75">
        <f>SUMIFS(Discover!$F:$F,Discover!$J:$J,Subscriptions!$A12,Discover!$B:$B,5)</f>
        <v>0</v>
      </c>
      <c r="M12" s="75">
        <f>SUMIFS(Discover!$F:$F,Discover!$J:$J,Subscriptions!$A12,Discover!$B:$B,6)</f>
        <v>0</v>
      </c>
      <c r="N12" s="75">
        <f>SUMIFS(Discover!$F:$F,Discover!$J:$J,Subscriptions!$A12,Discover!$B:$B,7)</f>
        <v>0</v>
      </c>
      <c r="O12" s="75">
        <f>SUMIFS(Discover!$F:$F,Discover!$J:$J,Subscriptions!$A12,Discover!$B:$B,8)</f>
        <v>0</v>
      </c>
      <c r="P12" s="75">
        <f>SUMIFS(Discover!$F:$F,Discover!$J:$J,Subscriptions!$A12,Discover!$B:$B,9)</f>
        <v>0</v>
      </c>
      <c r="Q12" s="75">
        <f>SUMIFS(Discover!$F:$F,Discover!$J:$J,Subscriptions!$A12,Discover!$B:$B,10)</f>
        <v>0</v>
      </c>
      <c r="R12" s="75">
        <f>SUMIFS(Discover!$F:$F,Discover!$J:$J,Subscriptions!$A12,Discover!$B:$B,11)</f>
        <v>0</v>
      </c>
      <c r="S12" s="75">
        <f>SUMIFS(Discover!$F:$F,Discover!$J:$J,Subscriptions!$A12,Discover!$B:$B,12)</f>
        <v>0</v>
      </c>
    </row>
    <row r="13" spans="1:19" x14ac:dyDescent="0.2">
      <c r="A13" t="str">
        <v>Family Fitness</v>
      </c>
      <c r="B13" s="75" t="s">
        <v>4</v>
      </c>
      <c r="C13" s="75" t="s">
        <v>318</v>
      </c>
      <c r="D13" s="85" cm="1">
        <f t="array" ref="D13">AVERAGE(DAY(_xlfn.UNIQUE(_xlfn._xlws.FILTER(Discover!C:C, Discover!J:J = A13,0),1)))</f>
        <v>6.2</v>
      </c>
      <c r="E13" s="75">
        <f>SUMIFS(Discover!F:F,Discover!J:J,Subscriptions!A13)</f>
        <v>418.8</v>
      </c>
      <c r="F13">
        <f>COUNTIFS(Discover!J:J,Subscriptions!A13,Discover!G:G,"APP")</f>
        <v>5</v>
      </c>
      <c r="G13" s="75">
        <f t="shared" si="0"/>
        <v>83.76</v>
      </c>
      <c r="H13" s="75">
        <f>SUMIFS(Discover!$F:$F,Discover!$J:$J,Subscriptions!$A13,Discover!$B:$B,1)</f>
        <v>0</v>
      </c>
      <c r="I13" s="75">
        <f>SUMIFS(Discover!$F:$F,Discover!$J:$J,Subscriptions!$A13,Discover!$B:$B,2)</f>
        <v>0</v>
      </c>
      <c r="J13" s="75">
        <f>SUMIFS(Discover!$F:$F,Discover!$J:$J,Subscriptions!$A13,Discover!$B:$B,3)</f>
        <v>0</v>
      </c>
      <c r="K13" s="75">
        <f>SUMIFS(Discover!$F:$F,Discover!$J:$J,Subscriptions!$A13,Discover!$B:$B,4)</f>
        <v>84.95</v>
      </c>
      <c r="L13" s="75">
        <f>SUMIFS(Discover!$F:$F,Discover!$J:$J,Subscriptions!$A13,Discover!$B:$B,5)</f>
        <v>94.95</v>
      </c>
      <c r="M13" s="75">
        <f>SUMIFS(Discover!$F:$F,Discover!$J:$J,Subscriptions!$A13,Discover!$B:$B,6)</f>
        <v>143.94999999999999</v>
      </c>
      <c r="N13" s="75">
        <f>SUMIFS(Discover!$F:$F,Discover!$J:$J,Subscriptions!$A13,Discover!$B:$B,7)</f>
        <v>0</v>
      </c>
      <c r="O13" s="75">
        <f>SUMIFS(Discover!$F:$F,Discover!$J:$J,Subscriptions!$A13,Discover!$B:$B,8)</f>
        <v>94.95</v>
      </c>
      <c r="P13" s="75">
        <f>SUMIFS(Discover!$F:$F,Discover!$J:$J,Subscriptions!$A13,Discover!$B:$B,9)</f>
        <v>0</v>
      </c>
      <c r="Q13" s="75">
        <f>SUMIFS(Discover!$F:$F,Discover!$J:$J,Subscriptions!$A13,Discover!$B:$B,10)</f>
        <v>0</v>
      </c>
      <c r="R13" s="75">
        <f>SUMIFS(Discover!$F:$F,Discover!$J:$J,Subscriptions!$A13,Discover!$B:$B,11)</f>
        <v>0</v>
      </c>
      <c r="S13" s="75">
        <f>SUMIFS(Discover!$F:$F,Discover!$J:$J,Subscriptions!$A13,Discover!$B:$B,12)</f>
        <v>0</v>
      </c>
    </row>
    <row r="14" spans="1:19" x14ac:dyDescent="0.2">
      <c r="A14" t="str">
        <v xml:space="preserve">Final Fantasy </v>
      </c>
      <c r="B14" s="75" t="s">
        <v>4</v>
      </c>
      <c r="C14" s="75" t="s">
        <v>318</v>
      </c>
      <c r="D14" s="85" cm="1">
        <f t="array" ref="D14">AVERAGE(DAY(_xlfn.UNIQUE(_xlfn._xlws.FILTER(Discover!C:C, Discover!J:J = A14,0),1)))</f>
        <v>9.5</v>
      </c>
      <c r="E14" s="75">
        <f>SUMIFS(Discover!F:F,Discover!J:J,Subscriptions!A14)</f>
        <v>155.88</v>
      </c>
      <c r="F14">
        <f>COUNTIFS(Discover!J:J,Subscriptions!A14,Discover!G:G,"APP")</f>
        <v>2</v>
      </c>
      <c r="G14" s="75">
        <f t="shared" si="0"/>
        <v>77.94</v>
      </c>
      <c r="H14" s="75">
        <f>SUMIFS(Discover!$F:$F,Discover!$J:$J,Subscriptions!$A14,Discover!$B:$B,1)</f>
        <v>0</v>
      </c>
      <c r="I14" s="75">
        <f>SUMIFS(Discover!$F:$F,Discover!$J:$J,Subscriptions!$A14,Discover!$B:$B,2)</f>
        <v>0</v>
      </c>
      <c r="J14" s="75">
        <f>SUMIFS(Discover!$F:$F,Discover!$J:$J,Subscriptions!$A14,Discover!$B:$B,3)</f>
        <v>0</v>
      </c>
      <c r="K14" s="75">
        <f>SUMIFS(Discover!$F:$F,Discover!$J:$J,Subscriptions!$A14,Discover!$B:$B,4)</f>
        <v>0</v>
      </c>
      <c r="L14" s="75">
        <f>SUMIFS(Discover!$F:$F,Discover!$J:$J,Subscriptions!$A14,Discover!$B:$B,5)</f>
        <v>77.94</v>
      </c>
      <c r="M14" s="75">
        <f>SUMIFS(Discover!$F:$F,Discover!$J:$J,Subscriptions!$A14,Discover!$B:$B,6)</f>
        <v>77.94</v>
      </c>
      <c r="N14" s="75">
        <f>SUMIFS(Discover!$F:$F,Discover!$J:$J,Subscriptions!$A14,Discover!$B:$B,7)</f>
        <v>0</v>
      </c>
      <c r="O14" s="75">
        <f>SUMIFS(Discover!$F:$F,Discover!$J:$J,Subscriptions!$A14,Discover!$B:$B,8)</f>
        <v>0</v>
      </c>
      <c r="P14" s="75">
        <f>SUMIFS(Discover!$F:$F,Discover!$J:$J,Subscriptions!$A14,Discover!$B:$B,9)</f>
        <v>0</v>
      </c>
      <c r="Q14" s="75">
        <f>SUMIFS(Discover!$F:$F,Discover!$J:$J,Subscriptions!$A14,Discover!$B:$B,10)</f>
        <v>0</v>
      </c>
      <c r="R14" s="75">
        <f>SUMIFS(Discover!$F:$F,Discover!$J:$J,Subscriptions!$A14,Discover!$B:$B,11)</f>
        <v>0</v>
      </c>
      <c r="S14" s="75">
        <f>SUMIFS(Discover!$F:$F,Discover!$J:$J,Subscriptions!$A14,Discover!$B:$B,12)</f>
        <v>0</v>
      </c>
    </row>
    <row r="15" spans="1:19" x14ac:dyDescent="0.2">
      <c r="A15" t="str">
        <v>Finimize</v>
      </c>
      <c r="B15" s="88"/>
      <c r="C15" s="88"/>
      <c r="D15" s="89"/>
      <c r="E15" s="75">
        <f>SUMIFS(Discover!F:F,Discover!J:J,Subscriptions!A15)</f>
        <v>79.989999999999995</v>
      </c>
      <c r="F15">
        <f>COUNTIFS(Discover!J:J,Subscriptions!A15,Discover!G:G,"APP")</f>
        <v>1</v>
      </c>
      <c r="G15" s="75">
        <f t="shared" si="0"/>
        <v>79.989999999999995</v>
      </c>
      <c r="H15" s="75">
        <f>SUMIFS(Discover!$F:$F,Discover!$J:$J,Subscriptions!$A15,Discover!$B:$B,1)</f>
        <v>0</v>
      </c>
      <c r="I15" s="75">
        <f>SUMIFS(Discover!$F:$F,Discover!$J:$J,Subscriptions!$A15,Discover!$B:$B,2)</f>
        <v>0</v>
      </c>
      <c r="J15" s="75">
        <f>SUMIFS(Discover!$F:$F,Discover!$J:$J,Subscriptions!$A15,Discover!$B:$B,3)</f>
        <v>79.989999999999995</v>
      </c>
      <c r="K15" s="75">
        <f>SUMIFS(Discover!$F:$F,Discover!$J:$J,Subscriptions!$A15,Discover!$B:$B,4)</f>
        <v>0</v>
      </c>
      <c r="L15" s="75">
        <f>SUMIFS(Discover!$F:$F,Discover!$J:$J,Subscriptions!$A15,Discover!$B:$B,5)</f>
        <v>0</v>
      </c>
      <c r="M15" s="75">
        <f>SUMIFS(Discover!$F:$F,Discover!$J:$J,Subscriptions!$A15,Discover!$B:$B,6)</f>
        <v>0</v>
      </c>
      <c r="N15" s="75">
        <f>SUMIFS(Discover!$F:$F,Discover!$J:$J,Subscriptions!$A15,Discover!$B:$B,7)</f>
        <v>0</v>
      </c>
      <c r="O15" s="75">
        <f>SUMIFS(Discover!$F:$F,Discover!$J:$J,Subscriptions!$A15,Discover!$B:$B,8)</f>
        <v>0</v>
      </c>
      <c r="P15" s="75">
        <f>SUMIFS(Discover!$F:$F,Discover!$J:$J,Subscriptions!$A15,Discover!$B:$B,9)</f>
        <v>0</v>
      </c>
      <c r="Q15" s="75">
        <f>SUMIFS(Discover!$F:$F,Discover!$J:$J,Subscriptions!$A15,Discover!$B:$B,10)</f>
        <v>0</v>
      </c>
      <c r="R15" s="75">
        <f>SUMIFS(Discover!$F:$F,Discover!$J:$J,Subscriptions!$A15,Discover!$B:$B,11)</f>
        <v>0</v>
      </c>
      <c r="S15" s="75">
        <f>SUMIFS(Discover!$F:$F,Discover!$J:$J,Subscriptions!$A15,Discover!$B:$B,12)</f>
        <v>0</v>
      </c>
    </row>
    <row r="16" spans="1:19" x14ac:dyDescent="0.2">
      <c r="A16" t="str">
        <v>fraud</v>
      </c>
      <c r="B16" s="75" t="s">
        <v>4</v>
      </c>
      <c r="C16" s="75" t="s">
        <v>318</v>
      </c>
      <c r="D16" s="85" cm="1">
        <f t="array" ref="D16">AVERAGE(DAY(_xlfn.UNIQUE(_xlfn._xlws.FILTER(Discover!C:C, Discover!J:J = A16,0),1)))</f>
        <v>14</v>
      </c>
      <c r="E16" s="75">
        <f>SUMIFS(Discover!F:F,Discover!J:J,Subscriptions!A16)</f>
        <v>3.99</v>
      </c>
      <c r="F16">
        <f>COUNTIFS(Discover!J:J,Subscriptions!A16,Discover!G:G,"APP")</f>
        <v>1</v>
      </c>
      <c r="G16" s="75">
        <f t="shared" si="0"/>
        <v>3.99</v>
      </c>
      <c r="H16" s="75">
        <f>SUMIFS(Discover!$F:$F,Discover!$J:$J,Subscriptions!$A16,Discover!$B:$B,1)</f>
        <v>0</v>
      </c>
      <c r="I16" s="75">
        <f>SUMIFS(Discover!$F:$F,Discover!$J:$J,Subscriptions!$A16,Discover!$B:$B,2)</f>
        <v>0</v>
      </c>
      <c r="J16" s="75">
        <f>SUMIFS(Discover!$F:$F,Discover!$J:$J,Subscriptions!$A16,Discover!$B:$B,3)</f>
        <v>0</v>
      </c>
      <c r="K16" s="75">
        <f>SUMIFS(Discover!$F:$F,Discover!$J:$J,Subscriptions!$A16,Discover!$B:$B,4)</f>
        <v>0</v>
      </c>
      <c r="L16" s="75">
        <f>SUMIFS(Discover!$F:$F,Discover!$J:$J,Subscriptions!$A16,Discover!$B:$B,5)</f>
        <v>0</v>
      </c>
      <c r="M16" s="75">
        <f>SUMIFS(Discover!$F:$F,Discover!$J:$J,Subscriptions!$A16,Discover!$B:$B,6)</f>
        <v>0</v>
      </c>
      <c r="N16" s="75">
        <f>SUMIFS(Discover!$F:$F,Discover!$J:$J,Subscriptions!$A16,Discover!$B:$B,7)</f>
        <v>0</v>
      </c>
      <c r="O16" s="75">
        <f>SUMIFS(Discover!$F:$F,Discover!$J:$J,Subscriptions!$A16,Discover!$B:$B,8)</f>
        <v>3.99</v>
      </c>
      <c r="P16" s="75">
        <f>SUMIFS(Discover!$F:$F,Discover!$J:$J,Subscriptions!$A16,Discover!$B:$B,9)</f>
        <v>0</v>
      </c>
      <c r="Q16" s="75">
        <f>SUMIFS(Discover!$F:$F,Discover!$J:$J,Subscriptions!$A16,Discover!$B:$B,10)</f>
        <v>0</v>
      </c>
      <c r="R16" s="75">
        <f>SUMIFS(Discover!$F:$F,Discover!$J:$J,Subscriptions!$A16,Discover!$B:$B,11)</f>
        <v>0</v>
      </c>
      <c r="S16" s="75">
        <f>SUMIFS(Discover!$F:$F,Discover!$J:$J,Subscriptions!$A16,Discover!$B:$B,12)</f>
        <v>0</v>
      </c>
    </row>
    <row r="17" spans="1:19" x14ac:dyDescent="0.2">
      <c r="A17" t="str">
        <v>Funimation</v>
      </c>
      <c r="B17" s="75" t="s">
        <v>4</v>
      </c>
      <c r="C17" s="75" t="s">
        <v>318</v>
      </c>
      <c r="D17" s="85" cm="1">
        <f t="array" ref="D17">AVERAGE(DAY(_xlfn.UNIQUE(_xlfn._xlws.FILTER(Discover!C:C, Discover!J:J = A17,0),1)))</f>
        <v>18</v>
      </c>
      <c r="E17" s="75">
        <f>SUMIFS(Discover!F:F,Discover!J:J,Subscriptions!A17)</f>
        <v>8.4700000000000006</v>
      </c>
      <c r="F17">
        <f>COUNTIFS(Discover!J:J,Subscriptions!A17,Discover!G:G,"APP")</f>
        <v>1</v>
      </c>
      <c r="G17" s="75">
        <f t="shared" si="0"/>
        <v>8.4700000000000006</v>
      </c>
      <c r="H17" s="75">
        <f>SUMIFS(Discover!$F:$F,Discover!$J:$J,Subscriptions!$A17,Discover!$B:$B,1)</f>
        <v>0</v>
      </c>
      <c r="I17" s="75">
        <f>SUMIFS(Discover!$F:$F,Discover!$J:$J,Subscriptions!$A17,Discover!$B:$B,2)</f>
        <v>0</v>
      </c>
      <c r="J17" s="75">
        <f>SUMIFS(Discover!$F:$F,Discover!$J:$J,Subscriptions!$A17,Discover!$B:$B,3)</f>
        <v>0</v>
      </c>
      <c r="K17" s="75">
        <f>SUMIFS(Discover!$F:$F,Discover!$J:$J,Subscriptions!$A17,Discover!$B:$B,4)</f>
        <v>0</v>
      </c>
      <c r="L17" s="75">
        <f>SUMIFS(Discover!$F:$F,Discover!$J:$J,Subscriptions!$A17,Discover!$B:$B,5)</f>
        <v>0</v>
      </c>
      <c r="M17" s="75">
        <f>SUMIFS(Discover!$F:$F,Discover!$J:$J,Subscriptions!$A17,Discover!$B:$B,6)</f>
        <v>0</v>
      </c>
      <c r="N17" s="75">
        <f>SUMIFS(Discover!$F:$F,Discover!$J:$J,Subscriptions!$A17,Discover!$B:$B,7)</f>
        <v>0</v>
      </c>
      <c r="O17" s="75">
        <f>SUMIFS(Discover!$F:$F,Discover!$J:$J,Subscriptions!$A17,Discover!$B:$B,8)</f>
        <v>8.4700000000000006</v>
      </c>
      <c r="P17" s="75">
        <f>SUMIFS(Discover!$F:$F,Discover!$J:$J,Subscriptions!$A17,Discover!$B:$B,9)</f>
        <v>0</v>
      </c>
      <c r="Q17" s="75">
        <f>SUMIFS(Discover!$F:$F,Discover!$J:$J,Subscriptions!$A17,Discover!$B:$B,10)</f>
        <v>0</v>
      </c>
      <c r="R17" s="75">
        <f>SUMIFS(Discover!$F:$F,Discover!$J:$J,Subscriptions!$A17,Discover!$B:$B,11)</f>
        <v>0</v>
      </c>
      <c r="S17" s="75">
        <f>SUMIFS(Discover!$F:$F,Discover!$J:$J,Subscriptions!$A17,Discover!$B:$B,12)</f>
        <v>0</v>
      </c>
    </row>
    <row r="18" spans="1:19" x14ac:dyDescent="0.2">
      <c r="A18" t="str">
        <v>GuitarTuna</v>
      </c>
      <c r="B18" s="75" t="s">
        <v>4</v>
      </c>
      <c r="C18" s="75" t="s">
        <v>318</v>
      </c>
      <c r="D18" s="85" cm="1">
        <f t="array" ref="D18">AVERAGE(DAY(_xlfn.UNIQUE(_xlfn._xlws.FILTER(Discover!C:C, Discover!J:J = A18,0),1)))</f>
        <v>25</v>
      </c>
      <c r="E18" s="75">
        <f>SUMIFS(Discover!F:F,Discover!J:J,Subscriptions!A18)</f>
        <v>5.29</v>
      </c>
      <c r="F18">
        <f>COUNTIFS(Discover!J:J,Subscriptions!A18,Discover!G:G,"APP")</f>
        <v>1</v>
      </c>
      <c r="G18" s="75">
        <f t="shared" si="0"/>
        <v>5.29</v>
      </c>
      <c r="H18" s="75">
        <f>SUMIFS(Discover!$F:$F,Discover!$J:$J,Subscriptions!$A18,Discover!$B:$B,1)</f>
        <v>0</v>
      </c>
      <c r="I18" s="75">
        <f>SUMIFS(Discover!$F:$F,Discover!$J:$J,Subscriptions!$A18,Discover!$B:$B,2)</f>
        <v>0</v>
      </c>
      <c r="J18" s="75">
        <f>SUMIFS(Discover!$F:$F,Discover!$J:$J,Subscriptions!$A18,Discover!$B:$B,3)</f>
        <v>0</v>
      </c>
      <c r="K18" s="75">
        <f>SUMIFS(Discover!$F:$F,Discover!$J:$J,Subscriptions!$A18,Discover!$B:$B,4)</f>
        <v>0</v>
      </c>
      <c r="L18" s="75">
        <f>SUMIFS(Discover!$F:$F,Discover!$J:$J,Subscriptions!$A18,Discover!$B:$B,5)</f>
        <v>5.29</v>
      </c>
      <c r="M18" s="75">
        <f>SUMIFS(Discover!$F:$F,Discover!$J:$J,Subscriptions!$A18,Discover!$B:$B,6)</f>
        <v>0</v>
      </c>
      <c r="N18" s="75">
        <f>SUMIFS(Discover!$F:$F,Discover!$J:$J,Subscriptions!$A18,Discover!$B:$B,7)</f>
        <v>0</v>
      </c>
      <c r="O18" s="75">
        <f>SUMIFS(Discover!$F:$F,Discover!$J:$J,Subscriptions!$A18,Discover!$B:$B,8)</f>
        <v>0</v>
      </c>
      <c r="P18" s="75">
        <f>SUMIFS(Discover!$F:$F,Discover!$J:$J,Subscriptions!$A18,Discover!$B:$B,9)</f>
        <v>0</v>
      </c>
      <c r="Q18" s="75">
        <f>SUMIFS(Discover!$F:$F,Discover!$J:$J,Subscriptions!$A18,Discover!$B:$B,10)</f>
        <v>0</v>
      </c>
      <c r="R18" s="75">
        <f>SUMIFS(Discover!$F:$F,Discover!$J:$J,Subscriptions!$A18,Discover!$B:$B,11)</f>
        <v>0</v>
      </c>
      <c r="S18" s="75">
        <f>SUMIFS(Discover!$F:$F,Discover!$J:$J,Subscriptions!$A18,Discover!$B:$B,12)</f>
        <v>0</v>
      </c>
    </row>
    <row r="19" spans="1:19" x14ac:dyDescent="0.2">
      <c r="A19" t="str">
        <v>HBO</v>
      </c>
      <c r="B19" s="75" t="s">
        <v>319</v>
      </c>
      <c r="C19" s="75" t="s">
        <v>317</v>
      </c>
      <c r="D19" s="85" cm="1">
        <f t="array" ref="D19">AVERAGE(DAY(_xlfn.UNIQUE(_xlfn._xlws.FILTER(Discover!C:C, Discover!J:J = A19,0),1)))</f>
        <v>11.7</v>
      </c>
      <c r="E19" s="75">
        <f>SUMIFS(Discover!F:F,Discover!J:J,Subscriptions!A19)</f>
        <v>156.11000000000001</v>
      </c>
      <c r="F19">
        <f>COUNTIFS(Discover!J:J,Subscriptions!A19,Discover!G:G,"APP")</f>
        <v>10</v>
      </c>
      <c r="G19" s="75">
        <f t="shared" si="0"/>
        <v>15.611000000000001</v>
      </c>
      <c r="H19" s="75">
        <f>SUMIFS(Discover!$F:$F,Discover!$J:$J,Subscriptions!$A19,Discover!$B:$B,1)</f>
        <v>14.99</v>
      </c>
      <c r="I19" s="75">
        <f>SUMIFS(Discover!$F:$F,Discover!$J:$J,Subscriptions!$A19,Discover!$B:$B,2)</f>
        <v>14.99</v>
      </c>
      <c r="J19" s="75">
        <f>SUMIFS(Discover!$F:$F,Discover!$J:$J,Subscriptions!$A19,Discover!$B:$B,3)</f>
        <v>14.99</v>
      </c>
      <c r="K19" s="75">
        <f>SUMIFS(Discover!$F:$F,Discover!$J:$J,Subscriptions!$A19,Discover!$B:$B,4)</f>
        <v>15.89</v>
      </c>
      <c r="L19" s="75">
        <f>SUMIFS(Discover!$F:$F,Discover!$J:$J,Subscriptions!$A19,Discover!$B:$B,5)</f>
        <v>15.89</v>
      </c>
      <c r="M19" s="75">
        <f>SUMIFS(Discover!$F:$F,Discover!$J:$J,Subscriptions!$A19,Discover!$B:$B,6)</f>
        <v>15.89</v>
      </c>
      <c r="N19" s="75">
        <f>SUMIFS(Discover!$F:$F,Discover!$J:$J,Subscriptions!$A19,Discover!$B:$B,7)</f>
        <v>15.89</v>
      </c>
      <c r="O19" s="75">
        <f>SUMIFS(Discover!$F:$F,Discover!$J:$J,Subscriptions!$A19,Discover!$B:$B,8)</f>
        <v>16.010000000000002</v>
      </c>
      <c r="P19" s="75">
        <f>SUMIFS(Discover!$F:$F,Discover!$J:$J,Subscriptions!$A19,Discover!$B:$B,9)</f>
        <v>15.68</v>
      </c>
      <c r="Q19" s="75">
        <f>SUMIFS(Discover!$F:$F,Discover!$J:$J,Subscriptions!$A19,Discover!$B:$B,10)</f>
        <v>15.89</v>
      </c>
      <c r="R19" s="75">
        <f>SUMIFS(Discover!$F:$F,Discover!$J:$J,Subscriptions!$A19,Discover!$B:$B,11)</f>
        <v>0</v>
      </c>
      <c r="S19" s="75">
        <f>SUMIFS(Discover!$F:$F,Discover!$J:$J,Subscriptions!$A19,Discover!$B:$B,12)</f>
        <v>0</v>
      </c>
    </row>
    <row r="20" spans="1:19" x14ac:dyDescent="0.2">
      <c r="A20" t="str">
        <v>Hulu</v>
      </c>
      <c r="B20" s="75" t="s">
        <v>4</v>
      </c>
      <c r="C20" s="75" t="s">
        <v>318</v>
      </c>
      <c r="D20" s="85" cm="1">
        <f t="array" ref="D20">AVERAGE(DAY(_xlfn.UNIQUE(_xlfn._xlws.FILTER(Discover!C:C, Discover!J:J = A20,0),1)))</f>
        <v>3</v>
      </c>
      <c r="E20" s="75">
        <f>SUMIFS(Discover!F:F,Discover!J:J,Subscriptions!A20)</f>
        <v>68.33</v>
      </c>
      <c r="F20">
        <f>COUNTIFS(Discover!J:J,Subscriptions!A20,Discover!G:G,"APP")</f>
        <v>8</v>
      </c>
      <c r="G20" s="75">
        <f t="shared" si="0"/>
        <v>8.5412499999999998</v>
      </c>
      <c r="H20" s="75">
        <f>SUMIFS(Discover!$F:$F,Discover!$J:$J,Subscriptions!$A20,Discover!$B:$B,1)</f>
        <v>0</v>
      </c>
      <c r="I20" s="75">
        <f>SUMIFS(Discover!$F:$F,Discover!$J:$J,Subscriptions!$A20,Discover!$B:$B,2)</f>
        <v>0</v>
      </c>
      <c r="J20" s="75">
        <f>SUMIFS(Discover!$F:$F,Discover!$J:$J,Subscriptions!$A20,Discover!$B:$B,3)</f>
        <v>0</v>
      </c>
      <c r="K20" s="75">
        <f>SUMIFS(Discover!$F:$F,Discover!$J:$J,Subscriptions!$A20,Discover!$B:$B,4)</f>
        <v>0.99</v>
      </c>
      <c r="L20" s="75">
        <f>SUMIFS(Discover!$F:$F,Discover!$J:$J,Subscriptions!$A20,Discover!$B:$B,5)</f>
        <v>5.99</v>
      </c>
      <c r="M20" s="75">
        <f>SUMIFS(Discover!$F:$F,Discover!$J:$J,Subscriptions!$A20,Discover!$B:$B,6)</f>
        <v>0.4</v>
      </c>
      <c r="N20" s="75">
        <f>SUMIFS(Discover!$F:$F,Discover!$J:$J,Subscriptions!$A20,Discover!$B:$B,7)</f>
        <v>11.99</v>
      </c>
      <c r="O20" s="75">
        <f>SUMIFS(Discover!$F:$F,Discover!$J:$J,Subscriptions!$A20,Discover!$B:$B,8)</f>
        <v>11.99</v>
      </c>
      <c r="P20" s="75">
        <f>SUMIFS(Discover!$F:$F,Discover!$J:$J,Subscriptions!$A20,Discover!$B:$B,9)</f>
        <v>11.99</v>
      </c>
      <c r="Q20" s="75">
        <f>SUMIFS(Discover!$F:$F,Discover!$J:$J,Subscriptions!$A20,Discover!$B:$B,10)</f>
        <v>11.99</v>
      </c>
      <c r="R20" s="75">
        <f>SUMIFS(Discover!$F:$F,Discover!$J:$J,Subscriptions!$A20,Discover!$B:$B,11)</f>
        <v>12.99</v>
      </c>
      <c r="S20" s="75">
        <f>SUMIFS(Discover!$F:$F,Discover!$J:$J,Subscriptions!$A20,Discover!$B:$B,12)</f>
        <v>0</v>
      </c>
    </row>
    <row r="21" spans="1:19" x14ac:dyDescent="0.2">
      <c r="A21" t="str">
        <v>Internet</v>
      </c>
      <c r="B21" s="75" t="s">
        <v>4</v>
      </c>
      <c r="C21" s="75" t="s">
        <v>324</v>
      </c>
      <c r="D21" s="85" cm="1">
        <f t="array" ref="D21">AVERAGE(DAY(_xlfn.UNIQUE(_xlfn._xlws.FILTER(Discover!C:C, Discover!J:J = A21,0),1)))</f>
        <v>16</v>
      </c>
      <c r="E21" s="75">
        <f>SUMIFS(Discover!F:F,Discover!J:J,Subscriptions!A21)</f>
        <v>50</v>
      </c>
      <c r="F21">
        <f>COUNTIFS(Discover!J:J,Subscriptions!A21,Discover!G:G,"APP")</f>
        <v>1</v>
      </c>
      <c r="G21" s="75">
        <f t="shared" si="0"/>
        <v>50</v>
      </c>
      <c r="H21" s="75">
        <f>SUMIFS(Discover!$F:$F,Discover!$J:$J,Subscriptions!$A21,Discover!$B:$B,1)</f>
        <v>0</v>
      </c>
      <c r="I21" s="75">
        <f>SUMIFS(Discover!$F:$F,Discover!$J:$J,Subscriptions!$A21,Discover!$B:$B,2)</f>
        <v>0</v>
      </c>
      <c r="J21" s="75">
        <f>SUMIFS(Discover!$F:$F,Discover!$J:$J,Subscriptions!$A21,Discover!$B:$B,3)</f>
        <v>0</v>
      </c>
      <c r="K21" s="75">
        <f>SUMIFS(Discover!$F:$F,Discover!$J:$J,Subscriptions!$A21,Discover!$B:$B,4)</f>
        <v>0</v>
      </c>
      <c r="L21" s="75">
        <f>SUMIFS(Discover!$F:$F,Discover!$J:$J,Subscriptions!$A21,Discover!$B:$B,5)</f>
        <v>0</v>
      </c>
      <c r="M21" s="75">
        <f>SUMIFS(Discover!$F:$F,Discover!$J:$J,Subscriptions!$A21,Discover!$B:$B,6)</f>
        <v>0</v>
      </c>
      <c r="N21" s="75">
        <f>SUMIFS(Discover!$F:$F,Discover!$J:$J,Subscriptions!$A21,Discover!$B:$B,7)</f>
        <v>50</v>
      </c>
      <c r="O21" s="75">
        <f>SUMIFS(Discover!$F:$F,Discover!$J:$J,Subscriptions!$A21,Discover!$B:$B,8)</f>
        <v>0</v>
      </c>
      <c r="P21" s="75">
        <f>SUMIFS(Discover!$F:$F,Discover!$J:$J,Subscriptions!$A21,Discover!$B:$B,9)</f>
        <v>0</v>
      </c>
      <c r="Q21" s="75">
        <f>SUMIFS(Discover!$F:$F,Discover!$J:$J,Subscriptions!$A21,Discover!$B:$B,10)</f>
        <v>0</v>
      </c>
      <c r="R21" s="75">
        <f>SUMIFS(Discover!$F:$F,Discover!$J:$J,Subscriptions!$A21,Discover!$B:$B,11)</f>
        <v>0</v>
      </c>
      <c r="S21" s="75">
        <f>SUMIFS(Discover!$F:$F,Discover!$J:$J,Subscriptions!$A21,Discover!$B:$B,12)</f>
        <v>0</v>
      </c>
    </row>
    <row r="22" spans="1:19" x14ac:dyDescent="0.2">
      <c r="A22" t="str">
        <v>Lifetime Gym</v>
      </c>
      <c r="B22" s="75" t="s">
        <v>4</v>
      </c>
      <c r="C22" s="75" t="s">
        <v>317</v>
      </c>
      <c r="D22" s="85" cm="1">
        <f t="array" ref="D22">AVERAGE(DAY(_xlfn.UNIQUE(_xlfn._xlws.FILTER(Discover!C:C, Discover!J:J = A22,0),1)))</f>
        <v>25</v>
      </c>
      <c r="E22" s="75">
        <f>SUMIFS(Discover!F:F,Discover!J:J,Subscriptions!A22)</f>
        <v>16.149999999999999</v>
      </c>
      <c r="F22">
        <f>COUNTIFS(Discover!J:J,Subscriptions!A22,Discover!G:G,"APP")</f>
        <v>1</v>
      </c>
      <c r="G22" s="75">
        <f t="shared" ref="G22:G27" si="1">E22/F22</f>
        <v>16.149999999999999</v>
      </c>
      <c r="H22" s="75">
        <f>SUMIFS(Discover!$F:$F,Discover!$J:$J,Subscriptions!$A22,Discover!$B:$B,1)</f>
        <v>0</v>
      </c>
      <c r="I22" s="75">
        <f>SUMIFS(Discover!$F:$F,Discover!$J:$J,Subscriptions!$A22,Discover!$B:$B,2)</f>
        <v>0</v>
      </c>
      <c r="J22" s="75">
        <f>SUMIFS(Discover!$F:$F,Discover!$J:$J,Subscriptions!$A22,Discover!$B:$B,3)</f>
        <v>0</v>
      </c>
      <c r="K22" s="75">
        <f>SUMIFS(Discover!$F:$F,Discover!$J:$J,Subscriptions!$A22,Discover!$B:$B,4)</f>
        <v>0</v>
      </c>
      <c r="L22" s="75">
        <f>SUMIFS(Discover!$F:$F,Discover!$J:$J,Subscriptions!$A22,Discover!$B:$B,5)</f>
        <v>0</v>
      </c>
      <c r="M22" s="75">
        <f>SUMIFS(Discover!$F:$F,Discover!$J:$J,Subscriptions!$A22,Discover!$B:$B,6)</f>
        <v>0</v>
      </c>
      <c r="N22" s="75">
        <f>SUMIFS(Discover!$F:$F,Discover!$J:$J,Subscriptions!$A22,Discover!$B:$B,7)</f>
        <v>0</v>
      </c>
      <c r="O22" s="75">
        <f>SUMIFS(Discover!$F:$F,Discover!$J:$J,Subscriptions!$A22,Discover!$B:$B,8)</f>
        <v>0</v>
      </c>
      <c r="P22" s="75">
        <f>SUMIFS(Discover!$F:$F,Discover!$J:$J,Subscriptions!$A22,Discover!$B:$B,9)</f>
        <v>0</v>
      </c>
      <c r="Q22" s="75">
        <f>SUMIFS(Discover!$F:$F,Discover!$J:$J,Subscriptions!$A22,Discover!$B:$B,10)</f>
        <v>16.149999999999999</v>
      </c>
      <c r="R22" s="75">
        <f>SUMIFS(Discover!$F:$F,Discover!$J:$J,Subscriptions!$A22,Discover!$B:$B,11)</f>
        <v>0</v>
      </c>
      <c r="S22" s="75">
        <f>SUMIFS(Discover!$F:$F,Discover!$J:$J,Subscriptions!$A22,Discover!$B:$B,12)</f>
        <v>0</v>
      </c>
    </row>
    <row r="23" spans="1:19" x14ac:dyDescent="0.2">
      <c r="A23" t="str">
        <v>Manga</v>
      </c>
      <c r="B23" s="75" t="s">
        <v>4</v>
      </c>
      <c r="C23" s="75" t="s">
        <v>318</v>
      </c>
      <c r="D23" s="85" cm="1">
        <f t="array" ref="D23">AVERAGE(DAY(_xlfn.UNIQUE(_xlfn._xlws.FILTER(Discover!C:C, Discover!J:J = A23,0),1)))</f>
        <v>13.25</v>
      </c>
      <c r="E23" s="75">
        <f>SUMIFS(Discover!F:F,Discover!J:J,Subscriptions!A23)</f>
        <v>23.879999999999995</v>
      </c>
      <c r="F23">
        <f>COUNTIFS(Discover!J:J,Subscriptions!A23,Discover!G:G,"APP")</f>
        <v>12</v>
      </c>
      <c r="G23" s="75">
        <f t="shared" si="1"/>
        <v>1.9899999999999995</v>
      </c>
      <c r="H23" s="75">
        <f>SUMIFS(Discover!$F:$F,Discover!$J:$J,Subscriptions!$A23,Discover!$B:$B,1)</f>
        <v>1.99</v>
      </c>
      <c r="I23" s="75">
        <f>SUMIFS(Discover!$F:$F,Discover!$J:$J,Subscriptions!$A23,Discover!$B:$B,2)</f>
        <v>3.98</v>
      </c>
      <c r="J23" s="75">
        <f>SUMIFS(Discover!$F:$F,Discover!$J:$J,Subscriptions!$A23,Discover!$B:$B,3)</f>
        <v>1.99</v>
      </c>
      <c r="K23" s="75">
        <f>SUMIFS(Discover!$F:$F,Discover!$J:$J,Subscriptions!$A23,Discover!$B:$B,4)</f>
        <v>1.99</v>
      </c>
      <c r="L23" s="75">
        <f>SUMIFS(Discover!$F:$F,Discover!$J:$J,Subscriptions!$A23,Discover!$B:$B,5)</f>
        <v>1.99</v>
      </c>
      <c r="M23" s="75">
        <f>SUMIFS(Discover!$F:$F,Discover!$J:$J,Subscriptions!$A23,Discover!$B:$B,6)</f>
        <v>1.99</v>
      </c>
      <c r="N23" s="75">
        <f>SUMIFS(Discover!$F:$F,Discover!$J:$J,Subscriptions!$A23,Discover!$B:$B,7)</f>
        <v>1.99</v>
      </c>
      <c r="O23" s="75">
        <f>SUMIFS(Discover!$F:$F,Discover!$J:$J,Subscriptions!$A23,Discover!$B:$B,8)</f>
        <v>1.99</v>
      </c>
      <c r="P23" s="75">
        <f>SUMIFS(Discover!$F:$F,Discover!$J:$J,Subscriptions!$A23,Discover!$B:$B,9)</f>
        <v>1.99</v>
      </c>
      <c r="Q23" s="75">
        <f>SUMIFS(Discover!$F:$F,Discover!$J:$J,Subscriptions!$A23,Discover!$B:$B,10)</f>
        <v>1.99</v>
      </c>
      <c r="R23" s="75">
        <f>SUMIFS(Discover!$F:$F,Discover!$J:$J,Subscriptions!$A23,Discover!$B:$B,11)</f>
        <v>1.99</v>
      </c>
      <c r="S23" s="75">
        <f>SUMIFS(Discover!$F:$F,Discover!$J:$J,Subscriptions!$A23,Discover!$B:$B,12)</f>
        <v>0</v>
      </c>
    </row>
    <row r="24" spans="1:19" x14ac:dyDescent="0.2">
      <c r="A24" t="str">
        <v>Netflix</v>
      </c>
      <c r="B24" s="75" t="s">
        <v>319</v>
      </c>
      <c r="C24" s="75" t="s">
        <v>318</v>
      </c>
      <c r="D24" s="85" cm="1">
        <f t="array" ref="D24">AVERAGE(DAY(_xlfn.UNIQUE(_xlfn._xlws.FILTER(Discover!C:C, Discover!J:J = A24,0),1)))</f>
        <v>1</v>
      </c>
      <c r="E24" s="75">
        <f>SUMIFS(Discover!F:F,Discover!J:J,Subscriptions!A24)</f>
        <v>160.61000000000001</v>
      </c>
      <c r="F24">
        <f>COUNTIFS(Discover!J:J,Subscriptions!A24,Discover!G:G,"APP")</f>
        <v>11</v>
      </c>
      <c r="G24" s="75">
        <f t="shared" si="1"/>
        <v>14.600909090909092</v>
      </c>
      <c r="H24" s="75">
        <f>SUMIFS(Discover!$F:$F,Discover!$J:$J,Subscriptions!$A24,Discover!$B:$B,1)</f>
        <v>13.99</v>
      </c>
      <c r="I24" s="75">
        <f>SUMIFS(Discover!$F:$F,Discover!$J:$J,Subscriptions!$A24,Discover!$B:$B,2)</f>
        <v>13.99</v>
      </c>
      <c r="J24" s="75">
        <f>SUMIFS(Discover!$F:$F,Discover!$J:$J,Subscriptions!$A24,Discover!$B:$B,3)</f>
        <v>13.99</v>
      </c>
      <c r="K24" s="75">
        <f>SUMIFS(Discover!$F:$F,Discover!$J:$J,Subscriptions!$A24,Discover!$B:$B,4)</f>
        <v>14.83</v>
      </c>
      <c r="L24" s="75">
        <f>SUMIFS(Discover!$F:$F,Discover!$J:$J,Subscriptions!$A24,Discover!$B:$B,5)</f>
        <v>14.83</v>
      </c>
      <c r="M24" s="75">
        <f>SUMIFS(Discover!$F:$F,Discover!$J:$J,Subscriptions!$A24,Discover!$B:$B,6)</f>
        <v>14.83</v>
      </c>
      <c r="N24" s="75">
        <f>SUMIFS(Discover!$F:$F,Discover!$J:$J,Subscriptions!$A24,Discover!$B:$B,7)</f>
        <v>14.83</v>
      </c>
      <c r="O24" s="75">
        <f>SUMIFS(Discover!$F:$F,Discover!$J:$J,Subscriptions!$A24,Discover!$B:$B,8)</f>
        <v>14.83</v>
      </c>
      <c r="P24" s="75">
        <f>SUMIFS(Discover!$F:$F,Discover!$J:$J,Subscriptions!$A24,Discover!$B:$B,9)</f>
        <v>14.83</v>
      </c>
      <c r="Q24" s="75">
        <f>SUMIFS(Discover!$F:$F,Discover!$J:$J,Subscriptions!$A24,Discover!$B:$B,10)</f>
        <v>14.83</v>
      </c>
      <c r="R24" s="75">
        <f>SUMIFS(Discover!$F:$F,Discover!$J:$J,Subscriptions!$A24,Discover!$B:$B,11)</f>
        <v>14.83</v>
      </c>
      <c r="S24" s="75">
        <f>SUMIFS(Discover!$F:$F,Discover!$J:$J,Subscriptions!$A24,Discover!$B:$B,12)</f>
        <v>0</v>
      </c>
    </row>
    <row r="25" spans="1:19" x14ac:dyDescent="0.2">
      <c r="A25" t="str">
        <v>News</v>
      </c>
      <c r="B25" s="75" t="s">
        <v>4</v>
      </c>
      <c r="C25" s="75" t="s">
        <v>317</v>
      </c>
      <c r="D25" s="85" cm="1">
        <f t="array" ref="D25">AVERAGE(DAY(_xlfn.UNIQUE(_xlfn._xlws.FILTER(Discover!C:C, Discover!J:J = A25,0),1)))</f>
        <v>2</v>
      </c>
      <c r="E25" s="75">
        <f>SUMIFS(Discover!F:F,Discover!J:J,Subscriptions!A25)</f>
        <v>60</v>
      </c>
      <c r="F25">
        <f>COUNTIFS(Discover!J:J,Subscriptions!A25,Discover!G:G,"APP")</f>
        <v>6</v>
      </c>
      <c r="G25" s="75">
        <f t="shared" si="1"/>
        <v>10</v>
      </c>
      <c r="H25" s="75">
        <f>SUMIFS(Discover!$F:$F,Discover!$J:$J,Subscriptions!$A25,Discover!$B:$B,1)</f>
        <v>0</v>
      </c>
      <c r="I25" s="75">
        <f>SUMIFS(Discover!$F:$F,Discover!$J:$J,Subscriptions!$A25,Discover!$B:$B,2)</f>
        <v>0</v>
      </c>
      <c r="J25" s="75">
        <f>SUMIFS(Discover!$F:$F,Discover!$J:$J,Subscriptions!$A25,Discover!$B:$B,3)</f>
        <v>0</v>
      </c>
      <c r="K25" s="75">
        <f>SUMIFS(Discover!$F:$F,Discover!$J:$J,Subscriptions!$A25,Discover!$B:$B,4)</f>
        <v>0</v>
      </c>
      <c r="L25" s="75">
        <f>SUMIFS(Discover!$F:$F,Discover!$J:$J,Subscriptions!$A25,Discover!$B:$B,5)</f>
        <v>0</v>
      </c>
      <c r="M25" s="75">
        <f>SUMIFS(Discover!$F:$F,Discover!$J:$J,Subscriptions!$A25,Discover!$B:$B,6)</f>
        <v>10</v>
      </c>
      <c r="N25" s="75">
        <f>SUMIFS(Discover!$F:$F,Discover!$J:$J,Subscriptions!$A25,Discover!$B:$B,7)</f>
        <v>10</v>
      </c>
      <c r="O25" s="75">
        <f>SUMIFS(Discover!$F:$F,Discover!$J:$J,Subscriptions!$A25,Discover!$B:$B,8)</f>
        <v>10</v>
      </c>
      <c r="P25" s="75">
        <f>SUMIFS(Discover!$F:$F,Discover!$J:$J,Subscriptions!$A25,Discover!$B:$B,9)</f>
        <v>10</v>
      </c>
      <c r="Q25" s="75">
        <f>SUMIFS(Discover!$F:$F,Discover!$J:$J,Subscriptions!$A25,Discover!$B:$B,10)</f>
        <v>10</v>
      </c>
      <c r="R25" s="75">
        <f>SUMIFS(Discover!$F:$F,Discover!$J:$J,Subscriptions!$A25,Discover!$B:$B,11)</f>
        <v>10</v>
      </c>
      <c r="S25" s="75">
        <f>SUMIFS(Discover!$F:$F,Discover!$J:$J,Subscriptions!$A25,Discover!$B:$B,12)</f>
        <v>0</v>
      </c>
    </row>
    <row r="26" spans="1:19" x14ac:dyDescent="0.2">
      <c r="A26" t="str">
        <v>oyf</v>
      </c>
      <c r="B26" s="75" t="s">
        <v>4</v>
      </c>
      <c r="C26" s="75" t="s">
        <v>317</v>
      </c>
      <c r="D26" s="85" cm="1">
        <f t="array" ref="D26">AVERAGE(DAY(_xlfn.UNIQUE(_xlfn._xlws.FILTER(Discover!C:C, Discover!J:J = A26,0),1)))</f>
        <v>14.5</v>
      </c>
      <c r="E26" s="75">
        <f>SUMIFS(Discover!F:F,Discover!J:J,Subscriptions!A26)</f>
        <v>102.07999999999998</v>
      </c>
      <c r="F26">
        <f>COUNTIFS(Discover!J:J,Subscriptions!A26,Discover!G:G,"APP")</f>
        <v>5</v>
      </c>
      <c r="G26" s="75">
        <f t="shared" si="1"/>
        <v>20.415999999999997</v>
      </c>
      <c r="H26" s="75">
        <f>SUMIFS(Discover!$F:$F,Discover!$J:$J,Subscriptions!$A26,Discover!$B:$B,1)</f>
        <v>0</v>
      </c>
      <c r="I26" s="75">
        <f>SUMIFS(Discover!$F:$F,Discover!$J:$J,Subscriptions!$A26,Discover!$B:$B,2)</f>
        <v>0</v>
      </c>
      <c r="J26" s="75">
        <f>SUMIFS(Discover!$F:$F,Discover!$J:$J,Subscriptions!$A26,Discover!$B:$B,3)</f>
        <v>0</v>
      </c>
      <c r="K26" s="75">
        <f>SUMIFS(Discover!$F:$F,Discover!$J:$J,Subscriptions!$A26,Discover!$B:$B,4)</f>
        <v>0</v>
      </c>
      <c r="L26" s="75">
        <f>SUMIFS(Discover!$F:$F,Discover!$J:$J,Subscriptions!$A26,Discover!$B:$B,5)</f>
        <v>0</v>
      </c>
      <c r="M26" s="75">
        <f>SUMIFS(Discover!$F:$F,Discover!$J:$J,Subscriptions!$A26,Discover!$B:$B,6)</f>
        <v>47.11</v>
      </c>
      <c r="N26" s="75">
        <f>SUMIFS(Discover!$F:$F,Discover!$J:$J,Subscriptions!$A26,Discover!$B:$B,7)</f>
        <v>19.989999999999998</v>
      </c>
      <c r="O26" s="75">
        <f>SUMIFS(Discover!$F:$F,Discover!$J:$J,Subscriptions!$A26,Discover!$B:$B,8)</f>
        <v>4.99</v>
      </c>
      <c r="P26" s="75">
        <f>SUMIFS(Discover!$F:$F,Discover!$J:$J,Subscriptions!$A26,Discover!$B:$B,9)</f>
        <v>18.990000000000002</v>
      </c>
      <c r="Q26" s="75">
        <f>SUMIFS(Discover!$F:$F,Discover!$J:$J,Subscriptions!$A26,Discover!$B:$B,10)</f>
        <v>11</v>
      </c>
      <c r="R26" s="75">
        <f>SUMIFS(Discover!$F:$F,Discover!$J:$J,Subscriptions!$A26,Discover!$B:$B,11)</f>
        <v>0</v>
      </c>
      <c r="S26" s="75">
        <f>SUMIFS(Discover!$F:$F,Discover!$J:$J,Subscriptions!$A26,Discover!$B:$B,12)</f>
        <v>0</v>
      </c>
    </row>
    <row r="27" spans="1:19" x14ac:dyDescent="0.2">
      <c r="A27" t="str">
        <v>Roadtrippers</v>
      </c>
      <c r="D27" s="85" cm="1">
        <f t="array" ref="D27">AVERAGE(DAY(_xlfn.UNIQUE(_xlfn._xlws.FILTER(Discover!C:C, Discover!J:J = A27,0),1)))</f>
        <v>16</v>
      </c>
      <c r="E27" s="75">
        <f>SUMIFS(Discover!F:F,Discover!J:J,Subscriptions!A27)</f>
        <v>31.79</v>
      </c>
      <c r="F27">
        <f>COUNTIFS(Discover!J:J,Subscriptions!A27,Discover!G:G,"APP")</f>
        <v>1</v>
      </c>
      <c r="G27" s="75">
        <f t="shared" si="1"/>
        <v>31.79</v>
      </c>
      <c r="H27" s="75">
        <f>SUMIFS(Discover!$F:$F,Discover!$J:$J,Subscriptions!$A27,Discover!$B:$B,1)</f>
        <v>0</v>
      </c>
      <c r="I27" s="75">
        <f>SUMIFS(Discover!$F:$F,Discover!$J:$J,Subscriptions!$A27,Discover!$B:$B,2)</f>
        <v>0</v>
      </c>
      <c r="J27" s="75">
        <f>SUMIFS(Discover!$F:$F,Discover!$J:$J,Subscriptions!$A27,Discover!$B:$B,3)</f>
        <v>0</v>
      </c>
      <c r="K27" s="75">
        <f>SUMIFS(Discover!$F:$F,Discover!$J:$J,Subscriptions!$A27,Discover!$B:$B,4)</f>
        <v>0</v>
      </c>
      <c r="L27" s="75">
        <f>SUMIFS(Discover!$F:$F,Discover!$J:$J,Subscriptions!$A27,Discover!$B:$B,5)</f>
        <v>31.79</v>
      </c>
      <c r="M27" s="75">
        <f>SUMIFS(Discover!$F:$F,Discover!$J:$J,Subscriptions!$A27,Discover!$B:$B,6)</f>
        <v>0</v>
      </c>
      <c r="N27" s="75">
        <f>SUMIFS(Discover!$F:$F,Discover!$J:$J,Subscriptions!$A27,Discover!$B:$B,7)</f>
        <v>0</v>
      </c>
      <c r="O27" s="75">
        <f>SUMIFS(Discover!$F:$F,Discover!$J:$J,Subscriptions!$A27,Discover!$B:$B,8)</f>
        <v>0</v>
      </c>
      <c r="P27" s="75">
        <f>SUMIFS(Discover!$F:$F,Discover!$J:$J,Subscriptions!$A27,Discover!$B:$B,9)</f>
        <v>0</v>
      </c>
      <c r="Q27" s="75">
        <f>SUMIFS(Discover!$F:$F,Discover!$J:$J,Subscriptions!$A27,Discover!$B:$B,10)</f>
        <v>0</v>
      </c>
      <c r="R27" s="75">
        <f>SUMIFS(Discover!$F:$F,Discover!$J:$J,Subscriptions!$A27,Discover!$B:$B,11)</f>
        <v>0</v>
      </c>
      <c r="S27" s="75">
        <f>SUMIFS(Discover!$F:$F,Discover!$J:$J,Subscriptions!$A27,Discover!$B:$B,12)</f>
        <v>0</v>
      </c>
    </row>
    <row r="28" spans="1:19" x14ac:dyDescent="0.2">
      <c r="A28" t="str">
        <v>Roku</v>
      </c>
      <c r="D28" s="85" cm="1">
        <f t="array" ref="D28">AVERAGE(DAY(_xlfn.UNIQUE(_xlfn._xlws.FILTER(Discover!C:C, Discover!J:J = A28,0),1)))</f>
        <v>21</v>
      </c>
      <c r="E28" s="75">
        <f>SUMIFS(Discover!F:F,Discover!J:J,Subscriptions!A28)</f>
        <v>7.99</v>
      </c>
      <c r="F28">
        <f>COUNTIFS(Discover!J:J,Subscriptions!A28,Discover!G:G,"APP")</f>
        <v>1</v>
      </c>
      <c r="G28" s="75">
        <f t="shared" ref="G28" si="2">E28/F28</f>
        <v>7.99</v>
      </c>
      <c r="H28" s="75">
        <f>SUMIFS(Discover!$F:$F,Discover!$J:$J,Subscriptions!$A28,Discover!$B:$B,1)</f>
        <v>0</v>
      </c>
      <c r="I28" s="75">
        <f>SUMIFS(Discover!$F:$F,Discover!$J:$J,Subscriptions!$A28,Discover!$B:$B,2)</f>
        <v>0</v>
      </c>
      <c r="J28" s="75">
        <f>SUMIFS(Discover!$F:$F,Discover!$J:$J,Subscriptions!$A28,Discover!$B:$B,3)</f>
        <v>0</v>
      </c>
      <c r="K28" s="75">
        <f>SUMIFS(Discover!$F:$F,Discover!$J:$J,Subscriptions!$A28,Discover!$B:$B,4)</f>
        <v>0</v>
      </c>
      <c r="L28" s="75">
        <f>SUMIFS(Discover!$F:$F,Discover!$J:$J,Subscriptions!$A28,Discover!$B:$B,5)</f>
        <v>0</v>
      </c>
      <c r="M28" s="75">
        <f>SUMIFS(Discover!$F:$F,Discover!$J:$J,Subscriptions!$A28,Discover!$B:$B,6)</f>
        <v>0</v>
      </c>
      <c r="N28" s="75">
        <f>SUMIFS(Discover!$F:$F,Discover!$J:$J,Subscriptions!$A28,Discover!$B:$B,7)</f>
        <v>0</v>
      </c>
      <c r="O28" s="75">
        <f>SUMIFS(Discover!$F:$F,Discover!$J:$J,Subscriptions!$A28,Discover!$B:$B,8)</f>
        <v>0</v>
      </c>
      <c r="P28" s="75">
        <f>SUMIFS(Discover!$F:$F,Discover!$J:$J,Subscriptions!$A28,Discover!$B:$B,9)</f>
        <v>0</v>
      </c>
      <c r="Q28" s="75">
        <f>SUMIFS(Discover!$F:$F,Discover!$J:$J,Subscriptions!$A28,Discover!$B:$B,10)</f>
        <v>7.99</v>
      </c>
      <c r="R28" s="75">
        <f>SUMIFS(Discover!$F:$F,Discover!$J:$J,Subscriptions!$A28,Discover!$B:$B,11)</f>
        <v>0</v>
      </c>
      <c r="S28" s="75">
        <f>SUMIFS(Discover!$F:$F,Discover!$J:$J,Subscriptions!$A28,Discover!$B:$B,12)</f>
        <v>0</v>
      </c>
    </row>
    <row r="29" spans="1:19" x14ac:dyDescent="0.2">
      <c r="A29" t="str">
        <v>Spotify</v>
      </c>
      <c r="D29" s="85" cm="1">
        <f t="array" ref="D29">AVERAGE(DAY(_xlfn.UNIQUE(_xlfn._xlws.FILTER(Discover!C:C, Discover!J:J = A29,0),1)))</f>
        <v>1.0909090909090908</v>
      </c>
      <c r="E29" s="75">
        <f>SUMIFS(Discover!F:F,Discover!J:J,Subscriptions!A29)</f>
        <v>109.88999999999999</v>
      </c>
      <c r="F29">
        <f>COUNTIFS(Discover!J:J,Subscriptions!A29,Discover!G:G,"APP")</f>
        <v>11</v>
      </c>
      <c r="G29" s="75">
        <f t="shared" ref="G29:G34" si="3">E29/F29</f>
        <v>9.9899999999999984</v>
      </c>
      <c r="H29" s="75">
        <f>SUMIFS(Discover!$F:$F,Discover!$J:$J,Subscriptions!$A29,Discover!$B:$B,1)</f>
        <v>9.99</v>
      </c>
      <c r="I29" s="75">
        <f>SUMIFS(Discover!$F:$F,Discover!$J:$J,Subscriptions!$A29,Discover!$B:$B,2)</f>
        <v>9.99</v>
      </c>
      <c r="J29" s="75">
        <f>SUMIFS(Discover!$F:$F,Discover!$J:$J,Subscriptions!$A29,Discover!$B:$B,3)</f>
        <v>9.99</v>
      </c>
      <c r="K29" s="75">
        <f>SUMIFS(Discover!$F:$F,Discover!$J:$J,Subscriptions!$A29,Discover!$B:$B,4)</f>
        <v>9.99</v>
      </c>
      <c r="L29" s="75">
        <f>SUMIFS(Discover!$F:$F,Discover!$J:$J,Subscriptions!$A29,Discover!$B:$B,5)</f>
        <v>9.99</v>
      </c>
      <c r="M29" s="75">
        <f>SUMIFS(Discover!$F:$F,Discover!$J:$J,Subscriptions!$A29,Discover!$B:$B,6)</f>
        <v>9.99</v>
      </c>
      <c r="N29" s="75">
        <f>SUMIFS(Discover!$F:$F,Discover!$J:$J,Subscriptions!$A29,Discover!$B:$B,7)</f>
        <v>9.99</v>
      </c>
      <c r="O29" s="75">
        <f>SUMIFS(Discover!$F:$F,Discover!$J:$J,Subscriptions!$A29,Discover!$B:$B,8)</f>
        <v>9.99</v>
      </c>
      <c r="P29" s="75">
        <f>SUMIFS(Discover!$F:$F,Discover!$J:$J,Subscriptions!$A29,Discover!$B:$B,9)</f>
        <v>9.99</v>
      </c>
      <c r="Q29" s="75">
        <f>SUMIFS(Discover!$F:$F,Discover!$J:$J,Subscriptions!$A29,Discover!$B:$B,10)</f>
        <v>9.99</v>
      </c>
      <c r="R29" s="75">
        <f>SUMIFS(Discover!$F:$F,Discover!$J:$J,Subscriptions!$A29,Discover!$B:$B,11)</f>
        <v>9.99</v>
      </c>
      <c r="S29" s="75">
        <f>SUMIFS(Discover!$F:$F,Discover!$J:$J,Subscriptions!$A29,Discover!$B:$B,12)</f>
        <v>0</v>
      </c>
    </row>
    <row r="30" spans="1:19" x14ac:dyDescent="0.2">
      <c r="A30" t="str">
        <v>State Farm</v>
      </c>
      <c r="D30" s="85" cm="1">
        <f t="array" ref="D30">AVERAGE(DAY(_xlfn.UNIQUE(_xlfn._xlws.FILTER(Discover!C:C, Discover!J:J = A30,0),1)))</f>
        <v>3.5454545454545454</v>
      </c>
      <c r="E30" s="75">
        <f>SUMIFS(Discover!F:F,Discover!J:J,Subscriptions!A30)</f>
        <v>969.07999999999981</v>
      </c>
      <c r="F30">
        <f>COUNTIFS(Discover!J:J,Subscriptions!A30,Discover!G:G,"APP")</f>
        <v>11</v>
      </c>
      <c r="G30" s="75">
        <f t="shared" si="3"/>
        <v>88.0981818181818</v>
      </c>
      <c r="H30" s="75">
        <f>SUMIFS(Discover!$F:$F,Discover!$J:$J,Subscriptions!$A30,Discover!$B:$B,1)</f>
        <v>91.78</v>
      </c>
      <c r="I30" s="75">
        <f>SUMIFS(Discover!$F:$F,Discover!$J:$J,Subscriptions!$A30,Discover!$B:$B,2)</f>
        <v>91.78</v>
      </c>
      <c r="J30" s="75">
        <f>SUMIFS(Discover!$F:$F,Discover!$J:$J,Subscriptions!$A30,Discover!$B:$B,3)</f>
        <v>91.78</v>
      </c>
      <c r="K30" s="75">
        <f>SUMIFS(Discover!$F:$F,Discover!$J:$J,Subscriptions!$A30,Discover!$B:$B,4)</f>
        <v>91.78</v>
      </c>
      <c r="L30" s="75">
        <f>SUMIFS(Discover!$F:$F,Discover!$J:$J,Subscriptions!$A30,Discover!$B:$B,5)</f>
        <v>91.78</v>
      </c>
      <c r="M30" s="75">
        <f>SUMIFS(Discover!$F:$F,Discover!$J:$J,Subscriptions!$A30,Discover!$B:$B,6)</f>
        <v>69.88</v>
      </c>
      <c r="N30" s="75">
        <f>SUMIFS(Discover!$F:$F,Discover!$J:$J,Subscriptions!$A30,Discover!$B:$B,7)</f>
        <v>92.07</v>
      </c>
      <c r="O30" s="75">
        <f>SUMIFS(Discover!$F:$F,Discover!$J:$J,Subscriptions!$A30,Discover!$B:$B,8)</f>
        <v>92.07</v>
      </c>
      <c r="P30" s="75">
        <f>SUMIFS(Discover!$F:$F,Discover!$J:$J,Subscriptions!$A30,Discover!$B:$B,9)</f>
        <v>68.52</v>
      </c>
      <c r="Q30" s="75">
        <f>SUMIFS(Discover!$F:$F,Discover!$J:$J,Subscriptions!$A30,Discover!$B:$B,10)</f>
        <v>84.85</v>
      </c>
      <c r="R30" s="75">
        <f>SUMIFS(Discover!$F:$F,Discover!$J:$J,Subscriptions!$A30,Discover!$B:$B,11)</f>
        <v>102.79</v>
      </c>
      <c r="S30" s="75">
        <f>SUMIFS(Discover!$F:$F,Discover!$J:$J,Subscriptions!$A30,Discover!$B:$B,12)</f>
        <v>0</v>
      </c>
    </row>
    <row r="31" spans="1:19" x14ac:dyDescent="0.2">
      <c r="A31" t="str">
        <v>Storage</v>
      </c>
      <c r="D31" s="85" cm="1">
        <f t="array" ref="D31">AVERAGE(DAY(_xlfn.UNIQUE(_xlfn._xlws.FILTER(Discover!C:C, Discover!J:J = A31,0),1)))</f>
        <v>17.2</v>
      </c>
      <c r="E31" s="75">
        <f>SUMIFS(Discover!F:F,Discover!J:J,Subscriptions!A31)</f>
        <v>396.27</v>
      </c>
      <c r="F31">
        <f>COUNTIFS(Discover!J:J,Subscriptions!A31,Discover!G:G,"APP")</f>
        <v>3</v>
      </c>
      <c r="G31" s="75">
        <f t="shared" si="3"/>
        <v>132.09</v>
      </c>
      <c r="H31" s="75">
        <f>SUMIFS(Discover!$F:$F,Discover!$J:$J,Subscriptions!$A31,Discover!$B:$B,1)</f>
        <v>0</v>
      </c>
      <c r="I31" s="75">
        <f>SUMIFS(Discover!$F:$F,Discover!$J:$J,Subscriptions!$A31,Discover!$B:$B,2)</f>
        <v>0</v>
      </c>
      <c r="J31" s="75">
        <f>SUMIFS(Discover!$F:$F,Discover!$J:$J,Subscriptions!$A31,Discover!$B:$B,3)</f>
        <v>0</v>
      </c>
      <c r="K31" s="75">
        <f>SUMIFS(Discover!$F:$F,Discover!$J:$J,Subscriptions!$A31,Discover!$B:$B,4)</f>
        <v>101.39999999999999</v>
      </c>
      <c r="L31" s="75">
        <f>SUMIFS(Discover!$F:$F,Discover!$J:$J,Subscriptions!$A31,Discover!$B:$B,5)</f>
        <v>216.87</v>
      </c>
      <c r="M31" s="75">
        <f>SUMIFS(Discover!$F:$F,Discover!$J:$J,Subscriptions!$A31,Discover!$B:$B,6)</f>
        <v>78</v>
      </c>
      <c r="N31" s="75">
        <f>SUMIFS(Discover!$F:$F,Discover!$J:$J,Subscriptions!$A31,Discover!$B:$B,7)</f>
        <v>0</v>
      </c>
      <c r="O31" s="75">
        <f>SUMIFS(Discover!$F:$F,Discover!$J:$J,Subscriptions!$A31,Discover!$B:$B,8)</f>
        <v>0</v>
      </c>
      <c r="P31" s="75">
        <f>SUMIFS(Discover!$F:$F,Discover!$J:$J,Subscriptions!$A31,Discover!$B:$B,9)</f>
        <v>0</v>
      </c>
      <c r="Q31" s="75">
        <f>SUMIFS(Discover!$F:$F,Discover!$J:$J,Subscriptions!$A31,Discover!$B:$B,10)</f>
        <v>0</v>
      </c>
      <c r="R31" s="75">
        <f>SUMIFS(Discover!$F:$F,Discover!$J:$J,Subscriptions!$A31,Discover!$B:$B,11)</f>
        <v>0</v>
      </c>
      <c r="S31" s="75">
        <f>SUMIFS(Discover!$F:$F,Discover!$J:$J,Subscriptions!$A31,Discover!$B:$B,12)</f>
        <v>0</v>
      </c>
    </row>
    <row r="32" spans="1:19" x14ac:dyDescent="0.2">
      <c r="A32" t="str">
        <v>Stretch Zone</v>
      </c>
      <c r="D32" s="85" cm="1">
        <f t="array" ref="D32">AVERAGE(DAY(_xlfn.UNIQUE(_xlfn._xlws.FILTER(Discover!C:C, Discover!J:J = A32,0),1)))</f>
        <v>25</v>
      </c>
      <c r="E32" s="75">
        <f>SUMIFS(Discover!F:F,Discover!J:J,Subscriptions!A32)</f>
        <v>640</v>
      </c>
      <c r="F32">
        <f>COUNTIFS(Discover!J:J,Subscriptions!A32,Discover!G:G,"APP")</f>
        <v>2</v>
      </c>
      <c r="G32" s="75">
        <f t="shared" si="3"/>
        <v>320</v>
      </c>
      <c r="H32" s="75">
        <f>SUMIFS(Discover!$F:$F,Discover!$J:$J,Subscriptions!$A32,Discover!$B:$B,1)</f>
        <v>0</v>
      </c>
      <c r="I32" s="75">
        <f>SUMIFS(Discover!$F:$F,Discover!$J:$J,Subscriptions!$A32,Discover!$B:$B,2)</f>
        <v>0</v>
      </c>
      <c r="J32" s="75">
        <f>SUMIFS(Discover!$F:$F,Discover!$J:$J,Subscriptions!$A32,Discover!$B:$B,3)</f>
        <v>0</v>
      </c>
      <c r="K32" s="75">
        <f>SUMIFS(Discover!$F:$F,Discover!$J:$J,Subscriptions!$A32,Discover!$B:$B,4)</f>
        <v>0</v>
      </c>
      <c r="L32" s="75">
        <f>SUMIFS(Discover!$F:$F,Discover!$J:$J,Subscriptions!$A32,Discover!$B:$B,5)</f>
        <v>0</v>
      </c>
      <c r="M32" s="75">
        <f>SUMIFS(Discover!$F:$F,Discover!$J:$J,Subscriptions!$A32,Discover!$B:$B,6)</f>
        <v>0</v>
      </c>
      <c r="N32" s="75">
        <f>SUMIFS(Discover!$F:$F,Discover!$J:$J,Subscriptions!$A32,Discover!$B:$B,7)</f>
        <v>0</v>
      </c>
      <c r="O32" s="75">
        <f>SUMIFS(Discover!$F:$F,Discover!$J:$J,Subscriptions!$A32,Discover!$B:$B,8)</f>
        <v>0</v>
      </c>
      <c r="P32" s="75">
        <f>SUMIFS(Discover!$F:$F,Discover!$J:$J,Subscriptions!$A32,Discover!$B:$B,9)</f>
        <v>320</v>
      </c>
      <c r="Q32" s="75">
        <f>SUMIFS(Discover!$F:$F,Discover!$J:$J,Subscriptions!$A32,Discover!$B:$B,10)</f>
        <v>320</v>
      </c>
      <c r="R32" s="75">
        <f>SUMIFS(Discover!$F:$F,Discover!$J:$J,Subscriptions!$A32,Discover!$B:$B,11)</f>
        <v>0</v>
      </c>
      <c r="S32" s="75">
        <f>SUMIFS(Discover!$F:$F,Discover!$J:$J,Subscriptions!$A32,Discover!$B:$B,12)</f>
        <v>0</v>
      </c>
    </row>
    <row r="33" spans="1:19" x14ac:dyDescent="0.2">
      <c r="A33" t="str">
        <v>The Athletic</v>
      </c>
      <c r="D33" s="85" cm="1">
        <f t="array" ref="D33">AVERAGE(DAY(_xlfn.UNIQUE(_xlfn._xlws.FILTER(Discover!C:C, Discover!J:J = A33,0),1)))</f>
        <v>3</v>
      </c>
      <c r="E33" s="75">
        <f>SUMIFS(Discover!F:F,Discover!J:J,Subscriptions!A33)</f>
        <v>63.59</v>
      </c>
      <c r="F33">
        <f>COUNTIFS(Discover!J:J,Subscriptions!A33,Discover!G:G,"APP")</f>
        <v>1</v>
      </c>
      <c r="G33" s="75">
        <f t="shared" si="3"/>
        <v>63.59</v>
      </c>
      <c r="H33" s="75">
        <f>SUMIFS(Discover!$F:$F,Discover!$J:$J,Subscriptions!$A33,Discover!$B:$B,1)</f>
        <v>0</v>
      </c>
      <c r="I33" s="75">
        <f>SUMIFS(Discover!$F:$F,Discover!$J:$J,Subscriptions!$A33,Discover!$B:$B,2)</f>
        <v>0</v>
      </c>
      <c r="J33" s="75">
        <f>SUMIFS(Discover!$F:$F,Discover!$J:$J,Subscriptions!$A33,Discover!$B:$B,3)</f>
        <v>0</v>
      </c>
      <c r="K33" s="75">
        <f>SUMIFS(Discover!$F:$F,Discover!$J:$J,Subscriptions!$A33,Discover!$B:$B,4)</f>
        <v>0</v>
      </c>
      <c r="L33" s="75">
        <f>SUMIFS(Discover!$F:$F,Discover!$J:$J,Subscriptions!$A33,Discover!$B:$B,5)</f>
        <v>0</v>
      </c>
      <c r="M33" s="75">
        <f>SUMIFS(Discover!$F:$F,Discover!$J:$J,Subscriptions!$A33,Discover!$B:$B,6)</f>
        <v>0</v>
      </c>
      <c r="N33" s="75">
        <f>SUMIFS(Discover!$F:$F,Discover!$J:$J,Subscriptions!$A33,Discover!$B:$B,7)</f>
        <v>0</v>
      </c>
      <c r="O33" s="75">
        <f>SUMIFS(Discover!$F:$F,Discover!$J:$J,Subscriptions!$A33,Discover!$B:$B,8)</f>
        <v>63.59</v>
      </c>
      <c r="P33" s="75">
        <f>SUMIFS(Discover!$F:$F,Discover!$J:$J,Subscriptions!$A33,Discover!$B:$B,9)</f>
        <v>0</v>
      </c>
      <c r="Q33" s="75">
        <f>SUMIFS(Discover!$F:$F,Discover!$J:$J,Subscriptions!$A33,Discover!$B:$B,10)</f>
        <v>0</v>
      </c>
      <c r="R33" s="75">
        <f>SUMIFS(Discover!$F:$F,Discover!$J:$J,Subscriptions!$A33,Discover!$B:$B,11)</f>
        <v>0</v>
      </c>
      <c r="S33" s="75">
        <f>SUMIFS(Discover!$F:$F,Discover!$J:$J,Subscriptions!$A33,Discover!$B:$B,12)</f>
        <v>0</v>
      </c>
    </row>
    <row r="34" spans="1:19" x14ac:dyDescent="0.2">
      <c r="A34" t="str">
        <v>Tinder</v>
      </c>
      <c r="D34" s="85" cm="1">
        <f t="array" ref="D34">AVERAGE(DAY(_xlfn.UNIQUE(_xlfn._xlws.FILTER(Discover!C:C, Discover!J:J = A34,0),1)))</f>
        <v>7</v>
      </c>
      <c r="E34" s="75">
        <f>SUMIFS(Discover!F:F,Discover!J:J,Subscriptions!A34)</f>
        <v>47.68</v>
      </c>
      <c r="F34">
        <f>COUNTIFS(Discover!J:J,Subscriptions!A34,Discover!G:G,"APP")</f>
        <v>2</v>
      </c>
      <c r="G34" s="75">
        <f t="shared" si="3"/>
        <v>23.84</v>
      </c>
      <c r="H34" s="75">
        <f>SUMIFS(Discover!$F:$F,Discover!$J:$J,Subscriptions!$A34,Discover!$B:$B,1)</f>
        <v>0</v>
      </c>
      <c r="I34" s="75">
        <f>SUMIFS(Discover!$F:$F,Discover!$J:$J,Subscriptions!$A34,Discover!$B:$B,2)</f>
        <v>0</v>
      </c>
      <c r="J34" s="75">
        <f>SUMIFS(Discover!$F:$F,Discover!$J:$J,Subscriptions!$A34,Discover!$B:$B,3)</f>
        <v>0</v>
      </c>
      <c r="K34" s="75">
        <f>SUMIFS(Discover!$F:$F,Discover!$J:$J,Subscriptions!$A34,Discover!$B:$B,4)</f>
        <v>0</v>
      </c>
      <c r="L34" s="75">
        <f>SUMIFS(Discover!$F:$F,Discover!$J:$J,Subscriptions!$A34,Discover!$B:$B,5)</f>
        <v>0</v>
      </c>
      <c r="M34" s="75">
        <f>SUMIFS(Discover!$F:$F,Discover!$J:$J,Subscriptions!$A34,Discover!$B:$B,6)</f>
        <v>0</v>
      </c>
      <c r="N34" s="75">
        <f>SUMIFS(Discover!$F:$F,Discover!$J:$J,Subscriptions!$A34,Discover!$B:$B,7)</f>
        <v>0</v>
      </c>
      <c r="O34" s="75">
        <f>SUMIFS(Discover!$F:$F,Discover!$J:$J,Subscriptions!$A34,Discover!$B:$B,8)</f>
        <v>31.79</v>
      </c>
      <c r="P34" s="75">
        <f>SUMIFS(Discover!$F:$F,Discover!$J:$J,Subscriptions!$A34,Discover!$B:$B,9)</f>
        <v>15.89</v>
      </c>
      <c r="Q34" s="75">
        <f>SUMIFS(Discover!$F:$F,Discover!$J:$J,Subscriptions!$A34,Discover!$B:$B,10)</f>
        <v>0</v>
      </c>
      <c r="R34" s="75">
        <f>SUMIFS(Discover!$F:$F,Discover!$J:$J,Subscriptions!$A34,Discover!$B:$B,11)</f>
        <v>0</v>
      </c>
      <c r="S34" s="75">
        <f>SUMIFS(Discover!$F:$F,Discover!$J:$J,Subscriptions!$A34,Discover!$B:$B,12)</f>
        <v>0</v>
      </c>
    </row>
    <row r="35" spans="1:19" x14ac:dyDescent="0.2">
      <c r="A35" t="str">
        <v>T-Mobile</v>
      </c>
      <c r="D35" s="85" cm="1">
        <f t="array" ref="D35">AVERAGE(DAY(_xlfn.UNIQUE(_xlfn._xlws.FILTER(Discover!C:C, Discover!J:J = A35,0),1)))</f>
        <v>15</v>
      </c>
      <c r="E35" s="75">
        <f>SUMIFS(Discover!F:F,Discover!J:J,Subscriptions!A35)</f>
        <v>597.5</v>
      </c>
      <c r="F35">
        <f>COUNTIFS(Discover!J:J,Subscriptions!A35,Discover!G:G,"APP")</f>
        <v>7</v>
      </c>
      <c r="G35" s="75">
        <f t="shared" ref="G35:G36" si="4">E35/F35</f>
        <v>85.357142857142861</v>
      </c>
      <c r="H35" s="75">
        <f>SUMIFS(Discover!$F:$F,Discover!$J:$J,Subscriptions!$A35,Discover!$B:$B,1)</f>
        <v>0</v>
      </c>
      <c r="I35" s="75">
        <f>SUMIFS(Discover!$F:$F,Discover!$J:$J,Subscriptions!$A35,Discover!$B:$B,2)</f>
        <v>86.25</v>
      </c>
      <c r="J35" s="75">
        <f>SUMIFS(Discover!$F:$F,Discover!$J:$J,Subscriptions!$A35,Discover!$B:$B,3)</f>
        <v>86.25</v>
      </c>
      <c r="K35" s="75">
        <f>SUMIFS(Discover!$F:$F,Discover!$J:$J,Subscriptions!$A35,Discover!$B:$B,4)</f>
        <v>0</v>
      </c>
      <c r="L35" s="75">
        <f>SUMIFS(Discover!$F:$F,Discover!$J:$J,Subscriptions!$A35,Discover!$B:$B,5)</f>
        <v>86.25</v>
      </c>
      <c r="M35" s="75">
        <f>SUMIFS(Discover!$F:$F,Discover!$J:$J,Subscriptions!$A35,Discover!$B:$B,6)</f>
        <v>86.25</v>
      </c>
      <c r="N35" s="75">
        <f>SUMIFS(Discover!$F:$F,Discover!$J:$J,Subscriptions!$A35,Discover!$B:$B,7)</f>
        <v>86.25</v>
      </c>
      <c r="O35" s="75">
        <f>SUMIFS(Discover!$F:$F,Discover!$J:$J,Subscriptions!$A35,Discover!$B:$B,8)</f>
        <v>0</v>
      </c>
      <c r="P35" s="75">
        <f>SUMIFS(Discover!$F:$F,Discover!$J:$J,Subscriptions!$A35,Discover!$B:$B,9)</f>
        <v>86.25</v>
      </c>
      <c r="Q35" s="75">
        <f>SUMIFS(Discover!$F:$F,Discover!$J:$J,Subscriptions!$A35,Discover!$B:$B,10)</f>
        <v>80</v>
      </c>
      <c r="R35" s="75">
        <f>SUMIFS(Discover!$F:$F,Discover!$J:$J,Subscriptions!$A35,Discover!$B:$B,11)</f>
        <v>0</v>
      </c>
      <c r="S35" s="75">
        <f>SUMIFS(Discover!$F:$F,Discover!$J:$J,Subscriptions!$A35,Discover!$B:$B,12)</f>
        <v>0</v>
      </c>
    </row>
    <row r="36" spans="1:19" x14ac:dyDescent="0.2">
      <c r="A36" t="str">
        <v>USTA</v>
      </c>
      <c r="D36" s="85" cm="1">
        <f t="array" ref="D36">AVERAGE(DAY(_xlfn.UNIQUE(_xlfn._xlws.FILTER(Discover!C:C, Discover!J:J = A36,0),1)))</f>
        <v>1</v>
      </c>
      <c r="E36" s="75">
        <f>SUMIFS(Discover!F:F,Discover!J:J,Subscriptions!A36)</f>
        <v>44</v>
      </c>
      <c r="F36">
        <f>COUNTIFS(Discover!J:J,Subscriptions!A36,Discover!G:G,"APP")</f>
        <v>1</v>
      </c>
      <c r="G36" s="75">
        <f t="shared" si="4"/>
        <v>44</v>
      </c>
      <c r="H36" s="75">
        <f>SUMIFS(Discover!$F:$F,Discover!$J:$J,Subscriptions!$A36,Discover!$B:$B,1)</f>
        <v>0</v>
      </c>
      <c r="I36" s="75">
        <f>SUMIFS(Discover!$F:$F,Discover!$J:$J,Subscriptions!$A36,Discover!$B:$B,2)</f>
        <v>0</v>
      </c>
      <c r="J36" s="75">
        <f>SUMIFS(Discover!$F:$F,Discover!$J:$J,Subscriptions!$A36,Discover!$B:$B,3)</f>
        <v>0</v>
      </c>
      <c r="K36" s="75">
        <f>SUMIFS(Discover!$F:$F,Discover!$J:$J,Subscriptions!$A36,Discover!$B:$B,4)</f>
        <v>0</v>
      </c>
      <c r="L36" s="75">
        <f>SUMIFS(Discover!$F:$F,Discover!$J:$J,Subscriptions!$A36,Discover!$B:$B,5)</f>
        <v>44</v>
      </c>
      <c r="M36" s="75">
        <f>SUMIFS(Discover!$F:$F,Discover!$J:$J,Subscriptions!$A36,Discover!$B:$B,6)</f>
        <v>0</v>
      </c>
      <c r="N36" s="75">
        <f>SUMIFS(Discover!$F:$F,Discover!$J:$J,Subscriptions!$A36,Discover!$B:$B,7)</f>
        <v>0</v>
      </c>
      <c r="O36" s="75">
        <f>SUMIFS(Discover!$F:$F,Discover!$J:$J,Subscriptions!$A36,Discover!$B:$B,8)</f>
        <v>0</v>
      </c>
      <c r="P36" s="75">
        <f>SUMIFS(Discover!$F:$F,Discover!$J:$J,Subscriptions!$A36,Discover!$B:$B,9)</f>
        <v>0</v>
      </c>
      <c r="Q36" s="75">
        <f>SUMIFS(Discover!$F:$F,Discover!$J:$J,Subscriptions!$A36,Discover!$B:$B,10)</f>
        <v>0</v>
      </c>
      <c r="R36" s="75">
        <f>SUMIFS(Discover!$F:$F,Discover!$J:$J,Subscriptions!$A36,Discover!$B:$B,11)</f>
        <v>0</v>
      </c>
      <c r="S36" s="75">
        <f>SUMIFS(Discover!$F:$F,Discover!$J:$J,Subscriptions!$A36,Discover!$B:$B,12)</f>
        <v>0</v>
      </c>
    </row>
    <row r="37" spans="1:19" x14ac:dyDescent="0.2">
      <c r="A37" t="str">
        <v>Verizon Internet</v>
      </c>
      <c r="D37"/>
      <c r="E37" s="75">
        <f>SUMIFS(Discover!F:F,Discover!J:J,Subscriptions!A37)</f>
        <v>100</v>
      </c>
      <c r="F37">
        <f>COUNTIFS(Discover!J:J,Subscriptions!A37,Discover!G:G,"APP")</f>
        <v>2</v>
      </c>
      <c r="G37" s="75">
        <f t="shared" ref="G37" si="5">E37/F37</f>
        <v>50</v>
      </c>
      <c r="H37" s="75">
        <f>SUMIFS(Discover!$F:$F,Discover!$J:$J,Subscriptions!$A37,Discover!$B:$B,1)</f>
        <v>0</v>
      </c>
      <c r="I37" s="75">
        <f>SUMIFS(Discover!$F:$F,Discover!$J:$J,Subscriptions!$A37,Discover!$B:$B,2)</f>
        <v>0</v>
      </c>
      <c r="J37" s="75">
        <f>SUMIFS(Discover!$F:$F,Discover!$J:$J,Subscriptions!$A37,Discover!$B:$B,3)</f>
        <v>0</v>
      </c>
      <c r="K37" s="75">
        <f>SUMIFS(Discover!$F:$F,Discover!$J:$J,Subscriptions!$A37,Discover!$B:$B,4)</f>
        <v>0</v>
      </c>
      <c r="L37" s="75">
        <f>SUMIFS(Discover!$F:$F,Discover!$J:$J,Subscriptions!$A37,Discover!$B:$B,5)</f>
        <v>0</v>
      </c>
      <c r="M37" s="75">
        <f>SUMIFS(Discover!$F:$F,Discover!$J:$J,Subscriptions!$A37,Discover!$B:$B,6)</f>
        <v>50</v>
      </c>
      <c r="N37" s="75">
        <f>SUMIFS(Discover!$F:$F,Discover!$J:$J,Subscriptions!$A37,Discover!$B:$B,7)</f>
        <v>0</v>
      </c>
      <c r="O37" s="75">
        <f>SUMIFS(Discover!$F:$F,Discover!$J:$J,Subscriptions!$A37,Discover!$B:$B,8)</f>
        <v>50</v>
      </c>
      <c r="P37" s="75">
        <f>SUMIFS(Discover!$F:$F,Discover!$J:$J,Subscriptions!$A37,Discover!$B:$B,9)</f>
        <v>0</v>
      </c>
      <c r="Q37" s="75">
        <f>SUMIFS(Discover!$F:$F,Discover!$J:$J,Subscriptions!$A37,Discover!$B:$B,10)</f>
        <v>0</v>
      </c>
      <c r="R37" s="75">
        <f>SUMIFS(Discover!$F:$F,Discover!$J:$J,Subscriptions!$A37,Discover!$B:$B,11)</f>
        <v>0</v>
      </c>
      <c r="S37" s="75">
        <f>SUMIFS(Discover!$F:$F,Discover!$J:$J,Subscriptions!$A37,Discover!$B:$B,12)</f>
        <v>0</v>
      </c>
    </row>
    <row r="38" spans="1:19" x14ac:dyDescent="0.2">
      <c r="A38" t="str">
        <v>Webull</v>
      </c>
      <c r="D38"/>
      <c r="E38" s="75">
        <f>SUMIFS(Discover!F:F,Discover!J:J,Subscriptions!A38)</f>
        <v>7.96</v>
      </c>
      <c r="F38">
        <f>COUNTIFS(Discover!J:J,Subscriptions!A38,Discover!G:G,"APP")</f>
        <v>4</v>
      </c>
      <c r="G38" s="75">
        <f t="shared" ref="G38:G40" si="6">E38/F38</f>
        <v>1.99</v>
      </c>
      <c r="H38" s="75">
        <f>SUMIFS(Discover!$F:$F,Discover!$J:$J,Subscriptions!$A38,Discover!$B:$B,1)</f>
        <v>0</v>
      </c>
      <c r="I38" s="75">
        <f>SUMIFS(Discover!$F:$F,Discover!$J:$J,Subscriptions!$A38,Discover!$B:$B,2)</f>
        <v>1.99</v>
      </c>
      <c r="J38" s="75">
        <f>SUMIFS(Discover!$F:$F,Discover!$J:$J,Subscriptions!$A38,Discover!$B:$B,3)</f>
        <v>0</v>
      </c>
      <c r="K38" s="75">
        <f>SUMIFS(Discover!$F:$F,Discover!$J:$J,Subscriptions!$A38,Discover!$B:$B,4)</f>
        <v>1.99</v>
      </c>
      <c r="L38" s="75">
        <f>SUMIFS(Discover!$F:$F,Discover!$J:$J,Subscriptions!$A38,Discover!$B:$B,5)</f>
        <v>1.99</v>
      </c>
      <c r="M38" s="75">
        <f>SUMIFS(Discover!$F:$F,Discover!$J:$J,Subscriptions!$A38,Discover!$B:$B,6)</f>
        <v>1.99</v>
      </c>
      <c r="N38" s="75">
        <f>SUMIFS(Discover!$F:$F,Discover!$J:$J,Subscriptions!$A38,Discover!$B:$B,7)</f>
        <v>0</v>
      </c>
      <c r="O38" s="75">
        <f>SUMIFS(Discover!$F:$F,Discover!$J:$J,Subscriptions!$A38,Discover!$B:$B,8)</f>
        <v>0</v>
      </c>
      <c r="P38" s="75">
        <f>SUMIFS(Discover!$F:$F,Discover!$J:$J,Subscriptions!$A38,Discover!$B:$B,9)</f>
        <v>0</v>
      </c>
      <c r="Q38" s="75">
        <f>SUMIFS(Discover!$F:$F,Discover!$J:$J,Subscriptions!$A38,Discover!$B:$B,10)</f>
        <v>0</v>
      </c>
      <c r="R38" s="75">
        <f>SUMIFS(Discover!$F:$F,Discover!$J:$J,Subscriptions!$A38,Discover!$B:$B,11)</f>
        <v>0</v>
      </c>
      <c r="S38" s="75">
        <f>SUMIFS(Discover!$F:$F,Discover!$J:$J,Subscriptions!$A38,Discover!$B:$B,12)</f>
        <v>0</v>
      </c>
    </row>
    <row r="39" spans="1:19" x14ac:dyDescent="0.2">
      <c r="A39" t="str">
        <v>Wolfram</v>
      </c>
      <c r="D39"/>
      <c r="E39" s="75">
        <f>SUMIFS(Discover!F:F,Discover!J:J,Subscriptions!A39)</f>
        <v>13.98</v>
      </c>
      <c r="F39">
        <f>COUNTIFS(Discover!J:J,Subscriptions!A39,Discover!G:G,"APP")</f>
        <v>2</v>
      </c>
      <c r="G39" s="75">
        <f t="shared" si="6"/>
        <v>6.99</v>
      </c>
      <c r="H39" s="75">
        <f>SUMIFS(Discover!$F:$F,Discover!$J:$J,Subscriptions!$A39,Discover!$B:$B,1)</f>
        <v>0</v>
      </c>
      <c r="I39" s="75">
        <f>SUMIFS(Discover!$F:$F,Discover!$J:$J,Subscriptions!$A39,Discover!$B:$B,2)</f>
        <v>0</v>
      </c>
      <c r="J39" s="75">
        <f>SUMIFS(Discover!$F:$F,Discover!$J:$J,Subscriptions!$A39,Discover!$B:$B,3)</f>
        <v>6.99</v>
      </c>
      <c r="K39" s="75">
        <f>SUMIFS(Discover!$F:$F,Discover!$J:$J,Subscriptions!$A39,Discover!$B:$B,4)</f>
        <v>6.99</v>
      </c>
      <c r="L39" s="75">
        <f>SUMIFS(Discover!$F:$F,Discover!$J:$J,Subscriptions!$A39,Discover!$B:$B,5)</f>
        <v>0</v>
      </c>
      <c r="M39" s="75">
        <f>SUMIFS(Discover!$F:$F,Discover!$J:$J,Subscriptions!$A39,Discover!$B:$B,6)</f>
        <v>0</v>
      </c>
      <c r="N39" s="75">
        <f>SUMIFS(Discover!$F:$F,Discover!$J:$J,Subscriptions!$A39,Discover!$B:$B,7)</f>
        <v>0</v>
      </c>
      <c r="O39" s="75">
        <f>SUMIFS(Discover!$F:$F,Discover!$J:$J,Subscriptions!$A39,Discover!$B:$B,8)</f>
        <v>0</v>
      </c>
      <c r="P39" s="75">
        <f>SUMIFS(Discover!$F:$F,Discover!$J:$J,Subscriptions!$A39,Discover!$B:$B,9)</f>
        <v>0</v>
      </c>
      <c r="Q39" s="75">
        <f>SUMIFS(Discover!$F:$F,Discover!$J:$J,Subscriptions!$A39,Discover!$B:$B,10)</f>
        <v>0</v>
      </c>
      <c r="R39" s="75">
        <f>SUMIFS(Discover!$F:$F,Discover!$J:$J,Subscriptions!$A39,Discover!$B:$B,11)</f>
        <v>0</v>
      </c>
      <c r="S39" s="75">
        <f>SUMIFS(Discover!$F:$F,Discover!$J:$J,Subscriptions!$A39,Discover!$B:$B,12)</f>
        <v>0</v>
      </c>
    </row>
    <row r="40" spans="1:19" x14ac:dyDescent="0.2">
      <c r="A40" t="str">
        <v>Youtube TV</v>
      </c>
      <c r="E40" s="75">
        <f>SUMIFS(Discover!F:F,Discover!J:J,Subscriptions!A40)</f>
        <v>159.94</v>
      </c>
      <c r="F40">
        <f>COUNTIFS(Discover!J:J,Subscriptions!A40,Discover!G:G,"APP")</f>
        <v>3</v>
      </c>
      <c r="G40" s="75">
        <f t="shared" si="6"/>
        <v>53.313333333333333</v>
      </c>
      <c r="H40" s="75">
        <f>SUMIFS(Discover!$F:$F,Discover!$J:$J,Subscriptions!$A40,Discover!$B:$B,1)</f>
        <v>0</v>
      </c>
      <c r="I40" s="75">
        <f>SUMIFS(Discover!$F:$F,Discover!$J:$J,Subscriptions!$A40,Discover!$B:$B,2)</f>
        <v>0</v>
      </c>
      <c r="J40" s="75">
        <f>SUMIFS(Discover!$F:$F,Discover!$J:$J,Subscriptions!$A40,Discover!$B:$B,3)</f>
        <v>64.989999999999995</v>
      </c>
      <c r="K40" s="75">
        <f>SUMIFS(Discover!$F:$F,Discover!$J:$J,Subscriptions!$A40,Discover!$B:$B,4)</f>
        <v>0</v>
      </c>
      <c r="L40" s="75">
        <f>SUMIFS(Discover!$F:$F,Discover!$J:$J,Subscriptions!$A40,Discover!$B:$B,5)</f>
        <v>0</v>
      </c>
      <c r="M40" s="75">
        <f>SUMIFS(Discover!$F:$F,Discover!$J:$J,Subscriptions!$A40,Discover!$B:$B,6)</f>
        <v>0</v>
      </c>
      <c r="N40" s="75">
        <f>SUMIFS(Discover!$F:$F,Discover!$J:$J,Subscriptions!$A40,Discover!$B:$B,7)</f>
        <v>0</v>
      </c>
      <c r="O40" s="75">
        <f>SUMIFS(Discover!$F:$F,Discover!$J:$J,Subscriptions!$A40,Discover!$B:$B,8)</f>
        <v>0</v>
      </c>
      <c r="P40" s="75">
        <f>SUMIFS(Discover!$F:$F,Discover!$J:$J,Subscriptions!$A40,Discover!$B:$B,9)</f>
        <v>0</v>
      </c>
      <c r="Q40" s="75">
        <f>SUMIFS(Discover!$F:$F,Discover!$J:$J,Subscriptions!$A40,Discover!$B:$B,10)</f>
        <v>94.95</v>
      </c>
      <c r="R40" s="75">
        <f>SUMIFS(Discover!$F:$F,Discover!$J:$J,Subscriptions!$A40,Discover!$B:$B,11)</f>
        <v>0</v>
      </c>
      <c r="S40" s="75">
        <f>SUMIFS(Discover!$F:$F,Discover!$J:$J,Subscriptions!$A40,Discover!$B:$B,12)</f>
        <v>0</v>
      </c>
    </row>
    <row r="42" spans="1:19" x14ac:dyDescent="0.2">
      <c r="E42" s="205">
        <f>SUM(E2:E39)</f>
        <v>4864.5599999999995</v>
      </c>
      <c r="F42" s="87"/>
      <c r="G42" s="87">
        <f>SUMPRODUCT(G2:G40,E2:E40)/SUM(E2:E40)</f>
        <v>98.448565793393769</v>
      </c>
      <c r="H42" s="87">
        <f>SUM(H2:H40)</f>
        <v>190.63</v>
      </c>
      <c r="I42" s="87">
        <f t="shared" ref="I42:S42" si="7">SUM(I2:I40)</f>
        <v>250.9</v>
      </c>
      <c r="J42" s="87">
        <f t="shared" si="7"/>
        <v>483.87</v>
      </c>
      <c r="K42" s="87">
        <f t="shared" si="7"/>
        <v>348.78000000000003</v>
      </c>
      <c r="L42" s="87">
        <f t="shared" si="7"/>
        <v>754.62</v>
      </c>
      <c r="M42" s="87">
        <f t="shared" si="7"/>
        <v>626.20000000000005</v>
      </c>
      <c r="N42" s="87">
        <f t="shared" si="7"/>
        <v>330.98</v>
      </c>
      <c r="O42" s="87">
        <f t="shared" si="7"/>
        <v>584.34</v>
      </c>
      <c r="P42" s="87">
        <f t="shared" si="7"/>
        <v>616.66999999999996</v>
      </c>
      <c r="Q42" s="87">
        <f t="shared" si="7"/>
        <v>684.92000000000007</v>
      </c>
      <c r="R42" s="87">
        <f t="shared" si="7"/>
        <v>152.59</v>
      </c>
      <c r="S42" s="87">
        <f t="shared" si="7"/>
        <v>0</v>
      </c>
    </row>
  </sheetData>
  <conditionalFormatting sqref="H42:S4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335D-16C4-4D44-B63A-61E5049AE184}">
  <sheetPr>
    <tabColor theme="3"/>
  </sheetPr>
  <dimension ref="A1:BI75"/>
  <sheetViews>
    <sheetView topLeftCell="A10" zoomScaleNormal="100" workbookViewId="0">
      <pane xSplit="1" topLeftCell="B1" activePane="topRight" state="frozen"/>
      <selection pane="topRight" activeCell="B50" sqref="B50"/>
    </sheetView>
  </sheetViews>
  <sheetFormatPr defaultRowHeight="11.25" x14ac:dyDescent="0.2"/>
  <cols>
    <col min="1" max="1" width="21.1640625" bestFit="1" customWidth="1"/>
    <col min="2" max="2" width="21.1640625" customWidth="1"/>
    <col min="3" max="46" width="15.5" customWidth="1"/>
    <col min="47" max="47" width="19" bestFit="1" customWidth="1"/>
    <col min="48" max="61" width="15.5" customWidth="1"/>
  </cols>
  <sheetData>
    <row r="1" spans="1:61" s="2" customFormat="1" x14ac:dyDescent="0.2">
      <c r="C1" s="2">
        <v>1</v>
      </c>
      <c r="D1" s="2">
        <v>1</v>
      </c>
      <c r="E1" s="2">
        <v>1</v>
      </c>
      <c r="F1" s="2">
        <v>1</v>
      </c>
      <c r="G1" s="2">
        <v>1</v>
      </c>
      <c r="H1" s="2">
        <v>2</v>
      </c>
      <c r="I1" s="2">
        <v>2</v>
      </c>
      <c r="J1" s="2">
        <v>2</v>
      </c>
      <c r="K1" s="2">
        <v>2</v>
      </c>
      <c r="L1" s="2">
        <v>3</v>
      </c>
      <c r="M1" s="2">
        <v>3</v>
      </c>
      <c r="N1" s="2">
        <v>3</v>
      </c>
      <c r="O1" s="2">
        <v>3</v>
      </c>
      <c r="P1" s="2">
        <v>3</v>
      </c>
      <c r="Q1" s="2">
        <v>4</v>
      </c>
      <c r="R1" s="2">
        <v>4</v>
      </c>
      <c r="S1" s="2">
        <v>4</v>
      </c>
      <c r="T1" s="2">
        <v>4</v>
      </c>
      <c r="U1" s="2">
        <v>4</v>
      </c>
      <c r="V1" s="2">
        <v>5</v>
      </c>
      <c r="W1" s="2">
        <v>5</v>
      </c>
      <c r="X1" s="2">
        <v>5</v>
      </c>
      <c r="Y1" s="2">
        <v>5</v>
      </c>
      <c r="Z1" s="2">
        <v>5</v>
      </c>
      <c r="AA1" s="2">
        <v>6</v>
      </c>
      <c r="AB1" s="2">
        <v>6</v>
      </c>
      <c r="AC1" s="2">
        <v>6</v>
      </c>
      <c r="AD1" s="2">
        <v>6</v>
      </c>
      <c r="AE1" s="2">
        <v>6</v>
      </c>
      <c r="AF1" s="2">
        <v>7</v>
      </c>
      <c r="AG1" s="2">
        <v>7</v>
      </c>
      <c r="AH1" s="2">
        <v>7</v>
      </c>
      <c r="AI1" s="2">
        <v>7</v>
      </c>
      <c r="AJ1" s="2">
        <v>7</v>
      </c>
      <c r="AK1" s="2">
        <v>8</v>
      </c>
      <c r="AL1" s="2">
        <v>8</v>
      </c>
      <c r="AM1" s="2">
        <v>8</v>
      </c>
      <c r="AN1" s="2">
        <v>8</v>
      </c>
      <c r="AO1" s="2">
        <v>8</v>
      </c>
      <c r="AP1" s="2">
        <v>9</v>
      </c>
      <c r="AQ1" s="2">
        <v>9</v>
      </c>
      <c r="AR1" s="2">
        <v>9</v>
      </c>
      <c r="AS1" s="2">
        <v>9</v>
      </c>
      <c r="AT1" s="2">
        <v>9</v>
      </c>
      <c r="AU1" s="2">
        <v>10</v>
      </c>
      <c r="AV1" s="2">
        <v>10</v>
      </c>
      <c r="AW1" s="2">
        <v>10</v>
      </c>
      <c r="AX1" s="2">
        <v>10</v>
      </c>
      <c r="AY1" s="2">
        <v>10</v>
      </c>
      <c r="AZ1" s="2">
        <v>11</v>
      </c>
      <c r="BA1" s="2">
        <v>11</v>
      </c>
      <c r="BB1" s="2">
        <v>11</v>
      </c>
      <c r="BC1" s="2">
        <v>11</v>
      </c>
      <c r="BD1" s="2">
        <v>11</v>
      </c>
      <c r="BE1" s="2">
        <v>12</v>
      </c>
      <c r="BF1" s="2">
        <v>12</v>
      </c>
      <c r="BG1" s="2">
        <v>12</v>
      </c>
      <c r="BH1" s="2">
        <v>12</v>
      </c>
      <c r="BI1" s="2">
        <v>12</v>
      </c>
    </row>
    <row r="2" spans="1:61" ht="14.25" x14ac:dyDescent="0.2">
      <c r="A2" t="s">
        <v>524</v>
      </c>
      <c r="B2" s="108">
        <v>167.58</v>
      </c>
      <c r="C2" s="223" t="s">
        <v>2</v>
      </c>
      <c r="D2" s="223"/>
      <c r="E2" s="223"/>
      <c r="F2" s="223"/>
      <c r="G2" s="223"/>
      <c r="H2" s="224" t="s">
        <v>305</v>
      </c>
      <c r="I2" s="224"/>
      <c r="J2" s="224"/>
      <c r="K2" s="224"/>
      <c r="L2" s="225" t="s">
        <v>306</v>
      </c>
      <c r="M2" s="225"/>
      <c r="N2" s="225"/>
      <c r="O2" s="225"/>
      <c r="P2" s="225"/>
      <c r="Q2" s="227" t="s">
        <v>307</v>
      </c>
      <c r="R2" s="227"/>
      <c r="S2" s="227"/>
      <c r="T2" s="227"/>
      <c r="U2" s="227"/>
      <c r="V2" s="226" t="s">
        <v>521</v>
      </c>
      <c r="W2" s="226"/>
      <c r="X2" s="226"/>
      <c r="Y2" s="226"/>
      <c r="Z2" s="226"/>
      <c r="AA2" s="229" t="s">
        <v>522</v>
      </c>
      <c r="AB2" s="229"/>
      <c r="AC2" s="229"/>
      <c r="AD2" s="229"/>
      <c r="AE2" s="229"/>
      <c r="AF2" s="230" t="s">
        <v>523</v>
      </c>
      <c r="AG2" s="230"/>
      <c r="AH2" s="230"/>
      <c r="AI2" s="230"/>
      <c r="AJ2" s="230"/>
      <c r="AK2" s="230" t="s">
        <v>328</v>
      </c>
      <c r="AL2" s="230"/>
      <c r="AM2" s="230"/>
      <c r="AN2" s="230"/>
      <c r="AO2" s="230"/>
      <c r="AP2" s="231" t="s">
        <v>329</v>
      </c>
      <c r="AQ2" s="231"/>
      <c r="AR2" s="231"/>
      <c r="AS2" s="231"/>
      <c r="AT2" s="231"/>
      <c r="AU2" s="227" t="s">
        <v>327</v>
      </c>
      <c r="AV2" s="227"/>
      <c r="AW2" s="227"/>
      <c r="AX2" s="227"/>
      <c r="AY2" s="227"/>
      <c r="AZ2" s="232" t="s">
        <v>330</v>
      </c>
      <c r="BA2" s="232"/>
      <c r="BB2" s="232"/>
      <c r="BC2" s="232"/>
      <c r="BD2" s="232"/>
      <c r="BE2" s="228" t="s">
        <v>331</v>
      </c>
      <c r="BF2" s="228"/>
      <c r="BG2" s="228"/>
      <c r="BH2" s="228"/>
      <c r="BI2" s="228"/>
    </row>
    <row r="3" spans="1:61" s="2" customFormat="1" x14ac:dyDescent="0.2">
      <c r="C3" s="2">
        <v>1</v>
      </c>
      <c r="D3" s="2">
        <v>8</v>
      </c>
      <c r="E3" s="2">
        <v>15</v>
      </c>
      <c r="F3" s="2">
        <v>22</v>
      </c>
      <c r="G3" s="2">
        <v>31</v>
      </c>
      <c r="H3" s="2">
        <v>5</v>
      </c>
      <c r="I3" s="2">
        <v>12</v>
      </c>
      <c r="J3" s="2">
        <v>19</v>
      </c>
      <c r="K3" s="2">
        <v>28</v>
      </c>
      <c r="L3" s="2">
        <v>5</v>
      </c>
      <c r="M3" s="2">
        <v>12</v>
      </c>
      <c r="N3" s="2">
        <v>19</v>
      </c>
      <c r="O3" s="2">
        <v>26</v>
      </c>
      <c r="P3" s="2">
        <v>31</v>
      </c>
      <c r="Q3" s="2">
        <v>2</v>
      </c>
      <c r="R3" s="2">
        <v>9</v>
      </c>
      <c r="S3" s="2">
        <v>16</v>
      </c>
      <c r="T3" s="2">
        <v>23</v>
      </c>
      <c r="U3" s="2">
        <v>30</v>
      </c>
      <c r="V3" s="2">
        <v>7</v>
      </c>
      <c r="W3" s="2">
        <v>14</v>
      </c>
      <c r="X3" s="2">
        <v>21</v>
      </c>
      <c r="Y3" s="2">
        <v>28</v>
      </c>
      <c r="Z3" s="2">
        <v>31</v>
      </c>
      <c r="AA3" s="2">
        <v>4</v>
      </c>
      <c r="AB3" s="2">
        <v>11</v>
      </c>
      <c r="AC3" s="2">
        <v>18</v>
      </c>
      <c r="AD3" s="2">
        <v>25</v>
      </c>
      <c r="AE3" s="2">
        <v>30</v>
      </c>
      <c r="AF3" s="2">
        <v>2</v>
      </c>
      <c r="AG3" s="2">
        <v>9</v>
      </c>
      <c r="AH3" s="2">
        <v>16</v>
      </c>
      <c r="AI3" s="2">
        <v>23</v>
      </c>
      <c r="AJ3" s="2">
        <v>30</v>
      </c>
      <c r="AK3" s="2">
        <v>6</v>
      </c>
      <c r="AL3" s="2">
        <v>13</v>
      </c>
      <c r="AM3" s="2">
        <v>20</v>
      </c>
      <c r="AN3" s="2">
        <v>27</v>
      </c>
      <c r="AO3" s="2">
        <v>31</v>
      </c>
      <c r="AP3" s="2">
        <v>3</v>
      </c>
      <c r="AQ3" s="2">
        <v>10</v>
      </c>
      <c r="AR3" s="2">
        <v>17</v>
      </c>
      <c r="AS3" s="2">
        <v>24</v>
      </c>
      <c r="AT3" s="2">
        <v>30</v>
      </c>
      <c r="AU3" s="2">
        <v>1</v>
      </c>
      <c r="AV3" s="2">
        <v>8</v>
      </c>
      <c r="AW3" s="2">
        <v>15</v>
      </c>
      <c r="AX3" s="2">
        <v>22</v>
      </c>
      <c r="AY3" s="2">
        <v>29</v>
      </c>
      <c r="AZ3" s="2">
        <v>5</v>
      </c>
      <c r="BA3" s="2">
        <v>12</v>
      </c>
      <c r="BB3" s="2">
        <v>19</v>
      </c>
      <c r="BC3" s="2">
        <v>26</v>
      </c>
      <c r="BD3" s="2">
        <v>30</v>
      </c>
      <c r="BE3" s="2">
        <v>3</v>
      </c>
      <c r="BF3" s="2">
        <v>10</v>
      </c>
      <c r="BG3" s="2">
        <v>17</v>
      </c>
      <c r="BH3" s="2">
        <v>24</v>
      </c>
      <c r="BI3" s="2">
        <v>31</v>
      </c>
    </row>
    <row r="4" spans="1:61" ht="12.75" x14ac:dyDescent="0.2">
      <c r="A4" t="str" cm="1">
        <f t="array" ref="A4:A66">_xlfn._xlws.SORT(_xlfn.UNIQUE(_xlfn._xlws.FILTER('Wells Fargo'!G:G,('Wells Fargo'!G:G&lt;&gt;0)*('Wells Fargo'!G:G&lt;&gt;"Primary"))))</f>
        <v>3060 Ti GPU</v>
      </c>
      <c r="B4" s="87">
        <f>SUM(C4:BI4)</f>
        <v>0</v>
      </c>
      <c r="C4" s="189">
        <f>SUMIFS('Wells Fargo'!$F:$F,'Wells Fargo'!$G:$G,'Cash Flow'!$A4,'Wells Fargo'!$A:$A,C$1,'Wells Fargo'!$B:$B,"&lt;="&amp;'Cash Flow'!C$3)</f>
        <v>0</v>
      </c>
      <c r="D4" s="188">
        <f>SUMIFS('Wells Fargo'!$F:$F,'Wells Fargo'!$G:$G,'Cash Flow'!$A4,'Wells Fargo'!$A:$A,D$1,'Wells Fargo'!$B:$B,"&lt;="&amp;'Cash Flow'!D$3,'Wells Fargo'!$B:$B,"&gt;"&amp;'Cash Flow'!C$3)</f>
        <v>0</v>
      </c>
      <c r="E4" s="188">
        <f>SUMIFS('Wells Fargo'!$F:$F,'Wells Fargo'!$G:$G,'Cash Flow'!$A4,'Wells Fargo'!$A:$A,E$1,'Wells Fargo'!$B:$B,"&lt;="&amp;'Cash Flow'!E$3,'Wells Fargo'!$B:$B,"&gt;"&amp;'Cash Flow'!D$3)</f>
        <v>0</v>
      </c>
      <c r="F4" s="188">
        <f>SUMIFS('Wells Fargo'!$F:$F,'Wells Fargo'!$G:$G,'Cash Flow'!$A4,'Wells Fargo'!$A:$A,F$1,'Wells Fargo'!$B:$B,"&lt;="&amp;'Cash Flow'!F$3,'Wells Fargo'!$B:$B,"&gt;"&amp;'Cash Flow'!E$3)</f>
        <v>0</v>
      </c>
      <c r="G4" s="188">
        <f>SUMIFS('Wells Fargo'!$F:$F,'Wells Fargo'!$G:$G,'Cash Flow'!$A4,'Wells Fargo'!$A:$A,G$1,'Wells Fargo'!$B:$B,"&lt;="&amp;'Cash Flow'!G$3,'Wells Fargo'!$B:$B,"&gt;"&amp;'Cash Flow'!F$3)</f>
        <v>0</v>
      </c>
      <c r="H4" s="189">
        <f>SUMIFS('Wells Fargo'!$F:$F,'Wells Fargo'!$G:$G,'Cash Flow'!$A4,'Wells Fargo'!$A:$A,H$1,'Wells Fargo'!$B:$B,"&lt;="&amp;'Cash Flow'!H$3)</f>
        <v>0</v>
      </c>
      <c r="I4" s="188">
        <f>SUMIFS('Wells Fargo'!$F:$F,'Wells Fargo'!$G:$G,'Cash Flow'!$A4,'Wells Fargo'!$A:$A,I$1,'Wells Fargo'!$B:$B,"&lt;="&amp;'Cash Flow'!I$3,'Wells Fargo'!$B:$B,"&gt;"&amp;'Cash Flow'!H$3)</f>
        <v>0</v>
      </c>
      <c r="J4" s="188">
        <f>SUMIFS('Wells Fargo'!$F:$F,'Wells Fargo'!$G:$G,'Cash Flow'!$A4,'Wells Fargo'!$A:$A,J$1,'Wells Fargo'!$B:$B,"&lt;="&amp;'Cash Flow'!J$3,'Wells Fargo'!$B:$B,"&gt;"&amp;'Cash Flow'!I$3)</f>
        <v>0</v>
      </c>
      <c r="K4" s="188">
        <f>SUMIFS('Wells Fargo'!$F:$F,'Wells Fargo'!$G:$G,'Cash Flow'!$A4,'Wells Fargo'!$A:$A,K$1,'Wells Fargo'!$B:$B,"&lt;="&amp;'Cash Flow'!K$3,'Wells Fargo'!$B:$B,"&gt;"&amp;'Cash Flow'!J$3)</f>
        <v>0</v>
      </c>
      <c r="L4" s="189">
        <f>SUMIFS('Wells Fargo'!$F:$F,'Wells Fargo'!$G:$G,'Cash Flow'!$A4,'Wells Fargo'!$A:$A,L$1,'Wells Fargo'!$B:$B,"&lt;="&amp;'Cash Flow'!L$3)</f>
        <v>0</v>
      </c>
      <c r="M4" s="188">
        <f>SUMIFS('Wells Fargo'!$F:$F,'Wells Fargo'!$G:$G,'Cash Flow'!$A4,'Wells Fargo'!$A:$A,M$1,'Wells Fargo'!$B:$B,"&lt;="&amp;'Cash Flow'!M$3,'Wells Fargo'!$B:$B,"&gt;"&amp;'Cash Flow'!L$3)</f>
        <v>0</v>
      </c>
      <c r="N4" s="188">
        <f>SUMIFS('Wells Fargo'!$F:$F,'Wells Fargo'!$G:$G,'Cash Flow'!$A4,'Wells Fargo'!$A:$A,N$1,'Wells Fargo'!$B:$B,"&lt;="&amp;'Cash Flow'!N$3,'Wells Fargo'!$B:$B,"&gt;"&amp;'Cash Flow'!M$3)</f>
        <v>0</v>
      </c>
      <c r="O4" s="188">
        <f>SUMIFS('Wells Fargo'!$F:$F,'Wells Fargo'!$G:$G,'Cash Flow'!$A4,'Wells Fargo'!$A:$A,O$1,'Wells Fargo'!$B:$B,"&lt;="&amp;'Cash Flow'!O$3,'Wells Fargo'!$B:$B,"&gt;"&amp;'Cash Flow'!N$3)</f>
        <v>0</v>
      </c>
      <c r="P4" s="188">
        <f>SUMIFS('Wells Fargo'!$F:$F,'Wells Fargo'!$G:$G,'Cash Flow'!$A4,'Wells Fargo'!$A:$A,P$1,'Wells Fargo'!$B:$B,"&lt;="&amp;'Cash Flow'!P$3,'Wells Fargo'!$B:$B,"&gt;"&amp;'Cash Flow'!O$3)</f>
        <v>0</v>
      </c>
      <c r="Q4" s="189">
        <f>SUMIFS('Wells Fargo'!$F:$F,'Wells Fargo'!$G:$G,'Cash Flow'!$A4,'Wells Fargo'!$A:$A,Q$1,'Wells Fargo'!$B:$B,"&lt;="&amp;'Cash Flow'!Q$3)</f>
        <v>0</v>
      </c>
      <c r="R4" s="188">
        <f>SUMIFS('Wells Fargo'!$F:$F,'Wells Fargo'!$G:$G,'Cash Flow'!$A4,'Wells Fargo'!$A:$A,R$1,'Wells Fargo'!$B:$B,"&lt;="&amp;'Cash Flow'!R$3,'Wells Fargo'!$B:$B,"&gt;"&amp;'Cash Flow'!Q$3)</f>
        <v>0</v>
      </c>
      <c r="S4" s="188">
        <f>SUMIFS('Wells Fargo'!$F:$F,'Wells Fargo'!$G:$G,'Cash Flow'!$A4,'Wells Fargo'!$A:$A,S$1,'Wells Fargo'!$B:$B,"&lt;="&amp;'Cash Flow'!S$3,'Wells Fargo'!$B:$B,"&gt;"&amp;'Cash Flow'!R$3)</f>
        <v>0</v>
      </c>
      <c r="T4" s="188">
        <f>SUMIFS('Wells Fargo'!$F:$F,'Wells Fargo'!$G:$G,'Cash Flow'!$A4,'Wells Fargo'!$A:$A,T$1,'Wells Fargo'!$B:$B,"&lt;="&amp;'Cash Flow'!T$3,'Wells Fargo'!$B:$B,"&gt;"&amp;'Cash Flow'!S$3)</f>
        <v>0</v>
      </c>
      <c r="U4" s="188">
        <f>SUMIFS('Wells Fargo'!$F:$F,'Wells Fargo'!$G:$G,'Cash Flow'!$A4,'Wells Fargo'!$A:$A,U$1,'Wells Fargo'!$B:$B,"&lt;="&amp;'Cash Flow'!U$3,'Wells Fargo'!$B:$B,"&gt;"&amp;'Cash Flow'!T$3)</f>
        <v>0</v>
      </c>
      <c r="V4" s="189">
        <f>SUMIFS('Wells Fargo'!$F:$F,'Wells Fargo'!$G:$G,'Cash Flow'!$A4,'Wells Fargo'!$A:$A,V$1,'Wells Fargo'!$B:$B,"&lt;="&amp;'Cash Flow'!V$3)</f>
        <v>0</v>
      </c>
      <c r="W4" s="188">
        <f>SUMIFS('Wells Fargo'!$F:$F,'Wells Fargo'!$G:$G,'Cash Flow'!$A4,'Wells Fargo'!$A:$A,W$1,'Wells Fargo'!$B:$B,"&lt;="&amp;'Cash Flow'!W$3,'Wells Fargo'!$B:$B,"&gt;"&amp;'Cash Flow'!V$3)</f>
        <v>0</v>
      </c>
      <c r="X4" s="188">
        <f>SUMIFS('Wells Fargo'!$F:$F,'Wells Fargo'!$G:$G,'Cash Flow'!$A4,'Wells Fargo'!$A:$A,X$1,'Wells Fargo'!$B:$B,"&lt;="&amp;'Cash Flow'!X$3,'Wells Fargo'!$B:$B,"&gt;"&amp;'Cash Flow'!W$3)</f>
        <v>0</v>
      </c>
      <c r="Y4" s="188">
        <f>SUMIFS('Wells Fargo'!$F:$F,'Wells Fargo'!$G:$G,'Cash Flow'!$A4,'Wells Fargo'!$A:$A,Y$1,'Wells Fargo'!$B:$B,"&lt;="&amp;'Cash Flow'!Y$3,'Wells Fargo'!$B:$B,"&gt;"&amp;'Cash Flow'!X$3)</f>
        <v>0</v>
      </c>
      <c r="Z4" s="188">
        <f>SUMIFS('Wells Fargo'!$F:$F,'Wells Fargo'!$G:$G,'Cash Flow'!$A4,'Wells Fargo'!$A:$A,Z$1,'Wells Fargo'!$B:$B,"&lt;="&amp;'Cash Flow'!Z$3,'Wells Fargo'!$B:$B,"&gt;"&amp;'Cash Flow'!Y$3)</f>
        <v>0</v>
      </c>
      <c r="AA4" s="189">
        <f>SUMIFS('Wells Fargo'!$F:$F,'Wells Fargo'!$G:$G,'Cash Flow'!$A4,'Wells Fargo'!$A:$A,AA$1,'Wells Fargo'!$B:$B,"&lt;="&amp;'Cash Flow'!AA$3)</f>
        <v>0</v>
      </c>
      <c r="AB4" s="188">
        <f>SUMIFS('Wells Fargo'!$F:$F,'Wells Fargo'!$G:$G,'Cash Flow'!$A4,'Wells Fargo'!$A:$A,AB$1,'Wells Fargo'!$B:$B,"&lt;="&amp;'Cash Flow'!AB$3,'Wells Fargo'!$B:$B,"&gt;"&amp;'Cash Flow'!AA$3)</f>
        <v>0</v>
      </c>
      <c r="AC4" s="188">
        <f>SUMIFS('Wells Fargo'!$F:$F,'Wells Fargo'!$G:$G,'Cash Flow'!$A4,'Wells Fargo'!$A:$A,AC$1,'Wells Fargo'!$B:$B,"&lt;="&amp;'Cash Flow'!AC$3,'Wells Fargo'!$B:$B,"&gt;"&amp;'Cash Flow'!AB$3)</f>
        <v>0</v>
      </c>
      <c r="AD4" s="188">
        <f>SUMIFS('Wells Fargo'!$F:$F,'Wells Fargo'!$G:$G,'Cash Flow'!$A4,'Wells Fargo'!$A:$A,AD$1,'Wells Fargo'!$B:$B,"&lt;="&amp;'Cash Flow'!AD$3,'Wells Fargo'!$B:$B,"&gt;"&amp;'Cash Flow'!AC$3)</f>
        <v>0</v>
      </c>
      <c r="AE4" s="188">
        <f>SUMIFS('Wells Fargo'!$F:$F,'Wells Fargo'!$G:$G,'Cash Flow'!$A4,'Wells Fargo'!$A:$A,AE$1,'Wells Fargo'!$B:$B,"&lt;="&amp;'Cash Flow'!AE$3,'Wells Fargo'!$B:$B,"&gt;"&amp;'Cash Flow'!AD$3)</f>
        <v>0</v>
      </c>
      <c r="AF4" s="189">
        <f>SUMIFS('Wells Fargo'!$F:$F,'Wells Fargo'!$G:$G,'Cash Flow'!$A4,'Wells Fargo'!$A:$A,AF$1,'Wells Fargo'!$B:$B,"&lt;="&amp;'Cash Flow'!AF$3)</f>
        <v>0</v>
      </c>
      <c r="AG4" s="188">
        <f>SUMIFS('Wells Fargo'!$F:$F,'Wells Fargo'!$G:$G,'Cash Flow'!$A4,'Wells Fargo'!$A:$A,AG$1,'Wells Fargo'!$B:$B,"&lt;="&amp;'Cash Flow'!AG$3,'Wells Fargo'!$B:$B,"&gt;"&amp;'Cash Flow'!AF$3)</f>
        <v>0</v>
      </c>
      <c r="AH4" s="188">
        <f>SUMIFS('Wells Fargo'!$F:$F,'Wells Fargo'!$G:$G,'Cash Flow'!$A4,'Wells Fargo'!$A:$A,AH$1,'Wells Fargo'!$B:$B,"&lt;="&amp;'Cash Flow'!AH$3,'Wells Fargo'!$B:$B,"&gt;"&amp;'Cash Flow'!AG$3)</f>
        <v>0</v>
      </c>
      <c r="AI4" s="188">
        <f>SUMIFS('Wells Fargo'!$F:$F,'Wells Fargo'!$G:$G,'Cash Flow'!$A4,'Wells Fargo'!$A:$A,AI$1,'Wells Fargo'!$B:$B,"&lt;="&amp;'Cash Flow'!AI$3,'Wells Fargo'!$B:$B,"&gt;"&amp;'Cash Flow'!AH$3)</f>
        <v>0</v>
      </c>
      <c r="AJ4" s="188">
        <f>SUMIFS('Wells Fargo'!$F:$F,'Wells Fargo'!$G:$G,'Cash Flow'!$A4,'Wells Fargo'!$A:$A,AJ$1,'Wells Fargo'!$B:$B,"&lt;="&amp;'Cash Flow'!AJ$3,'Wells Fargo'!$B:$B,"&gt;"&amp;'Cash Flow'!AI$3)</f>
        <v>0</v>
      </c>
      <c r="AK4" s="189">
        <f>SUMIFS('Wells Fargo'!$F:$F,'Wells Fargo'!$G:$G,'Cash Flow'!$A4,'Wells Fargo'!$A:$A,AK$1,'Wells Fargo'!$B:$B,"&lt;="&amp;'Cash Flow'!AK$3)</f>
        <v>0</v>
      </c>
      <c r="AL4" s="188">
        <f>SUMIFS('Wells Fargo'!$F:$F,'Wells Fargo'!$G:$G,'Cash Flow'!$A4,'Wells Fargo'!$A:$A,AL$1,'Wells Fargo'!$B:$B,"&lt;="&amp;'Cash Flow'!AL$3,'Wells Fargo'!$B:$B,"&gt;"&amp;'Cash Flow'!AK$3)</f>
        <v>0</v>
      </c>
      <c r="AM4" s="188">
        <f>SUMIFS('Wells Fargo'!$F:$F,'Wells Fargo'!$G:$G,'Cash Flow'!$A4,'Wells Fargo'!$A:$A,AM$1,'Wells Fargo'!$B:$B,"&lt;="&amp;'Cash Flow'!AM$3,'Wells Fargo'!$B:$B,"&gt;"&amp;'Cash Flow'!AL$3)</f>
        <v>0</v>
      </c>
      <c r="AN4" s="188">
        <f>SUMIFS('Wells Fargo'!$F:$F,'Wells Fargo'!$G:$G,'Cash Flow'!$A4,'Wells Fargo'!$A:$A,AN$1,'Wells Fargo'!$B:$B,"&lt;="&amp;'Cash Flow'!AN$3,'Wells Fargo'!$B:$B,"&gt;"&amp;'Cash Flow'!AM$3)</f>
        <v>0</v>
      </c>
      <c r="AO4" s="188">
        <f>SUMIFS('Wells Fargo'!$F:$F,'Wells Fargo'!$G:$G,'Cash Flow'!$A4,'Wells Fargo'!$A:$A,AO$1,'Wells Fargo'!$B:$B,"&lt;="&amp;'Cash Flow'!AO$3,'Wells Fargo'!$B:$B,"&gt;"&amp;'Cash Flow'!AN$3)</f>
        <v>0</v>
      </c>
      <c r="AP4" s="189">
        <f>SUMIFS('Wells Fargo'!$F:$F,'Wells Fargo'!$G:$G,'Cash Flow'!$A4,'Wells Fargo'!$A:$A,AP$1,'Wells Fargo'!$B:$B,"&lt;="&amp;'Cash Flow'!AP$3)</f>
        <v>0</v>
      </c>
      <c r="AQ4" s="188">
        <f>SUMIFS('Wells Fargo'!$F:$F,'Wells Fargo'!$G:$G,'Cash Flow'!$A4,'Wells Fargo'!$A:$A,AQ$1,'Wells Fargo'!$B:$B,"&lt;="&amp;'Cash Flow'!AQ$3,'Wells Fargo'!$B:$B,"&gt;"&amp;'Cash Flow'!AP$3)</f>
        <v>0</v>
      </c>
      <c r="AR4" s="188">
        <f>SUMIFS('Wells Fargo'!$F:$F,'Wells Fargo'!$G:$G,'Cash Flow'!$A4,'Wells Fargo'!$A:$A,AR$1,'Wells Fargo'!$B:$B,"&lt;="&amp;'Cash Flow'!AR$3,'Wells Fargo'!$B:$B,"&gt;"&amp;'Cash Flow'!AQ$3)</f>
        <v>0</v>
      </c>
      <c r="AS4" s="188">
        <f>SUMIFS('Wells Fargo'!$F:$F,'Wells Fargo'!$G:$G,'Cash Flow'!$A4,'Wells Fargo'!$A:$A,AS$1,'Wells Fargo'!$B:$B,"&lt;="&amp;'Cash Flow'!AS$3,'Wells Fargo'!$B:$B,"&gt;"&amp;'Cash Flow'!AR$3)</f>
        <v>0</v>
      </c>
      <c r="AT4" s="188">
        <f>SUMIFS('Wells Fargo'!$F:$F,'Wells Fargo'!$G:$G,'Cash Flow'!$A4,'Wells Fargo'!$A:$A,AT$1,'Wells Fargo'!$B:$B,"&lt;="&amp;'Cash Flow'!AT$3,'Wells Fargo'!$B:$B,"&gt;"&amp;'Cash Flow'!AS$3)</f>
        <v>0</v>
      </c>
      <c r="AU4" s="189">
        <f>SUMIFS('Wells Fargo'!$F:$F,'Wells Fargo'!$G:$G,'Cash Flow'!$A4,'Wells Fargo'!$A:$A,AU$1,'Wells Fargo'!$B:$B,"&lt;="&amp;'Cash Flow'!AU$3)</f>
        <v>0</v>
      </c>
      <c r="AV4" s="188">
        <f>SUMIFS('Wells Fargo'!$F:$F,'Wells Fargo'!$G:$G,'Cash Flow'!$A4,'Wells Fargo'!$A:$A,AV$1,'Wells Fargo'!$B:$B,"&lt;="&amp;'Cash Flow'!AV$3,'Wells Fargo'!$B:$B,"&gt;"&amp;'Cash Flow'!AU$3)</f>
        <v>0</v>
      </c>
      <c r="AW4" s="188">
        <f>SUMIFS('Wells Fargo'!$F:$F,'Wells Fargo'!$G:$G,'Cash Flow'!$A4,'Wells Fargo'!$A:$A,AW$1,'Wells Fargo'!$B:$B,"&lt;="&amp;'Cash Flow'!AW$3,'Wells Fargo'!$B:$B,"&gt;"&amp;'Cash Flow'!AV$3)</f>
        <v>0</v>
      </c>
      <c r="AX4" s="188">
        <f>SUMIFS('Wells Fargo'!$F:$F,'Wells Fargo'!$G:$G,'Cash Flow'!$A4,'Wells Fargo'!$A:$A,AX$1,'Wells Fargo'!$B:$B,"&lt;="&amp;'Cash Flow'!AX$3,'Wells Fargo'!$B:$B,"&gt;"&amp;'Cash Flow'!AW$3)</f>
        <v>0</v>
      </c>
      <c r="AY4" s="188">
        <f>SUMIFS('Wells Fargo'!$F:$F,'Wells Fargo'!$G:$G,'Cash Flow'!$A4,'Wells Fargo'!$A:$A,AY$1,'Wells Fargo'!$B:$B,"&lt;="&amp;'Cash Flow'!AY$3,'Wells Fargo'!$B:$B,"&gt;"&amp;'Cash Flow'!AX$3)</f>
        <v>0</v>
      </c>
      <c r="AZ4" s="189">
        <f>SUMIFS('Wells Fargo'!$F:$F,'Wells Fargo'!$G:$G,'Cash Flow'!$A4,'Wells Fargo'!$A:$A,AZ$1,'Wells Fargo'!$B:$B,"&lt;="&amp;'Cash Flow'!AZ$3)</f>
        <v>0</v>
      </c>
      <c r="BA4" s="188">
        <f>SUMIFS('Wells Fargo'!$F:$F,'Wells Fargo'!$G:$G,'Cash Flow'!$A4,'Wells Fargo'!$A:$A,BA$1,'Wells Fargo'!$B:$B,"&lt;="&amp;'Cash Flow'!BA$3,'Wells Fargo'!$B:$B,"&gt;"&amp;'Cash Flow'!AZ$3)</f>
        <v>0</v>
      </c>
      <c r="BB4" s="188">
        <f>SUMIFS('Wells Fargo'!$F:$F,'Wells Fargo'!$G:$G,'Cash Flow'!$A4,'Wells Fargo'!$A:$A,BB$1,'Wells Fargo'!$B:$B,"&lt;="&amp;'Cash Flow'!BB$3,'Wells Fargo'!$B:$B,"&gt;"&amp;'Cash Flow'!BA$3)</f>
        <v>0</v>
      </c>
      <c r="BC4" s="188">
        <f>SUMIFS('Wells Fargo'!$F:$F,'Wells Fargo'!$G:$G,'Cash Flow'!$A4,'Wells Fargo'!$A:$A,BC$1,'Wells Fargo'!$B:$B,"&lt;="&amp;'Cash Flow'!BC$3,'Wells Fargo'!$B:$B,"&gt;"&amp;'Cash Flow'!BB$3)</f>
        <v>0</v>
      </c>
      <c r="BD4" s="188">
        <f>SUMIFS('Wells Fargo'!$F:$F,'Wells Fargo'!$G:$G,'Cash Flow'!$A4,'Wells Fargo'!$A:$A,BD$1,'Wells Fargo'!$B:$B,"&lt;="&amp;'Cash Flow'!BD$3,'Wells Fargo'!$B:$B,"&gt;"&amp;'Cash Flow'!BC$3)</f>
        <v>0</v>
      </c>
      <c r="BE4" s="189">
        <f>SUMIFS('Wells Fargo'!$F:$F,'Wells Fargo'!$G:$G,'Cash Flow'!$A4,'Wells Fargo'!$A:$A,BE$1,'Wells Fargo'!$B:$B,"&lt;="&amp;'Cash Flow'!BE$3)</f>
        <v>0</v>
      </c>
      <c r="BF4" s="188">
        <f>SUMIFS('Wells Fargo'!$F:$F,'Wells Fargo'!$G:$G,'Cash Flow'!$A4,'Wells Fargo'!$A:$A,BF$1,'Wells Fargo'!$B:$B,"&lt;="&amp;'Cash Flow'!BF$3,'Wells Fargo'!$B:$B,"&gt;"&amp;'Cash Flow'!BE$3)</f>
        <v>0</v>
      </c>
      <c r="BG4" s="188">
        <f>SUMIFS('Wells Fargo'!$F:$F,'Wells Fargo'!$G:$G,'Cash Flow'!$A4,'Wells Fargo'!$A:$A,BG$1,'Wells Fargo'!$B:$B,"&lt;="&amp;'Cash Flow'!BG$3,'Wells Fargo'!$B:$B,"&gt;"&amp;'Cash Flow'!BF$3)</f>
        <v>0</v>
      </c>
      <c r="BH4" s="188">
        <f>SUMIFS('Wells Fargo'!$F:$F,'Wells Fargo'!$G:$G,'Cash Flow'!$A4,'Wells Fargo'!$A:$A,BH$1,'Wells Fargo'!$B:$B,"&lt;="&amp;'Cash Flow'!BH$3,'Wells Fargo'!$B:$B,"&gt;"&amp;'Cash Flow'!BG$3)</f>
        <v>0</v>
      </c>
      <c r="BI4" s="188">
        <f>SUMIFS('Wells Fargo'!$F:$F,'Wells Fargo'!$G:$G,'Cash Flow'!$A4,'Wells Fargo'!$A:$A,BI$1,'Wells Fargo'!$B:$B,"&lt;="&amp;'Cash Flow'!BI$3,'Wells Fargo'!$B:$B,"&gt;"&amp;'Cash Flow'!BH$3)</f>
        <v>0</v>
      </c>
    </row>
    <row r="5" spans="1:61" ht="12.75" x14ac:dyDescent="0.2">
      <c r="A5" t="str">
        <v>3070 GPU</v>
      </c>
      <c r="B5" s="87">
        <f t="shared" ref="B5:B36" si="0">SUM(C5:BI5)</f>
        <v>-500</v>
      </c>
      <c r="C5" s="189">
        <f>SUMIFS('Wells Fargo'!$F:$F,'Wells Fargo'!$G:$G,'Cash Flow'!$A5,'Wells Fargo'!$A:$A,C$1,'Wells Fargo'!$B:$B,"&lt;="&amp;'Cash Flow'!C$3)</f>
        <v>0</v>
      </c>
      <c r="D5" s="188">
        <f>SUMIFS('Wells Fargo'!$F:$F,'Wells Fargo'!$G:$G,'Cash Flow'!$A5,'Wells Fargo'!$A:$A,D$1,'Wells Fargo'!$B:$B,"&lt;="&amp;'Cash Flow'!D$3,'Wells Fargo'!$B:$B,"&gt;"&amp;'Cash Flow'!C$3)</f>
        <v>0</v>
      </c>
      <c r="E5" s="188">
        <f>SUMIFS('Wells Fargo'!$F:$F,'Wells Fargo'!$G:$G,'Cash Flow'!$A5,'Wells Fargo'!$A:$A,E$1,'Wells Fargo'!$B:$B,"&lt;="&amp;'Cash Flow'!E$3,'Wells Fargo'!$B:$B,"&gt;"&amp;'Cash Flow'!D$3)</f>
        <v>0</v>
      </c>
      <c r="F5" s="188">
        <f>SUMIFS('Wells Fargo'!$F:$F,'Wells Fargo'!$G:$G,'Cash Flow'!$A5,'Wells Fargo'!$A:$A,F$1,'Wells Fargo'!$B:$B,"&lt;="&amp;'Cash Flow'!F$3,'Wells Fargo'!$B:$B,"&gt;"&amp;'Cash Flow'!E$3)</f>
        <v>0</v>
      </c>
      <c r="G5" s="188">
        <f>SUMIFS('Wells Fargo'!$F:$F,'Wells Fargo'!$G:$G,'Cash Flow'!$A5,'Wells Fargo'!$A:$A,G$1,'Wells Fargo'!$B:$B,"&lt;="&amp;'Cash Flow'!G$3,'Wells Fargo'!$B:$B,"&gt;"&amp;'Cash Flow'!F$3)</f>
        <v>0</v>
      </c>
      <c r="H5" s="189">
        <f>SUMIFS('Wells Fargo'!$F:$F,'Wells Fargo'!$G:$G,'Cash Flow'!$A5,'Wells Fargo'!$A:$A,H$1,'Wells Fargo'!$B:$B,"&lt;="&amp;'Cash Flow'!H$3)</f>
        <v>0</v>
      </c>
      <c r="I5" s="188">
        <f>SUMIFS('Wells Fargo'!$F:$F,'Wells Fargo'!$G:$G,'Cash Flow'!$A5,'Wells Fargo'!$A:$A,I$1,'Wells Fargo'!$B:$B,"&lt;="&amp;'Cash Flow'!I$3,'Wells Fargo'!$B:$B,"&gt;"&amp;'Cash Flow'!H$3)</f>
        <v>0</v>
      </c>
      <c r="J5" s="188">
        <f>SUMIFS('Wells Fargo'!$F:$F,'Wells Fargo'!$G:$G,'Cash Flow'!$A5,'Wells Fargo'!$A:$A,J$1,'Wells Fargo'!$B:$B,"&lt;="&amp;'Cash Flow'!J$3,'Wells Fargo'!$B:$B,"&gt;"&amp;'Cash Flow'!I$3)</f>
        <v>0</v>
      </c>
      <c r="K5" s="188">
        <f>SUMIFS('Wells Fargo'!$F:$F,'Wells Fargo'!$G:$G,'Cash Flow'!$A5,'Wells Fargo'!$A:$A,K$1,'Wells Fargo'!$B:$B,"&lt;="&amp;'Cash Flow'!K$3,'Wells Fargo'!$B:$B,"&gt;"&amp;'Cash Flow'!J$3)</f>
        <v>0</v>
      </c>
      <c r="L5" s="189">
        <f>SUMIFS('Wells Fargo'!$F:$F,'Wells Fargo'!$G:$G,'Cash Flow'!$A5,'Wells Fargo'!$A:$A,L$1,'Wells Fargo'!$B:$B,"&lt;="&amp;'Cash Flow'!L$3)</f>
        <v>0</v>
      </c>
      <c r="M5" s="188">
        <f>SUMIFS('Wells Fargo'!$F:$F,'Wells Fargo'!$G:$G,'Cash Flow'!$A5,'Wells Fargo'!$A:$A,M$1,'Wells Fargo'!$B:$B,"&lt;="&amp;'Cash Flow'!M$3,'Wells Fargo'!$B:$B,"&gt;"&amp;'Cash Flow'!L$3)</f>
        <v>0</v>
      </c>
      <c r="N5" s="188">
        <f>SUMIFS('Wells Fargo'!$F:$F,'Wells Fargo'!$G:$G,'Cash Flow'!$A5,'Wells Fargo'!$A:$A,N$1,'Wells Fargo'!$B:$B,"&lt;="&amp;'Cash Flow'!N$3,'Wells Fargo'!$B:$B,"&gt;"&amp;'Cash Flow'!M$3)</f>
        <v>0</v>
      </c>
      <c r="O5" s="188">
        <f>SUMIFS('Wells Fargo'!$F:$F,'Wells Fargo'!$G:$G,'Cash Flow'!$A5,'Wells Fargo'!$A:$A,O$1,'Wells Fargo'!$B:$B,"&lt;="&amp;'Cash Flow'!O$3,'Wells Fargo'!$B:$B,"&gt;"&amp;'Cash Flow'!N$3)</f>
        <v>0</v>
      </c>
      <c r="P5" s="188">
        <f>SUMIFS('Wells Fargo'!$F:$F,'Wells Fargo'!$G:$G,'Cash Flow'!$A5,'Wells Fargo'!$A:$A,P$1,'Wells Fargo'!$B:$B,"&lt;="&amp;'Cash Flow'!P$3,'Wells Fargo'!$B:$B,"&gt;"&amp;'Cash Flow'!O$3)</f>
        <v>0</v>
      </c>
      <c r="Q5" s="189">
        <f>SUMIFS('Wells Fargo'!$F:$F,'Wells Fargo'!$G:$G,'Cash Flow'!$A5,'Wells Fargo'!$A:$A,Q$1,'Wells Fargo'!$B:$B,"&lt;="&amp;'Cash Flow'!Q$3)</f>
        <v>0</v>
      </c>
      <c r="R5" s="188">
        <f>SUMIFS('Wells Fargo'!$F:$F,'Wells Fargo'!$G:$G,'Cash Flow'!$A5,'Wells Fargo'!$A:$A,R$1,'Wells Fargo'!$B:$B,"&lt;="&amp;'Cash Flow'!R$3,'Wells Fargo'!$B:$B,"&gt;"&amp;'Cash Flow'!Q$3)</f>
        <v>0</v>
      </c>
      <c r="S5" s="188">
        <f>SUMIFS('Wells Fargo'!$F:$F,'Wells Fargo'!$G:$G,'Cash Flow'!$A5,'Wells Fargo'!$A:$A,S$1,'Wells Fargo'!$B:$B,"&lt;="&amp;'Cash Flow'!S$3,'Wells Fargo'!$B:$B,"&gt;"&amp;'Cash Flow'!R$3)</f>
        <v>0</v>
      </c>
      <c r="T5" s="188">
        <f>SUMIFS('Wells Fargo'!$F:$F,'Wells Fargo'!$G:$G,'Cash Flow'!$A5,'Wells Fargo'!$A:$A,T$1,'Wells Fargo'!$B:$B,"&lt;="&amp;'Cash Flow'!T$3,'Wells Fargo'!$B:$B,"&gt;"&amp;'Cash Flow'!S$3)</f>
        <v>0</v>
      </c>
      <c r="U5" s="188">
        <f>SUMIFS('Wells Fargo'!$F:$F,'Wells Fargo'!$G:$G,'Cash Flow'!$A5,'Wells Fargo'!$A:$A,U$1,'Wells Fargo'!$B:$B,"&lt;="&amp;'Cash Flow'!U$3,'Wells Fargo'!$B:$B,"&gt;"&amp;'Cash Flow'!T$3)</f>
        <v>0</v>
      </c>
      <c r="V5" s="189">
        <f>SUMIFS('Wells Fargo'!$F:$F,'Wells Fargo'!$G:$G,'Cash Flow'!$A5,'Wells Fargo'!$A:$A,V$1,'Wells Fargo'!$B:$B,"&lt;="&amp;'Cash Flow'!V$3)</f>
        <v>0</v>
      </c>
      <c r="W5" s="188">
        <f>SUMIFS('Wells Fargo'!$F:$F,'Wells Fargo'!$G:$G,'Cash Flow'!$A5,'Wells Fargo'!$A:$A,W$1,'Wells Fargo'!$B:$B,"&lt;="&amp;'Cash Flow'!W$3,'Wells Fargo'!$B:$B,"&gt;"&amp;'Cash Flow'!V$3)</f>
        <v>0</v>
      </c>
      <c r="X5" s="188">
        <f>SUMIFS('Wells Fargo'!$F:$F,'Wells Fargo'!$G:$G,'Cash Flow'!$A5,'Wells Fargo'!$A:$A,X$1,'Wells Fargo'!$B:$B,"&lt;="&amp;'Cash Flow'!X$3,'Wells Fargo'!$B:$B,"&gt;"&amp;'Cash Flow'!W$3)</f>
        <v>0</v>
      </c>
      <c r="Y5" s="188">
        <f>SUMIFS('Wells Fargo'!$F:$F,'Wells Fargo'!$G:$G,'Cash Flow'!$A5,'Wells Fargo'!$A:$A,Y$1,'Wells Fargo'!$B:$B,"&lt;="&amp;'Cash Flow'!Y$3,'Wells Fargo'!$B:$B,"&gt;"&amp;'Cash Flow'!X$3)</f>
        <v>0</v>
      </c>
      <c r="Z5" s="188">
        <f>SUMIFS('Wells Fargo'!$F:$F,'Wells Fargo'!$G:$G,'Cash Flow'!$A5,'Wells Fargo'!$A:$A,Z$1,'Wells Fargo'!$B:$B,"&lt;="&amp;'Cash Flow'!Z$3,'Wells Fargo'!$B:$B,"&gt;"&amp;'Cash Flow'!Y$3)</f>
        <v>0</v>
      </c>
      <c r="AA5" s="189">
        <f>SUMIFS('Wells Fargo'!$F:$F,'Wells Fargo'!$G:$G,'Cash Flow'!$A5,'Wells Fargo'!$A:$A,AA$1,'Wells Fargo'!$B:$B,"&lt;="&amp;'Cash Flow'!AA$3)</f>
        <v>0</v>
      </c>
      <c r="AB5" s="188">
        <f>SUMIFS('Wells Fargo'!$F:$F,'Wells Fargo'!$G:$G,'Cash Flow'!$A5,'Wells Fargo'!$A:$A,AB$1,'Wells Fargo'!$B:$B,"&lt;="&amp;'Cash Flow'!AB$3,'Wells Fargo'!$B:$B,"&gt;"&amp;'Cash Flow'!AA$3)</f>
        <v>0</v>
      </c>
      <c r="AC5" s="188">
        <f>SUMIFS('Wells Fargo'!$F:$F,'Wells Fargo'!$G:$G,'Cash Flow'!$A5,'Wells Fargo'!$A:$A,AC$1,'Wells Fargo'!$B:$B,"&lt;="&amp;'Cash Flow'!AC$3,'Wells Fargo'!$B:$B,"&gt;"&amp;'Cash Flow'!AB$3)</f>
        <v>0</v>
      </c>
      <c r="AD5" s="188">
        <f>SUMIFS('Wells Fargo'!$F:$F,'Wells Fargo'!$G:$G,'Cash Flow'!$A5,'Wells Fargo'!$A:$A,AD$1,'Wells Fargo'!$B:$B,"&lt;="&amp;'Cash Flow'!AD$3,'Wells Fargo'!$B:$B,"&gt;"&amp;'Cash Flow'!AC$3)</f>
        <v>0</v>
      </c>
      <c r="AE5" s="188">
        <f>SUMIFS('Wells Fargo'!$F:$F,'Wells Fargo'!$G:$G,'Cash Flow'!$A5,'Wells Fargo'!$A:$A,AE$1,'Wells Fargo'!$B:$B,"&lt;="&amp;'Cash Flow'!AE$3,'Wells Fargo'!$B:$B,"&gt;"&amp;'Cash Flow'!AD$3)</f>
        <v>0</v>
      </c>
      <c r="AF5" s="189">
        <f>SUMIFS('Wells Fargo'!$F:$F,'Wells Fargo'!$G:$G,'Cash Flow'!$A5,'Wells Fargo'!$A:$A,AF$1,'Wells Fargo'!$B:$B,"&lt;="&amp;'Cash Flow'!AF$3)</f>
        <v>0</v>
      </c>
      <c r="AG5" s="188">
        <f>SUMIFS('Wells Fargo'!$F:$F,'Wells Fargo'!$G:$G,'Cash Flow'!$A5,'Wells Fargo'!$A:$A,AG$1,'Wells Fargo'!$B:$B,"&lt;="&amp;'Cash Flow'!AG$3,'Wells Fargo'!$B:$B,"&gt;"&amp;'Cash Flow'!AF$3)</f>
        <v>0</v>
      </c>
      <c r="AH5" s="188">
        <f>SUMIFS('Wells Fargo'!$F:$F,'Wells Fargo'!$G:$G,'Cash Flow'!$A5,'Wells Fargo'!$A:$A,AH$1,'Wells Fargo'!$B:$B,"&lt;="&amp;'Cash Flow'!AH$3,'Wells Fargo'!$B:$B,"&gt;"&amp;'Cash Flow'!AG$3)</f>
        <v>-500</v>
      </c>
      <c r="AI5" s="188">
        <f>SUMIFS('Wells Fargo'!$F:$F,'Wells Fargo'!$G:$G,'Cash Flow'!$A5,'Wells Fargo'!$A:$A,AI$1,'Wells Fargo'!$B:$B,"&lt;="&amp;'Cash Flow'!AI$3,'Wells Fargo'!$B:$B,"&gt;"&amp;'Cash Flow'!AH$3)</f>
        <v>0</v>
      </c>
      <c r="AJ5" s="188">
        <f>SUMIFS('Wells Fargo'!$F:$F,'Wells Fargo'!$G:$G,'Cash Flow'!$A5,'Wells Fargo'!$A:$A,AJ$1,'Wells Fargo'!$B:$B,"&lt;="&amp;'Cash Flow'!AJ$3,'Wells Fargo'!$B:$B,"&gt;"&amp;'Cash Flow'!AI$3)</f>
        <v>0</v>
      </c>
      <c r="AK5" s="189">
        <f>SUMIFS('Wells Fargo'!$F:$F,'Wells Fargo'!$G:$G,'Cash Flow'!$A5,'Wells Fargo'!$A:$A,AK$1,'Wells Fargo'!$B:$B,"&lt;="&amp;'Cash Flow'!AK$3)</f>
        <v>0</v>
      </c>
      <c r="AL5" s="188">
        <f>SUMIFS('Wells Fargo'!$F:$F,'Wells Fargo'!$G:$G,'Cash Flow'!$A5,'Wells Fargo'!$A:$A,AL$1,'Wells Fargo'!$B:$B,"&lt;="&amp;'Cash Flow'!AL$3,'Wells Fargo'!$B:$B,"&gt;"&amp;'Cash Flow'!AK$3)</f>
        <v>0</v>
      </c>
      <c r="AM5" s="188">
        <f>SUMIFS('Wells Fargo'!$F:$F,'Wells Fargo'!$G:$G,'Cash Flow'!$A5,'Wells Fargo'!$A:$A,AM$1,'Wells Fargo'!$B:$B,"&lt;="&amp;'Cash Flow'!AM$3,'Wells Fargo'!$B:$B,"&gt;"&amp;'Cash Flow'!AL$3)</f>
        <v>0</v>
      </c>
      <c r="AN5" s="188">
        <f>SUMIFS('Wells Fargo'!$F:$F,'Wells Fargo'!$G:$G,'Cash Flow'!$A5,'Wells Fargo'!$A:$A,AN$1,'Wells Fargo'!$B:$B,"&lt;="&amp;'Cash Flow'!AN$3,'Wells Fargo'!$B:$B,"&gt;"&amp;'Cash Flow'!AM$3)</f>
        <v>0</v>
      </c>
      <c r="AO5" s="188">
        <f>SUMIFS('Wells Fargo'!$F:$F,'Wells Fargo'!$G:$G,'Cash Flow'!$A5,'Wells Fargo'!$A:$A,AO$1,'Wells Fargo'!$B:$B,"&lt;="&amp;'Cash Flow'!AO$3,'Wells Fargo'!$B:$B,"&gt;"&amp;'Cash Flow'!AN$3)</f>
        <v>0</v>
      </c>
      <c r="AP5" s="189">
        <f>SUMIFS('Wells Fargo'!$F:$F,'Wells Fargo'!$G:$G,'Cash Flow'!$A5,'Wells Fargo'!$A:$A,AP$1,'Wells Fargo'!$B:$B,"&lt;="&amp;'Cash Flow'!AP$3)</f>
        <v>0</v>
      </c>
      <c r="AQ5" s="188">
        <f>SUMIFS('Wells Fargo'!$F:$F,'Wells Fargo'!$G:$G,'Cash Flow'!$A5,'Wells Fargo'!$A:$A,AQ$1,'Wells Fargo'!$B:$B,"&lt;="&amp;'Cash Flow'!AQ$3,'Wells Fargo'!$B:$B,"&gt;"&amp;'Cash Flow'!AP$3)</f>
        <v>0</v>
      </c>
      <c r="AR5" s="188">
        <f>SUMIFS('Wells Fargo'!$F:$F,'Wells Fargo'!$G:$G,'Cash Flow'!$A5,'Wells Fargo'!$A:$A,AR$1,'Wells Fargo'!$B:$B,"&lt;="&amp;'Cash Flow'!AR$3,'Wells Fargo'!$B:$B,"&gt;"&amp;'Cash Flow'!AQ$3)</f>
        <v>0</v>
      </c>
      <c r="AS5" s="188">
        <f>SUMIFS('Wells Fargo'!$F:$F,'Wells Fargo'!$G:$G,'Cash Flow'!$A5,'Wells Fargo'!$A:$A,AS$1,'Wells Fargo'!$B:$B,"&lt;="&amp;'Cash Flow'!AS$3,'Wells Fargo'!$B:$B,"&gt;"&amp;'Cash Flow'!AR$3)</f>
        <v>0</v>
      </c>
      <c r="AT5" s="188">
        <f>SUMIFS('Wells Fargo'!$F:$F,'Wells Fargo'!$G:$G,'Cash Flow'!$A5,'Wells Fargo'!$A:$A,AT$1,'Wells Fargo'!$B:$B,"&lt;="&amp;'Cash Flow'!AT$3,'Wells Fargo'!$B:$B,"&gt;"&amp;'Cash Flow'!AS$3)</f>
        <v>0</v>
      </c>
      <c r="AU5" s="189">
        <f>SUMIFS('Wells Fargo'!$F:$F,'Wells Fargo'!$G:$G,'Cash Flow'!$A5,'Wells Fargo'!$A:$A,AU$1,'Wells Fargo'!$B:$B,"&lt;="&amp;'Cash Flow'!AU$3)</f>
        <v>0</v>
      </c>
      <c r="AV5" s="188">
        <f>SUMIFS('Wells Fargo'!$F:$F,'Wells Fargo'!$G:$G,'Cash Flow'!$A5,'Wells Fargo'!$A:$A,AV$1,'Wells Fargo'!$B:$B,"&lt;="&amp;'Cash Flow'!AV$3,'Wells Fargo'!$B:$B,"&gt;"&amp;'Cash Flow'!AU$3)</f>
        <v>0</v>
      </c>
      <c r="AW5" s="188">
        <f>SUMIFS('Wells Fargo'!$F:$F,'Wells Fargo'!$G:$G,'Cash Flow'!$A5,'Wells Fargo'!$A:$A,AW$1,'Wells Fargo'!$B:$B,"&lt;="&amp;'Cash Flow'!AW$3,'Wells Fargo'!$B:$B,"&gt;"&amp;'Cash Flow'!AV$3)</f>
        <v>0</v>
      </c>
      <c r="AX5" s="188">
        <f>SUMIFS('Wells Fargo'!$F:$F,'Wells Fargo'!$G:$G,'Cash Flow'!$A5,'Wells Fargo'!$A:$A,AX$1,'Wells Fargo'!$B:$B,"&lt;="&amp;'Cash Flow'!AX$3,'Wells Fargo'!$B:$B,"&gt;"&amp;'Cash Flow'!AW$3)</f>
        <v>0</v>
      </c>
      <c r="AY5" s="188">
        <f>SUMIFS('Wells Fargo'!$F:$F,'Wells Fargo'!$G:$G,'Cash Flow'!$A5,'Wells Fargo'!$A:$A,AY$1,'Wells Fargo'!$B:$B,"&lt;="&amp;'Cash Flow'!AY$3,'Wells Fargo'!$B:$B,"&gt;"&amp;'Cash Flow'!AX$3)</f>
        <v>0</v>
      </c>
      <c r="AZ5" s="189">
        <f>SUMIFS('Wells Fargo'!$F:$F,'Wells Fargo'!$G:$G,'Cash Flow'!$A5,'Wells Fargo'!$A:$A,AZ$1,'Wells Fargo'!$B:$B,"&lt;="&amp;'Cash Flow'!AZ$3)</f>
        <v>0</v>
      </c>
      <c r="BA5" s="188">
        <f>SUMIFS('Wells Fargo'!$F:$F,'Wells Fargo'!$G:$G,'Cash Flow'!$A5,'Wells Fargo'!$A:$A,BA$1,'Wells Fargo'!$B:$B,"&lt;="&amp;'Cash Flow'!BA$3,'Wells Fargo'!$B:$B,"&gt;"&amp;'Cash Flow'!AZ$3)</f>
        <v>0</v>
      </c>
      <c r="BB5" s="188">
        <f>SUMIFS('Wells Fargo'!$F:$F,'Wells Fargo'!$G:$G,'Cash Flow'!$A5,'Wells Fargo'!$A:$A,BB$1,'Wells Fargo'!$B:$B,"&lt;="&amp;'Cash Flow'!BB$3,'Wells Fargo'!$B:$B,"&gt;"&amp;'Cash Flow'!BA$3)</f>
        <v>0</v>
      </c>
      <c r="BC5" s="188">
        <f>SUMIFS('Wells Fargo'!$F:$F,'Wells Fargo'!$G:$G,'Cash Flow'!$A5,'Wells Fargo'!$A:$A,BC$1,'Wells Fargo'!$B:$B,"&lt;="&amp;'Cash Flow'!BC$3,'Wells Fargo'!$B:$B,"&gt;"&amp;'Cash Flow'!BB$3)</f>
        <v>0</v>
      </c>
      <c r="BD5" s="188">
        <f>SUMIFS('Wells Fargo'!$F:$F,'Wells Fargo'!$G:$G,'Cash Flow'!$A5,'Wells Fargo'!$A:$A,BD$1,'Wells Fargo'!$B:$B,"&lt;="&amp;'Cash Flow'!BD$3,'Wells Fargo'!$B:$B,"&gt;"&amp;'Cash Flow'!BC$3)</f>
        <v>0</v>
      </c>
      <c r="BE5" s="189">
        <f>SUMIFS('Wells Fargo'!$F:$F,'Wells Fargo'!$G:$G,'Cash Flow'!$A5,'Wells Fargo'!$A:$A,BE$1,'Wells Fargo'!$B:$B,"&lt;="&amp;'Cash Flow'!BE$3)</f>
        <v>0</v>
      </c>
      <c r="BF5" s="188">
        <f>SUMIFS('Wells Fargo'!$F:$F,'Wells Fargo'!$G:$G,'Cash Flow'!$A5,'Wells Fargo'!$A:$A,BF$1,'Wells Fargo'!$B:$B,"&lt;="&amp;'Cash Flow'!BF$3,'Wells Fargo'!$B:$B,"&gt;"&amp;'Cash Flow'!BE$3)</f>
        <v>0</v>
      </c>
      <c r="BG5" s="188">
        <f>SUMIFS('Wells Fargo'!$F:$F,'Wells Fargo'!$G:$G,'Cash Flow'!$A5,'Wells Fargo'!$A:$A,BG$1,'Wells Fargo'!$B:$B,"&lt;="&amp;'Cash Flow'!BG$3,'Wells Fargo'!$B:$B,"&gt;"&amp;'Cash Flow'!BF$3)</f>
        <v>0</v>
      </c>
      <c r="BH5" s="188">
        <f>SUMIFS('Wells Fargo'!$F:$F,'Wells Fargo'!$G:$G,'Cash Flow'!$A5,'Wells Fargo'!$A:$A,BH$1,'Wells Fargo'!$B:$B,"&lt;="&amp;'Cash Flow'!BH$3,'Wells Fargo'!$B:$B,"&gt;"&amp;'Cash Flow'!BG$3)</f>
        <v>0</v>
      </c>
      <c r="BI5" s="188">
        <f>SUMIFS('Wells Fargo'!$F:$F,'Wells Fargo'!$G:$G,'Cash Flow'!$A5,'Wells Fargo'!$A:$A,BI$1,'Wells Fargo'!$B:$B,"&lt;="&amp;'Cash Flow'!BI$3,'Wells Fargo'!$B:$B,"&gt;"&amp;'Cash Flow'!BH$3)</f>
        <v>0</v>
      </c>
    </row>
    <row r="6" spans="1:61" ht="12.75" x14ac:dyDescent="0.2">
      <c r="A6" t="str">
        <v xml:space="preserve">3070 GPU </v>
      </c>
      <c r="B6" s="87">
        <f t="shared" si="0"/>
        <v>500</v>
      </c>
      <c r="C6" s="189">
        <f>SUMIFS('Wells Fargo'!$F:$F,'Wells Fargo'!$G:$G,'Cash Flow'!$A6,'Wells Fargo'!$A:$A,C$1,'Wells Fargo'!$B:$B,"&lt;="&amp;'Cash Flow'!C$3)</f>
        <v>0</v>
      </c>
      <c r="D6" s="188">
        <f>SUMIFS('Wells Fargo'!$F:$F,'Wells Fargo'!$G:$G,'Cash Flow'!$A6,'Wells Fargo'!$A:$A,D$1,'Wells Fargo'!$B:$B,"&lt;="&amp;'Cash Flow'!D$3,'Wells Fargo'!$B:$B,"&gt;"&amp;'Cash Flow'!C$3)</f>
        <v>0</v>
      </c>
      <c r="E6" s="188">
        <f>SUMIFS('Wells Fargo'!$F:$F,'Wells Fargo'!$G:$G,'Cash Flow'!$A6,'Wells Fargo'!$A:$A,E$1,'Wells Fargo'!$B:$B,"&lt;="&amp;'Cash Flow'!E$3,'Wells Fargo'!$B:$B,"&gt;"&amp;'Cash Flow'!D$3)</f>
        <v>0</v>
      </c>
      <c r="F6" s="188">
        <f>SUMIFS('Wells Fargo'!$F:$F,'Wells Fargo'!$G:$G,'Cash Flow'!$A6,'Wells Fargo'!$A:$A,F$1,'Wells Fargo'!$B:$B,"&lt;="&amp;'Cash Flow'!F$3,'Wells Fargo'!$B:$B,"&gt;"&amp;'Cash Flow'!E$3)</f>
        <v>0</v>
      </c>
      <c r="G6" s="188">
        <f>SUMIFS('Wells Fargo'!$F:$F,'Wells Fargo'!$G:$G,'Cash Flow'!$A6,'Wells Fargo'!$A:$A,G$1,'Wells Fargo'!$B:$B,"&lt;="&amp;'Cash Flow'!G$3,'Wells Fargo'!$B:$B,"&gt;"&amp;'Cash Flow'!F$3)</f>
        <v>0</v>
      </c>
      <c r="H6" s="189">
        <f>SUMIFS('Wells Fargo'!$F:$F,'Wells Fargo'!$G:$G,'Cash Flow'!$A6,'Wells Fargo'!$A:$A,H$1,'Wells Fargo'!$B:$B,"&lt;="&amp;'Cash Flow'!H$3)</f>
        <v>0</v>
      </c>
      <c r="I6" s="188">
        <f>SUMIFS('Wells Fargo'!$F:$F,'Wells Fargo'!$G:$G,'Cash Flow'!$A6,'Wells Fargo'!$A:$A,I$1,'Wells Fargo'!$B:$B,"&lt;="&amp;'Cash Flow'!I$3,'Wells Fargo'!$B:$B,"&gt;"&amp;'Cash Flow'!H$3)</f>
        <v>0</v>
      </c>
      <c r="J6" s="188">
        <f>SUMIFS('Wells Fargo'!$F:$F,'Wells Fargo'!$G:$G,'Cash Flow'!$A6,'Wells Fargo'!$A:$A,J$1,'Wells Fargo'!$B:$B,"&lt;="&amp;'Cash Flow'!J$3,'Wells Fargo'!$B:$B,"&gt;"&amp;'Cash Flow'!I$3)</f>
        <v>0</v>
      </c>
      <c r="K6" s="188">
        <f>SUMIFS('Wells Fargo'!$F:$F,'Wells Fargo'!$G:$G,'Cash Flow'!$A6,'Wells Fargo'!$A:$A,K$1,'Wells Fargo'!$B:$B,"&lt;="&amp;'Cash Flow'!K$3,'Wells Fargo'!$B:$B,"&gt;"&amp;'Cash Flow'!J$3)</f>
        <v>0</v>
      </c>
      <c r="L6" s="189">
        <f>SUMIFS('Wells Fargo'!$F:$F,'Wells Fargo'!$G:$G,'Cash Flow'!$A6,'Wells Fargo'!$A:$A,L$1,'Wells Fargo'!$B:$B,"&lt;="&amp;'Cash Flow'!L$3)</f>
        <v>0</v>
      </c>
      <c r="M6" s="188">
        <f>SUMIFS('Wells Fargo'!$F:$F,'Wells Fargo'!$G:$G,'Cash Flow'!$A6,'Wells Fargo'!$A:$A,M$1,'Wells Fargo'!$B:$B,"&lt;="&amp;'Cash Flow'!M$3,'Wells Fargo'!$B:$B,"&gt;"&amp;'Cash Flow'!L$3)</f>
        <v>0</v>
      </c>
      <c r="N6" s="188">
        <f>SUMIFS('Wells Fargo'!$F:$F,'Wells Fargo'!$G:$G,'Cash Flow'!$A6,'Wells Fargo'!$A:$A,N$1,'Wells Fargo'!$B:$B,"&lt;="&amp;'Cash Flow'!N$3,'Wells Fargo'!$B:$B,"&gt;"&amp;'Cash Flow'!M$3)</f>
        <v>0</v>
      </c>
      <c r="O6" s="188">
        <f>SUMIFS('Wells Fargo'!$F:$F,'Wells Fargo'!$G:$G,'Cash Flow'!$A6,'Wells Fargo'!$A:$A,O$1,'Wells Fargo'!$B:$B,"&lt;="&amp;'Cash Flow'!O$3,'Wells Fargo'!$B:$B,"&gt;"&amp;'Cash Flow'!N$3)</f>
        <v>0</v>
      </c>
      <c r="P6" s="188">
        <f>SUMIFS('Wells Fargo'!$F:$F,'Wells Fargo'!$G:$G,'Cash Flow'!$A6,'Wells Fargo'!$A:$A,P$1,'Wells Fargo'!$B:$B,"&lt;="&amp;'Cash Flow'!P$3,'Wells Fargo'!$B:$B,"&gt;"&amp;'Cash Flow'!O$3)</f>
        <v>0</v>
      </c>
      <c r="Q6" s="189">
        <f>SUMIFS('Wells Fargo'!$F:$F,'Wells Fargo'!$G:$G,'Cash Flow'!$A6,'Wells Fargo'!$A:$A,Q$1,'Wells Fargo'!$B:$B,"&lt;="&amp;'Cash Flow'!Q$3)</f>
        <v>0</v>
      </c>
      <c r="R6" s="188">
        <f>SUMIFS('Wells Fargo'!$F:$F,'Wells Fargo'!$G:$G,'Cash Flow'!$A6,'Wells Fargo'!$A:$A,R$1,'Wells Fargo'!$B:$B,"&lt;="&amp;'Cash Flow'!R$3,'Wells Fargo'!$B:$B,"&gt;"&amp;'Cash Flow'!Q$3)</f>
        <v>0</v>
      </c>
      <c r="S6" s="188">
        <f>SUMIFS('Wells Fargo'!$F:$F,'Wells Fargo'!$G:$G,'Cash Flow'!$A6,'Wells Fargo'!$A:$A,S$1,'Wells Fargo'!$B:$B,"&lt;="&amp;'Cash Flow'!S$3,'Wells Fargo'!$B:$B,"&gt;"&amp;'Cash Flow'!R$3)</f>
        <v>0</v>
      </c>
      <c r="T6" s="188">
        <f>SUMIFS('Wells Fargo'!$F:$F,'Wells Fargo'!$G:$G,'Cash Flow'!$A6,'Wells Fargo'!$A:$A,T$1,'Wells Fargo'!$B:$B,"&lt;="&amp;'Cash Flow'!T$3,'Wells Fargo'!$B:$B,"&gt;"&amp;'Cash Flow'!S$3)</f>
        <v>0</v>
      </c>
      <c r="U6" s="188">
        <f>SUMIFS('Wells Fargo'!$F:$F,'Wells Fargo'!$G:$G,'Cash Flow'!$A6,'Wells Fargo'!$A:$A,U$1,'Wells Fargo'!$B:$B,"&lt;="&amp;'Cash Flow'!U$3,'Wells Fargo'!$B:$B,"&gt;"&amp;'Cash Flow'!T$3)</f>
        <v>0</v>
      </c>
      <c r="V6" s="189">
        <f>SUMIFS('Wells Fargo'!$F:$F,'Wells Fargo'!$G:$G,'Cash Flow'!$A6,'Wells Fargo'!$A:$A,V$1,'Wells Fargo'!$B:$B,"&lt;="&amp;'Cash Flow'!V$3)</f>
        <v>0</v>
      </c>
      <c r="W6" s="188">
        <f>SUMIFS('Wells Fargo'!$F:$F,'Wells Fargo'!$G:$G,'Cash Flow'!$A6,'Wells Fargo'!$A:$A,W$1,'Wells Fargo'!$B:$B,"&lt;="&amp;'Cash Flow'!W$3,'Wells Fargo'!$B:$B,"&gt;"&amp;'Cash Flow'!V$3)</f>
        <v>0</v>
      </c>
      <c r="X6" s="188">
        <f>SUMIFS('Wells Fargo'!$F:$F,'Wells Fargo'!$G:$G,'Cash Flow'!$A6,'Wells Fargo'!$A:$A,X$1,'Wells Fargo'!$B:$B,"&lt;="&amp;'Cash Flow'!X$3,'Wells Fargo'!$B:$B,"&gt;"&amp;'Cash Flow'!W$3)</f>
        <v>0</v>
      </c>
      <c r="Y6" s="188">
        <f>SUMIFS('Wells Fargo'!$F:$F,'Wells Fargo'!$G:$G,'Cash Flow'!$A6,'Wells Fargo'!$A:$A,Y$1,'Wells Fargo'!$B:$B,"&lt;="&amp;'Cash Flow'!Y$3,'Wells Fargo'!$B:$B,"&gt;"&amp;'Cash Flow'!X$3)</f>
        <v>0</v>
      </c>
      <c r="Z6" s="188">
        <f>SUMIFS('Wells Fargo'!$F:$F,'Wells Fargo'!$G:$G,'Cash Flow'!$A6,'Wells Fargo'!$A:$A,Z$1,'Wells Fargo'!$B:$B,"&lt;="&amp;'Cash Flow'!Z$3,'Wells Fargo'!$B:$B,"&gt;"&amp;'Cash Flow'!Y$3)</f>
        <v>0</v>
      </c>
      <c r="AA6" s="189">
        <f>SUMIFS('Wells Fargo'!$F:$F,'Wells Fargo'!$G:$G,'Cash Flow'!$A6,'Wells Fargo'!$A:$A,AA$1,'Wells Fargo'!$B:$B,"&lt;="&amp;'Cash Flow'!AA$3)</f>
        <v>0</v>
      </c>
      <c r="AB6" s="188">
        <f>SUMIFS('Wells Fargo'!$F:$F,'Wells Fargo'!$G:$G,'Cash Flow'!$A6,'Wells Fargo'!$A:$A,AB$1,'Wells Fargo'!$B:$B,"&lt;="&amp;'Cash Flow'!AB$3,'Wells Fargo'!$B:$B,"&gt;"&amp;'Cash Flow'!AA$3)</f>
        <v>0</v>
      </c>
      <c r="AC6" s="188">
        <f>SUMIFS('Wells Fargo'!$F:$F,'Wells Fargo'!$G:$G,'Cash Flow'!$A6,'Wells Fargo'!$A:$A,AC$1,'Wells Fargo'!$B:$B,"&lt;="&amp;'Cash Flow'!AC$3,'Wells Fargo'!$B:$B,"&gt;"&amp;'Cash Flow'!AB$3)</f>
        <v>0</v>
      </c>
      <c r="AD6" s="188">
        <f>SUMIFS('Wells Fargo'!$F:$F,'Wells Fargo'!$G:$G,'Cash Flow'!$A6,'Wells Fargo'!$A:$A,AD$1,'Wells Fargo'!$B:$B,"&lt;="&amp;'Cash Flow'!AD$3,'Wells Fargo'!$B:$B,"&gt;"&amp;'Cash Flow'!AC$3)</f>
        <v>0</v>
      </c>
      <c r="AE6" s="188">
        <f>SUMIFS('Wells Fargo'!$F:$F,'Wells Fargo'!$G:$G,'Cash Flow'!$A6,'Wells Fargo'!$A:$A,AE$1,'Wells Fargo'!$B:$B,"&lt;="&amp;'Cash Flow'!AE$3,'Wells Fargo'!$B:$B,"&gt;"&amp;'Cash Flow'!AD$3)</f>
        <v>0</v>
      </c>
      <c r="AF6" s="189">
        <f>SUMIFS('Wells Fargo'!$F:$F,'Wells Fargo'!$G:$G,'Cash Flow'!$A6,'Wells Fargo'!$A:$A,AF$1,'Wells Fargo'!$B:$B,"&lt;="&amp;'Cash Flow'!AF$3)</f>
        <v>0</v>
      </c>
      <c r="AG6" s="188">
        <f>SUMIFS('Wells Fargo'!$F:$F,'Wells Fargo'!$G:$G,'Cash Flow'!$A6,'Wells Fargo'!$A:$A,AG$1,'Wells Fargo'!$B:$B,"&lt;="&amp;'Cash Flow'!AG$3,'Wells Fargo'!$B:$B,"&gt;"&amp;'Cash Flow'!AF$3)</f>
        <v>0</v>
      </c>
      <c r="AH6" s="188">
        <f>SUMIFS('Wells Fargo'!$F:$F,'Wells Fargo'!$G:$G,'Cash Flow'!$A6,'Wells Fargo'!$A:$A,AH$1,'Wells Fargo'!$B:$B,"&lt;="&amp;'Cash Flow'!AH$3,'Wells Fargo'!$B:$B,"&gt;"&amp;'Cash Flow'!AG$3)</f>
        <v>500</v>
      </c>
      <c r="AI6" s="188">
        <f>SUMIFS('Wells Fargo'!$F:$F,'Wells Fargo'!$G:$G,'Cash Flow'!$A6,'Wells Fargo'!$A:$A,AI$1,'Wells Fargo'!$B:$B,"&lt;="&amp;'Cash Flow'!AI$3,'Wells Fargo'!$B:$B,"&gt;"&amp;'Cash Flow'!AH$3)</f>
        <v>0</v>
      </c>
      <c r="AJ6" s="188">
        <f>SUMIFS('Wells Fargo'!$F:$F,'Wells Fargo'!$G:$G,'Cash Flow'!$A6,'Wells Fargo'!$A:$A,AJ$1,'Wells Fargo'!$B:$B,"&lt;="&amp;'Cash Flow'!AJ$3,'Wells Fargo'!$B:$B,"&gt;"&amp;'Cash Flow'!AI$3)</f>
        <v>0</v>
      </c>
      <c r="AK6" s="189">
        <f>SUMIFS('Wells Fargo'!$F:$F,'Wells Fargo'!$G:$G,'Cash Flow'!$A6,'Wells Fargo'!$A:$A,AK$1,'Wells Fargo'!$B:$B,"&lt;="&amp;'Cash Flow'!AK$3)</f>
        <v>0</v>
      </c>
      <c r="AL6" s="188">
        <f>SUMIFS('Wells Fargo'!$F:$F,'Wells Fargo'!$G:$G,'Cash Flow'!$A6,'Wells Fargo'!$A:$A,AL$1,'Wells Fargo'!$B:$B,"&lt;="&amp;'Cash Flow'!AL$3,'Wells Fargo'!$B:$B,"&gt;"&amp;'Cash Flow'!AK$3)</f>
        <v>0</v>
      </c>
      <c r="AM6" s="188">
        <f>SUMIFS('Wells Fargo'!$F:$F,'Wells Fargo'!$G:$G,'Cash Flow'!$A6,'Wells Fargo'!$A:$A,AM$1,'Wells Fargo'!$B:$B,"&lt;="&amp;'Cash Flow'!AM$3,'Wells Fargo'!$B:$B,"&gt;"&amp;'Cash Flow'!AL$3)</f>
        <v>0</v>
      </c>
      <c r="AN6" s="188">
        <f>SUMIFS('Wells Fargo'!$F:$F,'Wells Fargo'!$G:$G,'Cash Flow'!$A6,'Wells Fargo'!$A:$A,AN$1,'Wells Fargo'!$B:$B,"&lt;="&amp;'Cash Flow'!AN$3,'Wells Fargo'!$B:$B,"&gt;"&amp;'Cash Flow'!AM$3)</f>
        <v>0</v>
      </c>
      <c r="AO6" s="188">
        <f>SUMIFS('Wells Fargo'!$F:$F,'Wells Fargo'!$G:$G,'Cash Flow'!$A6,'Wells Fargo'!$A:$A,AO$1,'Wells Fargo'!$B:$B,"&lt;="&amp;'Cash Flow'!AO$3,'Wells Fargo'!$B:$B,"&gt;"&amp;'Cash Flow'!AN$3)</f>
        <v>0</v>
      </c>
      <c r="AP6" s="189">
        <f>SUMIFS('Wells Fargo'!$F:$F,'Wells Fargo'!$G:$G,'Cash Flow'!$A6,'Wells Fargo'!$A:$A,AP$1,'Wells Fargo'!$B:$B,"&lt;="&amp;'Cash Flow'!AP$3)</f>
        <v>0</v>
      </c>
      <c r="AQ6" s="188">
        <f>SUMIFS('Wells Fargo'!$F:$F,'Wells Fargo'!$G:$G,'Cash Flow'!$A6,'Wells Fargo'!$A:$A,AQ$1,'Wells Fargo'!$B:$B,"&lt;="&amp;'Cash Flow'!AQ$3,'Wells Fargo'!$B:$B,"&gt;"&amp;'Cash Flow'!AP$3)</f>
        <v>0</v>
      </c>
      <c r="AR6" s="188">
        <f>SUMIFS('Wells Fargo'!$F:$F,'Wells Fargo'!$G:$G,'Cash Flow'!$A6,'Wells Fargo'!$A:$A,AR$1,'Wells Fargo'!$B:$B,"&lt;="&amp;'Cash Flow'!AR$3,'Wells Fargo'!$B:$B,"&gt;"&amp;'Cash Flow'!AQ$3)</f>
        <v>0</v>
      </c>
      <c r="AS6" s="188">
        <f>SUMIFS('Wells Fargo'!$F:$F,'Wells Fargo'!$G:$G,'Cash Flow'!$A6,'Wells Fargo'!$A:$A,AS$1,'Wells Fargo'!$B:$B,"&lt;="&amp;'Cash Flow'!AS$3,'Wells Fargo'!$B:$B,"&gt;"&amp;'Cash Flow'!AR$3)</f>
        <v>0</v>
      </c>
      <c r="AT6" s="188">
        <f>SUMIFS('Wells Fargo'!$F:$F,'Wells Fargo'!$G:$G,'Cash Flow'!$A6,'Wells Fargo'!$A:$A,AT$1,'Wells Fargo'!$B:$B,"&lt;="&amp;'Cash Flow'!AT$3,'Wells Fargo'!$B:$B,"&gt;"&amp;'Cash Flow'!AS$3)</f>
        <v>0</v>
      </c>
      <c r="AU6" s="189">
        <f>SUMIFS('Wells Fargo'!$F:$F,'Wells Fargo'!$G:$G,'Cash Flow'!$A6,'Wells Fargo'!$A:$A,AU$1,'Wells Fargo'!$B:$B,"&lt;="&amp;'Cash Flow'!AU$3)</f>
        <v>0</v>
      </c>
      <c r="AV6" s="188">
        <f>SUMIFS('Wells Fargo'!$F:$F,'Wells Fargo'!$G:$G,'Cash Flow'!$A6,'Wells Fargo'!$A:$A,AV$1,'Wells Fargo'!$B:$B,"&lt;="&amp;'Cash Flow'!AV$3,'Wells Fargo'!$B:$B,"&gt;"&amp;'Cash Flow'!AU$3)</f>
        <v>0</v>
      </c>
      <c r="AW6" s="188">
        <f>SUMIFS('Wells Fargo'!$F:$F,'Wells Fargo'!$G:$G,'Cash Flow'!$A6,'Wells Fargo'!$A:$A,AW$1,'Wells Fargo'!$B:$B,"&lt;="&amp;'Cash Flow'!AW$3,'Wells Fargo'!$B:$B,"&gt;"&amp;'Cash Flow'!AV$3)</f>
        <v>0</v>
      </c>
      <c r="AX6" s="188">
        <f>SUMIFS('Wells Fargo'!$F:$F,'Wells Fargo'!$G:$G,'Cash Flow'!$A6,'Wells Fargo'!$A:$A,AX$1,'Wells Fargo'!$B:$B,"&lt;="&amp;'Cash Flow'!AX$3,'Wells Fargo'!$B:$B,"&gt;"&amp;'Cash Flow'!AW$3)</f>
        <v>0</v>
      </c>
      <c r="AY6" s="188">
        <f>SUMIFS('Wells Fargo'!$F:$F,'Wells Fargo'!$G:$G,'Cash Flow'!$A6,'Wells Fargo'!$A:$A,AY$1,'Wells Fargo'!$B:$B,"&lt;="&amp;'Cash Flow'!AY$3,'Wells Fargo'!$B:$B,"&gt;"&amp;'Cash Flow'!AX$3)</f>
        <v>0</v>
      </c>
      <c r="AZ6" s="189">
        <f>SUMIFS('Wells Fargo'!$F:$F,'Wells Fargo'!$G:$G,'Cash Flow'!$A6,'Wells Fargo'!$A:$A,AZ$1,'Wells Fargo'!$B:$B,"&lt;="&amp;'Cash Flow'!AZ$3)</f>
        <v>0</v>
      </c>
      <c r="BA6" s="188">
        <f>SUMIFS('Wells Fargo'!$F:$F,'Wells Fargo'!$G:$G,'Cash Flow'!$A6,'Wells Fargo'!$A:$A,BA$1,'Wells Fargo'!$B:$B,"&lt;="&amp;'Cash Flow'!BA$3,'Wells Fargo'!$B:$B,"&gt;"&amp;'Cash Flow'!AZ$3)</f>
        <v>0</v>
      </c>
      <c r="BB6" s="188">
        <f>SUMIFS('Wells Fargo'!$F:$F,'Wells Fargo'!$G:$G,'Cash Flow'!$A6,'Wells Fargo'!$A:$A,BB$1,'Wells Fargo'!$B:$B,"&lt;="&amp;'Cash Flow'!BB$3,'Wells Fargo'!$B:$B,"&gt;"&amp;'Cash Flow'!BA$3)</f>
        <v>0</v>
      </c>
      <c r="BC6" s="188">
        <f>SUMIFS('Wells Fargo'!$F:$F,'Wells Fargo'!$G:$G,'Cash Flow'!$A6,'Wells Fargo'!$A:$A,BC$1,'Wells Fargo'!$B:$B,"&lt;="&amp;'Cash Flow'!BC$3,'Wells Fargo'!$B:$B,"&gt;"&amp;'Cash Flow'!BB$3)</f>
        <v>0</v>
      </c>
      <c r="BD6" s="188">
        <f>SUMIFS('Wells Fargo'!$F:$F,'Wells Fargo'!$G:$G,'Cash Flow'!$A6,'Wells Fargo'!$A:$A,BD$1,'Wells Fargo'!$B:$B,"&lt;="&amp;'Cash Flow'!BD$3,'Wells Fargo'!$B:$B,"&gt;"&amp;'Cash Flow'!BC$3)</f>
        <v>0</v>
      </c>
      <c r="BE6" s="189">
        <f>SUMIFS('Wells Fargo'!$F:$F,'Wells Fargo'!$G:$G,'Cash Flow'!$A6,'Wells Fargo'!$A:$A,BE$1,'Wells Fargo'!$B:$B,"&lt;="&amp;'Cash Flow'!BE$3)</f>
        <v>0</v>
      </c>
      <c r="BF6" s="188">
        <f>SUMIFS('Wells Fargo'!$F:$F,'Wells Fargo'!$G:$G,'Cash Flow'!$A6,'Wells Fargo'!$A:$A,BF$1,'Wells Fargo'!$B:$B,"&lt;="&amp;'Cash Flow'!BF$3,'Wells Fargo'!$B:$B,"&gt;"&amp;'Cash Flow'!BE$3)</f>
        <v>0</v>
      </c>
      <c r="BG6" s="188">
        <f>SUMIFS('Wells Fargo'!$F:$F,'Wells Fargo'!$G:$G,'Cash Flow'!$A6,'Wells Fargo'!$A:$A,BG$1,'Wells Fargo'!$B:$B,"&lt;="&amp;'Cash Flow'!BG$3,'Wells Fargo'!$B:$B,"&gt;"&amp;'Cash Flow'!BF$3)</f>
        <v>0</v>
      </c>
      <c r="BH6" s="188">
        <f>SUMIFS('Wells Fargo'!$F:$F,'Wells Fargo'!$G:$G,'Cash Flow'!$A6,'Wells Fargo'!$A:$A,BH$1,'Wells Fargo'!$B:$B,"&lt;="&amp;'Cash Flow'!BH$3,'Wells Fargo'!$B:$B,"&gt;"&amp;'Cash Flow'!BG$3)</f>
        <v>0</v>
      </c>
      <c r="BI6" s="188">
        <f>SUMIFS('Wells Fargo'!$F:$F,'Wells Fargo'!$G:$G,'Cash Flow'!$A6,'Wells Fargo'!$A:$A,BI$1,'Wells Fargo'!$B:$B,"&lt;="&amp;'Cash Flow'!BI$3,'Wells Fargo'!$B:$B,"&gt;"&amp;'Cash Flow'!BH$3)</f>
        <v>0</v>
      </c>
    </row>
    <row r="7" spans="1:61" ht="12.75" x14ac:dyDescent="0.2">
      <c r="A7" t="str">
        <v>Amar - Electric</v>
      </c>
      <c r="B7" s="87">
        <f t="shared" si="0"/>
        <v>-592.54</v>
      </c>
      <c r="C7" s="189">
        <f>SUMIFS('Wells Fargo'!$F:$F,'Wells Fargo'!$G:$G,'Cash Flow'!$A7,'Wells Fargo'!$A:$A,C$1,'Wells Fargo'!$B:$B,"&lt;="&amp;'Cash Flow'!C$3)</f>
        <v>0</v>
      </c>
      <c r="D7" s="188">
        <f>SUMIFS('Wells Fargo'!$F:$F,'Wells Fargo'!$G:$G,'Cash Flow'!$A7,'Wells Fargo'!$A:$A,D$1,'Wells Fargo'!$B:$B,"&lt;="&amp;'Cash Flow'!D$3,'Wells Fargo'!$B:$B,"&gt;"&amp;'Cash Flow'!C$3)</f>
        <v>0</v>
      </c>
      <c r="E7" s="188">
        <f>SUMIFS('Wells Fargo'!$F:$F,'Wells Fargo'!$G:$G,'Cash Flow'!$A7,'Wells Fargo'!$A:$A,E$1,'Wells Fargo'!$B:$B,"&lt;="&amp;'Cash Flow'!E$3,'Wells Fargo'!$B:$B,"&gt;"&amp;'Cash Flow'!D$3)</f>
        <v>0</v>
      </c>
      <c r="F7" s="188">
        <f>SUMIFS('Wells Fargo'!$F:$F,'Wells Fargo'!$G:$G,'Cash Flow'!$A7,'Wells Fargo'!$A:$A,F$1,'Wells Fargo'!$B:$B,"&lt;="&amp;'Cash Flow'!F$3,'Wells Fargo'!$B:$B,"&gt;"&amp;'Cash Flow'!E$3)</f>
        <v>-78.86</v>
      </c>
      <c r="G7" s="188">
        <f>SUMIFS('Wells Fargo'!$F:$F,'Wells Fargo'!$G:$G,'Cash Flow'!$A7,'Wells Fargo'!$A:$A,G$1,'Wells Fargo'!$B:$B,"&lt;="&amp;'Cash Flow'!G$3,'Wells Fargo'!$B:$B,"&gt;"&amp;'Cash Flow'!F$3)</f>
        <v>0</v>
      </c>
      <c r="H7" s="189">
        <f>SUMIFS('Wells Fargo'!$F:$F,'Wells Fargo'!$G:$G,'Cash Flow'!$A7,'Wells Fargo'!$A:$A,H$1,'Wells Fargo'!$B:$B,"&lt;="&amp;'Cash Flow'!H$3)</f>
        <v>0</v>
      </c>
      <c r="I7" s="188">
        <f>SUMIFS('Wells Fargo'!$F:$F,'Wells Fargo'!$G:$G,'Cash Flow'!$A7,'Wells Fargo'!$A:$A,I$1,'Wells Fargo'!$B:$B,"&lt;="&amp;'Cash Flow'!I$3,'Wells Fargo'!$B:$B,"&gt;"&amp;'Cash Flow'!H$3)</f>
        <v>0</v>
      </c>
      <c r="J7" s="188">
        <f>SUMIFS('Wells Fargo'!$F:$F,'Wells Fargo'!$G:$G,'Cash Flow'!$A7,'Wells Fargo'!$A:$A,J$1,'Wells Fargo'!$B:$B,"&lt;="&amp;'Cash Flow'!J$3,'Wells Fargo'!$B:$B,"&gt;"&amp;'Cash Flow'!I$3)</f>
        <v>0</v>
      </c>
      <c r="K7" s="188">
        <f>SUMIFS('Wells Fargo'!$F:$F,'Wells Fargo'!$G:$G,'Cash Flow'!$A7,'Wells Fargo'!$A:$A,K$1,'Wells Fargo'!$B:$B,"&lt;="&amp;'Cash Flow'!K$3,'Wells Fargo'!$B:$B,"&gt;"&amp;'Cash Flow'!J$3)</f>
        <v>-81.319999999999993</v>
      </c>
      <c r="L7" s="189">
        <f>SUMIFS('Wells Fargo'!$F:$F,'Wells Fargo'!$G:$G,'Cash Flow'!$A7,'Wells Fargo'!$A:$A,L$1,'Wells Fargo'!$B:$B,"&lt;="&amp;'Cash Flow'!L$3)</f>
        <v>0</v>
      </c>
      <c r="M7" s="188">
        <f>SUMIFS('Wells Fargo'!$F:$F,'Wells Fargo'!$G:$G,'Cash Flow'!$A7,'Wells Fargo'!$A:$A,M$1,'Wells Fargo'!$B:$B,"&lt;="&amp;'Cash Flow'!M$3,'Wells Fargo'!$B:$B,"&gt;"&amp;'Cash Flow'!L$3)</f>
        <v>0</v>
      </c>
      <c r="N7" s="188">
        <f>SUMIFS('Wells Fargo'!$F:$F,'Wells Fargo'!$G:$G,'Cash Flow'!$A7,'Wells Fargo'!$A:$A,N$1,'Wells Fargo'!$B:$B,"&lt;="&amp;'Cash Flow'!N$3,'Wells Fargo'!$B:$B,"&gt;"&amp;'Cash Flow'!M$3)</f>
        <v>-39.700000000000003</v>
      </c>
      <c r="O7" s="188">
        <f>SUMIFS('Wells Fargo'!$F:$F,'Wells Fargo'!$G:$G,'Cash Flow'!$A7,'Wells Fargo'!$A:$A,O$1,'Wells Fargo'!$B:$B,"&lt;="&amp;'Cash Flow'!O$3,'Wells Fargo'!$B:$B,"&gt;"&amp;'Cash Flow'!N$3)</f>
        <v>0</v>
      </c>
      <c r="P7" s="188">
        <f>SUMIFS('Wells Fargo'!$F:$F,'Wells Fargo'!$G:$G,'Cash Flow'!$A7,'Wells Fargo'!$A:$A,P$1,'Wells Fargo'!$B:$B,"&lt;="&amp;'Cash Flow'!P$3,'Wells Fargo'!$B:$B,"&gt;"&amp;'Cash Flow'!O$3)</f>
        <v>0</v>
      </c>
      <c r="Q7" s="189">
        <f>SUMIFS('Wells Fargo'!$F:$F,'Wells Fargo'!$G:$G,'Cash Flow'!$A7,'Wells Fargo'!$A:$A,Q$1,'Wells Fargo'!$B:$B,"&lt;="&amp;'Cash Flow'!Q$3)</f>
        <v>0</v>
      </c>
      <c r="R7" s="188">
        <f>SUMIFS('Wells Fargo'!$F:$F,'Wells Fargo'!$G:$G,'Cash Flow'!$A7,'Wells Fargo'!$A:$A,R$1,'Wells Fargo'!$B:$B,"&lt;="&amp;'Cash Flow'!R$3,'Wells Fargo'!$B:$B,"&gt;"&amp;'Cash Flow'!Q$3)</f>
        <v>0</v>
      </c>
      <c r="S7" s="188">
        <f>SUMIFS('Wells Fargo'!$F:$F,'Wells Fargo'!$G:$G,'Cash Flow'!$A7,'Wells Fargo'!$A:$A,S$1,'Wells Fargo'!$B:$B,"&lt;="&amp;'Cash Flow'!S$3,'Wells Fargo'!$B:$B,"&gt;"&amp;'Cash Flow'!R$3)</f>
        <v>-138.52000000000001</v>
      </c>
      <c r="T7" s="188">
        <f>SUMIFS('Wells Fargo'!$F:$F,'Wells Fargo'!$G:$G,'Cash Flow'!$A7,'Wells Fargo'!$A:$A,T$1,'Wells Fargo'!$B:$B,"&lt;="&amp;'Cash Flow'!T$3,'Wells Fargo'!$B:$B,"&gt;"&amp;'Cash Flow'!S$3)</f>
        <v>0</v>
      </c>
      <c r="U7" s="188">
        <f>SUMIFS('Wells Fargo'!$F:$F,'Wells Fargo'!$G:$G,'Cash Flow'!$A7,'Wells Fargo'!$A:$A,U$1,'Wells Fargo'!$B:$B,"&lt;="&amp;'Cash Flow'!U$3,'Wells Fargo'!$B:$B,"&gt;"&amp;'Cash Flow'!T$3)</f>
        <v>0</v>
      </c>
      <c r="V7" s="189">
        <f>SUMIFS('Wells Fargo'!$F:$F,'Wells Fargo'!$G:$G,'Cash Flow'!$A7,'Wells Fargo'!$A:$A,V$1,'Wells Fargo'!$B:$B,"&lt;="&amp;'Cash Flow'!V$3)</f>
        <v>0</v>
      </c>
      <c r="W7" s="188">
        <f>SUMIFS('Wells Fargo'!$F:$F,'Wells Fargo'!$G:$G,'Cash Flow'!$A7,'Wells Fargo'!$A:$A,W$1,'Wells Fargo'!$B:$B,"&lt;="&amp;'Cash Flow'!W$3,'Wells Fargo'!$B:$B,"&gt;"&amp;'Cash Flow'!V$3)</f>
        <v>-136.13999999999999</v>
      </c>
      <c r="X7" s="188">
        <f>SUMIFS('Wells Fargo'!$F:$F,'Wells Fargo'!$G:$G,'Cash Flow'!$A7,'Wells Fargo'!$A:$A,X$1,'Wells Fargo'!$B:$B,"&lt;="&amp;'Cash Flow'!X$3,'Wells Fargo'!$B:$B,"&gt;"&amp;'Cash Flow'!W$3)</f>
        <v>0</v>
      </c>
      <c r="Y7" s="188">
        <f>SUMIFS('Wells Fargo'!$F:$F,'Wells Fargo'!$G:$G,'Cash Flow'!$A7,'Wells Fargo'!$A:$A,Y$1,'Wells Fargo'!$B:$B,"&lt;="&amp;'Cash Flow'!Y$3,'Wells Fargo'!$B:$B,"&gt;"&amp;'Cash Flow'!X$3)</f>
        <v>0</v>
      </c>
      <c r="Z7" s="188">
        <f>SUMIFS('Wells Fargo'!$F:$F,'Wells Fargo'!$G:$G,'Cash Flow'!$A7,'Wells Fargo'!$A:$A,Z$1,'Wells Fargo'!$B:$B,"&lt;="&amp;'Cash Flow'!Z$3,'Wells Fargo'!$B:$B,"&gt;"&amp;'Cash Flow'!Y$3)</f>
        <v>0</v>
      </c>
      <c r="AA7" s="189">
        <f>SUMIFS('Wells Fargo'!$F:$F,'Wells Fargo'!$G:$G,'Cash Flow'!$A7,'Wells Fargo'!$A:$A,AA$1,'Wells Fargo'!$B:$B,"&lt;="&amp;'Cash Flow'!AA$3)</f>
        <v>-118</v>
      </c>
      <c r="AB7" s="188">
        <f>SUMIFS('Wells Fargo'!$F:$F,'Wells Fargo'!$G:$G,'Cash Flow'!$A7,'Wells Fargo'!$A:$A,AB$1,'Wells Fargo'!$B:$B,"&lt;="&amp;'Cash Flow'!AB$3,'Wells Fargo'!$B:$B,"&gt;"&amp;'Cash Flow'!AA$3)</f>
        <v>0</v>
      </c>
      <c r="AC7" s="188">
        <f>SUMIFS('Wells Fargo'!$F:$F,'Wells Fargo'!$G:$G,'Cash Flow'!$A7,'Wells Fargo'!$A:$A,AC$1,'Wells Fargo'!$B:$B,"&lt;="&amp;'Cash Flow'!AC$3,'Wells Fargo'!$B:$B,"&gt;"&amp;'Cash Flow'!AB$3)</f>
        <v>0</v>
      </c>
      <c r="AD7" s="188">
        <f>SUMIFS('Wells Fargo'!$F:$F,'Wells Fargo'!$G:$G,'Cash Flow'!$A7,'Wells Fargo'!$A:$A,AD$1,'Wells Fargo'!$B:$B,"&lt;="&amp;'Cash Flow'!AD$3,'Wells Fargo'!$B:$B,"&gt;"&amp;'Cash Flow'!AC$3)</f>
        <v>0</v>
      </c>
      <c r="AE7" s="188">
        <f>SUMIFS('Wells Fargo'!$F:$F,'Wells Fargo'!$G:$G,'Cash Flow'!$A7,'Wells Fargo'!$A:$A,AE$1,'Wells Fargo'!$B:$B,"&lt;="&amp;'Cash Flow'!AE$3,'Wells Fargo'!$B:$B,"&gt;"&amp;'Cash Flow'!AD$3)</f>
        <v>0</v>
      </c>
      <c r="AF7" s="189">
        <f>SUMIFS('Wells Fargo'!$F:$F,'Wells Fargo'!$G:$G,'Cash Flow'!$A7,'Wells Fargo'!$A:$A,AF$1,'Wells Fargo'!$B:$B,"&lt;="&amp;'Cash Flow'!AF$3)</f>
        <v>0</v>
      </c>
      <c r="AG7" s="188">
        <f>SUMIFS('Wells Fargo'!$F:$F,'Wells Fargo'!$G:$G,'Cash Flow'!$A7,'Wells Fargo'!$A:$A,AG$1,'Wells Fargo'!$B:$B,"&lt;="&amp;'Cash Flow'!AG$3,'Wells Fargo'!$B:$B,"&gt;"&amp;'Cash Flow'!AF$3)</f>
        <v>0</v>
      </c>
      <c r="AH7" s="188">
        <f>SUMIFS('Wells Fargo'!$F:$F,'Wells Fargo'!$G:$G,'Cash Flow'!$A7,'Wells Fargo'!$A:$A,AH$1,'Wells Fargo'!$B:$B,"&lt;="&amp;'Cash Flow'!AH$3,'Wells Fargo'!$B:$B,"&gt;"&amp;'Cash Flow'!AG$3)</f>
        <v>0</v>
      </c>
      <c r="AI7" s="188">
        <f>SUMIFS('Wells Fargo'!$F:$F,'Wells Fargo'!$G:$G,'Cash Flow'!$A7,'Wells Fargo'!$A:$A,AI$1,'Wells Fargo'!$B:$B,"&lt;="&amp;'Cash Flow'!AI$3,'Wells Fargo'!$B:$B,"&gt;"&amp;'Cash Flow'!AH$3)</f>
        <v>0</v>
      </c>
      <c r="AJ7" s="188">
        <f>SUMIFS('Wells Fargo'!$F:$F,'Wells Fargo'!$G:$G,'Cash Flow'!$A7,'Wells Fargo'!$A:$A,AJ$1,'Wells Fargo'!$B:$B,"&lt;="&amp;'Cash Flow'!AJ$3,'Wells Fargo'!$B:$B,"&gt;"&amp;'Cash Flow'!AI$3)</f>
        <v>0</v>
      </c>
      <c r="AK7" s="189">
        <f>SUMIFS('Wells Fargo'!$F:$F,'Wells Fargo'!$G:$G,'Cash Flow'!$A7,'Wells Fargo'!$A:$A,AK$1,'Wells Fargo'!$B:$B,"&lt;="&amp;'Cash Flow'!AK$3)</f>
        <v>0</v>
      </c>
      <c r="AL7" s="188">
        <f>SUMIFS('Wells Fargo'!$F:$F,'Wells Fargo'!$G:$G,'Cash Flow'!$A7,'Wells Fargo'!$A:$A,AL$1,'Wells Fargo'!$B:$B,"&lt;="&amp;'Cash Flow'!AL$3,'Wells Fargo'!$B:$B,"&gt;"&amp;'Cash Flow'!AK$3)</f>
        <v>0</v>
      </c>
      <c r="AM7" s="188">
        <f>SUMIFS('Wells Fargo'!$F:$F,'Wells Fargo'!$G:$G,'Cash Flow'!$A7,'Wells Fargo'!$A:$A,AM$1,'Wells Fargo'!$B:$B,"&lt;="&amp;'Cash Flow'!AM$3,'Wells Fargo'!$B:$B,"&gt;"&amp;'Cash Flow'!AL$3)</f>
        <v>0</v>
      </c>
      <c r="AN7" s="188">
        <f>SUMIFS('Wells Fargo'!$F:$F,'Wells Fargo'!$G:$G,'Cash Flow'!$A7,'Wells Fargo'!$A:$A,AN$1,'Wells Fargo'!$B:$B,"&lt;="&amp;'Cash Flow'!AN$3,'Wells Fargo'!$B:$B,"&gt;"&amp;'Cash Flow'!AM$3)</f>
        <v>0</v>
      </c>
      <c r="AO7" s="188">
        <f>SUMIFS('Wells Fargo'!$F:$F,'Wells Fargo'!$G:$G,'Cash Flow'!$A7,'Wells Fargo'!$A:$A,AO$1,'Wells Fargo'!$B:$B,"&lt;="&amp;'Cash Flow'!AO$3,'Wells Fargo'!$B:$B,"&gt;"&amp;'Cash Flow'!AN$3)</f>
        <v>0</v>
      </c>
      <c r="AP7" s="189">
        <f>SUMIFS('Wells Fargo'!$F:$F,'Wells Fargo'!$G:$G,'Cash Flow'!$A7,'Wells Fargo'!$A:$A,AP$1,'Wells Fargo'!$B:$B,"&lt;="&amp;'Cash Flow'!AP$3)</f>
        <v>0</v>
      </c>
      <c r="AQ7" s="188">
        <f>SUMIFS('Wells Fargo'!$F:$F,'Wells Fargo'!$G:$G,'Cash Flow'!$A7,'Wells Fargo'!$A:$A,AQ$1,'Wells Fargo'!$B:$B,"&lt;="&amp;'Cash Flow'!AQ$3,'Wells Fargo'!$B:$B,"&gt;"&amp;'Cash Flow'!AP$3)</f>
        <v>0</v>
      </c>
      <c r="AR7" s="188">
        <f>SUMIFS('Wells Fargo'!$F:$F,'Wells Fargo'!$G:$G,'Cash Flow'!$A7,'Wells Fargo'!$A:$A,AR$1,'Wells Fargo'!$B:$B,"&lt;="&amp;'Cash Flow'!AR$3,'Wells Fargo'!$B:$B,"&gt;"&amp;'Cash Flow'!AQ$3)</f>
        <v>0</v>
      </c>
      <c r="AS7" s="188">
        <f>SUMIFS('Wells Fargo'!$F:$F,'Wells Fargo'!$G:$G,'Cash Flow'!$A7,'Wells Fargo'!$A:$A,AS$1,'Wells Fargo'!$B:$B,"&lt;="&amp;'Cash Flow'!AS$3,'Wells Fargo'!$B:$B,"&gt;"&amp;'Cash Flow'!AR$3)</f>
        <v>0</v>
      </c>
      <c r="AT7" s="188">
        <f>SUMIFS('Wells Fargo'!$F:$F,'Wells Fargo'!$G:$G,'Cash Flow'!$A7,'Wells Fargo'!$A:$A,AT$1,'Wells Fargo'!$B:$B,"&lt;="&amp;'Cash Flow'!AT$3,'Wells Fargo'!$B:$B,"&gt;"&amp;'Cash Flow'!AS$3)</f>
        <v>0</v>
      </c>
      <c r="AU7" s="189">
        <f>SUMIFS('Wells Fargo'!$F:$F,'Wells Fargo'!$G:$G,'Cash Flow'!$A7,'Wells Fargo'!$A:$A,AU$1,'Wells Fargo'!$B:$B,"&lt;="&amp;'Cash Flow'!AU$3)</f>
        <v>0</v>
      </c>
      <c r="AV7" s="188">
        <f>SUMIFS('Wells Fargo'!$F:$F,'Wells Fargo'!$G:$G,'Cash Flow'!$A7,'Wells Fargo'!$A:$A,AV$1,'Wells Fargo'!$B:$B,"&lt;="&amp;'Cash Flow'!AV$3,'Wells Fargo'!$B:$B,"&gt;"&amp;'Cash Flow'!AU$3)</f>
        <v>0</v>
      </c>
      <c r="AW7" s="188">
        <f>SUMIFS('Wells Fargo'!$F:$F,'Wells Fargo'!$G:$G,'Cash Flow'!$A7,'Wells Fargo'!$A:$A,AW$1,'Wells Fargo'!$B:$B,"&lt;="&amp;'Cash Flow'!AW$3,'Wells Fargo'!$B:$B,"&gt;"&amp;'Cash Flow'!AV$3)</f>
        <v>0</v>
      </c>
      <c r="AX7" s="188">
        <f>SUMIFS('Wells Fargo'!$F:$F,'Wells Fargo'!$G:$G,'Cash Flow'!$A7,'Wells Fargo'!$A:$A,AX$1,'Wells Fargo'!$B:$B,"&lt;="&amp;'Cash Flow'!AX$3,'Wells Fargo'!$B:$B,"&gt;"&amp;'Cash Flow'!AW$3)</f>
        <v>0</v>
      </c>
      <c r="AY7" s="188">
        <f>SUMIFS('Wells Fargo'!$F:$F,'Wells Fargo'!$G:$G,'Cash Flow'!$A7,'Wells Fargo'!$A:$A,AY$1,'Wells Fargo'!$B:$B,"&lt;="&amp;'Cash Flow'!AY$3,'Wells Fargo'!$B:$B,"&gt;"&amp;'Cash Flow'!AX$3)</f>
        <v>0</v>
      </c>
      <c r="AZ7" s="189">
        <f>SUMIFS('Wells Fargo'!$F:$F,'Wells Fargo'!$G:$G,'Cash Flow'!$A7,'Wells Fargo'!$A:$A,AZ$1,'Wells Fargo'!$B:$B,"&lt;="&amp;'Cash Flow'!AZ$3)</f>
        <v>0</v>
      </c>
      <c r="BA7" s="188">
        <f>SUMIFS('Wells Fargo'!$F:$F,'Wells Fargo'!$G:$G,'Cash Flow'!$A7,'Wells Fargo'!$A:$A,BA$1,'Wells Fargo'!$B:$B,"&lt;="&amp;'Cash Flow'!BA$3,'Wells Fargo'!$B:$B,"&gt;"&amp;'Cash Flow'!AZ$3)</f>
        <v>0</v>
      </c>
      <c r="BB7" s="188">
        <f>SUMIFS('Wells Fargo'!$F:$F,'Wells Fargo'!$G:$G,'Cash Flow'!$A7,'Wells Fargo'!$A:$A,BB$1,'Wells Fargo'!$B:$B,"&lt;="&amp;'Cash Flow'!BB$3,'Wells Fargo'!$B:$B,"&gt;"&amp;'Cash Flow'!BA$3)</f>
        <v>0</v>
      </c>
      <c r="BC7" s="188">
        <f>SUMIFS('Wells Fargo'!$F:$F,'Wells Fargo'!$G:$G,'Cash Flow'!$A7,'Wells Fargo'!$A:$A,BC$1,'Wells Fargo'!$B:$B,"&lt;="&amp;'Cash Flow'!BC$3,'Wells Fargo'!$B:$B,"&gt;"&amp;'Cash Flow'!BB$3)</f>
        <v>0</v>
      </c>
      <c r="BD7" s="188">
        <f>SUMIFS('Wells Fargo'!$F:$F,'Wells Fargo'!$G:$G,'Cash Flow'!$A7,'Wells Fargo'!$A:$A,BD$1,'Wells Fargo'!$B:$B,"&lt;="&amp;'Cash Flow'!BD$3,'Wells Fargo'!$B:$B,"&gt;"&amp;'Cash Flow'!BC$3)</f>
        <v>0</v>
      </c>
      <c r="BE7" s="189">
        <f>SUMIFS('Wells Fargo'!$F:$F,'Wells Fargo'!$G:$G,'Cash Flow'!$A7,'Wells Fargo'!$A:$A,BE$1,'Wells Fargo'!$B:$B,"&lt;="&amp;'Cash Flow'!BE$3)</f>
        <v>0</v>
      </c>
      <c r="BF7" s="188">
        <f>SUMIFS('Wells Fargo'!$F:$F,'Wells Fargo'!$G:$G,'Cash Flow'!$A7,'Wells Fargo'!$A:$A,BF$1,'Wells Fargo'!$B:$B,"&lt;="&amp;'Cash Flow'!BF$3,'Wells Fargo'!$B:$B,"&gt;"&amp;'Cash Flow'!BE$3)</f>
        <v>0</v>
      </c>
      <c r="BG7" s="188">
        <f>SUMIFS('Wells Fargo'!$F:$F,'Wells Fargo'!$G:$G,'Cash Flow'!$A7,'Wells Fargo'!$A:$A,BG$1,'Wells Fargo'!$B:$B,"&lt;="&amp;'Cash Flow'!BG$3,'Wells Fargo'!$B:$B,"&gt;"&amp;'Cash Flow'!BF$3)</f>
        <v>0</v>
      </c>
      <c r="BH7" s="188">
        <f>SUMIFS('Wells Fargo'!$F:$F,'Wells Fargo'!$G:$G,'Cash Flow'!$A7,'Wells Fargo'!$A:$A,BH$1,'Wells Fargo'!$B:$B,"&lt;="&amp;'Cash Flow'!BH$3,'Wells Fargo'!$B:$B,"&gt;"&amp;'Cash Flow'!BG$3)</f>
        <v>0</v>
      </c>
      <c r="BI7" s="188">
        <f>SUMIFS('Wells Fargo'!$F:$F,'Wells Fargo'!$G:$G,'Cash Flow'!$A7,'Wells Fargo'!$A:$A,BI$1,'Wells Fargo'!$B:$B,"&lt;="&amp;'Cash Flow'!BI$3,'Wells Fargo'!$B:$B,"&gt;"&amp;'Cash Flow'!BH$3)</f>
        <v>0</v>
      </c>
    </row>
    <row r="8" spans="1:61" ht="12.75" x14ac:dyDescent="0.2">
      <c r="A8" t="str">
        <v>Amar - Rent</v>
      </c>
      <c r="B8" s="87">
        <f t="shared" si="0"/>
        <v>-2800</v>
      </c>
      <c r="C8" s="189">
        <f>SUMIFS('Wells Fargo'!$F:$F,'Wells Fargo'!$G:$G,'Cash Flow'!$A8,'Wells Fargo'!$A:$A,C$1,'Wells Fargo'!$B:$B,"&lt;="&amp;'Cash Flow'!C$3)</f>
        <v>0</v>
      </c>
      <c r="D8" s="188">
        <f>SUMIFS('Wells Fargo'!$F:$F,'Wells Fargo'!$G:$G,'Cash Flow'!$A8,'Wells Fargo'!$A:$A,D$1,'Wells Fargo'!$B:$B,"&lt;="&amp;'Cash Flow'!D$3,'Wells Fargo'!$B:$B,"&gt;"&amp;'Cash Flow'!C$3)</f>
        <v>0</v>
      </c>
      <c r="E8" s="188">
        <f>SUMIFS('Wells Fargo'!$F:$F,'Wells Fargo'!$G:$G,'Cash Flow'!$A8,'Wells Fargo'!$A:$A,E$1,'Wells Fargo'!$B:$B,"&lt;="&amp;'Cash Flow'!E$3,'Wells Fargo'!$B:$B,"&gt;"&amp;'Cash Flow'!D$3)</f>
        <v>0</v>
      </c>
      <c r="F8" s="188">
        <f>SUMIFS('Wells Fargo'!$F:$F,'Wells Fargo'!$G:$G,'Cash Flow'!$A8,'Wells Fargo'!$A:$A,F$1,'Wells Fargo'!$B:$B,"&lt;="&amp;'Cash Flow'!F$3,'Wells Fargo'!$B:$B,"&gt;"&amp;'Cash Flow'!E$3)</f>
        <v>0</v>
      </c>
      <c r="G8" s="188">
        <f>SUMIFS('Wells Fargo'!$F:$F,'Wells Fargo'!$G:$G,'Cash Flow'!$A8,'Wells Fargo'!$A:$A,G$1,'Wells Fargo'!$B:$B,"&lt;="&amp;'Cash Flow'!G$3,'Wells Fargo'!$B:$B,"&gt;"&amp;'Cash Flow'!F$3)</f>
        <v>-700</v>
      </c>
      <c r="H8" s="189">
        <f>SUMIFS('Wells Fargo'!$F:$F,'Wells Fargo'!$G:$G,'Cash Flow'!$A8,'Wells Fargo'!$A:$A,H$1,'Wells Fargo'!$B:$B,"&lt;="&amp;'Cash Flow'!H$3)</f>
        <v>0</v>
      </c>
      <c r="I8" s="188">
        <f>SUMIFS('Wells Fargo'!$F:$F,'Wells Fargo'!$G:$G,'Cash Flow'!$A8,'Wells Fargo'!$A:$A,I$1,'Wells Fargo'!$B:$B,"&lt;="&amp;'Cash Flow'!I$3,'Wells Fargo'!$B:$B,"&gt;"&amp;'Cash Flow'!H$3)</f>
        <v>0</v>
      </c>
      <c r="J8" s="188">
        <f>SUMIFS('Wells Fargo'!$F:$F,'Wells Fargo'!$G:$G,'Cash Flow'!$A8,'Wells Fargo'!$A:$A,J$1,'Wells Fargo'!$B:$B,"&lt;="&amp;'Cash Flow'!J$3,'Wells Fargo'!$B:$B,"&gt;"&amp;'Cash Flow'!I$3)</f>
        <v>0</v>
      </c>
      <c r="K8" s="188">
        <f>SUMIFS('Wells Fargo'!$F:$F,'Wells Fargo'!$G:$G,'Cash Flow'!$A8,'Wells Fargo'!$A:$A,K$1,'Wells Fargo'!$B:$B,"&lt;="&amp;'Cash Flow'!K$3,'Wells Fargo'!$B:$B,"&gt;"&amp;'Cash Flow'!J$3)</f>
        <v>-700</v>
      </c>
      <c r="L8" s="189">
        <f>SUMIFS('Wells Fargo'!$F:$F,'Wells Fargo'!$G:$G,'Cash Flow'!$A8,'Wells Fargo'!$A:$A,L$1,'Wells Fargo'!$B:$B,"&lt;="&amp;'Cash Flow'!L$3)</f>
        <v>0</v>
      </c>
      <c r="M8" s="188">
        <f>SUMIFS('Wells Fargo'!$F:$F,'Wells Fargo'!$G:$G,'Cash Flow'!$A8,'Wells Fargo'!$A:$A,M$1,'Wells Fargo'!$B:$B,"&lt;="&amp;'Cash Flow'!M$3,'Wells Fargo'!$B:$B,"&gt;"&amp;'Cash Flow'!L$3)</f>
        <v>0</v>
      </c>
      <c r="N8" s="188">
        <f>SUMIFS('Wells Fargo'!$F:$F,'Wells Fargo'!$G:$G,'Cash Flow'!$A8,'Wells Fargo'!$A:$A,N$1,'Wells Fargo'!$B:$B,"&lt;="&amp;'Cash Flow'!N$3,'Wells Fargo'!$B:$B,"&gt;"&amp;'Cash Flow'!M$3)</f>
        <v>-700</v>
      </c>
      <c r="O8" s="188">
        <f>SUMIFS('Wells Fargo'!$F:$F,'Wells Fargo'!$G:$G,'Cash Flow'!$A8,'Wells Fargo'!$A:$A,O$1,'Wells Fargo'!$B:$B,"&lt;="&amp;'Cash Flow'!O$3,'Wells Fargo'!$B:$B,"&gt;"&amp;'Cash Flow'!N$3)</f>
        <v>0</v>
      </c>
      <c r="P8" s="188">
        <f>SUMIFS('Wells Fargo'!$F:$F,'Wells Fargo'!$G:$G,'Cash Flow'!$A8,'Wells Fargo'!$A:$A,P$1,'Wells Fargo'!$B:$B,"&lt;="&amp;'Cash Flow'!P$3,'Wells Fargo'!$B:$B,"&gt;"&amp;'Cash Flow'!O$3)</f>
        <v>0</v>
      </c>
      <c r="Q8" s="189">
        <f>SUMIFS('Wells Fargo'!$F:$F,'Wells Fargo'!$G:$G,'Cash Flow'!$A8,'Wells Fargo'!$A:$A,Q$1,'Wells Fargo'!$B:$B,"&lt;="&amp;'Cash Flow'!Q$3)</f>
        <v>0</v>
      </c>
      <c r="R8" s="188">
        <f>SUMIFS('Wells Fargo'!$F:$F,'Wells Fargo'!$G:$G,'Cash Flow'!$A8,'Wells Fargo'!$A:$A,R$1,'Wells Fargo'!$B:$B,"&lt;="&amp;'Cash Flow'!R$3,'Wells Fargo'!$B:$B,"&gt;"&amp;'Cash Flow'!Q$3)</f>
        <v>0</v>
      </c>
      <c r="S8" s="188">
        <f>SUMIFS('Wells Fargo'!$F:$F,'Wells Fargo'!$G:$G,'Cash Flow'!$A8,'Wells Fargo'!$A:$A,S$1,'Wells Fargo'!$B:$B,"&lt;="&amp;'Cash Flow'!S$3,'Wells Fargo'!$B:$B,"&gt;"&amp;'Cash Flow'!R$3)</f>
        <v>0</v>
      </c>
      <c r="T8" s="188">
        <f>SUMIFS('Wells Fargo'!$F:$F,'Wells Fargo'!$G:$G,'Cash Flow'!$A8,'Wells Fargo'!$A:$A,T$1,'Wells Fargo'!$B:$B,"&lt;="&amp;'Cash Flow'!T$3,'Wells Fargo'!$B:$B,"&gt;"&amp;'Cash Flow'!S$3)</f>
        <v>-700</v>
      </c>
      <c r="U8" s="188">
        <f>SUMIFS('Wells Fargo'!$F:$F,'Wells Fargo'!$G:$G,'Cash Flow'!$A8,'Wells Fargo'!$A:$A,U$1,'Wells Fargo'!$B:$B,"&lt;="&amp;'Cash Flow'!U$3,'Wells Fargo'!$B:$B,"&gt;"&amp;'Cash Flow'!T$3)</f>
        <v>0</v>
      </c>
      <c r="V8" s="189">
        <f>SUMIFS('Wells Fargo'!$F:$F,'Wells Fargo'!$G:$G,'Cash Flow'!$A8,'Wells Fargo'!$A:$A,V$1,'Wells Fargo'!$B:$B,"&lt;="&amp;'Cash Flow'!V$3)</f>
        <v>0</v>
      </c>
      <c r="W8" s="188">
        <f>SUMIFS('Wells Fargo'!$F:$F,'Wells Fargo'!$G:$G,'Cash Flow'!$A8,'Wells Fargo'!$A:$A,W$1,'Wells Fargo'!$B:$B,"&lt;="&amp;'Cash Flow'!W$3,'Wells Fargo'!$B:$B,"&gt;"&amp;'Cash Flow'!V$3)</f>
        <v>0</v>
      </c>
      <c r="X8" s="188">
        <f>SUMIFS('Wells Fargo'!$F:$F,'Wells Fargo'!$G:$G,'Cash Flow'!$A8,'Wells Fargo'!$A:$A,X$1,'Wells Fargo'!$B:$B,"&lt;="&amp;'Cash Flow'!X$3,'Wells Fargo'!$B:$B,"&gt;"&amp;'Cash Flow'!W$3)</f>
        <v>0</v>
      </c>
      <c r="Y8" s="188">
        <f>SUMIFS('Wells Fargo'!$F:$F,'Wells Fargo'!$G:$G,'Cash Flow'!$A8,'Wells Fargo'!$A:$A,Y$1,'Wells Fargo'!$B:$B,"&lt;="&amp;'Cash Flow'!Y$3,'Wells Fargo'!$B:$B,"&gt;"&amp;'Cash Flow'!X$3)</f>
        <v>0</v>
      </c>
      <c r="Z8" s="188">
        <f>SUMIFS('Wells Fargo'!$F:$F,'Wells Fargo'!$G:$G,'Cash Flow'!$A8,'Wells Fargo'!$A:$A,Z$1,'Wells Fargo'!$B:$B,"&lt;="&amp;'Cash Flow'!Z$3,'Wells Fargo'!$B:$B,"&gt;"&amp;'Cash Flow'!Y$3)</f>
        <v>0</v>
      </c>
      <c r="AA8" s="189">
        <f>SUMIFS('Wells Fargo'!$F:$F,'Wells Fargo'!$G:$G,'Cash Flow'!$A8,'Wells Fargo'!$A:$A,AA$1,'Wells Fargo'!$B:$B,"&lt;="&amp;'Cash Flow'!AA$3)</f>
        <v>0</v>
      </c>
      <c r="AB8" s="188">
        <f>SUMIFS('Wells Fargo'!$F:$F,'Wells Fargo'!$G:$G,'Cash Flow'!$A8,'Wells Fargo'!$A:$A,AB$1,'Wells Fargo'!$B:$B,"&lt;="&amp;'Cash Flow'!AB$3,'Wells Fargo'!$B:$B,"&gt;"&amp;'Cash Flow'!AA$3)</f>
        <v>0</v>
      </c>
      <c r="AC8" s="188">
        <f>SUMIFS('Wells Fargo'!$F:$F,'Wells Fargo'!$G:$G,'Cash Flow'!$A8,'Wells Fargo'!$A:$A,AC$1,'Wells Fargo'!$B:$B,"&lt;="&amp;'Cash Flow'!AC$3,'Wells Fargo'!$B:$B,"&gt;"&amp;'Cash Flow'!AB$3)</f>
        <v>0</v>
      </c>
      <c r="AD8" s="188">
        <f>SUMIFS('Wells Fargo'!$F:$F,'Wells Fargo'!$G:$G,'Cash Flow'!$A8,'Wells Fargo'!$A:$A,AD$1,'Wells Fargo'!$B:$B,"&lt;="&amp;'Cash Flow'!AD$3,'Wells Fargo'!$B:$B,"&gt;"&amp;'Cash Flow'!AC$3)</f>
        <v>0</v>
      </c>
      <c r="AE8" s="188">
        <f>SUMIFS('Wells Fargo'!$F:$F,'Wells Fargo'!$G:$G,'Cash Flow'!$A8,'Wells Fargo'!$A:$A,AE$1,'Wells Fargo'!$B:$B,"&lt;="&amp;'Cash Flow'!AE$3,'Wells Fargo'!$B:$B,"&gt;"&amp;'Cash Flow'!AD$3)</f>
        <v>0</v>
      </c>
      <c r="AF8" s="189">
        <f>SUMIFS('Wells Fargo'!$F:$F,'Wells Fargo'!$G:$G,'Cash Flow'!$A8,'Wells Fargo'!$A:$A,AF$1,'Wells Fargo'!$B:$B,"&lt;="&amp;'Cash Flow'!AF$3)</f>
        <v>0</v>
      </c>
      <c r="AG8" s="188">
        <f>SUMIFS('Wells Fargo'!$F:$F,'Wells Fargo'!$G:$G,'Cash Flow'!$A8,'Wells Fargo'!$A:$A,AG$1,'Wells Fargo'!$B:$B,"&lt;="&amp;'Cash Flow'!AG$3,'Wells Fargo'!$B:$B,"&gt;"&amp;'Cash Flow'!AF$3)</f>
        <v>0</v>
      </c>
      <c r="AH8" s="188">
        <f>SUMIFS('Wells Fargo'!$F:$F,'Wells Fargo'!$G:$G,'Cash Flow'!$A8,'Wells Fargo'!$A:$A,AH$1,'Wells Fargo'!$B:$B,"&lt;="&amp;'Cash Flow'!AH$3,'Wells Fargo'!$B:$B,"&gt;"&amp;'Cash Flow'!AG$3)</f>
        <v>0</v>
      </c>
      <c r="AI8" s="188">
        <f>SUMIFS('Wells Fargo'!$F:$F,'Wells Fargo'!$G:$G,'Cash Flow'!$A8,'Wells Fargo'!$A:$A,AI$1,'Wells Fargo'!$B:$B,"&lt;="&amp;'Cash Flow'!AI$3,'Wells Fargo'!$B:$B,"&gt;"&amp;'Cash Flow'!AH$3)</f>
        <v>0</v>
      </c>
      <c r="AJ8" s="188">
        <f>SUMIFS('Wells Fargo'!$F:$F,'Wells Fargo'!$G:$G,'Cash Flow'!$A8,'Wells Fargo'!$A:$A,AJ$1,'Wells Fargo'!$B:$B,"&lt;="&amp;'Cash Flow'!AJ$3,'Wells Fargo'!$B:$B,"&gt;"&amp;'Cash Flow'!AI$3)</f>
        <v>0</v>
      </c>
      <c r="AK8" s="189">
        <f>SUMIFS('Wells Fargo'!$F:$F,'Wells Fargo'!$G:$G,'Cash Flow'!$A8,'Wells Fargo'!$A:$A,AK$1,'Wells Fargo'!$B:$B,"&lt;="&amp;'Cash Flow'!AK$3)</f>
        <v>0</v>
      </c>
      <c r="AL8" s="188">
        <f>SUMIFS('Wells Fargo'!$F:$F,'Wells Fargo'!$G:$G,'Cash Flow'!$A8,'Wells Fargo'!$A:$A,AL$1,'Wells Fargo'!$B:$B,"&lt;="&amp;'Cash Flow'!AL$3,'Wells Fargo'!$B:$B,"&gt;"&amp;'Cash Flow'!AK$3)</f>
        <v>0</v>
      </c>
      <c r="AM8" s="188">
        <f>SUMIFS('Wells Fargo'!$F:$F,'Wells Fargo'!$G:$G,'Cash Flow'!$A8,'Wells Fargo'!$A:$A,AM$1,'Wells Fargo'!$B:$B,"&lt;="&amp;'Cash Flow'!AM$3,'Wells Fargo'!$B:$B,"&gt;"&amp;'Cash Flow'!AL$3)</f>
        <v>0</v>
      </c>
      <c r="AN8" s="188">
        <f>SUMIFS('Wells Fargo'!$F:$F,'Wells Fargo'!$G:$G,'Cash Flow'!$A8,'Wells Fargo'!$A:$A,AN$1,'Wells Fargo'!$B:$B,"&lt;="&amp;'Cash Flow'!AN$3,'Wells Fargo'!$B:$B,"&gt;"&amp;'Cash Flow'!AM$3)</f>
        <v>0</v>
      </c>
      <c r="AO8" s="188">
        <f>SUMIFS('Wells Fargo'!$F:$F,'Wells Fargo'!$G:$G,'Cash Flow'!$A8,'Wells Fargo'!$A:$A,AO$1,'Wells Fargo'!$B:$B,"&lt;="&amp;'Cash Flow'!AO$3,'Wells Fargo'!$B:$B,"&gt;"&amp;'Cash Flow'!AN$3)</f>
        <v>0</v>
      </c>
      <c r="AP8" s="189">
        <f>SUMIFS('Wells Fargo'!$F:$F,'Wells Fargo'!$G:$G,'Cash Flow'!$A8,'Wells Fargo'!$A:$A,AP$1,'Wells Fargo'!$B:$B,"&lt;="&amp;'Cash Flow'!AP$3)</f>
        <v>0</v>
      </c>
      <c r="AQ8" s="188">
        <f>SUMIFS('Wells Fargo'!$F:$F,'Wells Fargo'!$G:$G,'Cash Flow'!$A8,'Wells Fargo'!$A:$A,AQ$1,'Wells Fargo'!$B:$B,"&lt;="&amp;'Cash Flow'!AQ$3,'Wells Fargo'!$B:$B,"&gt;"&amp;'Cash Flow'!AP$3)</f>
        <v>0</v>
      </c>
      <c r="AR8" s="188">
        <f>SUMIFS('Wells Fargo'!$F:$F,'Wells Fargo'!$G:$G,'Cash Flow'!$A8,'Wells Fargo'!$A:$A,AR$1,'Wells Fargo'!$B:$B,"&lt;="&amp;'Cash Flow'!AR$3,'Wells Fargo'!$B:$B,"&gt;"&amp;'Cash Flow'!AQ$3)</f>
        <v>0</v>
      </c>
      <c r="AS8" s="188">
        <f>SUMIFS('Wells Fargo'!$F:$F,'Wells Fargo'!$G:$G,'Cash Flow'!$A8,'Wells Fargo'!$A:$A,AS$1,'Wells Fargo'!$B:$B,"&lt;="&amp;'Cash Flow'!AS$3,'Wells Fargo'!$B:$B,"&gt;"&amp;'Cash Flow'!AR$3)</f>
        <v>0</v>
      </c>
      <c r="AT8" s="188">
        <f>SUMIFS('Wells Fargo'!$F:$F,'Wells Fargo'!$G:$G,'Cash Flow'!$A8,'Wells Fargo'!$A:$A,AT$1,'Wells Fargo'!$B:$B,"&lt;="&amp;'Cash Flow'!AT$3,'Wells Fargo'!$B:$B,"&gt;"&amp;'Cash Flow'!AS$3)</f>
        <v>0</v>
      </c>
      <c r="AU8" s="189">
        <f>SUMIFS('Wells Fargo'!$F:$F,'Wells Fargo'!$G:$G,'Cash Flow'!$A8,'Wells Fargo'!$A:$A,AU$1,'Wells Fargo'!$B:$B,"&lt;="&amp;'Cash Flow'!AU$3)</f>
        <v>0</v>
      </c>
      <c r="AV8" s="188">
        <f>SUMIFS('Wells Fargo'!$F:$F,'Wells Fargo'!$G:$G,'Cash Flow'!$A8,'Wells Fargo'!$A:$A,AV$1,'Wells Fargo'!$B:$B,"&lt;="&amp;'Cash Flow'!AV$3,'Wells Fargo'!$B:$B,"&gt;"&amp;'Cash Flow'!AU$3)</f>
        <v>0</v>
      </c>
      <c r="AW8" s="188">
        <f>SUMIFS('Wells Fargo'!$F:$F,'Wells Fargo'!$G:$G,'Cash Flow'!$A8,'Wells Fargo'!$A:$A,AW$1,'Wells Fargo'!$B:$B,"&lt;="&amp;'Cash Flow'!AW$3,'Wells Fargo'!$B:$B,"&gt;"&amp;'Cash Flow'!AV$3)</f>
        <v>0</v>
      </c>
      <c r="AX8" s="188">
        <f>SUMIFS('Wells Fargo'!$F:$F,'Wells Fargo'!$G:$G,'Cash Flow'!$A8,'Wells Fargo'!$A:$A,AX$1,'Wells Fargo'!$B:$B,"&lt;="&amp;'Cash Flow'!AX$3,'Wells Fargo'!$B:$B,"&gt;"&amp;'Cash Flow'!AW$3)</f>
        <v>0</v>
      </c>
      <c r="AY8" s="188">
        <f>SUMIFS('Wells Fargo'!$F:$F,'Wells Fargo'!$G:$G,'Cash Flow'!$A8,'Wells Fargo'!$A:$A,AY$1,'Wells Fargo'!$B:$B,"&lt;="&amp;'Cash Flow'!AY$3,'Wells Fargo'!$B:$B,"&gt;"&amp;'Cash Flow'!AX$3)</f>
        <v>0</v>
      </c>
      <c r="AZ8" s="189">
        <f>SUMIFS('Wells Fargo'!$F:$F,'Wells Fargo'!$G:$G,'Cash Flow'!$A8,'Wells Fargo'!$A:$A,AZ$1,'Wells Fargo'!$B:$B,"&lt;="&amp;'Cash Flow'!AZ$3)</f>
        <v>0</v>
      </c>
      <c r="BA8" s="188">
        <f>SUMIFS('Wells Fargo'!$F:$F,'Wells Fargo'!$G:$G,'Cash Flow'!$A8,'Wells Fargo'!$A:$A,BA$1,'Wells Fargo'!$B:$B,"&lt;="&amp;'Cash Flow'!BA$3,'Wells Fargo'!$B:$B,"&gt;"&amp;'Cash Flow'!AZ$3)</f>
        <v>0</v>
      </c>
      <c r="BB8" s="188">
        <f>SUMIFS('Wells Fargo'!$F:$F,'Wells Fargo'!$G:$G,'Cash Flow'!$A8,'Wells Fargo'!$A:$A,BB$1,'Wells Fargo'!$B:$B,"&lt;="&amp;'Cash Flow'!BB$3,'Wells Fargo'!$B:$B,"&gt;"&amp;'Cash Flow'!BA$3)</f>
        <v>0</v>
      </c>
      <c r="BC8" s="188">
        <f>SUMIFS('Wells Fargo'!$F:$F,'Wells Fargo'!$G:$G,'Cash Flow'!$A8,'Wells Fargo'!$A:$A,BC$1,'Wells Fargo'!$B:$B,"&lt;="&amp;'Cash Flow'!BC$3,'Wells Fargo'!$B:$B,"&gt;"&amp;'Cash Flow'!BB$3)</f>
        <v>0</v>
      </c>
      <c r="BD8" s="188">
        <f>SUMIFS('Wells Fargo'!$F:$F,'Wells Fargo'!$G:$G,'Cash Flow'!$A8,'Wells Fargo'!$A:$A,BD$1,'Wells Fargo'!$B:$B,"&lt;="&amp;'Cash Flow'!BD$3,'Wells Fargo'!$B:$B,"&gt;"&amp;'Cash Flow'!BC$3)</f>
        <v>0</v>
      </c>
      <c r="BE8" s="189">
        <f>SUMIFS('Wells Fargo'!$F:$F,'Wells Fargo'!$G:$G,'Cash Flow'!$A8,'Wells Fargo'!$A:$A,BE$1,'Wells Fargo'!$B:$B,"&lt;="&amp;'Cash Flow'!BE$3)</f>
        <v>0</v>
      </c>
      <c r="BF8" s="188">
        <f>SUMIFS('Wells Fargo'!$F:$F,'Wells Fargo'!$G:$G,'Cash Flow'!$A8,'Wells Fargo'!$A:$A,BF$1,'Wells Fargo'!$B:$B,"&lt;="&amp;'Cash Flow'!BF$3,'Wells Fargo'!$B:$B,"&gt;"&amp;'Cash Flow'!BE$3)</f>
        <v>0</v>
      </c>
      <c r="BG8" s="188">
        <f>SUMIFS('Wells Fargo'!$F:$F,'Wells Fargo'!$G:$G,'Cash Flow'!$A8,'Wells Fargo'!$A:$A,BG$1,'Wells Fargo'!$B:$B,"&lt;="&amp;'Cash Flow'!BG$3,'Wells Fargo'!$B:$B,"&gt;"&amp;'Cash Flow'!BF$3)</f>
        <v>0</v>
      </c>
      <c r="BH8" s="188">
        <f>SUMIFS('Wells Fargo'!$F:$F,'Wells Fargo'!$G:$G,'Cash Flow'!$A8,'Wells Fargo'!$A:$A,BH$1,'Wells Fargo'!$B:$B,"&lt;="&amp;'Cash Flow'!BH$3,'Wells Fargo'!$B:$B,"&gt;"&amp;'Cash Flow'!BG$3)</f>
        <v>0</v>
      </c>
      <c r="BI8" s="188">
        <f>SUMIFS('Wells Fargo'!$F:$F,'Wells Fargo'!$G:$G,'Cash Flow'!$A8,'Wells Fargo'!$A:$A,BI$1,'Wells Fargo'!$B:$B,"&lt;="&amp;'Cash Flow'!BI$3,'Wells Fargo'!$B:$B,"&gt;"&amp;'Cash Flow'!BH$3)</f>
        <v>0</v>
      </c>
    </row>
    <row r="9" spans="1:61" ht="12.75" x14ac:dyDescent="0.2">
      <c r="A9" t="str">
        <v>Amar - Water</v>
      </c>
      <c r="B9" s="87">
        <f t="shared" si="0"/>
        <v>-400</v>
      </c>
      <c r="C9" s="189">
        <f>SUMIFS('Wells Fargo'!$F:$F,'Wells Fargo'!$G:$G,'Cash Flow'!$A9,'Wells Fargo'!$A:$A,C$1,'Wells Fargo'!$B:$B,"&lt;="&amp;'Cash Flow'!C$3)</f>
        <v>0</v>
      </c>
      <c r="D9" s="188">
        <f>SUMIFS('Wells Fargo'!$F:$F,'Wells Fargo'!$G:$G,'Cash Flow'!$A9,'Wells Fargo'!$A:$A,D$1,'Wells Fargo'!$B:$B,"&lt;="&amp;'Cash Flow'!D$3,'Wells Fargo'!$B:$B,"&gt;"&amp;'Cash Flow'!C$3)</f>
        <v>0</v>
      </c>
      <c r="E9" s="188">
        <f>SUMIFS('Wells Fargo'!$F:$F,'Wells Fargo'!$G:$G,'Cash Flow'!$A9,'Wells Fargo'!$A:$A,E$1,'Wells Fargo'!$B:$B,"&lt;="&amp;'Cash Flow'!E$3,'Wells Fargo'!$B:$B,"&gt;"&amp;'Cash Flow'!D$3)</f>
        <v>0</v>
      </c>
      <c r="F9" s="188">
        <f>SUMIFS('Wells Fargo'!$F:$F,'Wells Fargo'!$G:$G,'Cash Flow'!$A9,'Wells Fargo'!$A:$A,F$1,'Wells Fargo'!$B:$B,"&lt;="&amp;'Cash Flow'!F$3,'Wells Fargo'!$B:$B,"&gt;"&amp;'Cash Flow'!E$3)</f>
        <v>0</v>
      </c>
      <c r="G9" s="188">
        <f>SUMIFS('Wells Fargo'!$F:$F,'Wells Fargo'!$G:$G,'Cash Flow'!$A9,'Wells Fargo'!$A:$A,G$1,'Wells Fargo'!$B:$B,"&lt;="&amp;'Cash Flow'!G$3,'Wells Fargo'!$B:$B,"&gt;"&amp;'Cash Flow'!F$3)</f>
        <v>0</v>
      </c>
      <c r="H9" s="189">
        <f>SUMIFS('Wells Fargo'!$F:$F,'Wells Fargo'!$G:$G,'Cash Flow'!$A9,'Wells Fargo'!$A:$A,H$1,'Wells Fargo'!$B:$B,"&lt;="&amp;'Cash Flow'!H$3)</f>
        <v>0</v>
      </c>
      <c r="I9" s="188">
        <f>SUMIFS('Wells Fargo'!$F:$F,'Wells Fargo'!$G:$G,'Cash Flow'!$A9,'Wells Fargo'!$A:$A,I$1,'Wells Fargo'!$B:$B,"&lt;="&amp;'Cash Flow'!I$3,'Wells Fargo'!$B:$B,"&gt;"&amp;'Cash Flow'!H$3)</f>
        <v>0</v>
      </c>
      <c r="J9" s="188">
        <f>SUMIFS('Wells Fargo'!$F:$F,'Wells Fargo'!$G:$G,'Cash Flow'!$A9,'Wells Fargo'!$A:$A,J$1,'Wells Fargo'!$B:$B,"&lt;="&amp;'Cash Flow'!J$3,'Wells Fargo'!$B:$B,"&gt;"&amp;'Cash Flow'!I$3)</f>
        <v>0</v>
      </c>
      <c r="K9" s="188">
        <f>SUMIFS('Wells Fargo'!$F:$F,'Wells Fargo'!$G:$G,'Cash Flow'!$A9,'Wells Fargo'!$A:$A,K$1,'Wells Fargo'!$B:$B,"&lt;="&amp;'Cash Flow'!K$3,'Wells Fargo'!$B:$B,"&gt;"&amp;'Cash Flow'!J$3)</f>
        <v>0</v>
      </c>
      <c r="L9" s="189">
        <f>SUMIFS('Wells Fargo'!$F:$F,'Wells Fargo'!$G:$G,'Cash Flow'!$A9,'Wells Fargo'!$A:$A,L$1,'Wells Fargo'!$B:$B,"&lt;="&amp;'Cash Flow'!L$3)</f>
        <v>0</v>
      </c>
      <c r="M9" s="188">
        <f>SUMIFS('Wells Fargo'!$F:$F,'Wells Fargo'!$G:$G,'Cash Flow'!$A9,'Wells Fargo'!$A:$A,M$1,'Wells Fargo'!$B:$B,"&lt;="&amp;'Cash Flow'!M$3,'Wells Fargo'!$B:$B,"&gt;"&amp;'Cash Flow'!L$3)</f>
        <v>-150</v>
      </c>
      <c r="N9" s="188">
        <f>SUMIFS('Wells Fargo'!$F:$F,'Wells Fargo'!$G:$G,'Cash Flow'!$A9,'Wells Fargo'!$A:$A,N$1,'Wells Fargo'!$B:$B,"&lt;="&amp;'Cash Flow'!N$3,'Wells Fargo'!$B:$B,"&gt;"&amp;'Cash Flow'!M$3)</f>
        <v>0</v>
      </c>
      <c r="O9" s="188">
        <f>SUMIFS('Wells Fargo'!$F:$F,'Wells Fargo'!$G:$G,'Cash Flow'!$A9,'Wells Fargo'!$A:$A,O$1,'Wells Fargo'!$B:$B,"&lt;="&amp;'Cash Flow'!O$3,'Wells Fargo'!$B:$B,"&gt;"&amp;'Cash Flow'!N$3)</f>
        <v>0</v>
      </c>
      <c r="P9" s="188">
        <f>SUMIFS('Wells Fargo'!$F:$F,'Wells Fargo'!$G:$G,'Cash Flow'!$A9,'Wells Fargo'!$A:$A,P$1,'Wells Fargo'!$B:$B,"&lt;="&amp;'Cash Flow'!P$3,'Wells Fargo'!$B:$B,"&gt;"&amp;'Cash Flow'!O$3)</f>
        <v>0</v>
      </c>
      <c r="Q9" s="189">
        <f>SUMIFS('Wells Fargo'!$F:$F,'Wells Fargo'!$G:$G,'Cash Flow'!$A9,'Wells Fargo'!$A:$A,Q$1,'Wells Fargo'!$B:$B,"&lt;="&amp;'Cash Flow'!Q$3)</f>
        <v>0</v>
      </c>
      <c r="R9" s="188">
        <f>SUMIFS('Wells Fargo'!$F:$F,'Wells Fargo'!$G:$G,'Cash Flow'!$A9,'Wells Fargo'!$A:$A,R$1,'Wells Fargo'!$B:$B,"&lt;="&amp;'Cash Flow'!R$3,'Wells Fargo'!$B:$B,"&gt;"&amp;'Cash Flow'!Q$3)</f>
        <v>0</v>
      </c>
      <c r="S9" s="188">
        <f>SUMIFS('Wells Fargo'!$F:$F,'Wells Fargo'!$G:$G,'Cash Flow'!$A9,'Wells Fargo'!$A:$A,S$1,'Wells Fargo'!$B:$B,"&lt;="&amp;'Cash Flow'!S$3,'Wells Fargo'!$B:$B,"&gt;"&amp;'Cash Flow'!R$3)</f>
        <v>-100</v>
      </c>
      <c r="T9" s="188">
        <f>SUMIFS('Wells Fargo'!$F:$F,'Wells Fargo'!$G:$G,'Cash Flow'!$A9,'Wells Fargo'!$A:$A,T$1,'Wells Fargo'!$B:$B,"&lt;="&amp;'Cash Flow'!T$3,'Wells Fargo'!$B:$B,"&gt;"&amp;'Cash Flow'!S$3)</f>
        <v>0</v>
      </c>
      <c r="U9" s="188">
        <f>SUMIFS('Wells Fargo'!$F:$F,'Wells Fargo'!$G:$G,'Cash Flow'!$A9,'Wells Fargo'!$A:$A,U$1,'Wells Fargo'!$B:$B,"&lt;="&amp;'Cash Flow'!U$3,'Wells Fargo'!$B:$B,"&gt;"&amp;'Cash Flow'!T$3)</f>
        <v>0</v>
      </c>
      <c r="V9" s="189">
        <f>SUMIFS('Wells Fargo'!$F:$F,'Wells Fargo'!$G:$G,'Cash Flow'!$A9,'Wells Fargo'!$A:$A,V$1,'Wells Fargo'!$B:$B,"&lt;="&amp;'Cash Flow'!V$3)</f>
        <v>0</v>
      </c>
      <c r="W9" s="188">
        <f>SUMIFS('Wells Fargo'!$F:$F,'Wells Fargo'!$G:$G,'Cash Flow'!$A9,'Wells Fargo'!$A:$A,W$1,'Wells Fargo'!$B:$B,"&lt;="&amp;'Cash Flow'!W$3,'Wells Fargo'!$B:$B,"&gt;"&amp;'Cash Flow'!V$3)</f>
        <v>-150</v>
      </c>
      <c r="X9" s="188">
        <f>SUMIFS('Wells Fargo'!$F:$F,'Wells Fargo'!$G:$G,'Cash Flow'!$A9,'Wells Fargo'!$A:$A,X$1,'Wells Fargo'!$B:$B,"&lt;="&amp;'Cash Flow'!X$3,'Wells Fargo'!$B:$B,"&gt;"&amp;'Cash Flow'!W$3)</f>
        <v>0</v>
      </c>
      <c r="Y9" s="188">
        <f>SUMIFS('Wells Fargo'!$F:$F,'Wells Fargo'!$G:$G,'Cash Flow'!$A9,'Wells Fargo'!$A:$A,Y$1,'Wells Fargo'!$B:$B,"&lt;="&amp;'Cash Flow'!Y$3,'Wells Fargo'!$B:$B,"&gt;"&amp;'Cash Flow'!X$3)</f>
        <v>0</v>
      </c>
      <c r="Z9" s="188">
        <f>SUMIFS('Wells Fargo'!$F:$F,'Wells Fargo'!$G:$G,'Cash Flow'!$A9,'Wells Fargo'!$A:$A,Z$1,'Wells Fargo'!$B:$B,"&lt;="&amp;'Cash Flow'!Z$3,'Wells Fargo'!$B:$B,"&gt;"&amp;'Cash Flow'!Y$3)</f>
        <v>0</v>
      </c>
      <c r="AA9" s="189">
        <f>SUMIFS('Wells Fargo'!$F:$F,'Wells Fargo'!$G:$G,'Cash Flow'!$A9,'Wells Fargo'!$A:$A,AA$1,'Wells Fargo'!$B:$B,"&lt;="&amp;'Cash Flow'!AA$3)</f>
        <v>0</v>
      </c>
      <c r="AB9" s="188">
        <f>SUMIFS('Wells Fargo'!$F:$F,'Wells Fargo'!$G:$G,'Cash Flow'!$A9,'Wells Fargo'!$A:$A,AB$1,'Wells Fargo'!$B:$B,"&lt;="&amp;'Cash Flow'!AB$3,'Wells Fargo'!$B:$B,"&gt;"&amp;'Cash Flow'!AA$3)</f>
        <v>0</v>
      </c>
      <c r="AC9" s="188">
        <f>SUMIFS('Wells Fargo'!$F:$F,'Wells Fargo'!$G:$G,'Cash Flow'!$A9,'Wells Fargo'!$A:$A,AC$1,'Wells Fargo'!$B:$B,"&lt;="&amp;'Cash Flow'!AC$3,'Wells Fargo'!$B:$B,"&gt;"&amp;'Cash Flow'!AB$3)</f>
        <v>0</v>
      </c>
      <c r="AD9" s="188">
        <f>SUMIFS('Wells Fargo'!$F:$F,'Wells Fargo'!$G:$G,'Cash Flow'!$A9,'Wells Fargo'!$A:$A,AD$1,'Wells Fargo'!$B:$B,"&lt;="&amp;'Cash Flow'!AD$3,'Wells Fargo'!$B:$B,"&gt;"&amp;'Cash Flow'!AC$3)</f>
        <v>0</v>
      </c>
      <c r="AE9" s="188">
        <f>SUMIFS('Wells Fargo'!$F:$F,'Wells Fargo'!$G:$G,'Cash Flow'!$A9,'Wells Fargo'!$A:$A,AE$1,'Wells Fargo'!$B:$B,"&lt;="&amp;'Cash Flow'!AE$3,'Wells Fargo'!$B:$B,"&gt;"&amp;'Cash Flow'!AD$3)</f>
        <v>0</v>
      </c>
      <c r="AF9" s="189">
        <f>SUMIFS('Wells Fargo'!$F:$F,'Wells Fargo'!$G:$G,'Cash Flow'!$A9,'Wells Fargo'!$A:$A,AF$1,'Wells Fargo'!$B:$B,"&lt;="&amp;'Cash Flow'!AF$3)</f>
        <v>0</v>
      </c>
      <c r="AG9" s="188">
        <f>SUMIFS('Wells Fargo'!$F:$F,'Wells Fargo'!$G:$G,'Cash Flow'!$A9,'Wells Fargo'!$A:$A,AG$1,'Wells Fargo'!$B:$B,"&lt;="&amp;'Cash Flow'!AG$3,'Wells Fargo'!$B:$B,"&gt;"&amp;'Cash Flow'!AF$3)</f>
        <v>0</v>
      </c>
      <c r="AH9" s="188">
        <f>SUMIFS('Wells Fargo'!$F:$F,'Wells Fargo'!$G:$G,'Cash Flow'!$A9,'Wells Fargo'!$A:$A,AH$1,'Wells Fargo'!$B:$B,"&lt;="&amp;'Cash Flow'!AH$3,'Wells Fargo'!$B:$B,"&gt;"&amp;'Cash Flow'!AG$3)</f>
        <v>0</v>
      </c>
      <c r="AI9" s="188">
        <f>SUMIFS('Wells Fargo'!$F:$F,'Wells Fargo'!$G:$G,'Cash Flow'!$A9,'Wells Fargo'!$A:$A,AI$1,'Wells Fargo'!$B:$B,"&lt;="&amp;'Cash Flow'!AI$3,'Wells Fargo'!$B:$B,"&gt;"&amp;'Cash Flow'!AH$3)</f>
        <v>0</v>
      </c>
      <c r="AJ9" s="188">
        <f>SUMIFS('Wells Fargo'!$F:$F,'Wells Fargo'!$G:$G,'Cash Flow'!$A9,'Wells Fargo'!$A:$A,AJ$1,'Wells Fargo'!$B:$B,"&lt;="&amp;'Cash Flow'!AJ$3,'Wells Fargo'!$B:$B,"&gt;"&amp;'Cash Flow'!AI$3)</f>
        <v>0</v>
      </c>
      <c r="AK9" s="189">
        <f>SUMIFS('Wells Fargo'!$F:$F,'Wells Fargo'!$G:$G,'Cash Flow'!$A9,'Wells Fargo'!$A:$A,AK$1,'Wells Fargo'!$B:$B,"&lt;="&amp;'Cash Flow'!AK$3)</f>
        <v>0</v>
      </c>
      <c r="AL9" s="188">
        <f>SUMIFS('Wells Fargo'!$F:$F,'Wells Fargo'!$G:$G,'Cash Flow'!$A9,'Wells Fargo'!$A:$A,AL$1,'Wells Fargo'!$B:$B,"&lt;="&amp;'Cash Flow'!AL$3,'Wells Fargo'!$B:$B,"&gt;"&amp;'Cash Flow'!AK$3)</f>
        <v>0</v>
      </c>
      <c r="AM9" s="188">
        <f>SUMIFS('Wells Fargo'!$F:$F,'Wells Fargo'!$G:$G,'Cash Flow'!$A9,'Wells Fargo'!$A:$A,AM$1,'Wells Fargo'!$B:$B,"&lt;="&amp;'Cash Flow'!AM$3,'Wells Fargo'!$B:$B,"&gt;"&amp;'Cash Flow'!AL$3)</f>
        <v>0</v>
      </c>
      <c r="AN9" s="188">
        <f>SUMIFS('Wells Fargo'!$F:$F,'Wells Fargo'!$G:$G,'Cash Flow'!$A9,'Wells Fargo'!$A:$A,AN$1,'Wells Fargo'!$B:$B,"&lt;="&amp;'Cash Flow'!AN$3,'Wells Fargo'!$B:$B,"&gt;"&amp;'Cash Flow'!AM$3)</f>
        <v>0</v>
      </c>
      <c r="AO9" s="188">
        <f>SUMIFS('Wells Fargo'!$F:$F,'Wells Fargo'!$G:$G,'Cash Flow'!$A9,'Wells Fargo'!$A:$A,AO$1,'Wells Fargo'!$B:$B,"&lt;="&amp;'Cash Flow'!AO$3,'Wells Fargo'!$B:$B,"&gt;"&amp;'Cash Flow'!AN$3)</f>
        <v>0</v>
      </c>
      <c r="AP9" s="189">
        <f>SUMIFS('Wells Fargo'!$F:$F,'Wells Fargo'!$G:$G,'Cash Flow'!$A9,'Wells Fargo'!$A:$A,AP$1,'Wells Fargo'!$B:$B,"&lt;="&amp;'Cash Flow'!AP$3)</f>
        <v>0</v>
      </c>
      <c r="AQ9" s="188">
        <f>SUMIFS('Wells Fargo'!$F:$F,'Wells Fargo'!$G:$G,'Cash Flow'!$A9,'Wells Fargo'!$A:$A,AQ$1,'Wells Fargo'!$B:$B,"&lt;="&amp;'Cash Flow'!AQ$3,'Wells Fargo'!$B:$B,"&gt;"&amp;'Cash Flow'!AP$3)</f>
        <v>0</v>
      </c>
      <c r="AR9" s="188">
        <f>SUMIFS('Wells Fargo'!$F:$F,'Wells Fargo'!$G:$G,'Cash Flow'!$A9,'Wells Fargo'!$A:$A,AR$1,'Wells Fargo'!$B:$B,"&lt;="&amp;'Cash Flow'!AR$3,'Wells Fargo'!$B:$B,"&gt;"&amp;'Cash Flow'!AQ$3)</f>
        <v>0</v>
      </c>
      <c r="AS9" s="188">
        <f>SUMIFS('Wells Fargo'!$F:$F,'Wells Fargo'!$G:$G,'Cash Flow'!$A9,'Wells Fargo'!$A:$A,AS$1,'Wells Fargo'!$B:$B,"&lt;="&amp;'Cash Flow'!AS$3,'Wells Fargo'!$B:$B,"&gt;"&amp;'Cash Flow'!AR$3)</f>
        <v>0</v>
      </c>
      <c r="AT9" s="188">
        <f>SUMIFS('Wells Fargo'!$F:$F,'Wells Fargo'!$G:$G,'Cash Flow'!$A9,'Wells Fargo'!$A:$A,AT$1,'Wells Fargo'!$B:$B,"&lt;="&amp;'Cash Flow'!AT$3,'Wells Fargo'!$B:$B,"&gt;"&amp;'Cash Flow'!AS$3)</f>
        <v>0</v>
      </c>
      <c r="AU9" s="189">
        <f>SUMIFS('Wells Fargo'!$F:$F,'Wells Fargo'!$G:$G,'Cash Flow'!$A9,'Wells Fargo'!$A:$A,AU$1,'Wells Fargo'!$B:$B,"&lt;="&amp;'Cash Flow'!AU$3)</f>
        <v>0</v>
      </c>
      <c r="AV9" s="188">
        <f>SUMIFS('Wells Fargo'!$F:$F,'Wells Fargo'!$G:$G,'Cash Flow'!$A9,'Wells Fargo'!$A:$A,AV$1,'Wells Fargo'!$B:$B,"&lt;="&amp;'Cash Flow'!AV$3,'Wells Fargo'!$B:$B,"&gt;"&amp;'Cash Flow'!AU$3)</f>
        <v>0</v>
      </c>
      <c r="AW9" s="188">
        <f>SUMIFS('Wells Fargo'!$F:$F,'Wells Fargo'!$G:$G,'Cash Flow'!$A9,'Wells Fargo'!$A:$A,AW$1,'Wells Fargo'!$B:$B,"&lt;="&amp;'Cash Flow'!AW$3,'Wells Fargo'!$B:$B,"&gt;"&amp;'Cash Flow'!AV$3)</f>
        <v>0</v>
      </c>
      <c r="AX9" s="188">
        <f>SUMIFS('Wells Fargo'!$F:$F,'Wells Fargo'!$G:$G,'Cash Flow'!$A9,'Wells Fargo'!$A:$A,AX$1,'Wells Fargo'!$B:$B,"&lt;="&amp;'Cash Flow'!AX$3,'Wells Fargo'!$B:$B,"&gt;"&amp;'Cash Flow'!AW$3)</f>
        <v>0</v>
      </c>
      <c r="AY9" s="188">
        <f>SUMIFS('Wells Fargo'!$F:$F,'Wells Fargo'!$G:$G,'Cash Flow'!$A9,'Wells Fargo'!$A:$A,AY$1,'Wells Fargo'!$B:$B,"&lt;="&amp;'Cash Flow'!AY$3,'Wells Fargo'!$B:$B,"&gt;"&amp;'Cash Flow'!AX$3)</f>
        <v>0</v>
      </c>
      <c r="AZ9" s="189">
        <f>SUMIFS('Wells Fargo'!$F:$F,'Wells Fargo'!$G:$G,'Cash Flow'!$A9,'Wells Fargo'!$A:$A,AZ$1,'Wells Fargo'!$B:$B,"&lt;="&amp;'Cash Flow'!AZ$3)</f>
        <v>0</v>
      </c>
      <c r="BA9" s="188">
        <f>SUMIFS('Wells Fargo'!$F:$F,'Wells Fargo'!$G:$G,'Cash Flow'!$A9,'Wells Fargo'!$A:$A,BA$1,'Wells Fargo'!$B:$B,"&lt;="&amp;'Cash Flow'!BA$3,'Wells Fargo'!$B:$B,"&gt;"&amp;'Cash Flow'!AZ$3)</f>
        <v>0</v>
      </c>
      <c r="BB9" s="188">
        <f>SUMIFS('Wells Fargo'!$F:$F,'Wells Fargo'!$G:$G,'Cash Flow'!$A9,'Wells Fargo'!$A:$A,BB$1,'Wells Fargo'!$B:$B,"&lt;="&amp;'Cash Flow'!BB$3,'Wells Fargo'!$B:$B,"&gt;"&amp;'Cash Flow'!BA$3)</f>
        <v>0</v>
      </c>
      <c r="BC9" s="188">
        <f>SUMIFS('Wells Fargo'!$F:$F,'Wells Fargo'!$G:$G,'Cash Flow'!$A9,'Wells Fargo'!$A:$A,BC$1,'Wells Fargo'!$B:$B,"&lt;="&amp;'Cash Flow'!BC$3,'Wells Fargo'!$B:$B,"&gt;"&amp;'Cash Flow'!BB$3)</f>
        <v>0</v>
      </c>
      <c r="BD9" s="188">
        <f>SUMIFS('Wells Fargo'!$F:$F,'Wells Fargo'!$G:$G,'Cash Flow'!$A9,'Wells Fargo'!$A:$A,BD$1,'Wells Fargo'!$B:$B,"&lt;="&amp;'Cash Flow'!BD$3,'Wells Fargo'!$B:$B,"&gt;"&amp;'Cash Flow'!BC$3)</f>
        <v>0</v>
      </c>
      <c r="BE9" s="189">
        <f>SUMIFS('Wells Fargo'!$F:$F,'Wells Fargo'!$G:$G,'Cash Flow'!$A9,'Wells Fargo'!$A:$A,BE$1,'Wells Fargo'!$B:$B,"&lt;="&amp;'Cash Flow'!BE$3)</f>
        <v>0</v>
      </c>
      <c r="BF9" s="188">
        <f>SUMIFS('Wells Fargo'!$F:$F,'Wells Fargo'!$G:$G,'Cash Flow'!$A9,'Wells Fargo'!$A:$A,BF$1,'Wells Fargo'!$B:$B,"&lt;="&amp;'Cash Flow'!BF$3,'Wells Fargo'!$B:$B,"&gt;"&amp;'Cash Flow'!BE$3)</f>
        <v>0</v>
      </c>
      <c r="BG9" s="188">
        <f>SUMIFS('Wells Fargo'!$F:$F,'Wells Fargo'!$G:$G,'Cash Flow'!$A9,'Wells Fargo'!$A:$A,BG$1,'Wells Fargo'!$B:$B,"&lt;="&amp;'Cash Flow'!BG$3,'Wells Fargo'!$B:$B,"&gt;"&amp;'Cash Flow'!BF$3)</f>
        <v>0</v>
      </c>
      <c r="BH9" s="188">
        <f>SUMIFS('Wells Fargo'!$F:$F,'Wells Fargo'!$G:$G,'Cash Flow'!$A9,'Wells Fargo'!$A:$A,BH$1,'Wells Fargo'!$B:$B,"&lt;="&amp;'Cash Flow'!BH$3,'Wells Fargo'!$B:$B,"&gt;"&amp;'Cash Flow'!BG$3)</f>
        <v>0</v>
      </c>
      <c r="BI9" s="188">
        <f>SUMIFS('Wells Fargo'!$F:$F,'Wells Fargo'!$G:$G,'Cash Flow'!$A9,'Wells Fargo'!$A:$A,BI$1,'Wells Fargo'!$B:$B,"&lt;="&amp;'Cash Flow'!BI$3,'Wells Fargo'!$B:$B,"&gt;"&amp;'Cash Flow'!BH$3)</f>
        <v>0</v>
      </c>
    </row>
    <row r="10" spans="1:61" ht="12.75" x14ac:dyDescent="0.2">
      <c r="A10" t="str">
        <v>Anush Rohani Shukla</v>
      </c>
      <c r="B10" s="87">
        <f t="shared" si="0"/>
        <v>-615</v>
      </c>
      <c r="C10" s="189">
        <f>SUMIFS('Wells Fargo'!$F:$F,'Wells Fargo'!$G:$G,'Cash Flow'!$A10,'Wells Fargo'!$A:$A,C$1,'Wells Fargo'!$B:$B,"&lt;="&amp;'Cash Flow'!C$3)</f>
        <v>0</v>
      </c>
      <c r="D10" s="188">
        <f>SUMIFS('Wells Fargo'!$F:$F,'Wells Fargo'!$G:$G,'Cash Flow'!$A10,'Wells Fargo'!$A:$A,D$1,'Wells Fargo'!$B:$B,"&lt;="&amp;'Cash Flow'!D$3,'Wells Fargo'!$B:$B,"&gt;"&amp;'Cash Flow'!C$3)</f>
        <v>0</v>
      </c>
      <c r="E10" s="188">
        <f>SUMIFS('Wells Fargo'!$F:$F,'Wells Fargo'!$G:$G,'Cash Flow'!$A10,'Wells Fargo'!$A:$A,E$1,'Wells Fargo'!$B:$B,"&lt;="&amp;'Cash Flow'!E$3,'Wells Fargo'!$B:$B,"&gt;"&amp;'Cash Flow'!D$3)</f>
        <v>0</v>
      </c>
      <c r="F10" s="188">
        <f>SUMIFS('Wells Fargo'!$F:$F,'Wells Fargo'!$G:$G,'Cash Flow'!$A10,'Wells Fargo'!$A:$A,F$1,'Wells Fargo'!$B:$B,"&lt;="&amp;'Cash Flow'!F$3,'Wells Fargo'!$B:$B,"&gt;"&amp;'Cash Flow'!E$3)</f>
        <v>0</v>
      </c>
      <c r="G10" s="188">
        <f>SUMIFS('Wells Fargo'!$F:$F,'Wells Fargo'!$G:$G,'Cash Flow'!$A10,'Wells Fargo'!$A:$A,G$1,'Wells Fargo'!$B:$B,"&lt;="&amp;'Cash Flow'!G$3,'Wells Fargo'!$B:$B,"&gt;"&amp;'Cash Flow'!F$3)</f>
        <v>0</v>
      </c>
      <c r="H10" s="189">
        <f>SUMIFS('Wells Fargo'!$F:$F,'Wells Fargo'!$G:$G,'Cash Flow'!$A10,'Wells Fargo'!$A:$A,H$1,'Wells Fargo'!$B:$B,"&lt;="&amp;'Cash Flow'!H$3)</f>
        <v>0</v>
      </c>
      <c r="I10" s="188">
        <f>SUMIFS('Wells Fargo'!$F:$F,'Wells Fargo'!$G:$G,'Cash Flow'!$A10,'Wells Fargo'!$A:$A,I$1,'Wells Fargo'!$B:$B,"&lt;="&amp;'Cash Flow'!I$3,'Wells Fargo'!$B:$B,"&gt;"&amp;'Cash Flow'!H$3)</f>
        <v>0</v>
      </c>
      <c r="J10" s="188">
        <f>SUMIFS('Wells Fargo'!$F:$F,'Wells Fargo'!$G:$G,'Cash Flow'!$A10,'Wells Fargo'!$A:$A,J$1,'Wells Fargo'!$B:$B,"&lt;="&amp;'Cash Flow'!J$3,'Wells Fargo'!$B:$B,"&gt;"&amp;'Cash Flow'!I$3)</f>
        <v>0</v>
      </c>
      <c r="K10" s="188">
        <f>SUMIFS('Wells Fargo'!$F:$F,'Wells Fargo'!$G:$G,'Cash Flow'!$A10,'Wells Fargo'!$A:$A,K$1,'Wells Fargo'!$B:$B,"&lt;="&amp;'Cash Flow'!K$3,'Wells Fargo'!$B:$B,"&gt;"&amp;'Cash Flow'!J$3)</f>
        <v>0</v>
      </c>
      <c r="L10" s="189">
        <f>SUMIFS('Wells Fargo'!$F:$F,'Wells Fargo'!$G:$G,'Cash Flow'!$A10,'Wells Fargo'!$A:$A,L$1,'Wells Fargo'!$B:$B,"&lt;="&amp;'Cash Flow'!L$3)</f>
        <v>0</v>
      </c>
      <c r="M10" s="188">
        <f>SUMIFS('Wells Fargo'!$F:$F,'Wells Fargo'!$G:$G,'Cash Flow'!$A10,'Wells Fargo'!$A:$A,M$1,'Wells Fargo'!$B:$B,"&lt;="&amp;'Cash Flow'!M$3,'Wells Fargo'!$B:$B,"&gt;"&amp;'Cash Flow'!L$3)</f>
        <v>0</v>
      </c>
      <c r="N10" s="188">
        <f>SUMIFS('Wells Fargo'!$F:$F,'Wells Fargo'!$G:$G,'Cash Flow'!$A10,'Wells Fargo'!$A:$A,N$1,'Wells Fargo'!$B:$B,"&lt;="&amp;'Cash Flow'!N$3,'Wells Fargo'!$B:$B,"&gt;"&amp;'Cash Flow'!M$3)</f>
        <v>0</v>
      </c>
      <c r="O10" s="188">
        <f>SUMIFS('Wells Fargo'!$F:$F,'Wells Fargo'!$G:$G,'Cash Flow'!$A10,'Wells Fargo'!$A:$A,O$1,'Wells Fargo'!$B:$B,"&lt;="&amp;'Cash Flow'!O$3,'Wells Fargo'!$B:$B,"&gt;"&amp;'Cash Flow'!N$3)</f>
        <v>0</v>
      </c>
      <c r="P10" s="188">
        <f>SUMIFS('Wells Fargo'!$F:$F,'Wells Fargo'!$G:$G,'Cash Flow'!$A10,'Wells Fargo'!$A:$A,P$1,'Wells Fargo'!$B:$B,"&lt;="&amp;'Cash Flow'!P$3,'Wells Fargo'!$B:$B,"&gt;"&amp;'Cash Flow'!O$3)</f>
        <v>0</v>
      </c>
      <c r="Q10" s="189">
        <f>SUMIFS('Wells Fargo'!$F:$F,'Wells Fargo'!$G:$G,'Cash Flow'!$A10,'Wells Fargo'!$A:$A,Q$1,'Wells Fargo'!$B:$B,"&lt;="&amp;'Cash Flow'!Q$3)</f>
        <v>0</v>
      </c>
      <c r="R10" s="188">
        <f>SUMIFS('Wells Fargo'!$F:$F,'Wells Fargo'!$G:$G,'Cash Flow'!$A10,'Wells Fargo'!$A:$A,R$1,'Wells Fargo'!$B:$B,"&lt;="&amp;'Cash Flow'!R$3,'Wells Fargo'!$B:$B,"&gt;"&amp;'Cash Flow'!Q$3)</f>
        <v>0</v>
      </c>
      <c r="S10" s="188">
        <f>SUMIFS('Wells Fargo'!$F:$F,'Wells Fargo'!$G:$G,'Cash Flow'!$A10,'Wells Fargo'!$A:$A,S$1,'Wells Fargo'!$B:$B,"&lt;="&amp;'Cash Flow'!S$3,'Wells Fargo'!$B:$B,"&gt;"&amp;'Cash Flow'!R$3)</f>
        <v>0</v>
      </c>
      <c r="T10" s="188">
        <f>SUMIFS('Wells Fargo'!$F:$F,'Wells Fargo'!$G:$G,'Cash Flow'!$A10,'Wells Fargo'!$A:$A,T$1,'Wells Fargo'!$B:$B,"&lt;="&amp;'Cash Flow'!T$3,'Wells Fargo'!$B:$B,"&gt;"&amp;'Cash Flow'!S$3)</f>
        <v>0</v>
      </c>
      <c r="U10" s="188">
        <f>SUMIFS('Wells Fargo'!$F:$F,'Wells Fargo'!$G:$G,'Cash Flow'!$A10,'Wells Fargo'!$A:$A,U$1,'Wells Fargo'!$B:$B,"&lt;="&amp;'Cash Flow'!U$3,'Wells Fargo'!$B:$B,"&gt;"&amp;'Cash Flow'!T$3)</f>
        <v>0</v>
      </c>
      <c r="V10" s="189">
        <f>SUMIFS('Wells Fargo'!$F:$F,'Wells Fargo'!$G:$G,'Cash Flow'!$A10,'Wells Fargo'!$A:$A,V$1,'Wells Fargo'!$B:$B,"&lt;="&amp;'Cash Flow'!V$3)</f>
        <v>0</v>
      </c>
      <c r="W10" s="188">
        <f>SUMIFS('Wells Fargo'!$F:$F,'Wells Fargo'!$G:$G,'Cash Flow'!$A10,'Wells Fargo'!$A:$A,W$1,'Wells Fargo'!$B:$B,"&lt;="&amp;'Cash Flow'!W$3,'Wells Fargo'!$B:$B,"&gt;"&amp;'Cash Flow'!V$3)</f>
        <v>0</v>
      </c>
      <c r="X10" s="188">
        <f>SUMIFS('Wells Fargo'!$F:$F,'Wells Fargo'!$G:$G,'Cash Flow'!$A10,'Wells Fargo'!$A:$A,X$1,'Wells Fargo'!$B:$B,"&lt;="&amp;'Cash Flow'!X$3,'Wells Fargo'!$B:$B,"&gt;"&amp;'Cash Flow'!W$3)</f>
        <v>0</v>
      </c>
      <c r="Y10" s="188">
        <f>SUMIFS('Wells Fargo'!$F:$F,'Wells Fargo'!$G:$G,'Cash Flow'!$A10,'Wells Fargo'!$A:$A,Y$1,'Wells Fargo'!$B:$B,"&lt;="&amp;'Cash Flow'!Y$3,'Wells Fargo'!$B:$B,"&gt;"&amp;'Cash Flow'!X$3)</f>
        <v>0</v>
      </c>
      <c r="Z10" s="188">
        <f>SUMIFS('Wells Fargo'!$F:$F,'Wells Fargo'!$G:$G,'Cash Flow'!$A10,'Wells Fargo'!$A:$A,Z$1,'Wells Fargo'!$B:$B,"&lt;="&amp;'Cash Flow'!Z$3,'Wells Fargo'!$B:$B,"&gt;"&amp;'Cash Flow'!Y$3)</f>
        <v>0</v>
      </c>
      <c r="AA10" s="189">
        <f>SUMIFS('Wells Fargo'!$F:$F,'Wells Fargo'!$G:$G,'Cash Flow'!$A10,'Wells Fargo'!$A:$A,AA$1,'Wells Fargo'!$B:$B,"&lt;="&amp;'Cash Flow'!AA$3)</f>
        <v>0</v>
      </c>
      <c r="AB10" s="188">
        <f>SUMIFS('Wells Fargo'!$F:$F,'Wells Fargo'!$G:$G,'Cash Flow'!$A10,'Wells Fargo'!$A:$A,AB$1,'Wells Fargo'!$B:$B,"&lt;="&amp;'Cash Flow'!AB$3,'Wells Fargo'!$B:$B,"&gt;"&amp;'Cash Flow'!AA$3)</f>
        <v>0</v>
      </c>
      <c r="AC10" s="188">
        <f>SUMIFS('Wells Fargo'!$F:$F,'Wells Fargo'!$G:$G,'Cash Flow'!$A10,'Wells Fargo'!$A:$A,AC$1,'Wells Fargo'!$B:$B,"&lt;="&amp;'Cash Flow'!AC$3,'Wells Fargo'!$B:$B,"&gt;"&amp;'Cash Flow'!AB$3)</f>
        <v>0</v>
      </c>
      <c r="AD10" s="188">
        <f>SUMIFS('Wells Fargo'!$F:$F,'Wells Fargo'!$G:$G,'Cash Flow'!$A10,'Wells Fargo'!$A:$A,AD$1,'Wells Fargo'!$B:$B,"&lt;="&amp;'Cash Flow'!AD$3,'Wells Fargo'!$B:$B,"&gt;"&amp;'Cash Flow'!AC$3)</f>
        <v>-615</v>
      </c>
      <c r="AE10" s="188">
        <f>SUMIFS('Wells Fargo'!$F:$F,'Wells Fargo'!$G:$G,'Cash Flow'!$A10,'Wells Fargo'!$A:$A,AE$1,'Wells Fargo'!$B:$B,"&lt;="&amp;'Cash Flow'!AE$3,'Wells Fargo'!$B:$B,"&gt;"&amp;'Cash Flow'!AD$3)</f>
        <v>0</v>
      </c>
      <c r="AF10" s="189">
        <f>SUMIFS('Wells Fargo'!$F:$F,'Wells Fargo'!$G:$G,'Cash Flow'!$A10,'Wells Fargo'!$A:$A,AF$1,'Wells Fargo'!$B:$B,"&lt;="&amp;'Cash Flow'!AF$3)</f>
        <v>0</v>
      </c>
      <c r="AG10" s="188">
        <f>SUMIFS('Wells Fargo'!$F:$F,'Wells Fargo'!$G:$G,'Cash Flow'!$A10,'Wells Fargo'!$A:$A,AG$1,'Wells Fargo'!$B:$B,"&lt;="&amp;'Cash Flow'!AG$3,'Wells Fargo'!$B:$B,"&gt;"&amp;'Cash Flow'!AF$3)</f>
        <v>0</v>
      </c>
      <c r="AH10" s="188">
        <f>SUMIFS('Wells Fargo'!$F:$F,'Wells Fargo'!$G:$G,'Cash Flow'!$A10,'Wells Fargo'!$A:$A,AH$1,'Wells Fargo'!$B:$B,"&lt;="&amp;'Cash Flow'!AH$3,'Wells Fargo'!$B:$B,"&gt;"&amp;'Cash Flow'!AG$3)</f>
        <v>0</v>
      </c>
      <c r="AI10" s="188">
        <f>SUMIFS('Wells Fargo'!$F:$F,'Wells Fargo'!$G:$G,'Cash Flow'!$A10,'Wells Fargo'!$A:$A,AI$1,'Wells Fargo'!$B:$B,"&lt;="&amp;'Cash Flow'!AI$3,'Wells Fargo'!$B:$B,"&gt;"&amp;'Cash Flow'!AH$3)</f>
        <v>0</v>
      </c>
      <c r="AJ10" s="188">
        <f>SUMIFS('Wells Fargo'!$F:$F,'Wells Fargo'!$G:$G,'Cash Flow'!$A10,'Wells Fargo'!$A:$A,AJ$1,'Wells Fargo'!$B:$B,"&lt;="&amp;'Cash Flow'!AJ$3,'Wells Fargo'!$B:$B,"&gt;"&amp;'Cash Flow'!AI$3)</f>
        <v>0</v>
      </c>
      <c r="AK10" s="189">
        <f>SUMIFS('Wells Fargo'!$F:$F,'Wells Fargo'!$G:$G,'Cash Flow'!$A10,'Wells Fargo'!$A:$A,AK$1,'Wells Fargo'!$B:$B,"&lt;="&amp;'Cash Flow'!AK$3)</f>
        <v>0</v>
      </c>
      <c r="AL10" s="188">
        <f>SUMIFS('Wells Fargo'!$F:$F,'Wells Fargo'!$G:$G,'Cash Flow'!$A10,'Wells Fargo'!$A:$A,AL$1,'Wells Fargo'!$B:$B,"&lt;="&amp;'Cash Flow'!AL$3,'Wells Fargo'!$B:$B,"&gt;"&amp;'Cash Flow'!AK$3)</f>
        <v>0</v>
      </c>
      <c r="AM10" s="188">
        <f>SUMIFS('Wells Fargo'!$F:$F,'Wells Fargo'!$G:$G,'Cash Flow'!$A10,'Wells Fargo'!$A:$A,AM$1,'Wells Fargo'!$B:$B,"&lt;="&amp;'Cash Flow'!AM$3,'Wells Fargo'!$B:$B,"&gt;"&amp;'Cash Flow'!AL$3)</f>
        <v>0</v>
      </c>
      <c r="AN10" s="188">
        <f>SUMIFS('Wells Fargo'!$F:$F,'Wells Fargo'!$G:$G,'Cash Flow'!$A10,'Wells Fargo'!$A:$A,AN$1,'Wells Fargo'!$B:$B,"&lt;="&amp;'Cash Flow'!AN$3,'Wells Fargo'!$B:$B,"&gt;"&amp;'Cash Flow'!AM$3)</f>
        <v>0</v>
      </c>
      <c r="AO10" s="188">
        <f>SUMIFS('Wells Fargo'!$F:$F,'Wells Fargo'!$G:$G,'Cash Flow'!$A10,'Wells Fargo'!$A:$A,AO$1,'Wells Fargo'!$B:$B,"&lt;="&amp;'Cash Flow'!AO$3,'Wells Fargo'!$B:$B,"&gt;"&amp;'Cash Flow'!AN$3)</f>
        <v>0</v>
      </c>
      <c r="AP10" s="189">
        <f>SUMIFS('Wells Fargo'!$F:$F,'Wells Fargo'!$G:$G,'Cash Flow'!$A10,'Wells Fargo'!$A:$A,AP$1,'Wells Fargo'!$B:$B,"&lt;="&amp;'Cash Flow'!AP$3)</f>
        <v>0</v>
      </c>
      <c r="AQ10" s="188">
        <f>SUMIFS('Wells Fargo'!$F:$F,'Wells Fargo'!$G:$G,'Cash Flow'!$A10,'Wells Fargo'!$A:$A,AQ$1,'Wells Fargo'!$B:$B,"&lt;="&amp;'Cash Flow'!AQ$3,'Wells Fargo'!$B:$B,"&gt;"&amp;'Cash Flow'!AP$3)</f>
        <v>0</v>
      </c>
      <c r="AR10" s="188">
        <f>SUMIFS('Wells Fargo'!$F:$F,'Wells Fargo'!$G:$G,'Cash Flow'!$A10,'Wells Fargo'!$A:$A,AR$1,'Wells Fargo'!$B:$B,"&lt;="&amp;'Cash Flow'!AR$3,'Wells Fargo'!$B:$B,"&gt;"&amp;'Cash Flow'!AQ$3)</f>
        <v>0</v>
      </c>
      <c r="AS10" s="188">
        <f>SUMIFS('Wells Fargo'!$F:$F,'Wells Fargo'!$G:$G,'Cash Flow'!$A10,'Wells Fargo'!$A:$A,AS$1,'Wells Fargo'!$B:$B,"&lt;="&amp;'Cash Flow'!AS$3,'Wells Fargo'!$B:$B,"&gt;"&amp;'Cash Flow'!AR$3)</f>
        <v>0</v>
      </c>
      <c r="AT10" s="188">
        <f>SUMIFS('Wells Fargo'!$F:$F,'Wells Fargo'!$G:$G,'Cash Flow'!$A10,'Wells Fargo'!$A:$A,AT$1,'Wells Fargo'!$B:$B,"&lt;="&amp;'Cash Flow'!AT$3,'Wells Fargo'!$B:$B,"&gt;"&amp;'Cash Flow'!AS$3)</f>
        <v>0</v>
      </c>
      <c r="AU10" s="189">
        <f>SUMIFS('Wells Fargo'!$F:$F,'Wells Fargo'!$G:$G,'Cash Flow'!$A10,'Wells Fargo'!$A:$A,AU$1,'Wells Fargo'!$B:$B,"&lt;="&amp;'Cash Flow'!AU$3)</f>
        <v>0</v>
      </c>
      <c r="AV10" s="188">
        <f>SUMIFS('Wells Fargo'!$F:$F,'Wells Fargo'!$G:$G,'Cash Flow'!$A10,'Wells Fargo'!$A:$A,AV$1,'Wells Fargo'!$B:$B,"&lt;="&amp;'Cash Flow'!AV$3,'Wells Fargo'!$B:$B,"&gt;"&amp;'Cash Flow'!AU$3)</f>
        <v>0</v>
      </c>
      <c r="AW10" s="188">
        <f>SUMIFS('Wells Fargo'!$F:$F,'Wells Fargo'!$G:$G,'Cash Flow'!$A10,'Wells Fargo'!$A:$A,AW$1,'Wells Fargo'!$B:$B,"&lt;="&amp;'Cash Flow'!AW$3,'Wells Fargo'!$B:$B,"&gt;"&amp;'Cash Flow'!AV$3)</f>
        <v>0</v>
      </c>
      <c r="AX10" s="188">
        <f>SUMIFS('Wells Fargo'!$F:$F,'Wells Fargo'!$G:$G,'Cash Flow'!$A10,'Wells Fargo'!$A:$A,AX$1,'Wells Fargo'!$B:$B,"&lt;="&amp;'Cash Flow'!AX$3,'Wells Fargo'!$B:$B,"&gt;"&amp;'Cash Flow'!AW$3)</f>
        <v>0</v>
      </c>
      <c r="AY10" s="188">
        <f>SUMIFS('Wells Fargo'!$F:$F,'Wells Fargo'!$G:$G,'Cash Flow'!$A10,'Wells Fargo'!$A:$A,AY$1,'Wells Fargo'!$B:$B,"&lt;="&amp;'Cash Flow'!AY$3,'Wells Fargo'!$B:$B,"&gt;"&amp;'Cash Flow'!AX$3)</f>
        <v>0</v>
      </c>
      <c r="AZ10" s="189">
        <f>SUMIFS('Wells Fargo'!$F:$F,'Wells Fargo'!$G:$G,'Cash Flow'!$A10,'Wells Fargo'!$A:$A,AZ$1,'Wells Fargo'!$B:$B,"&lt;="&amp;'Cash Flow'!AZ$3)</f>
        <v>0</v>
      </c>
      <c r="BA10" s="188">
        <f>SUMIFS('Wells Fargo'!$F:$F,'Wells Fargo'!$G:$G,'Cash Flow'!$A10,'Wells Fargo'!$A:$A,BA$1,'Wells Fargo'!$B:$B,"&lt;="&amp;'Cash Flow'!BA$3,'Wells Fargo'!$B:$B,"&gt;"&amp;'Cash Flow'!AZ$3)</f>
        <v>0</v>
      </c>
      <c r="BB10" s="188">
        <f>SUMIFS('Wells Fargo'!$F:$F,'Wells Fargo'!$G:$G,'Cash Flow'!$A10,'Wells Fargo'!$A:$A,BB$1,'Wells Fargo'!$B:$B,"&lt;="&amp;'Cash Flow'!BB$3,'Wells Fargo'!$B:$B,"&gt;"&amp;'Cash Flow'!BA$3)</f>
        <v>0</v>
      </c>
      <c r="BC10" s="188">
        <f>SUMIFS('Wells Fargo'!$F:$F,'Wells Fargo'!$G:$G,'Cash Flow'!$A10,'Wells Fargo'!$A:$A,BC$1,'Wells Fargo'!$B:$B,"&lt;="&amp;'Cash Flow'!BC$3,'Wells Fargo'!$B:$B,"&gt;"&amp;'Cash Flow'!BB$3)</f>
        <v>0</v>
      </c>
      <c r="BD10" s="188">
        <f>SUMIFS('Wells Fargo'!$F:$F,'Wells Fargo'!$G:$G,'Cash Flow'!$A10,'Wells Fargo'!$A:$A,BD$1,'Wells Fargo'!$B:$B,"&lt;="&amp;'Cash Flow'!BD$3,'Wells Fargo'!$B:$B,"&gt;"&amp;'Cash Flow'!BC$3)</f>
        <v>0</v>
      </c>
      <c r="BE10" s="189">
        <f>SUMIFS('Wells Fargo'!$F:$F,'Wells Fargo'!$G:$G,'Cash Flow'!$A10,'Wells Fargo'!$A:$A,BE$1,'Wells Fargo'!$B:$B,"&lt;="&amp;'Cash Flow'!BE$3)</f>
        <v>0</v>
      </c>
      <c r="BF10" s="188">
        <f>SUMIFS('Wells Fargo'!$F:$F,'Wells Fargo'!$G:$G,'Cash Flow'!$A10,'Wells Fargo'!$A:$A,BF$1,'Wells Fargo'!$B:$B,"&lt;="&amp;'Cash Flow'!BF$3,'Wells Fargo'!$B:$B,"&gt;"&amp;'Cash Flow'!BE$3)</f>
        <v>0</v>
      </c>
      <c r="BG10" s="188">
        <f>SUMIFS('Wells Fargo'!$F:$F,'Wells Fargo'!$G:$G,'Cash Flow'!$A10,'Wells Fargo'!$A:$A,BG$1,'Wells Fargo'!$B:$B,"&lt;="&amp;'Cash Flow'!BG$3,'Wells Fargo'!$B:$B,"&gt;"&amp;'Cash Flow'!BF$3)</f>
        <v>0</v>
      </c>
      <c r="BH10" s="188">
        <f>SUMIFS('Wells Fargo'!$F:$F,'Wells Fargo'!$G:$G,'Cash Flow'!$A10,'Wells Fargo'!$A:$A,BH$1,'Wells Fargo'!$B:$B,"&lt;="&amp;'Cash Flow'!BH$3,'Wells Fargo'!$B:$B,"&gt;"&amp;'Cash Flow'!BG$3)</f>
        <v>0</v>
      </c>
      <c r="BI10" s="188">
        <f>SUMIFS('Wells Fargo'!$F:$F,'Wells Fargo'!$G:$G,'Cash Flow'!$A10,'Wells Fargo'!$A:$A,BI$1,'Wells Fargo'!$B:$B,"&lt;="&amp;'Cash Flow'!BI$3,'Wells Fargo'!$B:$B,"&gt;"&amp;'Cash Flow'!BH$3)</f>
        <v>0</v>
      </c>
    </row>
    <row r="11" spans="1:61" ht="12.75" x14ac:dyDescent="0.2">
      <c r="A11" t="str">
        <v>APS</v>
      </c>
      <c r="B11" s="87">
        <f t="shared" si="0"/>
        <v>-181.04000000000002</v>
      </c>
      <c r="C11" s="189">
        <f>SUMIFS('Wells Fargo'!$F:$F,'Wells Fargo'!$G:$G,'Cash Flow'!$A11,'Wells Fargo'!$A:$A,C$1,'Wells Fargo'!$B:$B,"&lt;="&amp;'Cash Flow'!C$3)</f>
        <v>0</v>
      </c>
      <c r="D11" s="188">
        <f>SUMIFS('Wells Fargo'!$F:$F,'Wells Fargo'!$G:$G,'Cash Flow'!$A11,'Wells Fargo'!$A:$A,D$1,'Wells Fargo'!$B:$B,"&lt;="&amp;'Cash Flow'!D$3,'Wells Fargo'!$B:$B,"&gt;"&amp;'Cash Flow'!C$3)</f>
        <v>0</v>
      </c>
      <c r="E11" s="188">
        <f>SUMIFS('Wells Fargo'!$F:$F,'Wells Fargo'!$G:$G,'Cash Flow'!$A11,'Wells Fargo'!$A:$A,E$1,'Wells Fargo'!$B:$B,"&lt;="&amp;'Cash Flow'!E$3,'Wells Fargo'!$B:$B,"&gt;"&amp;'Cash Flow'!D$3)</f>
        <v>0</v>
      </c>
      <c r="F11" s="188">
        <f>SUMIFS('Wells Fargo'!$F:$F,'Wells Fargo'!$G:$G,'Cash Flow'!$A11,'Wells Fargo'!$A:$A,F$1,'Wells Fargo'!$B:$B,"&lt;="&amp;'Cash Flow'!F$3,'Wells Fargo'!$B:$B,"&gt;"&amp;'Cash Flow'!E$3)</f>
        <v>0</v>
      </c>
      <c r="G11" s="188">
        <f>SUMIFS('Wells Fargo'!$F:$F,'Wells Fargo'!$G:$G,'Cash Flow'!$A11,'Wells Fargo'!$A:$A,G$1,'Wells Fargo'!$B:$B,"&lt;="&amp;'Cash Flow'!G$3,'Wells Fargo'!$B:$B,"&gt;"&amp;'Cash Flow'!F$3)</f>
        <v>0</v>
      </c>
      <c r="H11" s="189">
        <f>SUMIFS('Wells Fargo'!$F:$F,'Wells Fargo'!$G:$G,'Cash Flow'!$A11,'Wells Fargo'!$A:$A,H$1,'Wells Fargo'!$B:$B,"&lt;="&amp;'Cash Flow'!H$3)</f>
        <v>0</v>
      </c>
      <c r="I11" s="188">
        <f>SUMIFS('Wells Fargo'!$F:$F,'Wells Fargo'!$G:$G,'Cash Flow'!$A11,'Wells Fargo'!$A:$A,I$1,'Wells Fargo'!$B:$B,"&lt;="&amp;'Cash Flow'!I$3,'Wells Fargo'!$B:$B,"&gt;"&amp;'Cash Flow'!H$3)</f>
        <v>0</v>
      </c>
      <c r="J11" s="188">
        <f>SUMIFS('Wells Fargo'!$F:$F,'Wells Fargo'!$G:$G,'Cash Flow'!$A11,'Wells Fargo'!$A:$A,J$1,'Wells Fargo'!$B:$B,"&lt;="&amp;'Cash Flow'!J$3,'Wells Fargo'!$B:$B,"&gt;"&amp;'Cash Flow'!I$3)</f>
        <v>0</v>
      </c>
      <c r="K11" s="188">
        <f>SUMIFS('Wells Fargo'!$F:$F,'Wells Fargo'!$G:$G,'Cash Flow'!$A11,'Wells Fargo'!$A:$A,K$1,'Wells Fargo'!$B:$B,"&lt;="&amp;'Cash Flow'!K$3,'Wells Fargo'!$B:$B,"&gt;"&amp;'Cash Flow'!J$3)</f>
        <v>0</v>
      </c>
      <c r="L11" s="189">
        <f>SUMIFS('Wells Fargo'!$F:$F,'Wells Fargo'!$G:$G,'Cash Flow'!$A11,'Wells Fargo'!$A:$A,L$1,'Wells Fargo'!$B:$B,"&lt;="&amp;'Cash Flow'!L$3)</f>
        <v>0</v>
      </c>
      <c r="M11" s="188">
        <f>SUMIFS('Wells Fargo'!$F:$F,'Wells Fargo'!$G:$G,'Cash Flow'!$A11,'Wells Fargo'!$A:$A,M$1,'Wells Fargo'!$B:$B,"&lt;="&amp;'Cash Flow'!M$3,'Wells Fargo'!$B:$B,"&gt;"&amp;'Cash Flow'!L$3)</f>
        <v>0</v>
      </c>
      <c r="N11" s="188">
        <f>SUMIFS('Wells Fargo'!$F:$F,'Wells Fargo'!$G:$G,'Cash Flow'!$A11,'Wells Fargo'!$A:$A,N$1,'Wells Fargo'!$B:$B,"&lt;="&amp;'Cash Flow'!N$3,'Wells Fargo'!$B:$B,"&gt;"&amp;'Cash Flow'!M$3)</f>
        <v>0</v>
      </c>
      <c r="O11" s="188">
        <f>SUMIFS('Wells Fargo'!$F:$F,'Wells Fargo'!$G:$G,'Cash Flow'!$A11,'Wells Fargo'!$A:$A,O$1,'Wells Fargo'!$B:$B,"&lt;="&amp;'Cash Flow'!O$3,'Wells Fargo'!$B:$B,"&gt;"&amp;'Cash Flow'!N$3)</f>
        <v>0</v>
      </c>
      <c r="P11" s="188">
        <f>SUMIFS('Wells Fargo'!$F:$F,'Wells Fargo'!$G:$G,'Cash Flow'!$A11,'Wells Fargo'!$A:$A,P$1,'Wells Fargo'!$B:$B,"&lt;="&amp;'Cash Flow'!P$3,'Wells Fargo'!$B:$B,"&gt;"&amp;'Cash Flow'!O$3)</f>
        <v>0</v>
      </c>
      <c r="Q11" s="189">
        <f>SUMIFS('Wells Fargo'!$F:$F,'Wells Fargo'!$G:$G,'Cash Flow'!$A11,'Wells Fargo'!$A:$A,Q$1,'Wells Fargo'!$B:$B,"&lt;="&amp;'Cash Flow'!Q$3)</f>
        <v>0</v>
      </c>
      <c r="R11" s="188">
        <f>SUMIFS('Wells Fargo'!$F:$F,'Wells Fargo'!$G:$G,'Cash Flow'!$A11,'Wells Fargo'!$A:$A,R$1,'Wells Fargo'!$B:$B,"&lt;="&amp;'Cash Flow'!R$3,'Wells Fargo'!$B:$B,"&gt;"&amp;'Cash Flow'!Q$3)</f>
        <v>0</v>
      </c>
      <c r="S11" s="188">
        <f>SUMIFS('Wells Fargo'!$F:$F,'Wells Fargo'!$G:$G,'Cash Flow'!$A11,'Wells Fargo'!$A:$A,S$1,'Wells Fargo'!$B:$B,"&lt;="&amp;'Cash Flow'!S$3,'Wells Fargo'!$B:$B,"&gt;"&amp;'Cash Flow'!R$3)</f>
        <v>0</v>
      </c>
      <c r="T11" s="188">
        <f>SUMIFS('Wells Fargo'!$F:$F,'Wells Fargo'!$G:$G,'Cash Flow'!$A11,'Wells Fargo'!$A:$A,T$1,'Wells Fargo'!$B:$B,"&lt;="&amp;'Cash Flow'!T$3,'Wells Fargo'!$B:$B,"&gt;"&amp;'Cash Flow'!S$3)</f>
        <v>0</v>
      </c>
      <c r="U11" s="188">
        <f>SUMIFS('Wells Fargo'!$F:$F,'Wells Fargo'!$G:$G,'Cash Flow'!$A11,'Wells Fargo'!$A:$A,U$1,'Wells Fargo'!$B:$B,"&lt;="&amp;'Cash Flow'!U$3,'Wells Fargo'!$B:$B,"&gt;"&amp;'Cash Flow'!T$3)</f>
        <v>0</v>
      </c>
      <c r="V11" s="189">
        <f>SUMIFS('Wells Fargo'!$F:$F,'Wells Fargo'!$G:$G,'Cash Flow'!$A11,'Wells Fargo'!$A:$A,V$1,'Wells Fargo'!$B:$B,"&lt;="&amp;'Cash Flow'!V$3)</f>
        <v>0</v>
      </c>
      <c r="W11" s="188">
        <f>SUMIFS('Wells Fargo'!$F:$F,'Wells Fargo'!$G:$G,'Cash Flow'!$A11,'Wells Fargo'!$A:$A,W$1,'Wells Fargo'!$B:$B,"&lt;="&amp;'Cash Flow'!W$3,'Wells Fargo'!$B:$B,"&gt;"&amp;'Cash Flow'!V$3)</f>
        <v>0</v>
      </c>
      <c r="X11" s="188">
        <f>SUMIFS('Wells Fargo'!$F:$F,'Wells Fargo'!$G:$G,'Cash Flow'!$A11,'Wells Fargo'!$A:$A,X$1,'Wells Fargo'!$B:$B,"&lt;="&amp;'Cash Flow'!X$3,'Wells Fargo'!$B:$B,"&gt;"&amp;'Cash Flow'!W$3)</f>
        <v>0</v>
      </c>
      <c r="Y11" s="188">
        <f>SUMIFS('Wells Fargo'!$F:$F,'Wells Fargo'!$G:$G,'Cash Flow'!$A11,'Wells Fargo'!$A:$A,Y$1,'Wells Fargo'!$B:$B,"&lt;="&amp;'Cash Flow'!Y$3,'Wells Fargo'!$B:$B,"&gt;"&amp;'Cash Flow'!X$3)</f>
        <v>0</v>
      </c>
      <c r="Z11" s="188">
        <f>SUMIFS('Wells Fargo'!$F:$F,'Wells Fargo'!$G:$G,'Cash Flow'!$A11,'Wells Fargo'!$A:$A,Z$1,'Wells Fargo'!$B:$B,"&lt;="&amp;'Cash Flow'!Z$3,'Wells Fargo'!$B:$B,"&gt;"&amp;'Cash Flow'!Y$3)</f>
        <v>0</v>
      </c>
      <c r="AA11" s="189">
        <f>SUMIFS('Wells Fargo'!$F:$F,'Wells Fargo'!$G:$G,'Cash Flow'!$A11,'Wells Fargo'!$A:$A,AA$1,'Wells Fargo'!$B:$B,"&lt;="&amp;'Cash Flow'!AA$3)</f>
        <v>0</v>
      </c>
      <c r="AB11" s="188">
        <f>SUMIFS('Wells Fargo'!$F:$F,'Wells Fargo'!$G:$G,'Cash Flow'!$A11,'Wells Fargo'!$A:$A,AB$1,'Wells Fargo'!$B:$B,"&lt;="&amp;'Cash Flow'!AB$3,'Wells Fargo'!$B:$B,"&gt;"&amp;'Cash Flow'!AA$3)</f>
        <v>0</v>
      </c>
      <c r="AC11" s="188">
        <f>SUMIFS('Wells Fargo'!$F:$F,'Wells Fargo'!$G:$G,'Cash Flow'!$A11,'Wells Fargo'!$A:$A,AC$1,'Wells Fargo'!$B:$B,"&lt;="&amp;'Cash Flow'!AC$3,'Wells Fargo'!$B:$B,"&gt;"&amp;'Cash Flow'!AB$3)</f>
        <v>0</v>
      </c>
      <c r="AD11" s="188">
        <f>SUMIFS('Wells Fargo'!$F:$F,'Wells Fargo'!$G:$G,'Cash Flow'!$A11,'Wells Fargo'!$A:$A,AD$1,'Wells Fargo'!$B:$B,"&lt;="&amp;'Cash Flow'!AD$3,'Wells Fargo'!$B:$B,"&gt;"&amp;'Cash Flow'!AC$3)</f>
        <v>0</v>
      </c>
      <c r="AE11" s="188">
        <f>SUMIFS('Wells Fargo'!$F:$F,'Wells Fargo'!$G:$G,'Cash Flow'!$A11,'Wells Fargo'!$A:$A,AE$1,'Wells Fargo'!$B:$B,"&lt;="&amp;'Cash Flow'!AE$3,'Wells Fargo'!$B:$B,"&gt;"&amp;'Cash Flow'!AD$3)</f>
        <v>0</v>
      </c>
      <c r="AF11" s="189">
        <f>SUMIFS('Wells Fargo'!$F:$F,'Wells Fargo'!$G:$G,'Cash Flow'!$A11,'Wells Fargo'!$A:$A,AF$1,'Wells Fargo'!$B:$B,"&lt;="&amp;'Cash Flow'!AF$3)</f>
        <v>0</v>
      </c>
      <c r="AG11" s="188">
        <f>SUMIFS('Wells Fargo'!$F:$F,'Wells Fargo'!$G:$G,'Cash Flow'!$A11,'Wells Fargo'!$A:$A,AG$1,'Wells Fargo'!$B:$B,"&lt;="&amp;'Cash Flow'!AG$3,'Wells Fargo'!$B:$B,"&gt;"&amp;'Cash Flow'!AF$3)</f>
        <v>0</v>
      </c>
      <c r="AH11" s="188">
        <f>SUMIFS('Wells Fargo'!$F:$F,'Wells Fargo'!$G:$G,'Cash Flow'!$A11,'Wells Fargo'!$A:$A,AH$1,'Wells Fargo'!$B:$B,"&lt;="&amp;'Cash Flow'!AH$3,'Wells Fargo'!$B:$B,"&gt;"&amp;'Cash Flow'!AG$3)</f>
        <v>0</v>
      </c>
      <c r="AI11" s="188">
        <f>SUMIFS('Wells Fargo'!$F:$F,'Wells Fargo'!$G:$G,'Cash Flow'!$A11,'Wells Fargo'!$A:$A,AI$1,'Wells Fargo'!$B:$B,"&lt;="&amp;'Cash Flow'!AI$3,'Wells Fargo'!$B:$B,"&gt;"&amp;'Cash Flow'!AH$3)</f>
        <v>0</v>
      </c>
      <c r="AJ11" s="188">
        <f>SUMIFS('Wells Fargo'!$F:$F,'Wells Fargo'!$G:$G,'Cash Flow'!$A11,'Wells Fargo'!$A:$A,AJ$1,'Wells Fargo'!$B:$B,"&lt;="&amp;'Cash Flow'!AJ$3,'Wells Fargo'!$B:$B,"&gt;"&amp;'Cash Flow'!AI$3)</f>
        <v>0</v>
      </c>
      <c r="AK11" s="189">
        <f>SUMIFS('Wells Fargo'!$F:$F,'Wells Fargo'!$G:$G,'Cash Flow'!$A11,'Wells Fargo'!$A:$A,AK$1,'Wells Fargo'!$B:$B,"&lt;="&amp;'Cash Flow'!AK$3)</f>
        <v>0</v>
      </c>
      <c r="AL11" s="188">
        <f>SUMIFS('Wells Fargo'!$F:$F,'Wells Fargo'!$G:$G,'Cash Flow'!$A11,'Wells Fargo'!$A:$A,AL$1,'Wells Fargo'!$B:$B,"&lt;="&amp;'Cash Flow'!AL$3,'Wells Fargo'!$B:$B,"&gt;"&amp;'Cash Flow'!AK$3)</f>
        <v>0</v>
      </c>
      <c r="AM11" s="188">
        <f>SUMIFS('Wells Fargo'!$F:$F,'Wells Fargo'!$G:$G,'Cash Flow'!$A11,'Wells Fargo'!$A:$A,AM$1,'Wells Fargo'!$B:$B,"&lt;="&amp;'Cash Flow'!AM$3,'Wells Fargo'!$B:$B,"&gt;"&amp;'Cash Flow'!AL$3)</f>
        <v>0</v>
      </c>
      <c r="AN11" s="188">
        <f>SUMIFS('Wells Fargo'!$F:$F,'Wells Fargo'!$G:$G,'Cash Flow'!$A11,'Wells Fargo'!$A:$A,AN$1,'Wells Fargo'!$B:$B,"&lt;="&amp;'Cash Flow'!AN$3,'Wells Fargo'!$B:$B,"&gt;"&amp;'Cash Flow'!AM$3)</f>
        <v>0</v>
      </c>
      <c r="AO11" s="188">
        <f>SUMIFS('Wells Fargo'!$F:$F,'Wells Fargo'!$G:$G,'Cash Flow'!$A11,'Wells Fargo'!$A:$A,AO$1,'Wells Fargo'!$B:$B,"&lt;="&amp;'Cash Flow'!AO$3,'Wells Fargo'!$B:$B,"&gt;"&amp;'Cash Flow'!AN$3)</f>
        <v>0</v>
      </c>
      <c r="AP11" s="189">
        <f>SUMIFS('Wells Fargo'!$F:$F,'Wells Fargo'!$G:$G,'Cash Flow'!$A11,'Wells Fargo'!$A:$A,AP$1,'Wells Fargo'!$B:$B,"&lt;="&amp;'Cash Flow'!AP$3)</f>
        <v>0</v>
      </c>
      <c r="AQ11" s="188">
        <f>SUMIFS('Wells Fargo'!$F:$F,'Wells Fargo'!$G:$G,'Cash Flow'!$A11,'Wells Fargo'!$A:$A,AQ$1,'Wells Fargo'!$B:$B,"&lt;="&amp;'Cash Flow'!AQ$3,'Wells Fargo'!$B:$B,"&gt;"&amp;'Cash Flow'!AP$3)</f>
        <v>0</v>
      </c>
      <c r="AR11" s="188">
        <f>SUMIFS('Wells Fargo'!$F:$F,'Wells Fargo'!$G:$G,'Cash Flow'!$A11,'Wells Fargo'!$A:$A,AR$1,'Wells Fargo'!$B:$B,"&lt;="&amp;'Cash Flow'!AR$3,'Wells Fargo'!$B:$B,"&gt;"&amp;'Cash Flow'!AQ$3)</f>
        <v>0</v>
      </c>
      <c r="AS11" s="188">
        <f>SUMIFS('Wells Fargo'!$F:$F,'Wells Fargo'!$G:$G,'Cash Flow'!$A11,'Wells Fargo'!$A:$A,AS$1,'Wells Fargo'!$B:$B,"&lt;="&amp;'Cash Flow'!AS$3,'Wells Fargo'!$B:$B,"&gt;"&amp;'Cash Flow'!AR$3)</f>
        <v>0</v>
      </c>
      <c r="AT11" s="188">
        <f>SUMIFS('Wells Fargo'!$F:$F,'Wells Fargo'!$G:$G,'Cash Flow'!$A11,'Wells Fargo'!$A:$A,AT$1,'Wells Fargo'!$B:$B,"&lt;="&amp;'Cash Flow'!AT$3,'Wells Fargo'!$B:$B,"&gt;"&amp;'Cash Flow'!AS$3)</f>
        <v>0</v>
      </c>
      <c r="AU11" s="189">
        <f>SUMIFS('Wells Fargo'!$F:$F,'Wells Fargo'!$G:$G,'Cash Flow'!$A11,'Wells Fargo'!$A:$A,AU$1,'Wells Fargo'!$B:$B,"&lt;="&amp;'Cash Flow'!AU$3)</f>
        <v>0</v>
      </c>
      <c r="AV11" s="188">
        <f>SUMIFS('Wells Fargo'!$F:$F,'Wells Fargo'!$G:$G,'Cash Flow'!$A11,'Wells Fargo'!$A:$A,AV$1,'Wells Fargo'!$B:$B,"&lt;="&amp;'Cash Flow'!AV$3,'Wells Fargo'!$B:$B,"&gt;"&amp;'Cash Flow'!AU$3)</f>
        <v>0</v>
      </c>
      <c r="AW11" s="188">
        <f>SUMIFS('Wells Fargo'!$F:$F,'Wells Fargo'!$G:$G,'Cash Flow'!$A11,'Wells Fargo'!$A:$A,AW$1,'Wells Fargo'!$B:$B,"&lt;="&amp;'Cash Flow'!AW$3,'Wells Fargo'!$B:$B,"&gt;"&amp;'Cash Flow'!AV$3)</f>
        <v>-14.71</v>
      </c>
      <c r="AX11" s="188">
        <f>SUMIFS('Wells Fargo'!$F:$F,'Wells Fargo'!$G:$G,'Cash Flow'!$A11,'Wells Fargo'!$A:$A,AX$1,'Wells Fargo'!$B:$B,"&lt;="&amp;'Cash Flow'!AX$3,'Wells Fargo'!$B:$B,"&gt;"&amp;'Cash Flow'!AW$3)</f>
        <v>0</v>
      </c>
      <c r="AY11" s="188">
        <f>SUMIFS('Wells Fargo'!$F:$F,'Wells Fargo'!$G:$G,'Cash Flow'!$A11,'Wells Fargo'!$A:$A,AY$1,'Wells Fargo'!$B:$B,"&lt;="&amp;'Cash Flow'!AY$3,'Wells Fargo'!$B:$B,"&gt;"&amp;'Cash Flow'!AX$3)</f>
        <v>0</v>
      </c>
      <c r="AZ11" s="189">
        <f>SUMIFS('Wells Fargo'!$F:$F,'Wells Fargo'!$G:$G,'Cash Flow'!$A11,'Wells Fargo'!$A:$A,AZ$1,'Wells Fargo'!$B:$B,"&lt;="&amp;'Cash Flow'!AZ$3)</f>
        <v>-166.33</v>
      </c>
      <c r="BA11" s="188">
        <f>SUMIFS('Wells Fargo'!$F:$F,'Wells Fargo'!$G:$G,'Cash Flow'!$A11,'Wells Fargo'!$A:$A,BA$1,'Wells Fargo'!$B:$B,"&lt;="&amp;'Cash Flow'!BA$3,'Wells Fargo'!$B:$B,"&gt;"&amp;'Cash Flow'!AZ$3)</f>
        <v>0</v>
      </c>
      <c r="BB11" s="188">
        <f>SUMIFS('Wells Fargo'!$F:$F,'Wells Fargo'!$G:$G,'Cash Flow'!$A11,'Wells Fargo'!$A:$A,BB$1,'Wells Fargo'!$B:$B,"&lt;="&amp;'Cash Flow'!BB$3,'Wells Fargo'!$B:$B,"&gt;"&amp;'Cash Flow'!BA$3)</f>
        <v>0</v>
      </c>
      <c r="BC11" s="188">
        <f>SUMIFS('Wells Fargo'!$F:$F,'Wells Fargo'!$G:$G,'Cash Flow'!$A11,'Wells Fargo'!$A:$A,BC$1,'Wells Fargo'!$B:$B,"&lt;="&amp;'Cash Flow'!BC$3,'Wells Fargo'!$B:$B,"&gt;"&amp;'Cash Flow'!BB$3)</f>
        <v>0</v>
      </c>
      <c r="BD11" s="188">
        <f>SUMIFS('Wells Fargo'!$F:$F,'Wells Fargo'!$G:$G,'Cash Flow'!$A11,'Wells Fargo'!$A:$A,BD$1,'Wells Fargo'!$B:$B,"&lt;="&amp;'Cash Flow'!BD$3,'Wells Fargo'!$B:$B,"&gt;"&amp;'Cash Flow'!BC$3)</f>
        <v>0</v>
      </c>
      <c r="BE11" s="189">
        <f>SUMIFS('Wells Fargo'!$F:$F,'Wells Fargo'!$G:$G,'Cash Flow'!$A11,'Wells Fargo'!$A:$A,BE$1,'Wells Fargo'!$B:$B,"&lt;="&amp;'Cash Flow'!BE$3)</f>
        <v>0</v>
      </c>
      <c r="BF11" s="188">
        <f>SUMIFS('Wells Fargo'!$F:$F,'Wells Fargo'!$G:$G,'Cash Flow'!$A11,'Wells Fargo'!$A:$A,BF$1,'Wells Fargo'!$B:$B,"&lt;="&amp;'Cash Flow'!BF$3,'Wells Fargo'!$B:$B,"&gt;"&amp;'Cash Flow'!BE$3)</f>
        <v>0</v>
      </c>
      <c r="BG11" s="188">
        <f>SUMIFS('Wells Fargo'!$F:$F,'Wells Fargo'!$G:$G,'Cash Flow'!$A11,'Wells Fargo'!$A:$A,BG$1,'Wells Fargo'!$B:$B,"&lt;="&amp;'Cash Flow'!BG$3,'Wells Fargo'!$B:$B,"&gt;"&amp;'Cash Flow'!BF$3)</f>
        <v>0</v>
      </c>
      <c r="BH11" s="188">
        <f>SUMIFS('Wells Fargo'!$F:$F,'Wells Fargo'!$G:$G,'Cash Flow'!$A11,'Wells Fargo'!$A:$A,BH$1,'Wells Fargo'!$B:$B,"&lt;="&amp;'Cash Flow'!BH$3,'Wells Fargo'!$B:$B,"&gt;"&amp;'Cash Flow'!BG$3)</f>
        <v>0</v>
      </c>
      <c r="BI11" s="188">
        <f>SUMIFS('Wells Fargo'!$F:$F,'Wells Fargo'!$G:$G,'Cash Flow'!$A11,'Wells Fargo'!$A:$A,BI$1,'Wells Fargo'!$B:$B,"&lt;="&amp;'Cash Flow'!BI$3,'Wells Fargo'!$B:$B,"&gt;"&amp;'Cash Flow'!BH$3)</f>
        <v>0</v>
      </c>
    </row>
    <row r="12" spans="1:61" ht="12.75" x14ac:dyDescent="0.2">
      <c r="A12" t="str">
        <v>Best Buy - Credit</v>
      </c>
      <c r="B12" s="87">
        <f t="shared" si="0"/>
        <v>-798.92</v>
      </c>
      <c r="C12" s="189">
        <f>SUMIFS('Wells Fargo'!$F:$F,'Wells Fargo'!$G:$G,'Cash Flow'!$A12,'Wells Fargo'!$A:$A,C$1,'Wells Fargo'!$B:$B,"&lt;="&amp;'Cash Flow'!C$3)</f>
        <v>0</v>
      </c>
      <c r="D12" s="188">
        <f>SUMIFS('Wells Fargo'!$F:$F,'Wells Fargo'!$G:$G,'Cash Flow'!$A12,'Wells Fargo'!$A:$A,D$1,'Wells Fargo'!$B:$B,"&lt;="&amp;'Cash Flow'!D$3,'Wells Fargo'!$B:$B,"&gt;"&amp;'Cash Flow'!C$3)</f>
        <v>0</v>
      </c>
      <c r="E12" s="188">
        <f>SUMIFS('Wells Fargo'!$F:$F,'Wells Fargo'!$G:$G,'Cash Flow'!$A12,'Wells Fargo'!$A:$A,E$1,'Wells Fargo'!$B:$B,"&lt;="&amp;'Cash Flow'!E$3,'Wells Fargo'!$B:$B,"&gt;"&amp;'Cash Flow'!D$3)</f>
        <v>0</v>
      </c>
      <c r="F12" s="188">
        <f>SUMIFS('Wells Fargo'!$F:$F,'Wells Fargo'!$G:$G,'Cash Flow'!$A12,'Wells Fargo'!$A:$A,F$1,'Wells Fargo'!$B:$B,"&lt;="&amp;'Cash Flow'!F$3,'Wells Fargo'!$B:$B,"&gt;"&amp;'Cash Flow'!E$3)</f>
        <v>0</v>
      </c>
      <c r="G12" s="188">
        <f>SUMIFS('Wells Fargo'!$F:$F,'Wells Fargo'!$G:$G,'Cash Flow'!$A12,'Wells Fargo'!$A:$A,G$1,'Wells Fargo'!$B:$B,"&lt;="&amp;'Cash Flow'!G$3,'Wells Fargo'!$B:$B,"&gt;"&amp;'Cash Flow'!F$3)</f>
        <v>0</v>
      </c>
      <c r="H12" s="189">
        <f>SUMIFS('Wells Fargo'!$F:$F,'Wells Fargo'!$G:$G,'Cash Flow'!$A12,'Wells Fargo'!$A:$A,H$1,'Wells Fargo'!$B:$B,"&lt;="&amp;'Cash Flow'!H$3)</f>
        <v>0</v>
      </c>
      <c r="I12" s="188">
        <f>SUMIFS('Wells Fargo'!$F:$F,'Wells Fargo'!$G:$G,'Cash Flow'!$A12,'Wells Fargo'!$A:$A,I$1,'Wells Fargo'!$B:$B,"&lt;="&amp;'Cash Flow'!I$3,'Wells Fargo'!$B:$B,"&gt;"&amp;'Cash Flow'!H$3)</f>
        <v>0</v>
      </c>
      <c r="J12" s="188">
        <f>SUMIFS('Wells Fargo'!$F:$F,'Wells Fargo'!$G:$G,'Cash Flow'!$A12,'Wells Fargo'!$A:$A,J$1,'Wells Fargo'!$B:$B,"&lt;="&amp;'Cash Flow'!J$3,'Wells Fargo'!$B:$B,"&gt;"&amp;'Cash Flow'!I$3)</f>
        <v>0</v>
      </c>
      <c r="K12" s="188">
        <f>SUMIFS('Wells Fargo'!$F:$F,'Wells Fargo'!$G:$G,'Cash Flow'!$A12,'Wells Fargo'!$A:$A,K$1,'Wells Fargo'!$B:$B,"&lt;="&amp;'Cash Flow'!K$3,'Wells Fargo'!$B:$B,"&gt;"&amp;'Cash Flow'!J$3)</f>
        <v>0</v>
      </c>
      <c r="L12" s="189">
        <f>SUMIFS('Wells Fargo'!$F:$F,'Wells Fargo'!$G:$G,'Cash Flow'!$A12,'Wells Fargo'!$A:$A,L$1,'Wells Fargo'!$B:$B,"&lt;="&amp;'Cash Flow'!L$3)</f>
        <v>0</v>
      </c>
      <c r="M12" s="188">
        <f>SUMIFS('Wells Fargo'!$F:$F,'Wells Fargo'!$G:$G,'Cash Flow'!$A12,'Wells Fargo'!$A:$A,M$1,'Wells Fargo'!$B:$B,"&lt;="&amp;'Cash Flow'!M$3,'Wells Fargo'!$B:$B,"&gt;"&amp;'Cash Flow'!L$3)</f>
        <v>0</v>
      </c>
      <c r="N12" s="188">
        <f>SUMIFS('Wells Fargo'!$F:$F,'Wells Fargo'!$G:$G,'Cash Flow'!$A12,'Wells Fargo'!$A:$A,N$1,'Wells Fargo'!$B:$B,"&lt;="&amp;'Cash Flow'!N$3,'Wells Fargo'!$B:$B,"&gt;"&amp;'Cash Flow'!M$3)</f>
        <v>0</v>
      </c>
      <c r="O12" s="188">
        <f>SUMIFS('Wells Fargo'!$F:$F,'Wells Fargo'!$G:$G,'Cash Flow'!$A12,'Wells Fargo'!$A:$A,O$1,'Wells Fargo'!$B:$B,"&lt;="&amp;'Cash Flow'!O$3,'Wells Fargo'!$B:$B,"&gt;"&amp;'Cash Flow'!N$3)</f>
        <v>0</v>
      </c>
      <c r="P12" s="188">
        <f>SUMIFS('Wells Fargo'!$F:$F,'Wells Fargo'!$G:$G,'Cash Flow'!$A12,'Wells Fargo'!$A:$A,P$1,'Wells Fargo'!$B:$B,"&lt;="&amp;'Cash Flow'!P$3,'Wells Fargo'!$B:$B,"&gt;"&amp;'Cash Flow'!O$3)</f>
        <v>0</v>
      </c>
      <c r="Q12" s="189">
        <f>SUMIFS('Wells Fargo'!$F:$F,'Wells Fargo'!$G:$G,'Cash Flow'!$A12,'Wells Fargo'!$A:$A,Q$1,'Wells Fargo'!$B:$B,"&lt;="&amp;'Cash Flow'!Q$3)</f>
        <v>0</v>
      </c>
      <c r="R12" s="188">
        <f>SUMIFS('Wells Fargo'!$F:$F,'Wells Fargo'!$G:$G,'Cash Flow'!$A12,'Wells Fargo'!$A:$A,R$1,'Wells Fargo'!$B:$B,"&lt;="&amp;'Cash Flow'!R$3,'Wells Fargo'!$B:$B,"&gt;"&amp;'Cash Flow'!Q$3)</f>
        <v>0</v>
      </c>
      <c r="S12" s="188">
        <f>SUMIFS('Wells Fargo'!$F:$F,'Wells Fargo'!$G:$G,'Cash Flow'!$A12,'Wells Fargo'!$A:$A,S$1,'Wells Fargo'!$B:$B,"&lt;="&amp;'Cash Flow'!S$3,'Wells Fargo'!$B:$B,"&gt;"&amp;'Cash Flow'!R$3)</f>
        <v>0</v>
      </c>
      <c r="T12" s="188">
        <f>SUMIFS('Wells Fargo'!$F:$F,'Wells Fargo'!$G:$G,'Cash Flow'!$A12,'Wells Fargo'!$A:$A,T$1,'Wells Fargo'!$B:$B,"&lt;="&amp;'Cash Flow'!T$3,'Wells Fargo'!$B:$B,"&gt;"&amp;'Cash Flow'!S$3)</f>
        <v>0</v>
      </c>
      <c r="U12" s="188">
        <f>SUMIFS('Wells Fargo'!$F:$F,'Wells Fargo'!$G:$G,'Cash Flow'!$A12,'Wells Fargo'!$A:$A,U$1,'Wells Fargo'!$B:$B,"&lt;="&amp;'Cash Flow'!U$3,'Wells Fargo'!$B:$B,"&gt;"&amp;'Cash Flow'!T$3)</f>
        <v>0</v>
      </c>
      <c r="V12" s="189">
        <f>SUMIFS('Wells Fargo'!$F:$F,'Wells Fargo'!$G:$G,'Cash Flow'!$A12,'Wells Fargo'!$A:$A,V$1,'Wells Fargo'!$B:$B,"&lt;="&amp;'Cash Flow'!V$3)</f>
        <v>0</v>
      </c>
      <c r="W12" s="188">
        <f>SUMIFS('Wells Fargo'!$F:$F,'Wells Fargo'!$G:$G,'Cash Flow'!$A12,'Wells Fargo'!$A:$A,W$1,'Wells Fargo'!$B:$B,"&lt;="&amp;'Cash Flow'!W$3,'Wells Fargo'!$B:$B,"&gt;"&amp;'Cash Flow'!V$3)</f>
        <v>0</v>
      </c>
      <c r="X12" s="188">
        <f>SUMIFS('Wells Fargo'!$F:$F,'Wells Fargo'!$G:$G,'Cash Flow'!$A12,'Wells Fargo'!$A:$A,X$1,'Wells Fargo'!$B:$B,"&lt;="&amp;'Cash Flow'!X$3,'Wells Fargo'!$B:$B,"&gt;"&amp;'Cash Flow'!W$3)</f>
        <v>0</v>
      </c>
      <c r="Y12" s="188">
        <f>SUMIFS('Wells Fargo'!$F:$F,'Wells Fargo'!$G:$G,'Cash Flow'!$A12,'Wells Fargo'!$A:$A,Y$1,'Wells Fargo'!$B:$B,"&lt;="&amp;'Cash Flow'!Y$3,'Wells Fargo'!$B:$B,"&gt;"&amp;'Cash Flow'!X$3)</f>
        <v>0</v>
      </c>
      <c r="Z12" s="188">
        <f>SUMIFS('Wells Fargo'!$F:$F,'Wells Fargo'!$G:$G,'Cash Flow'!$A12,'Wells Fargo'!$A:$A,Z$1,'Wells Fargo'!$B:$B,"&lt;="&amp;'Cash Flow'!Z$3,'Wells Fargo'!$B:$B,"&gt;"&amp;'Cash Flow'!Y$3)</f>
        <v>0</v>
      </c>
      <c r="AA12" s="189">
        <f>SUMIFS('Wells Fargo'!$F:$F,'Wells Fargo'!$G:$G,'Cash Flow'!$A12,'Wells Fargo'!$A:$A,AA$1,'Wells Fargo'!$B:$B,"&lt;="&amp;'Cash Flow'!AA$3)</f>
        <v>0</v>
      </c>
      <c r="AB12" s="188">
        <f>SUMIFS('Wells Fargo'!$F:$F,'Wells Fargo'!$G:$G,'Cash Flow'!$A12,'Wells Fargo'!$A:$A,AB$1,'Wells Fargo'!$B:$B,"&lt;="&amp;'Cash Flow'!AB$3,'Wells Fargo'!$B:$B,"&gt;"&amp;'Cash Flow'!AA$3)</f>
        <v>0</v>
      </c>
      <c r="AC12" s="188">
        <f>SUMIFS('Wells Fargo'!$F:$F,'Wells Fargo'!$G:$G,'Cash Flow'!$A12,'Wells Fargo'!$A:$A,AC$1,'Wells Fargo'!$B:$B,"&lt;="&amp;'Cash Flow'!AC$3,'Wells Fargo'!$B:$B,"&gt;"&amp;'Cash Flow'!AB$3)</f>
        <v>0</v>
      </c>
      <c r="AD12" s="188">
        <f>SUMIFS('Wells Fargo'!$F:$F,'Wells Fargo'!$G:$G,'Cash Flow'!$A12,'Wells Fargo'!$A:$A,AD$1,'Wells Fargo'!$B:$B,"&lt;="&amp;'Cash Flow'!AD$3,'Wells Fargo'!$B:$B,"&gt;"&amp;'Cash Flow'!AC$3)</f>
        <v>0</v>
      </c>
      <c r="AE12" s="188">
        <f>SUMIFS('Wells Fargo'!$F:$F,'Wells Fargo'!$G:$G,'Cash Flow'!$A12,'Wells Fargo'!$A:$A,AE$1,'Wells Fargo'!$B:$B,"&lt;="&amp;'Cash Flow'!AE$3,'Wells Fargo'!$B:$B,"&gt;"&amp;'Cash Flow'!AD$3)</f>
        <v>0</v>
      </c>
      <c r="AF12" s="189">
        <f>SUMIFS('Wells Fargo'!$F:$F,'Wells Fargo'!$G:$G,'Cash Flow'!$A12,'Wells Fargo'!$A:$A,AF$1,'Wells Fargo'!$B:$B,"&lt;="&amp;'Cash Flow'!AF$3)</f>
        <v>0</v>
      </c>
      <c r="AG12" s="188">
        <f>SUMIFS('Wells Fargo'!$F:$F,'Wells Fargo'!$G:$G,'Cash Flow'!$A12,'Wells Fargo'!$A:$A,AG$1,'Wells Fargo'!$B:$B,"&lt;="&amp;'Cash Flow'!AG$3,'Wells Fargo'!$B:$B,"&gt;"&amp;'Cash Flow'!AF$3)</f>
        <v>0</v>
      </c>
      <c r="AH12" s="188">
        <f>SUMIFS('Wells Fargo'!$F:$F,'Wells Fargo'!$G:$G,'Cash Flow'!$A12,'Wells Fargo'!$A:$A,AH$1,'Wells Fargo'!$B:$B,"&lt;="&amp;'Cash Flow'!AH$3,'Wells Fargo'!$B:$B,"&gt;"&amp;'Cash Flow'!AG$3)</f>
        <v>0</v>
      </c>
      <c r="AI12" s="188">
        <f>SUMIFS('Wells Fargo'!$F:$F,'Wells Fargo'!$G:$G,'Cash Flow'!$A12,'Wells Fargo'!$A:$A,AI$1,'Wells Fargo'!$B:$B,"&lt;="&amp;'Cash Flow'!AI$3,'Wells Fargo'!$B:$B,"&gt;"&amp;'Cash Flow'!AH$3)</f>
        <v>0</v>
      </c>
      <c r="AJ12" s="188">
        <f>SUMIFS('Wells Fargo'!$F:$F,'Wells Fargo'!$G:$G,'Cash Flow'!$A12,'Wells Fargo'!$A:$A,AJ$1,'Wells Fargo'!$B:$B,"&lt;="&amp;'Cash Flow'!AJ$3,'Wells Fargo'!$B:$B,"&gt;"&amp;'Cash Flow'!AI$3)</f>
        <v>0</v>
      </c>
      <c r="AK12" s="189">
        <f>SUMIFS('Wells Fargo'!$F:$F,'Wells Fargo'!$G:$G,'Cash Flow'!$A12,'Wells Fargo'!$A:$A,AK$1,'Wells Fargo'!$B:$B,"&lt;="&amp;'Cash Flow'!AK$3)</f>
        <v>0</v>
      </c>
      <c r="AL12" s="188">
        <f>SUMIFS('Wells Fargo'!$F:$F,'Wells Fargo'!$G:$G,'Cash Flow'!$A12,'Wells Fargo'!$A:$A,AL$1,'Wells Fargo'!$B:$B,"&lt;="&amp;'Cash Flow'!AL$3,'Wells Fargo'!$B:$B,"&gt;"&amp;'Cash Flow'!AK$3)</f>
        <v>0</v>
      </c>
      <c r="AM12" s="188">
        <f>SUMIFS('Wells Fargo'!$F:$F,'Wells Fargo'!$G:$G,'Cash Flow'!$A12,'Wells Fargo'!$A:$A,AM$1,'Wells Fargo'!$B:$B,"&lt;="&amp;'Cash Flow'!AM$3,'Wells Fargo'!$B:$B,"&gt;"&amp;'Cash Flow'!AL$3)</f>
        <v>0</v>
      </c>
      <c r="AN12" s="188">
        <f>SUMIFS('Wells Fargo'!$F:$F,'Wells Fargo'!$G:$G,'Cash Flow'!$A12,'Wells Fargo'!$A:$A,AN$1,'Wells Fargo'!$B:$B,"&lt;="&amp;'Cash Flow'!AN$3,'Wells Fargo'!$B:$B,"&gt;"&amp;'Cash Flow'!AM$3)</f>
        <v>0</v>
      </c>
      <c r="AO12" s="188">
        <f>SUMIFS('Wells Fargo'!$F:$F,'Wells Fargo'!$G:$G,'Cash Flow'!$A12,'Wells Fargo'!$A:$A,AO$1,'Wells Fargo'!$B:$B,"&lt;="&amp;'Cash Flow'!AO$3,'Wells Fargo'!$B:$B,"&gt;"&amp;'Cash Flow'!AN$3)</f>
        <v>0</v>
      </c>
      <c r="AP12" s="189">
        <f>SUMIFS('Wells Fargo'!$F:$F,'Wells Fargo'!$G:$G,'Cash Flow'!$A12,'Wells Fargo'!$A:$A,AP$1,'Wells Fargo'!$B:$B,"&lt;="&amp;'Cash Flow'!AP$3)</f>
        <v>0</v>
      </c>
      <c r="AQ12" s="188">
        <f>SUMIFS('Wells Fargo'!$F:$F,'Wells Fargo'!$G:$G,'Cash Flow'!$A12,'Wells Fargo'!$A:$A,AQ$1,'Wells Fargo'!$B:$B,"&lt;="&amp;'Cash Flow'!AQ$3,'Wells Fargo'!$B:$B,"&gt;"&amp;'Cash Flow'!AP$3)</f>
        <v>-190.78</v>
      </c>
      <c r="AR12" s="188">
        <f>SUMIFS('Wells Fargo'!$F:$F,'Wells Fargo'!$G:$G,'Cash Flow'!$A12,'Wells Fargo'!$A:$A,AR$1,'Wells Fargo'!$B:$B,"&lt;="&amp;'Cash Flow'!AR$3,'Wells Fargo'!$B:$B,"&gt;"&amp;'Cash Flow'!AQ$3)</f>
        <v>-608.14</v>
      </c>
      <c r="AS12" s="188">
        <f>SUMIFS('Wells Fargo'!$F:$F,'Wells Fargo'!$G:$G,'Cash Flow'!$A12,'Wells Fargo'!$A:$A,AS$1,'Wells Fargo'!$B:$B,"&lt;="&amp;'Cash Flow'!AS$3,'Wells Fargo'!$B:$B,"&gt;"&amp;'Cash Flow'!AR$3)</f>
        <v>0</v>
      </c>
      <c r="AT12" s="188">
        <f>SUMIFS('Wells Fargo'!$F:$F,'Wells Fargo'!$G:$G,'Cash Flow'!$A12,'Wells Fargo'!$A:$A,AT$1,'Wells Fargo'!$B:$B,"&lt;="&amp;'Cash Flow'!AT$3,'Wells Fargo'!$B:$B,"&gt;"&amp;'Cash Flow'!AS$3)</f>
        <v>0</v>
      </c>
      <c r="AU12" s="189">
        <f>SUMIFS('Wells Fargo'!$F:$F,'Wells Fargo'!$G:$G,'Cash Flow'!$A12,'Wells Fargo'!$A:$A,AU$1,'Wells Fargo'!$B:$B,"&lt;="&amp;'Cash Flow'!AU$3)</f>
        <v>0</v>
      </c>
      <c r="AV12" s="188">
        <f>SUMIFS('Wells Fargo'!$F:$F,'Wells Fargo'!$G:$G,'Cash Flow'!$A12,'Wells Fargo'!$A:$A,AV$1,'Wells Fargo'!$B:$B,"&lt;="&amp;'Cash Flow'!AV$3,'Wells Fargo'!$B:$B,"&gt;"&amp;'Cash Flow'!AU$3)</f>
        <v>0</v>
      </c>
      <c r="AW12" s="188">
        <f>SUMIFS('Wells Fargo'!$F:$F,'Wells Fargo'!$G:$G,'Cash Flow'!$A12,'Wells Fargo'!$A:$A,AW$1,'Wells Fargo'!$B:$B,"&lt;="&amp;'Cash Flow'!AW$3,'Wells Fargo'!$B:$B,"&gt;"&amp;'Cash Flow'!AV$3)</f>
        <v>0</v>
      </c>
      <c r="AX12" s="188">
        <f>SUMIFS('Wells Fargo'!$F:$F,'Wells Fargo'!$G:$G,'Cash Flow'!$A12,'Wells Fargo'!$A:$A,AX$1,'Wells Fargo'!$B:$B,"&lt;="&amp;'Cash Flow'!AX$3,'Wells Fargo'!$B:$B,"&gt;"&amp;'Cash Flow'!AW$3)</f>
        <v>0</v>
      </c>
      <c r="AY12" s="188">
        <f>SUMIFS('Wells Fargo'!$F:$F,'Wells Fargo'!$G:$G,'Cash Flow'!$A12,'Wells Fargo'!$A:$A,AY$1,'Wells Fargo'!$B:$B,"&lt;="&amp;'Cash Flow'!AY$3,'Wells Fargo'!$B:$B,"&gt;"&amp;'Cash Flow'!AX$3)</f>
        <v>0</v>
      </c>
      <c r="AZ12" s="189">
        <f>SUMIFS('Wells Fargo'!$F:$F,'Wells Fargo'!$G:$G,'Cash Flow'!$A12,'Wells Fargo'!$A:$A,AZ$1,'Wells Fargo'!$B:$B,"&lt;="&amp;'Cash Flow'!AZ$3)</f>
        <v>0</v>
      </c>
      <c r="BA12" s="188">
        <f>SUMIFS('Wells Fargo'!$F:$F,'Wells Fargo'!$G:$G,'Cash Flow'!$A12,'Wells Fargo'!$A:$A,BA$1,'Wells Fargo'!$B:$B,"&lt;="&amp;'Cash Flow'!BA$3,'Wells Fargo'!$B:$B,"&gt;"&amp;'Cash Flow'!AZ$3)</f>
        <v>0</v>
      </c>
      <c r="BB12" s="188">
        <f>SUMIFS('Wells Fargo'!$F:$F,'Wells Fargo'!$G:$G,'Cash Flow'!$A12,'Wells Fargo'!$A:$A,BB$1,'Wells Fargo'!$B:$B,"&lt;="&amp;'Cash Flow'!BB$3,'Wells Fargo'!$B:$B,"&gt;"&amp;'Cash Flow'!BA$3)</f>
        <v>0</v>
      </c>
      <c r="BC12" s="188">
        <f>SUMIFS('Wells Fargo'!$F:$F,'Wells Fargo'!$G:$G,'Cash Flow'!$A12,'Wells Fargo'!$A:$A,BC$1,'Wells Fargo'!$B:$B,"&lt;="&amp;'Cash Flow'!BC$3,'Wells Fargo'!$B:$B,"&gt;"&amp;'Cash Flow'!BB$3)</f>
        <v>0</v>
      </c>
      <c r="BD12" s="188">
        <f>SUMIFS('Wells Fargo'!$F:$F,'Wells Fargo'!$G:$G,'Cash Flow'!$A12,'Wells Fargo'!$A:$A,BD$1,'Wells Fargo'!$B:$B,"&lt;="&amp;'Cash Flow'!BD$3,'Wells Fargo'!$B:$B,"&gt;"&amp;'Cash Flow'!BC$3)</f>
        <v>0</v>
      </c>
      <c r="BE12" s="189">
        <f>SUMIFS('Wells Fargo'!$F:$F,'Wells Fargo'!$G:$G,'Cash Flow'!$A12,'Wells Fargo'!$A:$A,BE$1,'Wells Fargo'!$B:$B,"&lt;="&amp;'Cash Flow'!BE$3)</f>
        <v>0</v>
      </c>
      <c r="BF12" s="188">
        <f>SUMIFS('Wells Fargo'!$F:$F,'Wells Fargo'!$G:$G,'Cash Flow'!$A12,'Wells Fargo'!$A:$A,BF$1,'Wells Fargo'!$B:$B,"&lt;="&amp;'Cash Flow'!BF$3,'Wells Fargo'!$B:$B,"&gt;"&amp;'Cash Flow'!BE$3)</f>
        <v>0</v>
      </c>
      <c r="BG12" s="188">
        <f>SUMIFS('Wells Fargo'!$F:$F,'Wells Fargo'!$G:$G,'Cash Flow'!$A12,'Wells Fargo'!$A:$A,BG$1,'Wells Fargo'!$B:$B,"&lt;="&amp;'Cash Flow'!BG$3,'Wells Fargo'!$B:$B,"&gt;"&amp;'Cash Flow'!BF$3)</f>
        <v>0</v>
      </c>
      <c r="BH12" s="188">
        <f>SUMIFS('Wells Fargo'!$F:$F,'Wells Fargo'!$G:$G,'Cash Flow'!$A12,'Wells Fargo'!$A:$A,BH$1,'Wells Fargo'!$B:$B,"&lt;="&amp;'Cash Flow'!BH$3,'Wells Fargo'!$B:$B,"&gt;"&amp;'Cash Flow'!BG$3)</f>
        <v>0</v>
      </c>
      <c r="BI12" s="188">
        <f>SUMIFS('Wells Fargo'!$F:$F,'Wells Fargo'!$G:$G,'Cash Flow'!$A12,'Wells Fargo'!$A:$A,BI$1,'Wells Fargo'!$B:$B,"&lt;="&amp;'Cash Flow'!BI$3,'Wells Fargo'!$B:$B,"&gt;"&amp;'Cash Flow'!BH$3)</f>
        <v>0</v>
      </c>
    </row>
    <row r="13" spans="1:61" ht="12.75" x14ac:dyDescent="0.2">
      <c r="A13" t="str">
        <v>Bowling</v>
      </c>
      <c r="B13" s="87">
        <f t="shared" si="0"/>
        <v>-30</v>
      </c>
      <c r="C13" s="189">
        <f>SUMIFS('Wells Fargo'!$F:$F,'Wells Fargo'!$G:$G,'Cash Flow'!$A13,'Wells Fargo'!$A:$A,C$1,'Wells Fargo'!$B:$B,"&lt;="&amp;'Cash Flow'!C$3)</f>
        <v>0</v>
      </c>
      <c r="D13" s="188">
        <f>SUMIFS('Wells Fargo'!$F:$F,'Wells Fargo'!$G:$G,'Cash Flow'!$A13,'Wells Fargo'!$A:$A,D$1,'Wells Fargo'!$B:$B,"&lt;="&amp;'Cash Flow'!D$3,'Wells Fargo'!$B:$B,"&gt;"&amp;'Cash Flow'!C$3)</f>
        <v>0</v>
      </c>
      <c r="E13" s="188">
        <f>SUMIFS('Wells Fargo'!$F:$F,'Wells Fargo'!$G:$G,'Cash Flow'!$A13,'Wells Fargo'!$A:$A,E$1,'Wells Fargo'!$B:$B,"&lt;="&amp;'Cash Flow'!E$3,'Wells Fargo'!$B:$B,"&gt;"&amp;'Cash Flow'!D$3)</f>
        <v>0</v>
      </c>
      <c r="F13" s="188">
        <f>SUMIFS('Wells Fargo'!$F:$F,'Wells Fargo'!$G:$G,'Cash Flow'!$A13,'Wells Fargo'!$A:$A,F$1,'Wells Fargo'!$B:$B,"&lt;="&amp;'Cash Flow'!F$3,'Wells Fargo'!$B:$B,"&gt;"&amp;'Cash Flow'!E$3)</f>
        <v>0</v>
      </c>
      <c r="G13" s="188">
        <f>SUMIFS('Wells Fargo'!$F:$F,'Wells Fargo'!$G:$G,'Cash Flow'!$A13,'Wells Fargo'!$A:$A,G$1,'Wells Fargo'!$B:$B,"&lt;="&amp;'Cash Flow'!G$3,'Wells Fargo'!$B:$B,"&gt;"&amp;'Cash Flow'!F$3)</f>
        <v>0</v>
      </c>
      <c r="H13" s="189">
        <f>SUMIFS('Wells Fargo'!$F:$F,'Wells Fargo'!$G:$G,'Cash Flow'!$A13,'Wells Fargo'!$A:$A,H$1,'Wells Fargo'!$B:$B,"&lt;="&amp;'Cash Flow'!H$3)</f>
        <v>0</v>
      </c>
      <c r="I13" s="188">
        <f>SUMIFS('Wells Fargo'!$F:$F,'Wells Fargo'!$G:$G,'Cash Flow'!$A13,'Wells Fargo'!$A:$A,I$1,'Wells Fargo'!$B:$B,"&lt;="&amp;'Cash Flow'!I$3,'Wells Fargo'!$B:$B,"&gt;"&amp;'Cash Flow'!H$3)</f>
        <v>0</v>
      </c>
      <c r="J13" s="188">
        <f>SUMIFS('Wells Fargo'!$F:$F,'Wells Fargo'!$G:$G,'Cash Flow'!$A13,'Wells Fargo'!$A:$A,J$1,'Wells Fargo'!$B:$B,"&lt;="&amp;'Cash Flow'!J$3,'Wells Fargo'!$B:$B,"&gt;"&amp;'Cash Flow'!I$3)</f>
        <v>0</v>
      </c>
      <c r="K13" s="188">
        <f>SUMIFS('Wells Fargo'!$F:$F,'Wells Fargo'!$G:$G,'Cash Flow'!$A13,'Wells Fargo'!$A:$A,K$1,'Wells Fargo'!$B:$B,"&lt;="&amp;'Cash Flow'!K$3,'Wells Fargo'!$B:$B,"&gt;"&amp;'Cash Flow'!J$3)</f>
        <v>0</v>
      </c>
      <c r="L13" s="189">
        <f>SUMIFS('Wells Fargo'!$F:$F,'Wells Fargo'!$G:$G,'Cash Flow'!$A13,'Wells Fargo'!$A:$A,L$1,'Wells Fargo'!$B:$B,"&lt;="&amp;'Cash Flow'!L$3)</f>
        <v>0</v>
      </c>
      <c r="M13" s="188">
        <f>SUMIFS('Wells Fargo'!$F:$F,'Wells Fargo'!$G:$G,'Cash Flow'!$A13,'Wells Fargo'!$A:$A,M$1,'Wells Fargo'!$B:$B,"&lt;="&amp;'Cash Flow'!M$3,'Wells Fargo'!$B:$B,"&gt;"&amp;'Cash Flow'!L$3)</f>
        <v>0</v>
      </c>
      <c r="N13" s="188">
        <f>SUMIFS('Wells Fargo'!$F:$F,'Wells Fargo'!$G:$G,'Cash Flow'!$A13,'Wells Fargo'!$A:$A,N$1,'Wells Fargo'!$B:$B,"&lt;="&amp;'Cash Flow'!N$3,'Wells Fargo'!$B:$B,"&gt;"&amp;'Cash Flow'!M$3)</f>
        <v>0</v>
      </c>
      <c r="O13" s="188">
        <f>SUMIFS('Wells Fargo'!$F:$F,'Wells Fargo'!$G:$G,'Cash Flow'!$A13,'Wells Fargo'!$A:$A,O$1,'Wells Fargo'!$B:$B,"&lt;="&amp;'Cash Flow'!O$3,'Wells Fargo'!$B:$B,"&gt;"&amp;'Cash Flow'!N$3)</f>
        <v>0</v>
      </c>
      <c r="P13" s="188">
        <f>SUMIFS('Wells Fargo'!$F:$F,'Wells Fargo'!$G:$G,'Cash Flow'!$A13,'Wells Fargo'!$A:$A,P$1,'Wells Fargo'!$B:$B,"&lt;="&amp;'Cash Flow'!P$3,'Wells Fargo'!$B:$B,"&gt;"&amp;'Cash Flow'!O$3)</f>
        <v>0</v>
      </c>
      <c r="Q13" s="189">
        <f>SUMIFS('Wells Fargo'!$F:$F,'Wells Fargo'!$G:$G,'Cash Flow'!$A13,'Wells Fargo'!$A:$A,Q$1,'Wells Fargo'!$B:$B,"&lt;="&amp;'Cash Flow'!Q$3)</f>
        <v>0</v>
      </c>
      <c r="R13" s="188">
        <f>SUMIFS('Wells Fargo'!$F:$F,'Wells Fargo'!$G:$G,'Cash Flow'!$A13,'Wells Fargo'!$A:$A,R$1,'Wells Fargo'!$B:$B,"&lt;="&amp;'Cash Flow'!R$3,'Wells Fargo'!$B:$B,"&gt;"&amp;'Cash Flow'!Q$3)</f>
        <v>0</v>
      </c>
      <c r="S13" s="188">
        <f>SUMIFS('Wells Fargo'!$F:$F,'Wells Fargo'!$G:$G,'Cash Flow'!$A13,'Wells Fargo'!$A:$A,S$1,'Wells Fargo'!$B:$B,"&lt;="&amp;'Cash Flow'!S$3,'Wells Fargo'!$B:$B,"&gt;"&amp;'Cash Flow'!R$3)</f>
        <v>0</v>
      </c>
      <c r="T13" s="188">
        <f>SUMIFS('Wells Fargo'!$F:$F,'Wells Fargo'!$G:$G,'Cash Flow'!$A13,'Wells Fargo'!$A:$A,T$1,'Wells Fargo'!$B:$B,"&lt;="&amp;'Cash Flow'!T$3,'Wells Fargo'!$B:$B,"&gt;"&amp;'Cash Flow'!S$3)</f>
        <v>0</v>
      </c>
      <c r="U13" s="188">
        <f>SUMIFS('Wells Fargo'!$F:$F,'Wells Fargo'!$G:$G,'Cash Flow'!$A13,'Wells Fargo'!$A:$A,U$1,'Wells Fargo'!$B:$B,"&lt;="&amp;'Cash Flow'!U$3,'Wells Fargo'!$B:$B,"&gt;"&amp;'Cash Flow'!T$3)</f>
        <v>0</v>
      </c>
      <c r="V13" s="189">
        <f>SUMIFS('Wells Fargo'!$F:$F,'Wells Fargo'!$G:$G,'Cash Flow'!$A13,'Wells Fargo'!$A:$A,V$1,'Wells Fargo'!$B:$B,"&lt;="&amp;'Cash Flow'!V$3)</f>
        <v>0</v>
      </c>
      <c r="W13" s="188">
        <f>SUMIFS('Wells Fargo'!$F:$F,'Wells Fargo'!$G:$G,'Cash Flow'!$A13,'Wells Fargo'!$A:$A,W$1,'Wells Fargo'!$B:$B,"&lt;="&amp;'Cash Flow'!W$3,'Wells Fargo'!$B:$B,"&gt;"&amp;'Cash Flow'!V$3)</f>
        <v>0</v>
      </c>
      <c r="X13" s="188">
        <f>SUMIFS('Wells Fargo'!$F:$F,'Wells Fargo'!$G:$G,'Cash Flow'!$A13,'Wells Fargo'!$A:$A,X$1,'Wells Fargo'!$B:$B,"&lt;="&amp;'Cash Flow'!X$3,'Wells Fargo'!$B:$B,"&gt;"&amp;'Cash Flow'!W$3)</f>
        <v>0</v>
      </c>
      <c r="Y13" s="188">
        <f>SUMIFS('Wells Fargo'!$F:$F,'Wells Fargo'!$G:$G,'Cash Flow'!$A13,'Wells Fargo'!$A:$A,Y$1,'Wells Fargo'!$B:$B,"&lt;="&amp;'Cash Flow'!Y$3,'Wells Fargo'!$B:$B,"&gt;"&amp;'Cash Flow'!X$3)</f>
        <v>0</v>
      </c>
      <c r="Z13" s="188">
        <f>SUMIFS('Wells Fargo'!$F:$F,'Wells Fargo'!$G:$G,'Cash Flow'!$A13,'Wells Fargo'!$A:$A,Z$1,'Wells Fargo'!$B:$B,"&lt;="&amp;'Cash Flow'!Z$3,'Wells Fargo'!$B:$B,"&gt;"&amp;'Cash Flow'!Y$3)</f>
        <v>0</v>
      </c>
      <c r="AA13" s="189">
        <f>SUMIFS('Wells Fargo'!$F:$F,'Wells Fargo'!$G:$G,'Cash Flow'!$A13,'Wells Fargo'!$A:$A,AA$1,'Wells Fargo'!$B:$B,"&lt;="&amp;'Cash Flow'!AA$3)</f>
        <v>0</v>
      </c>
      <c r="AB13" s="188">
        <f>SUMIFS('Wells Fargo'!$F:$F,'Wells Fargo'!$G:$G,'Cash Flow'!$A13,'Wells Fargo'!$A:$A,AB$1,'Wells Fargo'!$B:$B,"&lt;="&amp;'Cash Flow'!AB$3,'Wells Fargo'!$B:$B,"&gt;"&amp;'Cash Flow'!AA$3)</f>
        <v>0</v>
      </c>
      <c r="AC13" s="188">
        <f>SUMIFS('Wells Fargo'!$F:$F,'Wells Fargo'!$G:$G,'Cash Flow'!$A13,'Wells Fargo'!$A:$A,AC$1,'Wells Fargo'!$B:$B,"&lt;="&amp;'Cash Flow'!AC$3,'Wells Fargo'!$B:$B,"&gt;"&amp;'Cash Flow'!AB$3)</f>
        <v>0</v>
      </c>
      <c r="AD13" s="188">
        <f>SUMIFS('Wells Fargo'!$F:$F,'Wells Fargo'!$G:$G,'Cash Flow'!$A13,'Wells Fargo'!$A:$A,AD$1,'Wells Fargo'!$B:$B,"&lt;="&amp;'Cash Flow'!AD$3,'Wells Fargo'!$B:$B,"&gt;"&amp;'Cash Flow'!AC$3)</f>
        <v>0</v>
      </c>
      <c r="AE13" s="188">
        <f>SUMIFS('Wells Fargo'!$F:$F,'Wells Fargo'!$G:$G,'Cash Flow'!$A13,'Wells Fargo'!$A:$A,AE$1,'Wells Fargo'!$B:$B,"&lt;="&amp;'Cash Flow'!AE$3,'Wells Fargo'!$B:$B,"&gt;"&amp;'Cash Flow'!AD$3)</f>
        <v>0</v>
      </c>
      <c r="AF13" s="189">
        <f>SUMIFS('Wells Fargo'!$F:$F,'Wells Fargo'!$G:$G,'Cash Flow'!$A13,'Wells Fargo'!$A:$A,AF$1,'Wells Fargo'!$B:$B,"&lt;="&amp;'Cash Flow'!AF$3)</f>
        <v>0</v>
      </c>
      <c r="AG13" s="188">
        <f>SUMIFS('Wells Fargo'!$F:$F,'Wells Fargo'!$G:$G,'Cash Flow'!$A13,'Wells Fargo'!$A:$A,AG$1,'Wells Fargo'!$B:$B,"&lt;="&amp;'Cash Flow'!AG$3,'Wells Fargo'!$B:$B,"&gt;"&amp;'Cash Flow'!AF$3)</f>
        <v>0</v>
      </c>
      <c r="AH13" s="188">
        <f>SUMIFS('Wells Fargo'!$F:$F,'Wells Fargo'!$G:$G,'Cash Flow'!$A13,'Wells Fargo'!$A:$A,AH$1,'Wells Fargo'!$B:$B,"&lt;="&amp;'Cash Flow'!AH$3,'Wells Fargo'!$B:$B,"&gt;"&amp;'Cash Flow'!AG$3)</f>
        <v>0</v>
      </c>
      <c r="AI13" s="188">
        <f>SUMIFS('Wells Fargo'!$F:$F,'Wells Fargo'!$G:$G,'Cash Flow'!$A13,'Wells Fargo'!$A:$A,AI$1,'Wells Fargo'!$B:$B,"&lt;="&amp;'Cash Flow'!AI$3,'Wells Fargo'!$B:$B,"&gt;"&amp;'Cash Flow'!AH$3)</f>
        <v>0</v>
      </c>
      <c r="AJ13" s="188">
        <f>SUMIFS('Wells Fargo'!$F:$F,'Wells Fargo'!$G:$G,'Cash Flow'!$A13,'Wells Fargo'!$A:$A,AJ$1,'Wells Fargo'!$B:$B,"&lt;="&amp;'Cash Flow'!AJ$3,'Wells Fargo'!$B:$B,"&gt;"&amp;'Cash Flow'!AI$3)</f>
        <v>0</v>
      </c>
      <c r="AK13" s="189">
        <f>SUMIFS('Wells Fargo'!$F:$F,'Wells Fargo'!$G:$G,'Cash Flow'!$A13,'Wells Fargo'!$A:$A,AK$1,'Wells Fargo'!$B:$B,"&lt;="&amp;'Cash Flow'!AK$3)</f>
        <v>0</v>
      </c>
      <c r="AL13" s="188">
        <f>SUMIFS('Wells Fargo'!$F:$F,'Wells Fargo'!$G:$G,'Cash Flow'!$A13,'Wells Fargo'!$A:$A,AL$1,'Wells Fargo'!$B:$B,"&lt;="&amp;'Cash Flow'!AL$3,'Wells Fargo'!$B:$B,"&gt;"&amp;'Cash Flow'!AK$3)</f>
        <v>0</v>
      </c>
      <c r="AM13" s="188">
        <f>SUMIFS('Wells Fargo'!$F:$F,'Wells Fargo'!$G:$G,'Cash Flow'!$A13,'Wells Fargo'!$A:$A,AM$1,'Wells Fargo'!$B:$B,"&lt;="&amp;'Cash Flow'!AM$3,'Wells Fargo'!$B:$B,"&gt;"&amp;'Cash Flow'!AL$3)</f>
        <v>0</v>
      </c>
      <c r="AN13" s="188">
        <f>SUMIFS('Wells Fargo'!$F:$F,'Wells Fargo'!$G:$G,'Cash Flow'!$A13,'Wells Fargo'!$A:$A,AN$1,'Wells Fargo'!$B:$B,"&lt;="&amp;'Cash Flow'!AN$3,'Wells Fargo'!$B:$B,"&gt;"&amp;'Cash Flow'!AM$3)</f>
        <v>-30</v>
      </c>
      <c r="AO13" s="188">
        <f>SUMIFS('Wells Fargo'!$F:$F,'Wells Fargo'!$G:$G,'Cash Flow'!$A13,'Wells Fargo'!$A:$A,AO$1,'Wells Fargo'!$B:$B,"&lt;="&amp;'Cash Flow'!AO$3,'Wells Fargo'!$B:$B,"&gt;"&amp;'Cash Flow'!AN$3)</f>
        <v>0</v>
      </c>
      <c r="AP13" s="189">
        <f>SUMIFS('Wells Fargo'!$F:$F,'Wells Fargo'!$G:$G,'Cash Flow'!$A13,'Wells Fargo'!$A:$A,AP$1,'Wells Fargo'!$B:$B,"&lt;="&amp;'Cash Flow'!AP$3)</f>
        <v>0</v>
      </c>
      <c r="AQ13" s="188">
        <f>SUMIFS('Wells Fargo'!$F:$F,'Wells Fargo'!$G:$G,'Cash Flow'!$A13,'Wells Fargo'!$A:$A,AQ$1,'Wells Fargo'!$B:$B,"&lt;="&amp;'Cash Flow'!AQ$3,'Wells Fargo'!$B:$B,"&gt;"&amp;'Cash Flow'!AP$3)</f>
        <v>0</v>
      </c>
      <c r="AR13" s="188">
        <f>SUMIFS('Wells Fargo'!$F:$F,'Wells Fargo'!$G:$G,'Cash Flow'!$A13,'Wells Fargo'!$A:$A,AR$1,'Wells Fargo'!$B:$B,"&lt;="&amp;'Cash Flow'!AR$3,'Wells Fargo'!$B:$B,"&gt;"&amp;'Cash Flow'!AQ$3)</f>
        <v>0</v>
      </c>
      <c r="AS13" s="188">
        <f>SUMIFS('Wells Fargo'!$F:$F,'Wells Fargo'!$G:$G,'Cash Flow'!$A13,'Wells Fargo'!$A:$A,AS$1,'Wells Fargo'!$B:$B,"&lt;="&amp;'Cash Flow'!AS$3,'Wells Fargo'!$B:$B,"&gt;"&amp;'Cash Flow'!AR$3)</f>
        <v>0</v>
      </c>
      <c r="AT13" s="188">
        <f>SUMIFS('Wells Fargo'!$F:$F,'Wells Fargo'!$G:$G,'Cash Flow'!$A13,'Wells Fargo'!$A:$A,AT$1,'Wells Fargo'!$B:$B,"&lt;="&amp;'Cash Flow'!AT$3,'Wells Fargo'!$B:$B,"&gt;"&amp;'Cash Flow'!AS$3)</f>
        <v>0</v>
      </c>
      <c r="AU13" s="189">
        <f>SUMIFS('Wells Fargo'!$F:$F,'Wells Fargo'!$G:$G,'Cash Flow'!$A13,'Wells Fargo'!$A:$A,AU$1,'Wells Fargo'!$B:$B,"&lt;="&amp;'Cash Flow'!AU$3)</f>
        <v>0</v>
      </c>
      <c r="AV13" s="188">
        <f>SUMIFS('Wells Fargo'!$F:$F,'Wells Fargo'!$G:$G,'Cash Flow'!$A13,'Wells Fargo'!$A:$A,AV$1,'Wells Fargo'!$B:$B,"&lt;="&amp;'Cash Flow'!AV$3,'Wells Fargo'!$B:$B,"&gt;"&amp;'Cash Flow'!AU$3)</f>
        <v>0</v>
      </c>
      <c r="AW13" s="188">
        <f>SUMIFS('Wells Fargo'!$F:$F,'Wells Fargo'!$G:$G,'Cash Flow'!$A13,'Wells Fargo'!$A:$A,AW$1,'Wells Fargo'!$B:$B,"&lt;="&amp;'Cash Flow'!AW$3,'Wells Fargo'!$B:$B,"&gt;"&amp;'Cash Flow'!AV$3)</f>
        <v>0</v>
      </c>
      <c r="AX13" s="188">
        <f>SUMIFS('Wells Fargo'!$F:$F,'Wells Fargo'!$G:$G,'Cash Flow'!$A13,'Wells Fargo'!$A:$A,AX$1,'Wells Fargo'!$B:$B,"&lt;="&amp;'Cash Flow'!AX$3,'Wells Fargo'!$B:$B,"&gt;"&amp;'Cash Flow'!AW$3)</f>
        <v>0</v>
      </c>
      <c r="AY13" s="188">
        <f>SUMIFS('Wells Fargo'!$F:$F,'Wells Fargo'!$G:$G,'Cash Flow'!$A13,'Wells Fargo'!$A:$A,AY$1,'Wells Fargo'!$B:$B,"&lt;="&amp;'Cash Flow'!AY$3,'Wells Fargo'!$B:$B,"&gt;"&amp;'Cash Flow'!AX$3)</f>
        <v>0</v>
      </c>
      <c r="AZ13" s="189">
        <f>SUMIFS('Wells Fargo'!$F:$F,'Wells Fargo'!$G:$G,'Cash Flow'!$A13,'Wells Fargo'!$A:$A,AZ$1,'Wells Fargo'!$B:$B,"&lt;="&amp;'Cash Flow'!AZ$3)</f>
        <v>0</v>
      </c>
      <c r="BA13" s="188">
        <f>SUMIFS('Wells Fargo'!$F:$F,'Wells Fargo'!$G:$G,'Cash Flow'!$A13,'Wells Fargo'!$A:$A,BA$1,'Wells Fargo'!$B:$B,"&lt;="&amp;'Cash Flow'!BA$3,'Wells Fargo'!$B:$B,"&gt;"&amp;'Cash Flow'!AZ$3)</f>
        <v>0</v>
      </c>
      <c r="BB13" s="188">
        <f>SUMIFS('Wells Fargo'!$F:$F,'Wells Fargo'!$G:$G,'Cash Flow'!$A13,'Wells Fargo'!$A:$A,BB$1,'Wells Fargo'!$B:$B,"&lt;="&amp;'Cash Flow'!BB$3,'Wells Fargo'!$B:$B,"&gt;"&amp;'Cash Flow'!BA$3)</f>
        <v>0</v>
      </c>
      <c r="BC13" s="188">
        <f>SUMIFS('Wells Fargo'!$F:$F,'Wells Fargo'!$G:$G,'Cash Flow'!$A13,'Wells Fargo'!$A:$A,BC$1,'Wells Fargo'!$B:$B,"&lt;="&amp;'Cash Flow'!BC$3,'Wells Fargo'!$B:$B,"&gt;"&amp;'Cash Flow'!BB$3)</f>
        <v>0</v>
      </c>
      <c r="BD13" s="188">
        <f>SUMIFS('Wells Fargo'!$F:$F,'Wells Fargo'!$G:$G,'Cash Flow'!$A13,'Wells Fargo'!$A:$A,BD$1,'Wells Fargo'!$B:$B,"&lt;="&amp;'Cash Flow'!BD$3,'Wells Fargo'!$B:$B,"&gt;"&amp;'Cash Flow'!BC$3)</f>
        <v>0</v>
      </c>
      <c r="BE13" s="189">
        <f>SUMIFS('Wells Fargo'!$F:$F,'Wells Fargo'!$G:$G,'Cash Flow'!$A13,'Wells Fargo'!$A:$A,BE$1,'Wells Fargo'!$B:$B,"&lt;="&amp;'Cash Flow'!BE$3)</f>
        <v>0</v>
      </c>
      <c r="BF13" s="188">
        <f>SUMIFS('Wells Fargo'!$F:$F,'Wells Fargo'!$G:$G,'Cash Flow'!$A13,'Wells Fargo'!$A:$A,BF$1,'Wells Fargo'!$B:$B,"&lt;="&amp;'Cash Flow'!BF$3,'Wells Fargo'!$B:$B,"&gt;"&amp;'Cash Flow'!BE$3)</f>
        <v>0</v>
      </c>
      <c r="BG13" s="188">
        <f>SUMIFS('Wells Fargo'!$F:$F,'Wells Fargo'!$G:$G,'Cash Flow'!$A13,'Wells Fargo'!$A:$A,BG$1,'Wells Fargo'!$B:$B,"&lt;="&amp;'Cash Flow'!BG$3,'Wells Fargo'!$B:$B,"&gt;"&amp;'Cash Flow'!BF$3)</f>
        <v>0</v>
      </c>
      <c r="BH13" s="188">
        <f>SUMIFS('Wells Fargo'!$F:$F,'Wells Fargo'!$G:$G,'Cash Flow'!$A13,'Wells Fargo'!$A:$A,BH$1,'Wells Fargo'!$B:$B,"&lt;="&amp;'Cash Flow'!BH$3,'Wells Fargo'!$B:$B,"&gt;"&amp;'Cash Flow'!BG$3)</f>
        <v>0</v>
      </c>
      <c r="BI13" s="188">
        <f>SUMIFS('Wells Fargo'!$F:$F,'Wells Fargo'!$G:$G,'Cash Flow'!$A13,'Wells Fargo'!$A:$A,BI$1,'Wells Fargo'!$B:$B,"&lt;="&amp;'Cash Flow'!BI$3,'Wells Fargo'!$B:$B,"&gt;"&amp;'Cash Flow'!BH$3)</f>
        <v>0</v>
      </c>
    </row>
    <row r="14" spans="1:61" ht="12.75" x14ac:dyDescent="0.2">
      <c r="A14" t="str">
        <v>Brooklyn</v>
      </c>
      <c r="B14" s="87">
        <f t="shared" si="0"/>
        <v>-952.13000000000011</v>
      </c>
      <c r="C14" s="189">
        <f>SUMIFS('Wells Fargo'!$F:$F,'Wells Fargo'!$G:$G,'Cash Flow'!$A14,'Wells Fargo'!$A:$A,C$1,'Wells Fargo'!$B:$B,"&lt;="&amp;'Cash Flow'!C$3)</f>
        <v>0</v>
      </c>
      <c r="D14" s="188">
        <f>SUMIFS('Wells Fargo'!$F:$F,'Wells Fargo'!$G:$G,'Cash Flow'!$A14,'Wells Fargo'!$A:$A,D$1,'Wells Fargo'!$B:$B,"&lt;="&amp;'Cash Flow'!D$3,'Wells Fargo'!$B:$B,"&gt;"&amp;'Cash Flow'!C$3)</f>
        <v>0</v>
      </c>
      <c r="E14" s="188">
        <f>SUMIFS('Wells Fargo'!$F:$F,'Wells Fargo'!$G:$G,'Cash Flow'!$A14,'Wells Fargo'!$A:$A,E$1,'Wells Fargo'!$B:$B,"&lt;="&amp;'Cash Flow'!E$3,'Wells Fargo'!$B:$B,"&gt;"&amp;'Cash Flow'!D$3)</f>
        <v>0</v>
      </c>
      <c r="F14" s="188">
        <f>SUMIFS('Wells Fargo'!$F:$F,'Wells Fargo'!$G:$G,'Cash Flow'!$A14,'Wells Fargo'!$A:$A,F$1,'Wells Fargo'!$B:$B,"&lt;="&amp;'Cash Flow'!F$3,'Wells Fargo'!$B:$B,"&gt;"&amp;'Cash Flow'!E$3)</f>
        <v>0</v>
      </c>
      <c r="G14" s="188">
        <f>SUMIFS('Wells Fargo'!$F:$F,'Wells Fargo'!$G:$G,'Cash Flow'!$A14,'Wells Fargo'!$A:$A,G$1,'Wells Fargo'!$B:$B,"&lt;="&amp;'Cash Flow'!G$3,'Wells Fargo'!$B:$B,"&gt;"&amp;'Cash Flow'!F$3)</f>
        <v>0</v>
      </c>
      <c r="H14" s="189">
        <f>SUMIFS('Wells Fargo'!$F:$F,'Wells Fargo'!$G:$G,'Cash Flow'!$A14,'Wells Fargo'!$A:$A,H$1,'Wells Fargo'!$B:$B,"&lt;="&amp;'Cash Flow'!H$3)</f>
        <v>0</v>
      </c>
      <c r="I14" s="188">
        <f>SUMIFS('Wells Fargo'!$F:$F,'Wells Fargo'!$G:$G,'Cash Flow'!$A14,'Wells Fargo'!$A:$A,I$1,'Wells Fargo'!$B:$B,"&lt;="&amp;'Cash Flow'!I$3,'Wells Fargo'!$B:$B,"&gt;"&amp;'Cash Flow'!H$3)</f>
        <v>0</v>
      </c>
      <c r="J14" s="188">
        <f>SUMIFS('Wells Fargo'!$F:$F,'Wells Fargo'!$G:$G,'Cash Flow'!$A14,'Wells Fargo'!$A:$A,J$1,'Wells Fargo'!$B:$B,"&lt;="&amp;'Cash Flow'!J$3,'Wells Fargo'!$B:$B,"&gt;"&amp;'Cash Flow'!I$3)</f>
        <v>0</v>
      </c>
      <c r="K14" s="188">
        <f>SUMIFS('Wells Fargo'!$F:$F,'Wells Fargo'!$G:$G,'Cash Flow'!$A14,'Wells Fargo'!$A:$A,K$1,'Wells Fargo'!$B:$B,"&lt;="&amp;'Cash Flow'!K$3,'Wells Fargo'!$B:$B,"&gt;"&amp;'Cash Flow'!J$3)</f>
        <v>0</v>
      </c>
      <c r="L14" s="189">
        <f>SUMIFS('Wells Fargo'!$F:$F,'Wells Fargo'!$G:$G,'Cash Flow'!$A14,'Wells Fargo'!$A:$A,L$1,'Wells Fargo'!$B:$B,"&lt;="&amp;'Cash Flow'!L$3)</f>
        <v>0</v>
      </c>
      <c r="M14" s="188">
        <f>SUMIFS('Wells Fargo'!$F:$F,'Wells Fargo'!$G:$G,'Cash Flow'!$A14,'Wells Fargo'!$A:$A,M$1,'Wells Fargo'!$B:$B,"&lt;="&amp;'Cash Flow'!M$3,'Wells Fargo'!$B:$B,"&gt;"&amp;'Cash Flow'!L$3)</f>
        <v>0</v>
      </c>
      <c r="N14" s="188">
        <f>SUMIFS('Wells Fargo'!$F:$F,'Wells Fargo'!$G:$G,'Cash Flow'!$A14,'Wells Fargo'!$A:$A,N$1,'Wells Fargo'!$B:$B,"&lt;="&amp;'Cash Flow'!N$3,'Wells Fargo'!$B:$B,"&gt;"&amp;'Cash Flow'!M$3)</f>
        <v>0</v>
      </c>
      <c r="O14" s="188">
        <f>SUMIFS('Wells Fargo'!$F:$F,'Wells Fargo'!$G:$G,'Cash Flow'!$A14,'Wells Fargo'!$A:$A,O$1,'Wells Fargo'!$B:$B,"&lt;="&amp;'Cash Flow'!O$3,'Wells Fargo'!$B:$B,"&gt;"&amp;'Cash Flow'!N$3)</f>
        <v>0</v>
      </c>
      <c r="P14" s="188">
        <f>SUMIFS('Wells Fargo'!$F:$F,'Wells Fargo'!$G:$G,'Cash Flow'!$A14,'Wells Fargo'!$A:$A,P$1,'Wells Fargo'!$B:$B,"&lt;="&amp;'Cash Flow'!P$3,'Wells Fargo'!$B:$B,"&gt;"&amp;'Cash Flow'!O$3)</f>
        <v>0</v>
      </c>
      <c r="Q14" s="189">
        <f>SUMIFS('Wells Fargo'!$F:$F,'Wells Fargo'!$G:$G,'Cash Flow'!$A14,'Wells Fargo'!$A:$A,Q$1,'Wells Fargo'!$B:$B,"&lt;="&amp;'Cash Flow'!Q$3)</f>
        <v>0</v>
      </c>
      <c r="R14" s="188">
        <f>SUMIFS('Wells Fargo'!$F:$F,'Wells Fargo'!$G:$G,'Cash Flow'!$A14,'Wells Fargo'!$A:$A,R$1,'Wells Fargo'!$B:$B,"&lt;="&amp;'Cash Flow'!R$3,'Wells Fargo'!$B:$B,"&gt;"&amp;'Cash Flow'!Q$3)</f>
        <v>0</v>
      </c>
      <c r="S14" s="188">
        <f>SUMIFS('Wells Fargo'!$F:$F,'Wells Fargo'!$G:$G,'Cash Flow'!$A14,'Wells Fargo'!$A:$A,S$1,'Wells Fargo'!$B:$B,"&lt;="&amp;'Cash Flow'!S$3,'Wells Fargo'!$B:$B,"&gt;"&amp;'Cash Flow'!R$3)</f>
        <v>0</v>
      </c>
      <c r="T14" s="188">
        <f>SUMIFS('Wells Fargo'!$F:$F,'Wells Fargo'!$G:$G,'Cash Flow'!$A14,'Wells Fargo'!$A:$A,T$1,'Wells Fargo'!$B:$B,"&lt;="&amp;'Cash Flow'!T$3,'Wells Fargo'!$B:$B,"&gt;"&amp;'Cash Flow'!S$3)</f>
        <v>0</v>
      </c>
      <c r="U14" s="188">
        <f>SUMIFS('Wells Fargo'!$F:$F,'Wells Fargo'!$G:$G,'Cash Flow'!$A14,'Wells Fargo'!$A:$A,U$1,'Wells Fargo'!$B:$B,"&lt;="&amp;'Cash Flow'!U$3,'Wells Fargo'!$B:$B,"&gt;"&amp;'Cash Flow'!T$3)</f>
        <v>0</v>
      </c>
      <c r="V14" s="189">
        <f>SUMIFS('Wells Fargo'!$F:$F,'Wells Fargo'!$G:$G,'Cash Flow'!$A14,'Wells Fargo'!$A:$A,V$1,'Wells Fargo'!$B:$B,"&lt;="&amp;'Cash Flow'!V$3)</f>
        <v>0</v>
      </c>
      <c r="W14" s="188">
        <f>SUMIFS('Wells Fargo'!$F:$F,'Wells Fargo'!$G:$G,'Cash Flow'!$A14,'Wells Fargo'!$A:$A,W$1,'Wells Fargo'!$B:$B,"&lt;="&amp;'Cash Flow'!W$3,'Wells Fargo'!$B:$B,"&gt;"&amp;'Cash Flow'!V$3)</f>
        <v>0</v>
      </c>
      <c r="X14" s="188">
        <f>SUMIFS('Wells Fargo'!$F:$F,'Wells Fargo'!$G:$G,'Cash Flow'!$A14,'Wells Fargo'!$A:$A,X$1,'Wells Fargo'!$B:$B,"&lt;="&amp;'Cash Flow'!X$3,'Wells Fargo'!$B:$B,"&gt;"&amp;'Cash Flow'!W$3)</f>
        <v>0</v>
      </c>
      <c r="Y14" s="188">
        <f>SUMIFS('Wells Fargo'!$F:$F,'Wells Fargo'!$G:$G,'Cash Flow'!$A14,'Wells Fargo'!$A:$A,Y$1,'Wells Fargo'!$B:$B,"&lt;="&amp;'Cash Flow'!Y$3,'Wells Fargo'!$B:$B,"&gt;"&amp;'Cash Flow'!X$3)</f>
        <v>0</v>
      </c>
      <c r="Z14" s="188">
        <f>SUMIFS('Wells Fargo'!$F:$F,'Wells Fargo'!$G:$G,'Cash Flow'!$A14,'Wells Fargo'!$A:$A,Z$1,'Wells Fargo'!$B:$B,"&lt;="&amp;'Cash Flow'!Z$3,'Wells Fargo'!$B:$B,"&gt;"&amp;'Cash Flow'!Y$3)</f>
        <v>0</v>
      </c>
      <c r="AA14" s="189">
        <f>SUMIFS('Wells Fargo'!$F:$F,'Wells Fargo'!$G:$G,'Cash Flow'!$A14,'Wells Fargo'!$A:$A,AA$1,'Wells Fargo'!$B:$B,"&lt;="&amp;'Cash Flow'!AA$3)</f>
        <v>0</v>
      </c>
      <c r="AB14" s="188">
        <f>SUMIFS('Wells Fargo'!$F:$F,'Wells Fargo'!$G:$G,'Cash Flow'!$A14,'Wells Fargo'!$A:$A,AB$1,'Wells Fargo'!$B:$B,"&lt;="&amp;'Cash Flow'!AB$3,'Wells Fargo'!$B:$B,"&gt;"&amp;'Cash Flow'!AA$3)</f>
        <v>-635.2700000000001</v>
      </c>
      <c r="AC14" s="188">
        <f>SUMIFS('Wells Fargo'!$F:$F,'Wells Fargo'!$G:$G,'Cash Flow'!$A14,'Wells Fargo'!$A:$A,AC$1,'Wells Fargo'!$B:$B,"&lt;="&amp;'Cash Flow'!AC$3,'Wells Fargo'!$B:$B,"&gt;"&amp;'Cash Flow'!AB$3)</f>
        <v>0</v>
      </c>
      <c r="AD14" s="188">
        <f>SUMIFS('Wells Fargo'!$F:$F,'Wells Fargo'!$G:$G,'Cash Flow'!$A14,'Wells Fargo'!$A:$A,AD$1,'Wells Fargo'!$B:$B,"&lt;="&amp;'Cash Flow'!AD$3,'Wells Fargo'!$B:$B,"&gt;"&amp;'Cash Flow'!AC$3)</f>
        <v>0</v>
      </c>
      <c r="AE14" s="188">
        <f>SUMIFS('Wells Fargo'!$F:$F,'Wells Fargo'!$G:$G,'Cash Flow'!$A14,'Wells Fargo'!$A:$A,AE$1,'Wells Fargo'!$B:$B,"&lt;="&amp;'Cash Flow'!AE$3,'Wells Fargo'!$B:$B,"&gt;"&amp;'Cash Flow'!AD$3)</f>
        <v>0</v>
      </c>
      <c r="AF14" s="189">
        <f>SUMIFS('Wells Fargo'!$F:$F,'Wells Fargo'!$G:$G,'Cash Flow'!$A14,'Wells Fargo'!$A:$A,AF$1,'Wells Fargo'!$B:$B,"&lt;="&amp;'Cash Flow'!AF$3)</f>
        <v>0</v>
      </c>
      <c r="AG14" s="188">
        <f>SUMIFS('Wells Fargo'!$F:$F,'Wells Fargo'!$G:$G,'Cash Flow'!$A14,'Wells Fargo'!$A:$A,AG$1,'Wells Fargo'!$B:$B,"&lt;="&amp;'Cash Flow'!AG$3,'Wells Fargo'!$B:$B,"&gt;"&amp;'Cash Flow'!AF$3)</f>
        <v>-316.86</v>
      </c>
      <c r="AH14" s="188">
        <f>SUMIFS('Wells Fargo'!$F:$F,'Wells Fargo'!$G:$G,'Cash Flow'!$A14,'Wells Fargo'!$A:$A,AH$1,'Wells Fargo'!$B:$B,"&lt;="&amp;'Cash Flow'!AH$3,'Wells Fargo'!$B:$B,"&gt;"&amp;'Cash Flow'!AG$3)</f>
        <v>0</v>
      </c>
      <c r="AI14" s="188">
        <f>SUMIFS('Wells Fargo'!$F:$F,'Wells Fargo'!$G:$G,'Cash Flow'!$A14,'Wells Fargo'!$A:$A,AI$1,'Wells Fargo'!$B:$B,"&lt;="&amp;'Cash Flow'!AI$3,'Wells Fargo'!$B:$B,"&gt;"&amp;'Cash Flow'!AH$3)</f>
        <v>0</v>
      </c>
      <c r="AJ14" s="188">
        <f>SUMIFS('Wells Fargo'!$F:$F,'Wells Fargo'!$G:$G,'Cash Flow'!$A14,'Wells Fargo'!$A:$A,AJ$1,'Wells Fargo'!$B:$B,"&lt;="&amp;'Cash Flow'!AJ$3,'Wells Fargo'!$B:$B,"&gt;"&amp;'Cash Flow'!AI$3)</f>
        <v>0</v>
      </c>
      <c r="AK14" s="189">
        <f>SUMIFS('Wells Fargo'!$F:$F,'Wells Fargo'!$G:$G,'Cash Flow'!$A14,'Wells Fargo'!$A:$A,AK$1,'Wells Fargo'!$B:$B,"&lt;="&amp;'Cash Flow'!AK$3)</f>
        <v>0</v>
      </c>
      <c r="AL14" s="188">
        <f>SUMIFS('Wells Fargo'!$F:$F,'Wells Fargo'!$G:$G,'Cash Flow'!$A14,'Wells Fargo'!$A:$A,AL$1,'Wells Fargo'!$B:$B,"&lt;="&amp;'Cash Flow'!AL$3,'Wells Fargo'!$B:$B,"&gt;"&amp;'Cash Flow'!AK$3)</f>
        <v>0</v>
      </c>
      <c r="AM14" s="188">
        <f>SUMIFS('Wells Fargo'!$F:$F,'Wells Fargo'!$G:$G,'Cash Flow'!$A14,'Wells Fargo'!$A:$A,AM$1,'Wells Fargo'!$B:$B,"&lt;="&amp;'Cash Flow'!AM$3,'Wells Fargo'!$B:$B,"&gt;"&amp;'Cash Flow'!AL$3)</f>
        <v>0</v>
      </c>
      <c r="AN14" s="188">
        <f>SUMIFS('Wells Fargo'!$F:$F,'Wells Fargo'!$G:$G,'Cash Flow'!$A14,'Wells Fargo'!$A:$A,AN$1,'Wells Fargo'!$B:$B,"&lt;="&amp;'Cash Flow'!AN$3,'Wells Fargo'!$B:$B,"&gt;"&amp;'Cash Flow'!AM$3)</f>
        <v>0</v>
      </c>
      <c r="AO14" s="188">
        <f>SUMIFS('Wells Fargo'!$F:$F,'Wells Fargo'!$G:$G,'Cash Flow'!$A14,'Wells Fargo'!$A:$A,AO$1,'Wells Fargo'!$B:$B,"&lt;="&amp;'Cash Flow'!AO$3,'Wells Fargo'!$B:$B,"&gt;"&amp;'Cash Flow'!AN$3)</f>
        <v>0</v>
      </c>
      <c r="AP14" s="189">
        <f>SUMIFS('Wells Fargo'!$F:$F,'Wells Fargo'!$G:$G,'Cash Flow'!$A14,'Wells Fargo'!$A:$A,AP$1,'Wells Fargo'!$B:$B,"&lt;="&amp;'Cash Flow'!AP$3)</f>
        <v>0</v>
      </c>
      <c r="AQ14" s="188">
        <f>SUMIFS('Wells Fargo'!$F:$F,'Wells Fargo'!$G:$G,'Cash Flow'!$A14,'Wells Fargo'!$A:$A,AQ$1,'Wells Fargo'!$B:$B,"&lt;="&amp;'Cash Flow'!AQ$3,'Wells Fargo'!$B:$B,"&gt;"&amp;'Cash Flow'!AP$3)</f>
        <v>0</v>
      </c>
      <c r="AR14" s="188">
        <f>SUMIFS('Wells Fargo'!$F:$F,'Wells Fargo'!$G:$G,'Cash Flow'!$A14,'Wells Fargo'!$A:$A,AR$1,'Wells Fargo'!$B:$B,"&lt;="&amp;'Cash Flow'!AR$3,'Wells Fargo'!$B:$B,"&gt;"&amp;'Cash Flow'!AQ$3)</f>
        <v>0</v>
      </c>
      <c r="AS14" s="188">
        <f>SUMIFS('Wells Fargo'!$F:$F,'Wells Fargo'!$G:$G,'Cash Flow'!$A14,'Wells Fargo'!$A:$A,AS$1,'Wells Fargo'!$B:$B,"&lt;="&amp;'Cash Flow'!AS$3,'Wells Fargo'!$B:$B,"&gt;"&amp;'Cash Flow'!AR$3)</f>
        <v>0</v>
      </c>
      <c r="AT14" s="188">
        <f>SUMIFS('Wells Fargo'!$F:$F,'Wells Fargo'!$G:$G,'Cash Flow'!$A14,'Wells Fargo'!$A:$A,AT$1,'Wells Fargo'!$B:$B,"&lt;="&amp;'Cash Flow'!AT$3,'Wells Fargo'!$B:$B,"&gt;"&amp;'Cash Flow'!AS$3)</f>
        <v>0</v>
      </c>
      <c r="AU14" s="189">
        <f>SUMIFS('Wells Fargo'!$F:$F,'Wells Fargo'!$G:$G,'Cash Flow'!$A14,'Wells Fargo'!$A:$A,AU$1,'Wells Fargo'!$B:$B,"&lt;="&amp;'Cash Flow'!AU$3)</f>
        <v>0</v>
      </c>
      <c r="AV14" s="188">
        <f>SUMIFS('Wells Fargo'!$F:$F,'Wells Fargo'!$G:$G,'Cash Flow'!$A14,'Wells Fargo'!$A:$A,AV$1,'Wells Fargo'!$B:$B,"&lt;="&amp;'Cash Flow'!AV$3,'Wells Fargo'!$B:$B,"&gt;"&amp;'Cash Flow'!AU$3)</f>
        <v>0</v>
      </c>
      <c r="AW14" s="188">
        <f>SUMIFS('Wells Fargo'!$F:$F,'Wells Fargo'!$G:$G,'Cash Flow'!$A14,'Wells Fargo'!$A:$A,AW$1,'Wells Fargo'!$B:$B,"&lt;="&amp;'Cash Flow'!AW$3,'Wells Fargo'!$B:$B,"&gt;"&amp;'Cash Flow'!AV$3)</f>
        <v>0</v>
      </c>
      <c r="AX14" s="188">
        <f>SUMIFS('Wells Fargo'!$F:$F,'Wells Fargo'!$G:$G,'Cash Flow'!$A14,'Wells Fargo'!$A:$A,AX$1,'Wells Fargo'!$B:$B,"&lt;="&amp;'Cash Flow'!AX$3,'Wells Fargo'!$B:$B,"&gt;"&amp;'Cash Flow'!AW$3)</f>
        <v>0</v>
      </c>
      <c r="AY14" s="188">
        <f>SUMIFS('Wells Fargo'!$F:$F,'Wells Fargo'!$G:$G,'Cash Flow'!$A14,'Wells Fargo'!$A:$A,AY$1,'Wells Fargo'!$B:$B,"&lt;="&amp;'Cash Flow'!AY$3,'Wells Fargo'!$B:$B,"&gt;"&amp;'Cash Flow'!AX$3)</f>
        <v>0</v>
      </c>
      <c r="AZ14" s="189">
        <f>SUMIFS('Wells Fargo'!$F:$F,'Wells Fargo'!$G:$G,'Cash Flow'!$A14,'Wells Fargo'!$A:$A,AZ$1,'Wells Fargo'!$B:$B,"&lt;="&amp;'Cash Flow'!AZ$3)</f>
        <v>0</v>
      </c>
      <c r="BA14" s="188">
        <f>SUMIFS('Wells Fargo'!$F:$F,'Wells Fargo'!$G:$G,'Cash Flow'!$A14,'Wells Fargo'!$A:$A,BA$1,'Wells Fargo'!$B:$B,"&lt;="&amp;'Cash Flow'!BA$3,'Wells Fargo'!$B:$B,"&gt;"&amp;'Cash Flow'!AZ$3)</f>
        <v>0</v>
      </c>
      <c r="BB14" s="188">
        <f>SUMIFS('Wells Fargo'!$F:$F,'Wells Fargo'!$G:$G,'Cash Flow'!$A14,'Wells Fargo'!$A:$A,BB$1,'Wells Fargo'!$B:$B,"&lt;="&amp;'Cash Flow'!BB$3,'Wells Fargo'!$B:$B,"&gt;"&amp;'Cash Flow'!BA$3)</f>
        <v>0</v>
      </c>
      <c r="BC14" s="188">
        <f>SUMIFS('Wells Fargo'!$F:$F,'Wells Fargo'!$G:$G,'Cash Flow'!$A14,'Wells Fargo'!$A:$A,BC$1,'Wells Fargo'!$B:$B,"&lt;="&amp;'Cash Flow'!BC$3,'Wells Fargo'!$B:$B,"&gt;"&amp;'Cash Flow'!BB$3)</f>
        <v>0</v>
      </c>
      <c r="BD14" s="188">
        <f>SUMIFS('Wells Fargo'!$F:$F,'Wells Fargo'!$G:$G,'Cash Flow'!$A14,'Wells Fargo'!$A:$A,BD$1,'Wells Fargo'!$B:$B,"&lt;="&amp;'Cash Flow'!BD$3,'Wells Fargo'!$B:$B,"&gt;"&amp;'Cash Flow'!BC$3)</f>
        <v>0</v>
      </c>
      <c r="BE14" s="189">
        <f>SUMIFS('Wells Fargo'!$F:$F,'Wells Fargo'!$G:$G,'Cash Flow'!$A14,'Wells Fargo'!$A:$A,BE$1,'Wells Fargo'!$B:$B,"&lt;="&amp;'Cash Flow'!BE$3)</f>
        <v>0</v>
      </c>
      <c r="BF14" s="188">
        <f>SUMIFS('Wells Fargo'!$F:$F,'Wells Fargo'!$G:$G,'Cash Flow'!$A14,'Wells Fargo'!$A:$A,BF$1,'Wells Fargo'!$B:$B,"&lt;="&amp;'Cash Flow'!BF$3,'Wells Fargo'!$B:$B,"&gt;"&amp;'Cash Flow'!BE$3)</f>
        <v>0</v>
      </c>
      <c r="BG14" s="188">
        <f>SUMIFS('Wells Fargo'!$F:$F,'Wells Fargo'!$G:$G,'Cash Flow'!$A14,'Wells Fargo'!$A:$A,BG$1,'Wells Fargo'!$B:$B,"&lt;="&amp;'Cash Flow'!BG$3,'Wells Fargo'!$B:$B,"&gt;"&amp;'Cash Flow'!BF$3)</f>
        <v>0</v>
      </c>
      <c r="BH14" s="188">
        <f>SUMIFS('Wells Fargo'!$F:$F,'Wells Fargo'!$G:$G,'Cash Flow'!$A14,'Wells Fargo'!$A:$A,BH$1,'Wells Fargo'!$B:$B,"&lt;="&amp;'Cash Flow'!BH$3,'Wells Fargo'!$B:$B,"&gt;"&amp;'Cash Flow'!BG$3)</f>
        <v>0</v>
      </c>
      <c r="BI14" s="188">
        <f>SUMIFS('Wells Fargo'!$F:$F,'Wells Fargo'!$G:$G,'Cash Flow'!$A14,'Wells Fargo'!$A:$A,BI$1,'Wells Fargo'!$B:$B,"&lt;="&amp;'Cash Flow'!BI$3,'Wells Fargo'!$B:$B,"&gt;"&amp;'Cash Flow'!BH$3)</f>
        <v>0</v>
      </c>
    </row>
    <row r="15" spans="1:61" ht="12.75" x14ac:dyDescent="0.2">
      <c r="A15" t="str">
        <v>Cairo</v>
      </c>
      <c r="B15" s="87">
        <f t="shared" si="0"/>
        <v>0</v>
      </c>
      <c r="C15" s="189">
        <f>SUMIFS('Wells Fargo'!$F:$F,'Wells Fargo'!$G:$G,'Cash Flow'!$A15,'Wells Fargo'!$A:$A,C$1,'Wells Fargo'!$B:$B,"&lt;="&amp;'Cash Flow'!C$3)</f>
        <v>0</v>
      </c>
      <c r="D15" s="188">
        <f>SUMIFS('Wells Fargo'!$F:$F,'Wells Fargo'!$G:$G,'Cash Flow'!$A15,'Wells Fargo'!$A:$A,D$1,'Wells Fargo'!$B:$B,"&lt;="&amp;'Cash Flow'!D$3,'Wells Fargo'!$B:$B,"&gt;"&amp;'Cash Flow'!C$3)</f>
        <v>0</v>
      </c>
      <c r="E15" s="188">
        <f>SUMIFS('Wells Fargo'!$F:$F,'Wells Fargo'!$G:$G,'Cash Flow'!$A15,'Wells Fargo'!$A:$A,E$1,'Wells Fargo'!$B:$B,"&lt;="&amp;'Cash Flow'!E$3,'Wells Fargo'!$B:$B,"&gt;"&amp;'Cash Flow'!D$3)</f>
        <v>0</v>
      </c>
      <c r="F15" s="188">
        <f>SUMIFS('Wells Fargo'!$F:$F,'Wells Fargo'!$G:$G,'Cash Flow'!$A15,'Wells Fargo'!$A:$A,F$1,'Wells Fargo'!$B:$B,"&lt;="&amp;'Cash Flow'!F$3,'Wells Fargo'!$B:$B,"&gt;"&amp;'Cash Flow'!E$3)</f>
        <v>-155</v>
      </c>
      <c r="G15" s="188">
        <f>SUMIFS('Wells Fargo'!$F:$F,'Wells Fargo'!$G:$G,'Cash Flow'!$A15,'Wells Fargo'!$A:$A,G$1,'Wells Fargo'!$B:$B,"&lt;="&amp;'Cash Flow'!G$3,'Wells Fargo'!$B:$B,"&gt;"&amp;'Cash Flow'!F$3)</f>
        <v>155</v>
      </c>
      <c r="H15" s="189">
        <f>SUMIFS('Wells Fargo'!$F:$F,'Wells Fargo'!$G:$G,'Cash Flow'!$A15,'Wells Fargo'!$A:$A,H$1,'Wells Fargo'!$B:$B,"&lt;="&amp;'Cash Flow'!H$3)</f>
        <v>0</v>
      </c>
      <c r="I15" s="188">
        <f>SUMIFS('Wells Fargo'!$F:$F,'Wells Fargo'!$G:$G,'Cash Flow'!$A15,'Wells Fargo'!$A:$A,I$1,'Wells Fargo'!$B:$B,"&lt;="&amp;'Cash Flow'!I$3,'Wells Fargo'!$B:$B,"&gt;"&amp;'Cash Flow'!H$3)</f>
        <v>0</v>
      </c>
      <c r="J15" s="188">
        <f>SUMIFS('Wells Fargo'!$F:$F,'Wells Fargo'!$G:$G,'Cash Flow'!$A15,'Wells Fargo'!$A:$A,J$1,'Wells Fargo'!$B:$B,"&lt;="&amp;'Cash Flow'!J$3,'Wells Fargo'!$B:$B,"&gt;"&amp;'Cash Flow'!I$3)</f>
        <v>0</v>
      </c>
      <c r="K15" s="188">
        <f>SUMIFS('Wells Fargo'!$F:$F,'Wells Fargo'!$G:$G,'Cash Flow'!$A15,'Wells Fargo'!$A:$A,K$1,'Wells Fargo'!$B:$B,"&lt;="&amp;'Cash Flow'!K$3,'Wells Fargo'!$B:$B,"&gt;"&amp;'Cash Flow'!J$3)</f>
        <v>0</v>
      </c>
      <c r="L15" s="189">
        <f>SUMIFS('Wells Fargo'!$F:$F,'Wells Fargo'!$G:$G,'Cash Flow'!$A15,'Wells Fargo'!$A:$A,L$1,'Wells Fargo'!$B:$B,"&lt;="&amp;'Cash Flow'!L$3)</f>
        <v>0</v>
      </c>
      <c r="M15" s="188">
        <f>SUMIFS('Wells Fargo'!$F:$F,'Wells Fargo'!$G:$G,'Cash Flow'!$A15,'Wells Fargo'!$A:$A,M$1,'Wells Fargo'!$B:$B,"&lt;="&amp;'Cash Flow'!M$3,'Wells Fargo'!$B:$B,"&gt;"&amp;'Cash Flow'!L$3)</f>
        <v>0</v>
      </c>
      <c r="N15" s="188">
        <f>SUMIFS('Wells Fargo'!$F:$F,'Wells Fargo'!$G:$G,'Cash Flow'!$A15,'Wells Fargo'!$A:$A,N$1,'Wells Fargo'!$B:$B,"&lt;="&amp;'Cash Flow'!N$3,'Wells Fargo'!$B:$B,"&gt;"&amp;'Cash Flow'!M$3)</f>
        <v>0</v>
      </c>
      <c r="O15" s="188">
        <f>SUMIFS('Wells Fargo'!$F:$F,'Wells Fargo'!$G:$G,'Cash Flow'!$A15,'Wells Fargo'!$A:$A,O$1,'Wells Fargo'!$B:$B,"&lt;="&amp;'Cash Flow'!O$3,'Wells Fargo'!$B:$B,"&gt;"&amp;'Cash Flow'!N$3)</f>
        <v>0</v>
      </c>
      <c r="P15" s="188">
        <f>SUMIFS('Wells Fargo'!$F:$F,'Wells Fargo'!$G:$G,'Cash Flow'!$A15,'Wells Fargo'!$A:$A,P$1,'Wells Fargo'!$B:$B,"&lt;="&amp;'Cash Flow'!P$3,'Wells Fargo'!$B:$B,"&gt;"&amp;'Cash Flow'!O$3)</f>
        <v>0</v>
      </c>
      <c r="Q15" s="189">
        <f>SUMIFS('Wells Fargo'!$F:$F,'Wells Fargo'!$G:$G,'Cash Flow'!$A15,'Wells Fargo'!$A:$A,Q$1,'Wells Fargo'!$B:$B,"&lt;="&amp;'Cash Flow'!Q$3)</f>
        <v>0</v>
      </c>
      <c r="R15" s="188">
        <f>SUMIFS('Wells Fargo'!$F:$F,'Wells Fargo'!$G:$G,'Cash Flow'!$A15,'Wells Fargo'!$A:$A,R$1,'Wells Fargo'!$B:$B,"&lt;="&amp;'Cash Flow'!R$3,'Wells Fargo'!$B:$B,"&gt;"&amp;'Cash Flow'!Q$3)</f>
        <v>0</v>
      </c>
      <c r="S15" s="188">
        <f>SUMIFS('Wells Fargo'!$F:$F,'Wells Fargo'!$G:$G,'Cash Flow'!$A15,'Wells Fargo'!$A:$A,S$1,'Wells Fargo'!$B:$B,"&lt;="&amp;'Cash Flow'!S$3,'Wells Fargo'!$B:$B,"&gt;"&amp;'Cash Flow'!R$3)</f>
        <v>0</v>
      </c>
      <c r="T15" s="188">
        <f>SUMIFS('Wells Fargo'!$F:$F,'Wells Fargo'!$G:$G,'Cash Flow'!$A15,'Wells Fargo'!$A:$A,T$1,'Wells Fargo'!$B:$B,"&lt;="&amp;'Cash Flow'!T$3,'Wells Fargo'!$B:$B,"&gt;"&amp;'Cash Flow'!S$3)</f>
        <v>0</v>
      </c>
      <c r="U15" s="188">
        <f>SUMIFS('Wells Fargo'!$F:$F,'Wells Fargo'!$G:$G,'Cash Flow'!$A15,'Wells Fargo'!$A:$A,U$1,'Wells Fargo'!$B:$B,"&lt;="&amp;'Cash Flow'!U$3,'Wells Fargo'!$B:$B,"&gt;"&amp;'Cash Flow'!T$3)</f>
        <v>0</v>
      </c>
      <c r="V15" s="189">
        <f>SUMIFS('Wells Fargo'!$F:$F,'Wells Fargo'!$G:$G,'Cash Flow'!$A15,'Wells Fargo'!$A:$A,V$1,'Wells Fargo'!$B:$B,"&lt;="&amp;'Cash Flow'!V$3)</f>
        <v>0</v>
      </c>
      <c r="W15" s="188">
        <f>SUMIFS('Wells Fargo'!$F:$F,'Wells Fargo'!$G:$G,'Cash Flow'!$A15,'Wells Fargo'!$A:$A,W$1,'Wells Fargo'!$B:$B,"&lt;="&amp;'Cash Flow'!W$3,'Wells Fargo'!$B:$B,"&gt;"&amp;'Cash Flow'!V$3)</f>
        <v>0</v>
      </c>
      <c r="X15" s="188">
        <f>SUMIFS('Wells Fargo'!$F:$F,'Wells Fargo'!$G:$G,'Cash Flow'!$A15,'Wells Fargo'!$A:$A,X$1,'Wells Fargo'!$B:$B,"&lt;="&amp;'Cash Flow'!X$3,'Wells Fargo'!$B:$B,"&gt;"&amp;'Cash Flow'!W$3)</f>
        <v>0</v>
      </c>
      <c r="Y15" s="188">
        <f>SUMIFS('Wells Fargo'!$F:$F,'Wells Fargo'!$G:$G,'Cash Flow'!$A15,'Wells Fargo'!$A:$A,Y$1,'Wells Fargo'!$B:$B,"&lt;="&amp;'Cash Flow'!Y$3,'Wells Fargo'!$B:$B,"&gt;"&amp;'Cash Flow'!X$3)</f>
        <v>0</v>
      </c>
      <c r="Z15" s="188">
        <f>SUMIFS('Wells Fargo'!$F:$F,'Wells Fargo'!$G:$G,'Cash Flow'!$A15,'Wells Fargo'!$A:$A,Z$1,'Wells Fargo'!$B:$B,"&lt;="&amp;'Cash Flow'!Z$3,'Wells Fargo'!$B:$B,"&gt;"&amp;'Cash Flow'!Y$3)</f>
        <v>0</v>
      </c>
      <c r="AA15" s="189">
        <f>SUMIFS('Wells Fargo'!$F:$F,'Wells Fargo'!$G:$G,'Cash Flow'!$A15,'Wells Fargo'!$A:$A,AA$1,'Wells Fargo'!$B:$B,"&lt;="&amp;'Cash Flow'!AA$3)</f>
        <v>0</v>
      </c>
      <c r="AB15" s="188">
        <f>SUMIFS('Wells Fargo'!$F:$F,'Wells Fargo'!$G:$G,'Cash Flow'!$A15,'Wells Fargo'!$A:$A,AB$1,'Wells Fargo'!$B:$B,"&lt;="&amp;'Cash Flow'!AB$3,'Wells Fargo'!$B:$B,"&gt;"&amp;'Cash Flow'!AA$3)</f>
        <v>0</v>
      </c>
      <c r="AC15" s="188">
        <f>SUMIFS('Wells Fargo'!$F:$F,'Wells Fargo'!$G:$G,'Cash Flow'!$A15,'Wells Fargo'!$A:$A,AC$1,'Wells Fargo'!$B:$B,"&lt;="&amp;'Cash Flow'!AC$3,'Wells Fargo'!$B:$B,"&gt;"&amp;'Cash Flow'!AB$3)</f>
        <v>0</v>
      </c>
      <c r="AD15" s="188">
        <f>SUMIFS('Wells Fargo'!$F:$F,'Wells Fargo'!$G:$G,'Cash Flow'!$A15,'Wells Fargo'!$A:$A,AD$1,'Wells Fargo'!$B:$B,"&lt;="&amp;'Cash Flow'!AD$3,'Wells Fargo'!$B:$B,"&gt;"&amp;'Cash Flow'!AC$3)</f>
        <v>0</v>
      </c>
      <c r="AE15" s="188">
        <f>SUMIFS('Wells Fargo'!$F:$F,'Wells Fargo'!$G:$G,'Cash Flow'!$A15,'Wells Fargo'!$A:$A,AE$1,'Wells Fargo'!$B:$B,"&lt;="&amp;'Cash Flow'!AE$3,'Wells Fargo'!$B:$B,"&gt;"&amp;'Cash Flow'!AD$3)</f>
        <v>0</v>
      </c>
      <c r="AF15" s="189">
        <f>SUMIFS('Wells Fargo'!$F:$F,'Wells Fargo'!$G:$G,'Cash Flow'!$A15,'Wells Fargo'!$A:$A,AF$1,'Wells Fargo'!$B:$B,"&lt;="&amp;'Cash Flow'!AF$3)</f>
        <v>0</v>
      </c>
      <c r="AG15" s="188">
        <f>SUMIFS('Wells Fargo'!$F:$F,'Wells Fargo'!$G:$G,'Cash Flow'!$A15,'Wells Fargo'!$A:$A,AG$1,'Wells Fargo'!$B:$B,"&lt;="&amp;'Cash Flow'!AG$3,'Wells Fargo'!$B:$B,"&gt;"&amp;'Cash Flow'!AF$3)</f>
        <v>0</v>
      </c>
      <c r="AH15" s="188">
        <f>SUMIFS('Wells Fargo'!$F:$F,'Wells Fargo'!$G:$G,'Cash Flow'!$A15,'Wells Fargo'!$A:$A,AH$1,'Wells Fargo'!$B:$B,"&lt;="&amp;'Cash Flow'!AH$3,'Wells Fargo'!$B:$B,"&gt;"&amp;'Cash Flow'!AG$3)</f>
        <v>0</v>
      </c>
      <c r="AI15" s="188">
        <f>SUMIFS('Wells Fargo'!$F:$F,'Wells Fargo'!$G:$G,'Cash Flow'!$A15,'Wells Fargo'!$A:$A,AI$1,'Wells Fargo'!$B:$B,"&lt;="&amp;'Cash Flow'!AI$3,'Wells Fargo'!$B:$B,"&gt;"&amp;'Cash Flow'!AH$3)</f>
        <v>0</v>
      </c>
      <c r="AJ15" s="188">
        <f>SUMIFS('Wells Fargo'!$F:$F,'Wells Fargo'!$G:$G,'Cash Flow'!$A15,'Wells Fargo'!$A:$A,AJ$1,'Wells Fargo'!$B:$B,"&lt;="&amp;'Cash Flow'!AJ$3,'Wells Fargo'!$B:$B,"&gt;"&amp;'Cash Flow'!AI$3)</f>
        <v>0</v>
      </c>
      <c r="AK15" s="189">
        <f>SUMIFS('Wells Fargo'!$F:$F,'Wells Fargo'!$G:$G,'Cash Flow'!$A15,'Wells Fargo'!$A:$A,AK$1,'Wells Fargo'!$B:$B,"&lt;="&amp;'Cash Flow'!AK$3)</f>
        <v>0</v>
      </c>
      <c r="AL15" s="188">
        <f>SUMIFS('Wells Fargo'!$F:$F,'Wells Fargo'!$G:$G,'Cash Flow'!$A15,'Wells Fargo'!$A:$A,AL$1,'Wells Fargo'!$B:$B,"&lt;="&amp;'Cash Flow'!AL$3,'Wells Fargo'!$B:$B,"&gt;"&amp;'Cash Flow'!AK$3)</f>
        <v>0</v>
      </c>
      <c r="AM15" s="188">
        <f>SUMIFS('Wells Fargo'!$F:$F,'Wells Fargo'!$G:$G,'Cash Flow'!$A15,'Wells Fargo'!$A:$A,AM$1,'Wells Fargo'!$B:$B,"&lt;="&amp;'Cash Flow'!AM$3,'Wells Fargo'!$B:$B,"&gt;"&amp;'Cash Flow'!AL$3)</f>
        <v>0</v>
      </c>
      <c r="AN15" s="188">
        <f>SUMIFS('Wells Fargo'!$F:$F,'Wells Fargo'!$G:$G,'Cash Flow'!$A15,'Wells Fargo'!$A:$A,AN$1,'Wells Fargo'!$B:$B,"&lt;="&amp;'Cash Flow'!AN$3,'Wells Fargo'!$B:$B,"&gt;"&amp;'Cash Flow'!AM$3)</f>
        <v>0</v>
      </c>
      <c r="AO15" s="188">
        <f>SUMIFS('Wells Fargo'!$F:$F,'Wells Fargo'!$G:$G,'Cash Flow'!$A15,'Wells Fargo'!$A:$A,AO$1,'Wells Fargo'!$B:$B,"&lt;="&amp;'Cash Flow'!AO$3,'Wells Fargo'!$B:$B,"&gt;"&amp;'Cash Flow'!AN$3)</f>
        <v>0</v>
      </c>
      <c r="AP15" s="189">
        <f>SUMIFS('Wells Fargo'!$F:$F,'Wells Fargo'!$G:$G,'Cash Flow'!$A15,'Wells Fargo'!$A:$A,AP$1,'Wells Fargo'!$B:$B,"&lt;="&amp;'Cash Flow'!AP$3)</f>
        <v>0</v>
      </c>
      <c r="AQ15" s="188">
        <f>SUMIFS('Wells Fargo'!$F:$F,'Wells Fargo'!$G:$G,'Cash Flow'!$A15,'Wells Fargo'!$A:$A,AQ$1,'Wells Fargo'!$B:$B,"&lt;="&amp;'Cash Flow'!AQ$3,'Wells Fargo'!$B:$B,"&gt;"&amp;'Cash Flow'!AP$3)</f>
        <v>0</v>
      </c>
      <c r="AR15" s="188">
        <f>SUMIFS('Wells Fargo'!$F:$F,'Wells Fargo'!$G:$G,'Cash Flow'!$A15,'Wells Fargo'!$A:$A,AR$1,'Wells Fargo'!$B:$B,"&lt;="&amp;'Cash Flow'!AR$3,'Wells Fargo'!$B:$B,"&gt;"&amp;'Cash Flow'!AQ$3)</f>
        <v>0</v>
      </c>
      <c r="AS15" s="188">
        <f>SUMIFS('Wells Fargo'!$F:$F,'Wells Fargo'!$G:$G,'Cash Flow'!$A15,'Wells Fargo'!$A:$A,AS$1,'Wells Fargo'!$B:$B,"&lt;="&amp;'Cash Flow'!AS$3,'Wells Fargo'!$B:$B,"&gt;"&amp;'Cash Flow'!AR$3)</f>
        <v>0</v>
      </c>
      <c r="AT15" s="188">
        <f>SUMIFS('Wells Fargo'!$F:$F,'Wells Fargo'!$G:$G,'Cash Flow'!$A15,'Wells Fargo'!$A:$A,AT$1,'Wells Fargo'!$B:$B,"&lt;="&amp;'Cash Flow'!AT$3,'Wells Fargo'!$B:$B,"&gt;"&amp;'Cash Flow'!AS$3)</f>
        <v>0</v>
      </c>
      <c r="AU15" s="189">
        <f>SUMIFS('Wells Fargo'!$F:$F,'Wells Fargo'!$G:$G,'Cash Flow'!$A15,'Wells Fargo'!$A:$A,AU$1,'Wells Fargo'!$B:$B,"&lt;="&amp;'Cash Flow'!AU$3)</f>
        <v>0</v>
      </c>
      <c r="AV15" s="188">
        <f>SUMIFS('Wells Fargo'!$F:$F,'Wells Fargo'!$G:$G,'Cash Flow'!$A15,'Wells Fargo'!$A:$A,AV$1,'Wells Fargo'!$B:$B,"&lt;="&amp;'Cash Flow'!AV$3,'Wells Fargo'!$B:$B,"&gt;"&amp;'Cash Flow'!AU$3)</f>
        <v>0</v>
      </c>
      <c r="AW15" s="188">
        <f>SUMIFS('Wells Fargo'!$F:$F,'Wells Fargo'!$G:$G,'Cash Flow'!$A15,'Wells Fargo'!$A:$A,AW$1,'Wells Fargo'!$B:$B,"&lt;="&amp;'Cash Flow'!AW$3,'Wells Fargo'!$B:$B,"&gt;"&amp;'Cash Flow'!AV$3)</f>
        <v>0</v>
      </c>
      <c r="AX15" s="188">
        <f>SUMIFS('Wells Fargo'!$F:$F,'Wells Fargo'!$G:$G,'Cash Flow'!$A15,'Wells Fargo'!$A:$A,AX$1,'Wells Fargo'!$B:$B,"&lt;="&amp;'Cash Flow'!AX$3,'Wells Fargo'!$B:$B,"&gt;"&amp;'Cash Flow'!AW$3)</f>
        <v>0</v>
      </c>
      <c r="AY15" s="188">
        <f>SUMIFS('Wells Fargo'!$F:$F,'Wells Fargo'!$G:$G,'Cash Flow'!$A15,'Wells Fargo'!$A:$A,AY$1,'Wells Fargo'!$B:$B,"&lt;="&amp;'Cash Flow'!AY$3,'Wells Fargo'!$B:$B,"&gt;"&amp;'Cash Flow'!AX$3)</f>
        <v>0</v>
      </c>
      <c r="AZ15" s="189">
        <f>SUMIFS('Wells Fargo'!$F:$F,'Wells Fargo'!$G:$G,'Cash Flow'!$A15,'Wells Fargo'!$A:$A,AZ$1,'Wells Fargo'!$B:$B,"&lt;="&amp;'Cash Flow'!AZ$3)</f>
        <v>0</v>
      </c>
      <c r="BA15" s="188">
        <f>SUMIFS('Wells Fargo'!$F:$F,'Wells Fargo'!$G:$G,'Cash Flow'!$A15,'Wells Fargo'!$A:$A,BA$1,'Wells Fargo'!$B:$B,"&lt;="&amp;'Cash Flow'!BA$3,'Wells Fargo'!$B:$B,"&gt;"&amp;'Cash Flow'!AZ$3)</f>
        <v>0</v>
      </c>
      <c r="BB15" s="188">
        <f>SUMIFS('Wells Fargo'!$F:$F,'Wells Fargo'!$G:$G,'Cash Flow'!$A15,'Wells Fargo'!$A:$A,BB$1,'Wells Fargo'!$B:$B,"&lt;="&amp;'Cash Flow'!BB$3,'Wells Fargo'!$B:$B,"&gt;"&amp;'Cash Flow'!BA$3)</f>
        <v>0</v>
      </c>
      <c r="BC15" s="188">
        <f>SUMIFS('Wells Fargo'!$F:$F,'Wells Fargo'!$G:$G,'Cash Flow'!$A15,'Wells Fargo'!$A:$A,BC$1,'Wells Fargo'!$B:$B,"&lt;="&amp;'Cash Flow'!BC$3,'Wells Fargo'!$B:$B,"&gt;"&amp;'Cash Flow'!BB$3)</f>
        <v>0</v>
      </c>
      <c r="BD15" s="188">
        <f>SUMIFS('Wells Fargo'!$F:$F,'Wells Fargo'!$G:$G,'Cash Flow'!$A15,'Wells Fargo'!$A:$A,BD$1,'Wells Fargo'!$B:$B,"&lt;="&amp;'Cash Flow'!BD$3,'Wells Fargo'!$B:$B,"&gt;"&amp;'Cash Flow'!BC$3)</f>
        <v>0</v>
      </c>
      <c r="BE15" s="189">
        <f>SUMIFS('Wells Fargo'!$F:$F,'Wells Fargo'!$G:$G,'Cash Flow'!$A15,'Wells Fargo'!$A:$A,BE$1,'Wells Fargo'!$B:$B,"&lt;="&amp;'Cash Flow'!BE$3)</f>
        <v>0</v>
      </c>
      <c r="BF15" s="188">
        <f>SUMIFS('Wells Fargo'!$F:$F,'Wells Fargo'!$G:$G,'Cash Flow'!$A15,'Wells Fargo'!$A:$A,BF$1,'Wells Fargo'!$B:$B,"&lt;="&amp;'Cash Flow'!BF$3,'Wells Fargo'!$B:$B,"&gt;"&amp;'Cash Flow'!BE$3)</f>
        <v>0</v>
      </c>
      <c r="BG15" s="188">
        <f>SUMIFS('Wells Fargo'!$F:$F,'Wells Fargo'!$G:$G,'Cash Flow'!$A15,'Wells Fargo'!$A:$A,BG$1,'Wells Fargo'!$B:$B,"&lt;="&amp;'Cash Flow'!BG$3,'Wells Fargo'!$B:$B,"&gt;"&amp;'Cash Flow'!BF$3)</f>
        <v>0</v>
      </c>
      <c r="BH15" s="188">
        <f>SUMIFS('Wells Fargo'!$F:$F,'Wells Fargo'!$G:$G,'Cash Flow'!$A15,'Wells Fargo'!$A:$A,BH$1,'Wells Fargo'!$B:$B,"&lt;="&amp;'Cash Flow'!BH$3,'Wells Fargo'!$B:$B,"&gt;"&amp;'Cash Flow'!BG$3)</f>
        <v>0</v>
      </c>
      <c r="BI15" s="188">
        <f>SUMIFS('Wells Fargo'!$F:$F,'Wells Fargo'!$G:$G,'Cash Flow'!$A15,'Wells Fargo'!$A:$A,BI$1,'Wells Fargo'!$B:$B,"&lt;="&amp;'Cash Flow'!BI$3,'Wells Fargo'!$B:$B,"&gt;"&amp;'Cash Flow'!BH$3)</f>
        <v>0</v>
      </c>
    </row>
    <row r="16" spans="1:61" ht="12.75" x14ac:dyDescent="0.2">
      <c r="A16" t="str">
        <v>Cleaning</v>
      </c>
      <c r="B16" s="87">
        <f t="shared" si="0"/>
        <v>-95</v>
      </c>
      <c r="C16" s="189">
        <f>SUMIFS('Wells Fargo'!$F:$F,'Wells Fargo'!$G:$G,'Cash Flow'!$A16,'Wells Fargo'!$A:$A,C$1,'Wells Fargo'!$B:$B,"&lt;="&amp;'Cash Flow'!C$3)</f>
        <v>0</v>
      </c>
      <c r="D16" s="188">
        <f>SUMIFS('Wells Fargo'!$F:$F,'Wells Fargo'!$G:$G,'Cash Flow'!$A16,'Wells Fargo'!$A:$A,D$1,'Wells Fargo'!$B:$B,"&lt;="&amp;'Cash Flow'!D$3,'Wells Fargo'!$B:$B,"&gt;"&amp;'Cash Flow'!C$3)</f>
        <v>0</v>
      </c>
      <c r="E16" s="188">
        <f>SUMIFS('Wells Fargo'!$F:$F,'Wells Fargo'!$G:$G,'Cash Flow'!$A16,'Wells Fargo'!$A:$A,E$1,'Wells Fargo'!$B:$B,"&lt;="&amp;'Cash Flow'!E$3,'Wells Fargo'!$B:$B,"&gt;"&amp;'Cash Flow'!D$3)</f>
        <v>0</v>
      </c>
      <c r="F16" s="188">
        <f>SUMIFS('Wells Fargo'!$F:$F,'Wells Fargo'!$G:$G,'Cash Flow'!$A16,'Wells Fargo'!$A:$A,F$1,'Wells Fargo'!$B:$B,"&lt;="&amp;'Cash Flow'!F$3,'Wells Fargo'!$B:$B,"&gt;"&amp;'Cash Flow'!E$3)</f>
        <v>0</v>
      </c>
      <c r="G16" s="188">
        <f>SUMIFS('Wells Fargo'!$F:$F,'Wells Fargo'!$G:$G,'Cash Flow'!$A16,'Wells Fargo'!$A:$A,G$1,'Wells Fargo'!$B:$B,"&lt;="&amp;'Cash Flow'!G$3,'Wells Fargo'!$B:$B,"&gt;"&amp;'Cash Flow'!F$3)</f>
        <v>0</v>
      </c>
      <c r="H16" s="189">
        <f>SUMIFS('Wells Fargo'!$F:$F,'Wells Fargo'!$G:$G,'Cash Flow'!$A16,'Wells Fargo'!$A:$A,H$1,'Wells Fargo'!$B:$B,"&lt;="&amp;'Cash Flow'!H$3)</f>
        <v>0</v>
      </c>
      <c r="I16" s="188">
        <f>SUMIFS('Wells Fargo'!$F:$F,'Wells Fargo'!$G:$G,'Cash Flow'!$A16,'Wells Fargo'!$A:$A,I$1,'Wells Fargo'!$B:$B,"&lt;="&amp;'Cash Flow'!I$3,'Wells Fargo'!$B:$B,"&gt;"&amp;'Cash Flow'!H$3)</f>
        <v>0</v>
      </c>
      <c r="J16" s="188">
        <f>SUMIFS('Wells Fargo'!$F:$F,'Wells Fargo'!$G:$G,'Cash Flow'!$A16,'Wells Fargo'!$A:$A,J$1,'Wells Fargo'!$B:$B,"&lt;="&amp;'Cash Flow'!J$3,'Wells Fargo'!$B:$B,"&gt;"&amp;'Cash Flow'!I$3)</f>
        <v>0</v>
      </c>
      <c r="K16" s="188">
        <f>SUMIFS('Wells Fargo'!$F:$F,'Wells Fargo'!$G:$G,'Cash Flow'!$A16,'Wells Fargo'!$A:$A,K$1,'Wells Fargo'!$B:$B,"&lt;="&amp;'Cash Flow'!K$3,'Wells Fargo'!$B:$B,"&gt;"&amp;'Cash Flow'!J$3)</f>
        <v>0</v>
      </c>
      <c r="L16" s="189">
        <f>SUMIFS('Wells Fargo'!$F:$F,'Wells Fargo'!$G:$G,'Cash Flow'!$A16,'Wells Fargo'!$A:$A,L$1,'Wells Fargo'!$B:$B,"&lt;="&amp;'Cash Flow'!L$3)</f>
        <v>0</v>
      </c>
      <c r="M16" s="188">
        <f>SUMIFS('Wells Fargo'!$F:$F,'Wells Fargo'!$G:$G,'Cash Flow'!$A16,'Wells Fargo'!$A:$A,M$1,'Wells Fargo'!$B:$B,"&lt;="&amp;'Cash Flow'!M$3,'Wells Fargo'!$B:$B,"&gt;"&amp;'Cash Flow'!L$3)</f>
        <v>0</v>
      </c>
      <c r="N16" s="188">
        <f>SUMIFS('Wells Fargo'!$F:$F,'Wells Fargo'!$G:$G,'Cash Flow'!$A16,'Wells Fargo'!$A:$A,N$1,'Wells Fargo'!$B:$B,"&lt;="&amp;'Cash Flow'!N$3,'Wells Fargo'!$B:$B,"&gt;"&amp;'Cash Flow'!M$3)</f>
        <v>0</v>
      </c>
      <c r="O16" s="188">
        <f>SUMIFS('Wells Fargo'!$F:$F,'Wells Fargo'!$G:$G,'Cash Flow'!$A16,'Wells Fargo'!$A:$A,O$1,'Wells Fargo'!$B:$B,"&lt;="&amp;'Cash Flow'!O$3,'Wells Fargo'!$B:$B,"&gt;"&amp;'Cash Flow'!N$3)</f>
        <v>0</v>
      </c>
      <c r="P16" s="188">
        <f>SUMIFS('Wells Fargo'!$F:$F,'Wells Fargo'!$G:$G,'Cash Flow'!$A16,'Wells Fargo'!$A:$A,P$1,'Wells Fargo'!$B:$B,"&lt;="&amp;'Cash Flow'!P$3,'Wells Fargo'!$B:$B,"&gt;"&amp;'Cash Flow'!O$3)</f>
        <v>0</v>
      </c>
      <c r="Q16" s="189">
        <f>SUMIFS('Wells Fargo'!$F:$F,'Wells Fargo'!$G:$G,'Cash Flow'!$A16,'Wells Fargo'!$A:$A,Q$1,'Wells Fargo'!$B:$B,"&lt;="&amp;'Cash Flow'!Q$3)</f>
        <v>0</v>
      </c>
      <c r="R16" s="188">
        <f>SUMIFS('Wells Fargo'!$F:$F,'Wells Fargo'!$G:$G,'Cash Flow'!$A16,'Wells Fargo'!$A:$A,R$1,'Wells Fargo'!$B:$B,"&lt;="&amp;'Cash Flow'!R$3,'Wells Fargo'!$B:$B,"&gt;"&amp;'Cash Flow'!Q$3)</f>
        <v>0</v>
      </c>
      <c r="S16" s="188">
        <f>SUMIFS('Wells Fargo'!$F:$F,'Wells Fargo'!$G:$G,'Cash Flow'!$A16,'Wells Fargo'!$A:$A,S$1,'Wells Fargo'!$B:$B,"&lt;="&amp;'Cash Flow'!S$3,'Wells Fargo'!$B:$B,"&gt;"&amp;'Cash Flow'!R$3)</f>
        <v>0</v>
      </c>
      <c r="T16" s="188">
        <f>SUMIFS('Wells Fargo'!$F:$F,'Wells Fargo'!$G:$G,'Cash Flow'!$A16,'Wells Fargo'!$A:$A,T$1,'Wells Fargo'!$B:$B,"&lt;="&amp;'Cash Flow'!T$3,'Wells Fargo'!$B:$B,"&gt;"&amp;'Cash Flow'!S$3)</f>
        <v>0</v>
      </c>
      <c r="U16" s="188">
        <f>SUMIFS('Wells Fargo'!$F:$F,'Wells Fargo'!$G:$G,'Cash Flow'!$A16,'Wells Fargo'!$A:$A,U$1,'Wells Fargo'!$B:$B,"&lt;="&amp;'Cash Flow'!U$3,'Wells Fargo'!$B:$B,"&gt;"&amp;'Cash Flow'!T$3)</f>
        <v>0</v>
      </c>
      <c r="V16" s="189">
        <f>SUMIFS('Wells Fargo'!$F:$F,'Wells Fargo'!$G:$G,'Cash Flow'!$A16,'Wells Fargo'!$A:$A,V$1,'Wells Fargo'!$B:$B,"&lt;="&amp;'Cash Flow'!V$3)</f>
        <v>0</v>
      </c>
      <c r="W16" s="188">
        <f>SUMIFS('Wells Fargo'!$F:$F,'Wells Fargo'!$G:$G,'Cash Flow'!$A16,'Wells Fargo'!$A:$A,W$1,'Wells Fargo'!$B:$B,"&lt;="&amp;'Cash Flow'!W$3,'Wells Fargo'!$B:$B,"&gt;"&amp;'Cash Flow'!V$3)</f>
        <v>0</v>
      </c>
      <c r="X16" s="188">
        <f>SUMIFS('Wells Fargo'!$F:$F,'Wells Fargo'!$G:$G,'Cash Flow'!$A16,'Wells Fargo'!$A:$A,X$1,'Wells Fargo'!$B:$B,"&lt;="&amp;'Cash Flow'!X$3,'Wells Fargo'!$B:$B,"&gt;"&amp;'Cash Flow'!W$3)</f>
        <v>0</v>
      </c>
      <c r="Y16" s="188">
        <f>SUMIFS('Wells Fargo'!$F:$F,'Wells Fargo'!$G:$G,'Cash Flow'!$A16,'Wells Fargo'!$A:$A,Y$1,'Wells Fargo'!$B:$B,"&lt;="&amp;'Cash Flow'!Y$3,'Wells Fargo'!$B:$B,"&gt;"&amp;'Cash Flow'!X$3)</f>
        <v>0</v>
      </c>
      <c r="Z16" s="188">
        <f>SUMIFS('Wells Fargo'!$F:$F,'Wells Fargo'!$G:$G,'Cash Flow'!$A16,'Wells Fargo'!$A:$A,Z$1,'Wells Fargo'!$B:$B,"&lt;="&amp;'Cash Flow'!Z$3,'Wells Fargo'!$B:$B,"&gt;"&amp;'Cash Flow'!Y$3)</f>
        <v>0</v>
      </c>
      <c r="AA16" s="189">
        <f>SUMIFS('Wells Fargo'!$F:$F,'Wells Fargo'!$G:$G,'Cash Flow'!$A16,'Wells Fargo'!$A:$A,AA$1,'Wells Fargo'!$B:$B,"&lt;="&amp;'Cash Flow'!AA$3)</f>
        <v>0</v>
      </c>
      <c r="AB16" s="188">
        <f>SUMIFS('Wells Fargo'!$F:$F,'Wells Fargo'!$G:$G,'Cash Flow'!$A16,'Wells Fargo'!$A:$A,AB$1,'Wells Fargo'!$B:$B,"&lt;="&amp;'Cash Flow'!AB$3,'Wells Fargo'!$B:$B,"&gt;"&amp;'Cash Flow'!AA$3)</f>
        <v>0</v>
      </c>
      <c r="AC16" s="188">
        <f>SUMIFS('Wells Fargo'!$F:$F,'Wells Fargo'!$G:$G,'Cash Flow'!$A16,'Wells Fargo'!$A:$A,AC$1,'Wells Fargo'!$B:$B,"&lt;="&amp;'Cash Flow'!AC$3,'Wells Fargo'!$B:$B,"&gt;"&amp;'Cash Flow'!AB$3)</f>
        <v>0</v>
      </c>
      <c r="AD16" s="188">
        <f>SUMIFS('Wells Fargo'!$F:$F,'Wells Fargo'!$G:$G,'Cash Flow'!$A16,'Wells Fargo'!$A:$A,AD$1,'Wells Fargo'!$B:$B,"&lt;="&amp;'Cash Flow'!AD$3,'Wells Fargo'!$B:$B,"&gt;"&amp;'Cash Flow'!AC$3)</f>
        <v>0</v>
      </c>
      <c r="AE16" s="188">
        <f>SUMIFS('Wells Fargo'!$F:$F,'Wells Fargo'!$G:$G,'Cash Flow'!$A16,'Wells Fargo'!$A:$A,AE$1,'Wells Fargo'!$B:$B,"&lt;="&amp;'Cash Flow'!AE$3,'Wells Fargo'!$B:$B,"&gt;"&amp;'Cash Flow'!AD$3)</f>
        <v>0</v>
      </c>
      <c r="AF16" s="189">
        <f>SUMIFS('Wells Fargo'!$F:$F,'Wells Fargo'!$G:$G,'Cash Flow'!$A16,'Wells Fargo'!$A:$A,AF$1,'Wells Fargo'!$B:$B,"&lt;="&amp;'Cash Flow'!AF$3)</f>
        <v>0</v>
      </c>
      <c r="AG16" s="188">
        <f>SUMIFS('Wells Fargo'!$F:$F,'Wells Fargo'!$G:$G,'Cash Flow'!$A16,'Wells Fargo'!$A:$A,AG$1,'Wells Fargo'!$B:$B,"&lt;="&amp;'Cash Flow'!AG$3,'Wells Fargo'!$B:$B,"&gt;"&amp;'Cash Flow'!AF$3)</f>
        <v>0</v>
      </c>
      <c r="AH16" s="188">
        <f>SUMIFS('Wells Fargo'!$F:$F,'Wells Fargo'!$G:$G,'Cash Flow'!$A16,'Wells Fargo'!$A:$A,AH$1,'Wells Fargo'!$B:$B,"&lt;="&amp;'Cash Flow'!AH$3,'Wells Fargo'!$B:$B,"&gt;"&amp;'Cash Flow'!AG$3)</f>
        <v>0</v>
      </c>
      <c r="AI16" s="188">
        <f>SUMIFS('Wells Fargo'!$F:$F,'Wells Fargo'!$G:$G,'Cash Flow'!$A16,'Wells Fargo'!$A:$A,AI$1,'Wells Fargo'!$B:$B,"&lt;="&amp;'Cash Flow'!AI$3,'Wells Fargo'!$B:$B,"&gt;"&amp;'Cash Flow'!AH$3)</f>
        <v>0</v>
      </c>
      <c r="AJ16" s="188">
        <f>SUMIFS('Wells Fargo'!$F:$F,'Wells Fargo'!$G:$G,'Cash Flow'!$A16,'Wells Fargo'!$A:$A,AJ$1,'Wells Fargo'!$B:$B,"&lt;="&amp;'Cash Flow'!AJ$3,'Wells Fargo'!$B:$B,"&gt;"&amp;'Cash Flow'!AI$3)</f>
        <v>0</v>
      </c>
      <c r="AK16" s="189">
        <f>SUMIFS('Wells Fargo'!$F:$F,'Wells Fargo'!$G:$G,'Cash Flow'!$A16,'Wells Fargo'!$A:$A,AK$1,'Wells Fargo'!$B:$B,"&lt;="&amp;'Cash Flow'!AK$3)</f>
        <v>0</v>
      </c>
      <c r="AL16" s="188">
        <f>SUMIFS('Wells Fargo'!$F:$F,'Wells Fargo'!$G:$G,'Cash Flow'!$A16,'Wells Fargo'!$A:$A,AL$1,'Wells Fargo'!$B:$B,"&lt;="&amp;'Cash Flow'!AL$3,'Wells Fargo'!$B:$B,"&gt;"&amp;'Cash Flow'!AK$3)</f>
        <v>0</v>
      </c>
      <c r="AM16" s="188">
        <f>SUMIFS('Wells Fargo'!$F:$F,'Wells Fargo'!$G:$G,'Cash Flow'!$A16,'Wells Fargo'!$A:$A,AM$1,'Wells Fargo'!$B:$B,"&lt;="&amp;'Cash Flow'!AM$3,'Wells Fargo'!$B:$B,"&gt;"&amp;'Cash Flow'!AL$3)</f>
        <v>0</v>
      </c>
      <c r="AN16" s="188">
        <f>SUMIFS('Wells Fargo'!$F:$F,'Wells Fargo'!$G:$G,'Cash Flow'!$A16,'Wells Fargo'!$A:$A,AN$1,'Wells Fargo'!$B:$B,"&lt;="&amp;'Cash Flow'!AN$3,'Wells Fargo'!$B:$B,"&gt;"&amp;'Cash Flow'!AM$3)</f>
        <v>0</v>
      </c>
      <c r="AO16" s="188">
        <f>SUMIFS('Wells Fargo'!$F:$F,'Wells Fargo'!$G:$G,'Cash Flow'!$A16,'Wells Fargo'!$A:$A,AO$1,'Wells Fargo'!$B:$B,"&lt;="&amp;'Cash Flow'!AO$3,'Wells Fargo'!$B:$B,"&gt;"&amp;'Cash Flow'!AN$3)</f>
        <v>0</v>
      </c>
      <c r="AP16" s="189">
        <f>SUMIFS('Wells Fargo'!$F:$F,'Wells Fargo'!$G:$G,'Cash Flow'!$A16,'Wells Fargo'!$A:$A,AP$1,'Wells Fargo'!$B:$B,"&lt;="&amp;'Cash Flow'!AP$3)</f>
        <v>0</v>
      </c>
      <c r="AQ16" s="188">
        <f>SUMIFS('Wells Fargo'!$F:$F,'Wells Fargo'!$G:$G,'Cash Flow'!$A16,'Wells Fargo'!$A:$A,AQ$1,'Wells Fargo'!$B:$B,"&lt;="&amp;'Cash Flow'!AQ$3,'Wells Fargo'!$B:$B,"&gt;"&amp;'Cash Flow'!AP$3)</f>
        <v>0</v>
      </c>
      <c r="AR16" s="188">
        <f>SUMIFS('Wells Fargo'!$F:$F,'Wells Fargo'!$G:$G,'Cash Flow'!$A16,'Wells Fargo'!$A:$A,AR$1,'Wells Fargo'!$B:$B,"&lt;="&amp;'Cash Flow'!AR$3,'Wells Fargo'!$B:$B,"&gt;"&amp;'Cash Flow'!AQ$3)</f>
        <v>0</v>
      </c>
      <c r="AS16" s="188">
        <f>SUMIFS('Wells Fargo'!$F:$F,'Wells Fargo'!$G:$G,'Cash Flow'!$A16,'Wells Fargo'!$A:$A,AS$1,'Wells Fargo'!$B:$B,"&lt;="&amp;'Cash Flow'!AS$3,'Wells Fargo'!$B:$B,"&gt;"&amp;'Cash Flow'!AR$3)</f>
        <v>0</v>
      </c>
      <c r="AT16" s="188">
        <f>SUMIFS('Wells Fargo'!$F:$F,'Wells Fargo'!$G:$G,'Cash Flow'!$A16,'Wells Fargo'!$A:$A,AT$1,'Wells Fargo'!$B:$B,"&lt;="&amp;'Cash Flow'!AT$3,'Wells Fargo'!$B:$B,"&gt;"&amp;'Cash Flow'!AS$3)</f>
        <v>-95</v>
      </c>
      <c r="AU16" s="189">
        <f>SUMIFS('Wells Fargo'!$F:$F,'Wells Fargo'!$G:$G,'Cash Flow'!$A16,'Wells Fargo'!$A:$A,AU$1,'Wells Fargo'!$B:$B,"&lt;="&amp;'Cash Flow'!AU$3)</f>
        <v>0</v>
      </c>
      <c r="AV16" s="188">
        <f>SUMIFS('Wells Fargo'!$F:$F,'Wells Fargo'!$G:$G,'Cash Flow'!$A16,'Wells Fargo'!$A:$A,AV$1,'Wells Fargo'!$B:$B,"&lt;="&amp;'Cash Flow'!AV$3,'Wells Fargo'!$B:$B,"&gt;"&amp;'Cash Flow'!AU$3)</f>
        <v>0</v>
      </c>
      <c r="AW16" s="188">
        <f>SUMIFS('Wells Fargo'!$F:$F,'Wells Fargo'!$G:$G,'Cash Flow'!$A16,'Wells Fargo'!$A:$A,AW$1,'Wells Fargo'!$B:$B,"&lt;="&amp;'Cash Flow'!AW$3,'Wells Fargo'!$B:$B,"&gt;"&amp;'Cash Flow'!AV$3)</f>
        <v>0</v>
      </c>
      <c r="AX16" s="188">
        <f>SUMIFS('Wells Fargo'!$F:$F,'Wells Fargo'!$G:$G,'Cash Flow'!$A16,'Wells Fargo'!$A:$A,AX$1,'Wells Fargo'!$B:$B,"&lt;="&amp;'Cash Flow'!AX$3,'Wells Fargo'!$B:$B,"&gt;"&amp;'Cash Flow'!AW$3)</f>
        <v>0</v>
      </c>
      <c r="AY16" s="188">
        <f>SUMIFS('Wells Fargo'!$F:$F,'Wells Fargo'!$G:$G,'Cash Flow'!$A16,'Wells Fargo'!$A:$A,AY$1,'Wells Fargo'!$B:$B,"&lt;="&amp;'Cash Flow'!AY$3,'Wells Fargo'!$B:$B,"&gt;"&amp;'Cash Flow'!AX$3)</f>
        <v>0</v>
      </c>
      <c r="AZ16" s="189">
        <f>SUMIFS('Wells Fargo'!$F:$F,'Wells Fargo'!$G:$G,'Cash Flow'!$A16,'Wells Fargo'!$A:$A,AZ$1,'Wells Fargo'!$B:$B,"&lt;="&amp;'Cash Flow'!AZ$3)</f>
        <v>0</v>
      </c>
      <c r="BA16" s="188">
        <f>SUMIFS('Wells Fargo'!$F:$F,'Wells Fargo'!$G:$G,'Cash Flow'!$A16,'Wells Fargo'!$A:$A,BA$1,'Wells Fargo'!$B:$B,"&lt;="&amp;'Cash Flow'!BA$3,'Wells Fargo'!$B:$B,"&gt;"&amp;'Cash Flow'!AZ$3)</f>
        <v>0</v>
      </c>
      <c r="BB16" s="188">
        <f>SUMIFS('Wells Fargo'!$F:$F,'Wells Fargo'!$G:$G,'Cash Flow'!$A16,'Wells Fargo'!$A:$A,BB$1,'Wells Fargo'!$B:$B,"&lt;="&amp;'Cash Flow'!BB$3,'Wells Fargo'!$B:$B,"&gt;"&amp;'Cash Flow'!BA$3)</f>
        <v>0</v>
      </c>
      <c r="BC16" s="188">
        <f>SUMIFS('Wells Fargo'!$F:$F,'Wells Fargo'!$G:$G,'Cash Flow'!$A16,'Wells Fargo'!$A:$A,BC$1,'Wells Fargo'!$B:$B,"&lt;="&amp;'Cash Flow'!BC$3,'Wells Fargo'!$B:$B,"&gt;"&amp;'Cash Flow'!BB$3)</f>
        <v>0</v>
      </c>
      <c r="BD16" s="188">
        <f>SUMIFS('Wells Fargo'!$F:$F,'Wells Fargo'!$G:$G,'Cash Flow'!$A16,'Wells Fargo'!$A:$A,BD$1,'Wells Fargo'!$B:$B,"&lt;="&amp;'Cash Flow'!BD$3,'Wells Fargo'!$B:$B,"&gt;"&amp;'Cash Flow'!BC$3)</f>
        <v>0</v>
      </c>
      <c r="BE16" s="189">
        <f>SUMIFS('Wells Fargo'!$F:$F,'Wells Fargo'!$G:$G,'Cash Flow'!$A16,'Wells Fargo'!$A:$A,BE$1,'Wells Fargo'!$B:$B,"&lt;="&amp;'Cash Flow'!BE$3)</f>
        <v>0</v>
      </c>
      <c r="BF16" s="188">
        <f>SUMIFS('Wells Fargo'!$F:$F,'Wells Fargo'!$G:$G,'Cash Flow'!$A16,'Wells Fargo'!$A:$A,BF$1,'Wells Fargo'!$B:$B,"&lt;="&amp;'Cash Flow'!BF$3,'Wells Fargo'!$B:$B,"&gt;"&amp;'Cash Flow'!BE$3)</f>
        <v>0</v>
      </c>
      <c r="BG16" s="188">
        <f>SUMIFS('Wells Fargo'!$F:$F,'Wells Fargo'!$G:$G,'Cash Flow'!$A16,'Wells Fargo'!$A:$A,BG$1,'Wells Fargo'!$B:$B,"&lt;="&amp;'Cash Flow'!BG$3,'Wells Fargo'!$B:$B,"&gt;"&amp;'Cash Flow'!BF$3)</f>
        <v>0</v>
      </c>
      <c r="BH16" s="188">
        <f>SUMIFS('Wells Fargo'!$F:$F,'Wells Fargo'!$G:$G,'Cash Flow'!$A16,'Wells Fargo'!$A:$A,BH$1,'Wells Fargo'!$B:$B,"&lt;="&amp;'Cash Flow'!BH$3,'Wells Fargo'!$B:$B,"&gt;"&amp;'Cash Flow'!BG$3)</f>
        <v>0</v>
      </c>
      <c r="BI16" s="188">
        <f>SUMIFS('Wells Fargo'!$F:$F,'Wells Fargo'!$G:$G,'Cash Flow'!$A16,'Wells Fargo'!$A:$A,BI$1,'Wells Fargo'!$B:$B,"&lt;="&amp;'Cash Flow'!BI$3,'Wells Fargo'!$B:$B,"&gt;"&amp;'Cash Flow'!BH$3)</f>
        <v>0</v>
      </c>
    </row>
    <row r="17" spans="1:61" ht="12.75" x14ac:dyDescent="0.2">
      <c r="A17" t="str">
        <v>Credit</v>
      </c>
      <c r="B17" s="87">
        <f t="shared" si="0"/>
        <v>-27476.350000000002</v>
      </c>
      <c r="C17" s="189">
        <f>SUMIFS('Wells Fargo'!$F:$F,'Wells Fargo'!$G:$G,'Cash Flow'!$A17,'Wells Fargo'!$A:$A,C$1,'Wells Fargo'!$B:$B,"&lt;="&amp;'Cash Flow'!C$3)</f>
        <v>0</v>
      </c>
      <c r="D17" s="188">
        <f>SUMIFS('Wells Fargo'!$F:$F,'Wells Fargo'!$G:$G,'Cash Flow'!$A17,'Wells Fargo'!$A:$A,D$1,'Wells Fargo'!$B:$B,"&lt;="&amp;'Cash Flow'!D$3,'Wells Fargo'!$B:$B,"&gt;"&amp;'Cash Flow'!C$3)</f>
        <v>-700</v>
      </c>
      <c r="E17" s="188">
        <f>SUMIFS('Wells Fargo'!$F:$F,'Wells Fargo'!$G:$G,'Cash Flow'!$A17,'Wells Fargo'!$A:$A,E$1,'Wells Fargo'!$B:$B,"&lt;="&amp;'Cash Flow'!E$3,'Wells Fargo'!$B:$B,"&gt;"&amp;'Cash Flow'!D$3)</f>
        <v>-729.23</v>
      </c>
      <c r="F17" s="188">
        <f>SUMIFS('Wells Fargo'!$F:$F,'Wells Fargo'!$G:$G,'Cash Flow'!$A17,'Wells Fargo'!$A:$A,F$1,'Wells Fargo'!$B:$B,"&lt;="&amp;'Cash Flow'!F$3,'Wells Fargo'!$B:$B,"&gt;"&amp;'Cash Flow'!E$3)</f>
        <v>0</v>
      </c>
      <c r="G17" s="188">
        <f>SUMIFS('Wells Fargo'!$F:$F,'Wells Fargo'!$G:$G,'Cash Flow'!$A17,'Wells Fargo'!$A:$A,G$1,'Wells Fargo'!$B:$B,"&lt;="&amp;'Cash Flow'!G$3,'Wells Fargo'!$B:$B,"&gt;"&amp;'Cash Flow'!F$3)</f>
        <v>0</v>
      </c>
      <c r="H17" s="189">
        <f>SUMIFS('Wells Fargo'!$F:$F,'Wells Fargo'!$G:$G,'Cash Flow'!$A17,'Wells Fargo'!$A:$A,H$1,'Wells Fargo'!$B:$B,"&lt;="&amp;'Cash Flow'!H$3)</f>
        <v>-157.47</v>
      </c>
      <c r="I17" s="188">
        <f>SUMIFS('Wells Fargo'!$F:$F,'Wells Fargo'!$G:$G,'Cash Flow'!$A17,'Wells Fargo'!$A:$A,I$1,'Wells Fargo'!$B:$B,"&lt;="&amp;'Cash Flow'!I$3,'Wells Fargo'!$B:$B,"&gt;"&amp;'Cash Flow'!H$3)</f>
        <v>-715.37</v>
      </c>
      <c r="J17" s="188">
        <f>SUMIFS('Wells Fargo'!$F:$F,'Wells Fargo'!$G:$G,'Cash Flow'!$A17,'Wells Fargo'!$A:$A,J$1,'Wells Fargo'!$B:$B,"&lt;="&amp;'Cash Flow'!J$3,'Wells Fargo'!$B:$B,"&gt;"&amp;'Cash Flow'!I$3)</f>
        <v>0</v>
      </c>
      <c r="K17" s="188">
        <f>SUMIFS('Wells Fargo'!$F:$F,'Wells Fargo'!$G:$G,'Cash Flow'!$A17,'Wells Fargo'!$A:$A,K$1,'Wells Fargo'!$B:$B,"&lt;="&amp;'Cash Flow'!K$3,'Wells Fargo'!$B:$B,"&gt;"&amp;'Cash Flow'!J$3)</f>
        <v>-770.55</v>
      </c>
      <c r="L17" s="189">
        <f>SUMIFS('Wells Fargo'!$F:$F,'Wells Fargo'!$G:$G,'Cash Flow'!$A17,'Wells Fargo'!$A:$A,L$1,'Wells Fargo'!$B:$B,"&lt;="&amp;'Cash Flow'!L$3)</f>
        <v>0</v>
      </c>
      <c r="M17" s="188">
        <f>SUMIFS('Wells Fargo'!$F:$F,'Wells Fargo'!$G:$G,'Cash Flow'!$A17,'Wells Fargo'!$A:$A,M$1,'Wells Fargo'!$B:$B,"&lt;="&amp;'Cash Flow'!M$3,'Wells Fargo'!$B:$B,"&gt;"&amp;'Cash Flow'!L$3)</f>
        <v>-1160.3800000000001</v>
      </c>
      <c r="N17" s="188">
        <f>SUMIFS('Wells Fargo'!$F:$F,'Wells Fargo'!$G:$G,'Cash Flow'!$A17,'Wells Fargo'!$A:$A,N$1,'Wells Fargo'!$B:$B,"&lt;="&amp;'Cash Flow'!N$3,'Wells Fargo'!$B:$B,"&gt;"&amp;'Cash Flow'!M$3)</f>
        <v>-521.61</v>
      </c>
      <c r="O17" s="188">
        <f>SUMIFS('Wells Fargo'!$F:$F,'Wells Fargo'!$G:$G,'Cash Flow'!$A17,'Wells Fargo'!$A:$A,O$1,'Wells Fargo'!$B:$B,"&lt;="&amp;'Cash Flow'!O$3,'Wells Fargo'!$B:$B,"&gt;"&amp;'Cash Flow'!N$3)</f>
        <v>-264.60000000000002</v>
      </c>
      <c r="P17" s="188">
        <f>SUMIFS('Wells Fargo'!$F:$F,'Wells Fargo'!$G:$G,'Cash Flow'!$A17,'Wells Fargo'!$A:$A,P$1,'Wells Fargo'!$B:$B,"&lt;="&amp;'Cash Flow'!P$3,'Wells Fargo'!$B:$B,"&gt;"&amp;'Cash Flow'!O$3)</f>
        <v>-465.03</v>
      </c>
      <c r="Q17" s="189">
        <f>SUMIFS('Wells Fargo'!$F:$F,'Wells Fargo'!$G:$G,'Cash Flow'!$A17,'Wells Fargo'!$A:$A,Q$1,'Wells Fargo'!$B:$B,"&lt;="&amp;'Cash Flow'!Q$3)</f>
        <v>0</v>
      </c>
      <c r="R17" s="188">
        <f>SUMIFS('Wells Fargo'!$F:$F,'Wells Fargo'!$G:$G,'Cash Flow'!$A17,'Wells Fargo'!$A:$A,R$1,'Wells Fargo'!$B:$B,"&lt;="&amp;'Cash Flow'!R$3,'Wells Fargo'!$B:$B,"&gt;"&amp;'Cash Flow'!Q$3)</f>
        <v>-450.02</v>
      </c>
      <c r="S17" s="188">
        <f>SUMIFS('Wells Fargo'!$F:$F,'Wells Fargo'!$G:$G,'Cash Flow'!$A17,'Wells Fargo'!$A:$A,S$1,'Wells Fargo'!$B:$B,"&lt;="&amp;'Cash Flow'!S$3,'Wells Fargo'!$B:$B,"&gt;"&amp;'Cash Flow'!R$3)</f>
        <v>0</v>
      </c>
      <c r="T17" s="188">
        <f>SUMIFS('Wells Fargo'!$F:$F,'Wells Fargo'!$G:$G,'Cash Flow'!$A17,'Wells Fargo'!$A:$A,T$1,'Wells Fargo'!$B:$B,"&lt;="&amp;'Cash Flow'!T$3,'Wells Fargo'!$B:$B,"&gt;"&amp;'Cash Flow'!S$3)</f>
        <v>0</v>
      </c>
      <c r="U17" s="188">
        <f>SUMIFS('Wells Fargo'!$F:$F,'Wells Fargo'!$G:$G,'Cash Flow'!$A17,'Wells Fargo'!$A:$A,U$1,'Wells Fargo'!$B:$B,"&lt;="&amp;'Cash Flow'!U$3,'Wells Fargo'!$B:$B,"&gt;"&amp;'Cash Flow'!T$3)</f>
        <v>0</v>
      </c>
      <c r="V17" s="189">
        <f>SUMIFS('Wells Fargo'!$F:$F,'Wells Fargo'!$G:$G,'Cash Flow'!$A17,'Wells Fargo'!$A:$A,V$1,'Wells Fargo'!$B:$B,"&lt;="&amp;'Cash Flow'!V$3)</f>
        <v>-1404.1</v>
      </c>
      <c r="W17" s="188">
        <f>SUMIFS('Wells Fargo'!$F:$F,'Wells Fargo'!$G:$G,'Cash Flow'!$A17,'Wells Fargo'!$A:$A,W$1,'Wells Fargo'!$B:$B,"&lt;="&amp;'Cash Flow'!W$3,'Wells Fargo'!$B:$B,"&gt;"&amp;'Cash Flow'!V$3)</f>
        <v>0</v>
      </c>
      <c r="X17" s="188">
        <f>SUMIFS('Wells Fargo'!$F:$F,'Wells Fargo'!$G:$G,'Cash Flow'!$A17,'Wells Fargo'!$A:$A,X$1,'Wells Fargo'!$B:$B,"&lt;="&amp;'Cash Flow'!X$3,'Wells Fargo'!$B:$B,"&gt;"&amp;'Cash Flow'!W$3)</f>
        <v>0</v>
      </c>
      <c r="Y17" s="188">
        <f>SUMIFS('Wells Fargo'!$F:$F,'Wells Fargo'!$G:$G,'Cash Flow'!$A17,'Wells Fargo'!$A:$A,Y$1,'Wells Fargo'!$B:$B,"&lt;="&amp;'Cash Flow'!Y$3,'Wells Fargo'!$B:$B,"&gt;"&amp;'Cash Flow'!X$3)</f>
        <v>-1412.32</v>
      </c>
      <c r="Z17" s="188">
        <f>SUMIFS('Wells Fargo'!$F:$F,'Wells Fargo'!$G:$G,'Cash Flow'!$A17,'Wells Fargo'!$A:$A,Z$1,'Wells Fargo'!$B:$B,"&lt;="&amp;'Cash Flow'!Z$3,'Wells Fargo'!$B:$B,"&gt;"&amp;'Cash Flow'!Y$3)</f>
        <v>0</v>
      </c>
      <c r="AA17" s="189">
        <f>SUMIFS('Wells Fargo'!$F:$F,'Wells Fargo'!$G:$G,'Cash Flow'!$A17,'Wells Fargo'!$A:$A,AA$1,'Wells Fargo'!$B:$B,"&lt;="&amp;'Cash Flow'!AA$3)</f>
        <v>0</v>
      </c>
      <c r="AB17" s="188">
        <f>SUMIFS('Wells Fargo'!$F:$F,'Wells Fargo'!$G:$G,'Cash Flow'!$A17,'Wells Fargo'!$A:$A,AB$1,'Wells Fargo'!$B:$B,"&lt;="&amp;'Cash Flow'!AB$3,'Wells Fargo'!$B:$B,"&gt;"&amp;'Cash Flow'!AA$3)</f>
        <v>-1368.32</v>
      </c>
      <c r="AC17" s="188">
        <f>SUMIFS('Wells Fargo'!$F:$F,'Wells Fargo'!$G:$G,'Cash Flow'!$A17,'Wells Fargo'!$A:$A,AC$1,'Wells Fargo'!$B:$B,"&lt;="&amp;'Cash Flow'!AC$3,'Wells Fargo'!$B:$B,"&gt;"&amp;'Cash Flow'!AB$3)</f>
        <v>0</v>
      </c>
      <c r="AD17" s="188">
        <f>SUMIFS('Wells Fargo'!$F:$F,'Wells Fargo'!$G:$G,'Cash Flow'!$A17,'Wells Fargo'!$A:$A,AD$1,'Wells Fargo'!$B:$B,"&lt;="&amp;'Cash Flow'!AD$3,'Wells Fargo'!$B:$B,"&gt;"&amp;'Cash Flow'!AC$3)</f>
        <v>-1869</v>
      </c>
      <c r="AE17" s="188">
        <f>SUMIFS('Wells Fargo'!$F:$F,'Wells Fargo'!$G:$G,'Cash Flow'!$A17,'Wells Fargo'!$A:$A,AE$1,'Wells Fargo'!$B:$B,"&lt;="&amp;'Cash Flow'!AE$3,'Wells Fargo'!$B:$B,"&gt;"&amp;'Cash Flow'!AD$3)</f>
        <v>0</v>
      </c>
      <c r="AF17" s="189">
        <f>SUMIFS('Wells Fargo'!$F:$F,'Wells Fargo'!$G:$G,'Cash Flow'!$A17,'Wells Fargo'!$A:$A,AF$1,'Wells Fargo'!$B:$B,"&lt;="&amp;'Cash Flow'!AF$3)</f>
        <v>-871.96</v>
      </c>
      <c r="AG17" s="188">
        <f>SUMIFS('Wells Fargo'!$F:$F,'Wells Fargo'!$G:$G,'Cash Flow'!$A17,'Wells Fargo'!$A:$A,AG$1,'Wells Fargo'!$B:$B,"&lt;="&amp;'Cash Flow'!AG$3,'Wells Fargo'!$B:$B,"&gt;"&amp;'Cash Flow'!AF$3)</f>
        <v>-2317.37</v>
      </c>
      <c r="AH17" s="188">
        <f>SUMIFS('Wells Fargo'!$F:$F,'Wells Fargo'!$G:$G,'Cash Flow'!$A17,'Wells Fargo'!$A:$A,AH$1,'Wells Fargo'!$B:$B,"&lt;="&amp;'Cash Flow'!AH$3,'Wells Fargo'!$B:$B,"&gt;"&amp;'Cash Flow'!AG$3)</f>
        <v>-1000</v>
      </c>
      <c r="AI17" s="188">
        <f>SUMIFS('Wells Fargo'!$F:$F,'Wells Fargo'!$G:$G,'Cash Flow'!$A17,'Wells Fargo'!$A:$A,AI$1,'Wells Fargo'!$B:$B,"&lt;="&amp;'Cash Flow'!AI$3,'Wells Fargo'!$B:$B,"&gt;"&amp;'Cash Flow'!AH$3)</f>
        <v>-1518.65</v>
      </c>
      <c r="AJ17" s="188">
        <f>SUMIFS('Wells Fargo'!$F:$F,'Wells Fargo'!$G:$G,'Cash Flow'!$A17,'Wells Fargo'!$A:$A,AJ$1,'Wells Fargo'!$B:$B,"&lt;="&amp;'Cash Flow'!AJ$3,'Wells Fargo'!$B:$B,"&gt;"&amp;'Cash Flow'!AI$3)</f>
        <v>0</v>
      </c>
      <c r="AK17" s="189">
        <f>SUMIFS('Wells Fargo'!$F:$F,'Wells Fargo'!$G:$G,'Cash Flow'!$A17,'Wells Fargo'!$A:$A,AK$1,'Wells Fargo'!$B:$B,"&lt;="&amp;'Cash Flow'!AK$3)</f>
        <v>-1173.17</v>
      </c>
      <c r="AL17" s="188">
        <f>SUMIFS('Wells Fargo'!$F:$F,'Wells Fargo'!$G:$G,'Cash Flow'!$A17,'Wells Fargo'!$A:$A,AL$1,'Wells Fargo'!$B:$B,"&lt;="&amp;'Cash Flow'!AL$3,'Wells Fargo'!$B:$B,"&gt;"&amp;'Cash Flow'!AK$3)</f>
        <v>0</v>
      </c>
      <c r="AM17" s="188">
        <f>SUMIFS('Wells Fargo'!$F:$F,'Wells Fargo'!$G:$G,'Cash Flow'!$A17,'Wells Fargo'!$A:$A,AM$1,'Wells Fargo'!$B:$B,"&lt;="&amp;'Cash Flow'!AM$3,'Wells Fargo'!$B:$B,"&gt;"&amp;'Cash Flow'!AL$3)</f>
        <v>0</v>
      </c>
      <c r="AN17" s="188">
        <f>SUMIFS('Wells Fargo'!$F:$F,'Wells Fargo'!$G:$G,'Cash Flow'!$A17,'Wells Fargo'!$A:$A,AN$1,'Wells Fargo'!$B:$B,"&lt;="&amp;'Cash Flow'!AN$3,'Wells Fargo'!$B:$B,"&gt;"&amp;'Cash Flow'!AM$3)</f>
        <v>-2002.0700000000002</v>
      </c>
      <c r="AO17" s="188">
        <f>SUMIFS('Wells Fargo'!$F:$F,'Wells Fargo'!$G:$G,'Cash Flow'!$A17,'Wells Fargo'!$A:$A,AO$1,'Wells Fargo'!$B:$B,"&lt;="&amp;'Cash Flow'!AO$3,'Wells Fargo'!$B:$B,"&gt;"&amp;'Cash Flow'!AN$3)</f>
        <v>0</v>
      </c>
      <c r="AP17" s="189">
        <f>SUMIFS('Wells Fargo'!$F:$F,'Wells Fargo'!$G:$G,'Cash Flow'!$A17,'Wells Fargo'!$A:$A,AP$1,'Wells Fargo'!$B:$B,"&lt;="&amp;'Cash Flow'!AP$3)</f>
        <v>0</v>
      </c>
      <c r="AQ17" s="188">
        <f>SUMIFS('Wells Fargo'!$F:$F,'Wells Fargo'!$G:$G,'Cash Flow'!$A17,'Wells Fargo'!$A:$A,AQ$1,'Wells Fargo'!$B:$B,"&lt;="&amp;'Cash Flow'!AQ$3,'Wells Fargo'!$B:$B,"&gt;"&amp;'Cash Flow'!AP$3)</f>
        <v>-2179.14</v>
      </c>
      <c r="AR17" s="188">
        <f>SUMIFS('Wells Fargo'!$F:$F,'Wells Fargo'!$G:$G,'Cash Flow'!$A17,'Wells Fargo'!$A:$A,AR$1,'Wells Fargo'!$B:$B,"&lt;="&amp;'Cash Flow'!AR$3,'Wells Fargo'!$B:$B,"&gt;"&amp;'Cash Flow'!AQ$3)</f>
        <v>0</v>
      </c>
      <c r="AS17" s="188">
        <f>SUMIFS('Wells Fargo'!$F:$F,'Wells Fargo'!$G:$G,'Cash Flow'!$A17,'Wells Fargo'!$A:$A,AS$1,'Wells Fargo'!$B:$B,"&lt;="&amp;'Cash Flow'!AS$3,'Wells Fargo'!$B:$B,"&gt;"&amp;'Cash Flow'!AR$3)</f>
        <v>-925.99</v>
      </c>
      <c r="AT17" s="188">
        <f>SUMIFS('Wells Fargo'!$F:$F,'Wells Fargo'!$G:$G,'Cash Flow'!$A17,'Wells Fargo'!$A:$A,AT$1,'Wells Fargo'!$B:$B,"&lt;="&amp;'Cash Flow'!AT$3,'Wells Fargo'!$B:$B,"&gt;"&amp;'Cash Flow'!AS$3)</f>
        <v>-1500</v>
      </c>
      <c r="AU17" s="189">
        <f>SUMIFS('Wells Fargo'!$F:$F,'Wells Fargo'!$G:$G,'Cash Flow'!$A17,'Wells Fargo'!$A:$A,AU$1,'Wells Fargo'!$B:$B,"&lt;="&amp;'Cash Flow'!AU$3)</f>
        <v>0</v>
      </c>
      <c r="AV17" s="188">
        <f>SUMIFS('Wells Fargo'!$F:$F,'Wells Fargo'!$G:$G,'Cash Flow'!$A17,'Wells Fargo'!$A:$A,AV$1,'Wells Fargo'!$B:$B,"&lt;="&amp;'Cash Flow'!AV$3,'Wells Fargo'!$B:$B,"&gt;"&amp;'Cash Flow'!AU$3)</f>
        <v>0</v>
      </c>
      <c r="AW17" s="188">
        <f>SUMIFS('Wells Fargo'!$F:$F,'Wells Fargo'!$G:$G,'Cash Flow'!$A17,'Wells Fargo'!$A:$A,AW$1,'Wells Fargo'!$B:$B,"&lt;="&amp;'Cash Flow'!AW$3,'Wells Fargo'!$B:$B,"&gt;"&amp;'Cash Flow'!AV$3)</f>
        <v>0</v>
      </c>
      <c r="AX17" s="188">
        <f>SUMIFS('Wells Fargo'!$F:$F,'Wells Fargo'!$G:$G,'Cash Flow'!$A17,'Wells Fargo'!$A:$A,AX$1,'Wells Fargo'!$B:$B,"&lt;="&amp;'Cash Flow'!AX$3,'Wells Fargo'!$B:$B,"&gt;"&amp;'Cash Flow'!AW$3)</f>
        <v>0</v>
      </c>
      <c r="AY17" s="188">
        <f>SUMIFS('Wells Fargo'!$F:$F,'Wells Fargo'!$G:$G,'Cash Flow'!$A17,'Wells Fargo'!$A:$A,AY$1,'Wells Fargo'!$B:$B,"&lt;="&amp;'Cash Flow'!AY$3,'Wells Fargo'!$B:$B,"&gt;"&amp;'Cash Flow'!AX$3)</f>
        <v>0</v>
      </c>
      <c r="AZ17" s="189">
        <f>SUMIFS('Wells Fargo'!$F:$F,'Wells Fargo'!$G:$G,'Cash Flow'!$A17,'Wells Fargo'!$A:$A,AZ$1,'Wells Fargo'!$B:$B,"&lt;="&amp;'Cash Flow'!AZ$3)</f>
        <v>-1000</v>
      </c>
      <c r="BA17" s="188">
        <f>SUMIFS('Wells Fargo'!$F:$F,'Wells Fargo'!$G:$G,'Cash Flow'!$A17,'Wells Fargo'!$A:$A,BA$1,'Wells Fargo'!$B:$B,"&lt;="&amp;'Cash Flow'!BA$3,'Wells Fargo'!$B:$B,"&gt;"&amp;'Cash Flow'!AZ$3)</f>
        <v>-1000</v>
      </c>
      <c r="BB17" s="188">
        <f>SUMIFS('Wells Fargo'!$F:$F,'Wells Fargo'!$G:$G,'Cash Flow'!$A17,'Wells Fargo'!$A:$A,BB$1,'Wells Fargo'!$B:$B,"&lt;="&amp;'Cash Flow'!BB$3,'Wells Fargo'!$B:$B,"&gt;"&amp;'Cash Flow'!BA$3)</f>
        <v>0</v>
      </c>
      <c r="BC17" s="188">
        <f>SUMIFS('Wells Fargo'!$F:$F,'Wells Fargo'!$G:$G,'Cash Flow'!$A17,'Wells Fargo'!$A:$A,BC$1,'Wells Fargo'!$B:$B,"&lt;="&amp;'Cash Flow'!BC$3,'Wells Fargo'!$B:$B,"&gt;"&amp;'Cash Flow'!BB$3)</f>
        <v>0</v>
      </c>
      <c r="BD17" s="188">
        <f>SUMIFS('Wells Fargo'!$F:$F,'Wells Fargo'!$G:$G,'Cash Flow'!$A17,'Wells Fargo'!$A:$A,BD$1,'Wells Fargo'!$B:$B,"&lt;="&amp;'Cash Flow'!BD$3,'Wells Fargo'!$B:$B,"&gt;"&amp;'Cash Flow'!BC$3)</f>
        <v>0</v>
      </c>
      <c r="BE17" s="189">
        <f>SUMIFS('Wells Fargo'!$F:$F,'Wells Fargo'!$G:$G,'Cash Flow'!$A17,'Wells Fargo'!$A:$A,BE$1,'Wells Fargo'!$B:$B,"&lt;="&amp;'Cash Flow'!BE$3)</f>
        <v>0</v>
      </c>
      <c r="BF17" s="188">
        <f>SUMIFS('Wells Fargo'!$F:$F,'Wells Fargo'!$G:$G,'Cash Flow'!$A17,'Wells Fargo'!$A:$A,BF$1,'Wells Fargo'!$B:$B,"&lt;="&amp;'Cash Flow'!BF$3,'Wells Fargo'!$B:$B,"&gt;"&amp;'Cash Flow'!BE$3)</f>
        <v>0</v>
      </c>
      <c r="BG17" s="188">
        <f>SUMIFS('Wells Fargo'!$F:$F,'Wells Fargo'!$G:$G,'Cash Flow'!$A17,'Wells Fargo'!$A:$A,BG$1,'Wells Fargo'!$B:$B,"&lt;="&amp;'Cash Flow'!BG$3,'Wells Fargo'!$B:$B,"&gt;"&amp;'Cash Flow'!BF$3)</f>
        <v>0</v>
      </c>
      <c r="BH17" s="188">
        <f>SUMIFS('Wells Fargo'!$F:$F,'Wells Fargo'!$G:$G,'Cash Flow'!$A17,'Wells Fargo'!$A:$A,BH$1,'Wells Fargo'!$B:$B,"&lt;="&amp;'Cash Flow'!BH$3,'Wells Fargo'!$B:$B,"&gt;"&amp;'Cash Flow'!BG$3)</f>
        <v>0</v>
      </c>
      <c r="BI17" s="188">
        <f>SUMIFS('Wells Fargo'!$F:$F,'Wells Fargo'!$G:$G,'Cash Flow'!$A17,'Wells Fargo'!$A:$A,BI$1,'Wells Fargo'!$B:$B,"&lt;="&amp;'Cash Flow'!BI$3,'Wells Fargo'!$B:$B,"&gt;"&amp;'Cash Flow'!BH$3)</f>
        <v>0</v>
      </c>
    </row>
    <row r="18" spans="1:61" ht="12.75" x14ac:dyDescent="0.2">
      <c r="A18" t="str">
        <v>Credit Karma</v>
      </c>
      <c r="B18" s="87">
        <f t="shared" si="0"/>
        <v>-1</v>
      </c>
      <c r="C18" s="189">
        <f>SUMIFS('Wells Fargo'!$F:$F,'Wells Fargo'!$G:$G,'Cash Flow'!$A18,'Wells Fargo'!$A:$A,C$1,'Wells Fargo'!$B:$B,"&lt;="&amp;'Cash Flow'!C$3)</f>
        <v>0</v>
      </c>
      <c r="D18" s="188">
        <f>SUMIFS('Wells Fargo'!$F:$F,'Wells Fargo'!$G:$G,'Cash Flow'!$A18,'Wells Fargo'!$A:$A,D$1,'Wells Fargo'!$B:$B,"&lt;="&amp;'Cash Flow'!D$3,'Wells Fargo'!$B:$B,"&gt;"&amp;'Cash Flow'!C$3)</f>
        <v>0</v>
      </c>
      <c r="E18" s="188">
        <f>SUMIFS('Wells Fargo'!$F:$F,'Wells Fargo'!$G:$G,'Cash Flow'!$A18,'Wells Fargo'!$A:$A,E$1,'Wells Fargo'!$B:$B,"&lt;="&amp;'Cash Flow'!E$3,'Wells Fargo'!$B:$B,"&gt;"&amp;'Cash Flow'!D$3)</f>
        <v>0</v>
      </c>
      <c r="F18" s="188">
        <f>SUMIFS('Wells Fargo'!$F:$F,'Wells Fargo'!$G:$G,'Cash Flow'!$A18,'Wells Fargo'!$A:$A,F$1,'Wells Fargo'!$B:$B,"&lt;="&amp;'Cash Flow'!F$3,'Wells Fargo'!$B:$B,"&gt;"&amp;'Cash Flow'!E$3)</f>
        <v>0</v>
      </c>
      <c r="G18" s="188">
        <f>SUMIFS('Wells Fargo'!$F:$F,'Wells Fargo'!$G:$G,'Cash Flow'!$A18,'Wells Fargo'!$A:$A,G$1,'Wells Fargo'!$B:$B,"&lt;="&amp;'Cash Flow'!G$3,'Wells Fargo'!$B:$B,"&gt;"&amp;'Cash Flow'!F$3)</f>
        <v>0</v>
      </c>
      <c r="H18" s="189">
        <f>SUMIFS('Wells Fargo'!$F:$F,'Wells Fargo'!$G:$G,'Cash Flow'!$A18,'Wells Fargo'!$A:$A,H$1,'Wells Fargo'!$B:$B,"&lt;="&amp;'Cash Flow'!H$3)</f>
        <v>-1</v>
      </c>
      <c r="I18" s="188">
        <f>SUMIFS('Wells Fargo'!$F:$F,'Wells Fargo'!$G:$G,'Cash Flow'!$A18,'Wells Fargo'!$A:$A,I$1,'Wells Fargo'!$B:$B,"&lt;="&amp;'Cash Flow'!I$3,'Wells Fargo'!$B:$B,"&gt;"&amp;'Cash Flow'!H$3)</f>
        <v>0</v>
      </c>
      <c r="J18" s="188">
        <f>SUMIFS('Wells Fargo'!$F:$F,'Wells Fargo'!$G:$G,'Cash Flow'!$A18,'Wells Fargo'!$A:$A,J$1,'Wells Fargo'!$B:$B,"&lt;="&amp;'Cash Flow'!J$3,'Wells Fargo'!$B:$B,"&gt;"&amp;'Cash Flow'!I$3)</f>
        <v>0</v>
      </c>
      <c r="K18" s="188">
        <f>SUMIFS('Wells Fargo'!$F:$F,'Wells Fargo'!$G:$G,'Cash Flow'!$A18,'Wells Fargo'!$A:$A,K$1,'Wells Fargo'!$B:$B,"&lt;="&amp;'Cash Flow'!K$3,'Wells Fargo'!$B:$B,"&gt;"&amp;'Cash Flow'!J$3)</f>
        <v>0</v>
      </c>
      <c r="L18" s="189">
        <f>SUMIFS('Wells Fargo'!$F:$F,'Wells Fargo'!$G:$G,'Cash Flow'!$A18,'Wells Fargo'!$A:$A,L$1,'Wells Fargo'!$B:$B,"&lt;="&amp;'Cash Flow'!L$3)</f>
        <v>0</v>
      </c>
      <c r="M18" s="188">
        <f>SUMIFS('Wells Fargo'!$F:$F,'Wells Fargo'!$G:$G,'Cash Flow'!$A18,'Wells Fargo'!$A:$A,M$1,'Wells Fargo'!$B:$B,"&lt;="&amp;'Cash Flow'!M$3,'Wells Fargo'!$B:$B,"&gt;"&amp;'Cash Flow'!L$3)</f>
        <v>0</v>
      </c>
      <c r="N18" s="188">
        <f>SUMIFS('Wells Fargo'!$F:$F,'Wells Fargo'!$G:$G,'Cash Flow'!$A18,'Wells Fargo'!$A:$A,N$1,'Wells Fargo'!$B:$B,"&lt;="&amp;'Cash Flow'!N$3,'Wells Fargo'!$B:$B,"&gt;"&amp;'Cash Flow'!M$3)</f>
        <v>0</v>
      </c>
      <c r="O18" s="188">
        <f>SUMIFS('Wells Fargo'!$F:$F,'Wells Fargo'!$G:$G,'Cash Flow'!$A18,'Wells Fargo'!$A:$A,O$1,'Wells Fargo'!$B:$B,"&lt;="&amp;'Cash Flow'!O$3,'Wells Fargo'!$B:$B,"&gt;"&amp;'Cash Flow'!N$3)</f>
        <v>0</v>
      </c>
      <c r="P18" s="188">
        <f>SUMIFS('Wells Fargo'!$F:$F,'Wells Fargo'!$G:$G,'Cash Flow'!$A18,'Wells Fargo'!$A:$A,P$1,'Wells Fargo'!$B:$B,"&lt;="&amp;'Cash Flow'!P$3,'Wells Fargo'!$B:$B,"&gt;"&amp;'Cash Flow'!O$3)</f>
        <v>0</v>
      </c>
      <c r="Q18" s="189">
        <f>SUMIFS('Wells Fargo'!$F:$F,'Wells Fargo'!$G:$G,'Cash Flow'!$A18,'Wells Fargo'!$A:$A,Q$1,'Wells Fargo'!$B:$B,"&lt;="&amp;'Cash Flow'!Q$3)</f>
        <v>0</v>
      </c>
      <c r="R18" s="188">
        <f>SUMIFS('Wells Fargo'!$F:$F,'Wells Fargo'!$G:$G,'Cash Flow'!$A18,'Wells Fargo'!$A:$A,R$1,'Wells Fargo'!$B:$B,"&lt;="&amp;'Cash Flow'!R$3,'Wells Fargo'!$B:$B,"&gt;"&amp;'Cash Flow'!Q$3)</f>
        <v>0</v>
      </c>
      <c r="S18" s="188">
        <f>SUMIFS('Wells Fargo'!$F:$F,'Wells Fargo'!$G:$G,'Cash Flow'!$A18,'Wells Fargo'!$A:$A,S$1,'Wells Fargo'!$B:$B,"&lt;="&amp;'Cash Flow'!S$3,'Wells Fargo'!$B:$B,"&gt;"&amp;'Cash Flow'!R$3)</f>
        <v>0</v>
      </c>
      <c r="T18" s="188">
        <f>SUMIFS('Wells Fargo'!$F:$F,'Wells Fargo'!$G:$G,'Cash Flow'!$A18,'Wells Fargo'!$A:$A,T$1,'Wells Fargo'!$B:$B,"&lt;="&amp;'Cash Flow'!T$3,'Wells Fargo'!$B:$B,"&gt;"&amp;'Cash Flow'!S$3)</f>
        <v>0</v>
      </c>
      <c r="U18" s="188">
        <f>SUMIFS('Wells Fargo'!$F:$F,'Wells Fargo'!$G:$G,'Cash Flow'!$A18,'Wells Fargo'!$A:$A,U$1,'Wells Fargo'!$B:$B,"&lt;="&amp;'Cash Flow'!U$3,'Wells Fargo'!$B:$B,"&gt;"&amp;'Cash Flow'!T$3)</f>
        <v>0</v>
      </c>
      <c r="V18" s="189">
        <f>SUMIFS('Wells Fargo'!$F:$F,'Wells Fargo'!$G:$G,'Cash Flow'!$A18,'Wells Fargo'!$A:$A,V$1,'Wells Fargo'!$B:$B,"&lt;="&amp;'Cash Flow'!V$3)</f>
        <v>0</v>
      </c>
      <c r="W18" s="188">
        <f>SUMIFS('Wells Fargo'!$F:$F,'Wells Fargo'!$G:$G,'Cash Flow'!$A18,'Wells Fargo'!$A:$A,W$1,'Wells Fargo'!$B:$B,"&lt;="&amp;'Cash Flow'!W$3,'Wells Fargo'!$B:$B,"&gt;"&amp;'Cash Flow'!V$3)</f>
        <v>0</v>
      </c>
      <c r="X18" s="188">
        <f>SUMIFS('Wells Fargo'!$F:$F,'Wells Fargo'!$G:$G,'Cash Flow'!$A18,'Wells Fargo'!$A:$A,X$1,'Wells Fargo'!$B:$B,"&lt;="&amp;'Cash Flow'!X$3,'Wells Fargo'!$B:$B,"&gt;"&amp;'Cash Flow'!W$3)</f>
        <v>0</v>
      </c>
      <c r="Y18" s="188">
        <f>SUMIFS('Wells Fargo'!$F:$F,'Wells Fargo'!$G:$G,'Cash Flow'!$A18,'Wells Fargo'!$A:$A,Y$1,'Wells Fargo'!$B:$B,"&lt;="&amp;'Cash Flow'!Y$3,'Wells Fargo'!$B:$B,"&gt;"&amp;'Cash Flow'!X$3)</f>
        <v>0</v>
      </c>
      <c r="Z18" s="188">
        <f>SUMIFS('Wells Fargo'!$F:$F,'Wells Fargo'!$G:$G,'Cash Flow'!$A18,'Wells Fargo'!$A:$A,Z$1,'Wells Fargo'!$B:$B,"&lt;="&amp;'Cash Flow'!Z$3,'Wells Fargo'!$B:$B,"&gt;"&amp;'Cash Flow'!Y$3)</f>
        <v>0</v>
      </c>
      <c r="AA18" s="189">
        <f>SUMIFS('Wells Fargo'!$F:$F,'Wells Fargo'!$G:$G,'Cash Flow'!$A18,'Wells Fargo'!$A:$A,AA$1,'Wells Fargo'!$B:$B,"&lt;="&amp;'Cash Flow'!AA$3)</f>
        <v>0</v>
      </c>
      <c r="AB18" s="188">
        <f>SUMIFS('Wells Fargo'!$F:$F,'Wells Fargo'!$G:$G,'Cash Flow'!$A18,'Wells Fargo'!$A:$A,AB$1,'Wells Fargo'!$B:$B,"&lt;="&amp;'Cash Flow'!AB$3,'Wells Fargo'!$B:$B,"&gt;"&amp;'Cash Flow'!AA$3)</f>
        <v>0</v>
      </c>
      <c r="AC18" s="188">
        <f>SUMIFS('Wells Fargo'!$F:$F,'Wells Fargo'!$G:$G,'Cash Flow'!$A18,'Wells Fargo'!$A:$A,AC$1,'Wells Fargo'!$B:$B,"&lt;="&amp;'Cash Flow'!AC$3,'Wells Fargo'!$B:$B,"&gt;"&amp;'Cash Flow'!AB$3)</f>
        <v>0</v>
      </c>
      <c r="AD18" s="188">
        <f>SUMIFS('Wells Fargo'!$F:$F,'Wells Fargo'!$G:$G,'Cash Flow'!$A18,'Wells Fargo'!$A:$A,AD$1,'Wells Fargo'!$B:$B,"&lt;="&amp;'Cash Flow'!AD$3,'Wells Fargo'!$B:$B,"&gt;"&amp;'Cash Flow'!AC$3)</f>
        <v>0</v>
      </c>
      <c r="AE18" s="188">
        <f>SUMIFS('Wells Fargo'!$F:$F,'Wells Fargo'!$G:$G,'Cash Flow'!$A18,'Wells Fargo'!$A:$A,AE$1,'Wells Fargo'!$B:$B,"&lt;="&amp;'Cash Flow'!AE$3,'Wells Fargo'!$B:$B,"&gt;"&amp;'Cash Flow'!AD$3)</f>
        <v>0</v>
      </c>
      <c r="AF18" s="189">
        <f>SUMIFS('Wells Fargo'!$F:$F,'Wells Fargo'!$G:$G,'Cash Flow'!$A18,'Wells Fargo'!$A:$A,AF$1,'Wells Fargo'!$B:$B,"&lt;="&amp;'Cash Flow'!AF$3)</f>
        <v>0</v>
      </c>
      <c r="AG18" s="188">
        <f>SUMIFS('Wells Fargo'!$F:$F,'Wells Fargo'!$G:$G,'Cash Flow'!$A18,'Wells Fargo'!$A:$A,AG$1,'Wells Fargo'!$B:$B,"&lt;="&amp;'Cash Flow'!AG$3,'Wells Fargo'!$B:$B,"&gt;"&amp;'Cash Flow'!AF$3)</f>
        <v>0</v>
      </c>
      <c r="AH18" s="188">
        <f>SUMIFS('Wells Fargo'!$F:$F,'Wells Fargo'!$G:$G,'Cash Flow'!$A18,'Wells Fargo'!$A:$A,AH$1,'Wells Fargo'!$B:$B,"&lt;="&amp;'Cash Flow'!AH$3,'Wells Fargo'!$B:$B,"&gt;"&amp;'Cash Flow'!AG$3)</f>
        <v>0</v>
      </c>
      <c r="AI18" s="188">
        <f>SUMIFS('Wells Fargo'!$F:$F,'Wells Fargo'!$G:$G,'Cash Flow'!$A18,'Wells Fargo'!$A:$A,AI$1,'Wells Fargo'!$B:$B,"&lt;="&amp;'Cash Flow'!AI$3,'Wells Fargo'!$B:$B,"&gt;"&amp;'Cash Flow'!AH$3)</f>
        <v>0</v>
      </c>
      <c r="AJ18" s="188">
        <f>SUMIFS('Wells Fargo'!$F:$F,'Wells Fargo'!$G:$G,'Cash Flow'!$A18,'Wells Fargo'!$A:$A,AJ$1,'Wells Fargo'!$B:$B,"&lt;="&amp;'Cash Flow'!AJ$3,'Wells Fargo'!$B:$B,"&gt;"&amp;'Cash Flow'!AI$3)</f>
        <v>0</v>
      </c>
      <c r="AK18" s="189">
        <f>SUMIFS('Wells Fargo'!$F:$F,'Wells Fargo'!$G:$G,'Cash Flow'!$A18,'Wells Fargo'!$A:$A,AK$1,'Wells Fargo'!$B:$B,"&lt;="&amp;'Cash Flow'!AK$3)</f>
        <v>0</v>
      </c>
      <c r="AL18" s="188">
        <f>SUMIFS('Wells Fargo'!$F:$F,'Wells Fargo'!$G:$G,'Cash Flow'!$A18,'Wells Fargo'!$A:$A,AL$1,'Wells Fargo'!$B:$B,"&lt;="&amp;'Cash Flow'!AL$3,'Wells Fargo'!$B:$B,"&gt;"&amp;'Cash Flow'!AK$3)</f>
        <v>0</v>
      </c>
      <c r="AM18" s="188">
        <f>SUMIFS('Wells Fargo'!$F:$F,'Wells Fargo'!$G:$G,'Cash Flow'!$A18,'Wells Fargo'!$A:$A,AM$1,'Wells Fargo'!$B:$B,"&lt;="&amp;'Cash Flow'!AM$3,'Wells Fargo'!$B:$B,"&gt;"&amp;'Cash Flow'!AL$3)</f>
        <v>0</v>
      </c>
      <c r="AN18" s="188">
        <f>SUMIFS('Wells Fargo'!$F:$F,'Wells Fargo'!$G:$G,'Cash Flow'!$A18,'Wells Fargo'!$A:$A,AN$1,'Wells Fargo'!$B:$B,"&lt;="&amp;'Cash Flow'!AN$3,'Wells Fargo'!$B:$B,"&gt;"&amp;'Cash Flow'!AM$3)</f>
        <v>0</v>
      </c>
      <c r="AO18" s="188">
        <f>SUMIFS('Wells Fargo'!$F:$F,'Wells Fargo'!$G:$G,'Cash Flow'!$A18,'Wells Fargo'!$A:$A,AO$1,'Wells Fargo'!$B:$B,"&lt;="&amp;'Cash Flow'!AO$3,'Wells Fargo'!$B:$B,"&gt;"&amp;'Cash Flow'!AN$3)</f>
        <v>0</v>
      </c>
      <c r="AP18" s="189">
        <f>SUMIFS('Wells Fargo'!$F:$F,'Wells Fargo'!$G:$G,'Cash Flow'!$A18,'Wells Fargo'!$A:$A,AP$1,'Wells Fargo'!$B:$B,"&lt;="&amp;'Cash Flow'!AP$3)</f>
        <v>0</v>
      </c>
      <c r="AQ18" s="188">
        <f>SUMIFS('Wells Fargo'!$F:$F,'Wells Fargo'!$G:$G,'Cash Flow'!$A18,'Wells Fargo'!$A:$A,AQ$1,'Wells Fargo'!$B:$B,"&lt;="&amp;'Cash Flow'!AQ$3,'Wells Fargo'!$B:$B,"&gt;"&amp;'Cash Flow'!AP$3)</f>
        <v>0</v>
      </c>
      <c r="AR18" s="188">
        <f>SUMIFS('Wells Fargo'!$F:$F,'Wells Fargo'!$G:$G,'Cash Flow'!$A18,'Wells Fargo'!$A:$A,AR$1,'Wells Fargo'!$B:$B,"&lt;="&amp;'Cash Flow'!AR$3,'Wells Fargo'!$B:$B,"&gt;"&amp;'Cash Flow'!AQ$3)</f>
        <v>0</v>
      </c>
      <c r="AS18" s="188">
        <f>SUMIFS('Wells Fargo'!$F:$F,'Wells Fargo'!$G:$G,'Cash Flow'!$A18,'Wells Fargo'!$A:$A,AS$1,'Wells Fargo'!$B:$B,"&lt;="&amp;'Cash Flow'!AS$3,'Wells Fargo'!$B:$B,"&gt;"&amp;'Cash Flow'!AR$3)</f>
        <v>0</v>
      </c>
      <c r="AT18" s="188">
        <f>SUMIFS('Wells Fargo'!$F:$F,'Wells Fargo'!$G:$G,'Cash Flow'!$A18,'Wells Fargo'!$A:$A,AT$1,'Wells Fargo'!$B:$B,"&lt;="&amp;'Cash Flow'!AT$3,'Wells Fargo'!$B:$B,"&gt;"&amp;'Cash Flow'!AS$3)</f>
        <v>0</v>
      </c>
      <c r="AU18" s="189">
        <f>SUMIFS('Wells Fargo'!$F:$F,'Wells Fargo'!$G:$G,'Cash Flow'!$A18,'Wells Fargo'!$A:$A,AU$1,'Wells Fargo'!$B:$B,"&lt;="&amp;'Cash Flow'!AU$3)</f>
        <v>0</v>
      </c>
      <c r="AV18" s="188">
        <f>SUMIFS('Wells Fargo'!$F:$F,'Wells Fargo'!$G:$G,'Cash Flow'!$A18,'Wells Fargo'!$A:$A,AV$1,'Wells Fargo'!$B:$B,"&lt;="&amp;'Cash Flow'!AV$3,'Wells Fargo'!$B:$B,"&gt;"&amp;'Cash Flow'!AU$3)</f>
        <v>0</v>
      </c>
      <c r="AW18" s="188">
        <f>SUMIFS('Wells Fargo'!$F:$F,'Wells Fargo'!$G:$G,'Cash Flow'!$A18,'Wells Fargo'!$A:$A,AW$1,'Wells Fargo'!$B:$B,"&lt;="&amp;'Cash Flow'!AW$3,'Wells Fargo'!$B:$B,"&gt;"&amp;'Cash Flow'!AV$3)</f>
        <v>0</v>
      </c>
      <c r="AX18" s="188">
        <f>SUMIFS('Wells Fargo'!$F:$F,'Wells Fargo'!$G:$G,'Cash Flow'!$A18,'Wells Fargo'!$A:$A,AX$1,'Wells Fargo'!$B:$B,"&lt;="&amp;'Cash Flow'!AX$3,'Wells Fargo'!$B:$B,"&gt;"&amp;'Cash Flow'!AW$3)</f>
        <v>0</v>
      </c>
      <c r="AY18" s="188">
        <f>SUMIFS('Wells Fargo'!$F:$F,'Wells Fargo'!$G:$G,'Cash Flow'!$A18,'Wells Fargo'!$A:$A,AY$1,'Wells Fargo'!$B:$B,"&lt;="&amp;'Cash Flow'!AY$3,'Wells Fargo'!$B:$B,"&gt;"&amp;'Cash Flow'!AX$3)</f>
        <v>0</v>
      </c>
      <c r="AZ18" s="189">
        <f>SUMIFS('Wells Fargo'!$F:$F,'Wells Fargo'!$G:$G,'Cash Flow'!$A18,'Wells Fargo'!$A:$A,AZ$1,'Wells Fargo'!$B:$B,"&lt;="&amp;'Cash Flow'!AZ$3)</f>
        <v>0</v>
      </c>
      <c r="BA18" s="188">
        <f>SUMIFS('Wells Fargo'!$F:$F,'Wells Fargo'!$G:$G,'Cash Flow'!$A18,'Wells Fargo'!$A:$A,BA$1,'Wells Fargo'!$B:$B,"&lt;="&amp;'Cash Flow'!BA$3,'Wells Fargo'!$B:$B,"&gt;"&amp;'Cash Flow'!AZ$3)</f>
        <v>0</v>
      </c>
      <c r="BB18" s="188">
        <f>SUMIFS('Wells Fargo'!$F:$F,'Wells Fargo'!$G:$G,'Cash Flow'!$A18,'Wells Fargo'!$A:$A,BB$1,'Wells Fargo'!$B:$B,"&lt;="&amp;'Cash Flow'!BB$3,'Wells Fargo'!$B:$B,"&gt;"&amp;'Cash Flow'!BA$3)</f>
        <v>0</v>
      </c>
      <c r="BC18" s="188">
        <f>SUMIFS('Wells Fargo'!$F:$F,'Wells Fargo'!$G:$G,'Cash Flow'!$A18,'Wells Fargo'!$A:$A,BC$1,'Wells Fargo'!$B:$B,"&lt;="&amp;'Cash Flow'!BC$3,'Wells Fargo'!$B:$B,"&gt;"&amp;'Cash Flow'!BB$3)</f>
        <v>0</v>
      </c>
      <c r="BD18" s="188">
        <f>SUMIFS('Wells Fargo'!$F:$F,'Wells Fargo'!$G:$G,'Cash Flow'!$A18,'Wells Fargo'!$A:$A,BD$1,'Wells Fargo'!$B:$B,"&lt;="&amp;'Cash Flow'!BD$3,'Wells Fargo'!$B:$B,"&gt;"&amp;'Cash Flow'!BC$3)</f>
        <v>0</v>
      </c>
      <c r="BE18" s="189">
        <f>SUMIFS('Wells Fargo'!$F:$F,'Wells Fargo'!$G:$G,'Cash Flow'!$A18,'Wells Fargo'!$A:$A,BE$1,'Wells Fargo'!$B:$B,"&lt;="&amp;'Cash Flow'!BE$3)</f>
        <v>0</v>
      </c>
      <c r="BF18" s="188">
        <f>SUMIFS('Wells Fargo'!$F:$F,'Wells Fargo'!$G:$G,'Cash Flow'!$A18,'Wells Fargo'!$A:$A,BF$1,'Wells Fargo'!$B:$B,"&lt;="&amp;'Cash Flow'!BF$3,'Wells Fargo'!$B:$B,"&gt;"&amp;'Cash Flow'!BE$3)</f>
        <v>0</v>
      </c>
      <c r="BG18" s="188">
        <f>SUMIFS('Wells Fargo'!$F:$F,'Wells Fargo'!$G:$G,'Cash Flow'!$A18,'Wells Fargo'!$A:$A,BG$1,'Wells Fargo'!$B:$B,"&lt;="&amp;'Cash Flow'!BG$3,'Wells Fargo'!$B:$B,"&gt;"&amp;'Cash Flow'!BF$3)</f>
        <v>0</v>
      </c>
      <c r="BH18" s="188">
        <f>SUMIFS('Wells Fargo'!$F:$F,'Wells Fargo'!$G:$G,'Cash Flow'!$A18,'Wells Fargo'!$A:$A,BH$1,'Wells Fargo'!$B:$B,"&lt;="&amp;'Cash Flow'!BH$3,'Wells Fargo'!$B:$B,"&gt;"&amp;'Cash Flow'!BG$3)</f>
        <v>0</v>
      </c>
      <c r="BI18" s="188">
        <f>SUMIFS('Wells Fargo'!$F:$F,'Wells Fargo'!$G:$G,'Cash Flow'!$A18,'Wells Fargo'!$A:$A,BI$1,'Wells Fargo'!$B:$B,"&lt;="&amp;'Cash Flow'!BI$3,'Wells Fargo'!$B:$B,"&gt;"&amp;'Cash Flow'!BH$3)</f>
        <v>0</v>
      </c>
    </row>
    <row r="19" spans="1:61" ht="12.75" x14ac:dyDescent="0.2">
      <c r="A19" t="str">
        <v>Dance</v>
      </c>
      <c r="B19" s="87">
        <f t="shared" si="0"/>
        <v>-15</v>
      </c>
      <c r="C19" s="189">
        <f>SUMIFS('Wells Fargo'!$F:$F,'Wells Fargo'!$G:$G,'Cash Flow'!$A19,'Wells Fargo'!$A:$A,C$1,'Wells Fargo'!$B:$B,"&lt;="&amp;'Cash Flow'!C$3)</f>
        <v>0</v>
      </c>
      <c r="D19" s="188">
        <f>SUMIFS('Wells Fargo'!$F:$F,'Wells Fargo'!$G:$G,'Cash Flow'!$A19,'Wells Fargo'!$A:$A,D$1,'Wells Fargo'!$B:$B,"&lt;="&amp;'Cash Flow'!D$3,'Wells Fargo'!$B:$B,"&gt;"&amp;'Cash Flow'!C$3)</f>
        <v>0</v>
      </c>
      <c r="E19" s="188">
        <f>SUMIFS('Wells Fargo'!$F:$F,'Wells Fargo'!$G:$G,'Cash Flow'!$A19,'Wells Fargo'!$A:$A,E$1,'Wells Fargo'!$B:$B,"&lt;="&amp;'Cash Flow'!E$3,'Wells Fargo'!$B:$B,"&gt;"&amp;'Cash Flow'!D$3)</f>
        <v>0</v>
      </c>
      <c r="F19" s="188">
        <f>SUMIFS('Wells Fargo'!$F:$F,'Wells Fargo'!$G:$G,'Cash Flow'!$A19,'Wells Fargo'!$A:$A,F$1,'Wells Fargo'!$B:$B,"&lt;="&amp;'Cash Flow'!F$3,'Wells Fargo'!$B:$B,"&gt;"&amp;'Cash Flow'!E$3)</f>
        <v>0</v>
      </c>
      <c r="G19" s="188">
        <f>SUMIFS('Wells Fargo'!$F:$F,'Wells Fargo'!$G:$G,'Cash Flow'!$A19,'Wells Fargo'!$A:$A,G$1,'Wells Fargo'!$B:$B,"&lt;="&amp;'Cash Flow'!G$3,'Wells Fargo'!$B:$B,"&gt;"&amp;'Cash Flow'!F$3)</f>
        <v>0</v>
      </c>
      <c r="H19" s="189">
        <f>SUMIFS('Wells Fargo'!$F:$F,'Wells Fargo'!$G:$G,'Cash Flow'!$A19,'Wells Fargo'!$A:$A,H$1,'Wells Fargo'!$B:$B,"&lt;="&amp;'Cash Flow'!H$3)</f>
        <v>0</v>
      </c>
      <c r="I19" s="188">
        <f>SUMIFS('Wells Fargo'!$F:$F,'Wells Fargo'!$G:$G,'Cash Flow'!$A19,'Wells Fargo'!$A:$A,I$1,'Wells Fargo'!$B:$B,"&lt;="&amp;'Cash Flow'!I$3,'Wells Fargo'!$B:$B,"&gt;"&amp;'Cash Flow'!H$3)</f>
        <v>0</v>
      </c>
      <c r="J19" s="188">
        <f>SUMIFS('Wells Fargo'!$F:$F,'Wells Fargo'!$G:$G,'Cash Flow'!$A19,'Wells Fargo'!$A:$A,J$1,'Wells Fargo'!$B:$B,"&lt;="&amp;'Cash Flow'!J$3,'Wells Fargo'!$B:$B,"&gt;"&amp;'Cash Flow'!I$3)</f>
        <v>0</v>
      </c>
      <c r="K19" s="188">
        <f>SUMIFS('Wells Fargo'!$F:$F,'Wells Fargo'!$G:$G,'Cash Flow'!$A19,'Wells Fargo'!$A:$A,K$1,'Wells Fargo'!$B:$B,"&lt;="&amp;'Cash Flow'!K$3,'Wells Fargo'!$B:$B,"&gt;"&amp;'Cash Flow'!J$3)</f>
        <v>0</v>
      </c>
      <c r="L19" s="189">
        <f>SUMIFS('Wells Fargo'!$F:$F,'Wells Fargo'!$G:$G,'Cash Flow'!$A19,'Wells Fargo'!$A:$A,L$1,'Wells Fargo'!$B:$B,"&lt;="&amp;'Cash Flow'!L$3)</f>
        <v>0</v>
      </c>
      <c r="M19" s="188">
        <f>SUMIFS('Wells Fargo'!$F:$F,'Wells Fargo'!$G:$G,'Cash Flow'!$A19,'Wells Fargo'!$A:$A,M$1,'Wells Fargo'!$B:$B,"&lt;="&amp;'Cash Flow'!M$3,'Wells Fargo'!$B:$B,"&gt;"&amp;'Cash Flow'!L$3)</f>
        <v>0</v>
      </c>
      <c r="N19" s="188">
        <f>SUMIFS('Wells Fargo'!$F:$F,'Wells Fargo'!$G:$G,'Cash Flow'!$A19,'Wells Fargo'!$A:$A,N$1,'Wells Fargo'!$B:$B,"&lt;="&amp;'Cash Flow'!N$3,'Wells Fargo'!$B:$B,"&gt;"&amp;'Cash Flow'!M$3)</f>
        <v>0</v>
      </c>
      <c r="O19" s="188">
        <f>SUMIFS('Wells Fargo'!$F:$F,'Wells Fargo'!$G:$G,'Cash Flow'!$A19,'Wells Fargo'!$A:$A,O$1,'Wells Fargo'!$B:$B,"&lt;="&amp;'Cash Flow'!O$3,'Wells Fargo'!$B:$B,"&gt;"&amp;'Cash Flow'!N$3)</f>
        <v>0</v>
      </c>
      <c r="P19" s="188">
        <f>SUMIFS('Wells Fargo'!$F:$F,'Wells Fargo'!$G:$G,'Cash Flow'!$A19,'Wells Fargo'!$A:$A,P$1,'Wells Fargo'!$B:$B,"&lt;="&amp;'Cash Flow'!P$3,'Wells Fargo'!$B:$B,"&gt;"&amp;'Cash Flow'!O$3)</f>
        <v>0</v>
      </c>
      <c r="Q19" s="189">
        <f>SUMIFS('Wells Fargo'!$F:$F,'Wells Fargo'!$G:$G,'Cash Flow'!$A19,'Wells Fargo'!$A:$A,Q$1,'Wells Fargo'!$B:$B,"&lt;="&amp;'Cash Flow'!Q$3)</f>
        <v>0</v>
      </c>
      <c r="R19" s="188">
        <f>SUMIFS('Wells Fargo'!$F:$F,'Wells Fargo'!$G:$G,'Cash Flow'!$A19,'Wells Fargo'!$A:$A,R$1,'Wells Fargo'!$B:$B,"&lt;="&amp;'Cash Flow'!R$3,'Wells Fargo'!$B:$B,"&gt;"&amp;'Cash Flow'!Q$3)</f>
        <v>0</v>
      </c>
      <c r="S19" s="188">
        <f>SUMIFS('Wells Fargo'!$F:$F,'Wells Fargo'!$G:$G,'Cash Flow'!$A19,'Wells Fargo'!$A:$A,S$1,'Wells Fargo'!$B:$B,"&lt;="&amp;'Cash Flow'!S$3,'Wells Fargo'!$B:$B,"&gt;"&amp;'Cash Flow'!R$3)</f>
        <v>0</v>
      </c>
      <c r="T19" s="188">
        <f>SUMIFS('Wells Fargo'!$F:$F,'Wells Fargo'!$G:$G,'Cash Flow'!$A19,'Wells Fargo'!$A:$A,T$1,'Wells Fargo'!$B:$B,"&lt;="&amp;'Cash Flow'!T$3,'Wells Fargo'!$B:$B,"&gt;"&amp;'Cash Flow'!S$3)</f>
        <v>0</v>
      </c>
      <c r="U19" s="188">
        <f>SUMIFS('Wells Fargo'!$F:$F,'Wells Fargo'!$G:$G,'Cash Flow'!$A19,'Wells Fargo'!$A:$A,U$1,'Wells Fargo'!$B:$B,"&lt;="&amp;'Cash Flow'!U$3,'Wells Fargo'!$B:$B,"&gt;"&amp;'Cash Flow'!T$3)</f>
        <v>0</v>
      </c>
      <c r="V19" s="189">
        <f>SUMIFS('Wells Fargo'!$F:$F,'Wells Fargo'!$G:$G,'Cash Flow'!$A19,'Wells Fargo'!$A:$A,V$1,'Wells Fargo'!$B:$B,"&lt;="&amp;'Cash Flow'!V$3)</f>
        <v>0</v>
      </c>
      <c r="W19" s="188">
        <f>SUMIFS('Wells Fargo'!$F:$F,'Wells Fargo'!$G:$G,'Cash Flow'!$A19,'Wells Fargo'!$A:$A,W$1,'Wells Fargo'!$B:$B,"&lt;="&amp;'Cash Flow'!W$3,'Wells Fargo'!$B:$B,"&gt;"&amp;'Cash Flow'!V$3)</f>
        <v>0</v>
      </c>
      <c r="X19" s="188">
        <f>SUMIFS('Wells Fargo'!$F:$F,'Wells Fargo'!$G:$G,'Cash Flow'!$A19,'Wells Fargo'!$A:$A,X$1,'Wells Fargo'!$B:$B,"&lt;="&amp;'Cash Flow'!X$3,'Wells Fargo'!$B:$B,"&gt;"&amp;'Cash Flow'!W$3)</f>
        <v>0</v>
      </c>
      <c r="Y19" s="188">
        <f>SUMIFS('Wells Fargo'!$F:$F,'Wells Fargo'!$G:$G,'Cash Flow'!$A19,'Wells Fargo'!$A:$A,Y$1,'Wells Fargo'!$B:$B,"&lt;="&amp;'Cash Flow'!Y$3,'Wells Fargo'!$B:$B,"&gt;"&amp;'Cash Flow'!X$3)</f>
        <v>0</v>
      </c>
      <c r="Z19" s="188">
        <f>SUMIFS('Wells Fargo'!$F:$F,'Wells Fargo'!$G:$G,'Cash Flow'!$A19,'Wells Fargo'!$A:$A,Z$1,'Wells Fargo'!$B:$B,"&lt;="&amp;'Cash Flow'!Z$3,'Wells Fargo'!$B:$B,"&gt;"&amp;'Cash Flow'!Y$3)</f>
        <v>0</v>
      </c>
      <c r="AA19" s="189">
        <f>SUMIFS('Wells Fargo'!$F:$F,'Wells Fargo'!$G:$G,'Cash Flow'!$A19,'Wells Fargo'!$A:$A,AA$1,'Wells Fargo'!$B:$B,"&lt;="&amp;'Cash Flow'!AA$3)</f>
        <v>0</v>
      </c>
      <c r="AB19" s="188">
        <f>SUMIFS('Wells Fargo'!$F:$F,'Wells Fargo'!$G:$G,'Cash Flow'!$A19,'Wells Fargo'!$A:$A,AB$1,'Wells Fargo'!$B:$B,"&lt;="&amp;'Cash Flow'!AB$3,'Wells Fargo'!$B:$B,"&gt;"&amp;'Cash Flow'!AA$3)</f>
        <v>0</v>
      </c>
      <c r="AC19" s="188">
        <f>SUMIFS('Wells Fargo'!$F:$F,'Wells Fargo'!$G:$G,'Cash Flow'!$A19,'Wells Fargo'!$A:$A,AC$1,'Wells Fargo'!$B:$B,"&lt;="&amp;'Cash Flow'!AC$3,'Wells Fargo'!$B:$B,"&gt;"&amp;'Cash Flow'!AB$3)</f>
        <v>0</v>
      </c>
      <c r="AD19" s="188">
        <f>SUMIFS('Wells Fargo'!$F:$F,'Wells Fargo'!$G:$G,'Cash Flow'!$A19,'Wells Fargo'!$A:$A,AD$1,'Wells Fargo'!$B:$B,"&lt;="&amp;'Cash Flow'!AD$3,'Wells Fargo'!$B:$B,"&gt;"&amp;'Cash Flow'!AC$3)</f>
        <v>0</v>
      </c>
      <c r="AE19" s="188">
        <f>SUMIFS('Wells Fargo'!$F:$F,'Wells Fargo'!$G:$G,'Cash Flow'!$A19,'Wells Fargo'!$A:$A,AE$1,'Wells Fargo'!$B:$B,"&lt;="&amp;'Cash Flow'!AE$3,'Wells Fargo'!$B:$B,"&gt;"&amp;'Cash Flow'!AD$3)</f>
        <v>0</v>
      </c>
      <c r="AF19" s="189">
        <f>SUMIFS('Wells Fargo'!$F:$F,'Wells Fargo'!$G:$G,'Cash Flow'!$A19,'Wells Fargo'!$A:$A,AF$1,'Wells Fargo'!$B:$B,"&lt;="&amp;'Cash Flow'!AF$3)</f>
        <v>0</v>
      </c>
      <c r="AG19" s="188">
        <f>SUMIFS('Wells Fargo'!$F:$F,'Wells Fargo'!$G:$G,'Cash Flow'!$A19,'Wells Fargo'!$A:$A,AG$1,'Wells Fargo'!$B:$B,"&lt;="&amp;'Cash Flow'!AG$3,'Wells Fargo'!$B:$B,"&gt;"&amp;'Cash Flow'!AF$3)</f>
        <v>0</v>
      </c>
      <c r="AH19" s="188">
        <f>SUMIFS('Wells Fargo'!$F:$F,'Wells Fargo'!$G:$G,'Cash Flow'!$A19,'Wells Fargo'!$A:$A,AH$1,'Wells Fargo'!$B:$B,"&lt;="&amp;'Cash Flow'!AH$3,'Wells Fargo'!$B:$B,"&gt;"&amp;'Cash Flow'!AG$3)</f>
        <v>0</v>
      </c>
      <c r="AI19" s="188">
        <f>SUMIFS('Wells Fargo'!$F:$F,'Wells Fargo'!$G:$G,'Cash Flow'!$A19,'Wells Fargo'!$A:$A,AI$1,'Wells Fargo'!$B:$B,"&lt;="&amp;'Cash Flow'!AI$3,'Wells Fargo'!$B:$B,"&gt;"&amp;'Cash Flow'!AH$3)</f>
        <v>0</v>
      </c>
      <c r="AJ19" s="188">
        <f>SUMIFS('Wells Fargo'!$F:$F,'Wells Fargo'!$G:$G,'Cash Flow'!$A19,'Wells Fargo'!$A:$A,AJ$1,'Wells Fargo'!$B:$B,"&lt;="&amp;'Cash Flow'!AJ$3,'Wells Fargo'!$B:$B,"&gt;"&amp;'Cash Flow'!AI$3)</f>
        <v>0</v>
      </c>
      <c r="AK19" s="189">
        <f>SUMIFS('Wells Fargo'!$F:$F,'Wells Fargo'!$G:$G,'Cash Flow'!$A19,'Wells Fargo'!$A:$A,AK$1,'Wells Fargo'!$B:$B,"&lt;="&amp;'Cash Flow'!AK$3)</f>
        <v>0</v>
      </c>
      <c r="AL19" s="188">
        <f>SUMIFS('Wells Fargo'!$F:$F,'Wells Fargo'!$G:$G,'Cash Flow'!$A19,'Wells Fargo'!$A:$A,AL$1,'Wells Fargo'!$B:$B,"&lt;="&amp;'Cash Flow'!AL$3,'Wells Fargo'!$B:$B,"&gt;"&amp;'Cash Flow'!AK$3)</f>
        <v>-15</v>
      </c>
      <c r="AM19" s="188">
        <f>SUMIFS('Wells Fargo'!$F:$F,'Wells Fargo'!$G:$G,'Cash Flow'!$A19,'Wells Fargo'!$A:$A,AM$1,'Wells Fargo'!$B:$B,"&lt;="&amp;'Cash Flow'!AM$3,'Wells Fargo'!$B:$B,"&gt;"&amp;'Cash Flow'!AL$3)</f>
        <v>0</v>
      </c>
      <c r="AN19" s="188">
        <f>SUMIFS('Wells Fargo'!$F:$F,'Wells Fargo'!$G:$G,'Cash Flow'!$A19,'Wells Fargo'!$A:$A,AN$1,'Wells Fargo'!$B:$B,"&lt;="&amp;'Cash Flow'!AN$3,'Wells Fargo'!$B:$B,"&gt;"&amp;'Cash Flow'!AM$3)</f>
        <v>0</v>
      </c>
      <c r="AO19" s="188">
        <f>SUMIFS('Wells Fargo'!$F:$F,'Wells Fargo'!$G:$G,'Cash Flow'!$A19,'Wells Fargo'!$A:$A,AO$1,'Wells Fargo'!$B:$B,"&lt;="&amp;'Cash Flow'!AO$3,'Wells Fargo'!$B:$B,"&gt;"&amp;'Cash Flow'!AN$3)</f>
        <v>0</v>
      </c>
      <c r="AP19" s="189">
        <f>SUMIFS('Wells Fargo'!$F:$F,'Wells Fargo'!$G:$G,'Cash Flow'!$A19,'Wells Fargo'!$A:$A,AP$1,'Wells Fargo'!$B:$B,"&lt;="&amp;'Cash Flow'!AP$3)</f>
        <v>0</v>
      </c>
      <c r="AQ19" s="188">
        <f>SUMIFS('Wells Fargo'!$F:$F,'Wells Fargo'!$G:$G,'Cash Flow'!$A19,'Wells Fargo'!$A:$A,AQ$1,'Wells Fargo'!$B:$B,"&lt;="&amp;'Cash Flow'!AQ$3,'Wells Fargo'!$B:$B,"&gt;"&amp;'Cash Flow'!AP$3)</f>
        <v>0</v>
      </c>
      <c r="AR19" s="188">
        <f>SUMIFS('Wells Fargo'!$F:$F,'Wells Fargo'!$G:$G,'Cash Flow'!$A19,'Wells Fargo'!$A:$A,AR$1,'Wells Fargo'!$B:$B,"&lt;="&amp;'Cash Flow'!AR$3,'Wells Fargo'!$B:$B,"&gt;"&amp;'Cash Flow'!AQ$3)</f>
        <v>0</v>
      </c>
      <c r="AS19" s="188">
        <f>SUMIFS('Wells Fargo'!$F:$F,'Wells Fargo'!$G:$G,'Cash Flow'!$A19,'Wells Fargo'!$A:$A,AS$1,'Wells Fargo'!$B:$B,"&lt;="&amp;'Cash Flow'!AS$3,'Wells Fargo'!$B:$B,"&gt;"&amp;'Cash Flow'!AR$3)</f>
        <v>0</v>
      </c>
      <c r="AT19" s="188">
        <f>SUMIFS('Wells Fargo'!$F:$F,'Wells Fargo'!$G:$G,'Cash Flow'!$A19,'Wells Fargo'!$A:$A,AT$1,'Wells Fargo'!$B:$B,"&lt;="&amp;'Cash Flow'!AT$3,'Wells Fargo'!$B:$B,"&gt;"&amp;'Cash Flow'!AS$3)</f>
        <v>0</v>
      </c>
      <c r="AU19" s="189">
        <f>SUMIFS('Wells Fargo'!$F:$F,'Wells Fargo'!$G:$G,'Cash Flow'!$A19,'Wells Fargo'!$A:$A,AU$1,'Wells Fargo'!$B:$B,"&lt;="&amp;'Cash Flow'!AU$3)</f>
        <v>0</v>
      </c>
      <c r="AV19" s="188">
        <f>SUMIFS('Wells Fargo'!$F:$F,'Wells Fargo'!$G:$G,'Cash Flow'!$A19,'Wells Fargo'!$A:$A,AV$1,'Wells Fargo'!$B:$B,"&lt;="&amp;'Cash Flow'!AV$3,'Wells Fargo'!$B:$B,"&gt;"&amp;'Cash Flow'!AU$3)</f>
        <v>0</v>
      </c>
      <c r="AW19" s="188">
        <f>SUMIFS('Wells Fargo'!$F:$F,'Wells Fargo'!$G:$G,'Cash Flow'!$A19,'Wells Fargo'!$A:$A,AW$1,'Wells Fargo'!$B:$B,"&lt;="&amp;'Cash Flow'!AW$3,'Wells Fargo'!$B:$B,"&gt;"&amp;'Cash Flow'!AV$3)</f>
        <v>0</v>
      </c>
      <c r="AX19" s="188">
        <f>SUMIFS('Wells Fargo'!$F:$F,'Wells Fargo'!$G:$G,'Cash Flow'!$A19,'Wells Fargo'!$A:$A,AX$1,'Wells Fargo'!$B:$B,"&lt;="&amp;'Cash Flow'!AX$3,'Wells Fargo'!$B:$B,"&gt;"&amp;'Cash Flow'!AW$3)</f>
        <v>0</v>
      </c>
      <c r="AY19" s="188">
        <f>SUMIFS('Wells Fargo'!$F:$F,'Wells Fargo'!$G:$G,'Cash Flow'!$A19,'Wells Fargo'!$A:$A,AY$1,'Wells Fargo'!$B:$B,"&lt;="&amp;'Cash Flow'!AY$3,'Wells Fargo'!$B:$B,"&gt;"&amp;'Cash Flow'!AX$3)</f>
        <v>0</v>
      </c>
      <c r="AZ19" s="189">
        <f>SUMIFS('Wells Fargo'!$F:$F,'Wells Fargo'!$G:$G,'Cash Flow'!$A19,'Wells Fargo'!$A:$A,AZ$1,'Wells Fargo'!$B:$B,"&lt;="&amp;'Cash Flow'!AZ$3)</f>
        <v>0</v>
      </c>
      <c r="BA19" s="188">
        <f>SUMIFS('Wells Fargo'!$F:$F,'Wells Fargo'!$G:$G,'Cash Flow'!$A19,'Wells Fargo'!$A:$A,BA$1,'Wells Fargo'!$B:$B,"&lt;="&amp;'Cash Flow'!BA$3,'Wells Fargo'!$B:$B,"&gt;"&amp;'Cash Flow'!AZ$3)</f>
        <v>0</v>
      </c>
      <c r="BB19" s="188">
        <f>SUMIFS('Wells Fargo'!$F:$F,'Wells Fargo'!$G:$G,'Cash Flow'!$A19,'Wells Fargo'!$A:$A,BB$1,'Wells Fargo'!$B:$B,"&lt;="&amp;'Cash Flow'!BB$3,'Wells Fargo'!$B:$B,"&gt;"&amp;'Cash Flow'!BA$3)</f>
        <v>0</v>
      </c>
      <c r="BC19" s="188">
        <f>SUMIFS('Wells Fargo'!$F:$F,'Wells Fargo'!$G:$G,'Cash Flow'!$A19,'Wells Fargo'!$A:$A,BC$1,'Wells Fargo'!$B:$B,"&lt;="&amp;'Cash Flow'!BC$3,'Wells Fargo'!$B:$B,"&gt;"&amp;'Cash Flow'!BB$3)</f>
        <v>0</v>
      </c>
      <c r="BD19" s="188">
        <f>SUMIFS('Wells Fargo'!$F:$F,'Wells Fargo'!$G:$G,'Cash Flow'!$A19,'Wells Fargo'!$A:$A,BD$1,'Wells Fargo'!$B:$B,"&lt;="&amp;'Cash Flow'!BD$3,'Wells Fargo'!$B:$B,"&gt;"&amp;'Cash Flow'!BC$3)</f>
        <v>0</v>
      </c>
      <c r="BE19" s="189">
        <f>SUMIFS('Wells Fargo'!$F:$F,'Wells Fargo'!$G:$G,'Cash Flow'!$A19,'Wells Fargo'!$A:$A,BE$1,'Wells Fargo'!$B:$B,"&lt;="&amp;'Cash Flow'!BE$3)</f>
        <v>0</v>
      </c>
      <c r="BF19" s="188">
        <f>SUMIFS('Wells Fargo'!$F:$F,'Wells Fargo'!$G:$G,'Cash Flow'!$A19,'Wells Fargo'!$A:$A,BF$1,'Wells Fargo'!$B:$B,"&lt;="&amp;'Cash Flow'!BF$3,'Wells Fargo'!$B:$B,"&gt;"&amp;'Cash Flow'!BE$3)</f>
        <v>0</v>
      </c>
      <c r="BG19" s="188">
        <f>SUMIFS('Wells Fargo'!$F:$F,'Wells Fargo'!$G:$G,'Cash Flow'!$A19,'Wells Fargo'!$A:$A,BG$1,'Wells Fargo'!$B:$B,"&lt;="&amp;'Cash Flow'!BG$3,'Wells Fargo'!$B:$B,"&gt;"&amp;'Cash Flow'!BF$3)</f>
        <v>0</v>
      </c>
      <c r="BH19" s="188">
        <f>SUMIFS('Wells Fargo'!$F:$F,'Wells Fargo'!$G:$G,'Cash Flow'!$A19,'Wells Fargo'!$A:$A,BH$1,'Wells Fargo'!$B:$B,"&lt;="&amp;'Cash Flow'!BH$3,'Wells Fargo'!$B:$B,"&gt;"&amp;'Cash Flow'!BG$3)</f>
        <v>0</v>
      </c>
      <c r="BI19" s="188">
        <f>SUMIFS('Wells Fargo'!$F:$F,'Wells Fargo'!$G:$G,'Cash Flow'!$A19,'Wells Fargo'!$A:$A,BI$1,'Wells Fargo'!$B:$B,"&lt;="&amp;'Cash Flow'!BI$3,'Wells Fargo'!$B:$B,"&gt;"&amp;'Cash Flow'!BH$3)</f>
        <v>0</v>
      </c>
    </row>
    <row r="20" spans="1:61" ht="12.75" x14ac:dyDescent="0.2">
      <c r="A20" t="str">
        <v>Danny</v>
      </c>
      <c r="B20" s="87">
        <f t="shared" si="0"/>
        <v>-20</v>
      </c>
      <c r="C20" s="189">
        <f>SUMIFS('Wells Fargo'!$F:$F,'Wells Fargo'!$G:$G,'Cash Flow'!$A20,'Wells Fargo'!$A:$A,C$1,'Wells Fargo'!$B:$B,"&lt;="&amp;'Cash Flow'!C$3)</f>
        <v>0</v>
      </c>
      <c r="D20" s="188">
        <f>SUMIFS('Wells Fargo'!$F:$F,'Wells Fargo'!$G:$G,'Cash Flow'!$A20,'Wells Fargo'!$A:$A,D$1,'Wells Fargo'!$B:$B,"&lt;="&amp;'Cash Flow'!D$3,'Wells Fargo'!$B:$B,"&gt;"&amp;'Cash Flow'!C$3)</f>
        <v>0</v>
      </c>
      <c r="E20" s="188">
        <f>SUMIFS('Wells Fargo'!$F:$F,'Wells Fargo'!$G:$G,'Cash Flow'!$A20,'Wells Fargo'!$A:$A,E$1,'Wells Fargo'!$B:$B,"&lt;="&amp;'Cash Flow'!E$3,'Wells Fargo'!$B:$B,"&gt;"&amp;'Cash Flow'!D$3)</f>
        <v>0</v>
      </c>
      <c r="F20" s="188">
        <f>SUMIFS('Wells Fargo'!$F:$F,'Wells Fargo'!$G:$G,'Cash Flow'!$A20,'Wells Fargo'!$A:$A,F$1,'Wells Fargo'!$B:$B,"&lt;="&amp;'Cash Flow'!F$3,'Wells Fargo'!$B:$B,"&gt;"&amp;'Cash Flow'!E$3)</f>
        <v>0</v>
      </c>
      <c r="G20" s="188">
        <f>SUMIFS('Wells Fargo'!$F:$F,'Wells Fargo'!$G:$G,'Cash Flow'!$A20,'Wells Fargo'!$A:$A,G$1,'Wells Fargo'!$B:$B,"&lt;="&amp;'Cash Flow'!G$3,'Wells Fargo'!$B:$B,"&gt;"&amp;'Cash Flow'!F$3)</f>
        <v>0</v>
      </c>
      <c r="H20" s="189">
        <f>SUMIFS('Wells Fargo'!$F:$F,'Wells Fargo'!$G:$G,'Cash Flow'!$A20,'Wells Fargo'!$A:$A,H$1,'Wells Fargo'!$B:$B,"&lt;="&amp;'Cash Flow'!H$3)</f>
        <v>0</v>
      </c>
      <c r="I20" s="188">
        <f>SUMIFS('Wells Fargo'!$F:$F,'Wells Fargo'!$G:$G,'Cash Flow'!$A20,'Wells Fargo'!$A:$A,I$1,'Wells Fargo'!$B:$B,"&lt;="&amp;'Cash Flow'!I$3,'Wells Fargo'!$B:$B,"&gt;"&amp;'Cash Flow'!H$3)</f>
        <v>0</v>
      </c>
      <c r="J20" s="188">
        <f>SUMIFS('Wells Fargo'!$F:$F,'Wells Fargo'!$G:$G,'Cash Flow'!$A20,'Wells Fargo'!$A:$A,J$1,'Wells Fargo'!$B:$B,"&lt;="&amp;'Cash Flow'!J$3,'Wells Fargo'!$B:$B,"&gt;"&amp;'Cash Flow'!I$3)</f>
        <v>0</v>
      </c>
      <c r="K20" s="188">
        <f>SUMIFS('Wells Fargo'!$F:$F,'Wells Fargo'!$G:$G,'Cash Flow'!$A20,'Wells Fargo'!$A:$A,K$1,'Wells Fargo'!$B:$B,"&lt;="&amp;'Cash Flow'!K$3,'Wells Fargo'!$B:$B,"&gt;"&amp;'Cash Flow'!J$3)</f>
        <v>0</v>
      </c>
      <c r="L20" s="189">
        <f>SUMIFS('Wells Fargo'!$F:$F,'Wells Fargo'!$G:$G,'Cash Flow'!$A20,'Wells Fargo'!$A:$A,L$1,'Wells Fargo'!$B:$B,"&lt;="&amp;'Cash Flow'!L$3)</f>
        <v>0</v>
      </c>
      <c r="M20" s="188">
        <f>SUMIFS('Wells Fargo'!$F:$F,'Wells Fargo'!$G:$G,'Cash Flow'!$A20,'Wells Fargo'!$A:$A,M$1,'Wells Fargo'!$B:$B,"&lt;="&amp;'Cash Flow'!M$3,'Wells Fargo'!$B:$B,"&gt;"&amp;'Cash Flow'!L$3)</f>
        <v>0</v>
      </c>
      <c r="N20" s="188">
        <f>SUMIFS('Wells Fargo'!$F:$F,'Wells Fargo'!$G:$G,'Cash Flow'!$A20,'Wells Fargo'!$A:$A,N$1,'Wells Fargo'!$B:$B,"&lt;="&amp;'Cash Flow'!N$3,'Wells Fargo'!$B:$B,"&gt;"&amp;'Cash Flow'!M$3)</f>
        <v>0</v>
      </c>
      <c r="O20" s="188">
        <f>SUMIFS('Wells Fargo'!$F:$F,'Wells Fargo'!$G:$G,'Cash Flow'!$A20,'Wells Fargo'!$A:$A,O$1,'Wells Fargo'!$B:$B,"&lt;="&amp;'Cash Flow'!O$3,'Wells Fargo'!$B:$B,"&gt;"&amp;'Cash Flow'!N$3)</f>
        <v>0</v>
      </c>
      <c r="P20" s="188">
        <f>SUMIFS('Wells Fargo'!$F:$F,'Wells Fargo'!$G:$G,'Cash Flow'!$A20,'Wells Fargo'!$A:$A,P$1,'Wells Fargo'!$B:$B,"&lt;="&amp;'Cash Flow'!P$3,'Wells Fargo'!$B:$B,"&gt;"&amp;'Cash Flow'!O$3)</f>
        <v>-20</v>
      </c>
      <c r="Q20" s="189">
        <f>SUMIFS('Wells Fargo'!$F:$F,'Wells Fargo'!$G:$G,'Cash Flow'!$A20,'Wells Fargo'!$A:$A,Q$1,'Wells Fargo'!$B:$B,"&lt;="&amp;'Cash Flow'!Q$3)</f>
        <v>0</v>
      </c>
      <c r="R20" s="188">
        <f>SUMIFS('Wells Fargo'!$F:$F,'Wells Fargo'!$G:$G,'Cash Flow'!$A20,'Wells Fargo'!$A:$A,R$1,'Wells Fargo'!$B:$B,"&lt;="&amp;'Cash Flow'!R$3,'Wells Fargo'!$B:$B,"&gt;"&amp;'Cash Flow'!Q$3)</f>
        <v>0</v>
      </c>
      <c r="S20" s="188">
        <f>SUMIFS('Wells Fargo'!$F:$F,'Wells Fargo'!$G:$G,'Cash Flow'!$A20,'Wells Fargo'!$A:$A,S$1,'Wells Fargo'!$B:$B,"&lt;="&amp;'Cash Flow'!S$3,'Wells Fargo'!$B:$B,"&gt;"&amp;'Cash Flow'!R$3)</f>
        <v>0</v>
      </c>
      <c r="T20" s="188">
        <f>SUMIFS('Wells Fargo'!$F:$F,'Wells Fargo'!$G:$G,'Cash Flow'!$A20,'Wells Fargo'!$A:$A,T$1,'Wells Fargo'!$B:$B,"&lt;="&amp;'Cash Flow'!T$3,'Wells Fargo'!$B:$B,"&gt;"&amp;'Cash Flow'!S$3)</f>
        <v>0</v>
      </c>
      <c r="U20" s="188">
        <f>SUMIFS('Wells Fargo'!$F:$F,'Wells Fargo'!$G:$G,'Cash Flow'!$A20,'Wells Fargo'!$A:$A,U$1,'Wells Fargo'!$B:$B,"&lt;="&amp;'Cash Flow'!U$3,'Wells Fargo'!$B:$B,"&gt;"&amp;'Cash Flow'!T$3)</f>
        <v>0</v>
      </c>
      <c r="V20" s="189">
        <f>SUMIFS('Wells Fargo'!$F:$F,'Wells Fargo'!$G:$G,'Cash Flow'!$A20,'Wells Fargo'!$A:$A,V$1,'Wells Fargo'!$B:$B,"&lt;="&amp;'Cash Flow'!V$3)</f>
        <v>0</v>
      </c>
      <c r="W20" s="188">
        <f>SUMIFS('Wells Fargo'!$F:$F,'Wells Fargo'!$G:$G,'Cash Flow'!$A20,'Wells Fargo'!$A:$A,W$1,'Wells Fargo'!$B:$B,"&lt;="&amp;'Cash Flow'!W$3,'Wells Fargo'!$B:$B,"&gt;"&amp;'Cash Flow'!V$3)</f>
        <v>0</v>
      </c>
      <c r="X20" s="188">
        <f>SUMIFS('Wells Fargo'!$F:$F,'Wells Fargo'!$G:$G,'Cash Flow'!$A20,'Wells Fargo'!$A:$A,X$1,'Wells Fargo'!$B:$B,"&lt;="&amp;'Cash Flow'!X$3,'Wells Fargo'!$B:$B,"&gt;"&amp;'Cash Flow'!W$3)</f>
        <v>0</v>
      </c>
      <c r="Y20" s="188">
        <f>SUMIFS('Wells Fargo'!$F:$F,'Wells Fargo'!$G:$G,'Cash Flow'!$A20,'Wells Fargo'!$A:$A,Y$1,'Wells Fargo'!$B:$B,"&lt;="&amp;'Cash Flow'!Y$3,'Wells Fargo'!$B:$B,"&gt;"&amp;'Cash Flow'!X$3)</f>
        <v>0</v>
      </c>
      <c r="Z20" s="188">
        <f>SUMIFS('Wells Fargo'!$F:$F,'Wells Fargo'!$G:$G,'Cash Flow'!$A20,'Wells Fargo'!$A:$A,Z$1,'Wells Fargo'!$B:$B,"&lt;="&amp;'Cash Flow'!Z$3,'Wells Fargo'!$B:$B,"&gt;"&amp;'Cash Flow'!Y$3)</f>
        <v>0</v>
      </c>
      <c r="AA20" s="189">
        <f>SUMIFS('Wells Fargo'!$F:$F,'Wells Fargo'!$G:$G,'Cash Flow'!$A20,'Wells Fargo'!$A:$A,AA$1,'Wells Fargo'!$B:$B,"&lt;="&amp;'Cash Flow'!AA$3)</f>
        <v>0</v>
      </c>
      <c r="AB20" s="188">
        <f>SUMIFS('Wells Fargo'!$F:$F,'Wells Fargo'!$G:$G,'Cash Flow'!$A20,'Wells Fargo'!$A:$A,AB$1,'Wells Fargo'!$B:$B,"&lt;="&amp;'Cash Flow'!AB$3,'Wells Fargo'!$B:$B,"&gt;"&amp;'Cash Flow'!AA$3)</f>
        <v>0</v>
      </c>
      <c r="AC20" s="188">
        <f>SUMIFS('Wells Fargo'!$F:$F,'Wells Fargo'!$G:$G,'Cash Flow'!$A20,'Wells Fargo'!$A:$A,AC$1,'Wells Fargo'!$B:$B,"&lt;="&amp;'Cash Flow'!AC$3,'Wells Fargo'!$B:$B,"&gt;"&amp;'Cash Flow'!AB$3)</f>
        <v>0</v>
      </c>
      <c r="AD20" s="188">
        <f>SUMIFS('Wells Fargo'!$F:$F,'Wells Fargo'!$G:$G,'Cash Flow'!$A20,'Wells Fargo'!$A:$A,AD$1,'Wells Fargo'!$B:$B,"&lt;="&amp;'Cash Flow'!AD$3,'Wells Fargo'!$B:$B,"&gt;"&amp;'Cash Flow'!AC$3)</f>
        <v>0</v>
      </c>
      <c r="AE20" s="188">
        <f>SUMIFS('Wells Fargo'!$F:$F,'Wells Fargo'!$G:$G,'Cash Flow'!$A20,'Wells Fargo'!$A:$A,AE$1,'Wells Fargo'!$B:$B,"&lt;="&amp;'Cash Flow'!AE$3,'Wells Fargo'!$B:$B,"&gt;"&amp;'Cash Flow'!AD$3)</f>
        <v>0</v>
      </c>
      <c r="AF20" s="189">
        <f>SUMIFS('Wells Fargo'!$F:$F,'Wells Fargo'!$G:$G,'Cash Flow'!$A20,'Wells Fargo'!$A:$A,AF$1,'Wells Fargo'!$B:$B,"&lt;="&amp;'Cash Flow'!AF$3)</f>
        <v>0</v>
      </c>
      <c r="AG20" s="188">
        <f>SUMIFS('Wells Fargo'!$F:$F,'Wells Fargo'!$G:$G,'Cash Flow'!$A20,'Wells Fargo'!$A:$A,AG$1,'Wells Fargo'!$B:$B,"&lt;="&amp;'Cash Flow'!AG$3,'Wells Fargo'!$B:$B,"&gt;"&amp;'Cash Flow'!AF$3)</f>
        <v>0</v>
      </c>
      <c r="AH20" s="188">
        <f>SUMIFS('Wells Fargo'!$F:$F,'Wells Fargo'!$G:$G,'Cash Flow'!$A20,'Wells Fargo'!$A:$A,AH$1,'Wells Fargo'!$B:$B,"&lt;="&amp;'Cash Flow'!AH$3,'Wells Fargo'!$B:$B,"&gt;"&amp;'Cash Flow'!AG$3)</f>
        <v>0</v>
      </c>
      <c r="AI20" s="188">
        <f>SUMIFS('Wells Fargo'!$F:$F,'Wells Fargo'!$G:$G,'Cash Flow'!$A20,'Wells Fargo'!$A:$A,AI$1,'Wells Fargo'!$B:$B,"&lt;="&amp;'Cash Flow'!AI$3,'Wells Fargo'!$B:$B,"&gt;"&amp;'Cash Flow'!AH$3)</f>
        <v>0</v>
      </c>
      <c r="AJ20" s="188">
        <f>SUMIFS('Wells Fargo'!$F:$F,'Wells Fargo'!$G:$G,'Cash Flow'!$A20,'Wells Fargo'!$A:$A,AJ$1,'Wells Fargo'!$B:$B,"&lt;="&amp;'Cash Flow'!AJ$3,'Wells Fargo'!$B:$B,"&gt;"&amp;'Cash Flow'!AI$3)</f>
        <v>0</v>
      </c>
      <c r="AK20" s="189">
        <f>SUMIFS('Wells Fargo'!$F:$F,'Wells Fargo'!$G:$G,'Cash Flow'!$A20,'Wells Fargo'!$A:$A,AK$1,'Wells Fargo'!$B:$B,"&lt;="&amp;'Cash Flow'!AK$3)</f>
        <v>0</v>
      </c>
      <c r="AL20" s="188">
        <f>SUMIFS('Wells Fargo'!$F:$F,'Wells Fargo'!$G:$G,'Cash Flow'!$A20,'Wells Fargo'!$A:$A,AL$1,'Wells Fargo'!$B:$B,"&lt;="&amp;'Cash Flow'!AL$3,'Wells Fargo'!$B:$B,"&gt;"&amp;'Cash Flow'!AK$3)</f>
        <v>0</v>
      </c>
      <c r="AM20" s="188">
        <f>SUMIFS('Wells Fargo'!$F:$F,'Wells Fargo'!$G:$G,'Cash Flow'!$A20,'Wells Fargo'!$A:$A,AM$1,'Wells Fargo'!$B:$B,"&lt;="&amp;'Cash Flow'!AM$3,'Wells Fargo'!$B:$B,"&gt;"&amp;'Cash Flow'!AL$3)</f>
        <v>0</v>
      </c>
      <c r="AN20" s="188">
        <f>SUMIFS('Wells Fargo'!$F:$F,'Wells Fargo'!$G:$G,'Cash Flow'!$A20,'Wells Fargo'!$A:$A,AN$1,'Wells Fargo'!$B:$B,"&lt;="&amp;'Cash Flow'!AN$3,'Wells Fargo'!$B:$B,"&gt;"&amp;'Cash Flow'!AM$3)</f>
        <v>0</v>
      </c>
      <c r="AO20" s="188">
        <f>SUMIFS('Wells Fargo'!$F:$F,'Wells Fargo'!$G:$G,'Cash Flow'!$A20,'Wells Fargo'!$A:$A,AO$1,'Wells Fargo'!$B:$B,"&lt;="&amp;'Cash Flow'!AO$3,'Wells Fargo'!$B:$B,"&gt;"&amp;'Cash Flow'!AN$3)</f>
        <v>0</v>
      </c>
      <c r="AP20" s="189">
        <f>SUMIFS('Wells Fargo'!$F:$F,'Wells Fargo'!$G:$G,'Cash Flow'!$A20,'Wells Fargo'!$A:$A,AP$1,'Wells Fargo'!$B:$B,"&lt;="&amp;'Cash Flow'!AP$3)</f>
        <v>0</v>
      </c>
      <c r="AQ20" s="188">
        <f>SUMIFS('Wells Fargo'!$F:$F,'Wells Fargo'!$G:$G,'Cash Flow'!$A20,'Wells Fargo'!$A:$A,AQ$1,'Wells Fargo'!$B:$B,"&lt;="&amp;'Cash Flow'!AQ$3,'Wells Fargo'!$B:$B,"&gt;"&amp;'Cash Flow'!AP$3)</f>
        <v>0</v>
      </c>
      <c r="AR20" s="188">
        <f>SUMIFS('Wells Fargo'!$F:$F,'Wells Fargo'!$G:$G,'Cash Flow'!$A20,'Wells Fargo'!$A:$A,AR$1,'Wells Fargo'!$B:$B,"&lt;="&amp;'Cash Flow'!AR$3,'Wells Fargo'!$B:$B,"&gt;"&amp;'Cash Flow'!AQ$3)</f>
        <v>0</v>
      </c>
      <c r="AS20" s="188">
        <f>SUMIFS('Wells Fargo'!$F:$F,'Wells Fargo'!$G:$G,'Cash Flow'!$A20,'Wells Fargo'!$A:$A,AS$1,'Wells Fargo'!$B:$B,"&lt;="&amp;'Cash Flow'!AS$3,'Wells Fargo'!$B:$B,"&gt;"&amp;'Cash Flow'!AR$3)</f>
        <v>0</v>
      </c>
      <c r="AT20" s="188">
        <f>SUMIFS('Wells Fargo'!$F:$F,'Wells Fargo'!$G:$G,'Cash Flow'!$A20,'Wells Fargo'!$A:$A,AT$1,'Wells Fargo'!$B:$B,"&lt;="&amp;'Cash Flow'!AT$3,'Wells Fargo'!$B:$B,"&gt;"&amp;'Cash Flow'!AS$3)</f>
        <v>0</v>
      </c>
      <c r="AU20" s="189">
        <f>SUMIFS('Wells Fargo'!$F:$F,'Wells Fargo'!$G:$G,'Cash Flow'!$A20,'Wells Fargo'!$A:$A,AU$1,'Wells Fargo'!$B:$B,"&lt;="&amp;'Cash Flow'!AU$3)</f>
        <v>0</v>
      </c>
      <c r="AV20" s="188">
        <f>SUMIFS('Wells Fargo'!$F:$F,'Wells Fargo'!$G:$G,'Cash Flow'!$A20,'Wells Fargo'!$A:$A,AV$1,'Wells Fargo'!$B:$B,"&lt;="&amp;'Cash Flow'!AV$3,'Wells Fargo'!$B:$B,"&gt;"&amp;'Cash Flow'!AU$3)</f>
        <v>0</v>
      </c>
      <c r="AW20" s="188">
        <f>SUMIFS('Wells Fargo'!$F:$F,'Wells Fargo'!$G:$G,'Cash Flow'!$A20,'Wells Fargo'!$A:$A,AW$1,'Wells Fargo'!$B:$B,"&lt;="&amp;'Cash Flow'!AW$3,'Wells Fargo'!$B:$B,"&gt;"&amp;'Cash Flow'!AV$3)</f>
        <v>0</v>
      </c>
      <c r="AX20" s="188">
        <f>SUMIFS('Wells Fargo'!$F:$F,'Wells Fargo'!$G:$G,'Cash Flow'!$A20,'Wells Fargo'!$A:$A,AX$1,'Wells Fargo'!$B:$B,"&lt;="&amp;'Cash Flow'!AX$3,'Wells Fargo'!$B:$B,"&gt;"&amp;'Cash Flow'!AW$3)</f>
        <v>0</v>
      </c>
      <c r="AY20" s="188">
        <f>SUMIFS('Wells Fargo'!$F:$F,'Wells Fargo'!$G:$G,'Cash Flow'!$A20,'Wells Fargo'!$A:$A,AY$1,'Wells Fargo'!$B:$B,"&lt;="&amp;'Cash Flow'!AY$3,'Wells Fargo'!$B:$B,"&gt;"&amp;'Cash Flow'!AX$3)</f>
        <v>0</v>
      </c>
      <c r="AZ20" s="189">
        <f>SUMIFS('Wells Fargo'!$F:$F,'Wells Fargo'!$G:$G,'Cash Flow'!$A20,'Wells Fargo'!$A:$A,AZ$1,'Wells Fargo'!$B:$B,"&lt;="&amp;'Cash Flow'!AZ$3)</f>
        <v>0</v>
      </c>
      <c r="BA20" s="188">
        <f>SUMIFS('Wells Fargo'!$F:$F,'Wells Fargo'!$G:$G,'Cash Flow'!$A20,'Wells Fargo'!$A:$A,BA$1,'Wells Fargo'!$B:$B,"&lt;="&amp;'Cash Flow'!BA$3,'Wells Fargo'!$B:$B,"&gt;"&amp;'Cash Flow'!AZ$3)</f>
        <v>0</v>
      </c>
      <c r="BB20" s="188">
        <f>SUMIFS('Wells Fargo'!$F:$F,'Wells Fargo'!$G:$G,'Cash Flow'!$A20,'Wells Fargo'!$A:$A,BB$1,'Wells Fargo'!$B:$B,"&lt;="&amp;'Cash Flow'!BB$3,'Wells Fargo'!$B:$B,"&gt;"&amp;'Cash Flow'!BA$3)</f>
        <v>0</v>
      </c>
      <c r="BC20" s="188">
        <f>SUMIFS('Wells Fargo'!$F:$F,'Wells Fargo'!$G:$G,'Cash Flow'!$A20,'Wells Fargo'!$A:$A,BC$1,'Wells Fargo'!$B:$B,"&lt;="&amp;'Cash Flow'!BC$3,'Wells Fargo'!$B:$B,"&gt;"&amp;'Cash Flow'!BB$3)</f>
        <v>0</v>
      </c>
      <c r="BD20" s="188">
        <f>SUMIFS('Wells Fargo'!$F:$F,'Wells Fargo'!$G:$G,'Cash Flow'!$A20,'Wells Fargo'!$A:$A,BD$1,'Wells Fargo'!$B:$B,"&lt;="&amp;'Cash Flow'!BD$3,'Wells Fargo'!$B:$B,"&gt;"&amp;'Cash Flow'!BC$3)</f>
        <v>0</v>
      </c>
      <c r="BE20" s="189">
        <f>SUMIFS('Wells Fargo'!$F:$F,'Wells Fargo'!$G:$G,'Cash Flow'!$A20,'Wells Fargo'!$A:$A,BE$1,'Wells Fargo'!$B:$B,"&lt;="&amp;'Cash Flow'!BE$3)</f>
        <v>0</v>
      </c>
      <c r="BF20" s="188">
        <f>SUMIFS('Wells Fargo'!$F:$F,'Wells Fargo'!$G:$G,'Cash Flow'!$A20,'Wells Fargo'!$A:$A,BF$1,'Wells Fargo'!$B:$B,"&lt;="&amp;'Cash Flow'!BF$3,'Wells Fargo'!$B:$B,"&gt;"&amp;'Cash Flow'!BE$3)</f>
        <v>0</v>
      </c>
      <c r="BG20" s="188">
        <f>SUMIFS('Wells Fargo'!$F:$F,'Wells Fargo'!$G:$G,'Cash Flow'!$A20,'Wells Fargo'!$A:$A,BG$1,'Wells Fargo'!$B:$B,"&lt;="&amp;'Cash Flow'!BG$3,'Wells Fargo'!$B:$B,"&gt;"&amp;'Cash Flow'!BF$3)</f>
        <v>0</v>
      </c>
      <c r="BH20" s="188">
        <f>SUMIFS('Wells Fargo'!$F:$F,'Wells Fargo'!$G:$G,'Cash Flow'!$A20,'Wells Fargo'!$A:$A,BH$1,'Wells Fargo'!$B:$B,"&lt;="&amp;'Cash Flow'!BH$3,'Wells Fargo'!$B:$B,"&gt;"&amp;'Cash Flow'!BG$3)</f>
        <v>0</v>
      </c>
      <c r="BI20" s="188">
        <f>SUMIFS('Wells Fargo'!$F:$F,'Wells Fargo'!$G:$G,'Cash Flow'!$A20,'Wells Fargo'!$A:$A,BI$1,'Wells Fargo'!$B:$B,"&lt;="&amp;'Cash Flow'!BI$3,'Wells Fargo'!$B:$B,"&gt;"&amp;'Cash Flow'!BH$3)</f>
        <v>0</v>
      </c>
    </row>
    <row r="21" spans="1:61" ht="12.75" x14ac:dyDescent="0.2">
      <c r="A21" t="str">
        <v>Divita</v>
      </c>
      <c r="B21" s="87">
        <f t="shared" si="0"/>
        <v>-50</v>
      </c>
      <c r="C21" s="189">
        <f>SUMIFS('Wells Fargo'!$F:$F,'Wells Fargo'!$G:$G,'Cash Flow'!$A21,'Wells Fargo'!$A:$A,C$1,'Wells Fargo'!$B:$B,"&lt;="&amp;'Cash Flow'!C$3)</f>
        <v>0</v>
      </c>
      <c r="D21" s="188">
        <f>SUMIFS('Wells Fargo'!$F:$F,'Wells Fargo'!$G:$G,'Cash Flow'!$A21,'Wells Fargo'!$A:$A,D$1,'Wells Fargo'!$B:$B,"&lt;="&amp;'Cash Flow'!D$3,'Wells Fargo'!$B:$B,"&gt;"&amp;'Cash Flow'!C$3)</f>
        <v>0</v>
      </c>
      <c r="E21" s="188">
        <f>SUMIFS('Wells Fargo'!$F:$F,'Wells Fargo'!$G:$G,'Cash Flow'!$A21,'Wells Fargo'!$A:$A,E$1,'Wells Fargo'!$B:$B,"&lt;="&amp;'Cash Flow'!E$3,'Wells Fargo'!$B:$B,"&gt;"&amp;'Cash Flow'!D$3)</f>
        <v>0</v>
      </c>
      <c r="F21" s="188">
        <f>SUMIFS('Wells Fargo'!$F:$F,'Wells Fargo'!$G:$G,'Cash Flow'!$A21,'Wells Fargo'!$A:$A,F$1,'Wells Fargo'!$B:$B,"&lt;="&amp;'Cash Flow'!F$3,'Wells Fargo'!$B:$B,"&gt;"&amp;'Cash Flow'!E$3)</f>
        <v>0</v>
      </c>
      <c r="G21" s="188">
        <f>SUMIFS('Wells Fargo'!$F:$F,'Wells Fargo'!$G:$G,'Cash Flow'!$A21,'Wells Fargo'!$A:$A,G$1,'Wells Fargo'!$B:$B,"&lt;="&amp;'Cash Flow'!G$3,'Wells Fargo'!$B:$B,"&gt;"&amp;'Cash Flow'!F$3)</f>
        <v>0</v>
      </c>
      <c r="H21" s="189">
        <f>SUMIFS('Wells Fargo'!$F:$F,'Wells Fargo'!$G:$G,'Cash Flow'!$A21,'Wells Fargo'!$A:$A,H$1,'Wells Fargo'!$B:$B,"&lt;="&amp;'Cash Flow'!H$3)</f>
        <v>0</v>
      </c>
      <c r="I21" s="188">
        <f>SUMIFS('Wells Fargo'!$F:$F,'Wells Fargo'!$G:$G,'Cash Flow'!$A21,'Wells Fargo'!$A:$A,I$1,'Wells Fargo'!$B:$B,"&lt;="&amp;'Cash Flow'!I$3,'Wells Fargo'!$B:$B,"&gt;"&amp;'Cash Flow'!H$3)</f>
        <v>0</v>
      </c>
      <c r="J21" s="188">
        <f>SUMIFS('Wells Fargo'!$F:$F,'Wells Fargo'!$G:$G,'Cash Flow'!$A21,'Wells Fargo'!$A:$A,J$1,'Wells Fargo'!$B:$B,"&lt;="&amp;'Cash Flow'!J$3,'Wells Fargo'!$B:$B,"&gt;"&amp;'Cash Flow'!I$3)</f>
        <v>0</v>
      </c>
      <c r="K21" s="188">
        <f>SUMIFS('Wells Fargo'!$F:$F,'Wells Fargo'!$G:$G,'Cash Flow'!$A21,'Wells Fargo'!$A:$A,K$1,'Wells Fargo'!$B:$B,"&lt;="&amp;'Cash Flow'!K$3,'Wells Fargo'!$B:$B,"&gt;"&amp;'Cash Flow'!J$3)</f>
        <v>0</v>
      </c>
      <c r="L21" s="189">
        <f>SUMIFS('Wells Fargo'!$F:$F,'Wells Fargo'!$G:$G,'Cash Flow'!$A21,'Wells Fargo'!$A:$A,L$1,'Wells Fargo'!$B:$B,"&lt;="&amp;'Cash Flow'!L$3)</f>
        <v>0</v>
      </c>
      <c r="M21" s="188">
        <f>SUMIFS('Wells Fargo'!$F:$F,'Wells Fargo'!$G:$G,'Cash Flow'!$A21,'Wells Fargo'!$A:$A,M$1,'Wells Fargo'!$B:$B,"&lt;="&amp;'Cash Flow'!M$3,'Wells Fargo'!$B:$B,"&gt;"&amp;'Cash Flow'!L$3)</f>
        <v>0</v>
      </c>
      <c r="N21" s="188">
        <f>SUMIFS('Wells Fargo'!$F:$F,'Wells Fargo'!$G:$G,'Cash Flow'!$A21,'Wells Fargo'!$A:$A,N$1,'Wells Fargo'!$B:$B,"&lt;="&amp;'Cash Flow'!N$3,'Wells Fargo'!$B:$B,"&gt;"&amp;'Cash Flow'!M$3)</f>
        <v>0</v>
      </c>
      <c r="O21" s="188">
        <f>SUMIFS('Wells Fargo'!$F:$F,'Wells Fargo'!$G:$G,'Cash Flow'!$A21,'Wells Fargo'!$A:$A,O$1,'Wells Fargo'!$B:$B,"&lt;="&amp;'Cash Flow'!O$3,'Wells Fargo'!$B:$B,"&gt;"&amp;'Cash Flow'!N$3)</f>
        <v>0</v>
      </c>
      <c r="P21" s="188">
        <f>SUMIFS('Wells Fargo'!$F:$F,'Wells Fargo'!$G:$G,'Cash Flow'!$A21,'Wells Fargo'!$A:$A,P$1,'Wells Fargo'!$B:$B,"&lt;="&amp;'Cash Flow'!P$3,'Wells Fargo'!$B:$B,"&gt;"&amp;'Cash Flow'!O$3)</f>
        <v>0</v>
      </c>
      <c r="Q21" s="189">
        <f>SUMIFS('Wells Fargo'!$F:$F,'Wells Fargo'!$G:$G,'Cash Flow'!$A21,'Wells Fargo'!$A:$A,Q$1,'Wells Fargo'!$B:$B,"&lt;="&amp;'Cash Flow'!Q$3)</f>
        <v>0</v>
      </c>
      <c r="R21" s="188">
        <f>SUMIFS('Wells Fargo'!$F:$F,'Wells Fargo'!$G:$G,'Cash Flow'!$A21,'Wells Fargo'!$A:$A,R$1,'Wells Fargo'!$B:$B,"&lt;="&amp;'Cash Flow'!R$3,'Wells Fargo'!$B:$B,"&gt;"&amp;'Cash Flow'!Q$3)</f>
        <v>0</v>
      </c>
      <c r="S21" s="188">
        <f>SUMIFS('Wells Fargo'!$F:$F,'Wells Fargo'!$G:$G,'Cash Flow'!$A21,'Wells Fargo'!$A:$A,S$1,'Wells Fargo'!$B:$B,"&lt;="&amp;'Cash Flow'!S$3,'Wells Fargo'!$B:$B,"&gt;"&amp;'Cash Flow'!R$3)</f>
        <v>0</v>
      </c>
      <c r="T21" s="188">
        <f>SUMIFS('Wells Fargo'!$F:$F,'Wells Fargo'!$G:$G,'Cash Flow'!$A21,'Wells Fargo'!$A:$A,T$1,'Wells Fargo'!$B:$B,"&lt;="&amp;'Cash Flow'!T$3,'Wells Fargo'!$B:$B,"&gt;"&amp;'Cash Flow'!S$3)</f>
        <v>0</v>
      </c>
      <c r="U21" s="188">
        <f>SUMIFS('Wells Fargo'!$F:$F,'Wells Fargo'!$G:$G,'Cash Flow'!$A21,'Wells Fargo'!$A:$A,U$1,'Wells Fargo'!$B:$B,"&lt;="&amp;'Cash Flow'!U$3,'Wells Fargo'!$B:$B,"&gt;"&amp;'Cash Flow'!T$3)</f>
        <v>0</v>
      </c>
      <c r="V21" s="189">
        <f>SUMIFS('Wells Fargo'!$F:$F,'Wells Fargo'!$G:$G,'Cash Flow'!$A21,'Wells Fargo'!$A:$A,V$1,'Wells Fargo'!$B:$B,"&lt;="&amp;'Cash Flow'!V$3)</f>
        <v>-50</v>
      </c>
      <c r="W21" s="188">
        <f>SUMIFS('Wells Fargo'!$F:$F,'Wells Fargo'!$G:$G,'Cash Flow'!$A21,'Wells Fargo'!$A:$A,W$1,'Wells Fargo'!$B:$B,"&lt;="&amp;'Cash Flow'!W$3,'Wells Fargo'!$B:$B,"&gt;"&amp;'Cash Flow'!V$3)</f>
        <v>0</v>
      </c>
      <c r="X21" s="188">
        <f>SUMIFS('Wells Fargo'!$F:$F,'Wells Fargo'!$G:$G,'Cash Flow'!$A21,'Wells Fargo'!$A:$A,X$1,'Wells Fargo'!$B:$B,"&lt;="&amp;'Cash Flow'!X$3,'Wells Fargo'!$B:$B,"&gt;"&amp;'Cash Flow'!W$3)</f>
        <v>0</v>
      </c>
      <c r="Y21" s="188">
        <f>SUMIFS('Wells Fargo'!$F:$F,'Wells Fargo'!$G:$G,'Cash Flow'!$A21,'Wells Fargo'!$A:$A,Y$1,'Wells Fargo'!$B:$B,"&lt;="&amp;'Cash Flow'!Y$3,'Wells Fargo'!$B:$B,"&gt;"&amp;'Cash Flow'!X$3)</f>
        <v>0</v>
      </c>
      <c r="Z21" s="188">
        <f>SUMIFS('Wells Fargo'!$F:$F,'Wells Fargo'!$G:$G,'Cash Flow'!$A21,'Wells Fargo'!$A:$A,Z$1,'Wells Fargo'!$B:$B,"&lt;="&amp;'Cash Flow'!Z$3,'Wells Fargo'!$B:$B,"&gt;"&amp;'Cash Flow'!Y$3)</f>
        <v>0</v>
      </c>
      <c r="AA21" s="189">
        <f>SUMIFS('Wells Fargo'!$F:$F,'Wells Fargo'!$G:$G,'Cash Flow'!$A21,'Wells Fargo'!$A:$A,AA$1,'Wells Fargo'!$B:$B,"&lt;="&amp;'Cash Flow'!AA$3)</f>
        <v>0</v>
      </c>
      <c r="AB21" s="188">
        <f>SUMIFS('Wells Fargo'!$F:$F,'Wells Fargo'!$G:$G,'Cash Flow'!$A21,'Wells Fargo'!$A:$A,AB$1,'Wells Fargo'!$B:$B,"&lt;="&amp;'Cash Flow'!AB$3,'Wells Fargo'!$B:$B,"&gt;"&amp;'Cash Flow'!AA$3)</f>
        <v>0</v>
      </c>
      <c r="AC21" s="188">
        <f>SUMIFS('Wells Fargo'!$F:$F,'Wells Fargo'!$G:$G,'Cash Flow'!$A21,'Wells Fargo'!$A:$A,AC$1,'Wells Fargo'!$B:$B,"&lt;="&amp;'Cash Flow'!AC$3,'Wells Fargo'!$B:$B,"&gt;"&amp;'Cash Flow'!AB$3)</f>
        <v>0</v>
      </c>
      <c r="AD21" s="188">
        <f>SUMIFS('Wells Fargo'!$F:$F,'Wells Fargo'!$G:$G,'Cash Flow'!$A21,'Wells Fargo'!$A:$A,AD$1,'Wells Fargo'!$B:$B,"&lt;="&amp;'Cash Flow'!AD$3,'Wells Fargo'!$B:$B,"&gt;"&amp;'Cash Flow'!AC$3)</f>
        <v>0</v>
      </c>
      <c r="AE21" s="188">
        <f>SUMIFS('Wells Fargo'!$F:$F,'Wells Fargo'!$G:$G,'Cash Flow'!$A21,'Wells Fargo'!$A:$A,AE$1,'Wells Fargo'!$B:$B,"&lt;="&amp;'Cash Flow'!AE$3,'Wells Fargo'!$B:$B,"&gt;"&amp;'Cash Flow'!AD$3)</f>
        <v>0</v>
      </c>
      <c r="AF21" s="189">
        <f>SUMIFS('Wells Fargo'!$F:$F,'Wells Fargo'!$G:$G,'Cash Flow'!$A21,'Wells Fargo'!$A:$A,AF$1,'Wells Fargo'!$B:$B,"&lt;="&amp;'Cash Flow'!AF$3)</f>
        <v>0</v>
      </c>
      <c r="AG21" s="188">
        <f>SUMIFS('Wells Fargo'!$F:$F,'Wells Fargo'!$G:$G,'Cash Flow'!$A21,'Wells Fargo'!$A:$A,AG$1,'Wells Fargo'!$B:$B,"&lt;="&amp;'Cash Flow'!AG$3,'Wells Fargo'!$B:$B,"&gt;"&amp;'Cash Flow'!AF$3)</f>
        <v>0</v>
      </c>
      <c r="AH21" s="188">
        <f>SUMIFS('Wells Fargo'!$F:$F,'Wells Fargo'!$G:$G,'Cash Flow'!$A21,'Wells Fargo'!$A:$A,AH$1,'Wells Fargo'!$B:$B,"&lt;="&amp;'Cash Flow'!AH$3,'Wells Fargo'!$B:$B,"&gt;"&amp;'Cash Flow'!AG$3)</f>
        <v>0</v>
      </c>
      <c r="AI21" s="188">
        <f>SUMIFS('Wells Fargo'!$F:$F,'Wells Fargo'!$G:$G,'Cash Flow'!$A21,'Wells Fargo'!$A:$A,AI$1,'Wells Fargo'!$B:$B,"&lt;="&amp;'Cash Flow'!AI$3,'Wells Fargo'!$B:$B,"&gt;"&amp;'Cash Flow'!AH$3)</f>
        <v>0</v>
      </c>
      <c r="AJ21" s="188">
        <f>SUMIFS('Wells Fargo'!$F:$F,'Wells Fargo'!$G:$G,'Cash Flow'!$A21,'Wells Fargo'!$A:$A,AJ$1,'Wells Fargo'!$B:$B,"&lt;="&amp;'Cash Flow'!AJ$3,'Wells Fargo'!$B:$B,"&gt;"&amp;'Cash Flow'!AI$3)</f>
        <v>0</v>
      </c>
      <c r="AK21" s="189">
        <f>SUMIFS('Wells Fargo'!$F:$F,'Wells Fargo'!$G:$G,'Cash Flow'!$A21,'Wells Fargo'!$A:$A,AK$1,'Wells Fargo'!$B:$B,"&lt;="&amp;'Cash Flow'!AK$3)</f>
        <v>0</v>
      </c>
      <c r="AL21" s="188">
        <f>SUMIFS('Wells Fargo'!$F:$F,'Wells Fargo'!$G:$G,'Cash Flow'!$A21,'Wells Fargo'!$A:$A,AL$1,'Wells Fargo'!$B:$B,"&lt;="&amp;'Cash Flow'!AL$3,'Wells Fargo'!$B:$B,"&gt;"&amp;'Cash Flow'!AK$3)</f>
        <v>0</v>
      </c>
      <c r="AM21" s="188">
        <f>SUMIFS('Wells Fargo'!$F:$F,'Wells Fargo'!$G:$G,'Cash Flow'!$A21,'Wells Fargo'!$A:$A,AM$1,'Wells Fargo'!$B:$B,"&lt;="&amp;'Cash Flow'!AM$3,'Wells Fargo'!$B:$B,"&gt;"&amp;'Cash Flow'!AL$3)</f>
        <v>0</v>
      </c>
      <c r="AN21" s="188">
        <f>SUMIFS('Wells Fargo'!$F:$F,'Wells Fargo'!$G:$G,'Cash Flow'!$A21,'Wells Fargo'!$A:$A,AN$1,'Wells Fargo'!$B:$B,"&lt;="&amp;'Cash Flow'!AN$3,'Wells Fargo'!$B:$B,"&gt;"&amp;'Cash Flow'!AM$3)</f>
        <v>0</v>
      </c>
      <c r="AO21" s="188">
        <f>SUMIFS('Wells Fargo'!$F:$F,'Wells Fargo'!$G:$G,'Cash Flow'!$A21,'Wells Fargo'!$A:$A,AO$1,'Wells Fargo'!$B:$B,"&lt;="&amp;'Cash Flow'!AO$3,'Wells Fargo'!$B:$B,"&gt;"&amp;'Cash Flow'!AN$3)</f>
        <v>0</v>
      </c>
      <c r="AP21" s="189">
        <f>SUMIFS('Wells Fargo'!$F:$F,'Wells Fargo'!$G:$G,'Cash Flow'!$A21,'Wells Fargo'!$A:$A,AP$1,'Wells Fargo'!$B:$B,"&lt;="&amp;'Cash Flow'!AP$3)</f>
        <v>0</v>
      </c>
      <c r="AQ21" s="188">
        <f>SUMIFS('Wells Fargo'!$F:$F,'Wells Fargo'!$G:$G,'Cash Flow'!$A21,'Wells Fargo'!$A:$A,AQ$1,'Wells Fargo'!$B:$B,"&lt;="&amp;'Cash Flow'!AQ$3,'Wells Fargo'!$B:$B,"&gt;"&amp;'Cash Flow'!AP$3)</f>
        <v>0</v>
      </c>
      <c r="AR21" s="188">
        <f>SUMIFS('Wells Fargo'!$F:$F,'Wells Fargo'!$G:$G,'Cash Flow'!$A21,'Wells Fargo'!$A:$A,AR$1,'Wells Fargo'!$B:$B,"&lt;="&amp;'Cash Flow'!AR$3,'Wells Fargo'!$B:$B,"&gt;"&amp;'Cash Flow'!AQ$3)</f>
        <v>0</v>
      </c>
      <c r="AS21" s="188">
        <f>SUMIFS('Wells Fargo'!$F:$F,'Wells Fargo'!$G:$G,'Cash Flow'!$A21,'Wells Fargo'!$A:$A,AS$1,'Wells Fargo'!$B:$B,"&lt;="&amp;'Cash Flow'!AS$3,'Wells Fargo'!$B:$B,"&gt;"&amp;'Cash Flow'!AR$3)</f>
        <v>0</v>
      </c>
      <c r="AT21" s="188">
        <f>SUMIFS('Wells Fargo'!$F:$F,'Wells Fargo'!$G:$G,'Cash Flow'!$A21,'Wells Fargo'!$A:$A,AT$1,'Wells Fargo'!$B:$B,"&lt;="&amp;'Cash Flow'!AT$3,'Wells Fargo'!$B:$B,"&gt;"&amp;'Cash Flow'!AS$3)</f>
        <v>0</v>
      </c>
      <c r="AU21" s="189">
        <f>SUMIFS('Wells Fargo'!$F:$F,'Wells Fargo'!$G:$G,'Cash Flow'!$A21,'Wells Fargo'!$A:$A,AU$1,'Wells Fargo'!$B:$B,"&lt;="&amp;'Cash Flow'!AU$3)</f>
        <v>0</v>
      </c>
      <c r="AV21" s="188">
        <f>SUMIFS('Wells Fargo'!$F:$F,'Wells Fargo'!$G:$G,'Cash Flow'!$A21,'Wells Fargo'!$A:$A,AV$1,'Wells Fargo'!$B:$B,"&lt;="&amp;'Cash Flow'!AV$3,'Wells Fargo'!$B:$B,"&gt;"&amp;'Cash Flow'!AU$3)</f>
        <v>0</v>
      </c>
      <c r="AW21" s="188">
        <f>SUMIFS('Wells Fargo'!$F:$F,'Wells Fargo'!$G:$G,'Cash Flow'!$A21,'Wells Fargo'!$A:$A,AW$1,'Wells Fargo'!$B:$B,"&lt;="&amp;'Cash Flow'!AW$3,'Wells Fargo'!$B:$B,"&gt;"&amp;'Cash Flow'!AV$3)</f>
        <v>0</v>
      </c>
      <c r="AX21" s="188">
        <f>SUMIFS('Wells Fargo'!$F:$F,'Wells Fargo'!$G:$G,'Cash Flow'!$A21,'Wells Fargo'!$A:$A,AX$1,'Wells Fargo'!$B:$B,"&lt;="&amp;'Cash Flow'!AX$3,'Wells Fargo'!$B:$B,"&gt;"&amp;'Cash Flow'!AW$3)</f>
        <v>0</v>
      </c>
      <c r="AY21" s="188">
        <f>SUMIFS('Wells Fargo'!$F:$F,'Wells Fargo'!$G:$G,'Cash Flow'!$A21,'Wells Fargo'!$A:$A,AY$1,'Wells Fargo'!$B:$B,"&lt;="&amp;'Cash Flow'!AY$3,'Wells Fargo'!$B:$B,"&gt;"&amp;'Cash Flow'!AX$3)</f>
        <v>0</v>
      </c>
      <c r="AZ21" s="189">
        <f>SUMIFS('Wells Fargo'!$F:$F,'Wells Fargo'!$G:$G,'Cash Flow'!$A21,'Wells Fargo'!$A:$A,AZ$1,'Wells Fargo'!$B:$B,"&lt;="&amp;'Cash Flow'!AZ$3)</f>
        <v>0</v>
      </c>
      <c r="BA21" s="188">
        <f>SUMIFS('Wells Fargo'!$F:$F,'Wells Fargo'!$G:$G,'Cash Flow'!$A21,'Wells Fargo'!$A:$A,BA$1,'Wells Fargo'!$B:$B,"&lt;="&amp;'Cash Flow'!BA$3,'Wells Fargo'!$B:$B,"&gt;"&amp;'Cash Flow'!AZ$3)</f>
        <v>0</v>
      </c>
      <c r="BB21" s="188">
        <f>SUMIFS('Wells Fargo'!$F:$F,'Wells Fargo'!$G:$G,'Cash Flow'!$A21,'Wells Fargo'!$A:$A,BB$1,'Wells Fargo'!$B:$B,"&lt;="&amp;'Cash Flow'!BB$3,'Wells Fargo'!$B:$B,"&gt;"&amp;'Cash Flow'!BA$3)</f>
        <v>0</v>
      </c>
      <c r="BC21" s="188">
        <f>SUMIFS('Wells Fargo'!$F:$F,'Wells Fargo'!$G:$G,'Cash Flow'!$A21,'Wells Fargo'!$A:$A,BC$1,'Wells Fargo'!$B:$B,"&lt;="&amp;'Cash Flow'!BC$3,'Wells Fargo'!$B:$B,"&gt;"&amp;'Cash Flow'!BB$3)</f>
        <v>0</v>
      </c>
      <c r="BD21" s="188">
        <f>SUMIFS('Wells Fargo'!$F:$F,'Wells Fargo'!$G:$G,'Cash Flow'!$A21,'Wells Fargo'!$A:$A,BD$1,'Wells Fargo'!$B:$B,"&lt;="&amp;'Cash Flow'!BD$3,'Wells Fargo'!$B:$B,"&gt;"&amp;'Cash Flow'!BC$3)</f>
        <v>0</v>
      </c>
      <c r="BE21" s="189">
        <f>SUMIFS('Wells Fargo'!$F:$F,'Wells Fargo'!$G:$G,'Cash Flow'!$A21,'Wells Fargo'!$A:$A,BE$1,'Wells Fargo'!$B:$B,"&lt;="&amp;'Cash Flow'!BE$3)</f>
        <v>0</v>
      </c>
      <c r="BF21" s="188">
        <f>SUMIFS('Wells Fargo'!$F:$F,'Wells Fargo'!$G:$G,'Cash Flow'!$A21,'Wells Fargo'!$A:$A,BF$1,'Wells Fargo'!$B:$B,"&lt;="&amp;'Cash Flow'!BF$3,'Wells Fargo'!$B:$B,"&gt;"&amp;'Cash Flow'!BE$3)</f>
        <v>0</v>
      </c>
      <c r="BG21" s="188">
        <f>SUMIFS('Wells Fargo'!$F:$F,'Wells Fargo'!$G:$G,'Cash Flow'!$A21,'Wells Fargo'!$A:$A,BG$1,'Wells Fargo'!$B:$B,"&lt;="&amp;'Cash Flow'!BG$3,'Wells Fargo'!$B:$B,"&gt;"&amp;'Cash Flow'!BF$3)</f>
        <v>0</v>
      </c>
      <c r="BH21" s="188">
        <f>SUMIFS('Wells Fargo'!$F:$F,'Wells Fargo'!$G:$G,'Cash Flow'!$A21,'Wells Fargo'!$A:$A,BH$1,'Wells Fargo'!$B:$B,"&lt;="&amp;'Cash Flow'!BH$3,'Wells Fargo'!$B:$B,"&gt;"&amp;'Cash Flow'!BG$3)</f>
        <v>0</v>
      </c>
      <c r="BI21" s="188">
        <f>SUMIFS('Wells Fargo'!$F:$F,'Wells Fargo'!$G:$G,'Cash Flow'!$A21,'Wells Fargo'!$A:$A,BI$1,'Wells Fargo'!$B:$B,"&lt;="&amp;'Cash Flow'!BI$3,'Wells Fargo'!$B:$B,"&gt;"&amp;'Cash Flow'!BH$3)</f>
        <v>0</v>
      </c>
    </row>
    <row r="22" spans="1:61" ht="12.75" x14ac:dyDescent="0.2">
      <c r="A22" t="str">
        <v>Don</v>
      </c>
      <c r="B22" s="87">
        <f t="shared" si="0"/>
        <v>-297.5</v>
      </c>
      <c r="C22" s="189">
        <f>SUMIFS('Wells Fargo'!$F:$F,'Wells Fargo'!$G:$G,'Cash Flow'!$A22,'Wells Fargo'!$A:$A,C$1,'Wells Fargo'!$B:$B,"&lt;="&amp;'Cash Flow'!C$3)</f>
        <v>0</v>
      </c>
      <c r="D22" s="188">
        <f>SUMIFS('Wells Fargo'!$F:$F,'Wells Fargo'!$G:$G,'Cash Flow'!$A22,'Wells Fargo'!$A:$A,D$1,'Wells Fargo'!$B:$B,"&lt;="&amp;'Cash Flow'!D$3,'Wells Fargo'!$B:$B,"&gt;"&amp;'Cash Flow'!C$3)</f>
        <v>0</v>
      </c>
      <c r="E22" s="188">
        <f>SUMIFS('Wells Fargo'!$F:$F,'Wells Fargo'!$G:$G,'Cash Flow'!$A22,'Wells Fargo'!$A:$A,E$1,'Wells Fargo'!$B:$B,"&lt;="&amp;'Cash Flow'!E$3,'Wells Fargo'!$B:$B,"&gt;"&amp;'Cash Flow'!D$3)</f>
        <v>0</v>
      </c>
      <c r="F22" s="188">
        <f>SUMIFS('Wells Fargo'!$F:$F,'Wells Fargo'!$G:$G,'Cash Flow'!$A22,'Wells Fargo'!$A:$A,F$1,'Wells Fargo'!$B:$B,"&lt;="&amp;'Cash Flow'!F$3,'Wells Fargo'!$B:$B,"&gt;"&amp;'Cash Flow'!E$3)</f>
        <v>0</v>
      </c>
      <c r="G22" s="188">
        <f>SUMIFS('Wells Fargo'!$F:$F,'Wells Fargo'!$G:$G,'Cash Flow'!$A22,'Wells Fargo'!$A:$A,G$1,'Wells Fargo'!$B:$B,"&lt;="&amp;'Cash Flow'!G$3,'Wells Fargo'!$B:$B,"&gt;"&amp;'Cash Flow'!F$3)</f>
        <v>0</v>
      </c>
      <c r="H22" s="189">
        <f>SUMIFS('Wells Fargo'!$F:$F,'Wells Fargo'!$G:$G,'Cash Flow'!$A22,'Wells Fargo'!$A:$A,H$1,'Wells Fargo'!$B:$B,"&lt;="&amp;'Cash Flow'!H$3)</f>
        <v>-600</v>
      </c>
      <c r="I22" s="188">
        <f>SUMIFS('Wells Fargo'!$F:$F,'Wells Fargo'!$G:$G,'Cash Flow'!$A22,'Wells Fargo'!$A:$A,I$1,'Wells Fargo'!$B:$B,"&lt;="&amp;'Cash Flow'!I$3,'Wells Fargo'!$B:$B,"&gt;"&amp;'Cash Flow'!H$3)</f>
        <v>0</v>
      </c>
      <c r="J22" s="188">
        <f>SUMIFS('Wells Fargo'!$F:$F,'Wells Fargo'!$G:$G,'Cash Flow'!$A22,'Wells Fargo'!$A:$A,J$1,'Wells Fargo'!$B:$B,"&lt;="&amp;'Cash Flow'!J$3,'Wells Fargo'!$B:$B,"&gt;"&amp;'Cash Flow'!I$3)</f>
        <v>492.5</v>
      </c>
      <c r="K22" s="188">
        <f>SUMIFS('Wells Fargo'!$F:$F,'Wells Fargo'!$G:$G,'Cash Flow'!$A22,'Wells Fargo'!$A:$A,K$1,'Wells Fargo'!$B:$B,"&lt;="&amp;'Cash Flow'!K$3,'Wells Fargo'!$B:$B,"&gt;"&amp;'Cash Flow'!J$3)</f>
        <v>0</v>
      </c>
      <c r="L22" s="189">
        <f>SUMIFS('Wells Fargo'!$F:$F,'Wells Fargo'!$G:$G,'Cash Flow'!$A22,'Wells Fargo'!$A:$A,L$1,'Wells Fargo'!$B:$B,"&lt;="&amp;'Cash Flow'!L$3)</f>
        <v>0</v>
      </c>
      <c r="M22" s="188">
        <f>SUMIFS('Wells Fargo'!$F:$F,'Wells Fargo'!$G:$G,'Cash Flow'!$A22,'Wells Fargo'!$A:$A,M$1,'Wells Fargo'!$B:$B,"&lt;="&amp;'Cash Flow'!M$3,'Wells Fargo'!$B:$B,"&gt;"&amp;'Cash Flow'!L$3)</f>
        <v>0</v>
      </c>
      <c r="N22" s="188">
        <f>SUMIFS('Wells Fargo'!$F:$F,'Wells Fargo'!$G:$G,'Cash Flow'!$A22,'Wells Fargo'!$A:$A,N$1,'Wells Fargo'!$B:$B,"&lt;="&amp;'Cash Flow'!N$3,'Wells Fargo'!$B:$B,"&gt;"&amp;'Cash Flow'!M$3)</f>
        <v>0</v>
      </c>
      <c r="O22" s="188">
        <f>SUMIFS('Wells Fargo'!$F:$F,'Wells Fargo'!$G:$G,'Cash Flow'!$A22,'Wells Fargo'!$A:$A,O$1,'Wells Fargo'!$B:$B,"&lt;="&amp;'Cash Flow'!O$3,'Wells Fargo'!$B:$B,"&gt;"&amp;'Cash Flow'!N$3)</f>
        <v>0</v>
      </c>
      <c r="P22" s="188">
        <f>SUMIFS('Wells Fargo'!$F:$F,'Wells Fargo'!$G:$G,'Cash Flow'!$A22,'Wells Fargo'!$A:$A,P$1,'Wells Fargo'!$B:$B,"&lt;="&amp;'Cash Flow'!P$3,'Wells Fargo'!$B:$B,"&gt;"&amp;'Cash Flow'!O$3)</f>
        <v>0</v>
      </c>
      <c r="Q22" s="189">
        <f>SUMIFS('Wells Fargo'!$F:$F,'Wells Fargo'!$G:$G,'Cash Flow'!$A22,'Wells Fargo'!$A:$A,Q$1,'Wells Fargo'!$B:$B,"&lt;="&amp;'Cash Flow'!Q$3)</f>
        <v>0</v>
      </c>
      <c r="R22" s="188">
        <f>SUMIFS('Wells Fargo'!$F:$F,'Wells Fargo'!$G:$G,'Cash Flow'!$A22,'Wells Fargo'!$A:$A,R$1,'Wells Fargo'!$B:$B,"&lt;="&amp;'Cash Flow'!R$3,'Wells Fargo'!$B:$B,"&gt;"&amp;'Cash Flow'!Q$3)</f>
        <v>0</v>
      </c>
      <c r="S22" s="188">
        <f>SUMIFS('Wells Fargo'!$F:$F,'Wells Fargo'!$G:$G,'Cash Flow'!$A22,'Wells Fargo'!$A:$A,S$1,'Wells Fargo'!$B:$B,"&lt;="&amp;'Cash Flow'!S$3,'Wells Fargo'!$B:$B,"&gt;"&amp;'Cash Flow'!R$3)</f>
        <v>0</v>
      </c>
      <c r="T22" s="188">
        <f>SUMIFS('Wells Fargo'!$F:$F,'Wells Fargo'!$G:$G,'Cash Flow'!$A22,'Wells Fargo'!$A:$A,T$1,'Wells Fargo'!$B:$B,"&lt;="&amp;'Cash Flow'!T$3,'Wells Fargo'!$B:$B,"&gt;"&amp;'Cash Flow'!S$3)</f>
        <v>0</v>
      </c>
      <c r="U22" s="188">
        <f>SUMIFS('Wells Fargo'!$F:$F,'Wells Fargo'!$G:$G,'Cash Flow'!$A22,'Wells Fargo'!$A:$A,U$1,'Wells Fargo'!$B:$B,"&lt;="&amp;'Cash Flow'!U$3,'Wells Fargo'!$B:$B,"&gt;"&amp;'Cash Flow'!T$3)</f>
        <v>0</v>
      </c>
      <c r="V22" s="189">
        <f>SUMIFS('Wells Fargo'!$F:$F,'Wells Fargo'!$G:$G,'Cash Flow'!$A22,'Wells Fargo'!$A:$A,V$1,'Wells Fargo'!$B:$B,"&lt;="&amp;'Cash Flow'!V$3)</f>
        <v>0</v>
      </c>
      <c r="W22" s="188">
        <f>SUMIFS('Wells Fargo'!$F:$F,'Wells Fargo'!$G:$G,'Cash Flow'!$A22,'Wells Fargo'!$A:$A,W$1,'Wells Fargo'!$B:$B,"&lt;="&amp;'Cash Flow'!W$3,'Wells Fargo'!$B:$B,"&gt;"&amp;'Cash Flow'!V$3)</f>
        <v>0</v>
      </c>
      <c r="X22" s="188">
        <f>SUMIFS('Wells Fargo'!$F:$F,'Wells Fargo'!$G:$G,'Cash Flow'!$A22,'Wells Fargo'!$A:$A,X$1,'Wells Fargo'!$B:$B,"&lt;="&amp;'Cash Flow'!X$3,'Wells Fargo'!$B:$B,"&gt;"&amp;'Cash Flow'!W$3)</f>
        <v>0</v>
      </c>
      <c r="Y22" s="188">
        <f>SUMIFS('Wells Fargo'!$F:$F,'Wells Fargo'!$G:$G,'Cash Flow'!$A22,'Wells Fargo'!$A:$A,Y$1,'Wells Fargo'!$B:$B,"&lt;="&amp;'Cash Flow'!Y$3,'Wells Fargo'!$B:$B,"&gt;"&amp;'Cash Flow'!X$3)</f>
        <v>-120</v>
      </c>
      <c r="Z22" s="188">
        <f>SUMIFS('Wells Fargo'!$F:$F,'Wells Fargo'!$G:$G,'Cash Flow'!$A22,'Wells Fargo'!$A:$A,Z$1,'Wells Fargo'!$B:$B,"&lt;="&amp;'Cash Flow'!Z$3,'Wells Fargo'!$B:$B,"&gt;"&amp;'Cash Flow'!Y$3)</f>
        <v>0</v>
      </c>
      <c r="AA22" s="189">
        <f>SUMIFS('Wells Fargo'!$F:$F,'Wells Fargo'!$G:$G,'Cash Flow'!$A22,'Wells Fargo'!$A:$A,AA$1,'Wells Fargo'!$B:$B,"&lt;="&amp;'Cash Flow'!AA$3)</f>
        <v>0</v>
      </c>
      <c r="AB22" s="188">
        <f>SUMIFS('Wells Fargo'!$F:$F,'Wells Fargo'!$G:$G,'Cash Flow'!$A22,'Wells Fargo'!$A:$A,AB$1,'Wells Fargo'!$B:$B,"&lt;="&amp;'Cash Flow'!AB$3,'Wells Fargo'!$B:$B,"&gt;"&amp;'Cash Flow'!AA$3)</f>
        <v>0</v>
      </c>
      <c r="AC22" s="188">
        <f>SUMIFS('Wells Fargo'!$F:$F,'Wells Fargo'!$G:$G,'Cash Flow'!$A22,'Wells Fargo'!$A:$A,AC$1,'Wells Fargo'!$B:$B,"&lt;="&amp;'Cash Flow'!AC$3,'Wells Fargo'!$B:$B,"&gt;"&amp;'Cash Flow'!AB$3)</f>
        <v>0</v>
      </c>
      <c r="AD22" s="188">
        <f>SUMIFS('Wells Fargo'!$F:$F,'Wells Fargo'!$G:$G,'Cash Flow'!$A22,'Wells Fargo'!$A:$A,AD$1,'Wells Fargo'!$B:$B,"&lt;="&amp;'Cash Flow'!AD$3,'Wells Fargo'!$B:$B,"&gt;"&amp;'Cash Flow'!AC$3)</f>
        <v>0</v>
      </c>
      <c r="AE22" s="188">
        <f>SUMIFS('Wells Fargo'!$F:$F,'Wells Fargo'!$G:$G,'Cash Flow'!$A22,'Wells Fargo'!$A:$A,AE$1,'Wells Fargo'!$B:$B,"&lt;="&amp;'Cash Flow'!AE$3,'Wells Fargo'!$B:$B,"&gt;"&amp;'Cash Flow'!AD$3)</f>
        <v>0</v>
      </c>
      <c r="AF22" s="189">
        <f>SUMIFS('Wells Fargo'!$F:$F,'Wells Fargo'!$G:$G,'Cash Flow'!$A22,'Wells Fargo'!$A:$A,AF$1,'Wells Fargo'!$B:$B,"&lt;="&amp;'Cash Flow'!AF$3)</f>
        <v>0</v>
      </c>
      <c r="AG22" s="188">
        <f>SUMIFS('Wells Fargo'!$F:$F,'Wells Fargo'!$G:$G,'Cash Flow'!$A22,'Wells Fargo'!$A:$A,AG$1,'Wells Fargo'!$B:$B,"&lt;="&amp;'Cash Flow'!AG$3,'Wells Fargo'!$B:$B,"&gt;"&amp;'Cash Flow'!AF$3)</f>
        <v>0</v>
      </c>
      <c r="AH22" s="188">
        <f>SUMIFS('Wells Fargo'!$F:$F,'Wells Fargo'!$G:$G,'Cash Flow'!$A22,'Wells Fargo'!$A:$A,AH$1,'Wells Fargo'!$B:$B,"&lt;="&amp;'Cash Flow'!AH$3,'Wells Fargo'!$B:$B,"&gt;"&amp;'Cash Flow'!AG$3)</f>
        <v>0</v>
      </c>
      <c r="AI22" s="188">
        <f>SUMIFS('Wells Fargo'!$F:$F,'Wells Fargo'!$G:$G,'Cash Flow'!$A22,'Wells Fargo'!$A:$A,AI$1,'Wells Fargo'!$B:$B,"&lt;="&amp;'Cash Flow'!AI$3,'Wells Fargo'!$B:$B,"&gt;"&amp;'Cash Flow'!AH$3)</f>
        <v>0</v>
      </c>
      <c r="AJ22" s="188">
        <f>SUMIFS('Wells Fargo'!$F:$F,'Wells Fargo'!$G:$G,'Cash Flow'!$A22,'Wells Fargo'!$A:$A,AJ$1,'Wells Fargo'!$B:$B,"&lt;="&amp;'Cash Flow'!AJ$3,'Wells Fargo'!$B:$B,"&gt;"&amp;'Cash Flow'!AI$3)</f>
        <v>0</v>
      </c>
      <c r="AK22" s="189">
        <f>SUMIFS('Wells Fargo'!$F:$F,'Wells Fargo'!$G:$G,'Cash Flow'!$A22,'Wells Fargo'!$A:$A,AK$1,'Wells Fargo'!$B:$B,"&lt;="&amp;'Cash Flow'!AK$3)</f>
        <v>0</v>
      </c>
      <c r="AL22" s="188">
        <f>SUMIFS('Wells Fargo'!$F:$F,'Wells Fargo'!$G:$G,'Cash Flow'!$A22,'Wells Fargo'!$A:$A,AL$1,'Wells Fargo'!$B:$B,"&lt;="&amp;'Cash Flow'!AL$3,'Wells Fargo'!$B:$B,"&gt;"&amp;'Cash Flow'!AK$3)</f>
        <v>0</v>
      </c>
      <c r="AM22" s="188">
        <f>SUMIFS('Wells Fargo'!$F:$F,'Wells Fargo'!$G:$G,'Cash Flow'!$A22,'Wells Fargo'!$A:$A,AM$1,'Wells Fargo'!$B:$B,"&lt;="&amp;'Cash Flow'!AM$3,'Wells Fargo'!$B:$B,"&gt;"&amp;'Cash Flow'!AL$3)</f>
        <v>-70</v>
      </c>
      <c r="AN22" s="188">
        <f>SUMIFS('Wells Fargo'!$F:$F,'Wells Fargo'!$G:$G,'Cash Flow'!$A22,'Wells Fargo'!$A:$A,AN$1,'Wells Fargo'!$B:$B,"&lt;="&amp;'Cash Flow'!AN$3,'Wells Fargo'!$B:$B,"&gt;"&amp;'Cash Flow'!AM$3)</f>
        <v>0</v>
      </c>
      <c r="AO22" s="188">
        <f>SUMIFS('Wells Fargo'!$F:$F,'Wells Fargo'!$G:$G,'Cash Flow'!$A22,'Wells Fargo'!$A:$A,AO$1,'Wells Fargo'!$B:$B,"&lt;="&amp;'Cash Flow'!AO$3,'Wells Fargo'!$B:$B,"&gt;"&amp;'Cash Flow'!AN$3)</f>
        <v>0</v>
      </c>
      <c r="AP22" s="189">
        <f>SUMIFS('Wells Fargo'!$F:$F,'Wells Fargo'!$G:$G,'Cash Flow'!$A22,'Wells Fargo'!$A:$A,AP$1,'Wells Fargo'!$B:$B,"&lt;="&amp;'Cash Flow'!AP$3)</f>
        <v>0</v>
      </c>
      <c r="AQ22" s="188">
        <f>SUMIFS('Wells Fargo'!$F:$F,'Wells Fargo'!$G:$G,'Cash Flow'!$A22,'Wells Fargo'!$A:$A,AQ$1,'Wells Fargo'!$B:$B,"&lt;="&amp;'Cash Flow'!AQ$3,'Wells Fargo'!$B:$B,"&gt;"&amp;'Cash Flow'!AP$3)</f>
        <v>0</v>
      </c>
      <c r="AR22" s="188">
        <f>SUMIFS('Wells Fargo'!$F:$F,'Wells Fargo'!$G:$G,'Cash Flow'!$A22,'Wells Fargo'!$A:$A,AR$1,'Wells Fargo'!$B:$B,"&lt;="&amp;'Cash Flow'!AR$3,'Wells Fargo'!$B:$B,"&gt;"&amp;'Cash Flow'!AQ$3)</f>
        <v>0</v>
      </c>
      <c r="AS22" s="188">
        <f>SUMIFS('Wells Fargo'!$F:$F,'Wells Fargo'!$G:$G,'Cash Flow'!$A22,'Wells Fargo'!$A:$A,AS$1,'Wells Fargo'!$B:$B,"&lt;="&amp;'Cash Flow'!AS$3,'Wells Fargo'!$B:$B,"&gt;"&amp;'Cash Flow'!AR$3)</f>
        <v>0</v>
      </c>
      <c r="AT22" s="188">
        <f>SUMIFS('Wells Fargo'!$F:$F,'Wells Fargo'!$G:$G,'Cash Flow'!$A22,'Wells Fargo'!$A:$A,AT$1,'Wells Fargo'!$B:$B,"&lt;="&amp;'Cash Flow'!AT$3,'Wells Fargo'!$B:$B,"&gt;"&amp;'Cash Flow'!AS$3)</f>
        <v>0</v>
      </c>
      <c r="AU22" s="189">
        <f>SUMIFS('Wells Fargo'!$F:$F,'Wells Fargo'!$G:$G,'Cash Flow'!$A22,'Wells Fargo'!$A:$A,AU$1,'Wells Fargo'!$B:$B,"&lt;="&amp;'Cash Flow'!AU$3)</f>
        <v>0</v>
      </c>
      <c r="AV22" s="188">
        <f>SUMIFS('Wells Fargo'!$F:$F,'Wells Fargo'!$G:$G,'Cash Flow'!$A22,'Wells Fargo'!$A:$A,AV$1,'Wells Fargo'!$B:$B,"&lt;="&amp;'Cash Flow'!AV$3,'Wells Fargo'!$B:$B,"&gt;"&amp;'Cash Flow'!AU$3)</f>
        <v>0</v>
      </c>
      <c r="AW22" s="188">
        <f>SUMIFS('Wells Fargo'!$F:$F,'Wells Fargo'!$G:$G,'Cash Flow'!$A22,'Wells Fargo'!$A:$A,AW$1,'Wells Fargo'!$B:$B,"&lt;="&amp;'Cash Flow'!AW$3,'Wells Fargo'!$B:$B,"&gt;"&amp;'Cash Flow'!AV$3)</f>
        <v>0</v>
      </c>
      <c r="AX22" s="188">
        <f>SUMIFS('Wells Fargo'!$F:$F,'Wells Fargo'!$G:$G,'Cash Flow'!$A22,'Wells Fargo'!$A:$A,AX$1,'Wells Fargo'!$B:$B,"&lt;="&amp;'Cash Flow'!AX$3,'Wells Fargo'!$B:$B,"&gt;"&amp;'Cash Flow'!AW$3)</f>
        <v>0</v>
      </c>
      <c r="AY22" s="188">
        <f>SUMIFS('Wells Fargo'!$F:$F,'Wells Fargo'!$G:$G,'Cash Flow'!$A22,'Wells Fargo'!$A:$A,AY$1,'Wells Fargo'!$B:$B,"&lt;="&amp;'Cash Flow'!AY$3,'Wells Fargo'!$B:$B,"&gt;"&amp;'Cash Flow'!AX$3)</f>
        <v>0</v>
      </c>
      <c r="AZ22" s="189">
        <f>SUMIFS('Wells Fargo'!$F:$F,'Wells Fargo'!$G:$G,'Cash Flow'!$A22,'Wells Fargo'!$A:$A,AZ$1,'Wells Fargo'!$B:$B,"&lt;="&amp;'Cash Flow'!AZ$3)</f>
        <v>0</v>
      </c>
      <c r="BA22" s="188">
        <f>SUMIFS('Wells Fargo'!$F:$F,'Wells Fargo'!$G:$G,'Cash Flow'!$A22,'Wells Fargo'!$A:$A,BA$1,'Wells Fargo'!$B:$B,"&lt;="&amp;'Cash Flow'!BA$3,'Wells Fargo'!$B:$B,"&gt;"&amp;'Cash Flow'!AZ$3)</f>
        <v>0</v>
      </c>
      <c r="BB22" s="188">
        <f>SUMIFS('Wells Fargo'!$F:$F,'Wells Fargo'!$G:$G,'Cash Flow'!$A22,'Wells Fargo'!$A:$A,BB$1,'Wells Fargo'!$B:$B,"&lt;="&amp;'Cash Flow'!BB$3,'Wells Fargo'!$B:$B,"&gt;"&amp;'Cash Flow'!BA$3)</f>
        <v>0</v>
      </c>
      <c r="BC22" s="188">
        <f>SUMIFS('Wells Fargo'!$F:$F,'Wells Fargo'!$G:$G,'Cash Flow'!$A22,'Wells Fargo'!$A:$A,BC$1,'Wells Fargo'!$B:$B,"&lt;="&amp;'Cash Flow'!BC$3,'Wells Fargo'!$B:$B,"&gt;"&amp;'Cash Flow'!BB$3)</f>
        <v>0</v>
      </c>
      <c r="BD22" s="188">
        <f>SUMIFS('Wells Fargo'!$F:$F,'Wells Fargo'!$G:$G,'Cash Flow'!$A22,'Wells Fargo'!$A:$A,BD$1,'Wells Fargo'!$B:$B,"&lt;="&amp;'Cash Flow'!BD$3,'Wells Fargo'!$B:$B,"&gt;"&amp;'Cash Flow'!BC$3)</f>
        <v>0</v>
      </c>
      <c r="BE22" s="189">
        <f>SUMIFS('Wells Fargo'!$F:$F,'Wells Fargo'!$G:$G,'Cash Flow'!$A22,'Wells Fargo'!$A:$A,BE$1,'Wells Fargo'!$B:$B,"&lt;="&amp;'Cash Flow'!BE$3)</f>
        <v>0</v>
      </c>
      <c r="BF22" s="188">
        <f>SUMIFS('Wells Fargo'!$F:$F,'Wells Fargo'!$G:$G,'Cash Flow'!$A22,'Wells Fargo'!$A:$A,BF$1,'Wells Fargo'!$B:$B,"&lt;="&amp;'Cash Flow'!BF$3,'Wells Fargo'!$B:$B,"&gt;"&amp;'Cash Flow'!BE$3)</f>
        <v>0</v>
      </c>
      <c r="BG22" s="188">
        <f>SUMIFS('Wells Fargo'!$F:$F,'Wells Fargo'!$G:$G,'Cash Flow'!$A22,'Wells Fargo'!$A:$A,BG$1,'Wells Fargo'!$B:$B,"&lt;="&amp;'Cash Flow'!BG$3,'Wells Fargo'!$B:$B,"&gt;"&amp;'Cash Flow'!BF$3)</f>
        <v>0</v>
      </c>
      <c r="BH22" s="188">
        <f>SUMIFS('Wells Fargo'!$F:$F,'Wells Fargo'!$G:$G,'Cash Flow'!$A22,'Wells Fargo'!$A:$A,BH$1,'Wells Fargo'!$B:$B,"&lt;="&amp;'Cash Flow'!BH$3,'Wells Fargo'!$B:$B,"&gt;"&amp;'Cash Flow'!BG$3)</f>
        <v>0</v>
      </c>
      <c r="BI22" s="188">
        <f>SUMIFS('Wells Fargo'!$F:$F,'Wells Fargo'!$G:$G,'Cash Flow'!$A22,'Wells Fargo'!$A:$A,BI$1,'Wells Fargo'!$B:$B,"&lt;="&amp;'Cash Flow'!BI$3,'Wells Fargo'!$B:$B,"&gt;"&amp;'Cash Flow'!BH$3)</f>
        <v>0</v>
      </c>
    </row>
    <row r="23" spans="1:61" ht="12.75" x14ac:dyDescent="0.2">
      <c r="A23" t="str">
        <v>Donation</v>
      </c>
      <c r="B23" s="87">
        <f t="shared" si="0"/>
        <v>-100</v>
      </c>
      <c r="C23" s="189">
        <f>SUMIFS('Wells Fargo'!$F:$F,'Wells Fargo'!$G:$G,'Cash Flow'!$A23,'Wells Fargo'!$A:$A,C$1,'Wells Fargo'!$B:$B,"&lt;="&amp;'Cash Flow'!C$3)</f>
        <v>0</v>
      </c>
      <c r="D23" s="188">
        <f>SUMIFS('Wells Fargo'!$F:$F,'Wells Fargo'!$G:$G,'Cash Flow'!$A23,'Wells Fargo'!$A:$A,D$1,'Wells Fargo'!$B:$B,"&lt;="&amp;'Cash Flow'!D$3,'Wells Fargo'!$B:$B,"&gt;"&amp;'Cash Flow'!C$3)</f>
        <v>0</v>
      </c>
      <c r="E23" s="188">
        <f>SUMIFS('Wells Fargo'!$F:$F,'Wells Fargo'!$G:$G,'Cash Flow'!$A23,'Wells Fargo'!$A:$A,E$1,'Wells Fargo'!$B:$B,"&lt;="&amp;'Cash Flow'!E$3,'Wells Fargo'!$B:$B,"&gt;"&amp;'Cash Flow'!D$3)</f>
        <v>0</v>
      </c>
      <c r="F23" s="188">
        <f>SUMIFS('Wells Fargo'!$F:$F,'Wells Fargo'!$G:$G,'Cash Flow'!$A23,'Wells Fargo'!$A:$A,F$1,'Wells Fargo'!$B:$B,"&lt;="&amp;'Cash Flow'!F$3,'Wells Fargo'!$B:$B,"&gt;"&amp;'Cash Flow'!E$3)</f>
        <v>0</v>
      </c>
      <c r="G23" s="188">
        <f>SUMIFS('Wells Fargo'!$F:$F,'Wells Fargo'!$G:$G,'Cash Flow'!$A23,'Wells Fargo'!$A:$A,G$1,'Wells Fargo'!$B:$B,"&lt;="&amp;'Cash Flow'!G$3,'Wells Fargo'!$B:$B,"&gt;"&amp;'Cash Flow'!F$3)</f>
        <v>0</v>
      </c>
      <c r="H23" s="189">
        <f>SUMIFS('Wells Fargo'!$F:$F,'Wells Fargo'!$G:$G,'Cash Flow'!$A23,'Wells Fargo'!$A:$A,H$1,'Wells Fargo'!$B:$B,"&lt;="&amp;'Cash Flow'!H$3)</f>
        <v>0</v>
      </c>
      <c r="I23" s="188">
        <f>SUMIFS('Wells Fargo'!$F:$F,'Wells Fargo'!$G:$G,'Cash Flow'!$A23,'Wells Fargo'!$A:$A,I$1,'Wells Fargo'!$B:$B,"&lt;="&amp;'Cash Flow'!I$3,'Wells Fargo'!$B:$B,"&gt;"&amp;'Cash Flow'!H$3)</f>
        <v>0</v>
      </c>
      <c r="J23" s="188">
        <f>SUMIFS('Wells Fargo'!$F:$F,'Wells Fargo'!$G:$G,'Cash Flow'!$A23,'Wells Fargo'!$A:$A,J$1,'Wells Fargo'!$B:$B,"&lt;="&amp;'Cash Flow'!J$3,'Wells Fargo'!$B:$B,"&gt;"&amp;'Cash Flow'!I$3)</f>
        <v>0</v>
      </c>
      <c r="K23" s="188">
        <f>SUMIFS('Wells Fargo'!$F:$F,'Wells Fargo'!$G:$G,'Cash Flow'!$A23,'Wells Fargo'!$A:$A,K$1,'Wells Fargo'!$B:$B,"&lt;="&amp;'Cash Flow'!K$3,'Wells Fargo'!$B:$B,"&gt;"&amp;'Cash Flow'!J$3)</f>
        <v>0</v>
      </c>
      <c r="L23" s="189">
        <f>SUMIFS('Wells Fargo'!$F:$F,'Wells Fargo'!$G:$G,'Cash Flow'!$A23,'Wells Fargo'!$A:$A,L$1,'Wells Fargo'!$B:$B,"&lt;="&amp;'Cash Flow'!L$3)</f>
        <v>0</v>
      </c>
      <c r="M23" s="188">
        <f>SUMIFS('Wells Fargo'!$F:$F,'Wells Fargo'!$G:$G,'Cash Flow'!$A23,'Wells Fargo'!$A:$A,M$1,'Wells Fargo'!$B:$B,"&lt;="&amp;'Cash Flow'!M$3,'Wells Fargo'!$B:$B,"&gt;"&amp;'Cash Flow'!L$3)</f>
        <v>0</v>
      </c>
      <c r="N23" s="188">
        <f>SUMIFS('Wells Fargo'!$F:$F,'Wells Fargo'!$G:$G,'Cash Flow'!$A23,'Wells Fargo'!$A:$A,N$1,'Wells Fargo'!$B:$B,"&lt;="&amp;'Cash Flow'!N$3,'Wells Fargo'!$B:$B,"&gt;"&amp;'Cash Flow'!M$3)</f>
        <v>0</v>
      </c>
      <c r="O23" s="188">
        <f>SUMIFS('Wells Fargo'!$F:$F,'Wells Fargo'!$G:$G,'Cash Flow'!$A23,'Wells Fargo'!$A:$A,O$1,'Wells Fargo'!$B:$B,"&lt;="&amp;'Cash Flow'!O$3,'Wells Fargo'!$B:$B,"&gt;"&amp;'Cash Flow'!N$3)</f>
        <v>0</v>
      </c>
      <c r="P23" s="188">
        <f>SUMIFS('Wells Fargo'!$F:$F,'Wells Fargo'!$G:$G,'Cash Flow'!$A23,'Wells Fargo'!$A:$A,P$1,'Wells Fargo'!$B:$B,"&lt;="&amp;'Cash Flow'!P$3,'Wells Fargo'!$B:$B,"&gt;"&amp;'Cash Flow'!O$3)</f>
        <v>0</v>
      </c>
      <c r="Q23" s="189">
        <f>SUMIFS('Wells Fargo'!$F:$F,'Wells Fargo'!$G:$G,'Cash Flow'!$A23,'Wells Fargo'!$A:$A,Q$1,'Wells Fargo'!$B:$B,"&lt;="&amp;'Cash Flow'!Q$3)</f>
        <v>0</v>
      </c>
      <c r="R23" s="188">
        <f>SUMIFS('Wells Fargo'!$F:$F,'Wells Fargo'!$G:$G,'Cash Flow'!$A23,'Wells Fargo'!$A:$A,R$1,'Wells Fargo'!$B:$B,"&lt;="&amp;'Cash Flow'!R$3,'Wells Fargo'!$B:$B,"&gt;"&amp;'Cash Flow'!Q$3)</f>
        <v>0</v>
      </c>
      <c r="S23" s="188">
        <f>SUMIFS('Wells Fargo'!$F:$F,'Wells Fargo'!$G:$G,'Cash Flow'!$A23,'Wells Fargo'!$A:$A,S$1,'Wells Fargo'!$B:$B,"&lt;="&amp;'Cash Flow'!S$3,'Wells Fargo'!$B:$B,"&gt;"&amp;'Cash Flow'!R$3)</f>
        <v>0</v>
      </c>
      <c r="T23" s="188">
        <f>SUMIFS('Wells Fargo'!$F:$F,'Wells Fargo'!$G:$G,'Cash Flow'!$A23,'Wells Fargo'!$A:$A,T$1,'Wells Fargo'!$B:$B,"&lt;="&amp;'Cash Flow'!T$3,'Wells Fargo'!$B:$B,"&gt;"&amp;'Cash Flow'!S$3)</f>
        <v>0</v>
      </c>
      <c r="U23" s="188">
        <f>SUMIFS('Wells Fargo'!$F:$F,'Wells Fargo'!$G:$G,'Cash Flow'!$A23,'Wells Fargo'!$A:$A,U$1,'Wells Fargo'!$B:$B,"&lt;="&amp;'Cash Flow'!U$3,'Wells Fargo'!$B:$B,"&gt;"&amp;'Cash Flow'!T$3)</f>
        <v>0</v>
      </c>
      <c r="V23" s="189">
        <f>SUMIFS('Wells Fargo'!$F:$F,'Wells Fargo'!$G:$G,'Cash Flow'!$A23,'Wells Fargo'!$A:$A,V$1,'Wells Fargo'!$B:$B,"&lt;="&amp;'Cash Flow'!V$3)</f>
        <v>0</v>
      </c>
      <c r="W23" s="188">
        <f>SUMIFS('Wells Fargo'!$F:$F,'Wells Fargo'!$G:$G,'Cash Flow'!$A23,'Wells Fargo'!$A:$A,W$1,'Wells Fargo'!$B:$B,"&lt;="&amp;'Cash Flow'!W$3,'Wells Fargo'!$B:$B,"&gt;"&amp;'Cash Flow'!V$3)</f>
        <v>0</v>
      </c>
      <c r="X23" s="188">
        <f>SUMIFS('Wells Fargo'!$F:$F,'Wells Fargo'!$G:$G,'Cash Flow'!$A23,'Wells Fargo'!$A:$A,X$1,'Wells Fargo'!$B:$B,"&lt;="&amp;'Cash Flow'!X$3,'Wells Fargo'!$B:$B,"&gt;"&amp;'Cash Flow'!W$3)</f>
        <v>0</v>
      </c>
      <c r="Y23" s="188">
        <f>SUMIFS('Wells Fargo'!$F:$F,'Wells Fargo'!$G:$G,'Cash Flow'!$A23,'Wells Fargo'!$A:$A,Y$1,'Wells Fargo'!$B:$B,"&lt;="&amp;'Cash Flow'!Y$3,'Wells Fargo'!$B:$B,"&gt;"&amp;'Cash Flow'!X$3)</f>
        <v>0</v>
      </c>
      <c r="Z23" s="188">
        <f>SUMIFS('Wells Fargo'!$F:$F,'Wells Fargo'!$G:$G,'Cash Flow'!$A23,'Wells Fargo'!$A:$A,Z$1,'Wells Fargo'!$B:$B,"&lt;="&amp;'Cash Flow'!Z$3,'Wells Fargo'!$B:$B,"&gt;"&amp;'Cash Flow'!Y$3)</f>
        <v>0</v>
      </c>
      <c r="AA23" s="189">
        <f>SUMIFS('Wells Fargo'!$F:$F,'Wells Fargo'!$G:$G,'Cash Flow'!$A23,'Wells Fargo'!$A:$A,AA$1,'Wells Fargo'!$B:$B,"&lt;="&amp;'Cash Flow'!AA$3)</f>
        <v>0</v>
      </c>
      <c r="AB23" s="188">
        <f>SUMIFS('Wells Fargo'!$F:$F,'Wells Fargo'!$G:$G,'Cash Flow'!$A23,'Wells Fargo'!$A:$A,AB$1,'Wells Fargo'!$B:$B,"&lt;="&amp;'Cash Flow'!AB$3,'Wells Fargo'!$B:$B,"&gt;"&amp;'Cash Flow'!AA$3)</f>
        <v>0</v>
      </c>
      <c r="AC23" s="188">
        <f>SUMIFS('Wells Fargo'!$F:$F,'Wells Fargo'!$G:$G,'Cash Flow'!$A23,'Wells Fargo'!$A:$A,AC$1,'Wells Fargo'!$B:$B,"&lt;="&amp;'Cash Flow'!AC$3,'Wells Fargo'!$B:$B,"&gt;"&amp;'Cash Flow'!AB$3)</f>
        <v>0</v>
      </c>
      <c r="AD23" s="188">
        <f>SUMIFS('Wells Fargo'!$F:$F,'Wells Fargo'!$G:$G,'Cash Flow'!$A23,'Wells Fargo'!$A:$A,AD$1,'Wells Fargo'!$B:$B,"&lt;="&amp;'Cash Flow'!AD$3,'Wells Fargo'!$B:$B,"&gt;"&amp;'Cash Flow'!AC$3)</f>
        <v>0</v>
      </c>
      <c r="AE23" s="188">
        <f>SUMIFS('Wells Fargo'!$F:$F,'Wells Fargo'!$G:$G,'Cash Flow'!$A23,'Wells Fargo'!$A:$A,AE$1,'Wells Fargo'!$B:$B,"&lt;="&amp;'Cash Flow'!AE$3,'Wells Fargo'!$B:$B,"&gt;"&amp;'Cash Flow'!AD$3)</f>
        <v>0</v>
      </c>
      <c r="AF23" s="189">
        <f>SUMIFS('Wells Fargo'!$F:$F,'Wells Fargo'!$G:$G,'Cash Flow'!$A23,'Wells Fargo'!$A:$A,AF$1,'Wells Fargo'!$B:$B,"&lt;="&amp;'Cash Flow'!AF$3)</f>
        <v>0</v>
      </c>
      <c r="AG23" s="188">
        <f>SUMIFS('Wells Fargo'!$F:$F,'Wells Fargo'!$G:$G,'Cash Flow'!$A23,'Wells Fargo'!$A:$A,AG$1,'Wells Fargo'!$B:$B,"&lt;="&amp;'Cash Flow'!AG$3,'Wells Fargo'!$B:$B,"&gt;"&amp;'Cash Flow'!AF$3)</f>
        <v>0</v>
      </c>
      <c r="AH23" s="188">
        <f>SUMIFS('Wells Fargo'!$F:$F,'Wells Fargo'!$G:$G,'Cash Flow'!$A23,'Wells Fargo'!$A:$A,AH$1,'Wells Fargo'!$B:$B,"&lt;="&amp;'Cash Flow'!AH$3,'Wells Fargo'!$B:$B,"&gt;"&amp;'Cash Flow'!AG$3)</f>
        <v>0</v>
      </c>
      <c r="AI23" s="188">
        <f>SUMIFS('Wells Fargo'!$F:$F,'Wells Fargo'!$G:$G,'Cash Flow'!$A23,'Wells Fargo'!$A:$A,AI$1,'Wells Fargo'!$B:$B,"&lt;="&amp;'Cash Flow'!AI$3,'Wells Fargo'!$B:$B,"&gt;"&amp;'Cash Flow'!AH$3)</f>
        <v>0</v>
      </c>
      <c r="AJ23" s="188">
        <f>SUMIFS('Wells Fargo'!$F:$F,'Wells Fargo'!$G:$G,'Cash Flow'!$A23,'Wells Fargo'!$A:$A,AJ$1,'Wells Fargo'!$B:$B,"&lt;="&amp;'Cash Flow'!AJ$3,'Wells Fargo'!$B:$B,"&gt;"&amp;'Cash Flow'!AI$3)</f>
        <v>0</v>
      </c>
      <c r="AK23" s="189">
        <f>SUMIFS('Wells Fargo'!$F:$F,'Wells Fargo'!$G:$G,'Cash Flow'!$A23,'Wells Fargo'!$A:$A,AK$1,'Wells Fargo'!$B:$B,"&lt;="&amp;'Cash Flow'!AK$3)</f>
        <v>0</v>
      </c>
      <c r="AL23" s="188">
        <f>SUMIFS('Wells Fargo'!$F:$F,'Wells Fargo'!$G:$G,'Cash Flow'!$A23,'Wells Fargo'!$A:$A,AL$1,'Wells Fargo'!$B:$B,"&lt;="&amp;'Cash Flow'!AL$3,'Wells Fargo'!$B:$B,"&gt;"&amp;'Cash Flow'!AK$3)</f>
        <v>0</v>
      </c>
      <c r="AM23" s="188">
        <f>SUMIFS('Wells Fargo'!$F:$F,'Wells Fargo'!$G:$G,'Cash Flow'!$A23,'Wells Fargo'!$A:$A,AM$1,'Wells Fargo'!$B:$B,"&lt;="&amp;'Cash Flow'!AM$3,'Wells Fargo'!$B:$B,"&gt;"&amp;'Cash Flow'!AL$3)</f>
        <v>0</v>
      </c>
      <c r="AN23" s="188">
        <f>SUMIFS('Wells Fargo'!$F:$F,'Wells Fargo'!$G:$G,'Cash Flow'!$A23,'Wells Fargo'!$A:$A,AN$1,'Wells Fargo'!$B:$B,"&lt;="&amp;'Cash Flow'!AN$3,'Wells Fargo'!$B:$B,"&gt;"&amp;'Cash Flow'!AM$3)</f>
        <v>0</v>
      </c>
      <c r="AO23" s="188">
        <f>SUMIFS('Wells Fargo'!$F:$F,'Wells Fargo'!$G:$G,'Cash Flow'!$A23,'Wells Fargo'!$A:$A,AO$1,'Wells Fargo'!$B:$B,"&lt;="&amp;'Cash Flow'!AO$3,'Wells Fargo'!$B:$B,"&gt;"&amp;'Cash Flow'!AN$3)</f>
        <v>0</v>
      </c>
      <c r="AP23" s="189">
        <f>SUMIFS('Wells Fargo'!$F:$F,'Wells Fargo'!$G:$G,'Cash Flow'!$A23,'Wells Fargo'!$A:$A,AP$1,'Wells Fargo'!$B:$B,"&lt;="&amp;'Cash Flow'!AP$3)</f>
        <v>0</v>
      </c>
      <c r="AQ23" s="188">
        <f>SUMIFS('Wells Fargo'!$F:$F,'Wells Fargo'!$G:$G,'Cash Flow'!$A23,'Wells Fargo'!$A:$A,AQ$1,'Wells Fargo'!$B:$B,"&lt;="&amp;'Cash Flow'!AQ$3,'Wells Fargo'!$B:$B,"&gt;"&amp;'Cash Flow'!AP$3)</f>
        <v>0</v>
      </c>
      <c r="AR23" s="188">
        <f>SUMIFS('Wells Fargo'!$F:$F,'Wells Fargo'!$G:$G,'Cash Flow'!$A23,'Wells Fargo'!$A:$A,AR$1,'Wells Fargo'!$B:$B,"&lt;="&amp;'Cash Flow'!AR$3,'Wells Fargo'!$B:$B,"&gt;"&amp;'Cash Flow'!AQ$3)</f>
        <v>-100</v>
      </c>
      <c r="AS23" s="188">
        <f>SUMIFS('Wells Fargo'!$F:$F,'Wells Fargo'!$G:$G,'Cash Flow'!$A23,'Wells Fargo'!$A:$A,AS$1,'Wells Fargo'!$B:$B,"&lt;="&amp;'Cash Flow'!AS$3,'Wells Fargo'!$B:$B,"&gt;"&amp;'Cash Flow'!AR$3)</f>
        <v>0</v>
      </c>
      <c r="AT23" s="188">
        <f>SUMIFS('Wells Fargo'!$F:$F,'Wells Fargo'!$G:$G,'Cash Flow'!$A23,'Wells Fargo'!$A:$A,AT$1,'Wells Fargo'!$B:$B,"&lt;="&amp;'Cash Flow'!AT$3,'Wells Fargo'!$B:$B,"&gt;"&amp;'Cash Flow'!AS$3)</f>
        <v>0</v>
      </c>
      <c r="AU23" s="189">
        <f>SUMIFS('Wells Fargo'!$F:$F,'Wells Fargo'!$G:$G,'Cash Flow'!$A23,'Wells Fargo'!$A:$A,AU$1,'Wells Fargo'!$B:$B,"&lt;="&amp;'Cash Flow'!AU$3)</f>
        <v>0</v>
      </c>
      <c r="AV23" s="188">
        <f>SUMIFS('Wells Fargo'!$F:$F,'Wells Fargo'!$G:$G,'Cash Flow'!$A23,'Wells Fargo'!$A:$A,AV$1,'Wells Fargo'!$B:$B,"&lt;="&amp;'Cash Flow'!AV$3,'Wells Fargo'!$B:$B,"&gt;"&amp;'Cash Flow'!AU$3)</f>
        <v>0</v>
      </c>
      <c r="AW23" s="188">
        <f>SUMIFS('Wells Fargo'!$F:$F,'Wells Fargo'!$G:$G,'Cash Flow'!$A23,'Wells Fargo'!$A:$A,AW$1,'Wells Fargo'!$B:$B,"&lt;="&amp;'Cash Flow'!AW$3,'Wells Fargo'!$B:$B,"&gt;"&amp;'Cash Flow'!AV$3)</f>
        <v>0</v>
      </c>
      <c r="AX23" s="188">
        <f>SUMIFS('Wells Fargo'!$F:$F,'Wells Fargo'!$G:$G,'Cash Flow'!$A23,'Wells Fargo'!$A:$A,AX$1,'Wells Fargo'!$B:$B,"&lt;="&amp;'Cash Flow'!AX$3,'Wells Fargo'!$B:$B,"&gt;"&amp;'Cash Flow'!AW$3)</f>
        <v>0</v>
      </c>
      <c r="AY23" s="188">
        <f>SUMIFS('Wells Fargo'!$F:$F,'Wells Fargo'!$G:$G,'Cash Flow'!$A23,'Wells Fargo'!$A:$A,AY$1,'Wells Fargo'!$B:$B,"&lt;="&amp;'Cash Flow'!AY$3,'Wells Fargo'!$B:$B,"&gt;"&amp;'Cash Flow'!AX$3)</f>
        <v>0</v>
      </c>
      <c r="AZ23" s="189">
        <f>SUMIFS('Wells Fargo'!$F:$F,'Wells Fargo'!$G:$G,'Cash Flow'!$A23,'Wells Fargo'!$A:$A,AZ$1,'Wells Fargo'!$B:$B,"&lt;="&amp;'Cash Flow'!AZ$3)</f>
        <v>0</v>
      </c>
      <c r="BA23" s="188">
        <f>SUMIFS('Wells Fargo'!$F:$F,'Wells Fargo'!$G:$G,'Cash Flow'!$A23,'Wells Fargo'!$A:$A,BA$1,'Wells Fargo'!$B:$B,"&lt;="&amp;'Cash Flow'!BA$3,'Wells Fargo'!$B:$B,"&gt;"&amp;'Cash Flow'!AZ$3)</f>
        <v>0</v>
      </c>
      <c r="BB23" s="188">
        <f>SUMIFS('Wells Fargo'!$F:$F,'Wells Fargo'!$G:$G,'Cash Flow'!$A23,'Wells Fargo'!$A:$A,BB$1,'Wells Fargo'!$B:$B,"&lt;="&amp;'Cash Flow'!BB$3,'Wells Fargo'!$B:$B,"&gt;"&amp;'Cash Flow'!BA$3)</f>
        <v>0</v>
      </c>
      <c r="BC23" s="188">
        <f>SUMIFS('Wells Fargo'!$F:$F,'Wells Fargo'!$G:$G,'Cash Flow'!$A23,'Wells Fargo'!$A:$A,BC$1,'Wells Fargo'!$B:$B,"&lt;="&amp;'Cash Flow'!BC$3,'Wells Fargo'!$B:$B,"&gt;"&amp;'Cash Flow'!BB$3)</f>
        <v>0</v>
      </c>
      <c r="BD23" s="188">
        <f>SUMIFS('Wells Fargo'!$F:$F,'Wells Fargo'!$G:$G,'Cash Flow'!$A23,'Wells Fargo'!$A:$A,BD$1,'Wells Fargo'!$B:$B,"&lt;="&amp;'Cash Flow'!BD$3,'Wells Fargo'!$B:$B,"&gt;"&amp;'Cash Flow'!BC$3)</f>
        <v>0</v>
      </c>
      <c r="BE23" s="189">
        <f>SUMIFS('Wells Fargo'!$F:$F,'Wells Fargo'!$G:$G,'Cash Flow'!$A23,'Wells Fargo'!$A:$A,BE$1,'Wells Fargo'!$B:$B,"&lt;="&amp;'Cash Flow'!BE$3)</f>
        <v>0</v>
      </c>
      <c r="BF23" s="188">
        <f>SUMIFS('Wells Fargo'!$F:$F,'Wells Fargo'!$G:$G,'Cash Flow'!$A23,'Wells Fargo'!$A:$A,BF$1,'Wells Fargo'!$B:$B,"&lt;="&amp;'Cash Flow'!BF$3,'Wells Fargo'!$B:$B,"&gt;"&amp;'Cash Flow'!BE$3)</f>
        <v>0</v>
      </c>
      <c r="BG23" s="188">
        <f>SUMIFS('Wells Fargo'!$F:$F,'Wells Fargo'!$G:$G,'Cash Flow'!$A23,'Wells Fargo'!$A:$A,BG$1,'Wells Fargo'!$B:$B,"&lt;="&amp;'Cash Flow'!BG$3,'Wells Fargo'!$B:$B,"&gt;"&amp;'Cash Flow'!BF$3)</f>
        <v>0</v>
      </c>
      <c r="BH23" s="188">
        <f>SUMIFS('Wells Fargo'!$F:$F,'Wells Fargo'!$G:$G,'Cash Flow'!$A23,'Wells Fargo'!$A:$A,BH$1,'Wells Fargo'!$B:$B,"&lt;="&amp;'Cash Flow'!BH$3,'Wells Fargo'!$B:$B,"&gt;"&amp;'Cash Flow'!BG$3)</f>
        <v>0</v>
      </c>
      <c r="BI23" s="188">
        <f>SUMIFS('Wells Fargo'!$F:$F,'Wells Fargo'!$G:$G,'Cash Flow'!$A23,'Wells Fargo'!$A:$A,BI$1,'Wells Fargo'!$B:$B,"&lt;="&amp;'Cash Flow'!BI$3,'Wells Fargo'!$B:$B,"&gt;"&amp;'Cash Flow'!BH$3)</f>
        <v>0</v>
      </c>
    </row>
    <row r="24" spans="1:61" ht="12.75" x14ac:dyDescent="0.2">
      <c r="A24" t="str">
        <v>Dorry</v>
      </c>
      <c r="B24" s="87">
        <f t="shared" si="0"/>
        <v>-540</v>
      </c>
      <c r="C24" s="189">
        <f>SUMIFS('Wells Fargo'!$F:$F,'Wells Fargo'!$G:$G,'Cash Flow'!$A24,'Wells Fargo'!$A:$A,C$1,'Wells Fargo'!$B:$B,"&lt;="&amp;'Cash Flow'!C$3)</f>
        <v>0</v>
      </c>
      <c r="D24" s="188">
        <f>SUMIFS('Wells Fargo'!$F:$F,'Wells Fargo'!$G:$G,'Cash Flow'!$A24,'Wells Fargo'!$A:$A,D$1,'Wells Fargo'!$B:$B,"&lt;="&amp;'Cash Flow'!D$3,'Wells Fargo'!$B:$B,"&gt;"&amp;'Cash Flow'!C$3)</f>
        <v>0</v>
      </c>
      <c r="E24" s="188">
        <f>SUMIFS('Wells Fargo'!$F:$F,'Wells Fargo'!$G:$G,'Cash Flow'!$A24,'Wells Fargo'!$A:$A,E$1,'Wells Fargo'!$B:$B,"&lt;="&amp;'Cash Flow'!E$3,'Wells Fargo'!$B:$B,"&gt;"&amp;'Cash Flow'!D$3)</f>
        <v>0</v>
      </c>
      <c r="F24" s="188">
        <f>SUMIFS('Wells Fargo'!$F:$F,'Wells Fargo'!$G:$G,'Cash Flow'!$A24,'Wells Fargo'!$A:$A,F$1,'Wells Fargo'!$B:$B,"&lt;="&amp;'Cash Flow'!F$3,'Wells Fargo'!$B:$B,"&gt;"&amp;'Cash Flow'!E$3)</f>
        <v>0</v>
      </c>
      <c r="G24" s="188">
        <f>SUMIFS('Wells Fargo'!$F:$F,'Wells Fargo'!$G:$G,'Cash Flow'!$A24,'Wells Fargo'!$A:$A,G$1,'Wells Fargo'!$B:$B,"&lt;="&amp;'Cash Flow'!G$3,'Wells Fargo'!$B:$B,"&gt;"&amp;'Cash Flow'!F$3)</f>
        <v>0</v>
      </c>
      <c r="H24" s="189">
        <f>SUMIFS('Wells Fargo'!$F:$F,'Wells Fargo'!$G:$G,'Cash Flow'!$A24,'Wells Fargo'!$A:$A,H$1,'Wells Fargo'!$B:$B,"&lt;="&amp;'Cash Flow'!H$3)</f>
        <v>0</v>
      </c>
      <c r="I24" s="188">
        <f>SUMIFS('Wells Fargo'!$F:$F,'Wells Fargo'!$G:$G,'Cash Flow'!$A24,'Wells Fargo'!$A:$A,I$1,'Wells Fargo'!$B:$B,"&lt;="&amp;'Cash Flow'!I$3,'Wells Fargo'!$B:$B,"&gt;"&amp;'Cash Flow'!H$3)</f>
        <v>0</v>
      </c>
      <c r="J24" s="188">
        <f>SUMIFS('Wells Fargo'!$F:$F,'Wells Fargo'!$G:$G,'Cash Flow'!$A24,'Wells Fargo'!$A:$A,J$1,'Wells Fargo'!$B:$B,"&lt;="&amp;'Cash Flow'!J$3,'Wells Fargo'!$B:$B,"&gt;"&amp;'Cash Flow'!I$3)</f>
        <v>0</v>
      </c>
      <c r="K24" s="188">
        <f>SUMIFS('Wells Fargo'!$F:$F,'Wells Fargo'!$G:$G,'Cash Flow'!$A24,'Wells Fargo'!$A:$A,K$1,'Wells Fargo'!$B:$B,"&lt;="&amp;'Cash Flow'!K$3,'Wells Fargo'!$B:$B,"&gt;"&amp;'Cash Flow'!J$3)</f>
        <v>0</v>
      </c>
      <c r="L24" s="189">
        <f>SUMIFS('Wells Fargo'!$F:$F,'Wells Fargo'!$G:$G,'Cash Flow'!$A24,'Wells Fargo'!$A:$A,L$1,'Wells Fargo'!$B:$B,"&lt;="&amp;'Cash Flow'!L$3)</f>
        <v>0</v>
      </c>
      <c r="M24" s="188">
        <f>SUMIFS('Wells Fargo'!$F:$F,'Wells Fargo'!$G:$G,'Cash Flow'!$A24,'Wells Fargo'!$A:$A,M$1,'Wells Fargo'!$B:$B,"&lt;="&amp;'Cash Flow'!M$3,'Wells Fargo'!$B:$B,"&gt;"&amp;'Cash Flow'!L$3)</f>
        <v>0</v>
      </c>
      <c r="N24" s="188">
        <f>SUMIFS('Wells Fargo'!$F:$F,'Wells Fargo'!$G:$G,'Cash Flow'!$A24,'Wells Fargo'!$A:$A,N$1,'Wells Fargo'!$B:$B,"&lt;="&amp;'Cash Flow'!N$3,'Wells Fargo'!$B:$B,"&gt;"&amp;'Cash Flow'!M$3)</f>
        <v>0</v>
      </c>
      <c r="O24" s="188">
        <f>SUMIFS('Wells Fargo'!$F:$F,'Wells Fargo'!$G:$G,'Cash Flow'!$A24,'Wells Fargo'!$A:$A,O$1,'Wells Fargo'!$B:$B,"&lt;="&amp;'Cash Flow'!O$3,'Wells Fargo'!$B:$B,"&gt;"&amp;'Cash Flow'!N$3)</f>
        <v>0</v>
      </c>
      <c r="P24" s="188">
        <f>SUMIFS('Wells Fargo'!$F:$F,'Wells Fargo'!$G:$G,'Cash Flow'!$A24,'Wells Fargo'!$A:$A,P$1,'Wells Fargo'!$B:$B,"&lt;="&amp;'Cash Flow'!P$3,'Wells Fargo'!$B:$B,"&gt;"&amp;'Cash Flow'!O$3)</f>
        <v>0</v>
      </c>
      <c r="Q24" s="189">
        <f>SUMIFS('Wells Fargo'!$F:$F,'Wells Fargo'!$G:$G,'Cash Flow'!$A24,'Wells Fargo'!$A:$A,Q$1,'Wells Fargo'!$B:$B,"&lt;="&amp;'Cash Flow'!Q$3)</f>
        <v>0</v>
      </c>
      <c r="R24" s="188">
        <f>SUMIFS('Wells Fargo'!$F:$F,'Wells Fargo'!$G:$G,'Cash Flow'!$A24,'Wells Fargo'!$A:$A,R$1,'Wells Fargo'!$B:$B,"&lt;="&amp;'Cash Flow'!R$3,'Wells Fargo'!$B:$B,"&gt;"&amp;'Cash Flow'!Q$3)</f>
        <v>0</v>
      </c>
      <c r="S24" s="188">
        <f>SUMIFS('Wells Fargo'!$F:$F,'Wells Fargo'!$G:$G,'Cash Flow'!$A24,'Wells Fargo'!$A:$A,S$1,'Wells Fargo'!$B:$B,"&lt;="&amp;'Cash Flow'!S$3,'Wells Fargo'!$B:$B,"&gt;"&amp;'Cash Flow'!R$3)</f>
        <v>-250</v>
      </c>
      <c r="T24" s="188">
        <f>SUMIFS('Wells Fargo'!$F:$F,'Wells Fargo'!$G:$G,'Cash Flow'!$A24,'Wells Fargo'!$A:$A,T$1,'Wells Fargo'!$B:$B,"&lt;="&amp;'Cash Flow'!T$3,'Wells Fargo'!$B:$B,"&gt;"&amp;'Cash Flow'!S$3)</f>
        <v>0</v>
      </c>
      <c r="U24" s="188">
        <f>SUMIFS('Wells Fargo'!$F:$F,'Wells Fargo'!$G:$G,'Cash Flow'!$A24,'Wells Fargo'!$A:$A,U$1,'Wells Fargo'!$B:$B,"&lt;="&amp;'Cash Flow'!U$3,'Wells Fargo'!$B:$B,"&gt;"&amp;'Cash Flow'!T$3)</f>
        <v>-50</v>
      </c>
      <c r="V24" s="189">
        <f>SUMIFS('Wells Fargo'!$F:$F,'Wells Fargo'!$G:$G,'Cash Flow'!$A24,'Wells Fargo'!$A:$A,V$1,'Wells Fargo'!$B:$B,"&lt;="&amp;'Cash Flow'!V$3)</f>
        <v>0</v>
      </c>
      <c r="W24" s="188">
        <f>SUMIFS('Wells Fargo'!$F:$F,'Wells Fargo'!$G:$G,'Cash Flow'!$A24,'Wells Fargo'!$A:$A,W$1,'Wells Fargo'!$B:$B,"&lt;="&amp;'Cash Flow'!W$3,'Wells Fargo'!$B:$B,"&gt;"&amp;'Cash Flow'!V$3)</f>
        <v>0</v>
      </c>
      <c r="X24" s="188">
        <f>SUMIFS('Wells Fargo'!$F:$F,'Wells Fargo'!$G:$G,'Cash Flow'!$A24,'Wells Fargo'!$A:$A,X$1,'Wells Fargo'!$B:$B,"&lt;="&amp;'Cash Flow'!X$3,'Wells Fargo'!$B:$B,"&gt;"&amp;'Cash Flow'!W$3)</f>
        <v>0</v>
      </c>
      <c r="Y24" s="188">
        <f>SUMIFS('Wells Fargo'!$F:$F,'Wells Fargo'!$G:$G,'Cash Flow'!$A24,'Wells Fargo'!$A:$A,Y$1,'Wells Fargo'!$B:$B,"&lt;="&amp;'Cash Flow'!Y$3,'Wells Fargo'!$B:$B,"&gt;"&amp;'Cash Flow'!X$3)</f>
        <v>0</v>
      </c>
      <c r="Z24" s="188">
        <f>SUMIFS('Wells Fargo'!$F:$F,'Wells Fargo'!$G:$G,'Cash Flow'!$A24,'Wells Fargo'!$A:$A,Z$1,'Wells Fargo'!$B:$B,"&lt;="&amp;'Cash Flow'!Z$3,'Wells Fargo'!$B:$B,"&gt;"&amp;'Cash Flow'!Y$3)</f>
        <v>0</v>
      </c>
      <c r="AA24" s="189">
        <f>SUMIFS('Wells Fargo'!$F:$F,'Wells Fargo'!$G:$G,'Cash Flow'!$A24,'Wells Fargo'!$A:$A,AA$1,'Wells Fargo'!$B:$B,"&lt;="&amp;'Cash Flow'!AA$3)</f>
        <v>0</v>
      </c>
      <c r="AB24" s="188">
        <f>SUMIFS('Wells Fargo'!$F:$F,'Wells Fargo'!$G:$G,'Cash Flow'!$A24,'Wells Fargo'!$A:$A,AB$1,'Wells Fargo'!$B:$B,"&lt;="&amp;'Cash Flow'!AB$3,'Wells Fargo'!$B:$B,"&gt;"&amp;'Cash Flow'!AA$3)</f>
        <v>0</v>
      </c>
      <c r="AC24" s="188">
        <f>SUMIFS('Wells Fargo'!$F:$F,'Wells Fargo'!$G:$G,'Cash Flow'!$A24,'Wells Fargo'!$A:$A,AC$1,'Wells Fargo'!$B:$B,"&lt;="&amp;'Cash Flow'!AC$3,'Wells Fargo'!$B:$B,"&gt;"&amp;'Cash Flow'!AB$3)</f>
        <v>0</v>
      </c>
      <c r="AD24" s="188">
        <f>SUMIFS('Wells Fargo'!$F:$F,'Wells Fargo'!$G:$G,'Cash Flow'!$A24,'Wells Fargo'!$A:$A,AD$1,'Wells Fargo'!$B:$B,"&lt;="&amp;'Cash Flow'!AD$3,'Wells Fargo'!$B:$B,"&gt;"&amp;'Cash Flow'!AC$3)</f>
        <v>0</v>
      </c>
      <c r="AE24" s="188">
        <f>SUMIFS('Wells Fargo'!$F:$F,'Wells Fargo'!$G:$G,'Cash Flow'!$A24,'Wells Fargo'!$A:$A,AE$1,'Wells Fargo'!$B:$B,"&lt;="&amp;'Cash Flow'!AE$3,'Wells Fargo'!$B:$B,"&gt;"&amp;'Cash Flow'!AD$3)</f>
        <v>0</v>
      </c>
      <c r="AF24" s="189">
        <f>SUMIFS('Wells Fargo'!$F:$F,'Wells Fargo'!$G:$G,'Cash Flow'!$A24,'Wells Fargo'!$A:$A,AF$1,'Wells Fargo'!$B:$B,"&lt;="&amp;'Cash Flow'!AF$3)</f>
        <v>0</v>
      </c>
      <c r="AG24" s="188">
        <f>SUMIFS('Wells Fargo'!$F:$F,'Wells Fargo'!$G:$G,'Cash Flow'!$A24,'Wells Fargo'!$A:$A,AG$1,'Wells Fargo'!$B:$B,"&lt;="&amp;'Cash Flow'!AG$3,'Wells Fargo'!$B:$B,"&gt;"&amp;'Cash Flow'!AF$3)</f>
        <v>0</v>
      </c>
      <c r="AH24" s="188">
        <f>SUMIFS('Wells Fargo'!$F:$F,'Wells Fargo'!$G:$G,'Cash Flow'!$A24,'Wells Fargo'!$A:$A,AH$1,'Wells Fargo'!$B:$B,"&lt;="&amp;'Cash Flow'!AH$3,'Wells Fargo'!$B:$B,"&gt;"&amp;'Cash Flow'!AG$3)</f>
        <v>0</v>
      </c>
      <c r="AI24" s="188">
        <f>SUMIFS('Wells Fargo'!$F:$F,'Wells Fargo'!$G:$G,'Cash Flow'!$A24,'Wells Fargo'!$A:$A,AI$1,'Wells Fargo'!$B:$B,"&lt;="&amp;'Cash Flow'!AI$3,'Wells Fargo'!$B:$B,"&gt;"&amp;'Cash Flow'!AH$3)</f>
        <v>0</v>
      </c>
      <c r="AJ24" s="188">
        <f>SUMIFS('Wells Fargo'!$F:$F,'Wells Fargo'!$G:$G,'Cash Flow'!$A24,'Wells Fargo'!$A:$A,AJ$1,'Wells Fargo'!$B:$B,"&lt;="&amp;'Cash Flow'!AJ$3,'Wells Fargo'!$B:$B,"&gt;"&amp;'Cash Flow'!AI$3)</f>
        <v>0</v>
      </c>
      <c r="AK24" s="189">
        <f>SUMIFS('Wells Fargo'!$F:$F,'Wells Fargo'!$G:$G,'Cash Flow'!$A24,'Wells Fargo'!$A:$A,AK$1,'Wells Fargo'!$B:$B,"&lt;="&amp;'Cash Flow'!AK$3)</f>
        <v>0</v>
      </c>
      <c r="AL24" s="188">
        <f>SUMIFS('Wells Fargo'!$F:$F,'Wells Fargo'!$G:$G,'Cash Flow'!$A24,'Wells Fargo'!$A:$A,AL$1,'Wells Fargo'!$B:$B,"&lt;="&amp;'Cash Flow'!AL$3,'Wells Fargo'!$B:$B,"&gt;"&amp;'Cash Flow'!AK$3)</f>
        <v>-40</v>
      </c>
      <c r="AM24" s="188">
        <f>SUMIFS('Wells Fargo'!$F:$F,'Wells Fargo'!$G:$G,'Cash Flow'!$A24,'Wells Fargo'!$A:$A,AM$1,'Wells Fargo'!$B:$B,"&lt;="&amp;'Cash Flow'!AM$3,'Wells Fargo'!$B:$B,"&gt;"&amp;'Cash Flow'!AL$3)</f>
        <v>0</v>
      </c>
      <c r="AN24" s="188">
        <f>SUMIFS('Wells Fargo'!$F:$F,'Wells Fargo'!$G:$G,'Cash Flow'!$A24,'Wells Fargo'!$A:$A,AN$1,'Wells Fargo'!$B:$B,"&lt;="&amp;'Cash Flow'!AN$3,'Wells Fargo'!$B:$B,"&gt;"&amp;'Cash Flow'!AM$3)</f>
        <v>0</v>
      </c>
      <c r="AO24" s="188">
        <f>SUMIFS('Wells Fargo'!$F:$F,'Wells Fargo'!$G:$G,'Cash Flow'!$A24,'Wells Fargo'!$A:$A,AO$1,'Wells Fargo'!$B:$B,"&lt;="&amp;'Cash Flow'!AO$3,'Wells Fargo'!$B:$B,"&gt;"&amp;'Cash Flow'!AN$3)</f>
        <v>0</v>
      </c>
      <c r="AP24" s="189">
        <f>SUMIFS('Wells Fargo'!$F:$F,'Wells Fargo'!$G:$G,'Cash Flow'!$A24,'Wells Fargo'!$A:$A,AP$1,'Wells Fargo'!$B:$B,"&lt;="&amp;'Cash Flow'!AP$3)</f>
        <v>-200</v>
      </c>
      <c r="AQ24" s="188">
        <f>SUMIFS('Wells Fargo'!$F:$F,'Wells Fargo'!$G:$G,'Cash Flow'!$A24,'Wells Fargo'!$A:$A,AQ$1,'Wells Fargo'!$B:$B,"&lt;="&amp;'Cash Flow'!AQ$3,'Wells Fargo'!$B:$B,"&gt;"&amp;'Cash Flow'!AP$3)</f>
        <v>0</v>
      </c>
      <c r="AR24" s="188">
        <f>SUMIFS('Wells Fargo'!$F:$F,'Wells Fargo'!$G:$G,'Cash Flow'!$A24,'Wells Fargo'!$A:$A,AR$1,'Wells Fargo'!$B:$B,"&lt;="&amp;'Cash Flow'!AR$3,'Wells Fargo'!$B:$B,"&gt;"&amp;'Cash Flow'!AQ$3)</f>
        <v>0</v>
      </c>
      <c r="AS24" s="188">
        <f>SUMIFS('Wells Fargo'!$F:$F,'Wells Fargo'!$G:$G,'Cash Flow'!$A24,'Wells Fargo'!$A:$A,AS$1,'Wells Fargo'!$B:$B,"&lt;="&amp;'Cash Flow'!AS$3,'Wells Fargo'!$B:$B,"&gt;"&amp;'Cash Flow'!AR$3)</f>
        <v>0</v>
      </c>
      <c r="AT24" s="188">
        <f>SUMIFS('Wells Fargo'!$F:$F,'Wells Fargo'!$G:$G,'Cash Flow'!$A24,'Wells Fargo'!$A:$A,AT$1,'Wells Fargo'!$B:$B,"&lt;="&amp;'Cash Flow'!AT$3,'Wells Fargo'!$B:$B,"&gt;"&amp;'Cash Flow'!AS$3)</f>
        <v>0</v>
      </c>
      <c r="AU24" s="189">
        <f>SUMIFS('Wells Fargo'!$F:$F,'Wells Fargo'!$G:$G,'Cash Flow'!$A24,'Wells Fargo'!$A:$A,AU$1,'Wells Fargo'!$B:$B,"&lt;="&amp;'Cash Flow'!AU$3)</f>
        <v>0</v>
      </c>
      <c r="AV24" s="188">
        <f>SUMIFS('Wells Fargo'!$F:$F,'Wells Fargo'!$G:$G,'Cash Flow'!$A24,'Wells Fargo'!$A:$A,AV$1,'Wells Fargo'!$B:$B,"&lt;="&amp;'Cash Flow'!AV$3,'Wells Fargo'!$B:$B,"&gt;"&amp;'Cash Flow'!AU$3)</f>
        <v>0</v>
      </c>
      <c r="AW24" s="188">
        <f>SUMIFS('Wells Fargo'!$F:$F,'Wells Fargo'!$G:$G,'Cash Flow'!$A24,'Wells Fargo'!$A:$A,AW$1,'Wells Fargo'!$B:$B,"&lt;="&amp;'Cash Flow'!AW$3,'Wells Fargo'!$B:$B,"&gt;"&amp;'Cash Flow'!AV$3)</f>
        <v>0</v>
      </c>
      <c r="AX24" s="188">
        <f>SUMIFS('Wells Fargo'!$F:$F,'Wells Fargo'!$G:$G,'Cash Flow'!$A24,'Wells Fargo'!$A:$A,AX$1,'Wells Fargo'!$B:$B,"&lt;="&amp;'Cash Flow'!AX$3,'Wells Fargo'!$B:$B,"&gt;"&amp;'Cash Flow'!AW$3)</f>
        <v>0</v>
      </c>
      <c r="AY24" s="188">
        <f>SUMIFS('Wells Fargo'!$F:$F,'Wells Fargo'!$G:$G,'Cash Flow'!$A24,'Wells Fargo'!$A:$A,AY$1,'Wells Fargo'!$B:$B,"&lt;="&amp;'Cash Flow'!AY$3,'Wells Fargo'!$B:$B,"&gt;"&amp;'Cash Flow'!AX$3)</f>
        <v>0</v>
      </c>
      <c r="AZ24" s="189">
        <f>SUMIFS('Wells Fargo'!$F:$F,'Wells Fargo'!$G:$G,'Cash Flow'!$A24,'Wells Fargo'!$A:$A,AZ$1,'Wells Fargo'!$B:$B,"&lt;="&amp;'Cash Flow'!AZ$3)</f>
        <v>0</v>
      </c>
      <c r="BA24" s="188">
        <f>SUMIFS('Wells Fargo'!$F:$F,'Wells Fargo'!$G:$G,'Cash Flow'!$A24,'Wells Fargo'!$A:$A,BA$1,'Wells Fargo'!$B:$B,"&lt;="&amp;'Cash Flow'!BA$3,'Wells Fargo'!$B:$B,"&gt;"&amp;'Cash Flow'!AZ$3)</f>
        <v>0</v>
      </c>
      <c r="BB24" s="188">
        <f>SUMIFS('Wells Fargo'!$F:$F,'Wells Fargo'!$G:$G,'Cash Flow'!$A24,'Wells Fargo'!$A:$A,BB$1,'Wells Fargo'!$B:$B,"&lt;="&amp;'Cash Flow'!BB$3,'Wells Fargo'!$B:$B,"&gt;"&amp;'Cash Flow'!BA$3)</f>
        <v>0</v>
      </c>
      <c r="BC24" s="188">
        <f>SUMIFS('Wells Fargo'!$F:$F,'Wells Fargo'!$G:$G,'Cash Flow'!$A24,'Wells Fargo'!$A:$A,BC$1,'Wells Fargo'!$B:$B,"&lt;="&amp;'Cash Flow'!BC$3,'Wells Fargo'!$B:$B,"&gt;"&amp;'Cash Flow'!BB$3)</f>
        <v>0</v>
      </c>
      <c r="BD24" s="188">
        <f>SUMIFS('Wells Fargo'!$F:$F,'Wells Fargo'!$G:$G,'Cash Flow'!$A24,'Wells Fargo'!$A:$A,BD$1,'Wells Fargo'!$B:$B,"&lt;="&amp;'Cash Flow'!BD$3,'Wells Fargo'!$B:$B,"&gt;"&amp;'Cash Flow'!BC$3)</f>
        <v>0</v>
      </c>
      <c r="BE24" s="189">
        <f>SUMIFS('Wells Fargo'!$F:$F,'Wells Fargo'!$G:$G,'Cash Flow'!$A24,'Wells Fargo'!$A:$A,BE$1,'Wells Fargo'!$B:$B,"&lt;="&amp;'Cash Flow'!BE$3)</f>
        <v>0</v>
      </c>
      <c r="BF24" s="188">
        <f>SUMIFS('Wells Fargo'!$F:$F,'Wells Fargo'!$G:$G,'Cash Flow'!$A24,'Wells Fargo'!$A:$A,BF$1,'Wells Fargo'!$B:$B,"&lt;="&amp;'Cash Flow'!BF$3,'Wells Fargo'!$B:$B,"&gt;"&amp;'Cash Flow'!BE$3)</f>
        <v>0</v>
      </c>
      <c r="BG24" s="188">
        <f>SUMIFS('Wells Fargo'!$F:$F,'Wells Fargo'!$G:$G,'Cash Flow'!$A24,'Wells Fargo'!$A:$A,BG$1,'Wells Fargo'!$B:$B,"&lt;="&amp;'Cash Flow'!BG$3,'Wells Fargo'!$B:$B,"&gt;"&amp;'Cash Flow'!BF$3)</f>
        <v>0</v>
      </c>
      <c r="BH24" s="188">
        <f>SUMIFS('Wells Fargo'!$F:$F,'Wells Fargo'!$G:$G,'Cash Flow'!$A24,'Wells Fargo'!$A:$A,BH$1,'Wells Fargo'!$B:$B,"&lt;="&amp;'Cash Flow'!BH$3,'Wells Fargo'!$B:$B,"&gt;"&amp;'Cash Flow'!BG$3)</f>
        <v>0</v>
      </c>
      <c r="BI24" s="188">
        <f>SUMIFS('Wells Fargo'!$F:$F,'Wells Fargo'!$G:$G,'Cash Flow'!$A24,'Wells Fargo'!$A:$A,BI$1,'Wells Fargo'!$B:$B,"&lt;="&amp;'Cash Flow'!BI$3,'Wells Fargo'!$B:$B,"&gt;"&amp;'Cash Flow'!BH$3)</f>
        <v>0</v>
      </c>
    </row>
    <row r="25" spans="1:61" ht="12.75" x14ac:dyDescent="0.2">
      <c r="A25" t="str">
        <v>Elephant</v>
      </c>
      <c r="B25" s="87">
        <f t="shared" si="0"/>
        <v>15895.410000000002</v>
      </c>
      <c r="C25" s="189">
        <f>SUMIFS('Wells Fargo'!$F:$F,'Wells Fargo'!$G:$G,'Cash Flow'!$A25,'Wells Fargo'!$A:$A,C$1,'Wells Fargo'!$B:$B,"&lt;="&amp;'Cash Flow'!C$3)</f>
        <v>0</v>
      </c>
      <c r="D25" s="188">
        <f>SUMIFS('Wells Fargo'!$F:$F,'Wells Fargo'!$G:$G,'Cash Flow'!$A25,'Wells Fargo'!$A:$A,D$1,'Wells Fargo'!$B:$B,"&lt;="&amp;'Cash Flow'!D$3,'Wells Fargo'!$B:$B,"&gt;"&amp;'Cash Flow'!C$3)</f>
        <v>0</v>
      </c>
      <c r="E25" s="188">
        <f>SUMIFS('Wells Fargo'!$F:$F,'Wells Fargo'!$G:$G,'Cash Flow'!$A25,'Wells Fargo'!$A:$A,E$1,'Wells Fargo'!$B:$B,"&lt;="&amp;'Cash Flow'!E$3,'Wells Fargo'!$B:$B,"&gt;"&amp;'Cash Flow'!D$3)</f>
        <v>1459.65</v>
      </c>
      <c r="F25" s="188">
        <f>SUMIFS('Wells Fargo'!$F:$F,'Wells Fargo'!$G:$G,'Cash Flow'!$A25,'Wells Fargo'!$A:$A,F$1,'Wells Fargo'!$B:$B,"&lt;="&amp;'Cash Flow'!F$3,'Wells Fargo'!$B:$B,"&gt;"&amp;'Cash Flow'!E$3)</f>
        <v>0</v>
      </c>
      <c r="G25" s="188">
        <f>SUMIFS('Wells Fargo'!$F:$F,'Wells Fargo'!$G:$G,'Cash Flow'!$A25,'Wells Fargo'!$A:$A,G$1,'Wells Fargo'!$B:$B,"&lt;="&amp;'Cash Flow'!G$3,'Wells Fargo'!$B:$B,"&gt;"&amp;'Cash Flow'!F$3)</f>
        <v>1459.64</v>
      </c>
      <c r="H25" s="189">
        <f>SUMIFS('Wells Fargo'!$F:$F,'Wells Fargo'!$G:$G,'Cash Flow'!$A25,'Wells Fargo'!$A:$A,H$1,'Wells Fargo'!$B:$B,"&lt;="&amp;'Cash Flow'!H$3)</f>
        <v>0</v>
      </c>
      <c r="I25" s="188">
        <f>SUMIFS('Wells Fargo'!$F:$F,'Wells Fargo'!$G:$G,'Cash Flow'!$A25,'Wells Fargo'!$A:$A,I$1,'Wells Fargo'!$B:$B,"&lt;="&amp;'Cash Flow'!I$3,'Wells Fargo'!$B:$B,"&gt;"&amp;'Cash Flow'!H$3)</f>
        <v>1809.65</v>
      </c>
      <c r="J25" s="188">
        <f>SUMIFS('Wells Fargo'!$F:$F,'Wells Fargo'!$G:$G,'Cash Flow'!$A25,'Wells Fargo'!$A:$A,J$1,'Wells Fargo'!$B:$B,"&lt;="&amp;'Cash Flow'!J$3,'Wells Fargo'!$B:$B,"&gt;"&amp;'Cash Flow'!I$3)</f>
        <v>0</v>
      </c>
      <c r="K25" s="188">
        <f>SUMIFS('Wells Fargo'!$F:$F,'Wells Fargo'!$G:$G,'Cash Flow'!$A25,'Wells Fargo'!$A:$A,K$1,'Wells Fargo'!$B:$B,"&lt;="&amp;'Cash Flow'!K$3,'Wells Fargo'!$B:$B,"&gt;"&amp;'Cash Flow'!J$3)</f>
        <v>1459.65</v>
      </c>
      <c r="L25" s="189">
        <f>SUMIFS('Wells Fargo'!$F:$F,'Wells Fargo'!$G:$G,'Cash Flow'!$A25,'Wells Fargo'!$A:$A,L$1,'Wells Fargo'!$B:$B,"&lt;="&amp;'Cash Flow'!L$3)</f>
        <v>0</v>
      </c>
      <c r="M25" s="188">
        <f>SUMIFS('Wells Fargo'!$F:$F,'Wells Fargo'!$G:$G,'Cash Flow'!$A25,'Wells Fargo'!$A:$A,M$1,'Wells Fargo'!$B:$B,"&lt;="&amp;'Cash Flow'!M$3,'Wells Fargo'!$B:$B,"&gt;"&amp;'Cash Flow'!L$3)</f>
        <v>1459.64</v>
      </c>
      <c r="N25" s="188">
        <f>SUMIFS('Wells Fargo'!$F:$F,'Wells Fargo'!$G:$G,'Cash Flow'!$A25,'Wells Fargo'!$A:$A,N$1,'Wells Fargo'!$B:$B,"&lt;="&amp;'Cash Flow'!N$3,'Wells Fargo'!$B:$B,"&gt;"&amp;'Cash Flow'!M$3)</f>
        <v>0</v>
      </c>
      <c r="O25" s="188">
        <f>SUMIFS('Wells Fargo'!$F:$F,'Wells Fargo'!$G:$G,'Cash Flow'!$A25,'Wells Fargo'!$A:$A,O$1,'Wells Fargo'!$B:$B,"&lt;="&amp;'Cash Flow'!O$3,'Wells Fargo'!$B:$B,"&gt;"&amp;'Cash Flow'!N$3)</f>
        <v>1457.82</v>
      </c>
      <c r="P25" s="188">
        <f>SUMIFS('Wells Fargo'!$F:$F,'Wells Fargo'!$G:$G,'Cash Flow'!$A25,'Wells Fargo'!$A:$A,P$1,'Wells Fargo'!$B:$B,"&lt;="&amp;'Cash Flow'!P$3,'Wells Fargo'!$B:$B,"&gt;"&amp;'Cash Flow'!O$3)</f>
        <v>0</v>
      </c>
      <c r="Q25" s="189">
        <f>SUMIFS('Wells Fargo'!$F:$F,'Wells Fargo'!$G:$G,'Cash Flow'!$A25,'Wells Fargo'!$A:$A,Q$1,'Wells Fargo'!$B:$B,"&lt;="&amp;'Cash Flow'!Q$3)</f>
        <v>0</v>
      </c>
      <c r="R25" s="188">
        <f>SUMIFS('Wells Fargo'!$F:$F,'Wells Fargo'!$G:$G,'Cash Flow'!$A25,'Wells Fargo'!$A:$A,R$1,'Wells Fargo'!$B:$B,"&lt;="&amp;'Cash Flow'!R$3,'Wells Fargo'!$B:$B,"&gt;"&amp;'Cash Flow'!Q$3)</f>
        <v>1242.82</v>
      </c>
      <c r="S25" s="188">
        <f>SUMIFS('Wells Fargo'!$F:$F,'Wells Fargo'!$G:$G,'Cash Flow'!$A25,'Wells Fargo'!$A:$A,S$1,'Wells Fargo'!$B:$B,"&lt;="&amp;'Cash Flow'!S$3,'Wells Fargo'!$B:$B,"&gt;"&amp;'Cash Flow'!R$3)</f>
        <v>0</v>
      </c>
      <c r="T25" s="188">
        <f>SUMIFS('Wells Fargo'!$F:$F,'Wells Fargo'!$G:$G,'Cash Flow'!$A25,'Wells Fargo'!$A:$A,T$1,'Wells Fargo'!$B:$B,"&lt;="&amp;'Cash Flow'!T$3,'Wells Fargo'!$B:$B,"&gt;"&amp;'Cash Flow'!S$3)</f>
        <v>1174.51</v>
      </c>
      <c r="U25" s="188">
        <f>SUMIFS('Wells Fargo'!$F:$F,'Wells Fargo'!$G:$G,'Cash Flow'!$A25,'Wells Fargo'!$A:$A,U$1,'Wells Fargo'!$B:$B,"&lt;="&amp;'Cash Flow'!U$3,'Wells Fargo'!$B:$B,"&gt;"&amp;'Cash Flow'!T$3)</f>
        <v>0</v>
      </c>
      <c r="V25" s="189">
        <f>SUMIFS('Wells Fargo'!$F:$F,'Wells Fargo'!$G:$G,'Cash Flow'!$A25,'Wells Fargo'!$A:$A,V$1,'Wells Fargo'!$B:$B,"&lt;="&amp;'Cash Flow'!V$3)</f>
        <v>1174.52</v>
      </c>
      <c r="W25" s="188">
        <f>SUMIFS('Wells Fargo'!$F:$F,'Wells Fargo'!$G:$G,'Cash Flow'!$A25,'Wells Fargo'!$A:$A,W$1,'Wells Fargo'!$B:$B,"&lt;="&amp;'Cash Flow'!W$3,'Wells Fargo'!$B:$B,"&gt;"&amp;'Cash Flow'!V$3)</f>
        <v>0</v>
      </c>
      <c r="X25" s="188">
        <f>SUMIFS('Wells Fargo'!$F:$F,'Wells Fargo'!$G:$G,'Cash Flow'!$A25,'Wells Fargo'!$A:$A,X$1,'Wells Fargo'!$B:$B,"&lt;="&amp;'Cash Flow'!X$3,'Wells Fargo'!$B:$B,"&gt;"&amp;'Cash Flow'!W$3)</f>
        <v>1342.98</v>
      </c>
      <c r="Y25" s="188">
        <f>SUMIFS('Wells Fargo'!$F:$F,'Wells Fargo'!$G:$G,'Cash Flow'!$A25,'Wells Fargo'!$A:$A,Y$1,'Wells Fargo'!$B:$B,"&lt;="&amp;'Cash Flow'!Y$3,'Wells Fargo'!$B:$B,"&gt;"&amp;'Cash Flow'!X$3)</f>
        <v>0</v>
      </c>
      <c r="Z25" s="188">
        <f>SUMIFS('Wells Fargo'!$F:$F,'Wells Fargo'!$G:$G,'Cash Flow'!$A25,'Wells Fargo'!$A:$A,Z$1,'Wells Fargo'!$B:$B,"&lt;="&amp;'Cash Flow'!Z$3,'Wells Fargo'!$B:$B,"&gt;"&amp;'Cash Flow'!Y$3)</f>
        <v>0</v>
      </c>
      <c r="AA25" s="189">
        <f>SUMIFS('Wells Fargo'!$F:$F,'Wells Fargo'!$G:$G,'Cash Flow'!$A25,'Wells Fargo'!$A:$A,AA$1,'Wells Fargo'!$B:$B,"&lt;="&amp;'Cash Flow'!AA$3)</f>
        <v>1174.51</v>
      </c>
      <c r="AB25" s="188">
        <f>SUMIFS('Wells Fargo'!$F:$F,'Wells Fargo'!$G:$G,'Cash Flow'!$A25,'Wells Fargo'!$A:$A,AB$1,'Wells Fargo'!$B:$B,"&lt;="&amp;'Cash Flow'!AB$3,'Wells Fargo'!$B:$B,"&gt;"&amp;'Cash Flow'!AA$3)</f>
        <v>0</v>
      </c>
      <c r="AC25" s="188">
        <f>SUMIFS('Wells Fargo'!$F:$F,'Wells Fargo'!$G:$G,'Cash Flow'!$A25,'Wells Fargo'!$A:$A,AC$1,'Wells Fargo'!$B:$B,"&lt;="&amp;'Cash Flow'!AC$3,'Wells Fargo'!$B:$B,"&gt;"&amp;'Cash Flow'!AB$3)</f>
        <v>680.02</v>
      </c>
      <c r="AD25" s="188">
        <f>SUMIFS('Wells Fargo'!$F:$F,'Wells Fargo'!$G:$G,'Cash Flow'!$A25,'Wells Fargo'!$A:$A,AD$1,'Wells Fargo'!$B:$B,"&lt;="&amp;'Cash Flow'!AD$3,'Wells Fargo'!$B:$B,"&gt;"&amp;'Cash Flow'!AC$3)</f>
        <v>0</v>
      </c>
      <c r="AE25" s="188">
        <f>SUMIFS('Wells Fargo'!$F:$F,'Wells Fargo'!$G:$G,'Cash Flow'!$A25,'Wells Fargo'!$A:$A,AE$1,'Wells Fargo'!$B:$B,"&lt;="&amp;'Cash Flow'!AE$3,'Wells Fargo'!$B:$B,"&gt;"&amp;'Cash Flow'!AD$3)</f>
        <v>0</v>
      </c>
      <c r="AF25" s="189">
        <f>SUMIFS('Wells Fargo'!$F:$F,'Wells Fargo'!$G:$G,'Cash Flow'!$A25,'Wells Fargo'!$A:$A,AF$1,'Wells Fargo'!$B:$B,"&lt;="&amp;'Cash Flow'!AF$3)</f>
        <v>0</v>
      </c>
      <c r="AG25" s="188">
        <f>SUMIFS('Wells Fargo'!$F:$F,'Wells Fargo'!$G:$G,'Cash Flow'!$A25,'Wells Fargo'!$A:$A,AG$1,'Wells Fargo'!$B:$B,"&lt;="&amp;'Cash Flow'!AG$3,'Wells Fargo'!$B:$B,"&gt;"&amp;'Cash Flow'!AF$3)</f>
        <v>0</v>
      </c>
      <c r="AH25" s="188">
        <f>SUMIFS('Wells Fargo'!$F:$F,'Wells Fargo'!$G:$G,'Cash Flow'!$A25,'Wells Fargo'!$A:$A,AH$1,'Wells Fargo'!$B:$B,"&lt;="&amp;'Cash Flow'!AH$3,'Wells Fargo'!$B:$B,"&gt;"&amp;'Cash Flow'!AG$3)</f>
        <v>0</v>
      </c>
      <c r="AI25" s="188">
        <f>SUMIFS('Wells Fargo'!$F:$F,'Wells Fargo'!$G:$G,'Cash Flow'!$A25,'Wells Fargo'!$A:$A,AI$1,'Wells Fargo'!$B:$B,"&lt;="&amp;'Cash Flow'!AI$3,'Wells Fargo'!$B:$B,"&gt;"&amp;'Cash Flow'!AH$3)</f>
        <v>0</v>
      </c>
      <c r="AJ25" s="188">
        <f>SUMIFS('Wells Fargo'!$F:$F,'Wells Fargo'!$G:$G,'Cash Flow'!$A25,'Wells Fargo'!$A:$A,AJ$1,'Wells Fargo'!$B:$B,"&lt;="&amp;'Cash Flow'!AJ$3,'Wells Fargo'!$B:$B,"&gt;"&amp;'Cash Flow'!AI$3)</f>
        <v>0</v>
      </c>
      <c r="AK25" s="189">
        <f>SUMIFS('Wells Fargo'!$F:$F,'Wells Fargo'!$G:$G,'Cash Flow'!$A25,'Wells Fargo'!$A:$A,AK$1,'Wells Fargo'!$B:$B,"&lt;="&amp;'Cash Flow'!AK$3)</f>
        <v>0</v>
      </c>
      <c r="AL25" s="188">
        <f>SUMIFS('Wells Fargo'!$F:$F,'Wells Fargo'!$G:$G,'Cash Flow'!$A25,'Wells Fargo'!$A:$A,AL$1,'Wells Fargo'!$B:$B,"&lt;="&amp;'Cash Flow'!AL$3,'Wells Fargo'!$B:$B,"&gt;"&amp;'Cash Flow'!AK$3)</f>
        <v>0</v>
      </c>
      <c r="AM25" s="188">
        <f>SUMIFS('Wells Fargo'!$F:$F,'Wells Fargo'!$G:$G,'Cash Flow'!$A25,'Wells Fargo'!$A:$A,AM$1,'Wells Fargo'!$B:$B,"&lt;="&amp;'Cash Flow'!AM$3,'Wells Fargo'!$B:$B,"&gt;"&amp;'Cash Flow'!AL$3)</f>
        <v>0</v>
      </c>
      <c r="AN25" s="188">
        <f>SUMIFS('Wells Fargo'!$F:$F,'Wells Fargo'!$G:$G,'Cash Flow'!$A25,'Wells Fargo'!$A:$A,AN$1,'Wells Fargo'!$B:$B,"&lt;="&amp;'Cash Flow'!AN$3,'Wells Fargo'!$B:$B,"&gt;"&amp;'Cash Flow'!AM$3)</f>
        <v>0</v>
      </c>
      <c r="AO25" s="188">
        <f>SUMIFS('Wells Fargo'!$F:$F,'Wells Fargo'!$G:$G,'Cash Flow'!$A25,'Wells Fargo'!$A:$A,AO$1,'Wells Fargo'!$B:$B,"&lt;="&amp;'Cash Flow'!AO$3,'Wells Fargo'!$B:$B,"&gt;"&amp;'Cash Flow'!AN$3)</f>
        <v>0</v>
      </c>
      <c r="AP25" s="189">
        <f>SUMIFS('Wells Fargo'!$F:$F,'Wells Fargo'!$G:$G,'Cash Flow'!$A25,'Wells Fargo'!$A:$A,AP$1,'Wells Fargo'!$B:$B,"&lt;="&amp;'Cash Flow'!AP$3)</f>
        <v>0</v>
      </c>
      <c r="AQ25" s="188">
        <f>SUMIFS('Wells Fargo'!$F:$F,'Wells Fargo'!$G:$G,'Cash Flow'!$A25,'Wells Fargo'!$A:$A,AQ$1,'Wells Fargo'!$B:$B,"&lt;="&amp;'Cash Flow'!AQ$3,'Wells Fargo'!$B:$B,"&gt;"&amp;'Cash Flow'!AP$3)</f>
        <v>0</v>
      </c>
      <c r="AR25" s="188">
        <f>SUMIFS('Wells Fargo'!$F:$F,'Wells Fargo'!$G:$G,'Cash Flow'!$A25,'Wells Fargo'!$A:$A,AR$1,'Wells Fargo'!$B:$B,"&lt;="&amp;'Cash Flow'!AR$3,'Wells Fargo'!$B:$B,"&gt;"&amp;'Cash Flow'!AQ$3)</f>
        <v>0</v>
      </c>
      <c r="AS25" s="188">
        <f>SUMIFS('Wells Fargo'!$F:$F,'Wells Fargo'!$G:$G,'Cash Flow'!$A25,'Wells Fargo'!$A:$A,AS$1,'Wells Fargo'!$B:$B,"&lt;="&amp;'Cash Flow'!AS$3,'Wells Fargo'!$B:$B,"&gt;"&amp;'Cash Flow'!AR$3)</f>
        <v>0</v>
      </c>
      <c r="AT25" s="188">
        <f>SUMIFS('Wells Fargo'!$F:$F,'Wells Fargo'!$G:$G,'Cash Flow'!$A25,'Wells Fargo'!$A:$A,AT$1,'Wells Fargo'!$B:$B,"&lt;="&amp;'Cash Flow'!AT$3,'Wells Fargo'!$B:$B,"&gt;"&amp;'Cash Flow'!AS$3)</f>
        <v>0</v>
      </c>
      <c r="AU25" s="189">
        <f>SUMIFS('Wells Fargo'!$F:$F,'Wells Fargo'!$G:$G,'Cash Flow'!$A25,'Wells Fargo'!$A:$A,AU$1,'Wells Fargo'!$B:$B,"&lt;="&amp;'Cash Flow'!AU$3)</f>
        <v>0</v>
      </c>
      <c r="AV25" s="188">
        <f>SUMIFS('Wells Fargo'!$F:$F,'Wells Fargo'!$G:$G,'Cash Flow'!$A25,'Wells Fargo'!$A:$A,AV$1,'Wells Fargo'!$B:$B,"&lt;="&amp;'Cash Flow'!AV$3,'Wells Fargo'!$B:$B,"&gt;"&amp;'Cash Flow'!AU$3)</f>
        <v>0</v>
      </c>
      <c r="AW25" s="188">
        <f>SUMIFS('Wells Fargo'!$F:$F,'Wells Fargo'!$G:$G,'Cash Flow'!$A25,'Wells Fargo'!$A:$A,AW$1,'Wells Fargo'!$B:$B,"&lt;="&amp;'Cash Flow'!AW$3,'Wells Fargo'!$B:$B,"&gt;"&amp;'Cash Flow'!AV$3)</f>
        <v>0</v>
      </c>
      <c r="AX25" s="188">
        <f>SUMIFS('Wells Fargo'!$F:$F,'Wells Fargo'!$G:$G,'Cash Flow'!$A25,'Wells Fargo'!$A:$A,AX$1,'Wells Fargo'!$B:$B,"&lt;="&amp;'Cash Flow'!AX$3,'Wells Fargo'!$B:$B,"&gt;"&amp;'Cash Flow'!AW$3)</f>
        <v>0</v>
      </c>
      <c r="AY25" s="188">
        <f>SUMIFS('Wells Fargo'!$F:$F,'Wells Fargo'!$G:$G,'Cash Flow'!$A25,'Wells Fargo'!$A:$A,AY$1,'Wells Fargo'!$B:$B,"&lt;="&amp;'Cash Flow'!AY$3,'Wells Fargo'!$B:$B,"&gt;"&amp;'Cash Flow'!AX$3)</f>
        <v>0</v>
      </c>
      <c r="AZ25" s="189">
        <f>SUMIFS('Wells Fargo'!$F:$F,'Wells Fargo'!$G:$G,'Cash Flow'!$A25,'Wells Fargo'!$A:$A,AZ$1,'Wells Fargo'!$B:$B,"&lt;="&amp;'Cash Flow'!AZ$3)</f>
        <v>0</v>
      </c>
      <c r="BA25" s="188">
        <f>SUMIFS('Wells Fargo'!$F:$F,'Wells Fargo'!$G:$G,'Cash Flow'!$A25,'Wells Fargo'!$A:$A,BA$1,'Wells Fargo'!$B:$B,"&lt;="&amp;'Cash Flow'!BA$3,'Wells Fargo'!$B:$B,"&gt;"&amp;'Cash Flow'!AZ$3)</f>
        <v>0</v>
      </c>
      <c r="BB25" s="188">
        <f>SUMIFS('Wells Fargo'!$F:$F,'Wells Fargo'!$G:$G,'Cash Flow'!$A25,'Wells Fargo'!$A:$A,BB$1,'Wells Fargo'!$B:$B,"&lt;="&amp;'Cash Flow'!BB$3,'Wells Fargo'!$B:$B,"&gt;"&amp;'Cash Flow'!BA$3)</f>
        <v>0</v>
      </c>
      <c r="BC25" s="188">
        <f>SUMIFS('Wells Fargo'!$F:$F,'Wells Fargo'!$G:$G,'Cash Flow'!$A25,'Wells Fargo'!$A:$A,BC$1,'Wells Fargo'!$B:$B,"&lt;="&amp;'Cash Flow'!BC$3,'Wells Fargo'!$B:$B,"&gt;"&amp;'Cash Flow'!BB$3)</f>
        <v>0</v>
      </c>
      <c r="BD25" s="188">
        <f>SUMIFS('Wells Fargo'!$F:$F,'Wells Fargo'!$G:$G,'Cash Flow'!$A25,'Wells Fargo'!$A:$A,BD$1,'Wells Fargo'!$B:$B,"&lt;="&amp;'Cash Flow'!BD$3,'Wells Fargo'!$B:$B,"&gt;"&amp;'Cash Flow'!BC$3)</f>
        <v>0</v>
      </c>
      <c r="BE25" s="189">
        <f>SUMIFS('Wells Fargo'!$F:$F,'Wells Fargo'!$G:$G,'Cash Flow'!$A25,'Wells Fargo'!$A:$A,BE$1,'Wells Fargo'!$B:$B,"&lt;="&amp;'Cash Flow'!BE$3)</f>
        <v>0</v>
      </c>
      <c r="BF25" s="188">
        <f>SUMIFS('Wells Fargo'!$F:$F,'Wells Fargo'!$G:$G,'Cash Flow'!$A25,'Wells Fargo'!$A:$A,BF$1,'Wells Fargo'!$B:$B,"&lt;="&amp;'Cash Flow'!BF$3,'Wells Fargo'!$B:$B,"&gt;"&amp;'Cash Flow'!BE$3)</f>
        <v>0</v>
      </c>
      <c r="BG25" s="188">
        <f>SUMIFS('Wells Fargo'!$F:$F,'Wells Fargo'!$G:$G,'Cash Flow'!$A25,'Wells Fargo'!$A:$A,BG$1,'Wells Fargo'!$B:$B,"&lt;="&amp;'Cash Flow'!BG$3,'Wells Fargo'!$B:$B,"&gt;"&amp;'Cash Flow'!BF$3)</f>
        <v>0</v>
      </c>
      <c r="BH25" s="188">
        <f>SUMIFS('Wells Fargo'!$F:$F,'Wells Fargo'!$G:$G,'Cash Flow'!$A25,'Wells Fargo'!$A:$A,BH$1,'Wells Fargo'!$B:$B,"&lt;="&amp;'Cash Flow'!BH$3,'Wells Fargo'!$B:$B,"&gt;"&amp;'Cash Flow'!BG$3)</f>
        <v>0</v>
      </c>
      <c r="BI25" s="188">
        <f>SUMIFS('Wells Fargo'!$F:$F,'Wells Fargo'!$G:$G,'Cash Flow'!$A25,'Wells Fargo'!$A:$A,BI$1,'Wells Fargo'!$B:$B,"&lt;="&amp;'Cash Flow'!BI$3,'Wells Fargo'!$B:$B,"&gt;"&amp;'Cash Flow'!BH$3)</f>
        <v>0</v>
      </c>
    </row>
    <row r="26" spans="1:61" ht="12.75" x14ac:dyDescent="0.2">
      <c r="A26" t="str">
        <v>Eye</v>
      </c>
      <c r="B26" s="87">
        <f t="shared" si="0"/>
        <v>-419.93</v>
      </c>
      <c r="C26" s="189">
        <f>SUMIFS('Wells Fargo'!$F:$F,'Wells Fargo'!$G:$G,'Cash Flow'!$A26,'Wells Fargo'!$A:$A,C$1,'Wells Fargo'!$B:$B,"&lt;="&amp;'Cash Flow'!C$3)</f>
        <v>0</v>
      </c>
      <c r="D26" s="188">
        <f>SUMIFS('Wells Fargo'!$F:$F,'Wells Fargo'!$G:$G,'Cash Flow'!$A26,'Wells Fargo'!$A:$A,D$1,'Wells Fargo'!$B:$B,"&lt;="&amp;'Cash Flow'!D$3,'Wells Fargo'!$B:$B,"&gt;"&amp;'Cash Flow'!C$3)</f>
        <v>0</v>
      </c>
      <c r="E26" s="188">
        <f>SUMIFS('Wells Fargo'!$F:$F,'Wells Fargo'!$G:$G,'Cash Flow'!$A26,'Wells Fargo'!$A:$A,E$1,'Wells Fargo'!$B:$B,"&lt;="&amp;'Cash Flow'!E$3,'Wells Fargo'!$B:$B,"&gt;"&amp;'Cash Flow'!D$3)</f>
        <v>0</v>
      </c>
      <c r="F26" s="188">
        <f>SUMIFS('Wells Fargo'!$F:$F,'Wells Fargo'!$G:$G,'Cash Flow'!$A26,'Wells Fargo'!$A:$A,F$1,'Wells Fargo'!$B:$B,"&lt;="&amp;'Cash Flow'!F$3,'Wells Fargo'!$B:$B,"&gt;"&amp;'Cash Flow'!E$3)</f>
        <v>0</v>
      </c>
      <c r="G26" s="188">
        <f>SUMIFS('Wells Fargo'!$F:$F,'Wells Fargo'!$G:$G,'Cash Flow'!$A26,'Wells Fargo'!$A:$A,G$1,'Wells Fargo'!$B:$B,"&lt;="&amp;'Cash Flow'!G$3,'Wells Fargo'!$B:$B,"&gt;"&amp;'Cash Flow'!F$3)</f>
        <v>0</v>
      </c>
      <c r="H26" s="189">
        <f>SUMIFS('Wells Fargo'!$F:$F,'Wells Fargo'!$G:$G,'Cash Flow'!$A26,'Wells Fargo'!$A:$A,H$1,'Wells Fargo'!$B:$B,"&lt;="&amp;'Cash Flow'!H$3)</f>
        <v>0</v>
      </c>
      <c r="I26" s="188">
        <f>SUMIFS('Wells Fargo'!$F:$F,'Wells Fargo'!$G:$G,'Cash Flow'!$A26,'Wells Fargo'!$A:$A,I$1,'Wells Fargo'!$B:$B,"&lt;="&amp;'Cash Flow'!I$3,'Wells Fargo'!$B:$B,"&gt;"&amp;'Cash Flow'!H$3)</f>
        <v>0</v>
      </c>
      <c r="J26" s="188">
        <f>SUMIFS('Wells Fargo'!$F:$F,'Wells Fargo'!$G:$G,'Cash Flow'!$A26,'Wells Fargo'!$A:$A,J$1,'Wells Fargo'!$B:$B,"&lt;="&amp;'Cash Flow'!J$3,'Wells Fargo'!$B:$B,"&gt;"&amp;'Cash Flow'!I$3)</f>
        <v>0</v>
      </c>
      <c r="K26" s="188">
        <f>SUMIFS('Wells Fargo'!$F:$F,'Wells Fargo'!$G:$G,'Cash Flow'!$A26,'Wells Fargo'!$A:$A,K$1,'Wells Fargo'!$B:$B,"&lt;="&amp;'Cash Flow'!K$3,'Wells Fargo'!$B:$B,"&gt;"&amp;'Cash Flow'!J$3)</f>
        <v>0</v>
      </c>
      <c r="L26" s="189">
        <f>SUMIFS('Wells Fargo'!$F:$F,'Wells Fargo'!$G:$G,'Cash Flow'!$A26,'Wells Fargo'!$A:$A,L$1,'Wells Fargo'!$B:$B,"&lt;="&amp;'Cash Flow'!L$3)</f>
        <v>0</v>
      </c>
      <c r="M26" s="188">
        <f>SUMIFS('Wells Fargo'!$F:$F,'Wells Fargo'!$G:$G,'Cash Flow'!$A26,'Wells Fargo'!$A:$A,M$1,'Wells Fargo'!$B:$B,"&lt;="&amp;'Cash Flow'!M$3,'Wells Fargo'!$B:$B,"&gt;"&amp;'Cash Flow'!L$3)</f>
        <v>0</v>
      </c>
      <c r="N26" s="188">
        <f>SUMIFS('Wells Fargo'!$F:$F,'Wells Fargo'!$G:$G,'Cash Flow'!$A26,'Wells Fargo'!$A:$A,N$1,'Wells Fargo'!$B:$B,"&lt;="&amp;'Cash Flow'!N$3,'Wells Fargo'!$B:$B,"&gt;"&amp;'Cash Flow'!M$3)</f>
        <v>0</v>
      </c>
      <c r="O26" s="188">
        <f>SUMIFS('Wells Fargo'!$F:$F,'Wells Fargo'!$G:$G,'Cash Flow'!$A26,'Wells Fargo'!$A:$A,O$1,'Wells Fargo'!$B:$B,"&lt;="&amp;'Cash Flow'!O$3,'Wells Fargo'!$B:$B,"&gt;"&amp;'Cash Flow'!N$3)</f>
        <v>0</v>
      </c>
      <c r="P26" s="188">
        <f>SUMIFS('Wells Fargo'!$F:$F,'Wells Fargo'!$G:$G,'Cash Flow'!$A26,'Wells Fargo'!$A:$A,P$1,'Wells Fargo'!$B:$B,"&lt;="&amp;'Cash Flow'!P$3,'Wells Fargo'!$B:$B,"&gt;"&amp;'Cash Flow'!O$3)</f>
        <v>0</v>
      </c>
      <c r="Q26" s="189">
        <f>SUMIFS('Wells Fargo'!$F:$F,'Wells Fargo'!$G:$G,'Cash Flow'!$A26,'Wells Fargo'!$A:$A,Q$1,'Wells Fargo'!$B:$B,"&lt;="&amp;'Cash Flow'!Q$3)</f>
        <v>0</v>
      </c>
      <c r="R26" s="188">
        <f>SUMIFS('Wells Fargo'!$F:$F,'Wells Fargo'!$G:$G,'Cash Flow'!$A26,'Wells Fargo'!$A:$A,R$1,'Wells Fargo'!$B:$B,"&lt;="&amp;'Cash Flow'!R$3,'Wells Fargo'!$B:$B,"&gt;"&amp;'Cash Flow'!Q$3)</f>
        <v>0</v>
      </c>
      <c r="S26" s="188">
        <f>SUMIFS('Wells Fargo'!$F:$F,'Wells Fargo'!$G:$G,'Cash Flow'!$A26,'Wells Fargo'!$A:$A,S$1,'Wells Fargo'!$B:$B,"&lt;="&amp;'Cash Flow'!S$3,'Wells Fargo'!$B:$B,"&gt;"&amp;'Cash Flow'!R$3)</f>
        <v>0</v>
      </c>
      <c r="T26" s="188">
        <f>SUMIFS('Wells Fargo'!$F:$F,'Wells Fargo'!$G:$G,'Cash Flow'!$A26,'Wells Fargo'!$A:$A,T$1,'Wells Fargo'!$B:$B,"&lt;="&amp;'Cash Flow'!T$3,'Wells Fargo'!$B:$B,"&gt;"&amp;'Cash Flow'!S$3)</f>
        <v>0</v>
      </c>
      <c r="U26" s="188">
        <f>SUMIFS('Wells Fargo'!$F:$F,'Wells Fargo'!$G:$G,'Cash Flow'!$A26,'Wells Fargo'!$A:$A,U$1,'Wells Fargo'!$B:$B,"&lt;="&amp;'Cash Flow'!U$3,'Wells Fargo'!$B:$B,"&gt;"&amp;'Cash Flow'!T$3)</f>
        <v>0</v>
      </c>
      <c r="V26" s="189">
        <f>SUMIFS('Wells Fargo'!$F:$F,'Wells Fargo'!$G:$G,'Cash Flow'!$A26,'Wells Fargo'!$A:$A,V$1,'Wells Fargo'!$B:$B,"&lt;="&amp;'Cash Flow'!V$3)</f>
        <v>0</v>
      </c>
      <c r="W26" s="188">
        <f>SUMIFS('Wells Fargo'!$F:$F,'Wells Fargo'!$G:$G,'Cash Flow'!$A26,'Wells Fargo'!$A:$A,W$1,'Wells Fargo'!$B:$B,"&lt;="&amp;'Cash Flow'!W$3,'Wells Fargo'!$B:$B,"&gt;"&amp;'Cash Flow'!V$3)</f>
        <v>0</v>
      </c>
      <c r="X26" s="188">
        <f>SUMIFS('Wells Fargo'!$F:$F,'Wells Fargo'!$G:$G,'Cash Flow'!$A26,'Wells Fargo'!$A:$A,X$1,'Wells Fargo'!$B:$B,"&lt;="&amp;'Cash Flow'!X$3,'Wells Fargo'!$B:$B,"&gt;"&amp;'Cash Flow'!W$3)</f>
        <v>0</v>
      </c>
      <c r="Y26" s="188">
        <f>SUMIFS('Wells Fargo'!$F:$F,'Wells Fargo'!$G:$G,'Cash Flow'!$A26,'Wells Fargo'!$A:$A,Y$1,'Wells Fargo'!$B:$B,"&lt;="&amp;'Cash Flow'!Y$3,'Wells Fargo'!$B:$B,"&gt;"&amp;'Cash Flow'!X$3)</f>
        <v>0</v>
      </c>
      <c r="Z26" s="188">
        <f>SUMIFS('Wells Fargo'!$F:$F,'Wells Fargo'!$G:$G,'Cash Flow'!$A26,'Wells Fargo'!$A:$A,Z$1,'Wells Fargo'!$B:$B,"&lt;="&amp;'Cash Flow'!Z$3,'Wells Fargo'!$B:$B,"&gt;"&amp;'Cash Flow'!Y$3)</f>
        <v>0</v>
      </c>
      <c r="AA26" s="189">
        <f>SUMIFS('Wells Fargo'!$F:$F,'Wells Fargo'!$G:$G,'Cash Flow'!$A26,'Wells Fargo'!$A:$A,AA$1,'Wells Fargo'!$B:$B,"&lt;="&amp;'Cash Flow'!AA$3)</f>
        <v>0</v>
      </c>
      <c r="AB26" s="188">
        <f>SUMIFS('Wells Fargo'!$F:$F,'Wells Fargo'!$G:$G,'Cash Flow'!$A26,'Wells Fargo'!$A:$A,AB$1,'Wells Fargo'!$B:$B,"&lt;="&amp;'Cash Flow'!AB$3,'Wells Fargo'!$B:$B,"&gt;"&amp;'Cash Flow'!AA$3)</f>
        <v>0</v>
      </c>
      <c r="AC26" s="188">
        <f>SUMIFS('Wells Fargo'!$F:$F,'Wells Fargo'!$G:$G,'Cash Flow'!$A26,'Wells Fargo'!$A:$A,AC$1,'Wells Fargo'!$B:$B,"&lt;="&amp;'Cash Flow'!AC$3,'Wells Fargo'!$B:$B,"&gt;"&amp;'Cash Flow'!AB$3)</f>
        <v>0</v>
      </c>
      <c r="AD26" s="188">
        <f>SUMIFS('Wells Fargo'!$F:$F,'Wells Fargo'!$G:$G,'Cash Flow'!$A26,'Wells Fargo'!$A:$A,AD$1,'Wells Fargo'!$B:$B,"&lt;="&amp;'Cash Flow'!AD$3,'Wells Fargo'!$B:$B,"&gt;"&amp;'Cash Flow'!AC$3)</f>
        <v>0</v>
      </c>
      <c r="AE26" s="188">
        <f>SUMIFS('Wells Fargo'!$F:$F,'Wells Fargo'!$G:$G,'Cash Flow'!$A26,'Wells Fargo'!$A:$A,AE$1,'Wells Fargo'!$B:$B,"&lt;="&amp;'Cash Flow'!AE$3,'Wells Fargo'!$B:$B,"&gt;"&amp;'Cash Flow'!AD$3)</f>
        <v>0</v>
      </c>
      <c r="AF26" s="189">
        <f>SUMIFS('Wells Fargo'!$F:$F,'Wells Fargo'!$G:$G,'Cash Flow'!$A26,'Wells Fargo'!$A:$A,AF$1,'Wells Fargo'!$B:$B,"&lt;="&amp;'Cash Flow'!AF$3)</f>
        <v>0</v>
      </c>
      <c r="AG26" s="188">
        <f>SUMIFS('Wells Fargo'!$F:$F,'Wells Fargo'!$G:$G,'Cash Flow'!$A26,'Wells Fargo'!$A:$A,AG$1,'Wells Fargo'!$B:$B,"&lt;="&amp;'Cash Flow'!AG$3,'Wells Fargo'!$B:$B,"&gt;"&amp;'Cash Flow'!AF$3)</f>
        <v>0</v>
      </c>
      <c r="AH26" s="188">
        <f>SUMIFS('Wells Fargo'!$F:$F,'Wells Fargo'!$G:$G,'Cash Flow'!$A26,'Wells Fargo'!$A:$A,AH$1,'Wells Fargo'!$B:$B,"&lt;="&amp;'Cash Flow'!AH$3,'Wells Fargo'!$B:$B,"&gt;"&amp;'Cash Flow'!AG$3)</f>
        <v>0</v>
      </c>
      <c r="AI26" s="188">
        <f>SUMIFS('Wells Fargo'!$F:$F,'Wells Fargo'!$G:$G,'Cash Flow'!$A26,'Wells Fargo'!$A:$A,AI$1,'Wells Fargo'!$B:$B,"&lt;="&amp;'Cash Flow'!AI$3,'Wells Fargo'!$B:$B,"&gt;"&amp;'Cash Flow'!AH$3)</f>
        <v>0</v>
      </c>
      <c r="AJ26" s="188">
        <f>SUMIFS('Wells Fargo'!$F:$F,'Wells Fargo'!$G:$G,'Cash Flow'!$A26,'Wells Fargo'!$A:$A,AJ$1,'Wells Fargo'!$B:$B,"&lt;="&amp;'Cash Flow'!AJ$3,'Wells Fargo'!$B:$B,"&gt;"&amp;'Cash Flow'!AI$3)</f>
        <v>0</v>
      </c>
      <c r="AK26" s="189">
        <f>SUMIFS('Wells Fargo'!$F:$F,'Wells Fargo'!$G:$G,'Cash Flow'!$A26,'Wells Fargo'!$A:$A,AK$1,'Wells Fargo'!$B:$B,"&lt;="&amp;'Cash Flow'!AK$3)</f>
        <v>0</v>
      </c>
      <c r="AL26" s="188">
        <f>SUMIFS('Wells Fargo'!$F:$F,'Wells Fargo'!$G:$G,'Cash Flow'!$A26,'Wells Fargo'!$A:$A,AL$1,'Wells Fargo'!$B:$B,"&lt;="&amp;'Cash Flow'!AL$3,'Wells Fargo'!$B:$B,"&gt;"&amp;'Cash Flow'!AK$3)</f>
        <v>0</v>
      </c>
      <c r="AM26" s="188">
        <f>SUMIFS('Wells Fargo'!$F:$F,'Wells Fargo'!$G:$G,'Cash Flow'!$A26,'Wells Fargo'!$A:$A,AM$1,'Wells Fargo'!$B:$B,"&lt;="&amp;'Cash Flow'!AM$3,'Wells Fargo'!$B:$B,"&gt;"&amp;'Cash Flow'!AL$3)</f>
        <v>0</v>
      </c>
      <c r="AN26" s="188">
        <f>SUMIFS('Wells Fargo'!$F:$F,'Wells Fargo'!$G:$G,'Cash Flow'!$A26,'Wells Fargo'!$A:$A,AN$1,'Wells Fargo'!$B:$B,"&lt;="&amp;'Cash Flow'!AN$3,'Wells Fargo'!$B:$B,"&gt;"&amp;'Cash Flow'!AM$3)</f>
        <v>0</v>
      </c>
      <c r="AO26" s="188">
        <f>SUMIFS('Wells Fargo'!$F:$F,'Wells Fargo'!$G:$G,'Cash Flow'!$A26,'Wells Fargo'!$A:$A,AO$1,'Wells Fargo'!$B:$B,"&lt;="&amp;'Cash Flow'!AO$3,'Wells Fargo'!$B:$B,"&gt;"&amp;'Cash Flow'!AN$3)</f>
        <v>0</v>
      </c>
      <c r="AP26" s="189">
        <f>SUMIFS('Wells Fargo'!$F:$F,'Wells Fargo'!$G:$G,'Cash Flow'!$A26,'Wells Fargo'!$A:$A,AP$1,'Wells Fargo'!$B:$B,"&lt;="&amp;'Cash Flow'!AP$3)</f>
        <v>0</v>
      </c>
      <c r="AQ26" s="188">
        <f>SUMIFS('Wells Fargo'!$F:$F,'Wells Fargo'!$G:$G,'Cash Flow'!$A26,'Wells Fargo'!$A:$A,AQ$1,'Wells Fargo'!$B:$B,"&lt;="&amp;'Cash Flow'!AQ$3,'Wells Fargo'!$B:$B,"&gt;"&amp;'Cash Flow'!AP$3)</f>
        <v>-419.93</v>
      </c>
      <c r="AR26" s="188">
        <f>SUMIFS('Wells Fargo'!$F:$F,'Wells Fargo'!$G:$G,'Cash Flow'!$A26,'Wells Fargo'!$A:$A,AR$1,'Wells Fargo'!$B:$B,"&lt;="&amp;'Cash Flow'!AR$3,'Wells Fargo'!$B:$B,"&gt;"&amp;'Cash Flow'!AQ$3)</f>
        <v>0</v>
      </c>
      <c r="AS26" s="188">
        <f>SUMIFS('Wells Fargo'!$F:$F,'Wells Fargo'!$G:$G,'Cash Flow'!$A26,'Wells Fargo'!$A:$A,AS$1,'Wells Fargo'!$B:$B,"&lt;="&amp;'Cash Flow'!AS$3,'Wells Fargo'!$B:$B,"&gt;"&amp;'Cash Flow'!AR$3)</f>
        <v>0</v>
      </c>
      <c r="AT26" s="188">
        <f>SUMIFS('Wells Fargo'!$F:$F,'Wells Fargo'!$G:$G,'Cash Flow'!$A26,'Wells Fargo'!$A:$A,AT$1,'Wells Fargo'!$B:$B,"&lt;="&amp;'Cash Flow'!AT$3,'Wells Fargo'!$B:$B,"&gt;"&amp;'Cash Flow'!AS$3)</f>
        <v>0</v>
      </c>
      <c r="AU26" s="189">
        <f>SUMIFS('Wells Fargo'!$F:$F,'Wells Fargo'!$G:$G,'Cash Flow'!$A26,'Wells Fargo'!$A:$A,AU$1,'Wells Fargo'!$B:$B,"&lt;="&amp;'Cash Flow'!AU$3)</f>
        <v>0</v>
      </c>
      <c r="AV26" s="188">
        <f>SUMIFS('Wells Fargo'!$F:$F,'Wells Fargo'!$G:$G,'Cash Flow'!$A26,'Wells Fargo'!$A:$A,AV$1,'Wells Fargo'!$B:$B,"&lt;="&amp;'Cash Flow'!AV$3,'Wells Fargo'!$B:$B,"&gt;"&amp;'Cash Flow'!AU$3)</f>
        <v>0</v>
      </c>
      <c r="AW26" s="188">
        <f>SUMIFS('Wells Fargo'!$F:$F,'Wells Fargo'!$G:$G,'Cash Flow'!$A26,'Wells Fargo'!$A:$A,AW$1,'Wells Fargo'!$B:$B,"&lt;="&amp;'Cash Flow'!AW$3,'Wells Fargo'!$B:$B,"&gt;"&amp;'Cash Flow'!AV$3)</f>
        <v>0</v>
      </c>
      <c r="AX26" s="188">
        <f>SUMIFS('Wells Fargo'!$F:$F,'Wells Fargo'!$G:$G,'Cash Flow'!$A26,'Wells Fargo'!$A:$A,AX$1,'Wells Fargo'!$B:$B,"&lt;="&amp;'Cash Flow'!AX$3,'Wells Fargo'!$B:$B,"&gt;"&amp;'Cash Flow'!AW$3)</f>
        <v>0</v>
      </c>
      <c r="AY26" s="188">
        <f>SUMIFS('Wells Fargo'!$F:$F,'Wells Fargo'!$G:$G,'Cash Flow'!$A26,'Wells Fargo'!$A:$A,AY$1,'Wells Fargo'!$B:$B,"&lt;="&amp;'Cash Flow'!AY$3,'Wells Fargo'!$B:$B,"&gt;"&amp;'Cash Flow'!AX$3)</f>
        <v>0</v>
      </c>
      <c r="AZ26" s="189">
        <f>SUMIFS('Wells Fargo'!$F:$F,'Wells Fargo'!$G:$G,'Cash Flow'!$A26,'Wells Fargo'!$A:$A,AZ$1,'Wells Fargo'!$B:$B,"&lt;="&amp;'Cash Flow'!AZ$3)</f>
        <v>0</v>
      </c>
      <c r="BA26" s="188">
        <f>SUMIFS('Wells Fargo'!$F:$F,'Wells Fargo'!$G:$G,'Cash Flow'!$A26,'Wells Fargo'!$A:$A,BA$1,'Wells Fargo'!$B:$B,"&lt;="&amp;'Cash Flow'!BA$3,'Wells Fargo'!$B:$B,"&gt;"&amp;'Cash Flow'!AZ$3)</f>
        <v>0</v>
      </c>
      <c r="BB26" s="188">
        <f>SUMIFS('Wells Fargo'!$F:$F,'Wells Fargo'!$G:$G,'Cash Flow'!$A26,'Wells Fargo'!$A:$A,BB$1,'Wells Fargo'!$B:$B,"&lt;="&amp;'Cash Flow'!BB$3,'Wells Fargo'!$B:$B,"&gt;"&amp;'Cash Flow'!BA$3)</f>
        <v>0</v>
      </c>
      <c r="BC26" s="188">
        <f>SUMIFS('Wells Fargo'!$F:$F,'Wells Fargo'!$G:$G,'Cash Flow'!$A26,'Wells Fargo'!$A:$A,BC$1,'Wells Fargo'!$B:$B,"&lt;="&amp;'Cash Flow'!BC$3,'Wells Fargo'!$B:$B,"&gt;"&amp;'Cash Flow'!BB$3)</f>
        <v>0</v>
      </c>
      <c r="BD26" s="188">
        <f>SUMIFS('Wells Fargo'!$F:$F,'Wells Fargo'!$G:$G,'Cash Flow'!$A26,'Wells Fargo'!$A:$A,BD$1,'Wells Fargo'!$B:$B,"&lt;="&amp;'Cash Flow'!BD$3,'Wells Fargo'!$B:$B,"&gt;"&amp;'Cash Flow'!BC$3)</f>
        <v>0</v>
      </c>
      <c r="BE26" s="189">
        <f>SUMIFS('Wells Fargo'!$F:$F,'Wells Fargo'!$G:$G,'Cash Flow'!$A26,'Wells Fargo'!$A:$A,BE$1,'Wells Fargo'!$B:$B,"&lt;="&amp;'Cash Flow'!BE$3)</f>
        <v>0</v>
      </c>
      <c r="BF26" s="188">
        <f>SUMIFS('Wells Fargo'!$F:$F,'Wells Fargo'!$G:$G,'Cash Flow'!$A26,'Wells Fargo'!$A:$A,BF$1,'Wells Fargo'!$B:$B,"&lt;="&amp;'Cash Flow'!BF$3,'Wells Fargo'!$B:$B,"&gt;"&amp;'Cash Flow'!BE$3)</f>
        <v>0</v>
      </c>
      <c r="BG26" s="188">
        <f>SUMIFS('Wells Fargo'!$F:$F,'Wells Fargo'!$G:$G,'Cash Flow'!$A26,'Wells Fargo'!$A:$A,BG$1,'Wells Fargo'!$B:$B,"&lt;="&amp;'Cash Flow'!BG$3,'Wells Fargo'!$B:$B,"&gt;"&amp;'Cash Flow'!BF$3)</f>
        <v>0</v>
      </c>
      <c r="BH26" s="188">
        <f>SUMIFS('Wells Fargo'!$F:$F,'Wells Fargo'!$G:$G,'Cash Flow'!$A26,'Wells Fargo'!$A:$A,BH$1,'Wells Fargo'!$B:$B,"&lt;="&amp;'Cash Flow'!BH$3,'Wells Fargo'!$B:$B,"&gt;"&amp;'Cash Flow'!BG$3)</f>
        <v>0</v>
      </c>
      <c r="BI26" s="188">
        <f>SUMIFS('Wells Fargo'!$F:$F,'Wells Fargo'!$G:$G,'Cash Flow'!$A26,'Wells Fargo'!$A:$A,BI$1,'Wells Fargo'!$B:$B,"&lt;="&amp;'Cash Flow'!BI$3,'Wells Fargo'!$B:$B,"&gt;"&amp;'Cash Flow'!BH$3)</f>
        <v>0</v>
      </c>
    </row>
    <row r="27" spans="1:61" ht="12.75" x14ac:dyDescent="0.2">
      <c r="A27" t="str">
        <v>Fidelity Retirement</v>
      </c>
      <c r="B27" s="87">
        <f t="shared" si="0"/>
        <v>1201.5999999999999</v>
      </c>
      <c r="C27" s="189">
        <f>SUMIFS('Wells Fargo'!$F:$F,'Wells Fargo'!$G:$G,'Cash Flow'!$A27,'Wells Fargo'!$A:$A,C$1,'Wells Fargo'!$B:$B,"&lt;="&amp;'Cash Flow'!C$3)</f>
        <v>0</v>
      </c>
      <c r="D27" s="188">
        <f>SUMIFS('Wells Fargo'!$F:$F,'Wells Fargo'!$G:$G,'Cash Flow'!$A27,'Wells Fargo'!$A:$A,D$1,'Wells Fargo'!$B:$B,"&lt;="&amp;'Cash Flow'!D$3,'Wells Fargo'!$B:$B,"&gt;"&amp;'Cash Flow'!C$3)</f>
        <v>0</v>
      </c>
      <c r="E27" s="188">
        <f>SUMIFS('Wells Fargo'!$F:$F,'Wells Fargo'!$G:$G,'Cash Flow'!$A27,'Wells Fargo'!$A:$A,E$1,'Wells Fargo'!$B:$B,"&lt;="&amp;'Cash Flow'!E$3,'Wells Fargo'!$B:$B,"&gt;"&amp;'Cash Flow'!D$3)</f>
        <v>0</v>
      </c>
      <c r="F27" s="188">
        <f>SUMIFS('Wells Fargo'!$F:$F,'Wells Fargo'!$G:$G,'Cash Flow'!$A27,'Wells Fargo'!$A:$A,F$1,'Wells Fargo'!$B:$B,"&lt;="&amp;'Cash Flow'!F$3,'Wells Fargo'!$B:$B,"&gt;"&amp;'Cash Flow'!E$3)</f>
        <v>0</v>
      </c>
      <c r="G27" s="188">
        <f>SUMIFS('Wells Fargo'!$F:$F,'Wells Fargo'!$G:$G,'Cash Flow'!$A27,'Wells Fargo'!$A:$A,G$1,'Wells Fargo'!$B:$B,"&lt;="&amp;'Cash Flow'!G$3,'Wells Fargo'!$B:$B,"&gt;"&amp;'Cash Flow'!F$3)</f>
        <v>0</v>
      </c>
      <c r="H27" s="189">
        <f>SUMIFS('Wells Fargo'!$F:$F,'Wells Fargo'!$G:$G,'Cash Flow'!$A27,'Wells Fargo'!$A:$A,H$1,'Wells Fargo'!$B:$B,"&lt;="&amp;'Cash Flow'!H$3)</f>
        <v>0</v>
      </c>
      <c r="I27" s="188">
        <f>SUMIFS('Wells Fargo'!$F:$F,'Wells Fargo'!$G:$G,'Cash Flow'!$A27,'Wells Fargo'!$A:$A,I$1,'Wells Fargo'!$B:$B,"&lt;="&amp;'Cash Flow'!I$3,'Wells Fargo'!$B:$B,"&gt;"&amp;'Cash Flow'!H$3)</f>
        <v>0</v>
      </c>
      <c r="J27" s="188">
        <f>SUMIFS('Wells Fargo'!$F:$F,'Wells Fargo'!$G:$G,'Cash Flow'!$A27,'Wells Fargo'!$A:$A,J$1,'Wells Fargo'!$B:$B,"&lt;="&amp;'Cash Flow'!J$3,'Wells Fargo'!$B:$B,"&gt;"&amp;'Cash Flow'!I$3)</f>
        <v>0</v>
      </c>
      <c r="K27" s="188">
        <f>SUMIFS('Wells Fargo'!$F:$F,'Wells Fargo'!$G:$G,'Cash Flow'!$A27,'Wells Fargo'!$A:$A,K$1,'Wells Fargo'!$B:$B,"&lt;="&amp;'Cash Flow'!K$3,'Wells Fargo'!$B:$B,"&gt;"&amp;'Cash Flow'!J$3)</f>
        <v>0</v>
      </c>
      <c r="L27" s="189">
        <f>SUMIFS('Wells Fargo'!$F:$F,'Wells Fargo'!$G:$G,'Cash Flow'!$A27,'Wells Fargo'!$A:$A,L$1,'Wells Fargo'!$B:$B,"&lt;="&amp;'Cash Flow'!L$3)</f>
        <v>0</v>
      </c>
      <c r="M27" s="188">
        <f>SUMIFS('Wells Fargo'!$F:$F,'Wells Fargo'!$G:$G,'Cash Flow'!$A27,'Wells Fargo'!$A:$A,M$1,'Wells Fargo'!$B:$B,"&lt;="&amp;'Cash Flow'!M$3,'Wells Fargo'!$B:$B,"&gt;"&amp;'Cash Flow'!L$3)</f>
        <v>0</v>
      </c>
      <c r="N27" s="188">
        <f>SUMIFS('Wells Fargo'!$F:$F,'Wells Fargo'!$G:$G,'Cash Flow'!$A27,'Wells Fargo'!$A:$A,N$1,'Wells Fargo'!$B:$B,"&lt;="&amp;'Cash Flow'!N$3,'Wells Fargo'!$B:$B,"&gt;"&amp;'Cash Flow'!M$3)</f>
        <v>0</v>
      </c>
      <c r="O27" s="188">
        <f>SUMIFS('Wells Fargo'!$F:$F,'Wells Fargo'!$G:$G,'Cash Flow'!$A27,'Wells Fargo'!$A:$A,O$1,'Wells Fargo'!$B:$B,"&lt;="&amp;'Cash Flow'!O$3,'Wells Fargo'!$B:$B,"&gt;"&amp;'Cash Flow'!N$3)</f>
        <v>0</v>
      </c>
      <c r="P27" s="188">
        <f>SUMIFS('Wells Fargo'!$F:$F,'Wells Fargo'!$G:$G,'Cash Flow'!$A27,'Wells Fargo'!$A:$A,P$1,'Wells Fargo'!$B:$B,"&lt;="&amp;'Cash Flow'!P$3,'Wells Fargo'!$B:$B,"&gt;"&amp;'Cash Flow'!O$3)</f>
        <v>0</v>
      </c>
      <c r="Q27" s="189">
        <f>SUMIFS('Wells Fargo'!$F:$F,'Wells Fargo'!$G:$G,'Cash Flow'!$A27,'Wells Fargo'!$A:$A,Q$1,'Wells Fargo'!$B:$B,"&lt;="&amp;'Cash Flow'!Q$3)</f>
        <v>0</v>
      </c>
      <c r="R27" s="188">
        <f>SUMIFS('Wells Fargo'!$F:$F,'Wells Fargo'!$G:$G,'Cash Flow'!$A27,'Wells Fargo'!$A:$A,R$1,'Wells Fargo'!$B:$B,"&lt;="&amp;'Cash Flow'!R$3,'Wells Fargo'!$B:$B,"&gt;"&amp;'Cash Flow'!Q$3)</f>
        <v>0</v>
      </c>
      <c r="S27" s="188">
        <f>SUMIFS('Wells Fargo'!$F:$F,'Wells Fargo'!$G:$G,'Cash Flow'!$A27,'Wells Fargo'!$A:$A,S$1,'Wells Fargo'!$B:$B,"&lt;="&amp;'Cash Flow'!S$3,'Wells Fargo'!$B:$B,"&gt;"&amp;'Cash Flow'!R$3)</f>
        <v>0</v>
      </c>
      <c r="T27" s="188">
        <f>SUMIFS('Wells Fargo'!$F:$F,'Wells Fargo'!$G:$G,'Cash Flow'!$A27,'Wells Fargo'!$A:$A,T$1,'Wells Fargo'!$B:$B,"&lt;="&amp;'Cash Flow'!T$3,'Wells Fargo'!$B:$B,"&gt;"&amp;'Cash Flow'!S$3)</f>
        <v>0</v>
      </c>
      <c r="U27" s="188">
        <f>SUMIFS('Wells Fargo'!$F:$F,'Wells Fargo'!$G:$G,'Cash Flow'!$A27,'Wells Fargo'!$A:$A,U$1,'Wells Fargo'!$B:$B,"&lt;="&amp;'Cash Flow'!U$3,'Wells Fargo'!$B:$B,"&gt;"&amp;'Cash Flow'!T$3)</f>
        <v>0</v>
      </c>
      <c r="V27" s="189">
        <f>SUMIFS('Wells Fargo'!$F:$F,'Wells Fargo'!$G:$G,'Cash Flow'!$A27,'Wells Fargo'!$A:$A,V$1,'Wells Fargo'!$B:$B,"&lt;="&amp;'Cash Flow'!V$3)</f>
        <v>0</v>
      </c>
      <c r="W27" s="188">
        <f>SUMIFS('Wells Fargo'!$F:$F,'Wells Fargo'!$G:$G,'Cash Flow'!$A27,'Wells Fargo'!$A:$A,W$1,'Wells Fargo'!$B:$B,"&lt;="&amp;'Cash Flow'!W$3,'Wells Fargo'!$B:$B,"&gt;"&amp;'Cash Flow'!V$3)</f>
        <v>0</v>
      </c>
      <c r="X27" s="188">
        <f>SUMIFS('Wells Fargo'!$F:$F,'Wells Fargo'!$G:$G,'Cash Flow'!$A27,'Wells Fargo'!$A:$A,X$1,'Wells Fargo'!$B:$B,"&lt;="&amp;'Cash Flow'!X$3,'Wells Fargo'!$B:$B,"&gt;"&amp;'Cash Flow'!W$3)</f>
        <v>0</v>
      </c>
      <c r="Y27" s="188">
        <f>SUMIFS('Wells Fargo'!$F:$F,'Wells Fargo'!$G:$G,'Cash Flow'!$A27,'Wells Fargo'!$A:$A,Y$1,'Wells Fargo'!$B:$B,"&lt;="&amp;'Cash Flow'!Y$3,'Wells Fargo'!$B:$B,"&gt;"&amp;'Cash Flow'!X$3)</f>
        <v>0</v>
      </c>
      <c r="Z27" s="188">
        <f>SUMIFS('Wells Fargo'!$F:$F,'Wells Fargo'!$G:$G,'Cash Flow'!$A27,'Wells Fargo'!$A:$A,Z$1,'Wells Fargo'!$B:$B,"&lt;="&amp;'Cash Flow'!Z$3,'Wells Fargo'!$B:$B,"&gt;"&amp;'Cash Flow'!Y$3)</f>
        <v>0</v>
      </c>
      <c r="AA27" s="189">
        <f>SUMIFS('Wells Fargo'!$F:$F,'Wells Fargo'!$G:$G,'Cash Flow'!$A27,'Wells Fargo'!$A:$A,AA$1,'Wells Fargo'!$B:$B,"&lt;="&amp;'Cash Flow'!AA$3)</f>
        <v>0</v>
      </c>
      <c r="AB27" s="188">
        <f>SUMIFS('Wells Fargo'!$F:$F,'Wells Fargo'!$G:$G,'Cash Flow'!$A27,'Wells Fargo'!$A:$A,AB$1,'Wells Fargo'!$B:$B,"&lt;="&amp;'Cash Flow'!AB$3,'Wells Fargo'!$B:$B,"&gt;"&amp;'Cash Flow'!AA$3)</f>
        <v>0</v>
      </c>
      <c r="AC27" s="188">
        <f>SUMIFS('Wells Fargo'!$F:$F,'Wells Fargo'!$G:$G,'Cash Flow'!$A27,'Wells Fargo'!$A:$A,AC$1,'Wells Fargo'!$B:$B,"&lt;="&amp;'Cash Flow'!AC$3,'Wells Fargo'!$B:$B,"&gt;"&amp;'Cash Flow'!AB$3)</f>
        <v>0</v>
      </c>
      <c r="AD27" s="188">
        <f>SUMIFS('Wells Fargo'!$F:$F,'Wells Fargo'!$G:$G,'Cash Flow'!$A27,'Wells Fargo'!$A:$A,AD$1,'Wells Fargo'!$B:$B,"&lt;="&amp;'Cash Flow'!AD$3,'Wells Fargo'!$B:$B,"&gt;"&amp;'Cash Flow'!AC$3)</f>
        <v>0</v>
      </c>
      <c r="AE27" s="188">
        <f>SUMIFS('Wells Fargo'!$F:$F,'Wells Fargo'!$G:$G,'Cash Flow'!$A27,'Wells Fargo'!$A:$A,AE$1,'Wells Fargo'!$B:$B,"&lt;="&amp;'Cash Flow'!AE$3,'Wells Fargo'!$B:$B,"&gt;"&amp;'Cash Flow'!AD$3)</f>
        <v>0</v>
      </c>
      <c r="AF27" s="189">
        <f>SUMIFS('Wells Fargo'!$F:$F,'Wells Fargo'!$G:$G,'Cash Flow'!$A27,'Wells Fargo'!$A:$A,AF$1,'Wells Fargo'!$B:$B,"&lt;="&amp;'Cash Flow'!AF$3)</f>
        <v>0</v>
      </c>
      <c r="AG27" s="188">
        <f>SUMIFS('Wells Fargo'!$F:$F,'Wells Fargo'!$G:$G,'Cash Flow'!$A27,'Wells Fargo'!$A:$A,AG$1,'Wells Fargo'!$B:$B,"&lt;="&amp;'Cash Flow'!AG$3,'Wells Fargo'!$B:$B,"&gt;"&amp;'Cash Flow'!AF$3)</f>
        <v>0</v>
      </c>
      <c r="AH27" s="188">
        <f>SUMIFS('Wells Fargo'!$F:$F,'Wells Fargo'!$G:$G,'Cash Flow'!$A27,'Wells Fargo'!$A:$A,AH$1,'Wells Fargo'!$B:$B,"&lt;="&amp;'Cash Flow'!AH$3,'Wells Fargo'!$B:$B,"&gt;"&amp;'Cash Flow'!AG$3)</f>
        <v>0</v>
      </c>
      <c r="AI27" s="188">
        <f>SUMIFS('Wells Fargo'!$F:$F,'Wells Fargo'!$G:$G,'Cash Flow'!$A27,'Wells Fargo'!$A:$A,AI$1,'Wells Fargo'!$B:$B,"&lt;="&amp;'Cash Flow'!AI$3,'Wells Fargo'!$B:$B,"&gt;"&amp;'Cash Flow'!AH$3)</f>
        <v>0</v>
      </c>
      <c r="AJ27" s="188">
        <f>SUMIFS('Wells Fargo'!$F:$F,'Wells Fargo'!$G:$G,'Cash Flow'!$A27,'Wells Fargo'!$A:$A,AJ$1,'Wells Fargo'!$B:$B,"&lt;="&amp;'Cash Flow'!AJ$3,'Wells Fargo'!$B:$B,"&gt;"&amp;'Cash Flow'!AI$3)</f>
        <v>0</v>
      </c>
      <c r="AK27" s="189">
        <f>SUMIFS('Wells Fargo'!$F:$F,'Wells Fargo'!$G:$G,'Cash Flow'!$A27,'Wells Fargo'!$A:$A,AK$1,'Wells Fargo'!$B:$B,"&lt;="&amp;'Cash Flow'!AK$3)</f>
        <v>0</v>
      </c>
      <c r="AL27" s="188">
        <f>SUMIFS('Wells Fargo'!$F:$F,'Wells Fargo'!$G:$G,'Cash Flow'!$A27,'Wells Fargo'!$A:$A,AL$1,'Wells Fargo'!$B:$B,"&lt;="&amp;'Cash Flow'!AL$3,'Wells Fargo'!$B:$B,"&gt;"&amp;'Cash Flow'!AK$3)</f>
        <v>0</v>
      </c>
      <c r="AM27" s="188">
        <f>SUMIFS('Wells Fargo'!$F:$F,'Wells Fargo'!$G:$G,'Cash Flow'!$A27,'Wells Fargo'!$A:$A,AM$1,'Wells Fargo'!$B:$B,"&lt;="&amp;'Cash Flow'!AM$3,'Wells Fargo'!$B:$B,"&gt;"&amp;'Cash Flow'!AL$3)</f>
        <v>0</v>
      </c>
      <c r="AN27" s="188">
        <f>SUMIFS('Wells Fargo'!$F:$F,'Wells Fargo'!$G:$G,'Cash Flow'!$A27,'Wells Fargo'!$A:$A,AN$1,'Wells Fargo'!$B:$B,"&lt;="&amp;'Cash Flow'!AN$3,'Wells Fargo'!$B:$B,"&gt;"&amp;'Cash Flow'!AM$3)</f>
        <v>0</v>
      </c>
      <c r="AO27" s="188">
        <f>SUMIFS('Wells Fargo'!$F:$F,'Wells Fargo'!$G:$G,'Cash Flow'!$A27,'Wells Fargo'!$A:$A,AO$1,'Wells Fargo'!$B:$B,"&lt;="&amp;'Cash Flow'!AO$3,'Wells Fargo'!$B:$B,"&gt;"&amp;'Cash Flow'!AN$3)</f>
        <v>0</v>
      </c>
      <c r="AP27" s="189">
        <f>SUMIFS('Wells Fargo'!$F:$F,'Wells Fargo'!$G:$G,'Cash Flow'!$A27,'Wells Fargo'!$A:$A,AP$1,'Wells Fargo'!$B:$B,"&lt;="&amp;'Cash Flow'!AP$3)</f>
        <v>0</v>
      </c>
      <c r="AQ27" s="188">
        <f>SUMIFS('Wells Fargo'!$F:$F,'Wells Fargo'!$G:$G,'Cash Flow'!$A27,'Wells Fargo'!$A:$A,AQ$1,'Wells Fargo'!$B:$B,"&lt;="&amp;'Cash Flow'!AQ$3,'Wells Fargo'!$B:$B,"&gt;"&amp;'Cash Flow'!AP$3)</f>
        <v>0</v>
      </c>
      <c r="AR27" s="188">
        <f>SUMIFS('Wells Fargo'!$F:$F,'Wells Fargo'!$G:$G,'Cash Flow'!$A27,'Wells Fargo'!$A:$A,AR$1,'Wells Fargo'!$B:$B,"&lt;="&amp;'Cash Flow'!AR$3,'Wells Fargo'!$B:$B,"&gt;"&amp;'Cash Flow'!AQ$3)</f>
        <v>0</v>
      </c>
      <c r="AS27" s="188">
        <f>SUMIFS('Wells Fargo'!$F:$F,'Wells Fargo'!$G:$G,'Cash Flow'!$A27,'Wells Fargo'!$A:$A,AS$1,'Wells Fargo'!$B:$B,"&lt;="&amp;'Cash Flow'!AS$3,'Wells Fargo'!$B:$B,"&gt;"&amp;'Cash Flow'!AR$3)</f>
        <v>0</v>
      </c>
      <c r="AT27" s="188">
        <f>SUMIFS('Wells Fargo'!$F:$F,'Wells Fargo'!$G:$G,'Cash Flow'!$A27,'Wells Fargo'!$A:$A,AT$1,'Wells Fargo'!$B:$B,"&lt;="&amp;'Cash Flow'!AT$3,'Wells Fargo'!$B:$B,"&gt;"&amp;'Cash Flow'!AS$3)</f>
        <v>0</v>
      </c>
      <c r="AU27" s="189">
        <f>SUMIFS('Wells Fargo'!$F:$F,'Wells Fargo'!$G:$G,'Cash Flow'!$A27,'Wells Fargo'!$A:$A,AU$1,'Wells Fargo'!$B:$B,"&lt;="&amp;'Cash Flow'!AU$3)</f>
        <v>0</v>
      </c>
      <c r="AV27" s="188">
        <f>SUMIFS('Wells Fargo'!$F:$F,'Wells Fargo'!$G:$G,'Cash Flow'!$A27,'Wells Fargo'!$A:$A,AV$1,'Wells Fargo'!$B:$B,"&lt;="&amp;'Cash Flow'!AV$3,'Wells Fargo'!$B:$B,"&gt;"&amp;'Cash Flow'!AU$3)</f>
        <v>0</v>
      </c>
      <c r="AW27" s="188">
        <f>SUMIFS('Wells Fargo'!$F:$F,'Wells Fargo'!$G:$G,'Cash Flow'!$A27,'Wells Fargo'!$A:$A,AW$1,'Wells Fargo'!$B:$B,"&lt;="&amp;'Cash Flow'!AW$3,'Wells Fargo'!$B:$B,"&gt;"&amp;'Cash Flow'!AV$3)</f>
        <v>1201.5999999999999</v>
      </c>
      <c r="AX27" s="188">
        <f>SUMIFS('Wells Fargo'!$F:$F,'Wells Fargo'!$G:$G,'Cash Flow'!$A27,'Wells Fargo'!$A:$A,AX$1,'Wells Fargo'!$B:$B,"&lt;="&amp;'Cash Flow'!AX$3,'Wells Fargo'!$B:$B,"&gt;"&amp;'Cash Flow'!AW$3)</f>
        <v>0</v>
      </c>
      <c r="AY27" s="188">
        <f>SUMIFS('Wells Fargo'!$F:$F,'Wells Fargo'!$G:$G,'Cash Flow'!$A27,'Wells Fargo'!$A:$A,AY$1,'Wells Fargo'!$B:$B,"&lt;="&amp;'Cash Flow'!AY$3,'Wells Fargo'!$B:$B,"&gt;"&amp;'Cash Flow'!AX$3)</f>
        <v>0</v>
      </c>
      <c r="AZ27" s="189">
        <f>SUMIFS('Wells Fargo'!$F:$F,'Wells Fargo'!$G:$G,'Cash Flow'!$A27,'Wells Fargo'!$A:$A,AZ$1,'Wells Fargo'!$B:$B,"&lt;="&amp;'Cash Flow'!AZ$3)</f>
        <v>0</v>
      </c>
      <c r="BA27" s="188">
        <f>SUMIFS('Wells Fargo'!$F:$F,'Wells Fargo'!$G:$G,'Cash Flow'!$A27,'Wells Fargo'!$A:$A,BA$1,'Wells Fargo'!$B:$B,"&lt;="&amp;'Cash Flow'!BA$3,'Wells Fargo'!$B:$B,"&gt;"&amp;'Cash Flow'!AZ$3)</f>
        <v>0</v>
      </c>
      <c r="BB27" s="188">
        <f>SUMIFS('Wells Fargo'!$F:$F,'Wells Fargo'!$G:$G,'Cash Flow'!$A27,'Wells Fargo'!$A:$A,BB$1,'Wells Fargo'!$B:$B,"&lt;="&amp;'Cash Flow'!BB$3,'Wells Fargo'!$B:$B,"&gt;"&amp;'Cash Flow'!BA$3)</f>
        <v>0</v>
      </c>
      <c r="BC27" s="188">
        <f>SUMIFS('Wells Fargo'!$F:$F,'Wells Fargo'!$G:$G,'Cash Flow'!$A27,'Wells Fargo'!$A:$A,BC$1,'Wells Fargo'!$B:$B,"&lt;="&amp;'Cash Flow'!BC$3,'Wells Fargo'!$B:$B,"&gt;"&amp;'Cash Flow'!BB$3)</f>
        <v>0</v>
      </c>
      <c r="BD27" s="188">
        <f>SUMIFS('Wells Fargo'!$F:$F,'Wells Fargo'!$G:$G,'Cash Flow'!$A27,'Wells Fargo'!$A:$A,BD$1,'Wells Fargo'!$B:$B,"&lt;="&amp;'Cash Flow'!BD$3,'Wells Fargo'!$B:$B,"&gt;"&amp;'Cash Flow'!BC$3)</f>
        <v>0</v>
      </c>
      <c r="BE27" s="189">
        <f>SUMIFS('Wells Fargo'!$F:$F,'Wells Fargo'!$G:$G,'Cash Flow'!$A27,'Wells Fargo'!$A:$A,BE$1,'Wells Fargo'!$B:$B,"&lt;="&amp;'Cash Flow'!BE$3)</f>
        <v>0</v>
      </c>
      <c r="BF27" s="188">
        <f>SUMIFS('Wells Fargo'!$F:$F,'Wells Fargo'!$G:$G,'Cash Flow'!$A27,'Wells Fargo'!$A:$A,BF$1,'Wells Fargo'!$B:$B,"&lt;="&amp;'Cash Flow'!BF$3,'Wells Fargo'!$B:$B,"&gt;"&amp;'Cash Flow'!BE$3)</f>
        <v>0</v>
      </c>
      <c r="BG27" s="188">
        <f>SUMIFS('Wells Fargo'!$F:$F,'Wells Fargo'!$G:$G,'Cash Flow'!$A27,'Wells Fargo'!$A:$A,BG$1,'Wells Fargo'!$B:$B,"&lt;="&amp;'Cash Flow'!BG$3,'Wells Fargo'!$B:$B,"&gt;"&amp;'Cash Flow'!BF$3)</f>
        <v>0</v>
      </c>
      <c r="BH27" s="188">
        <f>SUMIFS('Wells Fargo'!$F:$F,'Wells Fargo'!$G:$G,'Cash Flow'!$A27,'Wells Fargo'!$A:$A,BH$1,'Wells Fargo'!$B:$B,"&lt;="&amp;'Cash Flow'!BH$3,'Wells Fargo'!$B:$B,"&gt;"&amp;'Cash Flow'!BG$3)</f>
        <v>0</v>
      </c>
      <c r="BI27" s="188">
        <f>SUMIFS('Wells Fargo'!$F:$F,'Wells Fargo'!$G:$G,'Cash Flow'!$A27,'Wells Fargo'!$A:$A,BI$1,'Wells Fargo'!$B:$B,"&lt;="&amp;'Cash Flow'!BI$3,'Wells Fargo'!$B:$B,"&gt;"&amp;'Cash Flow'!BH$3)</f>
        <v>0</v>
      </c>
    </row>
    <row r="28" spans="1:61" ht="12.75" x14ac:dyDescent="0.2">
      <c r="A28" t="str">
        <v>Garbage Removal</v>
      </c>
      <c r="B28" s="87">
        <f t="shared" si="0"/>
        <v>-200</v>
      </c>
      <c r="C28" s="189">
        <f>SUMIFS('Wells Fargo'!$F:$F,'Wells Fargo'!$G:$G,'Cash Flow'!$A28,'Wells Fargo'!$A:$A,C$1,'Wells Fargo'!$B:$B,"&lt;="&amp;'Cash Flow'!C$3)</f>
        <v>0</v>
      </c>
      <c r="D28" s="188">
        <f>SUMIFS('Wells Fargo'!$F:$F,'Wells Fargo'!$G:$G,'Cash Flow'!$A28,'Wells Fargo'!$A:$A,D$1,'Wells Fargo'!$B:$B,"&lt;="&amp;'Cash Flow'!D$3,'Wells Fargo'!$B:$B,"&gt;"&amp;'Cash Flow'!C$3)</f>
        <v>0</v>
      </c>
      <c r="E28" s="188">
        <f>SUMIFS('Wells Fargo'!$F:$F,'Wells Fargo'!$G:$G,'Cash Flow'!$A28,'Wells Fargo'!$A:$A,E$1,'Wells Fargo'!$B:$B,"&lt;="&amp;'Cash Flow'!E$3,'Wells Fargo'!$B:$B,"&gt;"&amp;'Cash Flow'!D$3)</f>
        <v>0</v>
      </c>
      <c r="F28" s="188">
        <f>SUMIFS('Wells Fargo'!$F:$F,'Wells Fargo'!$G:$G,'Cash Flow'!$A28,'Wells Fargo'!$A:$A,F$1,'Wells Fargo'!$B:$B,"&lt;="&amp;'Cash Flow'!F$3,'Wells Fargo'!$B:$B,"&gt;"&amp;'Cash Flow'!E$3)</f>
        <v>0</v>
      </c>
      <c r="G28" s="188">
        <f>SUMIFS('Wells Fargo'!$F:$F,'Wells Fargo'!$G:$G,'Cash Flow'!$A28,'Wells Fargo'!$A:$A,G$1,'Wells Fargo'!$B:$B,"&lt;="&amp;'Cash Flow'!G$3,'Wells Fargo'!$B:$B,"&gt;"&amp;'Cash Flow'!F$3)</f>
        <v>0</v>
      </c>
      <c r="H28" s="189">
        <f>SUMIFS('Wells Fargo'!$F:$F,'Wells Fargo'!$G:$G,'Cash Flow'!$A28,'Wells Fargo'!$A:$A,H$1,'Wells Fargo'!$B:$B,"&lt;="&amp;'Cash Flow'!H$3)</f>
        <v>0</v>
      </c>
      <c r="I28" s="188">
        <f>SUMIFS('Wells Fargo'!$F:$F,'Wells Fargo'!$G:$G,'Cash Flow'!$A28,'Wells Fargo'!$A:$A,I$1,'Wells Fargo'!$B:$B,"&lt;="&amp;'Cash Flow'!I$3,'Wells Fargo'!$B:$B,"&gt;"&amp;'Cash Flow'!H$3)</f>
        <v>0</v>
      </c>
      <c r="J28" s="188">
        <f>SUMIFS('Wells Fargo'!$F:$F,'Wells Fargo'!$G:$G,'Cash Flow'!$A28,'Wells Fargo'!$A:$A,J$1,'Wells Fargo'!$B:$B,"&lt;="&amp;'Cash Flow'!J$3,'Wells Fargo'!$B:$B,"&gt;"&amp;'Cash Flow'!I$3)</f>
        <v>0</v>
      </c>
      <c r="K28" s="188">
        <f>SUMIFS('Wells Fargo'!$F:$F,'Wells Fargo'!$G:$G,'Cash Flow'!$A28,'Wells Fargo'!$A:$A,K$1,'Wells Fargo'!$B:$B,"&lt;="&amp;'Cash Flow'!K$3,'Wells Fargo'!$B:$B,"&gt;"&amp;'Cash Flow'!J$3)</f>
        <v>0</v>
      </c>
      <c r="L28" s="189">
        <f>SUMIFS('Wells Fargo'!$F:$F,'Wells Fargo'!$G:$G,'Cash Flow'!$A28,'Wells Fargo'!$A:$A,L$1,'Wells Fargo'!$B:$B,"&lt;="&amp;'Cash Flow'!L$3)</f>
        <v>0</v>
      </c>
      <c r="M28" s="188">
        <f>SUMIFS('Wells Fargo'!$F:$F,'Wells Fargo'!$G:$G,'Cash Flow'!$A28,'Wells Fargo'!$A:$A,M$1,'Wells Fargo'!$B:$B,"&lt;="&amp;'Cash Flow'!M$3,'Wells Fargo'!$B:$B,"&gt;"&amp;'Cash Flow'!L$3)</f>
        <v>0</v>
      </c>
      <c r="N28" s="188">
        <f>SUMIFS('Wells Fargo'!$F:$F,'Wells Fargo'!$G:$G,'Cash Flow'!$A28,'Wells Fargo'!$A:$A,N$1,'Wells Fargo'!$B:$B,"&lt;="&amp;'Cash Flow'!N$3,'Wells Fargo'!$B:$B,"&gt;"&amp;'Cash Flow'!M$3)</f>
        <v>0</v>
      </c>
      <c r="O28" s="188">
        <f>SUMIFS('Wells Fargo'!$F:$F,'Wells Fargo'!$G:$G,'Cash Flow'!$A28,'Wells Fargo'!$A:$A,O$1,'Wells Fargo'!$B:$B,"&lt;="&amp;'Cash Flow'!O$3,'Wells Fargo'!$B:$B,"&gt;"&amp;'Cash Flow'!N$3)</f>
        <v>0</v>
      </c>
      <c r="P28" s="188">
        <f>SUMIFS('Wells Fargo'!$F:$F,'Wells Fargo'!$G:$G,'Cash Flow'!$A28,'Wells Fargo'!$A:$A,P$1,'Wells Fargo'!$B:$B,"&lt;="&amp;'Cash Flow'!P$3,'Wells Fargo'!$B:$B,"&gt;"&amp;'Cash Flow'!O$3)</f>
        <v>0</v>
      </c>
      <c r="Q28" s="189">
        <f>SUMIFS('Wells Fargo'!$F:$F,'Wells Fargo'!$G:$G,'Cash Flow'!$A28,'Wells Fargo'!$A:$A,Q$1,'Wells Fargo'!$B:$B,"&lt;="&amp;'Cash Flow'!Q$3)</f>
        <v>0</v>
      </c>
      <c r="R28" s="188">
        <f>SUMIFS('Wells Fargo'!$F:$F,'Wells Fargo'!$G:$G,'Cash Flow'!$A28,'Wells Fargo'!$A:$A,R$1,'Wells Fargo'!$B:$B,"&lt;="&amp;'Cash Flow'!R$3,'Wells Fargo'!$B:$B,"&gt;"&amp;'Cash Flow'!Q$3)</f>
        <v>0</v>
      </c>
      <c r="S28" s="188">
        <f>SUMIFS('Wells Fargo'!$F:$F,'Wells Fargo'!$G:$G,'Cash Flow'!$A28,'Wells Fargo'!$A:$A,S$1,'Wells Fargo'!$B:$B,"&lt;="&amp;'Cash Flow'!S$3,'Wells Fargo'!$B:$B,"&gt;"&amp;'Cash Flow'!R$3)</f>
        <v>0</v>
      </c>
      <c r="T28" s="188">
        <f>SUMIFS('Wells Fargo'!$F:$F,'Wells Fargo'!$G:$G,'Cash Flow'!$A28,'Wells Fargo'!$A:$A,T$1,'Wells Fargo'!$B:$B,"&lt;="&amp;'Cash Flow'!T$3,'Wells Fargo'!$B:$B,"&gt;"&amp;'Cash Flow'!S$3)</f>
        <v>0</v>
      </c>
      <c r="U28" s="188">
        <f>SUMIFS('Wells Fargo'!$F:$F,'Wells Fargo'!$G:$G,'Cash Flow'!$A28,'Wells Fargo'!$A:$A,U$1,'Wells Fargo'!$B:$B,"&lt;="&amp;'Cash Flow'!U$3,'Wells Fargo'!$B:$B,"&gt;"&amp;'Cash Flow'!T$3)</f>
        <v>0</v>
      </c>
      <c r="V28" s="189">
        <f>SUMIFS('Wells Fargo'!$F:$F,'Wells Fargo'!$G:$G,'Cash Flow'!$A28,'Wells Fargo'!$A:$A,V$1,'Wells Fargo'!$B:$B,"&lt;="&amp;'Cash Flow'!V$3)</f>
        <v>0</v>
      </c>
      <c r="W28" s="188">
        <f>SUMIFS('Wells Fargo'!$F:$F,'Wells Fargo'!$G:$G,'Cash Flow'!$A28,'Wells Fargo'!$A:$A,W$1,'Wells Fargo'!$B:$B,"&lt;="&amp;'Cash Flow'!W$3,'Wells Fargo'!$B:$B,"&gt;"&amp;'Cash Flow'!V$3)</f>
        <v>0</v>
      </c>
      <c r="X28" s="188">
        <f>SUMIFS('Wells Fargo'!$F:$F,'Wells Fargo'!$G:$G,'Cash Flow'!$A28,'Wells Fargo'!$A:$A,X$1,'Wells Fargo'!$B:$B,"&lt;="&amp;'Cash Flow'!X$3,'Wells Fargo'!$B:$B,"&gt;"&amp;'Cash Flow'!W$3)</f>
        <v>0</v>
      </c>
      <c r="Y28" s="188">
        <f>SUMIFS('Wells Fargo'!$F:$F,'Wells Fargo'!$G:$G,'Cash Flow'!$A28,'Wells Fargo'!$A:$A,Y$1,'Wells Fargo'!$B:$B,"&lt;="&amp;'Cash Flow'!Y$3,'Wells Fargo'!$B:$B,"&gt;"&amp;'Cash Flow'!X$3)</f>
        <v>0</v>
      </c>
      <c r="Z28" s="188">
        <f>SUMIFS('Wells Fargo'!$F:$F,'Wells Fargo'!$G:$G,'Cash Flow'!$A28,'Wells Fargo'!$A:$A,Z$1,'Wells Fargo'!$B:$B,"&lt;="&amp;'Cash Flow'!Z$3,'Wells Fargo'!$B:$B,"&gt;"&amp;'Cash Flow'!Y$3)</f>
        <v>0</v>
      </c>
      <c r="AA28" s="189">
        <f>SUMIFS('Wells Fargo'!$F:$F,'Wells Fargo'!$G:$G,'Cash Flow'!$A28,'Wells Fargo'!$A:$A,AA$1,'Wells Fargo'!$B:$B,"&lt;="&amp;'Cash Flow'!AA$3)</f>
        <v>0</v>
      </c>
      <c r="AB28" s="188">
        <f>SUMIFS('Wells Fargo'!$F:$F,'Wells Fargo'!$G:$G,'Cash Flow'!$A28,'Wells Fargo'!$A:$A,AB$1,'Wells Fargo'!$B:$B,"&lt;="&amp;'Cash Flow'!AB$3,'Wells Fargo'!$B:$B,"&gt;"&amp;'Cash Flow'!AA$3)</f>
        <v>-200</v>
      </c>
      <c r="AC28" s="188">
        <f>SUMIFS('Wells Fargo'!$F:$F,'Wells Fargo'!$G:$G,'Cash Flow'!$A28,'Wells Fargo'!$A:$A,AC$1,'Wells Fargo'!$B:$B,"&lt;="&amp;'Cash Flow'!AC$3,'Wells Fargo'!$B:$B,"&gt;"&amp;'Cash Flow'!AB$3)</f>
        <v>0</v>
      </c>
      <c r="AD28" s="188">
        <f>SUMIFS('Wells Fargo'!$F:$F,'Wells Fargo'!$G:$G,'Cash Flow'!$A28,'Wells Fargo'!$A:$A,AD$1,'Wells Fargo'!$B:$B,"&lt;="&amp;'Cash Flow'!AD$3,'Wells Fargo'!$B:$B,"&gt;"&amp;'Cash Flow'!AC$3)</f>
        <v>0</v>
      </c>
      <c r="AE28" s="188">
        <f>SUMIFS('Wells Fargo'!$F:$F,'Wells Fargo'!$G:$G,'Cash Flow'!$A28,'Wells Fargo'!$A:$A,AE$1,'Wells Fargo'!$B:$B,"&lt;="&amp;'Cash Flow'!AE$3,'Wells Fargo'!$B:$B,"&gt;"&amp;'Cash Flow'!AD$3)</f>
        <v>0</v>
      </c>
      <c r="AF28" s="189">
        <f>SUMIFS('Wells Fargo'!$F:$F,'Wells Fargo'!$G:$G,'Cash Flow'!$A28,'Wells Fargo'!$A:$A,AF$1,'Wells Fargo'!$B:$B,"&lt;="&amp;'Cash Flow'!AF$3)</f>
        <v>0</v>
      </c>
      <c r="AG28" s="188">
        <f>SUMIFS('Wells Fargo'!$F:$F,'Wells Fargo'!$G:$G,'Cash Flow'!$A28,'Wells Fargo'!$A:$A,AG$1,'Wells Fargo'!$B:$B,"&lt;="&amp;'Cash Flow'!AG$3,'Wells Fargo'!$B:$B,"&gt;"&amp;'Cash Flow'!AF$3)</f>
        <v>0</v>
      </c>
      <c r="AH28" s="188">
        <f>SUMIFS('Wells Fargo'!$F:$F,'Wells Fargo'!$G:$G,'Cash Flow'!$A28,'Wells Fargo'!$A:$A,AH$1,'Wells Fargo'!$B:$B,"&lt;="&amp;'Cash Flow'!AH$3,'Wells Fargo'!$B:$B,"&gt;"&amp;'Cash Flow'!AG$3)</f>
        <v>0</v>
      </c>
      <c r="AI28" s="188">
        <f>SUMIFS('Wells Fargo'!$F:$F,'Wells Fargo'!$G:$G,'Cash Flow'!$A28,'Wells Fargo'!$A:$A,AI$1,'Wells Fargo'!$B:$B,"&lt;="&amp;'Cash Flow'!AI$3,'Wells Fargo'!$B:$B,"&gt;"&amp;'Cash Flow'!AH$3)</f>
        <v>0</v>
      </c>
      <c r="AJ28" s="188">
        <f>SUMIFS('Wells Fargo'!$F:$F,'Wells Fargo'!$G:$G,'Cash Flow'!$A28,'Wells Fargo'!$A:$A,AJ$1,'Wells Fargo'!$B:$B,"&lt;="&amp;'Cash Flow'!AJ$3,'Wells Fargo'!$B:$B,"&gt;"&amp;'Cash Flow'!AI$3)</f>
        <v>0</v>
      </c>
      <c r="AK28" s="189">
        <f>SUMIFS('Wells Fargo'!$F:$F,'Wells Fargo'!$G:$G,'Cash Flow'!$A28,'Wells Fargo'!$A:$A,AK$1,'Wells Fargo'!$B:$B,"&lt;="&amp;'Cash Flow'!AK$3)</f>
        <v>0</v>
      </c>
      <c r="AL28" s="188">
        <f>SUMIFS('Wells Fargo'!$F:$F,'Wells Fargo'!$G:$G,'Cash Flow'!$A28,'Wells Fargo'!$A:$A,AL$1,'Wells Fargo'!$B:$B,"&lt;="&amp;'Cash Flow'!AL$3,'Wells Fargo'!$B:$B,"&gt;"&amp;'Cash Flow'!AK$3)</f>
        <v>0</v>
      </c>
      <c r="AM28" s="188">
        <f>SUMIFS('Wells Fargo'!$F:$F,'Wells Fargo'!$G:$G,'Cash Flow'!$A28,'Wells Fargo'!$A:$A,AM$1,'Wells Fargo'!$B:$B,"&lt;="&amp;'Cash Flow'!AM$3,'Wells Fargo'!$B:$B,"&gt;"&amp;'Cash Flow'!AL$3)</f>
        <v>0</v>
      </c>
      <c r="AN28" s="188">
        <f>SUMIFS('Wells Fargo'!$F:$F,'Wells Fargo'!$G:$G,'Cash Flow'!$A28,'Wells Fargo'!$A:$A,AN$1,'Wells Fargo'!$B:$B,"&lt;="&amp;'Cash Flow'!AN$3,'Wells Fargo'!$B:$B,"&gt;"&amp;'Cash Flow'!AM$3)</f>
        <v>0</v>
      </c>
      <c r="AO28" s="188">
        <f>SUMIFS('Wells Fargo'!$F:$F,'Wells Fargo'!$G:$G,'Cash Flow'!$A28,'Wells Fargo'!$A:$A,AO$1,'Wells Fargo'!$B:$B,"&lt;="&amp;'Cash Flow'!AO$3,'Wells Fargo'!$B:$B,"&gt;"&amp;'Cash Flow'!AN$3)</f>
        <v>0</v>
      </c>
      <c r="AP28" s="189">
        <f>SUMIFS('Wells Fargo'!$F:$F,'Wells Fargo'!$G:$G,'Cash Flow'!$A28,'Wells Fargo'!$A:$A,AP$1,'Wells Fargo'!$B:$B,"&lt;="&amp;'Cash Flow'!AP$3)</f>
        <v>0</v>
      </c>
      <c r="AQ28" s="188">
        <f>SUMIFS('Wells Fargo'!$F:$F,'Wells Fargo'!$G:$G,'Cash Flow'!$A28,'Wells Fargo'!$A:$A,AQ$1,'Wells Fargo'!$B:$B,"&lt;="&amp;'Cash Flow'!AQ$3,'Wells Fargo'!$B:$B,"&gt;"&amp;'Cash Flow'!AP$3)</f>
        <v>0</v>
      </c>
      <c r="AR28" s="188">
        <f>SUMIFS('Wells Fargo'!$F:$F,'Wells Fargo'!$G:$G,'Cash Flow'!$A28,'Wells Fargo'!$A:$A,AR$1,'Wells Fargo'!$B:$B,"&lt;="&amp;'Cash Flow'!AR$3,'Wells Fargo'!$B:$B,"&gt;"&amp;'Cash Flow'!AQ$3)</f>
        <v>0</v>
      </c>
      <c r="AS28" s="188">
        <f>SUMIFS('Wells Fargo'!$F:$F,'Wells Fargo'!$G:$G,'Cash Flow'!$A28,'Wells Fargo'!$A:$A,AS$1,'Wells Fargo'!$B:$B,"&lt;="&amp;'Cash Flow'!AS$3,'Wells Fargo'!$B:$B,"&gt;"&amp;'Cash Flow'!AR$3)</f>
        <v>0</v>
      </c>
      <c r="AT28" s="188">
        <f>SUMIFS('Wells Fargo'!$F:$F,'Wells Fargo'!$G:$G,'Cash Flow'!$A28,'Wells Fargo'!$A:$A,AT$1,'Wells Fargo'!$B:$B,"&lt;="&amp;'Cash Flow'!AT$3,'Wells Fargo'!$B:$B,"&gt;"&amp;'Cash Flow'!AS$3)</f>
        <v>0</v>
      </c>
      <c r="AU28" s="189">
        <f>SUMIFS('Wells Fargo'!$F:$F,'Wells Fargo'!$G:$G,'Cash Flow'!$A28,'Wells Fargo'!$A:$A,AU$1,'Wells Fargo'!$B:$B,"&lt;="&amp;'Cash Flow'!AU$3)</f>
        <v>0</v>
      </c>
      <c r="AV28" s="188">
        <f>SUMIFS('Wells Fargo'!$F:$F,'Wells Fargo'!$G:$G,'Cash Flow'!$A28,'Wells Fargo'!$A:$A,AV$1,'Wells Fargo'!$B:$B,"&lt;="&amp;'Cash Flow'!AV$3,'Wells Fargo'!$B:$B,"&gt;"&amp;'Cash Flow'!AU$3)</f>
        <v>0</v>
      </c>
      <c r="AW28" s="188">
        <f>SUMIFS('Wells Fargo'!$F:$F,'Wells Fargo'!$G:$G,'Cash Flow'!$A28,'Wells Fargo'!$A:$A,AW$1,'Wells Fargo'!$B:$B,"&lt;="&amp;'Cash Flow'!AW$3,'Wells Fargo'!$B:$B,"&gt;"&amp;'Cash Flow'!AV$3)</f>
        <v>0</v>
      </c>
      <c r="AX28" s="188">
        <f>SUMIFS('Wells Fargo'!$F:$F,'Wells Fargo'!$G:$G,'Cash Flow'!$A28,'Wells Fargo'!$A:$A,AX$1,'Wells Fargo'!$B:$B,"&lt;="&amp;'Cash Flow'!AX$3,'Wells Fargo'!$B:$B,"&gt;"&amp;'Cash Flow'!AW$3)</f>
        <v>0</v>
      </c>
      <c r="AY28" s="188">
        <f>SUMIFS('Wells Fargo'!$F:$F,'Wells Fargo'!$G:$G,'Cash Flow'!$A28,'Wells Fargo'!$A:$A,AY$1,'Wells Fargo'!$B:$B,"&lt;="&amp;'Cash Flow'!AY$3,'Wells Fargo'!$B:$B,"&gt;"&amp;'Cash Flow'!AX$3)</f>
        <v>0</v>
      </c>
      <c r="AZ28" s="189">
        <f>SUMIFS('Wells Fargo'!$F:$F,'Wells Fargo'!$G:$G,'Cash Flow'!$A28,'Wells Fargo'!$A:$A,AZ$1,'Wells Fargo'!$B:$B,"&lt;="&amp;'Cash Flow'!AZ$3)</f>
        <v>0</v>
      </c>
      <c r="BA28" s="188">
        <f>SUMIFS('Wells Fargo'!$F:$F,'Wells Fargo'!$G:$G,'Cash Flow'!$A28,'Wells Fargo'!$A:$A,BA$1,'Wells Fargo'!$B:$B,"&lt;="&amp;'Cash Flow'!BA$3,'Wells Fargo'!$B:$B,"&gt;"&amp;'Cash Flow'!AZ$3)</f>
        <v>0</v>
      </c>
      <c r="BB28" s="188">
        <f>SUMIFS('Wells Fargo'!$F:$F,'Wells Fargo'!$G:$G,'Cash Flow'!$A28,'Wells Fargo'!$A:$A,BB$1,'Wells Fargo'!$B:$B,"&lt;="&amp;'Cash Flow'!BB$3,'Wells Fargo'!$B:$B,"&gt;"&amp;'Cash Flow'!BA$3)</f>
        <v>0</v>
      </c>
      <c r="BC28" s="188">
        <f>SUMIFS('Wells Fargo'!$F:$F,'Wells Fargo'!$G:$G,'Cash Flow'!$A28,'Wells Fargo'!$A:$A,BC$1,'Wells Fargo'!$B:$B,"&lt;="&amp;'Cash Flow'!BC$3,'Wells Fargo'!$B:$B,"&gt;"&amp;'Cash Flow'!BB$3)</f>
        <v>0</v>
      </c>
      <c r="BD28" s="188">
        <f>SUMIFS('Wells Fargo'!$F:$F,'Wells Fargo'!$G:$G,'Cash Flow'!$A28,'Wells Fargo'!$A:$A,BD$1,'Wells Fargo'!$B:$B,"&lt;="&amp;'Cash Flow'!BD$3,'Wells Fargo'!$B:$B,"&gt;"&amp;'Cash Flow'!BC$3)</f>
        <v>0</v>
      </c>
      <c r="BE28" s="189">
        <f>SUMIFS('Wells Fargo'!$F:$F,'Wells Fargo'!$G:$G,'Cash Flow'!$A28,'Wells Fargo'!$A:$A,BE$1,'Wells Fargo'!$B:$B,"&lt;="&amp;'Cash Flow'!BE$3)</f>
        <v>0</v>
      </c>
      <c r="BF28" s="188">
        <f>SUMIFS('Wells Fargo'!$F:$F,'Wells Fargo'!$G:$G,'Cash Flow'!$A28,'Wells Fargo'!$A:$A,BF$1,'Wells Fargo'!$B:$B,"&lt;="&amp;'Cash Flow'!BF$3,'Wells Fargo'!$B:$B,"&gt;"&amp;'Cash Flow'!BE$3)</f>
        <v>0</v>
      </c>
      <c r="BG28" s="188">
        <f>SUMIFS('Wells Fargo'!$F:$F,'Wells Fargo'!$G:$G,'Cash Flow'!$A28,'Wells Fargo'!$A:$A,BG$1,'Wells Fargo'!$B:$B,"&lt;="&amp;'Cash Flow'!BG$3,'Wells Fargo'!$B:$B,"&gt;"&amp;'Cash Flow'!BF$3)</f>
        <v>0</v>
      </c>
      <c r="BH28" s="188">
        <f>SUMIFS('Wells Fargo'!$F:$F,'Wells Fargo'!$G:$G,'Cash Flow'!$A28,'Wells Fargo'!$A:$A,BH$1,'Wells Fargo'!$B:$B,"&lt;="&amp;'Cash Flow'!BH$3,'Wells Fargo'!$B:$B,"&gt;"&amp;'Cash Flow'!BG$3)</f>
        <v>0</v>
      </c>
      <c r="BI28" s="188">
        <f>SUMIFS('Wells Fargo'!$F:$F,'Wells Fargo'!$G:$G,'Cash Flow'!$A28,'Wells Fargo'!$A:$A,BI$1,'Wells Fargo'!$B:$B,"&lt;="&amp;'Cash Flow'!BI$3,'Wells Fargo'!$B:$B,"&gt;"&amp;'Cash Flow'!BH$3)</f>
        <v>0</v>
      </c>
    </row>
    <row r="29" spans="1:61" ht="12.75" x14ac:dyDescent="0.2">
      <c r="A29" t="str">
        <v>Gas</v>
      </c>
      <c r="B29" s="87">
        <f t="shared" si="0"/>
        <v>-153.64000000000001</v>
      </c>
      <c r="C29" s="189">
        <f>SUMIFS('Wells Fargo'!$F:$F,'Wells Fargo'!$G:$G,'Cash Flow'!$A29,'Wells Fargo'!$A:$A,C$1,'Wells Fargo'!$B:$B,"&lt;="&amp;'Cash Flow'!C$3)</f>
        <v>0</v>
      </c>
      <c r="D29" s="188">
        <f>SUMIFS('Wells Fargo'!$F:$F,'Wells Fargo'!$G:$G,'Cash Flow'!$A29,'Wells Fargo'!$A:$A,D$1,'Wells Fargo'!$B:$B,"&lt;="&amp;'Cash Flow'!D$3,'Wells Fargo'!$B:$B,"&gt;"&amp;'Cash Flow'!C$3)</f>
        <v>0</v>
      </c>
      <c r="E29" s="188">
        <f>SUMIFS('Wells Fargo'!$F:$F,'Wells Fargo'!$G:$G,'Cash Flow'!$A29,'Wells Fargo'!$A:$A,E$1,'Wells Fargo'!$B:$B,"&lt;="&amp;'Cash Flow'!E$3,'Wells Fargo'!$B:$B,"&gt;"&amp;'Cash Flow'!D$3)</f>
        <v>0</v>
      </c>
      <c r="F29" s="188">
        <f>SUMIFS('Wells Fargo'!$F:$F,'Wells Fargo'!$G:$G,'Cash Flow'!$A29,'Wells Fargo'!$A:$A,F$1,'Wells Fargo'!$B:$B,"&lt;="&amp;'Cash Flow'!F$3,'Wells Fargo'!$B:$B,"&gt;"&amp;'Cash Flow'!E$3)</f>
        <v>0</v>
      </c>
      <c r="G29" s="188">
        <f>SUMIFS('Wells Fargo'!$F:$F,'Wells Fargo'!$G:$G,'Cash Flow'!$A29,'Wells Fargo'!$A:$A,G$1,'Wells Fargo'!$B:$B,"&lt;="&amp;'Cash Flow'!G$3,'Wells Fargo'!$B:$B,"&gt;"&amp;'Cash Flow'!F$3)</f>
        <v>0</v>
      </c>
      <c r="H29" s="189">
        <f>SUMIFS('Wells Fargo'!$F:$F,'Wells Fargo'!$G:$G,'Cash Flow'!$A29,'Wells Fargo'!$A:$A,H$1,'Wells Fargo'!$B:$B,"&lt;="&amp;'Cash Flow'!H$3)</f>
        <v>0</v>
      </c>
      <c r="I29" s="188">
        <f>SUMIFS('Wells Fargo'!$F:$F,'Wells Fargo'!$G:$G,'Cash Flow'!$A29,'Wells Fargo'!$A:$A,I$1,'Wells Fargo'!$B:$B,"&lt;="&amp;'Cash Flow'!I$3,'Wells Fargo'!$B:$B,"&gt;"&amp;'Cash Flow'!H$3)</f>
        <v>0</v>
      </c>
      <c r="J29" s="188">
        <f>SUMIFS('Wells Fargo'!$F:$F,'Wells Fargo'!$G:$G,'Cash Flow'!$A29,'Wells Fargo'!$A:$A,J$1,'Wells Fargo'!$B:$B,"&lt;="&amp;'Cash Flow'!J$3,'Wells Fargo'!$B:$B,"&gt;"&amp;'Cash Flow'!I$3)</f>
        <v>0</v>
      </c>
      <c r="K29" s="188">
        <f>SUMIFS('Wells Fargo'!$F:$F,'Wells Fargo'!$G:$G,'Cash Flow'!$A29,'Wells Fargo'!$A:$A,K$1,'Wells Fargo'!$B:$B,"&lt;="&amp;'Cash Flow'!K$3,'Wells Fargo'!$B:$B,"&gt;"&amp;'Cash Flow'!J$3)</f>
        <v>0</v>
      </c>
      <c r="L29" s="189">
        <f>SUMIFS('Wells Fargo'!$F:$F,'Wells Fargo'!$G:$G,'Cash Flow'!$A29,'Wells Fargo'!$A:$A,L$1,'Wells Fargo'!$B:$B,"&lt;="&amp;'Cash Flow'!L$3)</f>
        <v>0</v>
      </c>
      <c r="M29" s="188">
        <f>SUMIFS('Wells Fargo'!$F:$F,'Wells Fargo'!$G:$G,'Cash Flow'!$A29,'Wells Fargo'!$A:$A,M$1,'Wells Fargo'!$B:$B,"&lt;="&amp;'Cash Flow'!M$3,'Wells Fargo'!$B:$B,"&gt;"&amp;'Cash Flow'!L$3)</f>
        <v>0</v>
      </c>
      <c r="N29" s="188">
        <f>SUMIFS('Wells Fargo'!$F:$F,'Wells Fargo'!$G:$G,'Cash Flow'!$A29,'Wells Fargo'!$A:$A,N$1,'Wells Fargo'!$B:$B,"&lt;="&amp;'Cash Flow'!N$3,'Wells Fargo'!$B:$B,"&gt;"&amp;'Cash Flow'!M$3)</f>
        <v>-25.57</v>
      </c>
      <c r="O29" s="188">
        <f>SUMIFS('Wells Fargo'!$F:$F,'Wells Fargo'!$G:$G,'Cash Flow'!$A29,'Wells Fargo'!$A:$A,O$1,'Wells Fargo'!$B:$B,"&lt;="&amp;'Cash Flow'!O$3,'Wells Fargo'!$B:$B,"&gt;"&amp;'Cash Flow'!N$3)</f>
        <v>0</v>
      </c>
      <c r="P29" s="188">
        <f>SUMIFS('Wells Fargo'!$F:$F,'Wells Fargo'!$G:$G,'Cash Flow'!$A29,'Wells Fargo'!$A:$A,P$1,'Wells Fargo'!$B:$B,"&lt;="&amp;'Cash Flow'!P$3,'Wells Fargo'!$B:$B,"&gt;"&amp;'Cash Flow'!O$3)</f>
        <v>0</v>
      </c>
      <c r="Q29" s="189">
        <f>SUMIFS('Wells Fargo'!$F:$F,'Wells Fargo'!$G:$G,'Cash Flow'!$A29,'Wells Fargo'!$A:$A,Q$1,'Wells Fargo'!$B:$B,"&lt;="&amp;'Cash Flow'!Q$3)</f>
        <v>0</v>
      </c>
      <c r="R29" s="188">
        <f>SUMIFS('Wells Fargo'!$F:$F,'Wells Fargo'!$G:$G,'Cash Flow'!$A29,'Wells Fargo'!$A:$A,R$1,'Wells Fargo'!$B:$B,"&lt;="&amp;'Cash Flow'!R$3,'Wells Fargo'!$B:$B,"&gt;"&amp;'Cash Flow'!Q$3)</f>
        <v>0</v>
      </c>
      <c r="S29" s="188">
        <f>SUMIFS('Wells Fargo'!$F:$F,'Wells Fargo'!$G:$G,'Cash Flow'!$A29,'Wells Fargo'!$A:$A,S$1,'Wells Fargo'!$B:$B,"&lt;="&amp;'Cash Flow'!S$3,'Wells Fargo'!$B:$B,"&gt;"&amp;'Cash Flow'!R$3)</f>
        <v>0</v>
      </c>
      <c r="T29" s="188">
        <f>SUMIFS('Wells Fargo'!$F:$F,'Wells Fargo'!$G:$G,'Cash Flow'!$A29,'Wells Fargo'!$A:$A,T$1,'Wells Fargo'!$B:$B,"&lt;="&amp;'Cash Flow'!T$3,'Wells Fargo'!$B:$B,"&gt;"&amp;'Cash Flow'!S$3)</f>
        <v>0</v>
      </c>
      <c r="U29" s="188">
        <f>SUMIFS('Wells Fargo'!$F:$F,'Wells Fargo'!$G:$G,'Cash Flow'!$A29,'Wells Fargo'!$A:$A,U$1,'Wells Fargo'!$B:$B,"&lt;="&amp;'Cash Flow'!U$3,'Wells Fargo'!$B:$B,"&gt;"&amp;'Cash Flow'!T$3)</f>
        <v>0</v>
      </c>
      <c r="V29" s="189">
        <f>SUMIFS('Wells Fargo'!$F:$F,'Wells Fargo'!$G:$G,'Cash Flow'!$A29,'Wells Fargo'!$A:$A,V$1,'Wells Fargo'!$B:$B,"&lt;="&amp;'Cash Flow'!V$3)</f>
        <v>0</v>
      </c>
      <c r="W29" s="188">
        <f>SUMIFS('Wells Fargo'!$F:$F,'Wells Fargo'!$G:$G,'Cash Flow'!$A29,'Wells Fargo'!$A:$A,W$1,'Wells Fargo'!$B:$B,"&lt;="&amp;'Cash Flow'!W$3,'Wells Fargo'!$B:$B,"&gt;"&amp;'Cash Flow'!V$3)</f>
        <v>-50.32</v>
      </c>
      <c r="X29" s="188">
        <f>SUMIFS('Wells Fargo'!$F:$F,'Wells Fargo'!$G:$G,'Cash Flow'!$A29,'Wells Fargo'!$A:$A,X$1,'Wells Fargo'!$B:$B,"&lt;="&amp;'Cash Flow'!X$3,'Wells Fargo'!$B:$B,"&gt;"&amp;'Cash Flow'!W$3)</f>
        <v>0</v>
      </c>
      <c r="Y29" s="188">
        <f>SUMIFS('Wells Fargo'!$F:$F,'Wells Fargo'!$G:$G,'Cash Flow'!$A29,'Wells Fargo'!$A:$A,Y$1,'Wells Fargo'!$B:$B,"&lt;="&amp;'Cash Flow'!Y$3,'Wells Fargo'!$B:$B,"&gt;"&amp;'Cash Flow'!X$3)</f>
        <v>0</v>
      </c>
      <c r="Z29" s="188">
        <f>SUMIFS('Wells Fargo'!$F:$F,'Wells Fargo'!$G:$G,'Cash Flow'!$A29,'Wells Fargo'!$A:$A,Z$1,'Wells Fargo'!$B:$B,"&lt;="&amp;'Cash Flow'!Z$3,'Wells Fargo'!$B:$B,"&gt;"&amp;'Cash Flow'!Y$3)</f>
        <v>0</v>
      </c>
      <c r="AA29" s="189">
        <f>SUMIFS('Wells Fargo'!$F:$F,'Wells Fargo'!$G:$G,'Cash Flow'!$A29,'Wells Fargo'!$A:$A,AA$1,'Wells Fargo'!$B:$B,"&lt;="&amp;'Cash Flow'!AA$3)</f>
        <v>0</v>
      </c>
      <c r="AB29" s="188">
        <f>SUMIFS('Wells Fargo'!$F:$F,'Wells Fargo'!$G:$G,'Cash Flow'!$A29,'Wells Fargo'!$A:$A,AB$1,'Wells Fargo'!$B:$B,"&lt;="&amp;'Cash Flow'!AB$3,'Wells Fargo'!$B:$B,"&gt;"&amp;'Cash Flow'!AA$3)</f>
        <v>0</v>
      </c>
      <c r="AC29" s="188">
        <f>SUMIFS('Wells Fargo'!$F:$F,'Wells Fargo'!$G:$G,'Cash Flow'!$A29,'Wells Fargo'!$A:$A,AC$1,'Wells Fargo'!$B:$B,"&lt;="&amp;'Cash Flow'!AC$3,'Wells Fargo'!$B:$B,"&gt;"&amp;'Cash Flow'!AB$3)</f>
        <v>0</v>
      </c>
      <c r="AD29" s="188">
        <f>SUMIFS('Wells Fargo'!$F:$F,'Wells Fargo'!$G:$G,'Cash Flow'!$A29,'Wells Fargo'!$A:$A,AD$1,'Wells Fargo'!$B:$B,"&lt;="&amp;'Cash Flow'!AD$3,'Wells Fargo'!$B:$B,"&gt;"&amp;'Cash Flow'!AC$3)</f>
        <v>0</v>
      </c>
      <c r="AE29" s="188">
        <f>SUMIFS('Wells Fargo'!$F:$F,'Wells Fargo'!$G:$G,'Cash Flow'!$A29,'Wells Fargo'!$A:$A,AE$1,'Wells Fargo'!$B:$B,"&lt;="&amp;'Cash Flow'!AE$3,'Wells Fargo'!$B:$B,"&gt;"&amp;'Cash Flow'!AD$3)</f>
        <v>0</v>
      </c>
      <c r="AF29" s="189">
        <f>SUMIFS('Wells Fargo'!$F:$F,'Wells Fargo'!$G:$G,'Cash Flow'!$A29,'Wells Fargo'!$A:$A,AF$1,'Wells Fargo'!$B:$B,"&lt;="&amp;'Cash Flow'!AF$3)</f>
        <v>0</v>
      </c>
      <c r="AG29" s="188">
        <f>SUMIFS('Wells Fargo'!$F:$F,'Wells Fargo'!$G:$G,'Cash Flow'!$A29,'Wells Fargo'!$A:$A,AG$1,'Wells Fargo'!$B:$B,"&lt;="&amp;'Cash Flow'!AG$3,'Wells Fargo'!$B:$B,"&gt;"&amp;'Cash Flow'!AF$3)</f>
        <v>0</v>
      </c>
      <c r="AH29" s="188">
        <f>SUMIFS('Wells Fargo'!$F:$F,'Wells Fargo'!$G:$G,'Cash Flow'!$A29,'Wells Fargo'!$A:$A,AH$1,'Wells Fargo'!$B:$B,"&lt;="&amp;'Cash Flow'!AH$3,'Wells Fargo'!$B:$B,"&gt;"&amp;'Cash Flow'!AG$3)</f>
        <v>0</v>
      </c>
      <c r="AI29" s="188">
        <f>SUMIFS('Wells Fargo'!$F:$F,'Wells Fargo'!$G:$G,'Cash Flow'!$A29,'Wells Fargo'!$A:$A,AI$1,'Wells Fargo'!$B:$B,"&lt;="&amp;'Cash Flow'!AI$3,'Wells Fargo'!$B:$B,"&gt;"&amp;'Cash Flow'!AH$3)</f>
        <v>-29.73</v>
      </c>
      <c r="AJ29" s="188">
        <f>SUMIFS('Wells Fargo'!$F:$F,'Wells Fargo'!$G:$G,'Cash Flow'!$A29,'Wells Fargo'!$A:$A,AJ$1,'Wells Fargo'!$B:$B,"&lt;="&amp;'Cash Flow'!AJ$3,'Wells Fargo'!$B:$B,"&gt;"&amp;'Cash Flow'!AI$3)</f>
        <v>0</v>
      </c>
      <c r="AK29" s="189">
        <f>SUMIFS('Wells Fargo'!$F:$F,'Wells Fargo'!$G:$G,'Cash Flow'!$A29,'Wells Fargo'!$A:$A,AK$1,'Wells Fargo'!$B:$B,"&lt;="&amp;'Cash Flow'!AK$3)</f>
        <v>0</v>
      </c>
      <c r="AL29" s="188">
        <f>SUMIFS('Wells Fargo'!$F:$F,'Wells Fargo'!$G:$G,'Cash Flow'!$A29,'Wells Fargo'!$A:$A,AL$1,'Wells Fargo'!$B:$B,"&lt;="&amp;'Cash Flow'!AL$3,'Wells Fargo'!$B:$B,"&gt;"&amp;'Cash Flow'!AK$3)</f>
        <v>0</v>
      </c>
      <c r="AM29" s="188">
        <f>SUMIFS('Wells Fargo'!$F:$F,'Wells Fargo'!$G:$G,'Cash Flow'!$A29,'Wells Fargo'!$A:$A,AM$1,'Wells Fargo'!$B:$B,"&lt;="&amp;'Cash Flow'!AM$3,'Wells Fargo'!$B:$B,"&gt;"&amp;'Cash Flow'!AL$3)</f>
        <v>0</v>
      </c>
      <c r="AN29" s="188">
        <f>SUMIFS('Wells Fargo'!$F:$F,'Wells Fargo'!$G:$G,'Cash Flow'!$A29,'Wells Fargo'!$A:$A,AN$1,'Wells Fargo'!$B:$B,"&lt;="&amp;'Cash Flow'!AN$3,'Wells Fargo'!$B:$B,"&gt;"&amp;'Cash Flow'!AM$3)</f>
        <v>0</v>
      </c>
      <c r="AO29" s="188">
        <f>SUMIFS('Wells Fargo'!$F:$F,'Wells Fargo'!$G:$G,'Cash Flow'!$A29,'Wells Fargo'!$A:$A,AO$1,'Wells Fargo'!$B:$B,"&lt;="&amp;'Cash Flow'!AO$3,'Wells Fargo'!$B:$B,"&gt;"&amp;'Cash Flow'!AN$3)</f>
        <v>0</v>
      </c>
      <c r="AP29" s="189">
        <f>SUMIFS('Wells Fargo'!$F:$F,'Wells Fargo'!$G:$G,'Cash Flow'!$A29,'Wells Fargo'!$A:$A,AP$1,'Wells Fargo'!$B:$B,"&lt;="&amp;'Cash Flow'!AP$3)</f>
        <v>0</v>
      </c>
      <c r="AQ29" s="188">
        <f>SUMIFS('Wells Fargo'!$F:$F,'Wells Fargo'!$G:$G,'Cash Flow'!$A29,'Wells Fargo'!$A:$A,AQ$1,'Wells Fargo'!$B:$B,"&lt;="&amp;'Cash Flow'!AQ$3,'Wells Fargo'!$B:$B,"&gt;"&amp;'Cash Flow'!AP$3)</f>
        <v>0</v>
      </c>
      <c r="AR29" s="188">
        <f>SUMIFS('Wells Fargo'!$F:$F,'Wells Fargo'!$G:$G,'Cash Flow'!$A29,'Wells Fargo'!$A:$A,AR$1,'Wells Fargo'!$B:$B,"&lt;="&amp;'Cash Flow'!AR$3,'Wells Fargo'!$B:$B,"&gt;"&amp;'Cash Flow'!AQ$3)</f>
        <v>-48.02</v>
      </c>
      <c r="AS29" s="188">
        <f>SUMIFS('Wells Fargo'!$F:$F,'Wells Fargo'!$G:$G,'Cash Flow'!$A29,'Wells Fargo'!$A:$A,AS$1,'Wells Fargo'!$B:$B,"&lt;="&amp;'Cash Flow'!AS$3,'Wells Fargo'!$B:$B,"&gt;"&amp;'Cash Flow'!AR$3)</f>
        <v>0</v>
      </c>
      <c r="AT29" s="188">
        <f>SUMIFS('Wells Fargo'!$F:$F,'Wells Fargo'!$G:$G,'Cash Flow'!$A29,'Wells Fargo'!$A:$A,AT$1,'Wells Fargo'!$B:$B,"&lt;="&amp;'Cash Flow'!AT$3,'Wells Fargo'!$B:$B,"&gt;"&amp;'Cash Flow'!AS$3)</f>
        <v>0</v>
      </c>
      <c r="AU29" s="189">
        <f>SUMIFS('Wells Fargo'!$F:$F,'Wells Fargo'!$G:$G,'Cash Flow'!$A29,'Wells Fargo'!$A:$A,AU$1,'Wells Fargo'!$B:$B,"&lt;="&amp;'Cash Flow'!AU$3)</f>
        <v>0</v>
      </c>
      <c r="AV29" s="188">
        <f>SUMIFS('Wells Fargo'!$F:$F,'Wells Fargo'!$G:$G,'Cash Flow'!$A29,'Wells Fargo'!$A:$A,AV$1,'Wells Fargo'!$B:$B,"&lt;="&amp;'Cash Flow'!AV$3,'Wells Fargo'!$B:$B,"&gt;"&amp;'Cash Flow'!AU$3)</f>
        <v>0</v>
      </c>
      <c r="AW29" s="188">
        <f>SUMIFS('Wells Fargo'!$F:$F,'Wells Fargo'!$G:$G,'Cash Flow'!$A29,'Wells Fargo'!$A:$A,AW$1,'Wells Fargo'!$B:$B,"&lt;="&amp;'Cash Flow'!AW$3,'Wells Fargo'!$B:$B,"&gt;"&amp;'Cash Flow'!AV$3)</f>
        <v>0</v>
      </c>
      <c r="AX29" s="188">
        <f>SUMIFS('Wells Fargo'!$F:$F,'Wells Fargo'!$G:$G,'Cash Flow'!$A29,'Wells Fargo'!$A:$A,AX$1,'Wells Fargo'!$B:$B,"&lt;="&amp;'Cash Flow'!AX$3,'Wells Fargo'!$B:$B,"&gt;"&amp;'Cash Flow'!AW$3)</f>
        <v>0</v>
      </c>
      <c r="AY29" s="188">
        <f>SUMIFS('Wells Fargo'!$F:$F,'Wells Fargo'!$G:$G,'Cash Flow'!$A29,'Wells Fargo'!$A:$A,AY$1,'Wells Fargo'!$B:$B,"&lt;="&amp;'Cash Flow'!AY$3,'Wells Fargo'!$B:$B,"&gt;"&amp;'Cash Flow'!AX$3)</f>
        <v>0</v>
      </c>
      <c r="AZ29" s="189">
        <f>SUMIFS('Wells Fargo'!$F:$F,'Wells Fargo'!$G:$G,'Cash Flow'!$A29,'Wells Fargo'!$A:$A,AZ$1,'Wells Fargo'!$B:$B,"&lt;="&amp;'Cash Flow'!AZ$3)</f>
        <v>0</v>
      </c>
      <c r="BA29" s="188">
        <f>SUMIFS('Wells Fargo'!$F:$F,'Wells Fargo'!$G:$G,'Cash Flow'!$A29,'Wells Fargo'!$A:$A,BA$1,'Wells Fargo'!$B:$B,"&lt;="&amp;'Cash Flow'!BA$3,'Wells Fargo'!$B:$B,"&gt;"&amp;'Cash Flow'!AZ$3)</f>
        <v>0</v>
      </c>
      <c r="BB29" s="188">
        <f>SUMIFS('Wells Fargo'!$F:$F,'Wells Fargo'!$G:$G,'Cash Flow'!$A29,'Wells Fargo'!$A:$A,BB$1,'Wells Fargo'!$B:$B,"&lt;="&amp;'Cash Flow'!BB$3,'Wells Fargo'!$B:$B,"&gt;"&amp;'Cash Flow'!BA$3)</f>
        <v>0</v>
      </c>
      <c r="BC29" s="188">
        <f>SUMIFS('Wells Fargo'!$F:$F,'Wells Fargo'!$G:$G,'Cash Flow'!$A29,'Wells Fargo'!$A:$A,BC$1,'Wells Fargo'!$B:$B,"&lt;="&amp;'Cash Flow'!BC$3,'Wells Fargo'!$B:$B,"&gt;"&amp;'Cash Flow'!BB$3)</f>
        <v>0</v>
      </c>
      <c r="BD29" s="188">
        <f>SUMIFS('Wells Fargo'!$F:$F,'Wells Fargo'!$G:$G,'Cash Flow'!$A29,'Wells Fargo'!$A:$A,BD$1,'Wells Fargo'!$B:$B,"&lt;="&amp;'Cash Flow'!BD$3,'Wells Fargo'!$B:$B,"&gt;"&amp;'Cash Flow'!BC$3)</f>
        <v>0</v>
      </c>
      <c r="BE29" s="189">
        <f>SUMIFS('Wells Fargo'!$F:$F,'Wells Fargo'!$G:$G,'Cash Flow'!$A29,'Wells Fargo'!$A:$A,BE$1,'Wells Fargo'!$B:$B,"&lt;="&amp;'Cash Flow'!BE$3)</f>
        <v>0</v>
      </c>
      <c r="BF29" s="188">
        <f>SUMIFS('Wells Fargo'!$F:$F,'Wells Fargo'!$G:$G,'Cash Flow'!$A29,'Wells Fargo'!$A:$A,BF$1,'Wells Fargo'!$B:$B,"&lt;="&amp;'Cash Flow'!BF$3,'Wells Fargo'!$B:$B,"&gt;"&amp;'Cash Flow'!BE$3)</f>
        <v>0</v>
      </c>
      <c r="BG29" s="188">
        <f>SUMIFS('Wells Fargo'!$F:$F,'Wells Fargo'!$G:$G,'Cash Flow'!$A29,'Wells Fargo'!$A:$A,BG$1,'Wells Fargo'!$B:$B,"&lt;="&amp;'Cash Flow'!BG$3,'Wells Fargo'!$B:$B,"&gt;"&amp;'Cash Flow'!BF$3)</f>
        <v>0</v>
      </c>
      <c r="BH29" s="188">
        <f>SUMIFS('Wells Fargo'!$F:$F,'Wells Fargo'!$G:$G,'Cash Flow'!$A29,'Wells Fargo'!$A:$A,BH$1,'Wells Fargo'!$B:$B,"&lt;="&amp;'Cash Flow'!BH$3,'Wells Fargo'!$B:$B,"&gt;"&amp;'Cash Flow'!BG$3)</f>
        <v>0</v>
      </c>
      <c r="BI29" s="188">
        <f>SUMIFS('Wells Fargo'!$F:$F,'Wells Fargo'!$G:$G,'Cash Flow'!$A29,'Wells Fargo'!$A:$A,BI$1,'Wells Fargo'!$B:$B,"&lt;="&amp;'Cash Flow'!BI$3,'Wells Fargo'!$B:$B,"&gt;"&amp;'Cash Flow'!BH$3)</f>
        <v>0</v>
      </c>
    </row>
    <row r="30" spans="1:61" ht="12.75" x14ac:dyDescent="0.2">
      <c r="A30" t="str">
        <v>Headshot</v>
      </c>
      <c r="B30" s="87">
        <f t="shared" si="0"/>
        <v>-163.24</v>
      </c>
      <c r="C30" s="189">
        <f>SUMIFS('Wells Fargo'!$F:$F,'Wells Fargo'!$G:$G,'Cash Flow'!$A30,'Wells Fargo'!$A:$A,C$1,'Wells Fargo'!$B:$B,"&lt;="&amp;'Cash Flow'!C$3)</f>
        <v>0</v>
      </c>
      <c r="D30" s="188">
        <f>SUMIFS('Wells Fargo'!$F:$F,'Wells Fargo'!$G:$G,'Cash Flow'!$A30,'Wells Fargo'!$A:$A,D$1,'Wells Fargo'!$B:$B,"&lt;="&amp;'Cash Flow'!D$3,'Wells Fargo'!$B:$B,"&gt;"&amp;'Cash Flow'!C$3)</f>
        <v>0</v>
      </c>
      <c r="E30" s="188">
        <f>SUMIFS('Wells Fargo'!$F:$F,'Wells Fargo'!$G:$G,'Cash Flow'!$A30,'Wells Fargo'!$A:$A,E$1,'Wells Fargo'!$B:$B,"&lt;="&amp;'Cash Flow'!E$3,'Wells Fargo'!$B:$B,"&gt;"&amp;'Cash Flow'!D$3)</f>
        <v>0</v>
      </c>
      <c r="F30" s="188">
        <f>SUMIFS('Wells Fargo'!$F:$F,'Wells Fargo'!$G:$G,'Cash Flow'!$A30,'Wells Fargo'!$A:$A,F$1,'Wells Fargo'!$B:$B,"&lt;="&amp;'Cash Flow'!F$3,'Wells Fargo'!$B:$B,"&gt;"&amp;'Cash Flow'!E$3)</f>
        <v>0</v>
      </c>
      <c r="G30" s="188">
        <f>SUMIFS('Wells Fargo'!$F:$F,'Wells Fargo'!$G:$G,'Cash Flow'!$A30,'Wells Fargo'!$A:$A,G$1,'Wells Fargo'!$B:$B,"&lt;="&amp;'Cash Flow'!G$3,'Wells Fargo'!$B:$B,"&gt;"&amp;'Cash Flow'!F$3)</f>
        <v>0</v>
      </c>
      <c r="H30" s="189">
        <f>SUMIFS('Wells Fargo'!$F:$F,'Wells Fargo'!$G:$G,'Cash Flow'!$A30,'Wells Fargo'!$A:$A,H$1,'Wells Fargo'!$B:$B,"&lt;="&amp;'Cash Flow'!H$3)</f>
        <v>0</v>
      </c>
      <c r="I30" s="188">
        <f>SUMIFS('Wells Fargo'!$F:$F,'Wells Fargo'!$G:$G,'Cash Flow'!$A30,'Wells Fargo'!$A:$A,I$1,'Wells Fargo'!$B:$B,"&lt;="&amp;'Cash Flow'!I$3,'Wells Fargo'!$B:$B,"&gt;"&amp;'Cash Flow'!H$3)</f>
        <v>0</v>
      </c>
      <c r="J30" s="188">
        <f>SUMIFS('Wells Fargo'!$F:$F,'Wells Fargo'!$G:$G,'Cash Flow'!$A30,'Wells Fargo'!$A:$A,J$1,'Wells Fargo'!$B:$B,"&lt;="&amp;'Cash Flow'!J$3,'Wells Fargo'!$B:$B,"&gt;"&amp;'Cash Flow'!I$3)</f>
        <v>0</v>
      </c>
      <c r="K30" s="188">
        <f>SUMIFS('Wells Fargo'!$F:$F,'Wells Fargo'!$G:$G,'Cash Flow'!$A30,'Wells Fargo'!$A:$A,K$1,'Wells Fargo'!$B:$B,"&lt;="&amp;'Cash Flow'!K$3,'Wells Fargo'!$B:$B,"&gt;"&amp;'Cash Flow'!J$3)</f>
        <v>0</v>
      </c>
      <c r="L30" s="189">
        <f>SUMIFS('Wells Fargo'!$F:$F,'Wells Fargo'!$G:$G,'Cash Flow'!$A30,'Wells Fargo'!$A:$A,L$1,'Wells Fargo'!$B:$B,"&lt;="&amp;'Cash Flow'!L$3)</f>
        <v>0</v>
      </c>
      <c r="M30" s="188">
        <f>SUMIFS('Wells Fargo'!$F:$F,'Wells Fargo'!$G:$G,'Cash Flow'!$A30,'Wells Fargo'!$A:$A,M$1,'Wells Fargo'!$B:$B,"&lt;="&amp;'Cash Flow'!M$3,'Wells Fargo'!$B:$B,"&gt;"&amp;'Cash Flow'!L$3)</f>
        <v>0</v>
      </c>
      <c r="N30" s="188">
        <f>SUMIFS('Wells Fargo'!$F:$F,'Wells Fargo'!$G:$G,'Cash Flow'!$A30,'Wells Fargo'!$A:$A,N$1,'Wells Fargo'!$B:$B,"&lt;="&amp;'Cash Flow'!N$3,'Wells Fargo'!$B:$B,"&gt;"&amp;'Cash Flow'!M$3)</f>
        <v>0</v>
      </c>
      <c r="O30" s="188">
        <f>SUMIFS('Wells Fargo'!$F:$F,'Wells Fargo'!$G:$G,'Cash Flow'!$A30,'Wells Fargo'!$A:$A,O$1,'Wells Fargo'!$B:$B,"&lt;="&amp;'Cash Flow'!O$3,'Wells Fargo'!$B:$B,"&gt;"&amp;'Cash Flow'!N$3)</f>
        <v>0</v>
      </c>
      <c r="P30" s="188">
        <f>SUMIFS('Wells Fargo'!$F:$F,'Wells Fargo'!$G:$G,'Cash Flow'!$A30,'Wells Fargo'!$A:$A,P$1,'Wells Fargo'!$B:$B,"&lt;="&amp;'Cash Flow'!P$3,'Wells Fargo'!$B:$B,"&gt;"&amp;'Cash Flow'!O$3)</f>
        <v>0</v>
      </c>
      <c r="Q30" s="189">
        <f>SUMIFS('Wells Fargo'!$F:$F,'Wells Fargo'!$G:$G,'Cash Flow'!$A30,'Wells Fargo'!$A:$A,Q$1,'Wells Fargo'!$B:$B,"&lt;="&amp;'Cash Flow'!Q$3)</f>
        <v>0</v>
      </c>
      <c r="R30" s="188">
        <f>SUMIFS('Wells Fargo'!$F:$F,'Wells Fargo'!$G:$G,'Cash Flow'!$A30,'Wells Fargo'!$A:$A,R$1,'Wells Fargo'!$B:$B,"&lt;="&amp;'Cash Flow'!R$3,'Wells Fargo'!$B:$B,"&gt;"&amp;'Cash Flow'!Q$3)</f>
        <v>0</v>
      </c>
      <c r="S30" s="188">
        <f>SUMIFS('Wells Fargo'!$F:$F,'Wells Fargo'!$G:$G,'Cash Flow'!$A30,'Wells Fargo'!$A:$A,S$1,'Wells Fargo'!$B:$B,"&lt;="&amp;'Cash Flow'!S$3,'Wells Fargo'!$B:$B,"&gt;"&amp;'Cash Flow'!R$3)</f>
        <v>0</v>
      </c>
      <c r="T30" s="188">
        <f>SUMIFS('Wells Fargo'!$F:$F,'Wells Fargo'!$G:$G,'Cash Flow'!$A30,'Wells Fargo'!$A:$A,T$1,'Wells Fargo'!$B:$B,"&lt;="&amp;'Cash Flow'!T$3,'Wells Fargo'!$B:$B,"&gt;"&amp;'Cash Flow'!S$3)</f>
        <v>0</v>
      </c>
      <c r="U30" s="188">
        <f>SUMIFS('Wells Fargo'!$F:$F,'Wells Fargo'!$G:$G,'Cash Flow'!$A30,'Wells Fargo'!$A:$A,U$1,'Wells Fargo'!$B:$B,"&lt;="&amp;'Cash Flow'!U$3,'Wells Fargo'!$B:$B,"&gt;"&amp;'Cash Flow'!T$3)</f>
        <v>0</v>
      </c>
      <c r="V30" s="189">
        <f>SUMIFS('Wells Fargo'!$F:$F,'Wells Fargo'!$G:$G,'Cash Flow'!$A30,'Wells Fargo'!$A:$A,V$1,'Wells Fargo'!$B:$B,"&lt;="&amp;'Cash Flow'!V$3)</f>
        <v>0</v>
      </c>
      <c r="W30" s="188">
        <f>SUMIFS('Wells Fargo'!$F:$F,'Wells Fargo'!$G:$G,'Cash Flow'!$A30,'Wells Fargo'!$A:$A,W$1,'Wells Fargo'!$B:$B,"&lt;="&amp;'Cash Flow'!W$3,'Wells Fargo'!$B:$B,"&gt;"&amp;'Cash Flow'!V$3)</f>
        <v>0</v>
      </c>
      <c r="X30" s="188">
        <f>SUMIFS('Wells Fargo'!$F:$F,'Wells Fargo'!$G:$G,'Cash Flow'!$A30,'Wells Fargo'!$A:$A,X$1,'Wells Fargo'!$B:$B,"&lt;="&amp;'Cash Flow'!X$3,'Wells Fargo'!$B:$B,"&gt;"&amp;'Cash Flow'!W$3)</f>
        <v>0</v>
      </c>
      <c r="Y30" s="188">
        <f>SUMIFS('Wells Fargo'!$F:$F,'Wells Fargo'!$G:$G,'Cash Flow'!$A30,'Wells Fargo'!$A:$A,Y$1,'Wells Fargo'!$B:$B,"&lt;="&amp;'Cash Flow'!Y$3,'Wells Fargo'!$B:$B,"&gt;"&amp;'Cash Flow'!X$3)</f>
        <v>0</v>
      </c>
      <c r="Z30" s="188">
        <f>SUMIFS('Wells Fargo'!$F:$F,'Wells Fargo'!$G:$G,'Cash Flow'!$A30,'Wells Fargo'!$A:$A,Z$1,'Wells Fargo'!$B:$B,"&lt;="&amp;'Cash Flow'!Z$3,'Wells Fargo'!$B:$B,"&gt;"&amp;'Cash Flow'!Y$3)</f>
        <v>0</v>
      </c>
      <c r="AA30" s="189">
        <f>SUMIFS('Wells Fargo'!$F:$F,'Wells Fargo'!$G:$G,'Cash Flow'!$A30,'Wells Fargo'!$A:$A,AA$1,'Wells Fargo'!$B:$B,"&lt;="&amp;'Cash Flow'!AA$3)</f>
        <v>0</v>
      </c>
      <c r="AB30" s="188">
        <f>SUMIFS('Wells Fargo'!$F:$F,'Wells Fargo'!$G:$G,'Cash Flow'!$A30,'Wells Fargo'!$A:$A,AB$1,'Wells Fargo'!$B:$B,"&lt;="&amp;'Cash Flow'!AB$3,'Wells Fargo'!$B:$B,"&gt;"&amp;'Cash Flow'!AA$3)</f>
        <v>0</v>
      </c>
      <c r="AC30" s="188">
        <f>SUMIFS('Wells Fargo'!$F:$F,'Wells Fargo'!$G:$G,'Cash Flow'!$A30,'Wells Fargo'!$A:$A,AC$1,'Wells Fargo'!$B:$B,"&lt;="&amp;'Cash Flow'!AC$3,'Wells Fargo'!$B:$B,"&gt;"&amp;'Cash Flow'!AB$3)</f>
        <v>0</v>
      </c>
      <c r="AD30" s="188">
        <f>SUMIFS('Wells Fargo'!$F:$F,'Wells Fargo'!$G:$G,'Cash Flow'!$A30,'Wells Fargo'!$A:$A,AD$1,'Wells Fargo'!$B:$B,"&lt;="&amp;'Cash Flow'!AD$3,'Wells Fargo'!$B:$B,"&gt;"&amp;'Cash Flow'!AC$3)</f>
        <v>-20</v>
      </c>
      <c r="AE30" s="188">
        <f>SUMIFS('Wells Fargo'!$F:$F,'Wells Fargo'!$G:$G,'Cash Flow'!$A30,'Wells Fargo'!$A:$A,AE$1,'Wells Fargo'!$B:$B,"&lt;="&amp;'Cash Flow'!AE$3,'Wells Fargo'!$B:$B,"&gt;"&amp;'Cash Flow'!AD$3)</f>
        <v>0</v>
      </c>
      <c r="AF30" s="189">
        <f>SUMIFS('Wells Fargo'!$F:$F,'Wells Fargo'!$G:$G,'Cash Flow'!$A30,'Wells Fargo'!$A:$A,AF$1,'Wells Fargo'!$B:$B,"&lt;="&amp;'Cash Flow'!AF$3)</f>
        <v>0</v>
      </c>
      <c r="AG30" s="188">
        <f>SUMIFS('Wells Fargo'!$F:$F,'Wells Fargo'!$G:$G,'Cash Flow'!$A30,'Wells Fargo'!$A:$A,AG$1,'Wells Fargo'!$B:$B,"&lt;="&amp;'Cash Flow'!AG$3,'Wells Fargo'!$B:$B,"&gt;"&amp;'Cash Flow'!AF$3)</f>
        <v>0</v>
      </c>
      <c r="AH30" s="188">
        <f>SUMIFS('Wells Fargo'!$F:$F,'Wells Fargo'!$G:$G,'Cash Flow'!$A30,'Wells Fargo'!$A:$A,AH$1,'Wells Fargo'!$B:$B,"&lt;="&amp;'Cash Flow'!AH$3,'Wells Fargo'!$B:$B,"&gt;"&amp;'Cash Flow'!AG$3)</f>
        <v>-143.24</v>
      </c>
      <c r="AI30" s="188">
        <f>SUMIFS('Wells Fargo'!$F:$F,'Wells Fargo'!$G:$G,'Cash Flow'!$A30,'Wells Fargo'!$A:$A,AI$1,'Wells Fargo'!$B:$B,"&lt;="&amp;'Cash Flow'!AI$3,'Wells Fargo'!$B:$B,"&gt;"&amp;'Cash Flow'!AH$3)</f>
        <v>0</v>
      </c>
      <c r="AJ30" s="188">
        <f>SUMIFS('Wells Fargo'!$F:$F,'Wells Fargo'!$G:$G,'Cash Flow'!$A30,'Wells Fargo'!$A:$A,AJ$1,'Wells Fargo'!$B:$B,"&lt;="&amp;'Cash Flow'!AJ$3,'Wells Fargo'!$B:$B,"&gt;"&amp;'Cash Flow'!AI$3)</f>
        <v>0</v>
      </c>
      <c r="AK30" s="189">
        <f>SUMIFS('Wells Fargo'!$F:$F,'Wells Fargo'!$G:$G,'Cash Flow'!$A30,'Wells Fargo'!$A:$A,AK$1,'Wells Fargo'!$B:$B,"&lt;="&amp;'Cash Flow'!AK$3)</f>
        <v>0</v>
      </c>
      <c r="AL30" s="188">
        <f>SUMIFS('Wells Fargo'!$F:$F,'Wells Fargo'!$G:$G,'Cash Flow'!$A30,'Wells Fargo'!$A:$A,AL$1,'Wells Fargo'!$B:$B,"&lt;="&amp;'Cash Flow'!AL$3,'Wells Fargo'!$B:$B,"&gt;"&amp;'Cash Flow'!AK$3)</f>
        <v>0</v>
      </c>
      <c r="AM30" s="188">
        <f>SUMIFS('Wells Fargo'!$F:$F,'Wells Fargo'!$G:$G,'Cash Flow'!$A30,'Wells Fargo'!$A:$A,AM$1,'Wells Fargo'!$B:$B,"&lt;="&amp;'Cash Flow'!AM$3,'Wells Fargo'!$B:$B,"&gt;"&amp;'Cash Flow'!AL$3)</f>
        <v>0</v>
      </c>
      <c r="AN30" s="188">
        <f>SUMIFS('Wells Fargo'!$F:$F,'Wells Fargo'!$G:$G,'Cash Flow'!$A30,'Wells Fargo'!$A:$A,AN$1,'Wells Fargo'!$B:$B,"&lt;="&amp;'Cash Flow'!AN$3,'Wells Fargo'!$B:$B,"&gt;"&amp;'Cash Flow'!AM$3)</f>
        <v>0</v>
      </c>
      <c r="AO30" s="188">
        <f>SUMIFS('Wells Fargo'!$F:$F,'Wells Fargo'!$G:$G,'Cash Flow'!$A30,'Wells Fargo'!$A:$A,AO$1,'Wells Fargo'!$B:$B,"&lt;="&amp;'Cash Flow'!AO$3,'Wells Fargo'!$B:$B,"&gt;"&amp;'Cash Flow'!AN$3)</f>
        <v>0</v>
      </c>
      <c r="AP30" s="189">
        <f>SUMIFS('Wells Fargo'!$F:$F,'Wells Fargo'!$G:$G,'Cash Flow'!$A30,'Wells Fargo'!$A:$A,AP$1,'Wells Fargo'!$B:$B,"&lt;="&amp;'Cash Flow'!AP$3)</f>
        <v>0</v>
      </c>
      <c r="AQ30" s="188">
        <f>SUMIFS('Wells Fargo'!$F:$F,'Wells Fargo'!$G:$G,'Cash Flow'!$A30,'Wells Fargo'!$A:$A,AQ$1,'Wells Fargo'!$B:$B,"&lt;="&amp;'Cash Flow'!AQ$3,'Wells Fargo'!$B:$B,"&gt;"&amp;'Cash Flow'!AP$3)</f>
        <v>0</v>
      </c>
      <c r="AR30" s="188">
        <f>SUMIFS('Wells Fargo'!$F:$F,'Wells Fargo'!$G:$G,'Cash Flow'!$A30,'Wells Fargo'!$A:$A,AR$1,'Wells Fargo'!$B:$B,"&lt;="&amp;'Cash Flow'!AR$3,'Wells Fargo'!$B:$B,"&gt;"&amp;'Cash Flow'!AQ$3)</f>
        <v>0</v>
      </c>
      <c r="AS30" s="188">
        <f>SUMIFS('Wells Fargo'!$F:$F,'Wells Fargo'!$G:$G,'Cash Flow'!$A30,'Wells Fargo'!$A:$A,AS$1,'Wells Fargo'!$B:$B,"&lt;="&amp;'Cash Flow'!AS$3,'Wells Fargo'!$B:$B,"&gt;"&amp;'Cash Flow'!AR$3)</f>
        <v>0</v>
      </c>
      <c r="AT30" s="188">
        <f>SUMIFS('Wells Fargo'!$F:$F,'Wells Fargo'!$G:$G,'Cash Flow'!$A30,'Wells Fargo'!$A:$A,AT$1,'Wells Fargo'!$B:$B,"&lt;="&amp;'Cash Flow'!AT$3,'Wells Fargo'!$B:$B,"&gt;"&amp;'Cash Flow'!AS$3)</f>
        <v>0</v>
      </c>
      <c r="AU30" s="189">
        <f>SUMIFS('Wells Fargo'!$F:$F,'Wells Fargo'!$G:$G,'Cash Flow'!$A30,'Wells Fargo'!$A:$A,AU$1,'Wells Fargo'!$B:$B,"&lt;="&amp;'Cash Flow'!AU$3)</f>
        <v>0</v>
      </c>
      <c r="AV30" s="188">
        <f>SUMIFS('Wells Fargo'!$F:$F,'Wells Fargo'!$G:$G,'Cash Flow'!$A30,'Wells Fargo'!$A:$A,AV$1,'Wells Fargo'!$B:$B,"&lt;="&amp;'Cash Flow'!AV$3,'Wells Fargo'!$B:$B,"&gt;"&amp;'Cash Flow'!AU$3)</f>
        <v>0</v>
      </c>
      <c r="AW30" s="188">
        <f>SUMIFS('Wells Fargo'!$F:$F,'Wells Fargo'!$G:$G,'Cash Flow'!$A30,'Wells Fargo'!$A:$A,AW$1,'Wells Fargo'!$B:$B,"&lt;="&amp;'Cash Flow'!AW$3,'Wells Fargo'!$B:$B,"&gt;"&amp;'Cash Flow'!AV$3)</f>
        <v>0</v>
      </c>
      <c r="AX30" s="188">
        <f>SUMIFS('Wells Fargo'!$F:$F,'Wells Fargo'!$G:$G,'Cash Flow'!$A30,'Wells Fargo'!$A:$A,AX$1,'Wells Fargo'!$B:$B,"&lt;="&amp;'Cash Flow'!AX$3,'Wells Fargo'!$B:$B,"&gt;"&amp;'Cash Flow'!AW$3)</f>
        <v>0</v>
      </c>
      <c r="AY30" s="188">
        <f>SUMIFS('Wells Fargo'!$F:$F,'Wells Fargo'!$G:$G,'Cash Flow'!$A30,'Wells Fargo'!$A:$A,AY$1,'Wells Fargo'!$B:$B,"&lt;="&amp;'Cash Flow'!AY$3,'Wells Fargo'!$B:$B,"&gt;"&amp;'Cash Flow'!AX$3)</f>
        <v>0</v>
      </c>
      <c r="AZ30" s="189">
        <f>SUMIFS('Wells Fargo'!$F:$F,'Wells Fargo'!$G:$G,'Cash Flow'!$A30,'Wells Fargo'!$A:$A,AZ$1,'Wells Fargo'!$B:$B,"&lt;="&amp;'Cash Flow'!AZ$3)</f>
        <v>0</v>
      </c>
      <c r="BA30" s="188">
        <f>SUMIFS('Wells Fargo'!$F:$F,'Wells Fargo'!$G:$G,'Cash Flow'!$A30,'Wells Fargo'!$A:$A,BA$1,'Wells Fargo'!$B:$B,"&lt;="&amp;'Cash Flow'!BA$3,'Wells Fargo'!$B:$B,"&gt;"&amp;'Cash Flow'!AZ$3)</f>
        <v>0</v>
      </c>
      <c r="BB30" s="188">
        <f>SUMIFS('Wells Fargo'!$F:$F,'Wells Fargo'!$G:$G,'Cash Flow'!$A30,'Wells Fargo'!$A:$A,BB$1,'Wells Fargo'!$B:$B,"&lt;="&amp;'Cash Flow'!BB$3,'Wells Fargo'!$B:$B,"&gt;"&amp;'Cash Flow'!BA$3)</f>
        <v>0</v>
      </c>
      <c r="BC30" s="188">
        <f>SUMIFS('Wells Fargo'!$F:$F,'Wells Fargo'!$G:$G,'Cash Flow'!$A30,'Wells Fargo'!$A:$A,BC$1,'Wells Fargo'!$B:$B,"&lt;="&amp;'Cash Flow'!BC$3,'Wells Fargo'!$B:$B,"&gt;"&amp;'Cash Flow'!BB$3)</f>
        <v>0</v>
      </c>
      <c r="BD30" s="188">
        <f>SUMIFS('Wells Fargo'!$F:$F,'Wells Fargo'!$G:$G,'Cash Flow'!$A30,'Wells Fargo'!$A:$A,BD$1,'Wells Fargo'!$B:$B,"&lt;="&amp;'Cash Flow'!BD$3,'Wells Fargo'!$B:$B,"&gt;"&amp;'Cash Flow'!BC$3)</f>
        <v>0</v>
      </c>
      <c r="BE30" s="189">
        <f>SUMIFS('Wells Fargo'!$F:$F,'Wells Fargo'!$G:$G,'Cash Flow'!$A30,'Wells Fargo'!$A:$A,BE$1,'Wells Fargo'!$B:$B,"&lt;="&amp;'Cash Flow'!BE$3)</f>
        <v>0</v>
      </c>
      <c r="BF30" s="188">
        <f>SUMIFS('Wells Fargo'!$F:$F,'Wells Fargo'!$G:$G,'Cash Flow'!$A30,'Wells Fargo'!$A:$A,BF$1,'Wells Fargo'!$B:$B,"&lt;="&amp;'Cash Flow'!BF$3,'Wells Fargo'!$B:$B,"&gt;"&amp;'Cash Flow'!BE$3)</f>
        <v>0</v>
      </c>
      <c r="BG30" s="188">
        <f>SUMIFS('Wells Fargo'!$F:$F,'Wells Fargo'!$G:$G,'Cash Flow'!$A30,'Wells Fargo'!$A:$A,BG$1,'Wells Fargo'!$B:$B,"&lt;="&amp;'Cash Flow'!BG$3,'Wells Fargo'!$B:$B,"&gt;"&amp;'Cash Flow'!BF$3)</f>
        <v>0</v>
      </c>
      <c r="BH30" s="188">
        <f>SUMIFS('Wells Fargo'!$F:$F,'Wells Fargo'!$G:$G,'Cash Flow'!$A30,'Wells Fargo'!$A:$A,BH$1,'Wells Fargo'!$B:$B,"&lt;="&amp;'Cash Flow'!BH$3,'Wells Fargo'!$B:$B,"&gt;"&amp;'Cash Flow'!BG$3)</f>
        <v>0</v>
      </c>
      <c r="BI30" s="188">
        <f>SUMIFS('Wells Fargo'!$F:$F,'Wells Fargo'!$G:$G,'Cash Flow'!$A30,'Wells Fargo'!$A:$A,BI$1,'Wells Fargo'!$B:$B,"&lt;="&amp;'Cash Flow'!BI$3,'Wells Fargo'!$B:$B,"&gt;"&amp;'Cash Flow'!BH$3)</f>
        <v>0</v>
      </c>
    </row>
    <row r="31" spans="1:61" ht="12.75" x14ac:dyDescent="0.2">
      <c r="A31" t="str">
        <v>HSA</v>
      </c>
      <c r="B31" s="87">
        <f t="shared" si="0"/>
        <v>2643.15</v>
      </c>
      <c r="C31" s="189">
        <f>SUMIFS('Wells Fargo'!$F:$F,'Wells Fargo'!$G:$G,'Cash Flow'!$A31,'Wells Fargo'!$A:$A,C$1,'Wells Fargo'!$B:$B,"&lt;="&amp;'Cash Flow'!C$3)</f>
        <v>0</v>
      </c>
      <c r="D31" s="188">
        <f>SUMIFS('Wells Fargo'!$F:$F,'Wells Fargo'!$G:$G,'Cash Flow'!$A31,'Wells Fargo'!$A:$A,D$1,'Wells Fargo'!$B:$B,"&lt;="&amp;'Cash Flow'!D$3,'Wells Fargo'!$B:$B,"&gt;"&amp;'Cash Flow'!C$3)</f>
        <v>0</v>
      </c>
      <c r="E31" s="188">
        <f>SUMIFS('Wells Fargo'!$F:$F,'Wells Fargo'!$G:$G,'Cash Flow'!$A31,'Wells Fargo'!$A:$A,E$1,'Wells Fargo'!$B:$B,"&lt;="&amp;'Cash Flow'!E$3,'Wells Fargo'!$B:$B,"&gt;"&amp;'Cash Flow'!D$3)</f>
        <v>0</v>
      </c>
      <c r="F31" s="188">
        <f>SUMIFS('Wells Fargo'!$F:$F,'Wells Fargo'!$G:$G,'Cash Flow'!$A31,'Wells Fargo'!$A:$A,F$1,'Wells Fargo'!$B:$B,"&lt;="&amp;'Cash Flow'!F$3,'Wells Fargo'!$B:$B,"&gt;"&amp;'Cash Flow'!E$3)</f>
        <v>0</v>
      </c>
      <c r="G31" s="188">
        <f>SUMIFS('Wells Fargo'!$F:$F,'Wells Fargo'!$G:$G,'Cash Flow'!$A31,'Wells Fargo'!$A:$A,G$1,'Wells Fargo'!$B:$B,"&lt;="&amp;'Cash Flow'!G$3,'Wells Fargo'!$B:$B,"&gt;"&amp;'Cash Flow'!F$3)</f>
        <v>388.47</v>
      </c>
      <c r="H31" s="189">
        <f>SUMIFS('Wells Fargo'!$F:$F,'Wells Fargo'!$G:$G,'Cash Flow'!$A31,'Wells Fargo'!$A:$A,H$1,'Wells Fargo'!$B:$B,"&lt;="&amp;'Cash Flow'!H$3)</f>
        <v>0</v>
      </c>
      <c r="I31" s="188">
        <f>SUMIFS('Wells Fargo'!$F:$F,'Wells Fargo'!$G:$G,'Cash Flow'!$A31,'Wells Fargo'!$A:$A,I$1,'Wells Fargo'!$B:$B,"&lt;="&amp;'Cash Flow'!I$3,'Wells Fargo'!$B:$B,"&gt;"&amp;'Cash Flow'!H$3)</f>
        <v>138.47999999999999</v>
      </c>
      <c r="J31" s="188">
        <f>SUMIFS('Wells Fargo'!$F:$F,'Wells Fargo'!$G:$G,'Cash Flow'!$A31,'Wells Fargo'!$A:$A,J$1,'Wells Fargo'!$B:$B,"&lt;="&amp;'Cash Flow'!J$3,'Wells Fargo'!$B:$B,"&gt;"&amp;'Cash Flow'!I$3)</f>
        <v>138.47</v>
      </c>
      <c r="K31" s="188">
        <f>SUMIFS('Wells Fargo'!$F:$F,'Wells Fargo'!$G:$G,'Cash Flow'!$A31,'Wells Fargo'!$A:$A,K$1,'Wells Fargo'!$B:$B,"&lt;="&amp;'Cash Flow'!K$3,'Wells Fargo'!$B:$B,"&gt;"&amp;'Cash Flow'!J$3)</f>
        <v>0</v>
      </c>
      <c r="L31" s="189">
        <f>SUMIFS('Wells Fargo'!$F:$F,'Wells Fargo'!$G:$G,'Cash Flow'!$A31,'Wells Fargo'!$A:$A,L$1,'Wells Fargo'!$B:$B,"&lt;="&amp;'Cash Flow'!L$3)</f>
        <v>138.47</v>
      </c>
      <c r="M31" s="188">
        <f>SUMIFS('Wells Fargo'!$F:$F,'Wells Fargo'!$G:$G,'Cash Flow'!$A31,'Wells Fargo'!$A:$A,M$1,'Wells Fargo'!$B:$B,"&lt;="&amp;'Cash Flow'!M$3,'Wells Fargo'!$B:$B,"&gt;"&amp;'Cash Flow'!L$3)</f>
        <v>0</v>
      </c>
      <c r="N31" s="188">
        <f>SUMIFS('Wells Fargo'!$F:$F,'Wells Fargo'!$G:$G,'Cash Flow'!$A31,'Wells Fargo'!$A:$A,N$1,'Wells Fargo'!$B:$B,"&lt;="&amp;'Cash Flow'!N$3,'Wells Fargo'!$B:$B,"&gt;"&amp;'Cash Flow'!M$3)</f>
        <v>0</v>
      </c>
      <c r="O31" s="188">
        <f>SUMIFS('Wells Fargo'!$F:$F,'Wells Fargo'!$G:$G,'Cash Flow'!$A31,'Wells Fargo'!$A:$A,O$1,'Wells Fargo'!$B:$B,"&lt;="&amp;'Cash Flow'!O$3,'Wells Fargo'!$B:$B,"&gt;"&amp;'Cash Flow'!N$3)</f>
        <v>0</v>
      </c>
      <c r="P31" s="188">
        <f>SUMIFS('Wells Fargo'!$F:$F,'Wells Fargo'!$G:$G,'Cash Flow'!$A31,'Wells Fargo'!$A:$A,P$1,'Wells Fargo'!$B:$B,"&lt;="&amp;'Cash Flow'!P$3,'Wells Fargo'!$B:$B,"&gt;"&amp;'Cash Flow'!O$3)</f>
        <v>0</v>
      </c>
      <c r="Q31" s="189">
        <f>SUMIFS('Wells Fargo'!$F:$F,'Wells Fargo'!$G:$G,'Cash Flow'!$A31,'Wells Fargo'!$A:$A,Q$1,'Wells Fargo'!$B:$B,"&lt;="&amp;'Cash Flow'!Q$3)</f>
        <v>0</v>
      </c>
      <c r="R31" s="188">
        <f>SUMIFS('Wells Fargo'!$F:$F,'Wells Fargo'!$G:$G,'Cash Flow'!$A31,'Wells Fargo'!$A:$A,R$1,'Wells Fargo'!$B:$B,"&lt;="&amp;'Cash Flow'!R$3,'Wells Fargo'!$B:$B,"&gt;"&amp;'Cash Flow'!Q$3)</f>
        <v>0</v>
      </c>
      <c r="S31" s="188">
        <f>SUMIFS('Wells Fargo'!$F:$F,'Wells Fargo'!$G:$G,'Cash Flow'!$A31,'Wells Fargo'!$A:$A,S$1,'Wells Fargo'!$B:$B,"&lt;="&amp;'Cash Flow'!S$3,'Wells Fargo'!$B:$B,"&gt;"&amp;'Cash Flow'!R$3)</f>
        <v>0</v>
      </c>
      <c r="T31" s="188">
        <f>SUMIFS('Wells Fargo'!$F:$F,'Wells Fargo'!$G:$G,'Cash Flow'!$A31,'Wells Fargo'!$A:$A,T$1,'Wells Fargo'!$B:$B,"&lt;="&amp;'Cash Flow'!T$3,'Wells Fargo'!$B:$B,"&gt;"&amp;'Cash Flow'!S$3)</f>
        <v>0</v>
      </c>
      <c r="U31" s="188">
        <f>SUMIFS('Wells Fargo'!$F:$F,'Wells Fargo'!$G:$G,'Cash Flow'!$A31,'Wells Fargo'!$A:$A,U$1,'Wells Fargo'!$B:$B,"&lt;="&amp;'Cash Flow'!U$3,'Wells Fargo'!$B:$B,"&gt;"&amp;'Cash Flow'!T$3)</f>
        <v>0</v>
      </c>
      <c r="V31" s="189">
        <f>SUMIFS('Wells Fargo'!$F:$F,'Wells Fargo'!$G:$G,'Cash Flow'!$A31,'Wells Fargo'!$A:$A,V$1,'Wells Fargo'!$B:$B,"&lt;="&amp;'Cash Flow'!V$3)</f>
        <v>803.91</v>
      </c>
      <c r="W31" s="188">
        <f>SUMIFS('Wells Fargo'!$F:$F,'Wells Fargo'!$G:$G,'Cash Flow'!$A31,'Wells Fargo'!$A:$A,W$1,'Wells Fargo'!$B:$B,"&lt;="&amp;'Cash Flow'!W$3,'Wells Fargo'!$B:$B,"&gt;"&amp;'Cash Flow'!V$3)</f>
        <v>0</v>
      </c>
      <c r="X31" s="188">
        <f>SUMIFS('Wells Fargo'!$F:$F,'Wells Fargo'!$G:$G,'Cash Flow'!$A31,'Wells Fargo'!$A:$A,X$1,'Wells Fargo'!$B:$B,"&lt;="&amp;'Cash Flow'!X$3,'Wells Fargo'!$B:$B,"&gt;"&amp;'Cash Flow'!W$3)</f>
        <v>0</v>
      </c>
      <c r="Y31" s="188">
        <f>SUMIFS('Wells Fargo'!$F:$F,'Wells Fargo'!$G:$G,'Cash Flow'!$A31,'Wells Fargo'!$A:$A,Y$1,'Wells Fargo'!$B:$B,"&lt;="&amp;'Cash Flow'!Y$3,'Wells Fargo'!$B:$B,"&gt;"&amp;'Cash Flow'!X$3)</f>
        <v>0</v>
      </c>
      <c r="Z31" s="188">
        <f>SUMIFS('Wells Fargo'!$F:$F,'Wells Fargo'!$G:$G,'Cash Flow'!$A31,'Wells Fargo'!$A:$A,Z$1,'Wells Fargo'!$B:$B,"&lt;="&amp;'Cash Flow'!Z$3,'Wells Fargo'!$B:$B,"&gt;"&amp;'Cash Flow'!Y$3)</f>
        <v>0</v>
      </c>
      <c r="AA31" s="189">
        <f>SUMIFS('Wells Fargo'!$F:$F,'Wells Fargo'!$G:$G,'Cash Flow'!$A31,'Wells Fargo'!$A:$A,AA$1,'Wells Fargo'!$B:$B,"&lt;="&amp;'Cash Flow'!AA$3)</f>
        <v>0</v>
      </c>
      <c r="AB31" s="188">
        <f>SUMIFS('Wells Fargo'!$F:$F,'Wells Fargo'!$G:$G,'Cash Flow'!$A31,'Wells Fargo'!$A:$A,AB$1,'Wells Fargo'!$B:$B,"&lt;="&amp;'Cash Flow'!AB$3,'Wells Fargo'!$B:$B,"&gt;"&amp;'Cash Flow'!AA$3)</f>
        <v>415.42</v>
      </c>
      <c r="AC31" s="188">
        <f>SUMIFS('Wells Fargo'!$F:$F,'Wells Fargo'!$G:$G,'Cash Flow'!$A31,'Wells Fargo'!$A:$A,AC$1,'Wells Fargo'!$B:$B,"&lt;="&amp;'Cash Flow'!AC$3,'Wells Fargo'!$B:$B,"&gt;"&amp;'Cash Flow'!AB$3)</f>
        <v>0</v>
      </c>
      <c r="AD31" s="188">
        <f>SUMIFS('Wells Fargo'!$F:$F,'Wells Fargo'!$G:$G,'Cash Flow'!$A31,'Wells Fargo'!$A:$A,AD$1,'Wells Fargo'!$B:$B,"&lt;="&amp;'Cash Flow'!AD$3,'Wells Fargo'!$B:$B,"&gt;"&amp;'Cash Flow'!AC$3)</f>
        <v>0</v>
      </c>
      <c r="AE31" s="188">
        <f>SUMIFS('Wells Fargo'!$F:$F,'Wells Fargo'!$G:$G,'Cash Flow'!$A31,'Wells Fargo'!$A:$A,AE$1,'Wells Fargo'!$B:$B,"&lt;="&amp;'Cash Flow'!AE$3,'Wells Fargo'!$B:$B,"&gt;"&amp;'Cash Flow'!AD$3)</f>
        <v>0</v>
      </c>
      <c r="AF31" s="189">
        <f>SUMIFS('Wells Fargo'!$F:$F,'Wells Fargo'!$G:$G,'Cash Flow'!$A31,'Wells Fargo'!$A:$A,AF$1,'Wells Fargo'!$B:$B,"&lt;="&amp;'Cash Flow'!AF$3)</f>
        <v>0</v>
      </c>
      <c r="AG31" s="188">
        <f>SUMIFS('Wells Fargo'!$F:$F,'Wells Fargo'!$G:$G,'Cash Flow'!$A31,'Wells Fargo'!$A:$A,AG$1,'Wells Fargo'!$B:$B,"&lt;="&amp;'Cash Flow'!AG$3,'Wells Fargo'!$B:$B,"&gt;"&amp;'Cash Flow'!AF$3)</f>
        <v>0</v>
      </c>
      <c r="AH31" s="188">
        <f>SUMIFS('Wells Fargo'!$F:$F,'Wells Fargo'!$G:$G,'Cash Flow'!$A31,'Wells Fargo'!$A:$A,AH$1,'Wells Fargo'!$B:$B,"&lt;="&amp;'Cash Flow'!AH$3,'Wells Fargo'!$B:$B,"&gt;"&amp;'Cash Flow'!AG$3)</f>
        <v>0</v>
      </c>
      <c r="AI31" s="188">
        <f>SUMIFS('Wells Fargo'!$F:$F,'Wells Fargo'!$G:$G,'Cash Flow'!$A31,'Wells Fargo'!$A:$A,AI$1,'Wells Fargo'!$B:$B,"&lt;="&amp;'Cash Flow'!AI$3,'Wells Fargo'!$B:$B,"&gt;"&amp;'Cash Flow'!AH$3)</f>
        <v>200</v>
      </c>
      <c r="AJ31" s="188">
        <f>SUMIFS('Wells Fargo'!$F:$F,'Wells Fargo'!$G:$G,'Cash Flow'!$A31,'Wells Fargo'!$A:$A,AJ$1,'Wells Fargo'!$B:$B,"&lt;="&amp;'Cash Flow'!AJ$3,'Wells Fargo'!$B:$B,"&gt;"&amp;'Cash Flow'!AI$3)</f>
        <v>0</v>
      </c>
      <c r="AK31" s="189">
        <f>SUMIFS('Wells Fargo'!$F:$F,'Wells Fargo'!$G:$G,'Cash Flow'!$A31,'Wells Fargo'!$A:$A,AK$1,'Wells Fargo'!$B:$B,"&lt;="&amp;'Cash Flow'!AK$3)</f>
        <v>0</v>
      </c>
      <c r="AL31" s="188">
        <f>SUMIFS('Wells Fargo'!$F:$F,'Wells Fargo'!$G:$G,'Cash Flow'!$A31,'Wells Fargo'!$A:$A,AL$1,'Wells Fargo'!$B:$B,"&lt;="&amp;'Cash Flow'!AL$3,'Wells Fargo'!$B:$B,"&gt;"&amp;'Cash Flow'!AK$3)</f>
        <v>0</v>
      </c>
      <c r="AM31" s="188">
        <f>SUMIFS('Wells Fargo'!$F:$F,'Wells Fargo'!$G:$G,'Cash Flow'!$A31,'Wells Fargo'!$A:$A,AM$1,'Wells Fargo'!$B:$B,"&lt;="&amp;'Cash Flow'!AM$3,'Wells Fargo'!$B:$B,"&gt;"&amp;'Cash Flow'!AL$3)</f>
        <v>0</v>
      </c>
      <c r="AN31" s="188">
        <f>SUMIFS('Wells Fargo'!$F:$F,'Wells Fargo'!$G:$G,'Cash Flow'!$A31,'Wells Fargo'!$A:$A,AN$1,'Wells Fargo'!$B:$B,"&lt;="&amp;'Cash Flow'!AN$3,'Wells Fargo'!$B:$B,"&gt;"&amp;'Cash Flow'!AM$3)</f>
        <v>0</v>
      </c>
      <c r="AO31" s="188">
        <f>SUMIFS('Wells Fargo'!$F:$F,'Wells Fargo'!$G:$G,'Cash Flow'!$A31,'Wells Fargo'!$A:$A,AO$1,'Wells Fargo'!$B:$B,"&lt;="&amp;'Cash Flow'!AO$3,'Wells Fargo'!$B:$B,"&gt;"&amp;'Cash Flow'!AN$3)</f>
        <v>0</v>
      </c>
      <c r="AP31" s="189">
        <f>SUMIFS('Wells Fargo'!$F:$F,'Wells Fargo'!$G:$G,'Cash Flow'!$A31,'Wells Fargo'!$A:$A,AP$1,'Wells Fargo'!$B:$B,"&lt;="&amp;'Cash Flow'!AP$3)</f>
        <v>0</v>
      </c>
      <c r="AQ31" s="188">
        <f>SUMIFS('Wells Fargo'!$F:$F,'Wells Fargo'!$G:$G,'Cash Flow'!$A31,'Wells Fargo'!$A:$A,AQ$1,'Wells Fargo'!$B:$B,"&lt;="&amp;'Cash Flow'!AQ$3,'Wells Fargo'!$B:$B,"&gt;"&amp;'Cash Flow'!AP$3)</f>
        <v>0</v>
      </c>
      <c r="AR31" s="188">
        <f>SUMIFS('Wells Fargo'!$F:$F,'Wells Fargo'!$G:$G,'Cash Flow'!$A31,'Wells Fargo'!$A:$A,AR$1,'Wells Fargo'!$B:$B,"&lt;="&amp;'Cash Flow'!AR$3,'Wells Fargo'!$B:$B,"&gt;"&amp;'Cash Flow'!AQ$3)</f>
        <v>419.93</v>
      </c>
      <c r="AS31" s="188">
        <f>SUMIFS('Wells Fargo'!$F:$F,'Wells Fargo'!$G:$G,'Cash Flow'!$A31,'Wells Fargo'!$A:$A,AS$1,'Wells Fargo'!$B:$B,"&lt;="&amp;'Cash Flow'!AS$3,'Wells Fargo'!$B:$B,"&gt;"&amp;'Cash Flow'!AR$3)</f>
        <v>0</v>
      </c>
      <c r="AT31" s="188">
        <f>SUMIFS('Wells Fargo'!$F:$F,'Wells Fargo'!$G:$G,'Cash Flow'!$A31,'Wells Fargo'!$A:$A,AT$1,'Wells Fargo'!$B:$B,"&lt;="&amp;'Cash Flow'!AT$3,'Wells Fargo'!$B:$B,"&gt;"&amp;'Cash Flow'!AS$3)</f>
        <v>0</v>
      </c>
      <c r="AU31" s="189">
        <f>SUMIFS('Wells Fargo'!$F:$F,'Wells Fargo'!$G:$G,'Cash Flow'!$A31,'Wells Fargo'!$A:$A,AU$1,'Wells Fargo'!$B:$B,"&lt;="&amp;'Cash Flow'!AU$3)</f>
        <v>0</v>
      </c>
      <c r="AV31" s="188">
        <f>SUMIFS('Wells Fargo'!$F:$F,'Wells Fargo'!$G:$G,'Cash Flow'!$A31,'Wells Fargo'!$A:$A,AV$1,'Wells Fargo'!$B:$B,"&lt;="&amp;'Cash Flow'!AV$3,'Wells Fargo'!$B:$B,"&gt;"&amp;'Cash Flow'!AU$3)</f>
        <v>0</v>
      </c>
      <c r="AW31" s="188">
        <f>SUMIFS('Wells Fargo'!$F:$F,'Wells Fargo'!$G:$G,'Cash Flow'!$A31,'Wells Fargo'!$A:$A,AW$1,'Wells Fargo'!$B:$B,"&lt;="&amp;'Cash Flow'!AW$3,'Wells Fargo'!$B:$B,"&gt;"&amp;'Cash Flow'!AV$3)</f>
        <v>0</v>
      </c>
      <c r="AX31" s="188">
        <f>SUMIFS('Wells Fargo'!$F:$F,'Wells Fargo'!$G:$G,'Cash Flow'!$A31,'Wells Fargo'!$A:$A,AX$1,'Wells Fargo'!$B:$B,"&lt;="&amp;'Cash Flow'!AX$3,'Wells Fargo'!$B:$B,"&gt;"&amp;'Cash Flow'!AW$3)</f>
        <v>0</v>
      </c>
      <c r="AY31" s="188">
        <f>SUMIFS('Wells Fargo'!$F:$F,'Wells Fargo'!$G:$G,'Cash Flow'!$A31,'Wells Fargo'!$A:$A,AY$1,'Wells Fargo'!$B:$B,"&lt;="&amp;'Cash Flow'!AY$3,'Wells Fargo'!$B:$B,"&gt;"&amp;'Cash Flow'!AX$3)</f>
        <v>0</v>
      </c>
      <c r="AZ31" s="189">
        <f>SUMIFS('Wells Fargo'!$F:$F,'Wells Fargo'!$G:$G,'Cash Flow'!$A31,'Wells Fargo'!$A:$A,AZ$1,'Wells Fargo'!$B:$B,"&lt;="&amp;'Cash Flow'!AZ$3)</f>
        <v>0</v>
      </c>
      <c r="BA31" s="188">
        <f>SUMIFS('Wells Fargo'!$F:$F,'Wells Fargo'!$G:$G,'Cash Flow'!$A31,'Wells Fargo'!$A:$A,BA$1,'Wells Fargo'!$B:$B,"&lt;="&amp;'Cash Flow'!BA$3,'Wells Fargo'!$B:$B,"&gt;"&amp;'Cash Flow'!AZ$3)</f>
        <v>0</v>
      </c>
      <c r="BB31" s="188">
        <f>SUMIFS('Wells Fargo'!$F:$F,'Wells Fargo'!$G:$G,'Cash Flow'!$A31,'Wells Fargo'!$A:$A,BB$1,'Wells Fargo'!$B:$B,"&lt;="&amp;'Cash Flow'!BB$3,'Wells Fargo'!$B:$B,"&gt;"&amp;'Cash Flow'!BA$3)</f>
        <v>0</v>
      </c>
      <c r="BC31" s="188">
        <f>SUMIFS('Wells Fargo'!$F:$F,'Wells Fargo'!$G:$G,'Cash Flow'!$A31,'Wells Fargo'!$A:$A,BC$1,'Wells Fargo'!$B:$B,"&lt;="&amp;'Cash Flow'!BC$3,'Wells Fargo'!$B:$B,"&gt;"&amp;'Cash Flow'!BB$3)</f>
        <v>0</v>
      </c>
      <c r="BD31" s="188">
        <f>SUMIFS('Wells Fargo'!$F:$F,'Wells Fargo'!$G:$G,'Cash Flow'!$A31,'Wells Fargo'!$A:$A,BD$1,'Wells Fargo'!$B:$B,"&lt;="&amp;'Cash Flow'!BD$3,'Wells Fargo'!$B:$B,"&gt;"&amp;'Cash Flow'!BC$3)</f>
        <v>0</v>
      </c>
      <c r="BE31" s="189">
        <f>SUMIFS('Wells Fargo'!$F:$F,'Wells Fargo'!$G:$G,'Cash Flow'!$A31,'Wells Fargo'!$A:$A,BE$1,'Wells Fargo'!$B:$B,"&lt;="&amp;'Cash Flow'!BE$3)</f>
        <v>0</v>
      </c>
      <c r="BF31" s="188">
        <f>SUMIFS('Wells Fargo'!$F:$F,'Wells Fargo'!$G:$G,'Cash Flow'!$A31,'Wells Fargo'!$A:$A,BF$1,'Wells Fargo'!$B:$B,"&lt;="&amp;'Cash Flow'!BF$3,'Wells Fargo'!$B:$B,"&gt;"&amp;'Cash Flow'!BE$3)</f>
        <v>0</v>
      </c>
      <c r="BG31" s="188">
        <f>SUMIFS('Wells Fargo'!$F:$F,'Wells Fargo'!$G:$G,'Cash Flow'!$A31,'Wells Fargo'!$A:$A,BG$1,'Wells Fargo'!$B:$B,"&lt;="&amp;'Cash Flow'!BG$3,'Wells Fargo'!$B:$B,"&gt;"&amp;'Cash Flow'!BF$3)</f>
        <v>0</v>
      </c>
      <c r="BH31" s="188">
        <f>SUMIFS('Wells Fargo'!$F:$F,'Wells Fargo'!$G:$G,'Cash Flow'!$A31,'Wells Fargo'!$A:$A,BH$1,'Wells Fargo'!$B:$B,"&lt;="&amp;'Cash Flow'!BH$3,'Wells Fargo'!$B:$B,"&gt;"&amp;'Cash Flow'!BG$3)</f>
        <v>0</v>
      </c>
      <c r="BI31" s="188">
        <f>SUMIFS('Wells Fargo'!$F:$F,'Wells Fargo'!$G:$G,'Cash Flow'!$A31,'Wells Fargo'!$A:$A,BI$1,'Wells Fargo'!$B:$B,"&lt;="&amp;'Cash Flow'!BI$3,'Wells Fargo'!$B:$B,"&gt;"&amp;'Cash Flow'!BH$3)</f>
        <v>0</v>
      </c>
    </row>
    <row r="32" spans="1:61" ht="12.75" x14ac:dyDescent="0.2">
      <c r="A32" t="str">
        <v>Income</v>
      </c>
      <c r="B32" s="87">
        <f t="shared" si="0"/>
        <v>30</v>
      </c>
      <c r="C32" s="189">
        <f>SUMIFS('Wells Fargo'!$F:$F,'Wells Fargo'!$G:$G,'Cash Flow'!$A32,'Wells Fargo'!$A:$A,C$1,'Wells Fargo'!$B:$B,"&lt;="&amp;'Cash Flow'!C$3)</f>
        <v>0</v>
      </c>
      <c r="D32" s="188">
        <f>SUMIFS('Wells Fargo'!$F:$F,'Wells Fargo'!$G:$G,'Cash Flow'!$A32,'Wells Fargo'!$A:$A,D$1,'Wells Fargo'!$B:$B,"&lt;="&amp;'Cash Flow'!D$3,'Wells Fargo'!$B:$B,"&gt;"&amp;'Cash Flow'!C$3)</f>
        <v>0</v>
      </c>
      <c r="E32" s="188">
        <f>SUMIFS('Wells Fargo'!$F:$F,'Wells Fargo'!$G:$G,'Cash Flow'!$A32,'Wells Fargo'!$A:$A,E$1,'Wells Fargo'!$B:$B,"&lt;="&amp;'Cash Flow'!E$3,'Wells Fargo'!$B:$B,"&gt;"&amp;'Cash Flow'!D$3)</f>
        <v>0</v>
      </c>
      <c r="F32" s="188">
        <f>SUMIFS('Wells Fargo'!$F:$F,'Wells Fargo'!$G:$G,'Cash Flow'!$A32,'Wells Fargo'!$A:$A,F$1,'Wells Fargo'!$B:$B,"&lt;="&amp;'Cash Flow'!F$3,'Wells Fargo'!$B:$B,"&gt;"&amp;'Cash Flow'!E$3)</f>
        <v>0</v>
      </c>
      <c r="G32" s="188">
        <f>SUMIFS('Wells Fargo'!$F:$F,'Wells Fargo'!$G:$G,'Cash Flow'!$A32,'Wells Fargo'!$A:$A,G$1,'Wells Fargo'!$B:$B,"&lt;="&amp;'Cash Flow'!G$3,'Wells Fargo'!$B:$B,"&gt;"&amp;'Cash Flow'!F$3)</f>
        <v>0</v>
      </c>
      <c r="H32" s="189">
        <f>SUMIFS('Wells Fargo'!$F:$F,'Wells Fargo'!$G:$G,'Cash Flow'!$A32,'Wells Fargo'!$A:$A,H$1,'Wells Fargo'!$B:$B,"&lt;="&amp;'Cash Flow'!H$3)</f>
        <v>0</v>
      </c>
      <c r="I32" s="188">
        <f>SUMIFS('Wells Fargo'!$F:$F,'Wells Fargo'!$G:$G,'Cash Flow'!$A32,'Wells Fargo'!$A:$A,I$1,'Wells Fargo'!$B:$B,"&lt;="&amp;'Cash Flow'!I$3,'Wells Fargo'!$B:$B,"&gt;"&amp;'Cash Flow'!H$3)</f>
        <v>0</v>
      </c>
      <c r="J32" s="188">
        <f>SUMIFS('Wells Fargo'!$F:$F,'Wells Fargo'!$G:$G,'Cash Flow'!$A32,'Wells Fargo'!$A:$A,J$1,'Wells Fargo'!$B:$B,"&lt;="&amp;'Cash Flow'!J$3,'Wells Fargo'!$B:$B,"&gt;"&amp;'Cash Flow'!I$3)</f>
        <v>0</v>
      </c>
      <c r="K32" s="188">
        <f>SUMIFS('Wells Fargo'!$F:$F,'Wells Fargo'!$G:$G,'Cash Flow'!$A32,'Wells Fargo'!$A:$A,K$1,'Wells Fargo'!$B:$B,"&lt;="&amp;'Cash Flow'!K$3,'Wells Fargo'!$B:$B,"&gt;"&amp;'Cash Flow'!J$3)</f>
        <v>0</v>
      </c>
      <c r="L32" s="189">
        <f>SUMIFS('Wells Fargo'!$F:$F,'Wells Fargo'!$G:$G,'Cash Flow'!$A32,'Wells Fargo'!$A:$A,L$1,'Wells Fargo'!$B:$B,"&lt;="&amp;'Cash Flow'!L$3)</f>
        <v>0</v>
      </c>
      <c r="M32" s="188">
        <f>SUMIFS('Wells Fargo'!$F:$F,'Wells Fargo'!$G:$G,'Cash Flow'!$A32,'Wells Fargo'!$A:$A,M$1,'Wells Fargo'!$B:$B,"&lt;="&amp;'Cash Flow'!M$3,'Wells Fargo'!$B:$B,"&gt;"&amp;'Cash Flow'!L$3)</f>
        <v>0</v>
      </c>
      <c r="N32" s="188">
        <f>SUMIFS('Wells Fargo'!$F:$F,'Wells Fargo'!$G:$G,'Cash Flow'!$A32,'Wells Fargo'!$A:$A,N$1,'Wells Fargo'!$B:$B,"&lt;="&amp;'Cash Flow'!N$3,'Wells Fargo'!$B:$B,"&gt;"&amp;'Cash Flow'!M$3)</f>
        <v>0</v>
      </c>
      <c r="O32" s="188">
        <f>SUMIFS('Wells Fargo'!$F:$F,'Wells Fargo'!$G:$G,'Cash Flow'!$A32,'Wells Fargo'!$A:$A,O$1,'Wells Fargo'!$B:$B,"&lt;="&amp;'Cash Flow'!O$3,'Wells Fargo'!$B:$B,"&gt;"&amp;'Cash Flow'!N$3)</f>
        <v>0</v>
      </c>
      <c r="P32" s="188">
        <f>SUMIFS('Wells Fargo'!$F:$F,'Wells Fargo'!$G:$G,'Cash Flow'!$A32,'Wells Fargo'!$A:$A,P$1,'Wells Fargo'!$B:$B,"&lt;="&amp;'Cash Flow'!P$3,'Wells Fargo'!$B:$B,"&gt;"&amp;'Cash Flow'!O$3)</f>
        <v>0</v>
      </c>
      <c r="Q32" s="189">
        <f>SUMIFS('Wells Fargo'!$F:$F,'Wells Fargo'!$G:$G,'Cash Flow'!$A32,'Wells Fargo'!$A:$A,Q$1,'Wells Fargo'!$B:$B,"&lt;="&amp;'Cash Flow'!Q$3)</f>
        <v>0</v>
      </c>
      <c r="R32" s="188">
        <f>SUMIFS('Wells Fargo'!$F:$F,'Wells Fargo'!$G:$G,'Cash Flow'!$A32,'Wells Fargo'!$A:$A,R$1,'Wells Fargo'!$B:$B,"&lt;="&amp;'Cash Flow'!R$3,'Wells Fargo'!$B:$B,"&gt;"&amp;'Cash Flow'!Q$3)</f>
        <v>0</v>
      </c>
      <c r="S32" s="188">
        <f>SUMIFS('Wells Fargo'!$F:$F,'Wells Fargo'!$G:$G,'Cash Flow'!$A32,'Wells Fargo'!$A:$A,S$1,'Wells Fargo'!$B:$B,"&lt;="&amp;'Cash Flow'!S$3,'Wells Fargo'!$B:$B,"&gt;"&amp;'Cash Flow'!R$3)</f>
        <v>0</v>
      </c>
      <c r="T32" s="188">
        <f>SUMIFS('Wells Fargo'!$F:$F,'Wells Fargo'!$G:$G,'Cash Flow'!$A32,'Wells Fargo'!$A:$A,T$1,'Wells Fargo'!$B:$B,"&lt;="&amp;'Cash Flow'!T$3,'Wells Fargo'!$B:$B,"&gt;"&amp;'Cash Flow'!S$3)</f>
        <v>30</v>
      </c>
      <c r="U32" s="188">
        <f>SUMIFS('Wells Fargo'!$F:$F,'Wells Fargo'!$G:$G,'Cash Flow'!$A32,'Wells Fargo'!$A:$A,U$1,'Wells Fargo'!$B:$B,"&lt;="&amp;'Cash Flow'!U$3,'Wells Fargo'!$B:$B,"&gt;"&amp;'Cash Flow'!T$3)</f>
        <v>0</v>
      </c>
      <c r="V32" s="189">
        <f>SUMIFS('Wells Fargo'!$F:$F,'Wells Fargo'!$G:$G,'Cash Flow'!$A32,'Wells Fargo'!$A:$A,V$1,'Wells Fargo'!$B:$B,"&lt;="&amp;'Cash Flow'!V$3)</f>
        <v>0</v>
      </c>
      <c r="W32" s="188">
        <f>SUMIFS('Wells Fargo'!$F:$F,'Wells Fargo'!$G:$G,'Cash Flow'!$A32,'Wells Fargo'!$A:$A,W$1,'Wells Fargo'!$B:$B,"&lt;="&amp;'Cash Flow'!W$3,'Wells Fargo'!$B:$B,"&gt;"&amp;'Cash Flow'!V$3)</f>
        <v>0</v>
      </c>
      <c r="X32" s="188">
        <f>SUMIFS('Wells Fargo'!$F:$F,'Wells Fargo'!$G:$G,'Cash Flow'!$A32,'Wells Fargo'!$A:$A,X$1,'Wells Fargo'!$B:$B,"&lt;="&amp;'Cash Flow'!X$3,'Wells Fargo'!$B:$B,"&gt;"&amp;'Cash Flow'!W$3)</f>
        <v>0</v>
      </c>
      <c r="Y32" s="188">
        <f>SUMIFS('Wells Fargo'!$F:$F,'Wells Fargo'!$G:$G,'Cash Flow'!$A32,'Wells Fargo'!$A:$A,Y$1,'Wells Fargo'!$B:$B,"&lt;="&amp;'Cash Flow'!Y$3,'Wells Fargo'!$B:$B,"&gt;"&amp;'Cash Flow'!X$3)</f>
        <v>0</v>
      </c>
      <c r="Z32" s="188">
        <f>SUMIFS('Wells Fargo'!$F:$F,'Wells Fargo'!$G:$G,'Cash Flow'!$A32,'Wells Fargo'!$A:$A,Z$1,'Wells Fargo'!$B:$B,"&lt;="&amp;'Cash Flow'!Z$3,'Wells Fargo'!$B:$B,"&gt;"&amp;'Cash Flow'!Y$3)</f>
        <v>0</v>
      </c>
      <c r="AA32" s="189">
        <f>SUMIFS('Wells Fargo'!$F:$F,'Wells Fargo'!$G:$G,'Cash Flow'!$A32,'Wells Fargo'!$A:$A,AA$1,'Wells Fargo'!$B:$B,"&lt;="&amp;'Cash Flow'!AA$3)</f>
        <v>0</v>
      </c>
      <c r="AB32" s="188">
        <f>SUMIFS('Wells Fargo'!$F:$F,'Wells Fargo'!$G:$G,'Cash Flow'!$A32,'Wells Fargo'!$A:$A,AB$1,'Wells Fargo'!$B:$B,"&lt;="&amp;'Cash Flow'!AB$3,'Wells Fargo'!$B:$B,"&gt;"&amp;'Cash Flow'!AA$3)</f>
        <v>0</v>
      </c>
      <c r="AC32" s="188">
        <f>SUMIFS('Wells Fargo'!$F:$F,'Wells Fargo'!$G:$G,'Cash Flow'!$A32,'Wells Fargo'!$A:$A,AC$1,'Wells Fargo'!$B:$B,"&lt;="&amp;'Cash Flow'!AC$3,'Wells Fargo'!$B:$B,"&gt;"&amp;'Cash Flow'!AB$3)</f>
        <v>0</v>
      </c>
      <c r="AD32" s="188">
        <f>SUMIFS('Wells Fargo'!$F:$F,'Wells Fargo'!$G:$G,'Cash Flow'!$A32,'Wells Fargo'!$A:$A,AD$1,'Wells Fargo'!$B:$B,"&lt;="&amp;'Cash Flow'!AD$3,'Wells Fargo'!$B:$B,"&gt;"&amp;'Cash Flow'!AC$3)</f>
        <v>0</v>
      </c>
      <c r="AE32" s="188">
        <f>SUMIFS('Wells Fargo'!$F:$F,'Wells Fargo'!$G:$G,'Cash Flow'!$A32,'Wells Fargo'!$A:$A,AE$1,'Wells Fargo'!$B:$B,"&lt;="&amp;'Cash Flow'!AE$3,'Wells Fargo'!$B:$B,"&gt;"&amp;'Cash Flow'!AD$3)</f>
        <v>0</v>
      </c>
      <c r="AF32" s="189">
        <f>SUMIFS('Wells Fargo'!$F:$F,'Wells Fargo'!$G:$G,'Cash Flow'!$A32,'Wells Fargo'!$A:$A,AF$1,'Wells Fargo'!$B:$B,"&lt;="&amp;'Cash Flow'!AF$3)</f>
        <v>0</v>
      </c>
      <c r="AG32" s="188">
        <f>SUMIFS('Wells Fargo'!$F:$F,'Wells Fargo'!$G:$G,'Cash Flow'!$A32,'Wells Fargo'!$A:$A,AG$1,'Wells Fargo'!$B:$B,"&lt;="&amp;'Cash Flow'!AG$3,'Wells Fargo'!$B:$B,"&gt;"&amp;'Cash Flow'!AF$3)</f>
        <v>0</v>
      </c>
      <c r="AH32" s="188">
        <f>SUMIFS('Wells Fargo'!$F:$F,'Wells Fargo'!$G:$G,'Cash Flow'!$A32,'Wells Fargo'!$A:$A,AH$1,'Wells Fargo'!$B:$B,"&lt;="&amp;'Cash Flow'!AH$3,'Wells Fargo'!$B:$B,"&gt;"&amp;'Cash Flow'!AG$3)</f>
        <v>0</v>
      </c>
      <c r="AI32" s="188">
        <f>SUMIFS('Wells Fargo'!$F:$F,'Wells Fargo'!$G:$G,'Cash Flow'!$A32,'Wells Fargo'!$A:$A,AI$1,'Wells Fargo'!$B:$B,"&lt;="&amp;'Cash Flow'!AI$3,'Wells Fargo'!$B:$B,"&gt;"&amp;'Cash Flow'!AH$3)</f>
        <v>0</v>
      </c>
      <c r="AJ32" s="188">
        <f>SUMIFS('Wells Fargo'!$F:$F,'Wells Fargo'!$G:$G,'Cash Flow'!$A32,'Wells Fargo'!$A:$A,AJ$1,'Wells Fargo'!$B:$B,"&lt;="&amp;'Cash Flow'!AJ$3,'Wells Fargo'!$B:$B,"&gt;"&amp;'Cash Flow'!AI$3)</f>
        <v>0</v>
      </c>
      <c r="AK32" s="189">
        <f>SUMIFS('Wells Fargo'!$F:$F,'Wells Fargo'!$G:$G,'Cash Flow'!$A32,'Wells Fargo'!$A:$A,AK$1,'Wells Fargo'!$B:$B,"&lt;="&amp;'Cash Flow'!AK$3)</f>
        <v>0</v>
      </c>
      <c r="AL32" s="188">
        <f>SUMIFS('Wells Fargo'!$F:$F,'Wells Fargo'!$G:$G,'Cash Flow'!$A32,'Wells Fargo'!$A:$A,AL$1,'Wells Fargo'!$B:$B,"&lt;="&amp;'Cash Flow'!AL$3,'Wells Fargo'!$B:$B,"&gt;"&amp;'Cash Flow'!AK$3)</f>
        <v>0</v>
      </c>
      <c r="AM32" s="188">
        <f>SUMIFS('Wells Fargo'!$F:$F,'Wells Fargo'!$G:$G,'Cash Flow'!$A32,'Wells Fargo'!$A:$A,AM$1,'Wells Fargo'!$B:$B,"&lt;="&amp;'Cash Flow'!AM$3,'Wells Fargo'!$B:$B,"&gt;"&amp;'Cash Flow'!AL$3)</f>
        <v>0</v>
      </c>
      <c r="AN32" s="188">
        <f>SUMIFS('Wells Fargo'!$F:$F,'Wells Fargo'!$G:$G,'Cash Flow'!$A32,'Wells Fargo'!$A:$A,AN$1,'Wells Fargo'!$B:$B,"&lt;="&amp;'Cash Flow'!AN$3,'Wells Fargo'!$B:$B,"&gt;"&amp;'Cash Flow'!AM$3)</f>
        <v>0</v>
      </c>
      <c r="AO32" s="188">
        <f>SUMIFS('Wells Fargo'!$F:$F,'Wells Fargo'!$G:$G,'Cash Flow'!$A32,'Wells Fargo'!$A:$A,AO$1,'Wells Fargo'!$B:$B,"&lt;="&amp;'Cash Flow'!AO$3,'Wells Fargo'!$B:$B,"&gt;"&amp;'Cash Flow'!AN$3)</f>
        <v>0</v>
      </c>
      <c r="AP32" s="189">
        <f>SUMIFS('Wells Fargo'!$F:$F,'Wells Fargo'!$G:$G,'Cash Flow'!$A32,'Wells Fargo'!$A:$A,AP$1,'Wells Fargo'!$B:$B,"&lt;="&amp;'Cash Flow'!AP$3)</f>
        <v>0</v>
      </c>
      <c r="AQ32" s="188">
        <f>SUMIFS('Wells Fargo'!$F:$F,'Wells Fargo'!$G:$G,'Cash Flow'!$A32,'Wells Fargo'!$A:$A,AQ$1,'Wells Fargo'!$B:$B,"&lt;="&amp;'Cash Flow'!AQ$3,'Wells Fargo'!$B:$B,"&gt;"&amp;'Cash Flow'!AP$3)</f>
        <v>0</v>
      </c>
      <c r="AR32" s="188">
        <f>SUMIFS('Wells Fargo'!$F:$F,'Wells Fargo'!$G:$G,'Cash Flow'!$A32,'Wells Fargo'!$A:$A,AR$1,'Wells Fargo'!$B:$B,"&lt;="&amp;'Cash Flow'!AR$3,'Wells Fargo'!$B:$B,"&gt;"&amp;'Cash Flow'!AQ$3)</f>
        <v>0</v>
      </c>
      <c r="AS32" s="188">
        <f>SUMIFS('Wells Fargo'!$F:$F,'Wells Fargo'!$G:$G,'Cash Flow'!$A32,'Wells Fargo'!$A:$A,AS$1,'Wells Fargo'!$B:$B,"&lt;="&amp;'Cash Flow'!AS$3,'Wells Fargo'!$B:$B,"&gt;"&amp;'Cash Flow'!AR$3)</f>
        <v>0</v>
      </c>
      <c r="AT32" s="188">
        <f>SUMIFS('Wells Fargo'!$F:$F,'Wells Fargo'!$G:$G,'Cash Flow'!$A32,'Wells Fargo'!$A:$A,AT$1,'Wells Fargo'!$B:$B,"&lt;="&amp;'Cash Flow'!AT$3,'Wells Fargo'!$B:$B,"&gt;"&amp;'Cash Flow'!AS$3)</f>
        <v>0</v>
      </c>
      <c r="AU32" s="189">
        <f>SUMIFS('Wells Fargo'!$F:$F,'Wells Fargo'!$G:$G,'Cash Flow'!$A32,'Wells Fargo'!$A:$A,AU$1,'Wells Fargo'!$B:$B,"&lt;="&amp;'Cash Flow'!AU$3)</f>
        <v>0</v>
      </c>
      <c r="AV32" s="188">
        <f>SUMIFS('Wells Fargo'!$F:$F,'Wells Fargo'!$G:$G,'Cash Flow'!$A32,'Wells Fargo'!$A:$A,AV$1,'Wells Fargo'!$B:$B,"&lt;="&amp;'Cash Flow'!AV$3,'Wells Fargo'!$B:$B,"&gt;"&amp;'Cash Flow'!AU$3)</f>
        <v>0</v>
      </c>
      <c r="AW32" s="188">
        <f>SUMIFS('Wells Fargo'!$F:$F,'Wells Fargo'!$G:$G,'Cash Flow'!$A32,'Wells Fargo'!$A:$A,AW$1,'Wells Fargo'!$B:$B,"&lt;="&amp;'Cash Flow'!AW$3,'Wells Fargo'!$B:$B,"&gt;"&amp;'Cash Flow'!AV$3)</f>
        <v>0</v>
      </c>
      <c r="AX32" s="188">
        <f>SUMIFS('Wells Fargo'!$F:$F,'Wells Fargo'!$G:$G,'Cash Flow'!$A32,'Wells Fargo'!$A:$A,AX$1,'Wells Fargo'!$B:$B,"&lt;="&amp;'Cash Flow'!AX$3,'Wells Fargo'!$B:$B,"&gt;"&amp;'Cash Flow'!AW$3)</f>
        <v>0</v>
      </c>
      <c r="AY32" s="188">
        <f>SUMIFS('Wells Fargo'!$F:$F,'Wells Fargo'!$G:$G,'Cash Flow'!$A32,'Wells Fargo'!$A:$A,AY$1,'Wells Fargo'!$B:$B,"&lt;="&amp;'Cash Flow'!AY$3,'Wells Fargo'!$B:$B,"&gt;"&amp;'Cash Flow'!AX$3)</f>
        <v>0</v>
      </c>
      <c r="AZ32" s="189">
        <f>SUMIFS('Wells Fargo'!$F:$F,'Wells Fargo'!$G:$G,'Cash Flow'!$A32,'Wells Fargo'!$A:$A,AZ$1,'Wells Fargo'!$B:$B,"&lt;="&amp;'Cash Flow'!AZ$3)</f>
        <v>0</v>
      </c>
      <c r="BA32" s="188">
        <f>SUMIFS('Wells Fargo'!$F:$F,'Wells Fargo'!$G:$G,'Cash Flow'!$A32,'Wells Fargo'!$A:$A,BA$1,'Wells Fargo'!$B:$B,"&lt;="&amp;'Cash Flow'!BA$3,'Wells Fargo'!$B:$B,"&gt;"&amp;'Cash Flow'!AZ$3)</f>
        <v>0</v>
      </c>
      <c r="BB32" s="188">
        <f>SUMIFS('Wells Fargo'!$F:$F,'Wells Fargo'!$G:$G,'Cash Flow'!$A32,'Wells Fargo'!$A:$A,BB$1,'Wells Fargo'!$B:$B,"&lt;="&amp;'Cash Flow'!BB$3,'Wells Fargo'!$B:$B,"&gt;"&amp;'Cash Flow'!BA$3)</f>
        <v>0</v>
      </c>
      <c r="BC32" s="188">
        <f>SUMIFS('Wells Fargo'!$F:$F,'Wells Fargo'!$G:$G,'Cash Flow'!$A32,'Wells Fargo'!$A:$A,BC$1,'Wells Fargo'!$B:$B,"&lt;="&amp;'Cash Flow'!BC$3,'Wells Fargo'!$B:$B,"&gt;"&amp;'Cash Flow'!BB$3)</f>
        <v>0</v>
      </c>
      <c r="BD32" s="188">
        <f>SUMIFS('Wells Fargo'!$F:$F,'Wells Fargo'!$G:$G,'Cash Flow'!$A32,'Wells Fargo'!$A:$A,BD$1,'Wells Fargo'!$B:$B,"&lt;="&amp;'Cash Flow'!BD$3,'Wells Fargo'!$B:$B,"&gt;"&amp;'Cash Flow'!BC$3)</f>
        <v>0</v>
      </c>
      <c r="BE32" s="189">
        <f>SUMIFS('Wells Fargo'!$F:$F,'Wells Fargo'!$G:$G,'Cash Flow'!$A32,'Wells Fargo'!$A:$A,BE$1,'Wells Fargo'!$B:$B,"&lt;="&amp;'Cash Flow'!BE$3)</f>
        <v>0</v>
      </c>
      <c r="BF32" s="188">
        <f>SUMIFS('Wells Fargo'!$F:$F,'Wells Fargo'!$G:$G,'Cash Flow'!$A32,'Wells Fargo'!$A:$A,BF$1,'Wells Fargo'!$B:$B,"&lt;="&amp;'Cash Flow'!BF$3,'Wells Fargo'!$B:$B,"&gt;"&amp;'Cash Flow'!BE$3)</f>
        <v>0</v>
      </c>
      <c r="BG32" s="188">
        <f>SUMIFS('Wells Fargo'!$F:$F,'Wells Fargo'!$G:$G,'Cash Flow'!$A32,'Wells Fargo'!$A:$A,BG$1,'Wells Fargo'!$B:$B,"&lt;="&amp;'Cash Flow'!BG$3,'Wells Fargo'!$B:$B,"&gt;"&amp;'Cash Flow'!BF$3)</f>
        <v>0</v>
      </c>
      <c r="BH32" s="188">
        <f>SUMIFS('Wells Fargo'!$F:$F,'Wells Fargo'!$G:$G,'Cash Flow'!$A32,'Wells Fargo'!$A:$A,BH$1,'Wells Fargo'!$B:$B,"&lt;="&amp;'Cash Flow'!BH$3,'Wells Fargo'!$B:$B,"&gt;"&amp;'Cash Flow'!BG$3)</f>
        <v>0</v>
      </c>
      <c r="BI32" s="188">
        <f>SUMIFS('Wells Fargo'!$F:$F,'Wells Fargo'!$G:$G,'Cash Flow'!$A32,'Wells Fargo'!$A:$A,BI$1,'Wells Fargo'!$B:$B,"&lt;="&amp;'Cash Flow'!BI$3,'Wells Fargo'!$B:$B,"&gt;"&amp;'Cash Flow'!BH$3)</f>
        <v>0</v>
      </c>
    </row>
    <row r="33" spans="1:61" ht="12.75" x14ac:dyDescent="0.2">
      <c r="A33" t="str">
        <v>Investment</v>
      </c>
      <c r="B33" s="87">
        <f t="shared" si="0"/>
        <v>-35.060000000000173</v>
      </c>
      <c r="C33" s="189">
        <f>SUMIFS('Wells Fargo'!$F:$F,'Wells Fargo'!$G:$G,'Cash Flow'!$A33,'Wells Fargo'!$A:$A,C$1,'Wells Fargo'!$B:$B,"&lt;="&amp;'Cash Flow'!C$3)</f>
        <v>0</v>
      </c>
      <c r="D33" s="188">
        <f>SUMIFS('Wells Fargo'!$F:$F,'Wells Fargo'!$G:$G,'Cash Flow'!$A33,'Wells Fargo'!$A:$A,D$1,'Wells Fargo'!$B:$B,"&lt;="&amp;'Cash Flow'!D$3,'Wells Fargo'!$B:$B,"&gt;"&amp;'Cash Flow'!C$3)</f>
        <v>0</v>
      </c>
      <c r="E33" s="188">
        <f>SUMIFS('Wells Fargo'!$F:$F,'Wells Fargo'!$G:$G,'Cash Flow'!$A33,'Wells Fargo'!$A:$A,E$1,'Wells Fargo'!$B:$B,"&lt;="&amp;'Cash Flow'!E$3,'Wells Fargo'!$B:$B,"&gt;"&amp;'Cash Flow'!D$3)</f>
        <v>0</v>
      </c>
      <c r="F33" s="188">
        <f>SUMIFS('Wells Fargo'!$F:$F,'Wells Fargo'!$G:$G,'Cash Flow'!$A33,'Wells Fargo'!$A:$A,F$1,'Wells Fargo'!$B:$B,"&lt;="&amp;'Cash Flow'!F$3,'Wells Fargo'!$B:$B,"&gt;"&amp;'Cash Flow'!E$3)</f>
        <v>0</v>
      </c>
      <c r="G33" s="188">
        <f>SUMIFS('Wells Fargo'!$F:$F,'Wells Fargo'!$G:$G,'Cash Flow'!$A33,'Wells Fargo'!$A:$A,G$1,'Wells Fargo'!$B:$B,"&lt;="&amp;'Cash Flow'!G$3,'Wells Fargo'!$B:$B,"&gt;"&amp;'Cash Flow'!F$3)</f>
        <v>-150</v>
      </c>
      <c r="H33" s="189">
        <f>SUMIFS('Wells Fargo'!$F:$F,'Wells Fargo'!$G:$G,'Cash Flow'!$A33,'Wells Fargo'!$A:$A,H$1,'Wells Fargo'!$B:$B,"&lt;="&amp;'Cash Flow'!H$3)</f>
        <v>-50</v>
      </c>
      <c r="I33" s="188">
        <f>SUMIFS('Wells Fargo'!$F:$F,'Wells Fargo'!$G:$G,'Cash Flow'!$A33,'Wells Fargo'!$A:$A,I$1,'Wells Fargo'!$B:$B,"&lt;="&amp;'Cash Flow'!I$3,'Wells Fargo'!$B:$B,"&gt;"&amp;'Cash Flow'!H$3)</f>
        <v>-150</v>
      </c>
      <c r="J33" s="188">
        <f>SUMIFS('Wells Fargo'!$F:$F,'Wells Fargo'!$G:$G,'Cash Flow'!$A33,'Wells Fargo'!$A:$A,J$1,'Wells Fargo'!$B:$B,"&lt;="&amp;'Cash Flow'!J$3,'Wells Fargo'!$B:$B,"&gt;"&amp;'Cash Flow'!I$3)</f>
        <v>-743.26</v>
      </c>
      <c r="K33" s="188">
        <f>SUMIFS('Wells Fargo'!$F:$F,'Wells Fargo'!$G:$G,'Cash Flow'!$A33,'Wells Fargo'!$A:$A,K$1,'Wells Fargo'!$B:$B,"&lt;="&amp;'Cash Flow'!K$3,'Wells Fargo'!$B:$B,"&gt;"&amp;'Cash Flow'!J$3)</f>
        <v>0</v>
      </c>
      <c r="L33" s="189">
        <f>SUMIFS('Wells Fargo'!$F:$F,'Wells Fargo'!$G:$G,'Cash Flow'!$A33,'Wells Fargo'!$A:$A,L$1,'Wells Fargo'!$B:$B,"&lt;="&amp;'Cash Flow'!L$3)</f>
        <v>-1900</v>
      </c>
      <c r="M33" s="188">
        <f>SUMIFS('Wells Fargo'!$F:$F,'Wells Fargo'!$G:$G,'Cash Flow'!$A33,'Wells Fargo'!$A:$A,M$1,'Wells Fargo'!$B:$B,"&lt;="&amp;'Cash Flow'!M$3,'Wells Fargo'!$B:$B,"&gt;"&amp;'Cash Flow'!L$3)</f>
        <v>-200</v>
      </c>
      <c r="N33" s="188">
        <f>SUMIFS('Wells Fargo'!$F:$F,'Wells Fargo'!$G:$G,'Cash Flow'!$A33,'Wells Fargo'!$A:$A,N$1,'Wells Fargo'!$B:$B,"&lt;="&amp;'Cash Flow'!N$3,'Wells Fargo'!$B:$B,"&gt;"&amp;'Cash Flow'!M$3)</f>
        <v>0</v>
      </c>
      <c r="O33" s="188">
        <f>SUMIFS('Wells Fargo'!$F:$F,'Wells Fargo'!$G:$G,'Cash Flow'!$A33,'Wells Fargo'!$A:$A,O$1,'Wells Fargo'!$B:$B,"&lt;="&amp;'Cash Flow'!O$3,'Wells Fargo'!$B:$B,"&gt;"&amp;'Cash Flow'!N$3)</f>
        <v>0</v>
      </c>
      <c r="P33" s="188">
        <f>SUMIFS('Wells Fargo'!$F:$F,'Wells Fargo'!$G:$G,'Cash Flow'!$A33,'Wells Fargo'!$A:$A,P$1,'Wells Fargo'!$B:$B,"&lt;="&amp;'Cash Flow'!P$3,'Wells Fargo'!$B:$B,"&gt;"&amp;'Cash Flow'!O$3)</f>
        <v>0</v>
      </c>
      <c r="Q33" s="189">
        <f>SUMIFS('Wells Fargo'!$F:$F,'Wells Fargo'!$G:$G,'Cash Flow'!$A33,'Wells Fargo'!$A:$A,Q$1,'Wells Fargo'!$B:$B,"&lt;="&amp;'Cash Flow'!Q$3)</f>
        <v>0</v>
      </c>
      <c r="R33" s="188">
        <f>SUMIFS('Wells Fargo'!$F:$F,'Wells Fargo'!$G:$G,'Cash Flow'!$A33,'Wells Fargo'!$A:$A,R$1,'Wells Fargo'!$B:$B,"&lt;="&amp;'Cash Flow'!R$3,'Wells Fargo'!$B:$B,"&gt;"&amp;'Cash Flow'!Q$3)</f>
        <v>0</v>
      </c>
      <c r="S33" s="188">
        <f>SUMIFS('Wells Fargo'!$F:$F,'Wells Fargo'!$G:$G,'Cash Flow'!$A33,'Wells Fargo'!$A:$A,S$1,'Wells Fargo'!$B:$B,"&lt;="&amp;'Cash Flow'!S$3,'Wells Fargo'!$B:$B,"&gt;"&amp;'Cash Flow'!R$3)</f>
        <v>0</v>
      </c>
      <c r="T33" s="188">
        <f>SUMIFS('Wells Fargo'!$F:$F,'Wells Fargo'!$G:$G,'Cash Flow'!$A33,'Wells Fargo'!$A:$A,T$1,'Wells Fargo'!$B:$B,"&lt;="&amp;'Cash Flow'!T$3,'Wells Fargo'!$B:$B,"&gt;"&amp;'Cash Flow'!S$3)</f>
        <v>0</v>
      </c>
      <c r="U33" s="188">
        <f>SUMIFS('Wells Fargo'!$F:$F,'Wells Fargo'!$G:$G,'Cash Flow'!$A33,'Wells Fargo'!$A:$A,U$1,'Wells Fargo'!$B:$B,"&lt;="&amp;'Cash Flow'!U$3,'Wells Fargo'!$B:$B,"&gt;"&amp;'Cash Flow'!T$3)</f>
        <v>0</v>
      </c>
      <c r="V33" s="189">
        <f>SUMIFS('Wells Fargo'!$F:$F,'Wells Fargo'!$G:$G,'Cash Flow'!$A33,'Wells Fargo'!$A:$A,V$1,'Wells Fargo'!$B:$B,"&lt;="&amp;'Cash Flow'!V$3)</f>
        <v>0</v>
      </c>
      <c r="W33" s="188">
        <f>SUMIFS('Wells Fargo'!$F:$F,'Wells Fargo'!$G:$G,'Cash Flow'!$A33,'Wells Fargo'!$A:$A,W$1,'Wells Fargo'!$B:$B,"&lt;="&amp;'Cash Flow'!W$3,'Wells Fargo'!$B:$B,"&gt;"&amp;'Cash Flow'!V$3)</f>
        <v>0</v>
      </c>
      <c r="X33" s="188">
        <f>SUMIFS('Wells Fargo'!$F:$F,'Wells Fargo'!$G:$G,'Cash Flow'!$A33,'Wells Fargo'!$A:$A,X$1,'Wells Fargo'!$B:$B,"&lt;="&amp;'Cash Flow'!X$3,'Wells Fargo'!$B:$B,"&gt;"&amp;'Cash Flow'!W$3)</f>
        <v>0</v>
      </c>
      <c r="Y33" s="188">
        <f>SUMIFS('Wells Fargo'!$F:$F,'Wells Fargo'!$G:$G,'Cash Flow'!$A33,'Wells Fargo'!$A:$A,Y$1,'Wells Fargo'!$B:$B,"&lt;="&amp;'Cash Flow'!Y$3,'Wells Fargo'!$B:$B,"&gt;"&amp;'Cash Flow'!X$3)</f>
        <v>0</v>
      </c>
      <c r="Z33" s="188">
        <f>SUMIFS('Wells Fargo'!$F:$F,'Wells Fargo'!$G:$G,'Cash Flow'!$A33,'Wells Fargo'!$A:$A,Z$1,'Wells Fargo'!$B:$B,"&lt;="&amp;'Cash Flow'!Z$3,'Wells Fargo'!$B:$B,"&gt;"&amp;'Cash Flow'!Y$3)</f>
        <v>0</v>
      </c>
      <c r="AA33" s="189">
        <f>SUMIFS('Wells Fargo'!$F:$F,'Wells Fargo'!$G:$G,'Cash Flow'!$A33,'Wells Fargo'!$A:$A,AA$1,'Wells Fargo'!$B:$B,"&lt;="&amp;'Cash Flow'!AA$3)</f>
        <v>2000</v>
      </c>
      <c r="AB33" s="188">
        <f>SUMIFS('Wells Fargo'!$F:$F,'Wells Fargo'!$G:$G,'Cash Flow'!$A33,'Wells Fargo'!$A:$A,AB$1,'Wells Fargo'!$B:$B,"&lt;="&amp;'Cash Flow'!AB$3,'Wells Fargo'!$B:$B,"&gt;"&amp;'Cash Flow'!AA$3)</f>
        <v>1158.2</v>
      </c>
      <c r="AC33" s="188">
        <f>SUMIFS('Wells Fargo'!$F:$F,'Wells Fargo'!$G:$G,'Cash Flow'!$A33,'Wells Fargo'!$A:$A,AC$1,'Wells Fargo'!$B:$B,"&lt;="&amp;'Cash Flow'!AC$3,'Wells Fargo'!$B:$B,"&gt;"&amp;'Cash Flow'!AB$3)</f>
        <v>0</v>
      </c>
      <c r="AD33" s="188">
        <f>SUMIFS('Wells Fargo'!$F:$F,'Wells Fargo'!$G:$G,'Cash Flow'!$A33,'Wells Fargo'!$A:$A,AD$1,'Wells Fargo'!$B:$B,"&lt;="&amp;'Cash Flow'!AD$3,'Wells Fargo'!$B:$B,"&gt;"&amp;'Cash Flow'!AC$3)</f>
        <v>0</v>
      </c>
      <c r="AE33" s="188">
        <f>SUMIFS('Wells Fargo'!$F:$F,'Wells Fargo'!$G:$G,'Cash Flow'!$A33,'Wells Fargo'!$A:$A,AE$1,'Wells Fargo'!$B:$B,"&lt;="&amp;'Cash Flow'!AE$3,'Wells Fargo'!$B:$B,"&gt;"&amp;'Cash Flow'!AD$3)</f>
        <v>0</v>
      </c>
      <c r="AF33" s="189">
        <f>SUMIFS('Wells Fargo'!$F:$F,'Wells Fargo'!$G:$G,'Cash Flow'!$A33,'Wells Fargo'!$A:$A,AF$1,'Wells Fargo'!$B:$B,"&lt;="&amp;'Cash Flow'!AF$3)</f>
        <v>0</v>
      </c>
      <c r="AG33" s="188">
        <f>SUMIFS('Wells Fargo'!$F:$F,'Wells Fargo'!$G:$G,'Cash Flow'!$A33,'Wells Fargo'!$A:$A,AG$1,'Wells Fargo'!$B:$B,"&lt;="&amp;'Cash Flow'!AG$3,'Wells Fargo'!$B:$B,"&gt;"&amp;'Cash Flow'!AF$3)</f>
        <v>0</v>
      </c>
      <c r="AH33" s="188">
        <f>SUMIFS('Wells Fargo'!$F:$F,'Wells Fargo'!$G:$G,'Cash Flow'!$A33,'Wells Fargo'!$A:$A,AH$1,'Wells Fargo'!$B:$B,"&lt;="&amp;'Cash Flow'!AH$3,'Wells Fargo'!$B:$B,"&gt;"&amp;'Cash Flow'!AG$3)</f>
        <v>0</v>
      </c>
      <c r="AI33" s="188">
        <f>SUMIFS('Wells Fargo'!$F:$F,'Wells Fargo'!$G:$G,'Cash Flow'!$A33,'Wells Fargo'!$A:$A,AI$1,'Wells Fargo'!$B:$B,"&lt;="&amp;'Cash Flow'!AI$3,'Wells Fargo'!$B:$B,"&gt;"&amp;'Cash Flow'!AH$3)</f>
        <v>0</v>
      </c>
      <c r="AJ33" s="188">
        <f>SUMIFS('Wells Fargo'!$F:$F,'Wells Fargo'!$G:$G,'Cash Flow'!$A33,'Wells Fargo'!$A:$A,AJ$1,'Wells Fargo'!$B:$B,"&lt;="&amp;'Cash Flow'!AJ$3,'Wells Fargo'!$B:$B,"&gt;"&amp;'Cash Flow'!AI$3)</f>
        <v>0</v>
      </c>
      <c r="AK33" s="189">
        <f>SUMIFS('Wells Fargo'!$F:$F,'Wells Fargo'!$G:$G,'Cash Flow'!$A33,'Wells Fargo'!$A:$A,AK$1,'Wells Fargo'!$B:$B,"&lt;="&amp;'Cash Flow'!AK$3)</f>
        <v>0</v>
      </c>
      <c r="AL33" s="188">
        <f>SUMIFS('Wells Fargo'!$F:$F,'Wells Fargo'!$G:$G,'Cash Flow'!$A33,'Wells Fargo'!$A:$A,AL$1,'Wells Fargo'!$B:$B,"&lt;="&amp;'Cash Flow'!AL$3,'Wells Fargo'!$B:$B,"&gt;"&amp;'Cash Flow'!AK$3)</f>
        <v>0</v>
      </c>
      <c r="AM33" s="188">
        <f>SUMIFS('Wells Fargo'!$F:$F,'Wells Fargo'!$G:$G,'Cash Flow'!$A33,'Wells Fargo'!$A:$A,AM$1,'Wells Fargo'!$B:$B,"&lt;="&amp;'Cash Flow'!AM$3,'Wells Fargo'!$B:$B,"&gt;"&amp;'Cash Flow'!AL$3)</f>
        <v>0</v>
      </c>
      <c r="AN33" s="188">
        <f>SUMIFS('Wells Fargo'!$F:$F,'Wells Fargo'!$G:$G,'Cash Flow'!$A33,'Wells Fargo'!$A:$A,AN$1,'Wells Fargo'!$B:$B,"&lt;="&amp;'Cash Flow'!AN$3,'Wells Fargo'!$B:$B,"&gt;"&amp;'Cash Flow'!AM$3)</f>
        <v>0</v>
      </c>
      <c r="AO33" s="188">
        <f>SUMIFS('Wells Fargo'!$F:$F,'Wells Fargo'!$G:$G,'Cash Flow'!$A33,'Wells Fargo'!$A:$A,AO$1,'Wells Fargo'!$B:$B,"&lt;="&amp;'Cash Flow'!AO$3,'Wells Fargo'!$B:$B,"&gt;"&amp;'Cash Flow'!AN$3)</f>
        <v>0</v>
      </c>
      <c r="AP33" s="189">
        <f>SUMIFS('Wells Fargo'!$F:$F,'Wells Fargo'!$G:$G,'Cash Flow'!$A33,'Wells Fargo'!$A:$A,AP$1,'Wells Fargo'!$B:$B,"&lt;="&amp;'Cash Flow'!AP$3)</f>
        <v>0</v>
      </c>
      <c r="AQ33" s="188">
        <f>SUMIFS('Wells Fargo'!$F:$F,'Wells Fargo'!$G:$G,'Cash Flow'!$A33,'Wells Fargo'!$A:$A,AQ$1,'Wells Fargo'!$B:$B,"&lt;="&amp;'Cash Flow'!AQ$3,'Wells Fargo'!$B:$B,"&gt;"&amp;'Cash Flow'!AP$3)</f>
        <v>0</v>
      </c>
      <c r="AR33" s="188">
        <f>SUMIFS('Wells Fargo'!$F:$F,'Wells Fargo'!$G:$G,'Cash Flow'!$A33,'Wells Fargo'!$A:$A,AR$1,'Wells Fargo'!$B:$B,"&lt;="&amp;'Cash Flow'!AR$3,'Wells Fargo'!$B:$B,"&gt;"&amp;'Cash Flow'!AQ$3)</f>
        <v>0</v>
      </c>
      <c r="AS33" s="188">
        <f>SUMIFS('Wells Fargo'!$F:$F,'Wells Fargo'!$G:$G,'Cash Flow'!$A33,'Wells Fargo'!$A:$A,AS$1,'Wells Fargo'!$B:$B,"&lt;="&amp;'Cash Flow'!AS$3,'Wells Fargo'!$B:$B,"&gt;"&amp;'Cash Flow'!AR$3)</f>
        <v>0</v>
      </c>
      <c r="AT33" s="188">
        <f>SUMIFS('Wells Fargo'!$F:$F,'Wells Fargo'!$G:$G,'Cash Flow'!$A33,'Wells Fargo'!$A:$A,AT$1,'Wells Fargo'!$B:$B,"&lt;="&amp;'Cash Flow'!AT$3,'Wells Fargo'!$B:$B,"&gt;"&amp;'Cash Flow'!AS$3)</f>
        <v>0</v>
      </c>
      <c r="AU33" s="189">
        <f>SUMIFS('Wells Fargo'!$F:$F,'Wells Fargo'!$G:$G,'Cash Flow'!$A33,'Wells Fargo'!$A:$A,AU$1,'Wells Fargo'!$B:$B,"&lt;="&amp;'Cash Flow'!AU$3)</f>
        <v>0</v>
      </c>
      <c r="AV33" s="188">
        <f>SUMIFS('Wells Fargo'!$F:$F,'Wells Fargo'!$G:$G,'Cash Flow'!$A33,'Wells Fargo'!$A:$A,AV$1,'Wells Fargo'!$B:$B,"&lt;="&amp;'Cash Flow'!AV$3,'Wells Fargo'!$B:$B,"&gt;"&amp;'Cash Flow'!AU$3)</f>
        <v>0</v>
      </c>
      <c r="AW33" s="188">
        <f>SUMIFS('Wells Fargo'!$F:$F,'Wells Fargo'!$G:$G,'Cash Flow'!$A33,'Wells Fargo'!$A:$A,AW$1,'Wells Fargo'!$B:$B,"&lt;="&amp;'Cash Flow'!AW$3,'Wells Fargo'!$B:$B,"&gt;"&amp;'Cash Flow'!AV$3)</f>
        <v>0</v>
      </c>
      <c r="AX33" s="188">
        <f>SUMIFS('Wells Fargo'!$F:$F,'Wells Fargo'!$G:$G,'Cash Flow'!$A33,'Wells Fargo'!$A:$A,AX$1,'Wells Fargo'!$B:$B,"&lt;="&amp;'Cash Flow'!AX$3,'Wells Fargo'!$B:$B,"&gt;"&amp;'Cash Flow'!AW$3)</f>
        <v>0</v>
      </c>
      <c r="AY33" s="188">
        <f>SUMIFS('Wells Fargo'!$F:$F,'Wells Fargo'!$G:$G,'Cash Flow'!$A33,'Wells Fargo'!$A:$A,AY$1,'Wells Fargo'!$B:$B,"&lt;="&amp;'Cash Flow'!AY$3,'Wells Fargo'!$B:$B,"&gt;"&amp;'Cash Flow'!AX$3)</f>
        <v>0</v>
      </c>
      <c r="AZ33" s="189">
        <f>SUMIFS('Wells Fargo'!$F:$F,'Wells Fargo'!$G:$G,'Cash Flow'!$A33,'Wells Fargo'!$A:$A,AZ$1,'Wells Fargo'!$B:$B,"&lt;="&amp;'Cash Flow'!AZ$3)</f>
        <v>0</v>
      </c>
      <c r="BA33" s="188">
        <f>SUMIFS('Wells Fargo'!$F:$F,'Wells Fargo'!$G:$G,'Cash Flow'!$A33,'Wells Fargo'!$A:$A,BA$1,'Wells Fargo'!$B:$B,"&lt;="&amp;'Cash Flow'!BA$3,'Wells Fargo'!$B:$B,"&gt;"&amp;'Cash Flow'!AZ$3)</f>
        <v>0</v>
      </c>
      <c r="BB33" s="188">
        <f>SUMIFS('Wells Fargo'!$F:$F,'Wells Fargo'!$G:$G,'Cash Flow'!$A33,'Wells Fargo'!$A:$A,BB$1,'Wells Fargo'!$B:$B,"&lt;="&amp;'Cash Flow'!BB$3,'Wells Fargo'!$B:$B,"&gt;"&amp;'Cash Flow'!BA$3)</f>
        <v>0</v>
      </c>
      <c r="BC33" s="188">
        <f>SUMIFS('Wells Fargo'!$F:$F,'Wells Fargo'!$G:$G,'Cash Flow'!$A33,'Wells Fargo'!$A:$A,BC$1,'Wells Fargo'!$B:$B,"&lt;="&amp;'Cash Flow'!BC$3,'Wells Fargo'!$B:$B,"&gt;"&amp;'Cash Flow'!BB$3)</f>
        <v>0</v>
      </c>
      <c r="BD33" s="188">
        <f>SUMIFS('Wells Fargo'!$F:$F,'Wells Fargo'!$G:$G,'Cash Flow'!$A33,'Wells Fargo'!$A:$A,BD$1,'Wells Fargo'!$B:$B,"&lt;="&amp;'Cash Flow'!BD$3,'Wells Fargo'!$B:$B,"&gt;"&amp;'Cash Flow'!BC$3)</f>
        <v>0</v>
      </c>
      <c r="BE33" s="189">
        <f>SUMIFS('Wells Fargo'!$F:$F,'Wells Fargo'!$G:$G,'Cash Flow'!$A33,'Wells Fargo'!$A:$A,BE$1,'Wells Fargo'!$B:$B,"&lt;="&amp;'Cash Flow'!BE$3)</f>
        <v>0</v>
      </c>
      <c r="BF33" s="188">
        <f>SUMIFS('Wells Fargo'!$F:$F,'Wells Fargo'!$G:$G,'Cash Flow'!$A33,'Wells Fargo'!$A:$A,BF$1,'Wells Fargo'!$B:$B,"&lt;="&amp;'Cash Flow'!BF$3,'Wells Fargo'!$B:$B,"&gt;"&amp;'Cash Flow'!BE$3)</f>
        <v>0</v>
      </c>
      <c r="BG33" s="188">
        <f>SUMIFS('Wells Fargo'!$F:$F,'Wells Fargo'!$G:$G,'Cash Flow'!$A33,'Wells Fargo'!$A:$A,BG$1,'Wells Fargo'!$B:$B,"&lt;="&amp;'Cash Flow'!BG$3,'Wells Fargo'!$B:$B,"&gt;"&amp;'Cash Flow'!BF$3)</f>
        <v>0</v>
      </c>
      <c r="BH33" s="188">
        <f>SUMIFS('Wells Fargo'!$F:$F,'Wells Fargo'!$G:$G,'Cash Flow'!$A33,'Wells Fargo'!$A:$A,BH$1,'Wells Fargo'!$B:$B,"&lt;="&amp;'Cash Flow'!BH$3,'Wells Fargo'!$B:$B,"&gt;"&amp;'Cash Flow'!BG$3)</f>
        <v>0</v>
      </c>
      <c r="BI33" s="188">
        <f>SUMIFS('Wells Fargo'!$F:$F,'Wells Fargo'!$G:$G,'Cash Flow'!$A33,'Wells Fargo'!$A:$A,BI$1,'Wells Fargo'!$B:$B,"&lt;="&amp;'Cash Flow'!BI$3,'Wells Fargo'!$B:$B,"&gt;"&amp;'Cash Flow'!BH$3)</f>
        <v>0</v>
      </c>
    </row>
    <row r="34" spans="1:61" ht="12.75" x14ac:dyDescent="0.2">
      <c r="A34" t="str">
        <v>Jayelin</v>
      </c>
      <c r="B34" s="87">
        <f t="shared" si="0"/>
        <v>-657.51</v>
      </c>
      <c r="C34" s="189">
        <f>SUMIFS('Wells Fargo'!$F:$F,'Wells Fargo'!$G:$G,'Cash Flow'!$A34,'Wells Fargo'!$A:$A,C$1,'Wells Fargo'!$B:$B,"&lt;="&amp;'Cash Flow'!C$3)</f>
        <v>0</v>
      </c>
      <c r="D34" s="188">
        <f>SUMIFS('Wells Fargo'!$F:$F,'Wells Fargo'!$G:$G,'Cash Flow'!$A34,'Wells Fargo'!$A:$A,D$1,'Wells Fargo'!$B:$B,"&lt;="&amp;'Cash Flow'!D$3,'Wells Fargo'!$B:$B,"&gt;"&amp;'Cash Flow'!C$3)</f>
        <v>0</v>
      </c>
      <c r="E34" s="188">
        <f>SUMIFS('Wells Fargo'!$F:$F,'Wells Fargo'!$G:$G,'Cash Flow'!$A34,'Wells Fargo'!$A:$A,E$1,'Wells Fargo'!$B:$B,"&lt;="&amp;'Cash Flow'!E$3,'Wells Fargo'!$B:$B,"&gt;"&amp;'Cash Flow'!D$3)</f>
        <v>0</v>
      </c>
      <c r="F34" s="188">
        <f>SUMIFS('Wells Fargo'!$F:$F,'Wells Fargo'!$G:$G,'Cash Flow'!$A34,'Wells Fargo'!$A:$A,F$1,'Wells Fargo'!$B:$B,"&lt;="&amp;'Cash Flow'!F$3,'Wells Fargo'!$B:$B,"&gt;"&amp;'Cash Flow'!E$3)</f>
        <v>0</v>
      </c>
      <c r="G34" s="188">
        <f>SUMIFS('Wells Fargo'!$F:$F,'Wells Fargo'!$G:$G,'Cash Flow'!$A34,'Wells Fargo'!$A:$A,G$1,'Wells Fargo'!$B:$B,"&lt;="&amp;'Cash Flow'!G$3,'Wells Fargo'!$B:$B,"&gt;"&amp;'Cash Flow'!F$3)</f>
        <v>0</v>
      </c>
      <c r="H34" s="189">
        <f>SUMIFS('Wells Fargo'!$F:$F,'Wells Fargo'!$G:$G,'Cash Flow'!$A34,'Wells Fargo'!$A:$A,H$1,'Wells Fargo'!$B:$B,"&lt;="&amp;'Cash Flow'!H$3)</f>
        <v>0</v>
      </c>
      <c r="I34" s="188">
        <f>SUMIFS('Wells Fargo'!$F:$F,'Wells Fargo'!$G:$G,'Cash Flow'!$A34,'Wells Fargo'!$A:$A,I$1,'Wells Fargo'!$B:$B,"&lt;="&amp;'Cash Flow'!I$3,'Wells Fargo'!$B:$B,"&gt;"&amp;'Cash Flow'!H$3)</f>
        <v>0</v>
      </c>
      <c r="J34" s="188">
        <f>SUMIFS('Wells Fargo'!$F:$F,'Wells Fargo'!$G:$G,'Cash Flow'!$A34,'Wells Fargo'!$A:$A,J$1,'Wells Fargo'!$B:$B,"&lt;="&amp;'Cash Flow'!J$3,'Wells Fargo'!$B:$B,"&gt;"&amp;'Cash Flow'!I$3)</f>
        <v>0</v>
      </c>
      <c r="K34" s="188">
        <f>SUMIFS('Wells Fargo'!$F:$F,'Wells Fargo'!$G:$G,'Cash Flow'!$A34,'Wells Fargo'!$A:$A,K$1,'Wells Fargo'!$B:$B,"&lt;="&amp;'Cash Flow'!K$3,'Wells Fargo'!$B:$B,"&gt;"&amp;'Cash Flow'!J$3)</f>
        <v>0</v>
      </c>
      <c r="L34" s="189">
        <f>SUMIFS('Wells Fargo'!$F:$F,'Wells Fargo'!$G:$G,'Cash Flow'!$A34,'Wells Fargo'!$A:$A,L$1,'Wells Fargo'!$B:$B,"&lt;="&amp;'Cash Flow'!L$3)</f>
        <v>-500</v>
      </c>
      <c r="M34" s="188">
        <f>SUMIFS('Wells Fargo'!$F:$F,'Wells Fargo'!$G:$G,'Cash Flow'!$A34,'Wells Fargo'!$A:$A,M$1,'Wells Fargo'!$B:$B,"&lt;="&amp;'Cash Flow'!M$3,'Wells Fargo'!$B:$B,"&gt;"&amp;'Cash Flow'!L$3)</f>
        <v>227.35</v>
      </c>
      <c r="N34" s="188">
        <f>SUMIFS('Wells Fargo'!$F:$F,'Wells Fargo'!$G:$G,'Cash Flow'!$A34,'Wells Fargo'!$A:$A,N$1,'Wells Fargo'!$B:$B,"&lt;="&amp;'Cash Flow'!N$3,'Wells Fargo'!$B:$B,"&gt;"&amp;'Cash Flow'!M$3)</f>
        <v>0</v>
      </c>
      <c r="O34" s="188">
        <f>SUMIFS('Wells Fargo'!$F:$F,'Wells Fargo'!$G:$G,'Cash Flow'!$A34,'Wells Fargo'!$A:$A,O$1,'Wells Fargo'!$B:$B,"&lt;="&amp;'Cash Flow'!O$3,'Wells Fargo'!$B:$B,"&gt;"&amp;'Cash Flow'!N$3)</f>
        <v>0</v>
      </c>
      <c r="P34" s="188">
        <f>SUMIFS('Wells Fargo'!$F:$F,'Wells Fargo'!$G:$G,'Cash Flow'!$A34,'Wells Fargo'!$A:$A,P$1,'Wells Fargo'!$B:$B,"&lt;="&amp;'Cash Flow'!P$3,'Wells Fargo'!$B:$B,"&gt;"&amp;'Cash Flow'!O$3)</f>
        <v>0</v>
      </c>
      <c r="Q34" s="189">
        <f>SUMIFS('Wells Fargo'!$F:$F,'Wells Fargo'!$G:$G,'Cash Flow'!$A34,'Wells Fargo'!$A:$A,Q$1,'Wells Fargo'!$B:$B,"&lt;="&amp;'Cash Flow'!Q$3)</f>
        <v>0</v>
      </c>
      <c r="R34" s="188">
        <f>SUMIFS('Wells Fargo'!$F:$F,'Wells Fargo'!$G:$G,'Cash Flow'!$A34,'Wells Fargo'!$A:$A,R$1,'Wells Fargo'!$B:$B,"&lt;="&amp;'Cash Flow'!R$3,'Wells Fargo'!$B:$B,"&gt;"&amp;'Cash Flow'!Q$3)</f>
        <v>0</v>
      </c>
      <c r="S34" s="188">
        <f>SUMIFS('Wells Fargo'!$F:$F,'Wells Fargo'!$G:$G,'Cash Flow'!$A34,'Wells Fargo'!$A:$A,S$1,'Wells Fargo'!$B:$B,"&lt;="&amp;'Cash Flow'!S$3,'Wells Fargo'!$B:$B,"&gt;"&amp;'Cash Flow'!R$3)</f>
        <v>0</v>
      </c>
      <c r="T34" s="188">
        <f>SUMIFS('Wells Fargo'!$F:$F,'Wells Fargo'!$G:$G,'Cash Flow'!$A34,'Wells Fargo'!$A:$A,T$1,'Wells Fargo'!$B:$B,"&lt;="&amp;'Cash Flow'!T$3,'Wells Fargo'!$B:$B,"&gt;"&amp;'Cash Flow'!S$3)</f>
        <v>189</v>
      </c>
      <c r="U34" s="188">
        <f>SUMIFS('Wells Fargo'!$F:$F,'Wells Fargo'!$G:$G,'Cash Flow'!$A34,'Wells Fargo'!$A:$A,U$1,'Wells Fargo'!$B:$B,"&lt;="&amp;'Cash Flow'!U$3,'Wells Fargo'!$B:$B,"&gt;"&amp;'Cash Flow'!T$3)</f>
        <v>0</v>
      </c>
      <c r="V34" s="189">
        <f>SUMIFS('Wells Fargo'!$F:$F,'Wells Fargo'!$G:$G,'Cash Flow'!$A34,'Wells Fargo'!$A:$A,V$1,'Wells Fargo'!$B:$B,"&lt;="&amp;'Cash Flow'!V$3)</f>
        <v>0</v>
      </c>
      <c r="W34" s="188">
        <f>SUMIFS('Wells Fargo'!$F:$F,'Wells Fargo'!$G:$G,'Cash Flow'!$A34,'Wells Fargo'!$A:$A,W$1,'Wells Fargo'!$B:$B,"&lt;="&amp;'Cash Flow'!W$3,'Wells Fargo'!$B:$B,"&gt;"&amp;'Cash Flow'!V$3)</f>
        <v>136.13999999999999</v>
      </c>
      <c r="X34" s="188">
        <f>SUMIFS('Wells Fargo'!$F:$F,'Wells Fargo'!$G:$G,'Cash Flow'!$A34,'Wells Fargo'!$A:$A,X$1,'Wells Fargo'!$B:$B,"&lt;="&amp;'Cash Flow'!X$3,'Wells Fargo'!$B:$B,"&gt;"&amp;'Cash Flow'!W$3)</f>
        <v>0</v>
      </c>
      <c r="Y34" s="188">
        <f>SUMIFS('Wells Fargo'!$F:$F,'Wells Fargo'!$G:$G,'Cash Flow'!$A34,'Wells Fargo'!$A:$A,Y$1,'Wells Fargo'!$B:$B,"&lt;="&amp;'Cash Flow'!Y$3,'Wells Fargo'!$B:$B,"&gt;"&amp;'Cash Flow'!X$3)</f>
        <v>0</v>
      </c>
      <c r="Z34" s="188">
        <f>SUMIFS('Wells Fargo'!$F:$F,'Wells Fargo'!$G:$G,'Cash Flow'!$A34,'Wells Fargo'!$A:$A,Z$1,'Wells Fargo'!$B:$B,"&lt;="&amp;'Cash Flow'!Z$3,'Wells Fargo'!$B:$B,"&gt;"&amp;'Cash Flow'!Y$3)</f>
        <v>0</v>
      </c>
      <c r="AA34" s="189">
        <f>SUMIFS('Wells Fargo'!$F:$F,'Wells Fargo'!$G:$G,'Cash Flow'!$A34,'Wells Fargo'!$A:$A,AA$1,'Wells Fargo'!$B:$B,"&lt;="&amp;'Cash Flow'!AA$3)</f>
        <v>-500</v>
      </c>
      <c r="AB34" s="188">
        <f>SUMIFS('Wells Fargo'!$F:$F,'Wells Fargo'!$G:$G,'Cash Flow'!$A34,'Wells Fargo'!$A:$A,AB$1,'Wells Fargo'!$B:$B,"&lt;="&amp;'Cash Flow'!AB$3,'Wells Fargo'!$B:$B,"&gt;"&amp;'Cash Flow'!AA$3)</f>
        <v>0</v>
      </c>
      <c r="AC34" s="188">
        <f>SUMIFS('Wells Fargo'!$F:$F,'Wells Fargo'!$G:$G,'Cash Flow'!$A34,'Wells Fargo'!$A:$A,AC$1,'Wells Fargo'!$B:$B,"&lt;="&amp;'Cash Flow'!AC$3,'Wells Fargo'!$B:$B,"&gt;"&amp;'Cash Flow'!AB$3)</f>
        <v>0</v>
      </c>
      <c r="AD34" s="188">
        <f>SUMIFS('Wells Fargo'!$F:$F,'Wells Fargo'!$G:$G,'Cash Flow'!$A34,'Wells Fargo'!$A:$A,AD$1,'Wells Fargo'!$B:$B,"&lt;="&amp;'Cash Flow'!AD$3,'Wells Fargo'!$B:$B,"&gt;"&amp;'Cash Flow'!AC$3)</f>
        <v>0</v>
      </c>
      <c r="AE34" s="188">
        <f>SUMIFS('Wells Fargo'!$F:$F,'Wells Fargo'!$G:$G,'Cash Flow'!$A34,'Wells Fargo'!$A:$A,AE$1,'Wells Fargo'!$B:$B,"&lt;="&amp;'Cash Flow'!AE$3,'Wells Fargo'!$B:$B,"&gt;"&amp;'Cash Flow'!AD$3)</f>
        <v>0</v>
      </c>
      <c r="AF34" s="189">
        <f>SUMIFS('Wells Fargo'!$F:$F,'Wells Fargo'!$G:$G,'Cash Flow'!$A34,'Wells Fargo'!$A:$A,AF$1,'Wells Fargo'!$B:$B,"&lt;="&amp;'Cash Flow'!AF$3)</f>
        <v>0</v>
      </c>
      <c r="AG34" s="188">
        <f>SUMIFS('Wells Fargo'!$F:$F,'Wells Fargo'!$G:$G,'Cash Flow'!$A34,'Wells Fargo'!$A:$A,AG$1,'Wells Fargo'!$B:$B,"&lt;="&amp;'Cash Flow'!AG$3,'Wells Fargo'!$B:$B,"&gt;"&amp;'Cash Flow'!AF$3)</f>
        <v>0</v>
      </c>
      <c r="AH34" s="188">
        <f>SUMIFS('Wells Fargo'!$F:$F,'Wells Fargo'!$G:$G,'Cash Flow'!$A34,'Wells Fargo'!$A:$A,AH$1,'Wells Fargo'!$B:$B,"&lt;="&amp;'Cash Flow'!AH$3,'Wells Fargo'!$B:$B,"&gt;"&amp;'Cash Flow'!AG$3)</f>
        <v>0</v>
      </c>
      <c r="AI34" s="188">
        <f>SUMIFS('Wells Fargo'!$F:$F,'Wells Fargo'!$G:$G,'Cash Flow'!$A34,'Wells Fargo'!$A:$A,AI$1,'Wells Fargo'!$B:$B,"&lt;="&amp;'Cash Flow'!AI$3,'Wells Fargo'!$B:$B,"&gt;"&amp;'Cash Flow'!AH$3)</f>
        <v>0</v>
      </c>
      <c r="AJ34" s="188">
        <f>SUMIFS('Wells Fargo'!$F:$F,'Wells Fargo'!$G:$G,'Cash Flow'!$A34,'Wells Fargo'!$A:$A,AJ$1,'Wells Fargo'!$B:$B,"&lt;="&amp;'Cash Flow'!AJ$3,'Wells Fargo'!$B:$B,"&gt;"&amp;'Cash Flow'!AI$3)</f>
        <v>0</v>
      </c>
      <c r="AK34" s="189">
        <f>SUMIFS('Wells Fargo'!$F:$F,'Wells Fargo'!$G:$G,'Cash Flow'!$A34,'Wells Fargo'!$A:$A,AK$1,'Wells Fargo'!$B:$B,"&lt;="&amp;'Cash Flow'!AK$3)</f>
        <v>0</v>
      </c>
      <c r="AL34" s="188">
        <f>SUMIFS('Wells Fargo'!$F:$F,'Wells Fargo'!$G:$G,'Cash Flow'!$A34,'Wells Fargo'!$A:$A,AL$1,'Wells Fargo'!$B:$B,"&lt;="&amp;'Cash Flow'!AL$3,'Wells Fargo'!$B:$B,"&gt;"&amp;'Cash Flow'!AK$3)</f>
        <v>0</v>
      </c>
      <c r="AM34" s="188">
        <f>SUMIFS('Wells Fargo'!$F:$F,'Wells Fargo'!$G:$G,'Cash Flow'!$A34,'Wells Fargo'!$A:$A,AM$1,'Wells Fargo'!$B:$B,"&lt;="&amp;'Cash Flow'!AM$3,'Wells Fargo'!$B:$B,"&gt;"&amp;'Cash Flow'!AL$3)</f>
        <v>-200</v>
      </c>
      <c r="AN34" s="188">
        <f>SUMIFS('Wells Fargo'!$F:$F,'Wells Fargo'!$G:$G,'Cash Flow'!$A34,'Wells Fargo'!$A:$A,AN$1,'Wells Fargo'!$B:$B,"&lt;="&amp;'Cash Flow'!AN$3,'Wells Fargo'!$B:$B,"&gt;"&amp;'Cash Flow'!AM$3)</f>
        <v>0</v>
      </c>
      <c r="AO34" s="188">
        <f>SUMIFS('Wells Fargo'!$F:$F,'Wells Fargo'!$G:$G,'Cash Flow'!$A34,'Wells Fargo'!$A:$A,AO$1,'Wells Fargo'!$B:$B,"&lt;="&amp;'Cash Flow'!AO$3,'Wells Fargo'!$B:$B,"&gt;"&amp;'Cash Flow'!AN$3)</f>
        <v>0</v>
      </c>
      <c r="AP34" s="189">
        <f>SUMIFS('Wells Fargo'!$F:$F,'Wells Fargo'!$G:$G,'Cash Flow'!$A34,'Wells Fargo'!$A:$A,AP$1,'Wells Fargo'!$B:$B,"&lt;="&amp;'Cash Flow'!AP$3)</f>
        <v>0</v>
      </c>
      <c r="AQ34" s="188">
        <f>SUMIFS('Wells Fargo'!$F:$F,'Wells Fargo'!$G:$G,'Cash Flow'!$A34,'Wells Fargo'!$A:$A,AQ$1,'Wells Fargo'!$B:$B,"&lt;="&amp;'Cash Flow'!AQ$3,'Wells Fargo'!$B:$B,"&gt;"&amp;'Cash Flow'!AP$3)</f>
        <v>0</v>
      </c>
      <c r="AR34" s="188">
        <f>SUMIFS('Wells Fargo'!$F:$F,'Wells Fargo'!$G:$G,'Cash Flow'!$A34,'Wells Fargo'!$A:$A,AR$1,'Wells Fargo'!$B:$B,"&lt;="&amp;'Cash Flow'!AR$3,'Wells Fargo'!$B:$B,"&gt;"&amp;'Cash Flow'!AQ$3)</f>
        <v>0</v>
      </c>
      <c r="AS34" s="188">
        <f>SUMIFS('Wells Fargo'!$F:$F,'Wells Fargo'!$G:$G,'Cash Flow'!$A34,'Wells Fargo'!$A:$A,AS$1,'Wells Fargo'!$B:$B,"&lt;="&amp;'Cash Flow'!AS$3,'Wells Fargo'!$B:$B,"&gt;"&amp;'Cash Flow'!AR$3)</f>
        <v>-10</v>
      </c>
      <c r="AT34" s="188">
        <f>SUMIFS('Wells Fargo'!$F:$F,'Wells Fargo'!$G:$G,'Cash Flow'!$A34,'Wells Fargo'!$A:$A,AT$1,'Wells Fargo'!$B:$B,"&lt;="&amp;'Cash Flow'!AT$3,'Wells Fargo'!$B:$B,"&gt;"&amp;'Cash Flow'!AS$3)</f>
        <v>0</v>
      </c>
      <c r="AU34" s="189">
        <f>SUMIFS('Wells Fargo'!$F:$F,'Wells Fargo'!$G:$G,'Cash Flow'!$A34,'Wells Fargo'!$A:$A,AU$1,'Wells Fargo'!$B:$B,"&lt;="&amp;'Cash Flow'!AU$3)</f>
        <v>0</v>
      </c>
      <c r="AV34" s="188">
        <f>SUMIFS('Wells Fargo'!$F:$F,'Wells Fargo'!$G:$G,'Cash Flow'!$A34,'Wells Fargo'!$A:$A,AV$1,'Wells Fargo'!$B:$B,"&lt;="&amp;'Cash Flow'!AV$3,'Wells Fargo'!$B:$B,"&gt;"&amp;'Cash Flow'!AU$3)</f>
        <v>0</v>
      </c>
      <c r="AW34" s="188">
        <f>SUMIFS('Wells Fargo'!$F:$F,'Wells Fargo'!$G:$G,'Cash Flow'!$A34,'Wells Fargo'!$A:$A,AW$1,'Wells Fargo'!$B:$B,"&lt;="&amp;'Cash Flow'!AW$3,'Wells Fargo'!$B:$B,"&gt;"&amp;'Cash Flow'!AV$3)</f>
        <v>0</v>
      </c>
      <c r="AX34" s="188">
        <f>SUMIFS('Wells Fargo'!$F:$F,'Wells Fargo'!$G:$G,'Cash Flow'!$A34,'Wells Fargo'!$A:$A,AX$1,'Wells Fargo'!$B:$B,"&lt;="&amp;'Cash Flow'!AX$3,'Wells Fargo'!$B:$B,"&gt;"&amp;'Cash Flow'!AW$3)</f>
        <v>0</v>
      </c>
      <c r="AY34" s="188">
        <f>SUMIFS('Wells Fargo'!$F:$F,'Wells Fargo'!$G:$G,'Cash Flow'!$A34,'Wells Fargo'!$A:$A,AY$1,'Wells Fargo'!$B:$B,"&lt;="&amp;'Cash Flow'!AY$3,'Wells Fargo'!$B:$B,"&gt;"&amp;'Cash Flow'!AX$3)</f>
        <v>0</v>
      </c>
      <c r="AZ34" s="189">
        <f>SUMIFS('Wells Fargo'!$F:$F,'Wells Fargo'!$G:$G,'Cash Flow'!$A34,'Wells Fargo'!$A:$A,AZ$1,'Wells Fargo'!$B:$B,"&lt;="&amp;'Cash Flow'!AZ$3)</f>
        <v>0</v>
      </c>
      <c r="BA34" s="188">
        <f>SUMIFS('Wells Fargo'!$F:$F,'Wells Fargo'!$G:$G,'Cash Flow'!$A34,'Wells Fargo'!$A:$A,BA$1,'Wells Fargo'!$B:$B,"&lt;="&amp;'Cash Flow'!BA$3,'Wells Fargo'!$B:$B,"&gt;"&amp;'Cash Flow'!AZ$3)</f>
        <v>0</v>
      </c>
      <c r="BB34" s="188">
        <f>SUMIFS('Wells Fargo'!$F:$F,'Wells Fargo'!$G:$G,'Cash Flow'!$A34,'Wells Fargo'!$A:$A,BB$1,'Wells Fargo'!$B:$B,"&lt;="&amp;'Cash Flow'!BB$3,'Wells Fargo'!$B:$B,"&gt;"&amp;'Cash Flow'!BA$3)</f>
        <v>0</v>
      </c>
      <c r="BC34" s="188">
        <f>SUMIFS('Wells Fargo'!$F:$F,'Wells Fargo'!$G:$G,'Cash Flow'!$A34,'Wells Fargo'!$A:$A,BC$1,'Wells Fargo'!$B:$B,"&lt;="&amp;'Cash Flow'!BC$3,'Wells Fargo'!$B:$B,"&gt;"&amp;'Cash Flow'!BB$3)</f>
        <v>0</v>
      </c>
      <c r="BD34" s="188">
        <f>SUMIFS('Wells Fargo'!$F:$F,'Wells Fargo'!$G:$G,'Cash Flow'!$A34,'Wells Fargo'!$A:$A,BD$1,'Wells Fargo'!$B:$B,"&lt;="&amp;'Cash Flow'!BD$3,'Wells Fargo'!$B:$B,"&gt;"&amp;'Cash Flow'!BC$3)</f>
        <v>0</v>
      </c>
      <c r="BE34" s="189">
        <f>SUMIFS('Wells Fargo'!$F:$F,'Wells Fargo'!$G:$G,'Cash Flow'!$A34,'Wells Fargo'!$A:$A,BE$1,'Wells Fargo'!$B:$B,"&lt;="&amp;'Cash Flow'!BE$3)</f>
        <v>0</v>
      </c>
      <c r="BF34" s="188">
        <f>SUMIFS('Wells Fargo'!$F:$F,'Wells Fargo'!$G:$G,'Cash Flow'!$A34,'Wells Fargo'!$A:$A,BF$1,'Wells Fargo'!$B:$B,"&lt;="&amp;'Cash Flow'!BF$3,'Wells Fargo'!$B:$B,"&gt;"&amp;'Cash Flow'!BE$3)</f>
        <v>0</v>
      </c>
      <c r="BG34" s="188">
        <f>SUMIFS('Wells Fargo'!$F:$F,'Wells Fargo'!$G:$G,'Cash Flow'!$A34,'Wells Fargo'!$A:$A,BG$1,'Wells Fargo'!$B:$B,"&lt;="&amp;'Cash Flow'!BG$3,'Wells Fargo'!$B:$B,"&gt;"&amp;'Cash Flow'!BF$3)</f>
        <v>0</v>
      </c>
      <c r="BH34" s="188">
        <f>SUMIFS('Wells Fargo'!$F:$F,'Wells Fargo'!$G:$G,'Cash Flow'!$A34,'Wells Fargo'!$A:$A,BH$1,'Wells Fargo'!$B:$B,"&lt;="&amp;'Cash Flow'!BH$3,'Wells Fargo'!$B:$B,"&gt;"&amp;'Cash Flow'!BG$3)</f>
        <v>0</v>
      </c>
      <c r="BI34" s="188">
        <f>SUMIFS('Wells Fargo'!$F:$F,'Wells Fargo'!$G:$G,'Cash Flow'!$A34,'Wells Fargo'!$A:$A,BI$1,'Wells Fargo'!$B:$B,"&lt;="&amp;'Cash Flow'!BI$3,'Wells Fargo'!$B:$B,"&gt;"&amp;'Cash Flow'!BH$3)</f>
        <v>0</v>
      </c>
    </row>
    <row r="35" spans="1:61" ht="12.75" x14ac:dyDescent="0.2">
      <c r="A35" t="str">
        <v>Jon Li</v>
      </c>
      <c r="B35" s="87">
        <f t="shared" si="0"/>
        <v>-340</v>
      </c>
      <c r="C35" s="189">
        <f>SUMIFS('Wells Fargo'!$F:$F,'Wells Fargo'!$G:$G,'Cash Flow'!$A35,'Wells Fargo'!$A:$A,C$1,'Wells Fargo'!$B:$B,"&lt;="&amp;'Cash Flow'!C$3)</f>
        <v>0</v>
      </c>
      <c r="D35" s="188">
        <f>SUMIFS('Wells Fargo'!$F:$F,'Wells Fargo'!$G:$G,'Cash Flow'!$A35,'Wells Fargo'!$A:$A,D$1,'Wells Fargo'!$B:$B,"&lt;="&amp;'Cash Flow'!D$3,'Wells Fargo'!$B:$B,"&gt;"&amp;'Cash Flow'!C$3)</f>
        <v>0</v>
      </c>
      <c r="E35" s="188">
        <f>SUMIFS('Wells Fargo'!$F:$F,'Wells Fargo'!$G:$G,'Cash Flow'!$A35,'Wells Fargo'!$A:$A,E$1,'Wells Fargo'!$B:$B,"&lt;="&amp;'Cash Flow'!E$3,'Wells Fargo'!$B:$B,"&gt;"&amp;'Cash Flow'!D$3)</f>
        <v>0</v>
      </c>
      <c r="F35" s="188">
        <f>SUMIFS('Wells Fargo'!$F:$F,'Wells Fargo'!$G:$G,'Cash Flow'!$A35,'Wells Fargo'!$A:$A,F$1,'Wells Fargo'!$B:$B,"&lt;="&amp;'Cash Flow'!F$3,'Wells Fargo'!$B:$B,"&gt;"&amp;'Cash Flow'!E$3)</f>
        <v>0</v>
      </c>
      <c r="G35" s="188">
        <f>SUMIFS('Wells Fargo'!$F:$F,'Wells Fargo'!$G:$G,'Cash Flow'!$A35,'Wells Fargo'!$A:$A,G$1,'Wells Fargo'!$B:$B,"&lt;="&amp;'Cash Flow'!G$3,'Wells Fargo'!$B:$B,"&gt;"&amp;'Cash Flow'!F$3)</f>
        <v>0</v>
      </c>
      <c r="H35" s="189">
        <f>SUMIFS('Wells Fargo'!$F:$F,'Wells Fargo'!$G:$G,'Cash Flow'!$A35,'Wells Fargo'!$A:$A,H$1,'Wells Fargo'!$B:$B,"&lt;="&amp;'Cash Flow'!H$3)</f>
        <v>0</v>
      </c>
      <c r="I35" s="188">
        <f>SUMIFS('Wells Fargo'!$F:$F,'Wells Fargo'!$G:$G,'Cash Flow'!$A35,'Wells Fargo'!$A:$A,I$1,'Wells Fargo'!$B:$B,"&lt;="&amp;'Cash Flow'!I$3,'Wells Fargo'!$B:$B,"&gt;"&amp;'Cash Flow'!H$3)</f>
        <v>0</v>
      </c>
      <c r="J35" s="188">
        <f>SUMIFS('Wells Fargo'!$F:$F,'Wells Fargo'!$G:$G,'Cash Flow'!$A35,'Wells Fargo'!$A:$A,J$1,'Wells Fargo'!$B:$B,"&lt;="&amp;'Cash Flow'!J$3,'Wells Fargo'!$B:$B,"&gt;"&amp;'Cash Flow'!I$3)</f>
        <v>0</v>
      </c>
      <c r="K35" s="188">
        <f>SUMIFS('Wells Fargo'!$F:$F,'Wells Fargo'!$G:$G,'Cash Flow'!$A35,'Wells Fargo'!$A:$A,K$1,'Wells Fargo'!$B:$B,"&lt;="&amp;'Cash Flow'!K$3,'Wells Fargo'!$B:$B,"&gt;"&amp;'Cash Flow'!J$3)</f>
        <v>0</v>
      </c>
      <c r="L35" s="189">
        <f>SUMIFS('Wells Fargo'!$F:$F,'Wells Fargo'!$G:$G,'Cash Flow'!$A35,'Wells Fargo'!$A:$A,L$1,'Wells Fargo'!$B:$B,"&lt;="&amp;'Cash Flow'!L$3)</f>
        <v>0</v>
      </c>
      <c r="M35" s="188">
        <f>SUMIFS('Wells Fargo'!$F:$F,'Wells Fargo'!$G:$G,'Cash Flow'!$A35,'Wells Fargo'!$A:$A,M$1,'Wells Fargo'!$B:$B,"&lt;="&amp;'Cash Flow'!M$3,'Wells Fargo'!$B:$B,"&gt;"&amp;'Cash Flow'!L$3)</f>
        <v>0</v>
      </c>
      <c r="N35" s="188">
        <f>SUMIFS('Wells Fargo'!$F:$F,'Wells Fargo'!$G:$G,'Cash Flow'!$A35,'Wells Fargo'!$A:$A,N$1,'Wells Fargo'!$B:$B,"&lt;="&amp;'Cash Flow'!N$3,'Wells Fargo'!$B:$B,"&gt;"&amp;'Cash Flow'!M$3)</f>
        <v>0</v>
      </c>
      <c r="O35" s="188">
        <f>SUMIFS('Wells Fargo'!$F:$F,'Wells Fargo'!$G:$G,'Cash Flow'!$A35,'Wells Fargo'!$A:$A,O$1,'Wells Fargo'!$B:$B,"&lt;="&amp;'Cash Flow'!O$3,'Wells Fargo'!$B:$B,"&gt;"&amp;'Cash Flow'!N$3)</f>
        <v>0</v>
      </c>
      <c r="P35" s="188">
        <f>SUMIFS('Wells Fargo'!$F:$F,'Wells Fargo'!$G:$G,'Cash Flow'!$A35,'Wells Fargo'!$A:$A,P$1,'Wells Fargo'!$B:$B,"&lt;="&amp;'Cash Flow'!P$3,'Wells Fargo'!$B:$B,"&gt;"&amp;'Cash Flow'!O$3)</f>
        <v>0</v>
      </c>
      <c r="Q35" s="189">
        <f>SUMIFS('Wells Fargo'!$F:$F,'Wells Fargo'!$G:$G,'Cash Flow'!$A35,'Wells Fargo'!$A:$A,Q$1,'Wells Fargo'!$B:$B,"&lt;="&amp;'Cash Flow'!Q$3)</f>
        <v>0</v>
      </c>
      <c r="R35" s="188">
        <f>SUMIFS('Wells Fargo'!$F:$F,'Wells Fargo'!$G:$G,'Cash Flow'!$A35,'Wells Fargo'!$A:$A,R$1,'Wells Fargo'!$B:$B,"&lt;="&amp;'Cash Flow'!R$3,'Wells Fargo'!$B:$B,"&gt;"&amp;'Cash Flow'!Q$3)</f>
        <v>0</v>
      </c>
      <c r="S35" s="188">
        <f>SUMIFS('Wells Fargo'!$F:$F,'Wells Fargo'!$G:$G,'Cash Flow'!$A35,'Wells Fargo'!$A:$A,S$1,'Wells Fargo'!$B:$B,"&lt;="&amp;'Cash Flow'!S$3,'Wells Fargo'!$B:$B,"&gt;"&amp;'Cash Flow'!R$3)</f>
        <v>0</v>
      </c>
      <c r="T35" s="188">
        <f>SUMIFS('Wells Fargo'!$F:$F,'Wells Fargo'!$G:$G,'Cash Flow'!$A35,'Wells Fargo'!$A:$A,T$1,'Wells Fargo'!$B:$B,"&lt;="&amp;'Cash Flow'!T$3,'Wells Fargo'!$B:$B,"&gt;"&amp;'Cash Flow'!S$3)</f>
        <v>0</v>
      </c>
      <c r="U35" s="188">
        <f>SUMIFS('Wells Fargo'!$F:$F,'Wells Fargo'!$G:$G,'Cash Flow'!$A35,'Wells Fargo'!$A:$A,U$1,'Wells Fargo'!$B:$B,"&lt;="&amp;'Cash Flow'!U$3,'Wells Fargo'!$B:$B,"&gt;"&amp;'Cash Flow'!T$3)</f>
        <v>0</v>
      </c>
      <c r="V35" s="189">
        <f>SUMIFS('Wells Fargo'!$F:$F,'Wells Fargo'!$G:$G,'Cash Flow'!$A35,'Wells Fargo'!$A:$A,V$1,'Wells Fargo'!$B:$B,"&lt;="&amp;'Cash Flow'!V$3)</f>
        <v>0</v>
      </c>
      <c r="W35" s="188">
        <f>SUMIFS('Wells Fargo'!$F:$F,'Wells Fargo'!$G:$G,'Cash Flow'!$A35,'Wells Fargo'!$A:$A,W$1,'Wells Fargo'!$B:$B,"&lt;="&amp;'Cash Flow'!W$3,'Wells Fargo'!$B:$B,"&gt;"&amp;'Cash Flow'!V$3)</f>
        <v>0</v>
      </c>
      <c r="X35" s="188">
        <f>SUMIFS('Wells Fargo'!$F:$F,'Wells Fargo'!$G:$G,'Cash Flow'!$A35,'Wells Fargo'!$A:$A,X$1,'Wells Fargo'!$B:$B,"&lt;="&amp;'Cash Flow'!X$3,'Wells Fargo'!$B:$B,"&gt;"&amp;'Cash Flow'!W$3)</f>
        <v>-340</v>
      </c>
      <c r="Y35" s="188">
        <f>SUMIFS('Wells Fargo'!$F:$F,'Wells Fargo'!$G:$G,'Cash Flow'!$A35,'Wells Fargo'!$A:$A,Y$1,'Wells Fargo'!$B:$B,"&lt;="&amp;'Cash Flow'!Y$3,'Wells Fargo'!$B:$B,"&gt;"&amp;'Cash Flow'!X$3)</f>
        <v>0</v>
      </c>
      <c r="Z35" s="188">
        <f>SUMIFS('Wells Fargo'!$F:$F,'Wells Fargo'!$G:$G,'Cash Flow'!$A35,'Wells Fargo'!$A:$A,Z$1,'Wells Fargo'!$B:$B,"&lt;="&amp;'Cash Flow'!Z$3,'Wells Fargo'!$B:$B,"&gt;"&amp;'Cash Flow'!Y$3)</f>
        <v>0</v>
      </c>
      <c r="AA35" s="189">
        <f>SUMIFS('Wells Fargo'!$F:$F,'Wells Fargo'!$G:$G,'Cash Flow'!$A35,'Wells Fargo'!$A:$A,AA$1,'Wells Fargo'!$B:$B,"&lt;="&amp;'Cash Flow'!AA$3)</f>
        <v>0</v>
      </c>
      <c r="AB35" s="188">
        <f>SUMIFS('Wells Fargo'!$F:$F,'Wells Fargo'!$G:$G,'Cash Flow'!$A35,'Wells Fargo'!$A:$A,AB$1,'Wells Fargo'!$B:$B,"&lt;="&amp;'Cash Flow'!AB$3,'Wells Fargo'!$B:$B,"&gt;"&amp;'Cash Flow'!AA$3)</f>
        <v>0</v>
      </c>
      <c r="AC35" s="188">
        <f>SUMIFS('Wells Fargo'!$F:$F,'Wells Fargo'!$G:$G,'Cash Flow'!$A35,'Wells Fargo'!$A:$A,AC$1,'Wells Fargo'!$B:$B,"&lt;="&amp;'Cash Flow'!AC$3,'Wells Fargo'!$B:$B,"&gt;"&amp;'Cash Flow'!AB$3)</f>
        <v>0</v>
      </c>
      <c r="AD35" s="188">
        <f>SUMIFS('Wells Fargo'!$F:$F,'Wells Fargo'!$G:$G,'Cash Flow'!$A35,'Wells Fargo'!$A:$A,AD$1,'Wells Fargo'!$B:$B,"&lt;="&amp;'Cash Flow'!AD$3,'Wells Fargo'!$B:$B,"&gt;"&amp;'Cash Flow'!AC$3)</f>
        <v>0</v>
      </c>
      <c r="AE35" s="188">
        <f>SUMIFS('Wells Fargo'!$F:$F,'Wells Fargo'!$G:$G,'Cash Flow'!$A35,'Wells Fargo'!$A:$A,AE$1,'Wells Fargo'!$B:$B,"&lt;="&amp;'Cash Flow'!AE$3,'Wells Fargo'!$B:$B,"&gt;"&amp;'Cash Flow'!AD$3)</f>
        <v>0</v>
      </c>
      <c r="AF35" s="189">
        <f>SUMIFS('Wells Fargo'!$F:$F,'Wells Fargo'!$G:$G,'Cash Flow'!$A35,'Wells Fargo'!$A:$A,AF$1,'Wells Fargo'!$B:$B,"&lt;="&amp;'Cash Flow'!AF$3)</f>
        <v>0</v>
      </c>
      <c r="AG35" s="188">
        <f>SUMIFS('Wells Fargo'!$F:$F,'Wells Fargo'!$G:$G,'Cash Flow'!$A35,'Wells Fargo'!$A:$A,AG$1,'Wells Fargo'!$B:$B,"&lt;="&amp;'Cash Flow'!AG$3,'Wells Fargo'!$B:$B,"&gt;"&amp;'Cash Flow'!AF$3)</f>
        <v>0</v>
      </c>
      <c r="AH35" s="188">
        <f>SUMIFS('Wells Fargo'!$F:$F,'Wells Fargo'!$G:$G,'Cash Flow'!$A35,'Wells Fargo'!$A:$A,AH$1,'Wells Fargo'!$B:$B,"&lt;="&amp;'Cash Flow'!AH$3,'Wells Fargo'!$B:$B,"&gt;"&amp;'Cash Flow'!AG$3)</f>
        <v>0</v>
      </c>
      <c r="AI35" s="188">
        <f>SUMIFS('Wells Fargo'!$F:$F,'Wells Fargo'!$G:$G,'Cash Flow'!$A35,'Wells Fargo'!$A:$A,AI$1,'Wells Fargo'!$B:$B,"&lt;="&amp;'Cash Flow'!AI$3,'Wells Fargo'!$B:$B,"&gt;"&amp;'Cash Flow'!AH$3)</f>
        <v>0</v>
      </c>
      <c r="AJ35" s="188">
        <f>SUMIFS('Wells Fargo'!$F:$F,'Wells Fargo'!$G:$G,'Cash Flow'!$A35,'Wells Fargo'!$A:$A,AJ$1,'Wells Fargo'!$B:$B,"&lt;="&amp;'Cash Flow'!AJ$3,'Wells Fargo'!$B:$B,"&gt;"&amp;'Cash Flow'!AI$3)</f>
        <v>0</v>
      </c>
      <c r="AK35" s="189">
        <f>SUMIFS('Wells Fargo'!$F:$F,'Wells Fargo'!$G:$G,'Cash Flow'!$A35,'Wells Fargo'!$A:$A,AK$1,'Wells Fargo'!$B:$B,"&lt;="&amp;'Cash Flow'!AK$3)</f>
        <v>0</v>
      </c>
      <c r="AL35" s="188">
        <f>SUMIFS('Wells Fargo'!$F:$F,'Wells Fargo'!$G:$G,'Cash Flow'!$A35,'Wells Fargo'!$A:$A,AL$1,'Wells Fargo'!$B:$B,"&lt;="&amp;'Cash Flow'!AL$3,'Wells Fargo'!$B:$B,"&gt;"&amp;'Cash Flow'!AK$3)</f>
        <v>0</v>
      </c>
      <c r="AM35" s="188">
        <f>SUMIFS('Wells Fargo'!$F:$F,'Wells Fargo'!$G:$G,'Cash Flow'!$A35,'Wells Fargo'!$A:$A,AM$1,'Wells Fargo'!$B:$B,"&lt;="&amp;'Cash Flow'!AM$3,'Wells Fargo'!$B:$B,"&gt;"&amp;'Cash Flow'!AL$3)</f>
        <v>0</v>
      </c>
      <c r="AN35" s="188">
        <f>SUMIFS('Wells Fargo'!$F:$F,'Wells Fargo'!$G:$G,'Cash Flow'!$A35,'Wells Fargo'!$A:$A,AN$1,'Wells Fargo'!$B:$B,"&lt;="&amp;'Cash Flow'!AN$3,'Wells Fargo'!$B:$B,"&gt;"&amp;'Cash Flow'!AM$3)</f>
        <v>0</v>
      </c>
      <c r="AO35" s="188">
        <f>SUMIFS('Wells Fargo'!$F:$F,'Wells Fargo'!$G:$G,'Cash Flow'!$A35,'Wells Fargo'!$A:$A,AO$1,'Wells Fargo'!$B:$B,"&lt;="&amp;'Cash Flow'!AO$3,'Wells Fargo'!$B:$B,"&gt;"&amp;'Cash Flow'!AN$3)</f>
        <v>0</v>
      </c>
      <c r="AP35" s="189">
        <f>SUMIFS('Wells Fargo'!$F:$F,'Wells Fargo'!$G:$G,'Cash Flow'!$A35,'Wells Fargo'!$A:$A,AP$1,'Wells Fargo'!$B:$B,"&lt;="&amp;'Cash Flow'!AP$3)</f>
        <v>0</v>
      </c>
      <c r="AQ35" s="188">
        <f>SUMIFS('Wells Fargo'!$F:$F,'Wells Fargo'!$G:$G,'Cash Flow'!$A35,'Wells Fargo'!$A:$A,AQ$1,'Wells Fargo'!$B:$B,"&lt;="&amp;'Cash Flow'!AQ$3,'Wells Fargo'!$B:$B,"&gt;"&amp;'Cash Flow'!AP$3)</f>
        <v>0</v>
      </c>
      <c r="AR35" s="188">
        <f>SUMIFS('Wells Fargo'!$F:$F,'Wells Fargo'!$G:$G,'Cash Flow'!$A35,'Wells Fargo'!$A:$A,AR$1,'Wells Fargo'!$B:$B,"&lt;="&amp;'Cash Flow'!AR$3,'Wells Fargo'!$B:$B,"&gt;"&amp;'Cash Flow'!AQ$3)</f>
        <v>0</v>
      </c>
      <c r="AS35" s="188">
        <f>SUMIFS('Wells Fargo'!$F:$F,'Wells Fargo'!$G:$G,'Cash Flow'!$A35,'Wells Fargo'!$A:$A,AS$1,'Wells Fargo'!$B:$B,"&lt;="&amp;'Cash Flow'!AS$3,'Wells Fargo'!$B:$B,"&gt;"&amp;'Cash Flow'!AR$3)</f>
        <v>0</v>
      </c>
      <c r="AT35" s="188">
        <f>SUMIFS('Wells Fargo'!$F:$F,'Wells Fargo'!$G:$G,'Cash Flow'!$A35,'Wells Fargo'!$A:$A,AT$1,'Wells Fargo'!$B:$B,"&lt;="&amp;'Cash Flow'!AT$3,'Wells Fargo'!$B:$B,"&gt;"&amp;'Cash Flow'!AS$3)</f>
        <v>0</v>
      </c>
      <c r="AU35" s="189">
        <f>SUMIFS('Wells Fargo'!$F:$F,'Wells Fargo'!$G:$G,'Cash Flow'!$A35,'Wells Fargo'!$A:$A,AU$1,'Wells Fargo'!$B:$B,"&lt;="&amp;'Cash Flow'!AU$3)</f>
        <v>0</v>
      </c>
      <c r="AV35" s="188">
        <f>SUMIFS('Wells Fargo'!$F:$F,'Wells Fargo'!$G:$G,'Cash Flow'!$A35,'Wells Fargo'!$A:$A,AV$1,'Wells Fargo'!$B:$B,"&lt;="&amp;'Cash Flow'!AV$3,'Wells Fargo'!$B:$B,"&gt;"&amp;'Cash Flow'!AU$3)</f>
        <v>0</v>
      </c>
      <c r="AW35" s="188">
        <f>SUMIFS('Wells Fargo'!$F:$F,'Wells Fargo'!$G:$G,'Cash Flow'!$A35,'Wells Fargo'!$A:$A,AW$1,'Wells Fargo'!$B:$B,"&lt;="&amp;'Cash Flow'!AW$3,'Wells Fargo'!$B:$B,"&gt;"&amp;'Cash Flow'!AV$3)</f>
        <v>0</v>
      </c>
      <c r="AX35" s="188">
        <f>SUMIFS('Wells Fargo'!$F:$F,'Wells Fargo'!$G:$G,'Cash Flow'!$A35,'Wells Fargo'!$A:$A,AX$1,'Wells Fargo'!$B:$B,"&lt;="&amp;'Cash Flow'!AX$3,'Wells Fargo'!$B:$B,"&gt;"&amp;'Cash Flow'!AW$3)</f>
        <v>0</v>
      </c>
      <c r="AY35" s="188">
        <f>SUMIFS('Wells Fargo'!$F:$F,'Wells Fargo'!$G:$G,'Cash Flow'!$A35,'Wells Fargo'!$A:$A,AY$1,'Wells Fargo'!$B:$B,"&lt;="&amp;'Cash Flow'!AY$3,'Wells Fargo'!$B:$B,"&gt;"&amp;'Cash Flow'!AX$3)</f>
        <v>0</v>
      </c>
      <c r="AZ35" s="189">
        <f>SUMIFS('Wells Fargo'!$F:$F,'Wells Fargo'!$G:$G,'Cash Flow'!$A35,'Wells Fargo'!$A:$A,AZ$1,'Wells Fargo'!$B:$B,"&lt;="&amp;'Cash Flow'!AZ$3)</f>
        <v>0</v>
      </c>
      <c r="BA35" s="188">
        <f>SUMIFS('Wells Fargo'!$F:$F,'Wells Fargo'!$G:$G,'Cash Flow'!$A35,'Wells Fargo'!$A:$A,BA$1,'Wells Fargo'!$B:$B,"&lt;="&amp;'Cash Flow'!BA$3,'Wells Fargo'!$B:$B,"&gt;"&amp;'Cash Flow'!AZ$3)</f>
        <v>0</v>
      </c>
      <c r="BB35" s="188">
        <f>SUMIFS('Wells Fargo'!$F:$F,'Wells Fargo'!$G:$G,'Cash Flow'!$A35,'Wells Fargo'!$A:$A,BB$1,'Wells Fargo'!$B:$B,"&lt;="&amp;'Cash Flow'!BB$3,'Wells Fargo'!$B:$B,"&gt;"&amp;'Cash Flow'!BA$3)</f>
        <v>0</v>
      </c>
      <c r="BC35" s="188">
        <f>SUMIFS('Wells Fargo'!$F:$F,'Wells Fargo'!$G:$G,'Cash Flow'!$A35,'Wells Fargo'!$A:$A,BC$1,'Wells Fargo'!$B:$B,"&lt;="&amp;'Cash Flow'!BC$3,'Wells Fargo'!$B:$B,"&gt;"&amp;'Cash Flow'!BB$3)</f>
        <v>0</v>
      </c>
      <c r="BD35" s="188">
        <f>SUMIFS('Wells Fargo'!$F:$F,'Wells Fargo'!$G:$G,'Cash Flow'!$A35,'Wells Fargo'!$A:$A,BD$1,'Wells Fargo'!$B:$B,"&lt;="&amp;'Cash Flow'!BD$3,'Wells Fargo'!$B:$B,"&gt;"&amp;'Cash Flow'!BC$3)</f>
        <v>0</v>
      </c>
      <c r="BE35" s="189">
        <f>SUMIFS('Wells Fargo'!$F:$F,'Wells Fargo'!$G:$G,'Cash Flow'!$A35,'Wells Fargo'!$A:$A,BE$1,'Wells Fargo'!$B:$B,"&lt;="&amp;'Cash Flow'!BE$3)</f>
        <v>0</v>
      </c>
      <c r="BF35" s="188">
        <f>SUMIFS('Wells Fargo'!$F:$F,'Wells Fargo'!$G:$G,'Cash Flow'!$A35,'Wells Fargo'!$A:$A,BF$1,'Wells Fargo'!$B:$B,"&lt;="&amp;'Cash Flow'!BF$3,'Wells Fargo'!$B:$B,"&gt;"&amp;'Cash Flow'!BE$3)</f>
        <v>0</v>
      </c>
      <c r="BG35" s="188">
        <f>SUMIFS('Wells Fargo'!$F:$F,'Wells Fargo'!$G:$G,'Cash Flow'!$A35,'Wells Fargo'!$A:$A,BG$1,'Wells Fargo'!$B:$B,"&lt;="&amp;'Cash Flow'!BG$3,'Wells Fargo'!$B:$B,"&gt;"&amp;'Cash Flow'!BF$3)</f>
        <v>0</v>
      </c>
      <c r="BH35" s="188">
        <f>SUMIFS('Wells Fargo'!$F:$F,'Wells Fargo'!$G:$G,'Cash Flow'!$A35,'Wells Fargo'!$A:$A,BH$1,'Wells Fargo'!$B:$B,"&lt;="&amp;'Cash Flow'!BH$3,'Wells Fargo'!$B:$B,"&gt;"&amp;'Cash Flow'!BG$3)</f>
        <v>0</v>
      </c>
      <c r="BI35" s="188">
        <f>SUMIFS('Wells Fargo'!$F:$F,'Wells Fargo'!$G:$G,'Cash Flow'!$A35,'Wells Fargo'!$A:$A,BI$1,'Wells Fargo'!$B:$B,"&lt;="&amp;'Cash Flow'!BI$3,'Wells Fargo'!$B:$B,"&gt;"&amp;'Cash Flow'!BH$3)</f>
        <v>0</v>
      </c>
    </row>
    <row r="36" spans="1:61" ht="12.75" x14ac:dyDescent="0.2">
      <c r="A36" t="str">
        <v>Kaiya</v>
      </c>
      <c r="B36" s="87">
        <f t="shared" si="0"/>
        <v>-20</v>
      </c>
      <c r="C36" s="189">
        <f>SUMIFS('Wells Fargo'!$F:$F,'Wells Fargo'!$G:$G,'Cash Flow'!$A36,'Wells Fargo'!$A:$A,C$1,'Wells Fargo'!$B:$B,"&lt;="&amp;'Cash Flow'!C$3)</f>
        <v>0</v>
      </c>
      <c r="D36" s="188">
        <f>SUMIFS('Wells Fargo'!$F:$F,'Wells Fargo'!$G:$G,'Cash Flow'!$A36,'Wells Fargo'!$A:$A,D$1,'Wells Fargo'!$B:$B,"&lt;="&amp;'Cash Flow'!D$3,'Wells Fargo'!$B:$B,"&gt;"&amp;'Cash Flow'!C$3)</f>
        <v>0</v>
      </c>
      <c r="E36" s="188">
        <f>SUMIFS('Wells Fargo'!$F:$F,'Wells Fargo'!$G:$G,'Cash Flow'!$A36,'Wells Fargo'!$A:$A,E$1,'Wells Fargo'!$B:$B,"&lt;="&amp;'Cash Flow'!E$3,'Wells Fargo'!$B:$B,"&gt;"&amp;'Cash Flow'!D$3)</f>
        <v>0</v>
      </c>
      <c r="F36" s="188">
        <f>SUMIFS('Wells Fargo'!$F:$F,'Wells Fargo'!$G:$G,'Cash Flow'!$A36,'Wells Fargo'!$A:$A,F$1,'Wells Fargo'!$B:$B,"&lt;="&amp;'Cash Flow'!F$3,'Wells Fargo'!$B:$B,"&gt;"&amp;'Cash Flow'!E$3)</f>
        <v>0</v>
      </c>
      <c r="G36" s="188">
        <f>SUMIFS('Wells Fargo'!$F:$F,'Wells Fargo'!$G:$G,'Cash Flow'!$A36,'Wells Fargo'!$A:$A,G$1,'Wells Fargo'!$B:$B,"&lt;="&amp;'Cash Flow'!G$3,'Wells Fargo'!$B:$B,"&gt;"&amp;'Cash Flow'!F$3)</f>
        <v>0</v>
      </c>
      <c r="H36" s="189">
        <f>SUMIFS('Wells Fargo'!$F:$F,'Wells Fargo'!$G:$G,'Cash Flow'!$A36,'Wells Fargo'!$A:$A,H$1,'Wells Fargo'!$B:$B,"&lt;="&amp;'Cash Flow'!H$3)</f>
        <v>0</v>
      </c>
      <c r="I36" s="188">
        <f>SUMIFS('Wells Fargo'!$F:$F,'Wells Fargo'!$G:$G,'Cash Flow'!$A36,'Wells Fargo'!$A:$A,I$1,'Wells Fargo'!$B:$B,"&lt;="&amp;'Cash Flow'!I$3,'Wells Fargo'!$B:$B,"&gt;"&amp;'Cash Flow'!H$3)</f>
        <v>0</v>
      </c>
      <c r="J36" s="188">
        <f>SUMIFS('Wells Fargo'!$F:$F,'Wells Fargo'!$G:$G,'Cash Flow'!$A36,'Wells Fargo'!$A:$A,J$1,'Wells Fargo'!$B:$B,"&lt;="&amp;'Cash Flow'!J$3,'Wells Fargo'!$B:$B,"&gt;"&amp;'Cash Flow'!I$3)</f>
        <v>0</v>
      </c>
      <c r="K36" s="188">
        <f>SUMIFS('Wells Fargo'!$F:$F,'Wells Fargo'!$G:$G,'Cash Flow'!$A36,'Wells Fargo'!$A:$A,K$1,'Wells Fargo'!$B:$B,"&lt;="&amp;'Cash Flow'!K$3,'Wells Fargo'!$B:$B,"&gt;"&amp;'Cash Flow'!J$3)</f>
        <v>0</v>
      </c>
      <c r="L36" s="189">
        <f>SUMIFS('Wells Fargo'!$F:$F,'Wells Fargo'!$G:$G,'Cash Flow'!$A36,'Wells Fargo'!$A:$A,L$1,'Wells Fargo'!$B:$B,"&lt;="&amp;'Cash Flow'!L$3)</f>
        <v>0</v>
      </c>
      <c r="M36" s="188">
        <f>SUMIFS('Wells Fargo'!$F:$F,'Wells Fargo'!$G:$G,'Cash Flow'!$A36,'Wells Fargo'!$A:$A,M$1,'Wells Fargo'!$B:$B,"&lt;="&amp;'Cash Flow'!M$3,'Wells Fargo'!$B:$B,"&gt;"&amp;'Cash Flow'!L$3)</f>
        <v>0</v>
      </c>
      <c r="N36" s="188">
        <f>SUMIFS('Wells Fargo'!$F:$F,'Wells Fargo'!$G:$G,'Cash Flow'!$A36,'Wells Fargo'!$A:$A,N$1,'Wells Fargo'!$B:$B,"&lt;="&amp;'Cash Flow'!N$3,'Wells Fargo'!$B:$B,"&gt;"&amp;'Cash Flow'!M$3)</f>
        <v>0</v>
      </c>
      <c r="O36" s="188">
        <f>SUMIFS('Wells Fargo'!$F:$F,'Wells Fargo'!$G:$G,'Cash Flow'!$A36,'Wells Fargo'!$A:$A,O$1,'Wells Fargo'!$B:$B,"&lt;="&amp;'Cash Flow'!O$3,'Wells Fargo'!$B:$B,"&gt;"&amp;'Cash Flow'!N$3)</f>
        <v>0</v>
      </c>
      <c r="P36" s="188">
        <f>SUMIFS('Wells Fargo'!$F:$F,'Wells Fargo'!$G:$G,'Cash Flow'!$A36,'Wells Fargo'!$A:$A,P$1,'Wells Fargo'!$B:$B,"&lt;="&amp;'Cash Flow'!P$3,'Wells Fargo'!$B:$B,"&gt;"&amp;'Cash Flow'!O$3)</f>
        <v>0</v>
      </c>
      <c r="Q36" s="189">
        <f>SUMIFS('Wells Fargo'!$F:$F,'Wells Fargo'!$G:$G,'Cash Flow'!$A36,'Wells Fargo'!$A:$A,Q$1,'Wells Fargo'!$B:$B,"&lt;="&amp;'Cash Flow'!Q$3)</f>
        <v>0</v>
      </c>
      <c r="R36" s="188">
        <f>SUMIFS('Wells Fargo'!$F:$F,'Wells Fargo'!$G:$G,'Cash Flow'!$A36,'Wells Fargo'!$A:$A,R$1,'Wells Fargo'!$B:$B,"&lt;="&amp;'Cash Flow'!R$3,'Wells Fargo'!$B:$B,"&gt;"&amp;'Cash Flow'!Q$3)</f>
        <v>0</v>
      </c>
      <c r="S36" s="188">
        <f>SUMIFS('Wells Fargo'!$F:$F,'Wells Fargo'!$G:$G,'Cash Flow'!$A36,'Wells Fargo'!$A:$A,S$1,'Wells Fargo'!$B:$B,"&lt;="&amp;'Cash Flow'!S$3,'Wells Fargo'!$B:$B,"&gt;"&amp;'Cash Flow'!R$3)</f>
        <v>0</v>
      </c>
      <c r="T36" s="188">
        <f>SUMIFS('Wells Fargo'!$F:$F,'Wells Fargo'!$G:$G,'Cash Flow'!$A36,'Wells Fargo'!$A:$A,T$1,'Wells Fargo'!$B:$B,"&lt;="&amp;'Cash Flow'!T$3,'Wells Fargo'!$B:$B,"&gt;"&amp;'Cash Flow'!S$3)</f>
        <v>0</v>
      </c>
      <c r="U36" s="188">
        <f>SUMIFS('Wells Fargo'!$F:$F,'Wells Fargo'!$G:$G,'Cash Flow'!$A36,'Wells Fargo'!$A:$A,U$1,'Wells Fargo'!$B:$B,"&lt;="&amp;'Cash Flow'!U$3,'Wells Fargo'!$B:$B,"&gt;"&amp;'Cash Flow'!T$3)</f>
        <v>0</v>
      </c>
      <c r="V36" s="189">
        <f>SUMIFS('Wells Fargo'!$F:$F,'Wells Fargo'!$G:$G,'Cash Flow'!$A36,'Wells Fargo'!$A:$A,V$1,'Wells Fargo'!$B:$B,"&lt;="&amp;'Cash Flow'!V$3)</f>
        <v>0</v>
      </c>
      <c r="W36" s="188">
        <f>SUMIFS('Wells Fargo'!$F:$F,'Wells Fargo'!$G:$G,'Cash Flow'!$A36,'Wells Fargo'!$A:$A,W$1,'Wells Fargo'!$B:$B,"&lt;="&amp;'Cash Flow'!W$3,'Wells Fargo'!$B:$B,"&gt;"&amp;'Cash Flow'!V$3)</f>
        <v>0</v>
      </c>
      <c r="X36" s="188">
        <f>SUMIFS('Wells Fargo'!$F:$F,'Wells Fargo'!$G:$G,'Cash Flow'!$A36,'Wells Fargo'!$A:$A,X$1,'Wells Fargo'!$B:$B,"&lt;="&amp;'Cash Flow'!X$3,'Wells Fargo'!$B:$B,"&gt;"&amp;'Cash Flow'!W$3)</f>
        <v>0</v>
      </c>
      <c r="Y36" s="188">
        <f>SUMIFS('Wells Fargo'!$F:$F,'Wells Fargo'!$G:$G,'Cash Flow'!$A36,'Wells Fargo'!$A:$A,Y$1,'Wells Fargo'!$B:$B,"&lt;="&amp;'Cash Flow'!Y$3,'Wells Fargo'!$B:$B,"&gt;"&amp;'Cash Flow'!X$3)</f>
        <v>0</v>
      </c>
      <c r="Z36" s="188">
        <f>SUMIFS('Wells Fargo'!$F:$F,'Wells Fargo'!$G:$G,'Cash Flow'!$A36,'Wells Fargo'!$A:$A,Z$1,'Wells Fargo'!$B:$B,"&lt;="&amp;'Cash Flow'!Z$3,'Wells Fargo'!$B:$B,"&gt;"&amp;'Cash Flow'!Y$3)</f>
        <v>0</v>
      </c>
      <c r="AA36" s="189">
        <f>SUMIFS('Wells Fargo'!$F:$F,'Wells Fargo'!$G:$G,'Cash Flow'!$A36,'Wells Fargo'!$A:$A,AA$1,'Wells Fargo'!$B:$B,"&lt;="&amp;'Cash Flow'!AA$3)</f>
        <v>0</v>
      </c>
      <c r="AB36" s="188">
        <f>SUMIFS('Wells Fargo'!$F:$F,'Wells Fargo'!$G:$G,'Cash Flow'!$A36,'Wells Fargo'!$A:$A,AB$1,'Wells Fargo'!$B:$B,"&lt;="&amp;'Cash Flow'!AB$3,'Wells Fargo'!$B:$B,"&gt;"&amp;'Cash Flow'!AA$3)</f>
        <v>0</v>
      </c>
      <c r="AC36" s="188">
        <f>SUMIFS('Wells Fargo'!$F:$F,'Wells Fargo'!$G:$G,'Cash Flow'!$A36,'Wells Fargo'!$A:$A,AC$1,'Wells Fargo'!$B:$B,"&lt;="&amp;'Cash Flow'!AC$3,'Wells Fargo'!$B:$B,"&gt;"&amp;'Cash Flow'!AB$3)</f>
        <v>0</v>
      </c>
      <c r="AD36" s="188">
        <f>SUMIFS('Wells Fargo'!$F:$F,'Wells Fargo'!$G:$G,'Cash Flow'!$A36,'Wells Fargo'!$A:$A,AD$1,'Wells Fargo'!$B:$B,"&lt;="&amp;'Cash Flow'!AD$3,'Wells Fargo'!$B:$B,"&gt;"&amp;'Cash Flow'!AC$3)</f>
        <v>0</v>
      </c>
      <c r="AE36" s="188">
        <f>SUMIFS('Wells Fargo'!$F:$F,'Wells Fargo'!$G:$G,'Cash Flow'!$A36,'Wells Fargo'!$A:$A,AE$1,'Wells Fargo'!$B:$B,"&lt;="&amp;'Cash Flow'!AE$3,'Wells Fargo'!$B:$B,"&gt;"&amp;'Cash Flow'!AD$3)</f>
        <v>0</v>
      </c>
      <c r="AF36" s="189">
        <f>SUMIFS('Wells Fargo'!$F:$F,'Wells Fargo'!$G:$G,'Cash Flow'!$A36,'Wells Fargo'!$A:$A,AF$1,'Wells Fargo'!$B:$B,"&lt;="&amp;'Cash Flow'!AF$3)</f>
        <v>0</v>
      </c>
      <c r="AG36" s="188">
        <f>SUMIFS('Wells Fargo'!$F:$F,'Wells Fargo'!$G:$G,'Cash Flow'!$A36,'Wells Fargo'!$A:$A,AG$1,'Wells Fargo'!$B:$B,"&lt;="&amp;'Cash Flow'!AG$3,'Wells Fargo'!$B:$B,"&gt;"&amp;'Cash Flow'!AF$3)</f>
        <v>0</v>
      </c>
      <c r="AH36" s="188">
        <f>SUMIFS('Wells Fargo'!$F:$F,'Wells Fargo'!$G:$G,'Cash Flow'!$A36,'Wells Fargo'!$A:$A,AH$1,'Wells Fargo'!$B:$B,"&lt;="&amp;'Cash Flow'!AH$3,'Wells Fargo'!$B:$B,"&gt;"&amp;'Cash Flow'!AG$3)</f>
        <v>0</v>
      </c>
      <c r="AI36" s="188">
        <f>SUMIFS('Wells Fargo'!$F:$F,'Wells Fargo'!$G:$G,'Cash Flow'!$A36,'Wells Fargo'!$A:$A,AI$1,'Wells Fargo'!$B:$B,"&lt;="&amp;'Cash Flow'!AI$3,'Wells Fargo'!$B:$B,"&gt;"&amp;'Cash Flow'!AH$3)</f>
        <v>0</v>
      </c>
      <c r="AJ36" s="188">
        <f>SUMIFS('Wells Fargo'!$F:$F,'Wells Fargo'!$G:$G,'Cash Flow'!$A36,'Wells Fargo'!$A:$A,AJ$1,'Wells Fargo'!$B:$B,"&lt;="&amp;'Cash Flow'!AJ$3,'Wells Fargo'!$B:$B,"&gt;"&amp;'Cash Flow'!AI$3)</f>
        <v>0</v>
      </c>
      <c r="AK36" s="189">
        <f>SUMIFS('Wells Fargo'!$F:$F,'Wells Fargo'!$G:$G,'Cash Flow'!$A36,'Wells Fargo'!$A:$A,AK$1,'Wells Fargo'!$B:$B,"&lt;="&amp;'Cash Flow'!AK$3)</f>
        <v>0</v>
      </c>
      <c r="AL36" s="188">
        <f>SUMIFS('Wells Fargo'!$F:$F,'Wells Fargo'!$G:$G,'Cash Flow'!$A36,'Wells Fargo'!$A:$A,AL$1,'Wells Fargo'!$B:$B,"&lt;="&amp;'Cash Flow'!AL$3,'Wells Fargo'!$B:$B,"&gt;"&amp;'Cash Flow'!AK$3)</f>
        <v>-20</v>
      </c>
      <c r="AM36" s="188">
        <f>SUMIFS('Wells Fargo'!$F:$F,'Wells Fargo'!$G:$G,'Cash Flow'!$A36,'Wells Fargo'!$A:$A,AM$1,'Wells Fargo'!$B:$B,"&lt;="&amp;'Cash Flow'!AM$3,'Wells Fargo'!$B:$B,"&gt;"&amp;'Cash Flow'!AL$3)</f>
        <v>0</v>
      </c>
      <c r="AN36" s="188">
        <f>SUMIFS('Wells Fargo'!$F:$F,'Wells Fargo'!$G:$G,'Cash Flow'!$A36,'Wells Fargo'!$A:$A,AN$1,'Wells Fargo'!$B:$B,"&lt;="&amp;'Cash Flow'!AN$3,'Wells Fargo'!$B:$B,"&gt;"&amp;'Cash Flow'!AM$3)</f>
        <v>0</v>
      </c>
      <c r="AO36" s="188">
        <f>SUMIFS('Wells Fargo'!$F:$F,'Wells Fargo'!$G:$G,'Cash Flow'!$A36,'Wells Fargo'!$A:$A,AO$1,'Wells Fargo'!$B:$B,"&lt;="&amp;'Cash Flow'!AO$3,'Wells Fargo'!$B:$B,"&gt;"&amp;'Cash Flow'!AN$3)</f>
        <v>0</v>
      </c>
      <c r="AP36" s="189">
        <f>SUMIFS('Wells Fargo'!$F:$F,'Wells Fargo'!$G:$G,'Cash Flow'!$A36,'Wells Fargo'!$A:$A,AP$1,'Wells Fargo'!$B:$B,"&lt;="&amp;'Cash Flow'!AP$3)</f>
        <v>0</v>
      </c>
      <c r="AQ36" s="188">
        <f>SUMIFS('Wells Fargo'!$F:$F,'Wells Fargo'!$G:$G,'Cash Flow'!$A36,'Wells Fargo'!$A:$A,AQ$1,'Wells Fargo'!$B:$B,"&lt;="&amp;'Cash Flow'!AQ$3,'Wells Fargo'!$B:$B,"&gt;"&amp;'Cash Flow'!AP$3)</f>
        <v>0</v>
      </c>
      <c r="AR36" s="188">
        <f>SUMIFS('Wells Fargo'!$F:$F,'Wells Fargo'!$G:$G,'Cash Flow'!$A36,'Wells Fargo'!$A:$A,AR$1,'Wells Fargo'!$B:$B,"&lt;="&amp;'Cash Flow'!AR$3,'Wells Fargo'!$B:$B,"&gt;"&amp;'Cash Flow'!AQ$3)</f>
        <v>0</v>
      </c>
      <c r="AS36" s="188">
        <f>SUMIFS('Wells Fargo'!$F:$F,'Wells Fargo'!$G:$G,'Cash Flow'!$A36,'Wells Fargo'!$A:$A,AS$1,'Wells Fargo'!$B:$B,"&lt;="&amp;'Cash Flow'!AS$3,'Wells Fargo'!$B:$B,"&gt;"&amp;'Cash Flow'!AR$3)</f>
        <v>0</v>
      </c>
      <c r="AT36" s="188">
        <f>SUMIFS('Wells Fargo'!$F:$F,'Wells Fargo'!$G:$G,'Cash Flow'!$A36,'Wells Fargo'!$A:$A,AT$1,'Wells Fargo'!$B:$B,"&lt;="&amp;'Cash Flow'!AT$3,'Wells Fargo'!$B:$B,"&gt;"&amp;'Cash Flow'!AS$3)</f>
        <v>0</v>
      </c>
      <c r="AU36" s="189">
        <f>SUMIFS('Wells Fargo'!$F:$F,'Wells Fargo'!$G:$G,'Cash Flow'!$A36,'Wells Fargo'!$A:$A,AU$1,'Wells Fargo'!$B:$B,"&lt;="&amp;'Cash Flow'!AU$3)</f>
        <v>0</v>
      </c>
      <c r="AV36" s="188">
        <f>SUMIFS('Wells Fargo'!$F:$F,'Wells Fargo'!$G:$G,'Cash Flow'!$A36,'Wells Fargo'!$A:$A,AV$1,'Wells Fargo'!$B:$B,"&lt;="&amp;'Cash Flow'!AV$3,'Wells Fargo'!$B:$B,"&gt;"&amp;'Cash Flow'!AU$3)</f>
        <v>0</v>
      </c>
      <c r="AW36" s="188">
        <f>SUMIFS('Wells Fargo'!$F:$F,'Wells Fargo'!$G:$G,'Cash Flow'!$A36,'Wells Fargo'!$A:$A,AW$1,'Wells Fargo'!$B:$B,"&lt;="&amp;'Cash Flow'!AW$3,'Wells Fargo'!$B:$B,"&gt;"&amp;'Cash Flow'!AV$3)</f>
        <v>0</v>
      </c>
      <c r="AX36" s="188">
        <f>SUMIFS('Wells Fargo'!$F:$F,'Wells Fargo'!$G:$G,'Cash Flow'!$A36,'Wells Fargo'!$A:$A,AX$1,'Wells Fargo'!$B:$B,"&lt;="&amp;'Cash Flow'!AX$3,'Wells Fargo'!$B:$B,"&gt;"&amp;'Cash Flow'!AW$3)</f>
        <v>0</v>
      </c>
      <c r="AY36" s="188">
        <f>SUMIFS('Wells Fargo'!$F:$F,'Wells Fargo'!$G:$G,'Cash Flow'!$A36,'Wells Fargo'!$A:$A,AY$1,'Wells Fargo'!$B:$B,"&lt;="&amp;'Cash Flow'!AY$3,'Wells Fargo'!$B:$B,"&gt;"&amp;'Cash Flow'!AX$3)</f>
        <v>0</v>
      </c>
      <c r="AZ36" s="189">
        <f>SUMIFS('Wells Fargo'!$F:$F,'Wells Fargo'!$G:$G,'Cash Flow'!$A36,'Wells Fargo'!$A:$A,AZ$1,'Wells Fargo'!$B:$B,"&lt;="&amp;'Cash Flow'!AZ$3)</f>
        <v>0</v>
      </c>
      <c r="BA36" s="188">
        <f>SUMIFS('Wells Fargo'!$F:$F,'Wells Fargo'!$G:$G,'Cash Flow'!$A36,'Wells Fargo'!$A:$A,BA$1,'Wells Fargo'!$B:$B,"&lt;="&amp;'Cash Flow'!BA$3,'Wells Fargo'!$B:$B,"&gt;"&amp;'Cash Flow'!AZ$3)</f>
        <v>0</v>
      </c>
      <c r="BB36" s="188">
        <f>SUMIFS('Wells Fargo'!$F:$F,'Wells Fargo'!$G:$G,'Cash Flow'!$A36,'Wells Fargo'!$A:$A,BB$1,'Wells Fargo'!$B:$B,"&lt;="&amp;'Cash Flow'!BB$3,'Wells Fargo'!$B:$B,"&gt;"&amp;'Cash Flow'!BA$3)</f>
        <v>0</v>
      </c>
      <c r="BC36" s="188">
        <f>SUMIFS('Wells Fargo'!$F:$F,'Wells Fargo'!$G:$G,'Cash Flow'!$A36,'Wells Fargo'!$A:$A,BC$1,'Wells Fargo'!$B:$B,"&lt;="&amp;'Cash Flow'!BC$3,'Wells Fargo'!$B:$B,"&gt;"&amp;'Cash Flow'!BB$3)</f>
        <v>0</v>
      </c>
      <c r="BD36" s="188">
        <f>SUMIFS('Wells Fargo'!$F:$F,'Wells Fargo'!$G:$G,'Cash Flow'!$A36,'Wells Fargo'!$A:$A,BD$1,'Wells Fargo'!$B:$B,"&lt;="&amp;'Cash Flow'!BD$3,'Wells Fargo'!$B:$B,"&gt;"&amp;'Cash Flow'!BC$3)</f>
        <v>0</v>
      </c>
      <c r="BE36" s="189">
        <f>SUMIFS('Wells Fargo'!$F:$F,'Wells Fargo'!$G:$G,'Cash Flow'!$A36,'Wells Fargo'!$A:$A,BE$1,'Wells Fargo'!$B:$B,"&lt;="&amp;'Cash Flow'!BE$3)</f>
        <v>0</v>
      </c>
      <c r="BF36" s="188">
        <f>SUMIFS('Wells Fargo'!$F:$F,'Wells Fargo'!$G:$G,'Cash Flow'!$A36,'Wells Fargo'!$A:$A,BF$1,'Wells Fargo'!$B:$B,"&lt;="&amp;'Cash Flow'!BF$3,'Wells Fargo'!$B:$B,"&gt;"&amp;'Cash Flow'!BE$3)</f>
        <v>0</v>
      </c>
      <c r="BG36" s="188">
        <f>SUMIFS('Wells Fargo'!$F:$F,'Wells Fargo'!$G:$G,'Cash Flow'!$A36,'Wells Fargo'!$A:$A,BG$1,'Wells Fargo'!$B:$B,"&lt;="&amp;'Cash Flow'!BG$3,'Wells Fargo'!$B:$B,"&gt;"&amp;'Cash Flow'!BF$3)</f>
        <v>0</v>
      </c>
      <c r="BH36" s="188">
        <f>SUMIFS('Wells Fargo'!$F:$F,'Wells Fargo'!$G:$G,'Cash Flow'!$A36,'Wells Fargo'!$A:$A,BH$1,'Wells Fargo'!$B:$B,"&lt;="&amp;'Cash Flow'!BH$3,'Wells Fargo'!$B:$B,"&gt;"&amp;'Cash Flow'!BG$3)</f>
        <v>0</v>
      </c>
      <c r="BI36" s="188">
        <f>SUMIFS('Wells Fargo'!$F:$F,'Wells Fargo'!$G:$G,'Cash Flow'!$A36,'Wells Fargo'!$A:$A,BI$1,'Wells Fargo'!$B:$B,"&lt;="&amp;'Cash Flow'!BI$3,'Wells Fargo'!$B:$B,"&gt;"&amp;'Cash Flow'!BH$3)</f>
        <v>0</v>
      </c>
    </row>
    <row r="37" spans="1:61" ht="12.75" x14ac:dyDescent="0.2">
      <c r="A37" t="str">
        <v xml:space="preserve">Life Time </v>
      </c>
      <c r="B37" s="87">
        <f t="shared" ref="B37:B46" si="1">SUM(C37:BI37)</f>
        <v>82.83</v>
      </c>
      <c r="C37" s="189">
        <f>SUMIFS('Wells Fargo'!$F:$F,'Wells Fargo'!$G:$G,'Cash Flow'!$A37,'Wells Fargo'!$A:$A,C$1,'Wells Fargo'!$B:$B,"&lt;="&amp;'Cash Flow'!C$3)</f>
        <v>0</v>
      </c>
      <c r="D37" s="188">
        <f>SUMIFS('Wells Fargo'!$F:$F,'Wells Fargo'!$G:$G,'Cash Flow'!$A37,'Wells Fargo'!$A:$A,D$1,'Wells Fargo'!$B:$B,"&lt;="&amp;'Cash Flow'!D$3,'Wells Fargo'!$B:$B,"&gt;"&amp;'Cash Flow'!C$3)</f>
        <v>0</v>
      </c>
      <c r="E37" s="188">
        <f>SUMIFS('Wells Fargo'!$F:$F,'Wells Fargo'!$G:$G,'Cash Flow'!$A37,'Wells Fargo'!$A:$A,E$1,'Wells Fargo'!$B:$B,"&lt;="&amp;'Cash Flow'!E$3,'Wells Fargo'!$B:$B,"&gt;"&amp;'Cash Flow'!D$3)</f>
        <v>0</v>
      </c>
      <c r="F37" s="188">
        <f>SUMIFS('Wells Fargo'!$F:$F,'Wells Fargo'!$G:$G,'Cash Flow'!$A37,'Wells Fargo'!$A:$A,F$1,'Wells Fargo'!$B:$B,"&lt;="&amp;'Cash Flow'!F$3,'Wells Fargo'!$B:$B,"&gt;"&amp;'Cash Flow'!E$3)</f>
        <v>0</v>
      </c>
      <c r="G37" s="188">
        <f>SUMIFS('Wells Fargo'!$F:$F,'Wells Fargo'!$G:$G,'Cash Flow'!$A37,'Wells Fargo'!$A:$A,G$1,'Wells Fargo'!$B:$B,"&lt;="&amp;'Cash Flow'!G$3,'Wells Fargo'!$B:$B,"&gt;"&amp;'Cash Flow'!F$3)</f>
        <v>0</v>
      </c>
      <c r="H37" s="189">
        <f>SUMIFS('Wells Fargo'!$F:$F,'Wells Fargo'!$G:$G,'Cash Flow'!$A37,'Wells Fargo'!$A:$A,H$1,'Wells Fargo'!$B:$B,"&lt;="&amp;'Cash Flow'!H$3)</f>
        <v>0</v>
      </c>
      <c r="I37" s="188">
        <f>SUMIFS('Wells Fargo'!$F:$F,'Wells Fargo'!$G:$G,'Cash Flow'!$A37,'Wells Fargo'!$A:$A,I$1,'Wells Fargo'!$B:$B,"&lt;="&amp;'Cash Flow'!I$3,'Wells Fargo'!$B:$B,"&gt;"&amp;'Cash Flow'!H$3)</f>
        <v>0</v>
      </c>
      <c r="J37" s="188">
        <f>SUMIFS('Wells Fargo'!$F:$F,'Wells Fargo'!$G:$G,'Cash Flow'!$A37,'Wells Fargo'!$A:$A,J$1,'Wells Fargo'!$B:$B,"&lt;="&amp;'Cash Flow'!J$3,'Wells Fargo'!$B:$B,"&gt;"&amp;'Cash Flow'!I$3)</f>
        <v>0</v>
      </c>
      <c r="K37" s="188">
        <f>SUMIFS('Wells Fargo'!$F:$F,'Wells Fargo'!$G:$G,'Cash Flow'!$A37,'Wells Fargo'!$A:$A,K$1,'Wells Fargo'!$B:$B,"&lt;="&amp;'Cash Flow'!K$3,'Wells Fargo'!$B:$B,"&gt;"&amp;'Cash Flow'!J$3)</f>
        <v>0</v>
      </c>
      <c r="L37" s="189">
        <f>SUMIFS('Wells Fargo'!$F:$F,'Wells Fargo'!$G:$G,'Cash Flow'!$A37,'Wells Fargo'!$A:$A,L$1,'Wells Fargo'!$B:$B,"&lt;="&amp;'Cash Flow'!L$3)</f>
        <v>0</v>
      </c>
      <c r="M37" s="188">
        <f>SUMIFS('Wells Fargo'!$F:$F,'Wells Fargo'!$G:$G,'Cash Flow'!$A37,'Wells Fargo'!$A:$A,M$1,'Wells Fargo'!$B:$B,"&lt;="&amp;'Cash Flow'!M$3,'Wells Fargo'!$B:$B,"&gt;"&amp;'Cash Flow'!L$3)</f>
        <v>0</v>
      </c>
      <c r="N37" s="188">
        <f>SUMIFS('Wells Fargo'!$F:$F,'Wells Fargo'!$G:$G,'Cash Flow'!$A37,'Wells Fargo'!$A:$A,N$1,'Wells Fargo'!$B:$B,"&lt;="&amp;'Cash Flow'!N$3,'Wells Fargo'!$B:$B,"&gt;"&amp;'Cash Flow'!M$3)</f>
        <v>0</v>
      </c>
      <c r="O37" s="188">
        <f>SUMIFS('Wells Fargo'!$F:$F,'Wells Fargo'!$G:$G,'Cash Flow'!$A37,'Wells Fargo'!$A:$A,O$1,'Wells Fargo'!$B:$B,"&lt;="&amp;'Cash Flow'!O$3,'Wells Fargo'!$B:$B,"&gt;"&amp;'Cash Flow'!N$3)</f>
        <v>0</v>
      </c>
      <c r="P37" s="188">
        <f>SUMIFS('Wells Fargo'!$F:$F,'Wells Fargo'!$G:$G,'Cash Flow'!$A37,'Wells Fargo'!$A:$A,P$1,'Wells Fargo'!$B:$B,"&lt;="&amp;'Cash Flow'!P$3,'Wells Fargo'!$B:$B,"&gt;"&amp;'Cash Flow'!O$3)</f>
        <v>0</v>
      </c>
      <c r="Q37" s="189">
        <f>SUMIFS('Wells Fargo'!$F:$F,'Wells Fargo'!$G:$G,'Cash Flow'!$A37,'Wells Fargo'!$A:$A,Q$1,'Wells Fargo'!$B:$B,"&lt;="&amp;'Cash Flow'!Q$3)</f>
        <v>0</v>
      </c>
      <c r="R37" s="188">
        <f>SUMIFS('Wells Fargo'!$F:$F,'Wells Fargo'!$G:$G,'Cash Flow'!$A37,'Wells Fargo'!$A:$A,R$1,'Wells Fargo'!$B:$B,"&lt;="&amp;'Cash Flow'!R$3,'Wells Fargo'!$B:$B,"&gt;"&amp;'Cash Flow'!Q$3)</f>
        <v>0</v>
      </c>
      <c r="S37" s="188">
        <f>SUMIFS('Wells Fargo'!$F:$F,'Wells Fargo'!$G:$G,'Cash Flow'!$A37,'Wells Fargo'!$A:$A,S$1,'Wells Fargo'!$B:$B,"&lt;="&amp;'Cash Flow'!S$3,'Wells Fargo'!$B:$B,"&gt;"&amp;'Cash Flow'!R$3)</f>
        <v>0</v>
      </c>
      <c r="T37" s="188">
        <f>SUMIFS('Wells Fargo'!$F:$F,'Wells Fargo'!$G:$G,'Cash Flow'!$A37,'Wells Fargo'!$A:$A,T$1,'Wells Fargo'!$B:$B,"&lt;="&amp;'Cash Flow'!T$3,'Wells Fargo'!$B:$B,"&gt;"&amp;'Cash Flow'!S$3)</f>
        <v>0</v>
      </c>
      <c r="U37" s="188">
        <f>SUMIFS('Wells Fargo'!$F:$F,'Wells Fargo'!$G:$G,'Cash Flow'!$A37,'Wells Fargo'!$A:$A,U$1,'Wells Fargo'!$B:$B,"&lt;="&amp;'Cash Flow'!U$3,'Wells Fargo'!$B:$B,"&gt;"&amp;'Cash Flow'!T$3)</f>
        <v>0</v>
      </c>
      <c r="V37" s="189">
        <f>SUMIFS('Wells Fargo'!$F:$F,'Wells Fargo'!$G:$G,'Cash Flow'!$A37,'Wells Fargo'!$A:$A,V$1,'Wells Fargo'!$B:$B,"&lt;="&amp;'Cash Flow'!V$3)</f>
        <v>0</v>
      </c>
      <c r="W37" s="188">
        <f>SUMIFS('Wells Fargo'!$F:$F,'Wells Fargo'!$G:$G,'Cash Flow'!$A37,'Wells Fargo'!$A:$A,W$1,'Wells Fargo'!$B:$B,"&lt;="&amp;'Cash Flow'!W$3,'Wells Fargo'!$B:$B,"&gt;"&amp;'Cash Flow'!V$3)</f>
        <v>0</v>
      </c>
      <c r="X37" s="188">
        <f>SUMIFS('Wells Fargo'!$F:$F,'Wells Fargo'!$G:$G,'Cash Flow'!$A37,'Wells Fargo'!$A:$A,X$1,'Wells Fargo'!$B:$B,"&lt;="&amp;'Cash Flow'!X$3,'Wells Fargo'!$B:$B,"&gt;"&amp;'Cash Flow'!W$3)</f>
        <v>0</v>
      </c>
      <c r="Y37" s="188">
        <f>SUMIFS('Wells Fargo'!$F:$F,'Wells Fargo'!$G:$G,'Cash Flow'!$A37,'Wells Fargo'!$A:$A,Y$1,'Wells Fargo'!$B:$B,"&lt;="&amp;'Cash Flow'!Y$3,'Wells Fargo'!$B:$B,"&gt;"&amp;'Cash Flow'!X$3)</f>
        <v>0</v>
      </c>
      <c r="Z37" s="188">
        <f>SUMIFS('Wells Fargo'!$F:$F,'Wells Fargo'!$G:$G,'Cash Flow'!$A37,'Wells Fargo'!$A:$A,Z$1,'Wells Fargo'!$B:$B,"&lt;="&amp;'Cash Flow'!Z$3,'Wells Fargo'!$B:$B,"&gt;"&amp;'Cash Flow'!Y$3)</f>
        <v>0</v>
      </c>
      <c r="AA37" s="189">
        <f>SUMIFS('Wells Fargo'!$F:$F,'Wells Fargo'!$G:$G,'Cash Flow'!$A37,'Wells Fargo'!$A:$A,AA$1,'Wells Fargo'!$B:$B,"&lt;="&amp;'Cash Flow'!AA$3)</f>
        <v>0</v>
      </c>
      <c r="AB37" s="188">
        <f>SUMIFS('Wells Fargo'!$F:$F,'Wells Fargo'!$G:$G,'Cash Flow'!$A37,'Wells Fargo'!$A:$A,AB$1,'Wells Fargo'!$B:$B,"&lt;="&amp;'Cash Flow'!AB$3,'Wells Fargo'!$B:$B,"&gt;"&amp;'Cash Flow'!AA$3)</f>
        <v>0</v>
      </c>
      <c r="AC37" s="188">
        <f>SUMIFS('Wells Fargo'!$F:$F,'Wells Fargo'!$G:$G,'Cash Flow'!$A37,'Wells Fargo'!$A:$A,AC$1,'Wells Fargo'!$B:$B,"&lt;="&amp;'Cash Flow'!AC$3,'Wells Fargo'!$B:$B,"&gt;"&amp;'Cash Flow'!AB$3)</f>
        <v>0</v>
      </c>
      <c r="AD37" s="188">
        <f>SUMIFS('Wells Fargo'!$F:$F,'Wells Fargo'!$G:$G,'Cash Flow'!$A37,'Wells Fargo'!$A:$A,AD$1,'Wells Fargo'!$B:$B,"&lt;="&amp;'Cash Flow'!AD$3,'Wells Fargo'!$B:$B,"&gt;"&amp;'Cash Flow'!AC$3)</f>
        <v>0</v>
      </c>
      <c r="AE37" s="188">
        <f>SUMIFS('Wells Fargo'!$F:$F,'Wells Fargo'!$G:$G,'Cash Flow'!$A37,'Wells Fargo'!$A:$A,AE$1,'Wells Fargo'!$B:$B,"&lt;="&amp;'Cash Flow'!AE$3,'Wells Fargo'!$B:$B,"&gt;"&amp;'Cash Flow'!AD$3)</f>
        <v>0</v>
      </c>
      <c r="AF37" s="189">
        <f>SUMIFS('Wells Fargo'!$F:$F,'Wells Fargo'!$G:$G,'Cash Flow'!$A37,'Wells Fargo'!$A:$A,AF$1,'Wells Fargo'!$B:$B,"&lt;="&amp;'Cash Flow'!AF$3)</f>
        <v>0</v>
      </c>
      <c r="AG37" s="188">
        <f>SUMIFS('Wells Fargo'!$F:$F,'Wells Fargo'!$G:$G,'Cash Flow'!$A37,'Wells Fargo'!$A:$A,AG$1,'Wells Fargo'!$B:$B,"&lt;="&amp;'Cash Flow'!AG$3,'Wells Fargo'!$B:$B,"&gt;"&amp;'Cash Flow'!AF$3)</f>
        <v>0</v>
      </c>
      <c r="AH37" s="188">
        <f>SUMIFS('Wells Fargo'!$F:$F,'Wells Fargo'!$G:$G,'Cash Flow'!$A37,'Wells Fargo'!$A:$A,AH$1,'Wells Fargo'!$B:$B,"&lt;="&amp;'Cash Flow'!AH$3,'Wells Fargo'!$B:$B,"&gt;"&amp;'Cash Flow'!AG$3)</f>
        <v>0</v>
      </c>
      <c r="AI37" s="188">
        <f>SUMIFS('Wells Fargo'!$F:$F,'Wells Fargo'!$G:$G,'Cash Flow'!$A37,'Wells Fargo'!$A:$A,AI$1,'Wells Fargo'!$B:$B,"&lt;="&amp;'Cash Flow'!AI$3,'Wells Fargo'!$B:$B,"&gt;"&amp;'Cash Flow'!AH$3)</f>
        <v>0</v>
      </c>
      <c r="AJ37" s="188">
        <f>SUMIFS('Wells Fargo'!$F:$F,'Wells Fargo'!$G:$G,'Cash Flow'!$A37,'Wells Fargo'!$A:$A,AJ$1,'Wells Fargo'!$B:$B,"&lt;="&amp;'Cash Flow'!AJ$3,'Wells Fargo'!$B:$B,"&gt;"&amp;'Cash Flow'!AI$3)</f>
        <v>0</v>
      </c>
      <c r="AK37" s="189">
        <f>SUMIFS('Wells Fargo'!$F:$F,'Wells Fargo'!$G:$G,'Cash Flow'!$A37,'Wells Fargo'!$A:$A,AK$1,'Wells Fargo'!$B:$B,"&lt;="&amp;'Cash Flow'!AK$3)</f>
        <v>0</v>
      </c>
      <c r="AL37" s="188">
        <f>SUMIFS('Wells Fargo'!$F:$F,'Wells Fargo'!$G:$G,'Cash Flow'!$A37,'Wells Fargo'!$A:$A,AL$1,'Wells Fargo'!$B:$B,"&lt;="&amp;'Cash Flow'!AL$3,'Wells Fargo'!$B:$B,"&gt;"&amp;'Cash Flow'!AK$3)</f>
        <v>0</v>
      </c>
      <c r="AM37" s="188">
        <f>SUMIFS('Wells Fargo'!$F:$F,'Wells Fargo'!$G:$G,'Cash Flow'!$A37,'Wells Fargo'!$A:$A,AM$1,'Wells Fargo'!$B:$B,"&lt;="&amp;'Cash Flow'!AM$3,'Wells Fargo'!$B:$B,"&gt;"&amp;'Cash Flow'!AL$3)</f>
        <v>0</v>
      </c>
      <c r="AN37" s="188">
        <f>SUMIFS('Wells Fargo'!$F:$F,'Wells Fargo'!$G:$G,'Cash Flow'!$A37,'Wells Fargo'!$A:$A,AN$1,'Wells Fargo'!$B:$B,"&lt;="&amp;'Cash Flow'!AN$3,'Wells Fargo'!$B:$B,"&gt;"&amp;'Cash Flow'!AM$3)</f>
        <v>0</v>
      </c>
      <c r="AO37" s="188">
        <f>SUMIFS('Wells Fargo'!$F:$F,'Wells Fargo'!$G:$G,'Cash Flow'!$A37,'Wells Fargo'!$A:$A,AO$1,'Wells Fargo'!$B:$B,"&lt;="&amp;'Cash Flow'!AO$3,'Wells Fargo'!$B:$B,"&gt;"&amp;'Cash Flow'!AN$3)</f>
        <v>0</v>
      </c>
      <c r="AP37" s="189">
        <f>SUMIFS('Wells Fargo'!$F:$F,'Wells Fargo'!$G:$G,'Cash Flow'!$A37,'Wells Fargo'!$A:$A,AP$1,'Wells Fargo'!$B:$B,"&lt;="&amp;'Cash Flow'!AP$3)</f>
        <v>0</v>
      </c>
      <c r="AQ37" s="188">
        <f>SUMIFS('Wells Fargo'!$F:$F,'Wells Fargo'!$G:$G,'Cash Flow'!$A37,'Wells Fargo'!$A:$A,AQ$1,'Wells Fargo'!$B:$B,"&lt;="&amp;'Cash Flow'!AQ$3,'Wells Fargo'!$B:$B,"&gt;"&amp;'Cash Flow'!AP$3)</f>
        <v>0</v>
      </c>
      <c r="AR37" s="188">
        <f>SUMIFS('Wells Fargo'!$F:$F,'Wells Fargo'!$G:$G,'Cash Flow'!$A37,'Wells Fargo'!$A:$A,AR$1,'Wells Fargo'!$B:$B,"&lt;="&amp;'Cash Flow'!AR$3,'Wells Fargo'!$B:$B,"&gt;"&amp;'Cash Flow'!AQ$3)</f>
        <v>0</v>
      </c>
      <c r="AS37" s="188">
        <f>SUMIFS('Wells Fargo'!$F:$F,'Wells Fargo'!$G:$G,'Cash Flow'!$A37,'Wells Fargo'!$A:$A,AS$1,'Wells Fargo'!$B:$B,"&lt;="&amp;'Cash Flow'!AS$3,'Wells Fargo'!$B:$B,"&gt;"&amp;'Cash Flow'!AR$3)</f>
        <v>0</v>
      </c>
      <c r="AT37" s="188">
        <f>SUMIFS('Wells Fargo'!$F:$F,'Wells Fargo'!$G:$G,'Cash Flow'!$A37,'Wells Fargo'!$A:$A,AT$1,'Wells Fargo'!$B:$B,"&lt;="&amp;'Cash Flow'!AT$3,'Wells Fargo'!$B:$B,"&gt;"&amp;'Cash Flow'!AS$3)</f>
        <v>0</v>
      </c>
      <c r="AU37" s="189">
        <f>SUMIFS('Wells Fargo'!$F:$F,'Wells Fargo'!$G:$G,'Cash Flow'!$A37,'Wells Fargo'!$A:$A,AU$1,'Wells Fargo'!$B:$B,"&lt;="&amp;'Cash Flow'!AU$3)</f>
        <v>0</v>
      </c>
      <c r="AV37" s="188">
        <f>SUMIFS('Wells Fargo'!$F:$F,'Wells Fargo'!$G:$G,'Cash Flow'!$A37,'Wells Fargo'!$A:$A,AV$1,'Wells Fargo'!$B:$B,"&lt;="&amp;'Cash Flow'!AV$3,'Wells Fargo'!$B:$B,"&gt;"&amp;'Cash Flow'!AU$3)</f>
        <v>0</v>
      </c>
      <c r="AW37" s="188">
        <f>SUMIFS('Wells Fargo'!$F:$F,'Wells Fargo'!$G:$G,'Cash Flow'!$A37,'Wells Fargo'!$A:$A,AW$1,'Wells Fargo'!$B:$B,"&lt;="&amp;'Cash Flow'!AW$3,'Wells Fargo'!$B:$B,"&gt;"&amp;'Cash Flow'!AV$3)</f>
        <v>0</v>
      </c>
      <c r="AX37" s="188">
        <f>SUMIFS('Wells Fargo'!$F:$F,'Wells Fargo'!$G:$G,'Cash Flow'!$A37,'Wells Fargo'!$A:$A,AX$1,'Wells Fargo'!$B:$B,"&lt;="&amp;'Cash Flow'!AX$3,'Wells Fargo'!$B:$B,"&gt;"&amp;'Cash Flow'!AW$3)</f>
        <v>0</v>
      </c>
      <c r="AY37" s="188">
        <f>SUMIFS('Wells Fargo'!$F:$F,'Wells Fargo'!$G:$G,'Cash Flow'!$A37,'Wells Fargo'!$A:$A,AY$1,'Wells Fargo'!$B:$B,"&lt;="&amp;'Cash Flow'!AY$3,'Wells Fargo'!$B:$B,"&gt;"&amp;'Cash Flow'!AX$3)</f>
        <v>21.88</v>
      </c>
      <c r="AZ37" s="189">
        <f>SUMIFS('Wells Fargo'!$F:$F,'Wells Fargo'!$G:$G,'Cash Flow'!$A37,'Wells Fargo'!$A:$A,AZ$1,'Wells Fargo'!$B:$B,"&lt;="&amp;'Cash Flow'!AZ$3)</f>
        <v>60.95</v>
      </c>
      <c r="BA37" s="188">
        <f>SUMIFS('Wells Fargo'!$F:$F,'Wells Fargo'!$G:$G,'Cash Flow'!$A37,'Wells Fargo'!$A:$A,BA$1,'Wells Fargo'!$B:$B,"&lt;="&amp;'Cash Flow'!BA$3,'Wells Fargo'!$B:$B,"&gt;"&amp;'Cash Flow'!AZ$3)</f>
        <v>0</v>
      </c>
      <c r="BB37" s="188">
        <f>SUMIFS('Wells Fargo'!$F:$F,'Wells Fargo'!$G:$G,'Cash Flow'!$A37,'Wells Fargo'!$A:$A,BB$1,'Wells Fargo'!$B:$B,"&lt;="&amp;'Cash Flow'!BB$3,'Wells Fargo'!$B:$B,"&gt;"&amp;'Cash Flow'!BA$3)</f>
        <v>0</v>
      </c>
      <c r="BC37" s="188">
        <f>SUMIFS('Wells Fargo'!$F:$F,'Wells Fargo'!$G:$G,'Cash Flow'!$A37,'Wells Fargo'!$A:$A,BC$1,'Wells Fargo'!$B:$B,"&lt;="&amp;'Cash Flow'!BC$3,'Wells Fargo'!$B:$B,"&gt;"&amp;'Cash Flow'!BB$3)</f>
        <v>0</v>
      </c>
      <c r="BD37" s="188">
        <f>SUMIFS('Wells Fargo'!$F:$F,'Wells Fargo'!$G:$G,'Cash Flow'!$A37,'Wells Fargo'!$A:$A,BD$1,'Wells Fargo'!$B:$B,"&lt;="&amp;'Cash Flow'!BD$3,'Wells Fargo'!$B:$B,"&gt;"&amp;'Cash Flow'!BC$3)</f>
        <v>0</v>
      </c>
      <c r="BE37" s="189">
        <f>SUMIFS('Wells Fargo'!$F:$F,'Wells Fargo'!$G:$G,'Cash Flow'!$A37,'Wells Fargo'!$A:$A,BE$1,'Wells Fargo'!$B:$B,"&lt;="&amp;'Cash Flow'!BE$3)</f>
        <v>0</v>
      </c>
      <c r="BF37" s="188">
        <f>SUMIFS('Wells Fargo'!$F:$F,'Wells Fargo'!$G:$G,'Cash Flow'!$A37,'Wells Fargo'!$A:$A,BF$1,'Wells Fargo'!$B:$B,"&lt;="&amp;'Cash Flow'!BF$3,'Wells Fargo'!$B:$B,"&gt;"&amp;'Cash Flow'!BE$3)</f>
        <v>0</v>
      </c>
      <c r="BG37" s="188">
        <f>SUMIFS('Wells Fargo'!$F:$F,'Wells Fargo'!$G:$G,'Cash Flow'!$A37,'Wells Fargo'!$A:$A,BG$1,'Wells Fargo'!$B:$B,"&lt;="&amp;'Cash Flow'!BG$3,'Wells Fargo'!$B:$B,"&gt;"&amp;'Cash Flow'!BF$3)</f>
        <v>0</v>
      </c>
      <c r="BH37" s="188">
        <f>SUMIFS('Wells Fargo'!$F:$F,'Wells Fargo'!$G:$G,'Cash Flow'!$A37,'Wells Fargo'!$A:$A,BH$1,'Wells Fargo'!$B:$B,"&lt;="&amp;'Cash Flow'!BH$3,'Wells Fargo'!$B:$B,"&gt;"&amp;'Cash Flow'!BG$3)</f>
        <v>0</v>
      </c>
      <c r="BI37" s="188">
        <f>SUMIFS('Wells Fargo'!$F:$F,'Wells Fargo'!$G:$G,'Cash Flow'!$A37,'Wells Fargo'!$A:$A,BI$1,'Wells Fargo'!$B:$B,"&lt;="&amp;'Cash Flow'!BI$3,'Wells Fargo'!$B:$B,"&gt;"&amp;'Cash Flow'!BH$3)</f>
        <v>0</v>
      </c>
    </row>
    <row r="38" spans="1:61" ht="12.75" x14ac:dyDescent="0.2">
      <c r="A38" t="str">
        <v>Luminality Event</v>
      </c>
      <c r="B38" s="87">
        <f t="shared" si="1"/>
        <v>-78.75</v>
      </c>
      <c r="C38" s="189">
        <f>SUMIFS('Wells Fargo'!$F:$F,'Wells Fargo'!$G:$G,'Cash Flow'!$A38,'Wells Fargo'!$A:$A,C$1,'Wells Fargo'!$B:$B,"&lt;="&amp;'Cash Flow'!C$3)</f>
        <v>0</v>
      </c>
      <c r="D38" s="188">
        <f>SUMIFS('Wells Fargo'!$F:$F,'Wells Fargo'!$G:$G,'Cash Flow'!$A38,'Wells Fargo'!$A:$A,D$1,'Wells Fargo'!$B:$B,"&lt;="&amp;'Cash Flow'!D$3,'Wells Fargo'!$B:$B,"&gt;"&amp;'Cash Flow'!C$3)</f>
        <v>0</v>
      </c>
      <c r="E38" s="188">
        <f>SUMIFS('Wells Fargo'!$F:$F,'Wells Fargo'!$G:$G,'Cash Flow'!$A38,'Wells Fargo'!$A:$A,E$1,'Wells Fargo'!$B:$B,"&lt;="&amp;'Cash Flow'!E$3,'Wells Fargo'!$B:$B,"&gt;"&amp;'Cash Flow'!D$3)</f>
        <v>0</v>
      </c>
      <c r="F38" s="188">
        <f>SUMIFS('Wells Fargo'!$F:$F,'Wells Fargo'!$G:$G,'Cash Flow'!$A38,'Wells Fargo'!$A:$A,F$1,'Wells Fargo'!$B:$B,"&lt;="&amp;'Cash Flow'!F$3,'Wells Fargo'!$B:$B,"&gt;"&amp;'Cash Flow'!E$3)</f>
        <v>0</v>
      </c>
      <c r="G38" s="188">
        <f>SUMIFS('Wells Fargo'!$F:$F,'Wells Fargo'!$G:$G,'Cash Flow'!$A38,'Wells Fargo'!$A:$A,G$1,'Wells Fargo'!$B:$B,"&lt;="&amp;'Cash Flow'!G$3,'Wells Fargo'!$B:$B,"&gt;"&amp;'Cash Flow'!F$3)</f>
        <v>0</v>
      </c>
      <c r="H38" s="189">
        <f>SUMIFS('Wells Fargo'!$F:$F,'Wells Fargo'!$G:$G,'Cash Flow'!$A38,'Wells Fargo'!$A:$A,H$1,'Wells Fargo'!$B:$B,"&lt;="&amp;'Cash Flow'!H$3)</f>
        <v>0</v>
      </c>
      <c r="I38" s="188">
        <f>SUMIFS('Wells Fargo'!$F:$F,'Wells Fargo'!$G:$G,'Cash Flow'!$A38,'Wells Fargo'!$A:$A,I$1,'Wells Fargo'!$B:$B,"&lt;="&amp;'Cash Flow'!I$3,'Wells Fargo'!$B:$B,"&gt;"&amp;'Cash Flow'!H$3)</f>
        <v>0</v>
      </c>
      <c r="J38" s="188">
        <f>SUMIFS('Wells Fargo'!$F:$F,'Wells Fargo'!$G:$G,'Cash Flow'!$A38,'Wells Fargo'!$A:$A,J$1,'Wells Fargo'!$B:$B,"&lt;="&amp;'Cash Flow'!J$3,'Wells Fargo'!$B:$B,"&gt;"&amp;'Cash Flow'!I$3)</f>
        <v>0</v>
      </c>
      <c r="K38" s="188">
        <f>SUMIFS('Wells Fargo'!$F:$F,'Wells Fargo'!$G:$G,'Cash Flow'!$A38,'Wells Fargo'!$A:$A,K$1,'Wells Fargo'!$B:$B,"&lt;="&amp;'Cash Flow'!K$3,'Wells Fargo'!$B:$B,"&gt;"&amp;'Cash Flow'!J$3)</f>
        <v>0</v>
      </c>
      <c r="L38" s="189">
        <f>SUMIFS('Wells Fargo'!$F:$F,'Wells Fargo'!$G:$G,'Cash Flow'!$A38,'Wells Fargo'!$A:$A,L$1,'Wells Fargo'!$B:$B,"&lt;="&amp;'Cash Flow'!L$3)</f>
        <v>0</v>
      </c>
      <c r="M38" s="188">
        <f>SUMIFS('Wells Fargo'!$F:$F,'Wells Fargo'!$G:$G,'Cash Flow'!$A38,'Wells Fargo'!$A:$A,M$1,'Wells Fargo'!$B:$B,"&lt;="&amp;'Cash Flow'!M$3,'Wells Fargo'!$B:$B,"&gt;"&amp;'Cash Flow'!L$3)</f>
        <v>0</v>
      </c>
      <c r="N38" s="188">
        <f>SUMIFS('Wells Fargo'!$F:$F,'Wells Fargo'!$G:$G,'Cash Flow'!$A38,'Wells Fargo'!$A:$A,N$1,'Wells Fargo'!$B:$B,"&lt;="&amp;'Cash Flow'!N$3,'Wells Fargo'!$B:$B,"&gt;"&amp;'Cash Flow'!M$3)</f>
        <v>0</v>
      </c>
      <c r="O38" s="188">
        <f>SUMIFS('Wells Fargo'!$F:$F,'Wells Fargo'!$G:$G,'Cash Flow'!$A38,'Wells Fargo'!$A:$A,O$1,'Wells Fargo'!$B:$B,"&lt;="&amp;'Cash Flow'!O$3,'Wells Fargo'!$B:$B,"&gt;"&amp;'Cash Flow'!N$3)</f>
        <v>0</v>
      </c>
      <c r="P38" s="188">
        <f>SUMIFS('Wells Fargo'!$F:$F,'Wells Fargo'!$G:$G,'Cash Flow'!$A38,'Wells Fargo'!$A:$A,P$1,'Wells Fargo'!$B:$B,"&lt;="&amp;'Cash Flow'!P$3,'Wells Fargo'!$B:$B,"&gt;"&amp;'Cash Flow'!O$3)</f>
        <v>0</v>
      </c>
      <c r="Q38" s="189">
        <f>SUMIFS('Wells Fargo'!$F:$F,'Wells Fargo'!$G:$G,'Cash Flow'!$A38,'Wells Fargo'!$A:$A,Q$1,'Wells Fargo'!$B:$B,"&lt;="&amp;'Cash Flow'!Q$3)</f>
        <v>0</v>
      </c>
      <c r="R38" s="188">
        <f>SUMIFS('Wells Fargo'!$F:$F,'Wells Fargo'!$G:$G,'Cash Flow'!$A38,'Wells Fargo'!$A:$A,R$1,'Wells Fargo'!$B:$B,"&lt;="&amp;'Cash Flow'!R$3,'Wells Fargo'!$B:$B,"&gt;"&amp;'Cash Flow'!Q$3)</f>
        <v>0</v>
      </c>
      <c r="S38" s="188">
        <f>SUMIFS('Wells Fargo'!$F:$F,'Wells Fargo'!$G:$G,'Cash Flow'!$A38,'Wells Fargo'!$A:$A,S$1,'Wells Fargo'!$B:$B,"&lt;="&amp;'Cash Flow'!S$3,'Wells Fargo'!$B:$B,"&gt;"&amp;'Cash Flow'!R$3)</f>
        <v>0</v>
      </c>
      <c r="T38" s="188">
        <f>SUMIFS('Wells Fargo'!$F:$F,'Wells Fargo'!$G:$G,'Cash Flow'!$A38,'Wells Fargo'!$A:$A,T$1,'Wells Fargo'!$B:$B,"&lt;="&amp;'Cash Flow'!T$3,'Wells Fargo'!$B:$B,"&gt;"&amp;'Cash Flow'!S$3)</f>
        <v>0</v>
      </c>
      <c r="U38" s="188">
        <f>SUMIFS('Wells Fargo'!$F:$F,'Wells Fargo'!$G:$G,'Cash Flow'!$A38,'Wells Fargo'!$A:$A,U$1,'Wells Fargo'!$B:$B,"&lt;="&amp;'Cash Flow'!U$3,'Wells Fargo'!$B:$B,"&gt;"&amp;'Cash Flow'!T$3)</f>
        <v>0</v>
      </c>
      <c r="V38" s="189">
        <f>SUMIFS('Wells Fargo'!$F:$F,'Wells Fargo'!$G:$G,'Cash Flow'!$A38,'Wells Fargo'!$A:$A,V$1,'Wells Fargo'!$B:$B,"&lt;="&amp;'Cash Flow'!V$3)</f>
        <v>0</v>
      </c>
      <c r="W38" s="188">
        <f>SUMIFS('Wells Fargo'!$F:$F,'Wells Fargo'!$G:$G,'Cash Flow'!$A38,'Wells Fargo'!$A:$A,W$1,'Wells Fargo'!$B:$B,"&lt;="&amp;'Cash Flow'!W$3,'Wells Fargo'!$B:$B,"&gt;"&amp;'Cash Flow'!V$3)</f>
        <v>0</v>
      </c>
      <c r="X38" s="188">
        <f>SUMIFS('Wells Fargo'!$F:$F,'Wells Fargo'!$G:$G,'Cash Flow'!$A38,'Wells Fargo'!$A:$A,X$1,'Wells Fargo'!$B:$B,"&lt;="&amp;'Cash Flow'!X$3,'Wells Fargo'!$B:$B,"&gt;"&amp;'Cash Flow'!W$3)</f>
        <v>0</v>
      </c>
      <c r="Y38" s="188">
        <f>SUMIFS('Wells Fargo'!$F:$F,'Wells Fargo'!$G:$G,'Cash Flow'!$A38,'Wells Fargo'!$A:$A,Y$1,'Wells Fargo'!$B:$B,"&lt;="&amp;'Cash Flow'!Y$3,'Wells Fargo'!$B:$B,"&gt;"&amp;'Cash Flow'!X$3)</f>
        <v>0</v>
      </c>
      <c r="Z38" s="188">
        <f>SUMIFS('Wells Fargo'!$F:$F,'Wells Fargo'!$G:$G,'Cash Flow'!$A38,'Wells Fargo'!$A:$A,Z$1,'Wells Fargo'!$B:$B,"&lt;="&amp;'Cash Flow'!Z$3,'Wells Fargo'!$B:$B,"&gt;"&amp;'Cash Flow'!Y$3)</f>
        <v>0</v>
      </c>
      <c r="AA38" s="189">
        <f>SUMIFS('Wells Fargo'!$F:$F,'Wells Fargo'!$G:$G,'Cash Flow'!$A38,'Wells Fargo'!$A:$A,AA$1,'Wells Fargo'!$B:$B,"&lt;="&amp;'Cash Flow'!AA$3)</f>
        <v>0</v>
      </c>
      <c r="AB38" s="188">
        <f>SUMIFS('Wells Fargo'!$F:$F,'Wells Fargo'!$G:$G,'Cash Flow'!$A38,'Wells Fargo'!$A:$A,AB$1,'Wells Fargo'!$B:$B,"&lt;="&amp;'Cash Flow'!AB$3,'Wells Fargo'!$B:$B,"&gt;"&amp;'Cash Flow'!AA$3)</f>
        <v>-78.75</v>
      </c>
      <c r="AC38" s="188">
        <f>SUMIFS('Wells Fargo'!$F:$F,'Wells Fargo'!$G:$G,'Cash Flow'!$A38,'Wells Fargo'!$A:$A,AC$1,'Wells Fargo'!$B:$B,"&lt;="&amp;'Cash Flow'!AC$3,'Wells Fargo'!$B:$B,"&gt;"&amp;'Cash Flow'!AB$3)</f>
        <v>0</v>
      </c>
      <c r="AD38" s="188">
        <f>SUMIFS('Wells Fargo'!$F:$F,'Wells Fargo'!$G:$G,'Cash Flow'!$A38,'Wells Fargo'!$A:$A,AD$1,'Wells Fargo'!$B:$B,"&lt;="&amp;'Cash Flow'!AD$3,'Wells Fargo'!$B:$B,"&gt;"&amp;'Cash Flow'!AC$3)</f>
        <v>0</v>
      </c>
      <c r="AE38" s="188">
        <f>SUMIFS('Wells Fargo'!$F:$F,'Wells Fargo'!$G:$G,'Cash Flow'!$A38,'Wells Fargo'!$A:$A,AE$1,'Wells Fargo'!$B:$B,"&lt;="&amp;'Cash Flow'!AE$3,'Wells Fargo'!$B:$B,"&gt;"&amp;'Cash Flow'!AD$3)</f>
        <v>0</v>
      </c>
      <c r="AF38" s="189">
        <f>SUMIFS('Wells Fargo'!$F:$F,'Wells Fargo'!$G:$G,'Cash Flow'!$A38,'Wells Fargo'!$A:$A,AF$1,'Wells Fargo'!$B:$B,"&lt;="&amp;'Cash Flow'!AF$3)</f>
        <v>0</v>
      </c>
      <c r="AG38" s="188">
        <f>SUMIFS('Wells Fargo'!$F:$F,'Wells Fargo'!$G:$G,'Cash Flow'!$A38,'Wells Fargo'!$A:$A,AG$1,'Wells Fargo'!$B:$B,"&lt;="&amp;'Cash Flow'!AG$3,'Wells Fargo'!$B:$B,"&gt;"&amp;'Cash Flow'!AF$3)</f>
        <v>0</v>
      </c>
      <c r="AH38" s="188">
        <f>SUMIFS('Wells Fargo'!$F:$F,'Wells Fargo'!$G:$G,'Cash Flow'!$A38,'Wells Fargo'!$A:$A,AH$1,'Wells Fargo'!$B:$B,"&lt;="&amp;'Cash Flow'!AH$3,'Wells Fargo'!$B:$B,"&gt;"&amp;'Cash Flow'!AG$3)</f>
        <v>0</v>
      </c>
      <c r="AI38" s="188">
        <f>SUMIFS('Wells Fargo'!$F:$F,'Wells Fargo'!$G:$G,'Cash Flow'!$A38,'Wells Fargo'!$A:$A,AI$1,'Wells Fargo'!$B:$B,"&lt;="&amp;'Cash Flow'!AI$3,'Wells Fargo'!$B:$B,"&gt;"&amp;'Cash Flow'!AH$3)</f>
        <v>0</v>
      </c>
      <c r="AJ38" s="188">
        <f>SUMIFS('Wells Fargo'!$F:$F,'Wells Fargo'!$G:$G,'Cash Flow'!$A38,'Wells Fargo'!$A:$A,AJ$1,'Wells Fargo'!$B:$B,"&lt;="&amp;'Cash Flow'!AJ$3,'Wells Fargo'!$B:$B,"&gt;"&amp;'Cash Flow'!AI$3)</f>
        <v>0</v>
      </c>
      <c r="AK38" s="189">
        <f>SUMIFS('Wells Fargo'!$F:$F,'Wells Fargo'!$G:$G,'Cash Flow'!$A38,'Wells Fargo'!$A:$A,AK$1,'Wells Fargo'!$B:$B,"&lt;="&amp;'Cash Flow'!AK$3)</f>
        <v>0</v>
      </c>
      <c r="AL38" s="188">
        <f>SUMIFS('Wells Fargo'!$F:$F,'Wells Fargo'!$G:$G,'Cash Flow'!$A38,'Wells Fargo'!$A:$A,AL$1,'Wells Fargo'!$B:$B,"&lt;="&amp;'Cash Flow'!AL$3,'Wells Fargo'!$B:$B,"&gt;"&amp;'Cash Flow'!AK$3)</f>
        <v>0</v>
      </c>
      <c r="AM38" s="188">
        <f>SUMIFS('Wells Fargo'!$F:$F,'Wells Fargo'!$G:$G,'Cash Flow'!$A38,'Wells Fargo'!$A:$A,AM$1,'Wells Fargo'!$B:$B,"&lt;="&amp;'Cash Flow'!AM$3,'Wells Fargo'!$B:$B,"&gt;"&amp;'Cash Flow'!AL$3)</f>
        <v>0</v>
      </c>
      <c r="AN38" s="188">
        <f>SUMIFS('Wells Fargo'!$F:$F,'Wells Fargo'!$G:$G,'Cash Flow'!$A38,'Wells Fargo'!$A:$A,AN$1,'Wells Fargo'!$B:$B,"&lt;="&amp;'Cash Flow'!AN$3,'Wells Fargo'!$B:$B,"&gt;"&amp;'Cash Flow'!AM$3)</f>
        <v>0</v>
      </c>
      <c r="AO38" s="188">
        <f>SUMIFS('Wells Fargo'!$F:$F,'Wells Fargo'!$G:$G,'Cash Flow'!$A38,'Wells Fargo'!$A:$A,AO$1,'Wells Fargo'!$B:$B,"&lt;="&amp;'Cash Flow'!AO$3,'Wells Fargo'!$B:$B,"&gt;"&amp;'Cash Flow'!AN$3)</f>
        <v>0</v>
      </c>
      <c r="AP38" s="189">
        <f>SUMIFS('Wells Fargo'!$F:$F,'Wells Fargo'!$G:$G,'Cash Flow'!$A38,'Wells Fargo'!$A:$A,AP$1,'Wells Fargo'!$B:$B,"&lt;="&amp;'Cash Flow'!AP$3)</f>
        <v>0</v>
      </c>
      <c r="AQ38" s="188">
        <f>SUMIFS('Wells Fargo'!$F:$F,'Wells Fargo'!$G:$G,'Cash Flow'!$A38,'Wells Fargo'!$A:$A,AQ$1,'Wells Fargo'!$B:$B,"&lt;="&amp;'Cash Flow'!AQ$3,'Wells Fargo'!$B:$B,"&gt;"&amp;'Cash Flow'!AP$3)</f>
        <v>0</v>
      </c>
      <c r="AR38" s="188">
        <f>SUMIFS('Wells Fargo'!$F:$F,'Wells Fargo'!$G:$G,'Cash Flow'!$A38,'Wells Fargo'!$A:$A,AR$1,'Wells Fargo'!$B:$B,"&lt;="&amp;'Cash Flow'!AR$3,'Wells Fargo'!$B:$B,"&gt;"&amp;'Cash Flow'!AQ$3)</f>
        <v>0</v>
      </c>
      <c r="AS38" s="188">
        <f>SUMIFS('Wells Fargo'!$F:$F,'Wells Fargo'!$G:$G,'Cash Flow'!$A38,'Wells Fargo'!$A:$A,AS$1,'Wells Fargo'!$B:$B,"&lt;="&amp;'Cash Flow'!AS$3,'Wells Fargo'!$B:$B,"&gt;"&amp;'Cash Flow'!AR$3)</f>
        <v>0</v>
      </c>
      <c r="AT38" s="188">
        <f>SUMIFS('Wells Fargo'!$F:$F,'Wells Fargo'!$G:$G,'Cash Flow'!$A38,'Wells Fargo'!$A:$A,AT$1,'Wells Fargo'!$B:$B,"&lt;="&amp;'Cash Flow'!AT$3,'Wells Fargo'!$B:$B,"&gt;"&amp;'Cash Flow'!AS$3)</f>
        <v>0</v>
      </c>
      <c r="AU38" s="189">
        <f>SUMIFS('Wells Fargo'!$F:$F,'Wells Fargo'!$G:$G,'Cash Flow'!$A38,'Wells Fargo'!$A:$A,AU$1,'Wells Fargo'!$B:$B,"&lt;="&amp;'Cash Flow'!AU$3)</f>
        <v>0</v>
      </c>
      <c r="AV38" s="188">
        <f>SUMIFS('Wells Fargo'!$F:$F,'Wells Fargo'!$G:$G,'Cash Flow'!$A38,'Wells Fargo'!$A:$A,AV$1,'Wells Fargo'!$B:$B,"&lt;="&amp;'Cash Flow'!AV$3,'Wells Fargo'!$B:$B,"&gt;"&amp;'Cash Flow'!AU$3)</f>
        <v>0</v>
      </c>
      <c r="AW38" s="188">
        <f>SUMIFS('Wells Fargo'!$F:$F,'Wells Fargo'!$G:$G,'Cash Flow'!$A38,'Wells Fargo'!$A:$A,AW$1,'Wells Fargo'!$B:$B,"&lt;="&amp;'Cash Flow'!AW$3,'Wells Fargo'!$B:$B,"&gt;"&amp;'Cash Flow'!AV$3)</f>
        <v>0</v>
      </c>
      <c r="AX38" s="188">
        <f>SUMIFS('Wells Fargo'!$F:$F,'Wells Fargo'!$G:$G,'Cash Flow'!$A38,'Wells Fargo'!$A:$A,AX$1,'Wells Fargo'!$B:$B,"&lt;="&amp;'Cash Flow'!AX$3,'Wells Fargo'!$B:$B,"&gt;"&amp;'Cash Flow'!AW$3)</f>
        <v>0</v>
      </c>
      <c r="AY38" s="188">
        <f>SUMIFS('Wells Fargo'!$F:$F,'Wells Fargo'!$G:$G,'Cash Flow'!$A38,'Wells Fargo'!$A:$A,AY$1,'Wells Fargo'!$B:$B,"&lt;="&amp;'Cash Flow'!AY$3,'Wells Fargo'!$B:$B,"&gt;"&amp;'Cash Flow'!AX$3)</f>
        <v>0</v>
      </c>
      <c r="AZ38" s="189">
        <f>SUMIFS('Wells Fargo'!$F:$F,'Wells Fargo'!$G:$G,'Cash Flow'!$A38,'Wells Fargo'!$A:$A,AZ$1,'Wells Fargo'!$B:$B,"&lt;="&amp;'Cash Flow'!AZ$3)</f>
        <v>0</v>
      </c>
      <c r="BA38" s="188">
        <f>SUMIFS('Wells Fargo'!$F:$F,'Wells Fargo'!$G:$G,'Cash Flow'!$A38,'Wells Fargo'!$A:$A,BA$1,'Wells Fargo'!$B:$B,"&lt;="&amp;'Cash Flow'!BA$3,'Wells Fargo'!$B:$B,"&gt;"&amp;'Cash Flow'!AZ$3)</f>
        <v>0</v>
      </c>
      <c r="BB38" s="188">
        <f>SUMIFS('Wells Fargo'!$F:$F,'Wells Fargo'!$G:$G,'Cash Flow'!$A38,'Wells Fargo'!$A:$A,BB$1,'Wells Fargo'!$B:$B,"&lt;="&amp;'Cash Flow'!BB$3,'Wells Fargo'!$B:$B,"&gt;"&amp;'Cash Flow'!BA$3)</f>
        <v>0</v>
      </c>
      <c r="BC38" s="188">
        <f>SUMIFS('Wells Fargo'!$F:$F,'Wells Fargo'!$G:$G,'Cash Flow'!$A38,'Wells Fargo'!$A:$A,BC$1,'Wells Fargo'!$B:$B,"&lt;="&amp;'Cash Flow'!BC$3,'Wells Fargo'!$B:$B,"&gt;"&amp;'Cash Flow'!BB$3)</f>
        <v>0</v>
      </c>
      <c r="BD38" s="188">
        <f>SUMIFS('Wells Fargo'!$F:$F,'Wells Fargo'!$G:$G,'Cash Flow'!$A38,'Wells Fargo'!$A:$A,BD$1,'Wells Fargo'!$B:$B,"&lt;="&amp;'Cash Flow'!BD$3,'Wells Fargo'!$B:$B,"&gt;"&amp;'Cash Flow'!BC$3)</f>
        <v>0</v>
      </c>
      <c r="BE38" s="189">
        <f>SUMIFS('Wells Fargo'!$F:$F,'Wells Fargo'!$G:$G,'Cash Flow'!$A38,'Wells Fargo'!$A:$A,BE$1,'Wells Fargo'!$B:$B,"&lt;="&amp;'Cash Flow'!BE$3)</f>
        <v>0</v>
      </c>
      <c r="BF38" s="188">
        <f>SUMIFS('Wells Fargo'!$F:$F,'Wells Fargo'!$G:$G,'Cash Flow'!$A38,'Wells Fargo'!$A:$A,BF$1,'Wells Fargo'!$B:$B,"&lt;="&amp;'Cash Flow'!BF$3,'Wells Fargo'!$B:$B,"&gt;"&amp;'Cash Flow'!BE$3)</f>
        <v>0</v>
      </c>
      <c r="BG38" s="188">
        <f>SUMIFS('Wells Fargo'!$F:$F,'Wells Fargo'!$G:$G,'Cash Flow'!$A38,'Wells Fargo'!$A:$A,BG$1,'Wells Fargo'!$B:$B,"&lt;="&amp;'Cash Flow'!BG$3,'Wells Fargo'!$B:$B,"&gt;"&amp;'Cash Flow'!BF$3)</f>
        <v>0</v>
      </c>
      <c r="BH38" s="188">
        <f>SUMIFS('Wells Fargo'!$F:$F,'Wells Fargo'!$G:$G,'Cash Flow'!$A38,'Wells Fargo'!$A:$A,BH$1,'Wells Fargo'!$B:$B,"&lt;="&amp;'Cash Flow'!BH$3,'Wells Fargo'!$B:$B,"&gt;"&amp;'Cash Flow'!BG$3)</f>
        <v>0</v>
      </c>
      <c r="BI38" s="188">
        <f>SUMIFS('Wells Fargo'!$F:$F,'Wells Fargo'!$G:$G,'Cash Flow'!$A38,'Wells Fargo'!$A:$A,BI$1,'Wells Fargo'!$B:$B,"&lt;="&amp;'Cash Flow'!BI$3,'Wells Fargo'!$B:$B,"&gt;"&amp;'Cash Flow'!BH$3)</f>
        <v>0</v>
      </c>
    </row>
    <row r="39" spans="1:61" ht="12.75" x14ac:dyDescent="0.2">
      <c r="A39" t="str">
        <v>Matt Bozz</v>
      </c>
      <c r="B39" s="87">
        <f t="shared" si="1"/>
        <v>-2738.5</v>
      </c>
      <c r="C39" s="189">
        <f>SUMIFS('Wells Fargo'!$F:$F,'Wells Fargo'!$G:$G,'Cash Flow'!$A39,'Wells Fargo'!$A:$A,C$1,'Wells Fargo'!$B:$B,"&lt;="&amp;'Cash Flow'!C$3)</f>
        <v>0</v>
      </c>
      <c r="D39" s="188">
        <f>SUMIFS('Wells Fargo'!$F:$F,'Wells Fargo'!$G:$G,'Cash Flow'!$A39,'Wells Fargo'!$A:$A,D$1,'Wells Fargo'!$B:$B,"&lt;="&amp;'Cash Flow'!D$3,'Wells Fargo'!$B:$B,"&gt;"&amp;'Cash Flow'!C$3)</f>
        <v>0</v>
      </c>
      <c r="E39" s="188">
        <f>SUMIFS('Wells Fargo'!$F:$F,'Wells Fargo'!$G:$G,'Cash Flow'!$A39,'Wells Fargo'!$A:$A,E$1,'Wells Fargo'!$B:$B,"&lt;="&amp;'Cash Flow'!E$3,'Wells Fargo'!$B:$B,"&gt;"&amp;'Cash Flow'!D$3)</f>
        <v>0</v>
      </c>
      <c r="F39" s="188">
        <f>SUMIFS('Wells Fargo'!$F:$F,'Wells Fargo'!$G:$G,'Cash Flow'!$A39,'Wells Fargo'!$A:$A,F$1,'Wells Fargo'!$B:$B,"&lt;="&amp;'Cash Flow'!F$3,'Wells Fargo'!$B:$B,"&gt;"&amp;'Cash Flow'!E$3)</f>
        <v>0</v>
      </c>
      <c r="G39" s="188">
        <f>SUMIFS('Wells Fargo'!$F:$F,'Wells Fargo'!$G:$G,'Cash Flow'!$A39,'Wells Fargo'!$A:$A,G$1,'Wells Fargo'!$B:$B,"&lt;="&amp;'Cash Flow'!G$3,'Wells Fargo'!$B:$B,"&gt;"&amp;'Cash Flow'!F$3)</f>
        <v>0</v>
      </c>
      <c r="H39" s="189">
        <f>SUMIFS('Wells Fargo'!$F:$F,'Wells Fargo'!$G:$G,'Cash Flow'!$A39,'Wells Fargo'!$A:$A,H$1,'Wells Fargo'!$B:$B,"&lt;="&amp;'Cash Flow'!H$3)</f>
        <v>0</v>
      </c>
      <c r="I39" s="188">
        <f>SUMIFS('Wells Fargo'!$F:$F,'Wells Fargo'!$G:$G,'Cash Flow'!$A39,'Wells Fargo'!$A:$A,I$1,'Wells Fargo'!$B:$B,"&lt;="&amp;'Cash Flow'!I$3,'Wells Fargo'!$B:$B,"&gt;"&amp;'Cash Flow'!H$3)</f>
        <v>0</v>
      </c>
      <c r="J39" s="188">
        <f>SUMIFS('Wells Fargo'!$F:$F,'Wells Fargo'!$G:$G,'Cash Flow'!$A39,'Wells Fargo'!$A:$A,J$1,'Wells Fargo'!$B:$B,"&lt;="&amp;'Cash Flow'!J$3,'Wells Fargo'!$B:$B,"&gt;"&amp;'Cash Flow'!I$3)</f>
        <v>0</v>
      </c>
      <c r="K39" s="188">
        <f>SUMIFS('Wells Fargo'!$F:$F,'Wells Fargo'!$G:$G,'Cash Flow'!$A39,'Wells Fargo'!$A:$A,K$1,'Wells Fargo'!$B:$B,"&lt;="&amp;'Cash Flow'!K$3,'Wells Fargo'!$B:$B,"&gt;"&amp;'Cash Flow'!J$3)</f>
        <v>0</v>
      </c>
      <c r="L39" s="189">
        <f>SUMIFS('Wells Fargo'!$F:$F,'Wells Fargo'!$G:$G,'Cash Flow'!$A39,'Wells Fargo'!$A:$A,L$1,'Wells Fargo'!$B:$B,"&lt;="&amp;'Cash Flow'!L$3)</f>
        <v>0</v>
      </c>
      <c r="M39" s="188">
        <f>SUMIFS('Wells Fargo'!$F:$F,'Wells Fargo'!$G:$G,'Cash Flow'!$A39,'Wells Fargo'!$A:$A,M$1,'Wells Fargo'!$B:$B,"&lt;="&amp;'Cash Flow'!M$3,'Wells Fargo'!$B:$B,"&gt;"&amp;'Cash Flow'!L$3)</f>
        <v>0</v>
      </c>
      <c r="N39" s="188">
        <f>SUMIFS('Wells Fargo'!$F:$F,'Wells Fargo'!$G:$G,'Cash Flow'!$A39,'Wells Fargo'!$A:$A,N$1,'Wells Fargo'!$B:$B,"&lt;="&amp;'Cash Flow'!N$3,'Wells Fargo'!$B:$B,"&gt;"&amp;'Cash Flow'!M$3)</f>
        <v>0</v>
      </c>
      <c r="O39" s="188">
        <f>SUMIFS('Wells Fargo'!$F:$F,'Wells Fargo'!$G:$G,'Cash Flow'!$A39,'Wells Fargo'!$A:$A,O$1,'Wells Fargo'!$B:$B,"&lt;="&amp;'Cash Flow'!O$3,'Wells Fargo'!$B:$B,"&gt;"&amp;'Cash Flow'!N$3)</f>
        <v>0</v>
      </c>
      <c r="P39" s="188">
        <f>SUMIFS('Wells Fargo'!$F:$F,'Wells Fargo'!$G:$G,'Cash Flow'!$A39,'Wells Fargo'!$A:$A,P$1,'Wells Fargo'!$B:$B,"&lt;="&amp;'Cash Flow'!P$3,'Wells Fargo'!$B:$B,"&gt;"&amp;'Cash Flow'!O$3)</f>
        <v>0</v>
      </c>
      <c r="Q39" s="189">
        <f>SUMIFS('Wells Fargo'!$F:$F,'Wells Fargo'!$G:$G,'Cash Flow'!$A39,'Wells Fargo'!$A:$A,Q$1,'Wells Fargo'!$B:$B,"&lt;="&amp;'Cash Flow'!Q$3)</f>
        <v>0</v>
      </c>
      <c r="R39" s="188">
        <f>SUMIFS('Wells Fargo'!$F:$F,'Wells Fargo'!$G:$G,'Cash Flow'!$A39,'Wells Fargo'!$A:$A,R$1,'Wells Fargo'!$B:$B,"&lt;="&amp;'Cash Flow'!R$3,'Wells Fargo'!$B:$B,"&gt;"&amp;'Cash Flow'!Q$3)</f>
        <v>0</v>
      </c>
      <c r="S39" s="188">
        <f>SUMIFS('Wells Fargo'!$F:$F,'Wells Fargo'!$G:$G,'Cash Flow'!$A39,'Wells Fargo'!$A:$A,S$1,'Wells Fargo'!$B:$B,"&lt;="&amp;'Cash Flow'!S$3,'Wells Fargo'!$B:$B,"&gt;"&amp;'Cash Flow'!R$3)</f>
        <v>0</v>
      </c>
      <c r="T39" s="188">
        <f>SUMIFS('Wells Fargo'!$F:$F,'Wells Fargo'!$G:$G,'Cash Flow'!$A39,'Wells Fargo'!$A:$A,T$1,'Wells Fargo'!$B:$B,"&lt;="&amp;'Cash Flow'!T$3,'Wells Fargo'!$B:$B,"&gt;"&amp;'Cash Flow'!S$3)</f>
        <v>0</v>
      </c>
      <c r="U39" s="188">
        <f>SUMIFS('Wells Fargo'!$F:$F,'Wells Fargo'!$G:$G,'Cash Flow'!$A39,'Wells Fargo'!$A:$A,U$1,'Wells Fargo'!$B:$B,"&lt;="&amp;'Cash Flow'!U$3,'Wells Fargo'!$B:$B,"&gt;"&amp;'Cash Flow'!T$3)</f>
        <v>0</v>
      </c>
      <c r="V39" s="189">
        <f>SUMIFS('Wells Fargo'!$F:$F,'Wells Fargo'!$G:$G,'Cash Flow'!$A39,'Wells Fargo'!$A:$A,V$1,'Wells Fargo'!$B:$B,"&lt;="&amp;'Cash Flow'!V$3)</f>
        <v>0</v>
      </c>
      <c r="W39" s="188">
        <f>SUMIFS('Wells Fargo'!$F:$F,'Wells Fargo'!$G:$G,'Cash Flow'!$A39,'Wells Fargo'!$A:$A,W$1,'Wells Fargo'!$B:$B,"&lt;="&amp;'Cash Flow'!W$3,'Wells Fargo'!$B:$B,"&gt;"&amp;'Cash Flow'!V$3)</f>
        <v>0</v>
      </c>
      <c r="X39" s="188">
        <f>SUMIFS('Wells Fargo'!$F:$F,'Wells Fargo'!$G:$G,'Cash Flow'!$A39,'Wells Fargo'!$A:$A,X$1,'Wells Fargo'!$B:$B,"&lt;="&amp;'Cash Flow'!X$3,'Wells Fargo'!$B:$B,"&gt;"&amp;'Cash Flow'!W$3)</f>
        <v>0</v>
      </c>
      <c r="Y39" s="188">
        <f>SUMIFS('Wells Fargo'!$F:$F,'Wells Fargo'!$G:$G,'Cash Flow'!$A39,'Wells Fargo'!$A:$A,Y$1,'Wells Fargo'!$B:$B,"&lt;="&amp;'Cash Flow'!Y$3,'Wells Fargo'!$B:$B,"&gt;"&amp;'Cash Flow'!X$3)</f>
        <v>0</v>
      </c>
      <c r="Z39" s="188">
        <f>SUMIFS('Wells Fargo'!$F:$F,'Wells Fargo'!$G:$G,'Cash Flow'!$A39,'Wells Fargo'!$A:$A,Z$1,'Wells Fargo'!$B:$B,"&lt;="&amp;'Cash Flow'!Z$3,'Wells Fargo'!$B:$B,"&gt;"&amp;'Cash Flow'!Y$3)</f>
        <v>0</v>
      </c>
      <c r="AA39" s="189">
        <f>SUMIFS('Wells Fargo'!$F:$F,'Wells Fargo'!$G:$G,'Cash Flow'!$A39,'Wells Fargo'!$A:$A,AA$1,'Wells Fargo'!$B:$B,"&lt;="&amp;'Cash Flow'!AA$3)</f>
        <v>0</v>
      </c>
      <c r="AB39" s="188">
        <f>SUMIFS('Wells Fargo'!$F:$F,'Wells Fargo'!$G:$G,'Cash Flow'!$A39,'Wells Fargo'!$A:$A,AB$1,'Wells Fargo'!$B:$B,"&lt;="&amp;'Cash Flow'!AB$3,'Wells Fargo'!$B:$B,"&gt;"&amp;'Cash Flow'!AA$3)</f>
        <v>0</v>
      </c>
      <c r="AC39" s="188">
        <f>SUMIFS('Wells Fargo'!$F:$F,'Wells Fargo'!$G:$G,'Cash Flow'!$A39,'Wells Fargo'!$A:$A,AC$1,'Wells Fargo'!$B:$B,"&lt;="&amp;'Cash Flow'!AC$3,'Wells Fargo'!$B:$B,"&gt;"&amp;'Cash Flow'!AB$3)</f>
        <v>0</v>
      </c>
      <c r="AD39" s="188">
        <f>SUMIFS('Wells Fargo'!$F:$F,'Wells Fargo'!$G:$G,'Cash Flow'!$A39,'Wells Fargo'!$A:$A,AD$1,'Wells Fargo'!$B:$B,"&lt;="&amp;'Cash Flow'!AD$3,'Wells Fargo'!$B:$B,"&gt;"&amp;'Cash Flow'!AC$3)</f>
        <v>-2738.5</v>
      </c>
      <c r="AE39" s="188">
        <f>SUMIFS('Wells Fargo'!$F:$F,'Wells Fargo'!$G:$G,'Cash Flow'!$A39,'Wells Fargo'!$A:$A,AE$1,'Wells Fargo'!$B:$B,"&lt;="&amp;'Cash Flow'!AE$3,'Wells Fargo'!$B:$B,"&gt;"&amp;'Cash Flow'!AD$3)</f>
        <v>0</v>
      </c>
      <c r="AF39" s="189">
        <f>SUMIFS('Wells Fargo'!$F:$F,'Wells Fargo'!$G:$G,'Cash Flow'!$A39,'Wells Fargo'!$A:$A,AF$1,'Wells Fargo'!$B:$B,"&lt;="&amp;'Cash Flow'!AF$3)</f>
        <v>0</v>
      </c>
      <c r="AG39" s="188">
        <f>SUMIFS('Wells Fargo'!$F:$F,'Wells Fargo'!$G:$G,'Cash Flow'!$A39,'Wells Fargo'!$A:$A,AG$1,'Wells Fargo'!$B:$B,"&lt;="&amp;'Cash Flow'!AG$3,'Wells Fargo'!$B:$B,"&gt;"&amp;'Cash Flow'!AF$3)</f>
        <v>0</v>
      </c>
      <c r="AH39" s="188">
        <f>SUMIFS('Wells Fargo'!$F:$F,'Wells Fargo'!$G:$G,'Cash Flow'!$A39,'Wells Fargo'!$A:$A,AH$1,'Wells Fargo'!$B:$B,"&lt;="&amp;'Cash Flow'!AH$3,'Wells Fargo'!$B:$B,"&gt;"&amp;'Cash Flow'!AG$3)</f>
        <v>0</v>
      </c>
      <c r="AI39" s="188">
        <f>SUMIFS('Wells Fargo'!$F:$F,'Wells Fargo'!$G:$G,'Cash Flow'!$A39,'Wells Fargo'!$A:$A,AI$1,'Wells Fargo'!$B:$B,"&lt;="&amp;'Cash Flow'!AI$3,'Wells Fargo'!$B:$B,"&gt;"&amp;'Cash Flow'!AH$3)</f>
        <v>0</v>
      </c>
      <c r="AJ39" s="188">
        <f>SUMIFS('Wells Fargo'!$F:$F,'Wells Fargo'!$G:$G,'Cash Flow'!$A39,'Wells Fargo'!$A:$A,AJ$1,'Wells Fargo'!$B:$B,"&lt;="&amp;'Cash Flow'!AJ$3,'Wells Fargo'!$B:$B,"&gt;"&amp;'Cash Flow'!AI$3)</f>
        <v>0</v>
      </c>
      <c r="AK39" s="189">
        <f>SUMIFS('Wells Fargo'!$F:$F,'Wells Fargo'!$G:$G,'Cash Flow'!$A39,'Wells Fargo'!$A:$A,AK$1,'Wells Fargo'!$B:$B,"&lt;="&amp;'Cash Flow'!AK$3)</f>
        <v>0</v>
      </c>
      <c r="AL39" s="188">
        <f>SUMIFS('Wells Fargo'!$F:$F,'Wells Fargo'!$G:$G,'Cash Flow'!$A39,'Wells Fargo'!$A:$A,AL$1,'Wells Fargo'!$B:$B,"&lt;="&amp;'Cash Flow'!AL$3,'Wells Fargo'!$B:$B,"&gt;"&amp;'Cash Flow'!AK$3)</f>
        <v>0</v>
      </c>
      <c r="AM39" s="188">
        <f>SUMIFS('Wells Fargo'!$F:$F,'Wells Fargo'!$G:$G,'Cash Flow'!$A39,'Wells Fargo'!$A:$A,AM$1,'Wells Fargo'!$B:$B,"&lt;="&amp;'Cash Flow'!AM$3,'Wells Fargo'!$B:$B,"&gt;"&amp;'Cash Flow'!AL$3)</f>
        <v>0</v>
      </c>
      <c r="AN39" s="188">
        <f>SUMIFS('Wells Fargo'!$F:$F,'Wells Fargo'!$G:$G,'Cash Flow'!$A39,'Wells Fargo'!$A:$A,AN$1,'Wells Fargo'!$B:$B,"&lt;="&amp;'Cash Flow'!AN$3,'Wells Fargo'!$B:$B,"&gt;"&amp;'Cash Flow'!AM$3)</f>
        <v>0</v>
      </c>
      <c r="AO39" s="188">
        <f>SUMIFS('Wells Fargo'!$F:$F,'Wells Fargo'!$G:$G,'Cash Flow'!$A39,'Wells Fargo'!$A:$A,AO$1,'Wells Fargo'!$B:$B,"&lt;="&amp;'Cash Flow'!AO$3,'Wells Fargo'!$B:$B,"&gt;"&amp;'Cash Flow'!AN$3)</f>
        <v>0</v>
      </c>
      <c r="AP39" s="189">
        <f>SUMIFS('Wells Fargo'!$F:$F,'Wells Fargo'!$G:$G,'Cash Flow'!$A39,'Wells Fargo'!$A:$A,AP$1,'Wells Fargo'!$B:$B,"&lt;="&amp;'Cash Flow'!AP$3)</f>
        <v>0</v>
      </c>
      <c r="AQ39" s="188">
        <f>SUMIFS('Wells Fargo'!$F:$F,'Wells Fargo'!$G:$G,'Cash Flow'!$A39,'Wells Fargo'!$A:$A,AQ$1,'Wells Fargo'!$B:$B,"&lt;="&amp;'Cash Flow'!AQ$3,'Wells Fargo'!$B:$B,"&gt;"&amp;'Cash Flow'!AP$3)</f>
        <v>0</v>
      </c>
      <c r="AR39" s="188">
        <f>SUMIFS('Wells Fargo'!$F:$F,'Wells Fargo'!$G:$G,'Cash Flow'!$A39,'Wells Fargo'!$A:$A,AR$1,'Wells Fargo'!$B:$B,"&lt;="&amp;'Cash Flow'!AR$3,'Wells Fargo'!$B:$B,"&gt;"&amp;'Cash Flow'!AQ$3)</f>
        <v>0</v>
      </c>
      <c r="AS39" s="188">
        <f>SUMIFS('Wells Fargo'!$F:$F,'Wells Fargo'!$G:$G,'Cash Flow'!$A39,'Wells Fargo'!$A:$A,AS$1,'Wells Fargo'!$B:$B,"&lt;="&amp;'Cash Flow'!AS$3,'Wells Fargo'!$B:$B,"&gt;"&amp;'Cash Flow'!AR$3)</f>
        <v>0</v>
      </c>
      <c r="AT39" s="188">
        <f>SUMIFS('Wells Fargo'!$F:$F,'Wells Fargo'!$G:$G,'Cash Flow'!$A39,'Wells Fargo'!$A:$A,AT$1,'Wells Fargo'!$B:$B,"&lt;="&amp;'Cash Flow'!AT$3,'Wells Fargo'!$B:$B,"&gt;"&amp;'Cash Flow'!AS$3)</f>
        <v>0</v>
      </c>
      <c r="AU39" s="189">
        <f>SUMIFS('Wells Fargo'!$F:$F,'Wells Fargo'!$G:$G,'Cash Flow'!$A39,'Wells Fargo'!$A:$A,AU$1,'Wells Fargo'!$B:$B,"&lt;="&amp;'Cash Flow'!AU$3)</f>
        <v>0</v>
      </c>
      <c r="AV39" s="188">
        <f>SUMIFS('Wells Fargo'!$F:$F,'Wells Fargo'!$G:$G,'Cash Flow'!$A39,'Wells Fargo'!$A:$A,AV$1,'Wells Fargo'!$B:$B,"&lt;="&amp;'Cash Flow'!AV$3,'Wells Fargo'!$B:$B,"&gt;"&amp;'Cash Flow'!AU$3)</f>
        <v>0</v>
      </c>
      <c r="AW39" s="188">
        <f>SUMIFS('Wells Fargo'!$F:$F,'Wells Fargo'!$G:$G,'Cash Flow'!$A39,'Wells Fargo'!$A:$A,AW$1,'Wells Fargo'!$B:$B,"&lt;="&amp;'Cash Flow'!AW$3,'Wells Fargo'!$B:$B,"&gt;"&amp;'Cash Flow'!AV$3)</f>
        <v>0</v>
      </c>
      <c r="AX39" s="188">
        <f>SUMIFS('Wells Fargo'!$F:$F,'Wells Fargo'!$G:$G,'Cash Flow'!$A39,'Wells Fargo'!$A:$A,AX$1,'Wells Fargo'!$B:$B,"&lt;="&amp;'Cash Flow'!AX$3,'Wells Fargo'!$B:$B,"&gt;"&amp;'Cash Flow'!AW$3)</f>
        <v>0</v>
      </c>
      <c r="AY39" s="188">
        <f>SUMIFS('Wells Fargo'!$F:$F,'Wells Fargo'!$G:$G,'Cash Flow'!$A39,'Wells Fargo'!$A:$A,AY$1,'Wells Fargo'!$B:$B,"&lt;="&amp;'Cash Flow'!AY$3,'Wells Fargo'!$B:$B,"&gt;"&amp;'Cash Flow'!AX$3)</f>
        <v>0</v>
      </c>
      <c r="AZ39" s="189">
        <f>SUMIFS('Wells Fargo'!$F:$F,'Wells Fargo'!$G:$G,'Cash Flow'!$A39,'Wells Fargo'!$A:$A,AZ$1,'Wells Fargo'!$B:$B,"&lt;="&amp;'Cash Flow'!AZ$3)</f>
        <v>0</v>
      </c>
      <c r="BA39" s="188">
        <f>SUMIFS('Wells Fargo'!$F:$F,'Wells Fargo'!$G:$G,'Cash Flow'!$A39,'Wells Fargo'!$A:$A,BA$1,'Wells Fargo'!$B:$B,"&lt;="&amp;'Cash Flow'!BA$3,'Wells Fargo'!$B:$B,"&gt;"&amp;'Cash Flow'!AZ$3)</f>
        <v>0</v>
      </c>
      <c r="BB39" s="188">
        <f>SUMIFS('Wells Fargo'!$F:$F,'Wells Fargo'!$G:$G,'Cash Flow'!$A39,'Wells Fargo'!$A:$A,BB$1,'Wells Fargo'!$B:$B,"&lt;="&amp;'Cash Flow'!BB$3,'Wells Fargo'!$B:$B,"&gt;"&amp;'Cash Flow'!BA$3)</f>
        <v>0</v>
      </c>
      <c r="BC39" s="188">
        <f>SUMIFS('Wells Fargo'!$F:$F,'Wells Fargo'!$G:$G,'Cash Flow'!$A39,'Wells Fargo'!$A:$A,BC$1,'Wells Fargo'!$B:$B,"&lt;="&amp;'Cash Flow'!BC$3,'Wells Fargo'!$B:$B,"&gt;"&amp;'Cash Flow'!BB$3)</f>
        <v>0</v>
      </c>
      <c r="BD39" s="188">
        <f>SUMIFS('Wells Fargo'!$F:$F,'Wells Fargo'!$G:$G,'Cash Flow'!$A39,'Wells Fargo'!$A:$A,BD$1,'Wells Fargo'!$B:$B,"&lt;="&amp;'Cash Flow'!BD$3,'Wells Fargo'!$B:$B,"&gt;"&amp;'Cash Flow'!BC$3)</f>
        <v>0</v>
      </c>
      <c r="BE39" s="189">
        <f>SUMIFS('Wells Fargo'!$F:$F,'Wells Fargo'!$G:$G,'Cash Flow'!$A39,'Wells Fargo'!$A:$A,BE$1,'Wells Fargo'!$B:$B,"&lt;="&amp;'Cash Flow'!BE$3)</f>
        <v>0</v>
      </c>
      <c r="BF39" s="188">
        <f>SUMIFS('Wells Fargo'!$F:$F,'Wells Fargo'!$G:$G,'Cash Flow'!$A39,'Wells Fargo'!$A:$A,BF$1,'Wells Fargo'!$B:$B,"&lt;="&amp;'Cash Flow'!BF$3,'Wells Fargo'!$B:$B,"&gt;"&amp;'Cash Flow'!BE$3)</f>
        <v>0</v>
      </c>
      <c r="BG39" s="188">
        <f>SUMIFS('Wells Fargo'!$F:$F,'Wells Fargo'!$G:$G,'Cash Flow'!$A39,'Wells Fargo'!$A:$A,BG$1,'Wells Fargo'!$B:$B,"&lt;="&amp;'Cash Flow'!BG$3,'Wells Fargo'!$B:$B,"&gt;"&amp;'Cash Flow'!BF$3)</f>
        <v>0</v>
      </c>
      <c r="BH39" s="188">
        <f>SUMIFS('Wells Fargo'!$F:$F,'Wells Fargo'!$G:$G,'Cash Flow'!$A39,'Wells Fargo'!$A:$A,BH$1,'Wells Fargo'!$B:$B,"&lt;="&amp;'Cash Flow'!BH$3,'Wells Fargo'!$B:$B,"&gt;"&amp;'Cash Flow'!BG$3)</f>
        <v>0</v>
      </c>
      <c r="BI39" s="188">
        <f>SUMIFS('Wells Fargo'!$F:$F,'Wells Fargo'!$G:$G,'Cash Flow'!$A39,'Wells Fargo'!$A:$A,BI$1,'Wells Fargo'!$B:$B,"&lt;="&amp;'Cash Flow'!BI$3,'Wells Fargo'!$B:$B,"&gt;"&amp;'Cash Flow'!BH$3)</f>
        <v>0</v>
      </c>
    </row>
    <row r="40" spans="1:61" ht="12.75" x14ac:dyDescent="0.2">
      <c r="A40" t="str">
        <v>Mom</v>
      </c>
      <c r="B40" s="87">
        <f t="shared" si="1"/>
        <v>1190.0999999999999</v>
      </c>
      <c r="C40" s="189">
        <f>SUMIFS('Wells Fargo'!$F:$F,'Wells Fargo'!$G:$G,'Cash Flow'!$A40,'Wells Fargo'!$A:$A,C$1,'Wells Fargo'!$B:$B,"&lt;="&amp;'Cash Flow'!C$3)</f>
        <v>0</v>
      </c>
      <c r="D40" s="188">
        <f>SUMIFS('Wells Fargo'!$F:$F,'Wells Fargo'!$G:$G,'Cash Flow'!$A40,'Wells Fargo'!$A:$A,D$1,'Wells Fargo'!$B:$B,"&lt;="&amp;'Cash Flow'!D$3,'Wells Fargo'!$B:$B,"&gt;"&amp;'Cash Flow'!C$3)</f>
        <v>0</v>
      </c>
      <c r="E40" s="188">
        <f>SUMIFS('Wells Fargo'!$F:$F,'Wells Fargo'!$G:$G,'Cash Flow'!$A40,'Wells Fargo'!$A:$A,E$1,'Wells Fargo'!$B:$B,"&lt;="&amp;'Cash Flow'!E$3,'Wells Fargo'!$B:$B,"&gt;"&amp;'Cash Flow'!D$3)</f>
        <v>0</v>
      </c>
      <c r="F40" s="188">
        <f>SUMIFS('Wells Fargo'!$F:$F,'Wells Fargo'!$G:$G,'Cash Flow'!$A40,'Wells Fargo'!$A:$A,F$1,'Wells Fargo'!$B:$B,"&lt;="&amp;'Cash Flow'!F$3,'Wells Fargo'!$B:$B,"&gt;"&amp;'Cash Flow'!E$3)</f>
        <v>0</v>
      </c>
      <c r="G40" s="188">
        <f>SUMIFS('Wells Fargo'!$F:$F,'Wells Fargo'!$G:$G,'Cash Flow'!$A40,'Wells Fargo'!$A:$A,G$1,'Wells Fargo'!$B:$B,"&lt;="&amp;'Cash Flow'!G$3,'Wells Fargo'!$B:$B,"&gt;"&amp;'Cash Flow'!F$3)</f>
        <v>0</v>
      </c>
      <c r="H40" s="189">
        <f>SUMIFS('Wells Fargo'!$F:$F,'Wells Fargo'!$G:$G,'Cash Flow'!$A40,'Wells Fargo'!$A:$A,H$1,'Wells Fargo'!$B:$B,"&lt;="&amp;'Cash Flow'!H$3)</f>
        <v>0</v>
      </c>
      <c r="I40" s="188">
        <f>SUMIFS('Wells Fargo'!$F:$F,'Wells Fargo'!$G:$G,'Cash Flow'!$A40,'Wells Fargo'!$A:$A,I$1,'Wells Fargo'!$B:$B,"&lt;="&amp;'Cash Flow'!I$3,'Wells Fargo'!$B:$B,"&gt;"&amp;'Cash Flow'!H$3)</f>
        <v>0</v>
      </c>
      <c r="J40" s="188">
        <f>SUMIFS('Wells Fargo'!$F:$F,'Wells Fargo'!$G:$G,'Cash Flow'!$A40,'Wells Fargo'!$A:$A,J$1,'Wells Fargo'!$B:$B,"&lt;="&amp;'Cash Flow'!J$3,'Wells Fargo'!$B:$B,"&gt;"&amp;'Cash Flow'!I$3)</f>
        <v>0</v>
      </c>
      <c r="K40" s="188">
        <f>SUMIFS('Wells Fargo'!$F:$F,'Wells Fargo'!$G:$G,'Cash Flow'!$A40,'Wells Fargo'!$A:$A,K$1,'Wells Fargo'!$B:$B,"&lt;="&amp;'Cash Flow'!K$3,'Wells Fargo'!$B:$B,"&gt;"&amp;'Cash Flow'!J$3)</f>
        <v>0</v>
      </c>
      <c r="L40" s="189">
        <f>SUMIFS('Wells Fargo'!$F:$F,'Wells Fargo'!$G:$G,'Cash Flow'!$A40,'Wells Fargo'!$A:$A,L$1,'Wells Fargo'!$B:$B,"&lt;="&amp;'Cash Flow'!L$3)</f>
        <v>0</v>
      </c>
      <c r="M40" s="188">
        <f>SUMIFS('Wells Fargo'!$F:$F,'Wells Fargo'!$G:$G,'Cash Flow'!$A40,'Wells Fargo'!$A:$A,M$1,'Wells Fargo'!$B:$B,"&lt;="&amp;'Cash Flow'!M$3,'Wells Fargo'!$B:$B,"&gt;"&amp;'Cash Flow'!L$3)</f>
        <v>0</v>
      </c>
      <c r="N40" s="188">
        <f>SUMIFS('Wells Fargo'!$F:$F,'Wells Fargo'!$G:$G,'Cash Flow'!$A40,'Wells Fargo'!$A:$A,N$1,'Wells Fargo'!$B:$B,"&lt;="&amp;'Cash Flow'!N$3,'Wells Fargo'!$B:$B,"&gt;"&amp;'Cash Flow'!M$3)</f>
        <v>0</v>
      </c>
      <c r="O40" s="188">
        <f>SUMIFS('Wells Fargo'!$F:$F,'Wells Fargo'!$G:$G,'Cash Flow'!$A40,'Wells Fargo'!$A:$A,O$1,'Wells Fargo'!$B:$B,"&lt;="&amp;'Cash Flow'!O$3,'Wells Fargo'!$B:$B,"&gt;"&amp;'Cash Flow'!N$3)</f>
        <v>0</v>
      </c>
      <c r="P40" s="188">
        <f>SUMIFS('Wells Fargo'!$F:$F,'Wells Fargo'!$G:$G,'Cash Flow'!$A40,'Wells Fargo'!$A:$A,P$1,'Wells Fargo'!$B:$B,"&lt;="&amp;'Cash Flow'!P$3,'Wells Fargo'!$B:$B,"&gt;"&amp;'Cash Flow'!O$3)</f>
        <v>0</v>
      </c>
      <c r="Q40" s="189">
        <f>SUMIFS('Wells Fargo'!$F:$F,'Wells Fargo'!$G:$G,'Cash Flow'!$A40,'Wells Fargo'!$A:$A,Q$1,'Wells Fargo'!$B:$B,"&lt;="&amp;'Cash Flow'!Q$3)</f>
        <v>0</v>
      </c>
      <c r="R40" s="188">
        <f>SUMIFS('Wells Fargo'!$F:$F,'Wells Fargo'!$G:$G,'Cash Flow'!$A40,'Wells Fargo'!$A:$A,R$1,'Wells Fargo'!$B:$B,"&lt;="&amp;'Cash Flow'!R$3,'Wells Fargo'!$B:$B,"&gt;"&amp;'Cash Flow'!Q$3)</f>
        <v>0</v>
      </c>
      <c r="S40" s="188">
        <f>SUMIFS('Wells Fargo'!$F:$F,'Wells Fargo'!$G:$G,'Cash Flow'!$A40,'Wells Fargo'!$A:$A,S$1,'Wells Fargo'!$B:$B,"&lt;="&amp;'Cash Flow'!S$3,'Wells Fargo'!$B:$B,"&gt;"&amp;'Cash Flow'!R$3)</f>
        <v>0</v>
      </c>
      <c r="T40" s="188">
        <f>SUMIFS('Wells Fargo'!$F:$F,'Wells Fargo'!$G:$G,'Cash Flow'!$A40,'Wells Fargo'!$A:$A,T$1,'Wells Fargo'!$B:$B,"&lt;="&amp;'Cash Flow'!T$3,'Wells Fargo'!$B:$B,"&gt;"&amp;'Cash Flow'!S$3)</f>
        <v>0</v>
      </c>
      <c r="U40" s="188">
        <f>SUMIFS('Wells Fargo'!$F:$F,'Wells Fargo'!$G:$G,'Cash Flow'!$A40,'Wells Fargo'!$A:$A,U$1,'Wells Fargo'!$B:$B,"&lt;="&amp;'Cash Flow'!U$3,'Wells Fargo'!$B:$B,"&gt;"&amp;'Cash Flow'!T$3)</f>
        <v>0</v>
      </c>
      <c r="V40" s="189">
        <f>SUMIFS('Wells Fargo'!$F:$F,'Wells Fargo'!$G:$G,'Cash Flow'!$A40,'Wells Fargo'!$A:$A,V$1,'Wells Fargo'!$B:$B,"&lt;="&amp;'Cash Flow'!V$3)</f>
        <v>0</v>
      </c>
      <c r="W40" s="188">
        <f>SUMIFS('Wells Fargo'!$F:$F,'Wells Fargo'!$G:$G,'Cash Flow'!$A40,'Wells Fargo'!$A:$A,W$1,'Wells Fargo'!$B:$B,"&lt;="&amp;'Cash Flow'!W$3,'Wells Fargo'!$B:$B,"&gt;"&amp;'Cash Flow'!V$3)</f>
        <v>0</v>
      </c>
      <c r="X40" s="188">
        <f>SUMIFS('Wells Fargo'!$F:$F,'Wells Fargo'!$G:$G,'Cash Flow'!$A40,'Wells Fargo'!$A:$A,X$1,'Wells Fargo'!$B:$B,"&lt;="&amp;'Cash Flow'!X$3,'Wells Fargo'!$B:$B,"&gt;"&amp;'Cash Flow'!W$3)</f>
        <v>0</v>
      </c>
      <c r="Y40" s="188">
        <f>SUMIFS('Wells Fargo'!$F:$F,'Wells Fargo'!$G:$G,'Cash Flow'!$A40,'Wells Fargo'!$A:$A,Y$1,'Wells Fargo'!$B:$B,"&lt;="&amp;'Cash Flow'!Y$3,'Wells Fargo'!$B:$B,"&gt;"&amp;'Cash Flow'!X$3)</f>
        <v>0</v>
      </c>
      <c r="Z40" s="188">
        <f>SUMIFS('Wells Fargo'!$F:$F,'Wells Fargo'!$G:$G,'Cash Flow'!$A40,'Wells Fargo'!$A:$A,Z$1,'Wells Fargo'!$B:$B,"&lt;="&amp;'Cash Flow'!Z$3,'Wells Fargo'!$B:$B,"&gt;"&amp;'Cash Flow'!Y$3)</f>
        <v>0</v>
      </c>
      <c r="AA40" s="189">
        <f>SUMIFS('Wells Fargo'!$F:$F,'Wells Fargo'!$G:$G,'Cash Flow'!$A40,'Wells Fargo'!$A:$A,AA$1,'Wells Fargo'!$B:$B,"&lt;="&amp;'Cash Flow'!AA$3)</f>
        <v>0</v>
      </c>
      <c r="AB40" s="188">
        <f>SUMIFS('Wells Fargo'!$F:$F,'Wells Fargo'!$G:$G,'Cash Flow'!$A40,'Wells Fargo'!$A:$A,AB$1,'Wells Fargo'!$B:$B,"&lt;="&amp;'Cash Flow'!AB$3,'Wells Fargo'!$B:$B,"&gt;"&amp;'Cash Flow'!AA$3)</f>
        <v>0</v>
      </c>
      <c r="AC40" s="188">
        <f>SUMIFS('Wells Fargo'!$F:$F,'Wells Fargo'!$G:$G,'Cash Flow'!$A40,'Wells Fargo'!$A:$A,AC$1,'Wells Fargo'!$B:$B,"&lt;="&amp;'Cash Flow'!AC$3,'Wells Fargo'!$B:$B,"&gt;"&amp;'Cash Flow'!AB$3)</f>
        <v>0</v>
      </c>
      <c r="AD40" s="188">
        <f>SUMIFS('Wells Fargo'!$F:$F,'Wells Fargo'!$G:$G,'Cash Flow'!$A40,'Wells Fargo'!$A:$A,AD$1,'Wells Fargo'!$B:$B,"&lt;="&amp;'Cash Flow'!AD$3,'Wells Fargo'!$B:$B,"&gt;"&amp;'Cash Flow'!AC$3)</f>
        <v>0</v>
      </c>
      <c r="AE40" s="188">
        <f>SUMIFS('Wells Fargo'!$F:$F,'Wells Fargo'!$G:$G,'Cash Flow'!$A40,'Wells Fargo'!$A:$A,AE$1,'Wells Fargo'!$B:$B,"&lt;="&amp;'Cash Flow'!AE$3,'Wells Fargo'!$B:$B,"&gt;"&amp;'Cash Flow'!AD$3)</f>
        <v>0</v>
      </c>
      <c r="AF40" s="189">
        <f>SUMIFS('Wells Fargo'!$F:$F,'Wells Fargo'!$G:$G,'Cash Flow'!$A40,'Wells Fargo'!$A:$A,AF$1,'Wells Fargo'!$B:$B,"&lt;="&amp;'Cash Flow'!AF$3)</f>
        <v>0</v>
      </c>
      <c r="AG40" s="188">
        <f>SUMIFS('Wells Fargo'!$F:$F,'Wells Fargo'!$G:$G,'Cash Flow'!$A40,'Wells Fargo'!$A:$A,AG$1,'Wells Fargo'!$B:$B,"&lt;="&amp;'Cash Flow'!AG$3,'Wells Fargo'!$B:$B,"&gt;"&amp;'Cash Flow'!AF$3)</f>
        <v>0</v>
      </c>
      <c r="AH40" s="188">
        <f>SUMIFS('Wells Fargo'!$F:$F,'Wells Fargo'!$G:$G,'Cash Flow'!$A40,'Wells Fargo'!$A:$A,AH$1,'Wells Fargo'!$B:$B,"&lt;="&amp;'Cash Flow'!AH$3,'Wells Fargo'!$B:$B,"&gt;"&amp;'Cash Flow'!AG$3)</f>
        <v>0</v>
      </c>
      <c r="AI40" s="188">
        <f>SUMIFS('Wells Fargo'!$F:$F,'Wells Fargo'!$G:$G,'Cash Flow'!$A40,'Wells Fargo'!$A:$A,AI$1,'Wells Fargo'!$B:$B,"&lt;="&amp;'Cash Flow'!AI$3,'Wells Fargo'!$B:$B,"&gt;"&amp;'Cash Flow'!AH$3)</f>
        <v>0</v>
      </c>
      <c r="AJ40" s="188">
        <f>SUMIFS('Wells Fargo'!$F:$F,'Wells Fargo'!$G:$G,'Cash Flow'!$A40,'Wells Fargo'!$A:$A,AJ$1,'Wells Fargo'!$B:$B,"&lt;="&amp;'Cash Flow'!AJ$3,'Wells Fargo'!$B:$B,"&gt;"&amp;'Cash Flow'!AI$3)</f>
        <v>0</v>
      </c>
      <c r="AK40" s="189">
        <f>SUMIFS('Wells Fargo'!$F:$F,'Wells Fargo'!$G:$G,'Cash Flow'!$A40,'Wells Fargo'!$A:$A,AK$1,'Wells Fargo'!$B:$B,"&lt;="&amp;'Cash Flow'!AK$3)</f>
        <v>0</v>
      </c>
      <c r="AL40" s="188">
        <f>SUMIFS('Wells Fargo'!$F:$F,'Wells Fargo'!$G:$G,'Cash Flow'!$A40,'Wells Fargo'!$A:$A,AL$1,'Wells Fargo'!$B:$B,"&lt;="&amp;'Cash Flow'!AL$3,'Wells Fargo'!$B:$B,"&gt;"&amp;'Cash Flow'!AK$3)</f>
        <v>0</v>
      </c>
      <c r="AM40" s="188">
        <f>SUMIFS('Wells Fargo'!$F:$F,'Wells Fargo'!$G:$G,'Cash Flow'!$A40,'Wells Fargo'!$A:$A,AM$1,'Wells Fargo'!$B:$B,"&lt;="&amp;'Cash Flow'!AM$3,'Wells Fargo'!$B:$B,"&gt;"&amp;'Cash Flow'!AL$3)</f>
        <v>0</v>
      </c>
      <c r="AN40" s="188">
        <f>SUMIFS('Wells Fargo'!$F:$F,'Wells Fargo'!$G:$G,'Cash Flow'!$A40,'Wells Fargo'!$A:$A,AN$1,'Wells Fargo'!$B:$B,"&lt;="&amp;'Cash Flow'!AN$3,'Wells Fargo'!$B:$B,"&gt;"&amp;'Cash Flow'!AM$3)</f>
        <v>0</v>
      </c>
      <c r="AO40" s="188">
        <f>SUMIFS('Wells Fargo'!$F:$F,'Wells Fargo'!$G:$G,'Cash Flow'!$A40,'Wells Fargo'!$A:$A,AO$1,'Wells Fargo'!$B:$B,"&lt;="&amp;'Cash Flow'!AO$3,'Wells Fargo'!$B:$B,"&gt;"&amp;'Cash Flow'!AN$3)</f>
        <v>0</v>
      </c>
      <c r="AP40" s="189">
        <f>SUMIFS('Wells Fargo'!$F:$F,'Wells Fargo'!$G:$G,'Cash Flow'!$A40,'Wells Fargo'!$A:$A,AP$1,'Wells Fargo'!$B:$B,"&lt;="&amp;'Cash Flow'!AP$3)</f>
        <v>0</v>
      </c>
      <c r="AQ40" s="188">
        <f>SUMIFS('Wells Fargo'!$F:$F,'Wells Fargo'!$G:$G,'Cash Flow'!$A40,'Wells Fargo'!$A:$A,AQ$1,'Wells Fargo'!$B:$B,"&lt;="&amp;'Cash Flow'!AQ$3,'Wells Fargo'!$B:$B,"&gt;"&amp;'Cash Flow'!AP$3)</f>
        <v>0</v>
      </c>
      <c r="AR40" s="188">
        <f>SUMIFS('Wells Fargo'!$F:$F,'Wells Fargo'!$G:$G,'Cash Flow'!$A40,'Wells Fargo'!$A:$A,AR$1,'Wells Fargo'!$B:$B,"&lt;="&amp;'Cash Flow'!AR$3,'Wells Fargo'!$B:$B,"&gt;"&amp;'Cash Flow'!AQ$3)</f>
        <v>0</v>
      </c>
      <c r="AS40" s="188">
        <f>SUMIFS('Wells Fargo'!$F:$F,'Wells Fargo'!$G:$G,'Cash Flow'!$A40,'Wells Fargo'!$A:$A,AS$1,'Wells Fargo'!$B:$B,"&lt;="&amp;'Cash Flow'!AS$3,'Wells Fargo'!$B:$B,"&gt;"&amp;'Cash Flow'!AR$3)</f>
        <v>-500</v>
      </c>
      <c r="AT40" s="188">
        <f>SUMIFS('Wells Fargo'!$F:$F,'Wells Fargo'!$G:$G,'Cash Flow'!$A40,'Wells Fargo'!$A:$A,AT$1,'Wells Fargo'!$B:$B,"&lt;="&amp;'Cash Flow'!AT$3,'Wells Fargo'!$B:$B,"&gt;"&amp;'Cash Flow'!AS$3)</f>
        <v>500</v>
      </c>
      <c r="AU40" s="189">
        <f>SUMIFS('Wells Fargo'!$F:$F,'Wells Fargo'!$G:$G,'Cash Flow'!$A40,'Wells Fargo'!$A:$A,AU$1,'Wells Fargo'!$B:$B,"&lt;="&amp;'Cash Flow'!AU$3)</f>
        <v>0</v>
      </c>
      <c r="AV40" s="188">
        <f>SUMIFS('Wells Fargo'!$F:$F,'Wells Fargo'!$G:$G,'Cash Flow'!$A40,'Wells Fargo'!$A:$A,AV$1,'Wells Fargo'!$B:$B,"&lt;="&amp;'Cash Flow'!AV$3,'Wells Fargo'!$B:$B,"&gt;"&amp;'Cash Flow'!AU$3)</f>
        <v>0</v>
      </c>
      <c r="AW40" s="188">
        <f>SUMIFS('Wells Fargo'!$F:$F,'Wells Fargo'!$G:$G,'Cash Flow'!$A40,'Wells Fargo'!$A:$A,AW$1,'Wells Fargo'!$B:$B,"&lt;="&amp;'Cash Flow'!AW$3,'Wells Fargo'!$B:$B,"&gt;"&amp;'Cash Flow'!AV$3)</f>
        <v>0</v>
      </c>
      <c r="AX40" s="188">
        <f>SUMIFS('Wells Fargo'!$F:$F,'Wells Fargo'!$G:$G,'Cash Flow'!$A40,'Wells Fargo'!$A:$A,AX$1,'Wells Fargo'!$B:$B,"&lt;="&amp;'Cash Flow'!AX$3,'Wells Fargo'!$B:$B,"&gt;"&amp;'Cash Flow'!AW$3)</f>
        <v>1190.0999999999999</v>
      </c>
      <c r="AY40" s="188">
        <f>SUMIFS('Wells Fargo'!$F:$F,'Wells Fargo'!$G:$G,'Cash Flow'!$A40,'Wells Fargo'!$A:$A,AY$1,'Wells Fargo'!$B:$B,"&lt;="&amp;'Cash Flow'!AY$3,'Wells Fargo'!$B:$B,"&gt;"&amp;'Cash Flow'!AX$3)</f>
        <v>0</v>
      </c>
      <c r="AZ40" s="189">
        <f>SUMIFS('Wells Fargo'!$F:$F,'Wells Fargo'!$G:$G,'Cash Flow'!$A40,'Wells Fargo'!$A:$A,AZ$1,'Wells Fargo'!$B:$B,"&lt;="&amp;'Cash Flow'!AZ$3)</f>
        <v>0</v>
      </c>
      <c r="BA40" s="188">
        <f>SUMIFS('Wells Fargo'!$F:$F,'Wells Fargo'!$G:$G,'Cash Flow'!$A40,'Wells Fargo'!$A:$A,BA$1,'Wells Fargo'!$B:$B,"&lt;="&amp;'Cash Flow'!BA$3,'Wells Fargo'!$B:$B,"&gt;"&amp;'Cash Flow'!AZ$3)</f>
        <v>0</v>
      </c>
      <c r="BB40" s="188">
        <f>SUMIFS('Wells Fargo'!$F:$F,'Wells Fargo'!$G:$G,'Cash Flow'!$A40,'Wells Fargo'!$A:$A,BB$1,'Wells Fargo'!$B:$B,"&lt;="&amp;'Cash Flow'!BB$3,'Wells Fargo'!$B:$B,"&gt;"&amp;'Cash Flow'!BA$3)</f>
        <v>0</v>
      </c>
      <c r="BC40" s="188">
        <f>SUMIFS('Wells Fargo'!$F:$F,'Wells Fargo'!$G:$G,'Cash Flow'!$A40,'Wells Fargo'!$A:$A,BC$1,'Wells Fargo'!$B:$B,"&lt;="&amp;'Cash Flow'!BC$3,'Wells Fargo'!$B:$B,"&gt;"&amp;'Cash Flow'!BB$3)</f>
        <v>0</v>
      </c>
      <c r="BD40" s="188">
        <f>SUMIFS('Wells Fargo'!$F:$F,'Wells Fargo'!$G:$G,'Cash Flow'!$A40,'Wells Fargo'!$A:$A,BD$1,'Wells Fargo'!$B:$B,"&lt;="&amp;'Cash Flow'!BD$3,'Wells Fargo'!$B:$B,"&gt;"&amp;'Cash Flow'!BC$3)</f>
        <v>0</v>
      </c>
      <c r="BE40" s="189">
        <f>SUMIFS('Wells Fargo'!$F:$F,'Wells Fargo'!$G:$G,'Cash Flow'!$A40,'Wells Fargo'!$A:$A,BE$1,'Wells Fargo'!$B:$B,"&lt;="&amp;'Cash Flow'!BE$3)</f>
        <v>0</v>
      </c>
      <c r="BF40" s="188">
        <f>SUMIFS('Wells Fargo'!$F:$F,'Wells Fargo'!$G:$G,'Cash Flow'!$A40,'Wells Fargo'!$A:$A,BF$1,'Wells Fargo'!$B:$B,"&lt;="&amp;'Cash Flow'!BF$3,'Wells Fargo'!$B:$B,"&gt;"&amp;'Cash Flow'!BE$3)</f>
        <v>0</v>
      </c>
      <c r="BG40" s="188">
        <f>SUMIFS('Wells Fargo'!$F:$F,'Wells Fargo'!$G:$G,'Cash Flow'!$A40,'Wells Fargo'!$A:$A,BG$1,'Wells Fargo'!$B:$B,"&lt;="&amp;'Cash Flow'!BG$3,'Wells Fargo'!$B:$B,"&gt;"&amp;'Cash Flow'!BF$3)</f>
        <v>0</v>
      </c>
      <c r="BH40" s="188">
        <f>SUMIFS('Wells Fargo'!$F:$F,'Wells Fargo'!$G:$G,'Cash Flow'!$A40,'Wells Fargo'!$A:$A,BH$1,'Wells Fargo'!$B:$B,"&lt;="&amp;'Cash Flow'!BH$3,'Wells Fargo'!$B:$B,"&gt;"&amp;'Cash Flow'!BG$3)</f>
        <v>0</v>
      </c>
      <c r="BI40" s="188">
        <f>SUMIFS('Wells Fargo'!$F:$F,'Wells Fargo'!$G:$G,'Cash Flow'!$A40,'Wells Fargo'!$A:$A,BI$1,'Wells Fargo'!$B:$B,"&lt;="&amp;'Cash Flow'!BI$3,'Wells Fargo'!$B:$B,"&gt;"&amp;'Cash Flow'!BH$3)</f>
        <v>0</v>
      </c>
    </row>
    <row r="41" spans="1:61" ht="12.75" x14ac:dyDescent="0.2">
      <c r="A41" t="str">
        <v>Movie</v>
      </c>
      <c r="B41" s="87">
        <f t="shared" si="1"/>
        <v>-8</v>
      </c>
      <c r="C41" s="189">
        <f>SUMIFS('Wells Fargo'!$F:$F,'Wells Fargo'!$G:$G,'Cash Flow'!$A41,'Wells Fargo'!$A:$A,C$1,'Wells Fargo'!$B:$B,"&lt;="&amp;'Cash Flow'!C$3)</f>
        <v>0</v>
      </c>
      <c r="D41" s="188">
        <f>SUMIFS('Wells Fargo'!$F:$F,'Wells Fargo'!$G:$G,'Cash Flow'!$A41,'Wells Fargo'!$A:$A,D$1,'Wells Fargo'!$B:$B,"&lt;="&amp;'Cash Flow'!D$3,'Wells Fargo'!$B:$B,"&gt;"&amp;'Cash Flow'!C$3)</f>
        <v>0</v>
      </c>
      <c r="E41" s="188">
        <f>SUMIFS('Wells Fargo'!$F:$F,'Wells Fargo'!$G:$G,'Cash Flow'!$A41,'Wells Fargo'!$A:$A,E$1,'Wells Fargo'!$B:$B,"&lt;="&amp;'Cash Flow'!E$3,'Wells Fargo'!$B:$B,"&gt;"&amp;'Cash Flow'!D$3)</f>
        <v>0</v>
      </c>
      <c r="F41" s="188">
        <f>SUMIFS('Wells Fargo'!$F:$F,'Wells Fargo'!$G:$G,'Cash Flow'!$A41,'Wells Fargo'!$A:$A,F$1,'Wells Fargo'!$B:$B,"&lt;="&amp;'Cash Flow'!F$3,'Wells Fargo'!$B:$B,"&gt;"&amp;'Cash Flow'!E$3)</f>
        <v>0</v>
      </c>
      <c r="G41" s="188">
        <f>SUMIFS('Wells Fargo'!$F:$F,'Wells Fargo'!$G:$G,'Cash Flow'!$A41,'Wells Fargo'!$A:$A,G$1,'Wells Fargo'!$B:$B,"&lt;="&amp;'Cash Flow'!G$3,'Wells Fargo'!$B:$B,"&gt;"&amp;'Cash Flow'!F$3)</f>
        <v>0</v>
      </c>
      <c r="H41" s="189">
        <f>SUMIFS('Wells Fargo'!$F:$F,'Wells Fargo'!$G:$G,'Cash Flow'!$A41,'Wells Fargo'!$A:$A,H$1,'Wells Fargo'!$B:$B,"&lt;="&amp;'Cash Flow'!H$3)</f>
        <v>0</v>
      </c>
      <c r="I41" s="188">
        <f>SUMIFS('Wells Fargo'!$F:$F,'Wells Fargo'!$G:$G,'Cash Flow'!$A41,'Wells Fargo'!$A:$A,I$1,'Wells Fargo'!$B:$B,"&lt;="&amp;'Cash Flow'!I$3,'Wells Fargo'!$B:$B,"&gt;"&amp;'Cash Flow'!H$3)</f>
        <v>0</v>
      </c>
      <c r="J41" s="188">
        <f>SUMIFS('Wells Fargo'!$F:$F,'Wells Fargo'!$G:$G,'Cash Flow'!$A41,'Wells Fargo'!$A:$A,J$1,'Wells Fargo'!$B:$B,"&lt;="&amp;'Cash Flow'!J$3,'Wells Fargo'!$B:$B,"&gt;"&amp;'Cash Flow'!I$3)</f>
        <v>0</v>
      </c>
      <c r="K41" s="188">
        <f>SUMIFS('Wells Fargo'!$F:$F,'Wells Fargo'!$G:$G,'Cash Flow'!$A41,'Wells Fargo'!$A:$A,K$1,'Wells Fargo'!$B:$B,"&lt;="&amp;'Cash Flow'!K$3,'Wells Fargo'!$B:$B,"&gt;"&amp;'Cash Flow'!J$3)</f>
        <v>0</v>
      </c>
      <c r="L41" s="189">
        <f>SUMIFS('Wells Fargo'!$F:$F,'Wells Fargo'!$G:$G,'Cash Flow'!$A41,'Wells Fargo'!$A:$A,L$1,'Wells Fargo'!$B:$B,"&lt;="&amp;'Cash Flow'!L$3)</f>
        <v>0</v>
      </c>
      <c r="M41" s="188">
        <f>SUMIFS('Wells Fargo'!$F:$F,'Wells Fargo'!$G:$G,'Cash Flow'!$A41,'Wells Fargo'!$A:$A,M$1,'Wells Fargo'!$B:$B,"&lt;="&amp;'Cash Flow'!M$3,'Wells Fargo'!$B:$B,"&gt;"&amp;'Cash Flow'!L$3)</f>
        <v>0</v>
      </c>
      <c r="N41" s="188">
        <f>SUMIFS('Wells Fargo'!$F:$F,'Wells Fargo'!$G:$G,'Cash Flow'!$A41,'Wells Fargo'!$A:$A,N$1,'Wells Fargo'!$B:$B,"&lt;="&amp;'Cash Flow'!N$3,'Wells Fargo'!$B:$B,"&gt;"&amp;'Cash Flow'!M$3)</f>
        <v>0</v>
      </c>
      <c r="O41" s="188">
        <f>SUMIFS('Wells Fargo'!$F:$F,'Wells Fargo'!$G:$G,'Cash Flow'!$A41,'Wells Fargo'!$A:$A,O$1,'Wells Fargo'!$B:$B,"&lt;="&amp;'Cash Flow'!O$3,'Wells Fargo'!$B:$B,"&gt;"&amp;'Cash Flow'!N$3)</f>
        <v>0</v>
      </c>
      <c r="P41" s="188">
        <f>SUMIFS('Wells Fargo'!$F:$F,'Wells Fargo'!$G:$G,'Cash Flow'!$A41,'Wells Fargo'!$A:$A,P$1,'Wells Fargo'!$B:$B,"&lt;="&amp;'Cash Flow'!P$3,'Wells Fargo'!$B:$B,"&gt;"&amp;'Cash Flow'!O$3)</f>
        <v>0</v>
      </c>
      <c r="Q41" s="189">
        <f>SUMIFS('Wells Fargo'!$F:$F,'Wells Fargo'!$G:$G,'Cash Flow'!$A41,'Wells Fargo'!$A:$A,Q$1,'Wells Fargo'!$B:$B,"&lt;="&amp;'Cash Flow'!Q$3)</f>
        <v>0</v>
      </c>
      <c r="R41" s="188">
        <f>SUMIFS('Wells Fargo'!$F:$F,'Wells Fargo'!$G:$G,'Cash Flow'!$A41,'Wells Fargo'!$A:$A,R$1,'Wells Fargo'!$B:$B,"&lt;="&amp;'Cash Flow'!R$3,'Wells Fargo'!$B:$B,"&gt;"&amp;'Cash Flow'!Q$3)</f>
        <v>0</v>
      </c>
      <c r="S41" s="188">
        <f>SUMIFS('Wells Fargo'!$F:$F,'Wells Fargo'!$G:$G,'Cash Flow'!$A41,'Wells Fargo'!$A:$A,S$1,'Wells Fargo'!$B:$B,"&lt;="&amp;'Cash Flow'!S$3,'Wells Fargo'!$B:$B,"&gt;"&amp;'Cash Flow'!R$3)</f>
        <v>0</v>
      </c>
      <c r="T41" s="188">
        <f>SUMIFS('Wells Fargo'!$F:$F,'Wells Fargo'!$G:$G,'Cash Flow'!$A41,'Wells Fargo'!$A:$A,T$1,'Wells Fargo'!$B:$B,"&lt;="&amp;'Cash Flow'!T$3,'Wells Fargo'!$B:$B,"&gt;"&amp;'Cash Flow'!S$3)</f>
        <v>0</v>
      </c>
      <c r="U41" s="188">
        <f>SUMIFS('Wells Fargo'!$F:$F,'Wells Fargo'!$G:$G,'Cash Flow'!$A41,'Wells Fargo'!$A:$A,U$1,'Wells Fargo'!$B:$B,"&lt;="&amp;'Cash Flow'!U$3,'Wells Fargo'!$B:$B,"&gt;"&amp;'Cash Flow'!T$3)</f>
        <v>0</v>
      </c>
      <c r="V41" s="189">
        <f>SUMIFS('Wells Fargo'!$F:$F,'Wells Fargo'!$G:$G,'Cash Flow'!$A41,'Wells Fargo'!$A:$A,V$1,'Wells Fargo'!$B:$B,"&lt;="&amp;'Cash Flow'!V$3)</f>
        <v>0</v>
      </c>
      <c r="W41" s="188">
        <f>SUMIFS('Wells Fargo'!$F:$F,'Wells Fargo'!$G:$G,'Cash Flow'!$A41,'Wells Fargo'!$A:$A,W$1,'Wells Fargo'!$B:$B,"&lt;="&amp;'Cash Flow'!W$3,'Wells Fargo'!$B:$B,"&gt;"&amp;'Cash Flow'!V$3)</f>
        <v>0</v>
      </c>
      <c r="X41" s="188">
        <f>SUMIFS('Wells Fargo'!$F:$F,'Wells Fargo'!$G:$G,'Cash Flow'!$A41,'Wells Fargo'!$A:$A,X$1,'Wells Fargo'!$B:$B,"&lt;="&amp;'Cash Flow'!X$3,'Wells Fargo'!$B:$B,"&gt;"&amp;'Cash Flow'!W$3)</f>
        <v>0</v>
      </c>
      <c r="Y41" s="188">
        <f>SUMIFS('Wells Fargo'!$F:$F,'Wells Fargo'!$G:$G,'Cash Flow'!$A41,'Wells Fargo'!$A:$A,Y$1,'Wells Fargo'!$B:$B,"&lt;="&amp;'Cash Flow'!Y$3,'Wells Fargo'!$B:$B,"&gt;"&amp;'Cash Flow'!X$3)</f>
        <v>0</v>
      </c>
      <c r="Z41" s="188">
        <f>SUMIFS('Wells Fargo'!$F:$F,'Wells Fargo'!$G:$G,'Cash Flow'!$A41,'Wells Fargo'!$A:$A,Z$1,'Wells Fargo'!$B:$B,"&lt;="&amp;'Cash Flow'!Z$3,'Wells Fargo'!$B:$B,"&gt;"&amp;'Cash Flow'!Y$3)</f>
        <v>0</v>
      </c>
      <c r="AA41" s="189">
        <f>SUMIFS('Wells Fargo'!$F:$F,'Wells Fargo'!$G:$G,'Cash Flow'!$A41,'Wells Fargo'!$A:$A,AA$1,'Wells Fargo'!$B:$B,"&lt;="&amp;'Cash Flow'!AA$3)</f>
        <v>0</v>
      </c>
      <c r="AB41" s="188">
        <f>SUMIFS('Wells Fargo'!$F:$F,'Wells Fargo'!$G:$G,'Cash Flow'!$A41,'Wells Fargo'!$A:$A,AB$1,'Wells Fargo'!$B:$B,"&lt;="&amp;'Cash Flow'!AB$3,'Wells Fargo'!$B:$B,"&gt;"&amp;'Cash Flow'!AA$3)</f>
        <v>0</v>
      </c>
      <c r="AC41" s="188">
        <f>SUMIFS('Wells Fargo'!$F:$F,'Wells Fargo'!$G:$G,'Cash Flow'!$A41,'Wells Fargo'!$A:$A,AC$1,'Wells Fargo'!$B:$B,"&lt;="&amp;'Cash Flow'!AC$3,'Wells Fargo'!$B:$B,"&gt;"&amp;'Cash Flow'!AB$3)</f>
        <v>0</v>
      </c>
      <c r="AD41" s="188">
        <f>SUMIFS('Wells Fargo'!$F:$F,'Wells Fargo'!$G:$G,'Cash Flow'!$A41,'Wells Fargo'!$A:$A,AD$1,'Wells Fargo'!$B:$B,"&lt;="&amp;'Cash Flow'!AD$3,'Wells Fargo'!$B:$B,"&gt;"&amp;'Cash Flow'!AC$3)</f>
        <v>0</v>
      </c>
      <c r="AE41" s="188">
        <f>SUMIFS('Wells Fargo'!$F:$F,'Wells Fargo'!$G:$G,'Cash Flow'!$A41,'Wells Fargo'!$A:$A,AE$1,'Wells Fargo'!$B:$B,"&lt;="&amp;'Cash Flow'!AE$3,'Wells Fargo'!$B:$B,"&gt;"&amp;'Cash Flow'!AD$3)</f>
        <v>0</v>
      </c>
      <c r="AF41" s="189">
        <f>SUMIFS('Wells Fargo'!$F:$F,'Wells Fargo'!$G:$G,'Cash Flow'!$A41,'Wells Fargo'!$A:$A,AF$1,'Wells Fargo'!$B:$B,"&lt;="&amp;'Cash Flow'!AF$3)</f>
        <v>0</v>
      </c>
      <c r="AG41" s="188">
        <f>SUMIFS('Wells Fargo'!$F:$F,'Wells Fargo'!$G:$G,'Cash Flow'!$A41,'Wells Fargo'!$A:$A,AG$1,'Wells Fargo'!$B:$B,"&lt;="&amp;'Cash Flow'!AG$3,'Wells Fargo'!$B:$B,"&gt;"&amp;'Cash Flow'!AF$3)</f>
        <v>0</v>
      </c>
      <c r="AH41" s="188">
        <f>SUMIFS('Wells Fargo'!$F:$F,'Wells Fargo'!$G:$G,'Cash Flow'!$A41,'Wells Fargo'!$A:$A,AH$1,'Wells Fargo'!$B:$B,"&lt;="&amp;'Cash Flow'!AH$3,'Wells Fargo'!$B:$B,"&gt;"&amp;'Cash Flow'!AG$3)</f>
        <v>0</v>
      </c>
      <c r="AI41" s="188">
        <f>SUMIFS('Wells Fargo'!$F:$F,'Wells Fargo'!$G:$G,'Cash Flow'!$A41,'Wells Fargo'!$A:$A,AI$1,'Wells Fargo'!$B:$B,"&lt;="&amp;'Cash Flow'!AI$3,'Wells Fargo'!$B:$B,"&gt;"&amp;'Cash Flow'!AH$3)</f>
        <v>0</v>
      </c>
      <c r="AJ41" s="188">
        <f>SUMIFS('Wells Fargo'!$F:$F,'Wells Fargo'!$G:$G,'Cash Flow'!$A41,'Wells Fargo'!$A:$A,AJ$1,'Wells Fargo'!$B:$B,"&lt;="&amp;'Cash Flow'!AJ$3,'Wells Fargo'!$B:$B,"&gt;"&amp;'Cash Flow'!AI$3)</f>
        <v>0</v>
      </c>
      <c r="AK41" s="189">
        <f>SUMIFS('Wells Fargo'!$F:$F,'Wells Fargo'!$G:$G,'Cash Flow'!$A41,'Wells Fargo'!$A:$A,AK$1,'Wells Fargo'!$B:$B,"&lt;="&amp;'Cash Flow'!AK$3)</f>
        <v>0</v>
      </c>
      <c r="AL41" s="188">
        <f>SUMIFS('Wells Fargo'!$F:$F,'Wells Fargo'!$G:$G,'Cash Flow'!$A41,'Wells Fargo'!$A:$A,AL$1,'Wells Fargo'!$B:$B,"&lt;="&amp;'Cash Flow'!AL$3,'Wells Fargo'!$B:$B,"&gt;"&amp;'Cash Flow'!AK$3)</f>
        <v>0</v>
      </c>
      <c r="AM41" s="188">
        <f>SUMIFS('Wells Fargo'!$F:$F,'Wells Fargo'!$G:$G,'Cash Flow'!$A41,'Wells Fargo'!$A:$A,AM$1,'Wells Fargo'!$B:$B,"&lt;="&amp;'Cash Flow'!AM$3,'Wells Fargo'!$B:$B,"&gt;"&amp;'Cash Flow'!AL$3)</f>
        <v>0</v>
      </c>
      <c r="AN41" s="188">
        <f>SUMIFS('Wells Fargo'!$F:$F,'Wells Fargo'!$G:$G,'Cash Flow'!$A41,'Wells Fargo'!$A:$A,AN$1,'Wells Fargo'!$B:$B,"&lt;="&amp;'Cash Flow'!AN$3,'Wells Fargo'!$B:$B,"&gt;"&amp;'Cash Flow'!AM$3)</f>
        <v>0</v>
      </c>
      <c r="AO41" s="188">
        <f>SUMIFS('Wells Fargo'!$F:$F,'Wells Fargo'!$G:$G,'Cash Flow'!$A41,'Wells Fargo'!$A:$A,AO$1,'Wells Fargo'!$B:$B,"&lt;="&amp;'Cash Flow'!AO$3,'Wells Fargo'!$B:$B,"&gt;"&amp;'Cash Flow'!AN$3)</f>
        <v>0</v>
      </c>
      <c r="AP41" s="189">
        <f>SUMIFS('Wells Fargo'!$F:$F,'Wells Fargo'!$G:$G,'Cash Flow'!$A41,'Wells Fargo'!$A:$A,AP$1,'Wells Fargo'!$B:$B,"&lt;="&amp;'Cash Flow'!AP$3)</f>
        <v>0</v>
      </c>
      <c r="AQ41" s="188">
        <f>SUMIFS('Wells Fargo'!$F:$F,'Wells Fargo'!$G:$G,'Cash Flow'!$A41,'Wells Fargo'!$A:$A,AQ$1,'Wells Fargo'!$B:$B,"&lt;="&amp;'Cash Flow'!AQ$3,'Wells Fargo'!$B:$B,"&gt;"&amp;'Cash Flow'!AP$3)</f>
        <v>-8</v>
      </c>
      <c r="AR41" s="188">
        <f>SUMIFS('Wells Fargo'!$F:$F,'Wells Fargo'!$G:$G,'Cash Flow'!$A41,'Wells Fargo'!$A:$A,AR$1,'Wells Fargo'!$B:$B,"&lt;="&amp;'Cash Flow'!AR$3,'Wells Fargo'!$B:$B,"&gt;"&amp;'Cash Flow'!AQ$3)</f>
        <v>0</v>
      </c>
      <c r="AS41" s="188">
        <f>SUMIFS('Wells Fargo'!$F:$F,'Wells Fargo'!$G:$G,'Cash Flow'!$A41,'Wells Fargo'!$A:$A,AS$1,'Wells Fargo'!$B:$B,"&lt;="&amp;'Cash Flow'!AS$3,'Wells Fargo'!$B:$B,"&gt;"&amp;'Cash Flow'!AR$3)</f>
        <v>0</v>
      </c>
      <c r="AT41" s="188">
        <f>SUMIFS('Wells Fargo'!$F:$F,'Wells Fargo'!$G:$G,'Cash Flow'!$A41,'Wells Fargo'!$A:$A,AT$1,'Wells Fargo'!$B:$B,"&lt;="&amp;'Cash Flow'!AT$3,'Wells Fargo'!$B:$B,"&gt;"&amp;'Cash Flow'!AS$3)</f>
        <v>0</v>
      </c>
      <c r="AU41" s="189">
        <f>SUMIFS('Wells Fargo'!$F:$F,'Wells Fargo'!$G:$G,'Cash Flow'!$A41,'Wells Fargo'!$A:$A,AU$1,'Wells Fargo'!$B:$B,"&lt;="&amp;'Cash Flow'!AU$3)</f>
        <v>0</v>
      </c>
      <c r="AV41" s="188">
        <f>SUMIFS('Wells Fargo'!$F:$F,'Wells Fargo'!$G:$G,'Cash Flow'!$A41,'Wells Fargo'!$A:$A,AV$1,'Wells Fargo'!$B:$B,"&lt;="&amp;'Cash Flow'!AV$3,'Wells Fargo'!$B:$B,"&gt;"&amp;'Cash Flow'!AU$3)</f>
        <v>0</v>
      </c>
      <c r="AW41" s="188">
        <f>SUMIFS('Wells Fargo'!$F:$F,'Wells Fargo'!$G:$G,'Cash Flow'!$A41,'Wells Fargo'!$A:$A,AW$1,'Wells Fargo'!$B:$B,"&lt;="&amp;'Cash Flow'!AW$3,'Wells Fargo'!$B:$B,"&gt;"&amp;'Cash Flow'!AV$3)</f>
        <v>0</v>
      </c>
      <c r="AX41" s="188">
        <f>SUMIFS('Wells Fargo'!$F:$F,'Wells Fargo'!$G:$G,'Cash Flow'!$A41,'Wells Fargo'!$A:$A,AX$1,'Wells Fargo'!$B:$B,"&lt;="&amp;'Cash Flow'!AX$3,'Wells Fargo'!$B:$B,"&gt;"&amp;'Cash Flow'!AW$3)</f>
        <v>0</v>
      </c>
      <c r="AY41" s="188">
        <f>SUMIFS('Wells Fargo'!$F:$F,'Wells Fargo'!$G:$G,'Cash Flow'!$A41,'Wells Fargo'!$A:$A,AY$1,'Wells Fargo'!$B:$B,"&lt;="&amp;'Cash Flow'!AY$3,'Wells Fargo'!$B:$B,"&gt;"&amp;'Cash Flow'!AX$3)</f>
        <v>0</v>
      </c>
      <c r="AZ41" s="189">
        <f>SUMIFS('Wells Fargo'!$F:$F,'Wells Fargo'!$G:$G,'Cash Flow'!$A41,'Wells Fargo'!$A:$A,AZ$1,'Wells Fargo'!$B:$B,"&lt;="&amp;'Cash Flow'!AZ$3)</f>
        <v>0</v>
      </c>
      <c r="BA41" s="188">
        <f>SUMIFS('Wells Fargo'!$F:$F,'Wells Fargo'!$G:$G,'Cash Flow'!$A41,'Wells Fargo'!$A:$A,BA$1,'Wells Fargo'!$B:$B,"&lt;="&amp;'Cash Flow'!BA$3,'Wells Fargo'!$B:$B,"&gt;"&amp;'Cash Flow'!AZ$3)</f>
        <v>0</v>
      </c>
      <c r="BB41" s="188">
        <f>SUMIFS('Wells Fargo'!$F:$F,'Wells Fargo'!$G:$G,'Cash Flow'!$A41,'Wells Fargo'!$A:$A,BB$1,'Wells Fargo'!$B:$B,"&lt;="&amp;'Cash Flow'!BB$3,'Wells Fargo'!$B:$B,"&gt;"&amp;'Cash Flow'!BA$3)</f>
        <v>0</v>
      </c>
      <c r="BC41" s="188">
        <f>SUMIFS('Wells Fargo'!$F:$F,'Wells Fargo'!$G:$G,'Cash Flow'!$A41,'Wells Fargo'!$A:$A,BC$1,'Wells Fargo'!$B:$B,"&lt;="&amp;'Cash Flow'!BC$3,'Wells Fargo'!$B:$B,"&gt;"&amp;'Cash Flow'!BB$3)</f>
        <v>0</v>
      </c>
      <c r="BD41" s="188">
        <f>SUMIFS('Wells Fargo'!$F:$F,'Wells Fargo'!$G:$G,'Cash Flow'!$A41,'Wells Fargo'!$A:$A,BD$1,'Wells Fargo'!$B:$B,"&lt;="&amp;'Cash Flow'!BD$3,'Wells Fargo'!$B:$B,"&gt;"&amp;'Cash Flow'!BC$3)</f>
        <v>0</v>
      </c>
      <c r="BE41" s="189">
        <f>SUMIFS('Wells Fargo'!$F:$F,'Wells Fargo'!$G:$G,'Cash Flow'!$A41,'Wells Fargo'!$A:$A,BE$1,'Wells Fargo'!$B:$B,"&lt;="&amp;'Cash Flow'!BE$3)</f>
        <v>0</v>
      </c>
      <c r="BF41" s="188">
        <f>SUMIFS('Wells Fargo'!$F:$F,'Wells Fargo'!$G:$G,'Cash Flow'!$A41,'Wells Fargo'!$A:$A,BF$1,'Wells Fargo'!$B:$B,"&lt;="&amp;'Cash Flow'!BF$3,'Wells Fargo'!$B:$B,"&gt;"&amp;'Cash Flow'!BE$3)</f>
        <v>0</v>
      </c>
      <c r="BG41" s="188">
        <f>SUMIFS('Wells Fargo'!$F:$F,'Wells Fargo'!$G:$G,'Cash Flow'!$A41,'Wells Fargo'!$A:$A,BG$1,'Wells Fargo'!$B:$B,"&lt;="&amp;'Cash Flow'!BG$3,'Wells Fargo'!$B:$B,"&gt;"&amp;'Cash Flow'!BF$3)</f>
        <v>0</v>
      </c>
      <c r="BH41" s="188">
        <f>SUMIFS('Wells Fargo'!$F:$F,'Wells Fargo'!$G:$G,'Cash Flow'!$A41,'Wells Fargo'!$A:$A,BH$1,'Wells Fargo'!$B:$B,"&lt;="&amp;'Cash Flow'!BH$3,'Wells Fargo'!$B:$B,"&gt;"&amp;'Cash Flow'!BG$3)</f>
        <v>0</v>
      </c>
      <c r="BI41" s="188">
        <f>SUMIFS('Wells Fargo'!$F:$F,'Wells Fargo'!$G:$G,'Cash Flow'!$A41,'Wells Fargo'!$A:$A,BI$1,'Wells Fargo'!$B:$B,"&lt;="&amp;'Cash Flow'!BI$3,'Wells Fargo'!$B:$B,"&gt;"&amp;'Cash Flow'!BH$3)</f>
        <v>0</v>
      </c>
    </row>
    <row r="42" spans="1:61" ht="12.75" x14ac:dyDescent="0.2">
      <c r="A42" t="str">
        <v>Nate</v>
      </c>
      <c r="B42" s="87">
        <f t="shared" si="1"/>
        <v>-250</v>
      </c>
      <c r="C42" s="189">
        <f>SUMIFS('Wells Fargo'!$F:$F,'Wells Fargo'!$G:$G,'Cash Flow'!$A42,'Wells Fargo'!$A:$A,C$1,'Wells Fargo'!$B:$B,"&lt;="&amp;'Cash Flow'!C$3)</f>
        <v>0</v>
      </c>
      <c r="D42" s="188">
        <f>SUMIFS('Wells Fargo'!$F:$F,'Wells Fargo'!$G:$G,'Cash Flow'!$A42,'Wells Fargo'!$A:$A,D$1,'Wells Fargo'!$B:$B,"&lt;="&amp;'Cash Flow'!D$3,'Wells Fargo'!$B:$B,"&gt;"&amp;'Cash Flow'!C$3)</f>
        <v>0</v>
      </c>
      <c r="E42" s="188">
        <f>SUMIFS('Wells Fargo'!$F:$F,'Wells Fargo'!$G:$G,'Cash Flow'!$A42,'Wells Fargo'!$A:$A,E$1,'Wells Fargo'!$B:$B,"&lt;="&amp;'Cash Flow'!E$3,'Wells Fargo'!$B:$B,"&gt;"&amp;'Cash Flow'!D$3)</f>
        <v>0</v>
      </c>
      <c r="F42" s="188">
        <f>SUMIFS('Wells Fargo'!$F:$F,'Wells Fargo'!$G:$G,'Cash Flow'!$A42,'Wells Fargo'!$A:$A,F$1,'Wells Fargo'!$B:$B,"&lt;="&amp;'Cash Flow'!F$3,'Wells Fargo'!$B:$B,"&gt;"&amp;'Cash Flow'!E$3)</f>
        <v>0</v>
      </c>
      <c r="G42" s="188">
        <f>SUMIFS('Wells Fargo'!$F:$F,'Wells Fargo'!$G:$G,'Cash Flow'!$A42,'Wells Fargo'!$A:$A,G$1,'Wells Fargo'!$B:$B,"&lt;="&amp;'Cash Flow'!G$3,'Wells Fargo'!$B:$B,"&gt;"&amp;'Cash Flow'!F$3)</f>
        <v>0</v>
      </c>
      <c r="H42" s="189">
        <f>SUMIFS('Wells Fargo'!$F:$F,'Wells Fargo'!$G:$G,'Cash Flow'!$A42,'Wells Fargo'!$A:$A,H$1,'Wells Fargo'!$B:$B,"&lt;="&amp;'Cash Flow'!H$3)</f>
        <v>0</v>
      </c>
      <c r="I42" s="188">
        <f>SUMIFS('Wells Fargo'!$F:$F,'Wells Fargo'!$G:$G,'Cash Flow'!$A42,'Wells Fargo'!$A:$A,I$1,'Wells Fargo'!$B:$B,"&lt;="&amp;'Cash Flow'!I$3,'Wells Fargo'!$B:$B,"&gt;"&amp;'Cash Flow'!H$3)</f>
        <v>0</v>
      </c>
      <c r="J42" s="188">
        <f>SUMIFS('Wells Fargo'!$F:$F,'Wells Fargo'!$G:$G,'Cash Flow'!$A42,'Wells Fargo'!$A:$A,J$1,'Wells Fargo'!$B:$B,"&lt;="&amp;'Cash Flow'!J$3,'Wells Fargo'!$B:$B,"&gt;"&amp;'Cash Flow'!I$3)</f>
        <v>0</v>
      </c>
      <c r="K42" s="188">
        <f>SUMIFS('Wells Fargo'!$F:$F,'Wells Fargo'!$G:$G,'Cash Flow'!$A42,'Wells Fargo'!$A:$A,K$1,'Wells Fargo'!$B:$B,"&lt;="&amp;'Cash Flow'!K$3,'Wells Fargo'!$B:$B,"&gt;"&amp;'Cash Flow'!J$3)</f>
        <v>0</v>
      </c>
      <c r="L42" s="189">
        <f>SUMIFS('Wells Fargo'!$F:$F,'Wells Fargo'!$G:$G,'Cash Flow'!$A42,'Wells Fargo'!$A:$A,L$1,'Wells Fargo'!$B:$B,"&lt;="&amp;'Cash Flow'!L$3)</f>
        <v>0</v>
      </c>
      <c r="M42" s="188">
        <f>SUMIFS('Wells Fargo'!$F:$F,'Wells Fargo'!$G:$G,'Cash Flow'!$A42,'Wells Fargo'!$A:$A,M$1,'Wells Fargo'!$B:$B,"&lt;="&amp;'Cash Flow'!M$3,'Wells Fargo'!$B:$B,"&gt;"&amp;'Cash Flow'!L$3)</f>
        <v>0</v>
      </c>
      <c r="N42" s="188">
        <f>SUMIFS('Wells Fargo'!$F:$F,'Wells Fargo'!$G:$G,'Cash Flow'!$A42,'Wells Fargo'!$A:$A,N$1,'Wells Fargo'!$B:$B,"&lt;="&amp;'Cash Flow'!N$3,'Wells Fargo'!$B:$B,"&gt;"&amp;'Cash Flow'!M$3)</f>
        <v>0</v>
      </c>
      <c r="O42" s="188">
        <f>SUMIFS('Wells Fargo'!$F:$F,'Wells Fargo'!$G:$G,'Cash Flow'!$A42,'Wells Fargo'!$A:$A,O$1,'Wells Fargo'!$B:$B,"&lt;="&amp;'Cash Flow'!O$3,'Wells Fargo'!$B:$B,"&gt;"&amp;'Cash Flow'!N$3)</f>
        <v>0</v>
      </c>
      <c r="P42" s="188">
        <f>SUMIFS('Wells Fargo'!$F:$F,'Wells Fargo'!$G:$G,'Cash Flow'!$A42,'Wells Fargo'!$A:$A,P$1,'Wells Fargo'!$B:$B,"&lt;="&amp;'Cash Flow'!P$3,'Wells Fargo'!$B:$B,"&gt;"&amp;'Cash Flow'!O$3)</f>
        <v>0</v>
      </c>
      <c r="Q42" s="189">
        <f>SUMIFS('Wells Fargo'!$F:$F,'Wells Fargo'!$G:$G,'Cash Flow'!$A42,'Wells Fargo'!$A:$A,Q$1,'Wells Fargo'!$B:$B,"&lt;="&amp;'Cash Flow'!Q$3)</f>
        <v>0</v>
      </c>
      <c r="R42" s="188">
        <f>SUMIFS('Wells Fargo'!$F:$F,'Wells Fargo'!$G:$G,'Cash Flow'!$A42,'Wells Fargo'!$A:$A,R$1,'Wells Fargo'!$B:$B,"&lt;="&amp;'Cash Flow'!R$3,'Wells Fargo'!$B:$B,"&gt;"&amp;'Cash Flow'!Q$3)</f>
        <v>0</v>
      </c>
      <c r="S42" s="188">
        <f>SUMIFS('Wells Fargo'!$F:$F,'Wells Fargo'!$G:$G,'Cash Flow'!$A42,'Wells Fargo'!$A:$A,S$1,'Wells Fargo'!$B:$B,"&lt;="&amp;'Cash Flow'!S$3,'Wells Fargo'!$B:$B,"&gt;"&amp;'Cash Flow'!R$3)</f>
        <v>0</v>
      </c>
      <c r="T42" s="188">
        <f>SUMIFS('Wells Fargo'!$F:$F,'Wells Fargo'!$G:$G,'Cash Flow'!$A42,'Wells Fargo'!$A:$A,T$1,'Wells Fargo'!$B:$B,"&lt;="&amp;'Cash Flow'!T$3,'Wells Fargo'!$B:$B,"&gt;"&amp;'Cash Flow'!S$3)</f>
        <v>0</v>
      </c>
      <c r="U42" s="188">
        <f>SUMIFS('Wells Fargo'!$F:$F,'Wells Fargo'!$G:$G,'Cash Flow'!$A42,'Wells Fargo'!$A:$A,U$1,'Wells Fargo'!$B:$B,"&lt;="&amp;'Cash Flow'!U$3,'Wells Fargo'!$B:$B,"&gt;"&amp;'Cash Flow'!T$3)</f>
        <v>0</v>
      </c>
      <c r="V42" s="189">
        <f>SUMIFS('Wells Fargo'!$F:$F,'Wells Fargo'!$G:$G,'Cash Flow'!$A42,'Wells Fargo'!$A:$A,V$1,'Wells Fargo'!$B:$B,"&lt;="&amp;'Cash Flow'!V$3)</f>
        <v>0</v>
      </c>
      <c r="W42" s="188">
        <f>SUMIFS('Wells Fargo'!$F:$F,'Wells Fargo'!$G:$G,'Cash Flow'!$A42,'Wells Fargo'!$A:$A,W$1,'Wells Fargo'!$B:$B,"&lt;="&amp;'Cash Flow'!W$3,'Wells Fargo'!$B:$B,"&gt;"&amp;'Cash Flow'!V$3)</f>
        <v>0</v>
      </c>
      <c r="X42" s="188">
        <f>SUMIFS('Wells Fargo'!$F:$F,'Wells Fargo'!$G:$G,'Cash Flow'!$A42,'Wells Fargo'!$A:$A,X$1,'Wells Fargo'!$B:$B,"&lt;="&amp;'Cash Flow'!X$3,'Wells Fargo'!$B:$B,"&gt;"&amp;'Cash Flow'!W$3)</f>
        <v>0</v>
      </c>
      <c r="Y42" s="188">
        <f>SUMIFS('Wells Fargo'!$F:$F,'Wells Fargo'!$G:$G,'Cash Flow'!$A42,'Wells Fargo'!$A:$A,Y$1,'Wells Fargo'!$B:$B,"&lt;="&amp;'Cash Flow'!Y$3,'Wells Fargo'!$B:$B,"&gt;"&amp;'Cash Flow'!X$3)</f>
        <v>-50</v>
      </c>
      <c r="Z42" s="188">
        <f>SUMIFS('Wells Fargo'!$F:$F,'Wells Fargo'!$G:$G,'Cash Flow'!$A42,'Wells Fargo'!$A:$A,Z$1,'Wells Fargo'!$B:$B,"&lt;="&amp;'Cash Flow'!Z$3,'Wells Fargo'!$B:$B,"&gt;"&amp;'Cash Flow'!Y$3)</f>
        <v>0</v>
      </c>
      <c r="AA42" s="189">
        <f>SUMIFS('Wells Fargo'!$F:$F,'Wells Fargo'!$G:$G,'Cash Flow'!$A42,'Wells Fargo'!$A:$A,AA$1,'Wells Fargo'!$B:$B,"&lt;="&amp;'Cash Flow'!AA$3)</f>
        <v>0</v>
      </c>
      <c r="AB42" s="188">
        <f>SUMIFS('Wells Fargo'!$F:$F,'Wells Fargo'!$G:$G,'Cash Flow'!$A42,'Wells Fargo'!$A:$A,AB$1,'Wells Fargo'!$B:$B,"&lt;="&amp;'Cash Flow'!AB$3,'Wells Fargo'!$B:$B,"&gt;"&amp;'Cash Flow'!AA$3)</f>
        <v>0</v>
      </c>
      <c r="AC42" s="188">
        <f>SUMIFS('Wells Fargo'!$F:$F,'Wells Fargo'!$G:$G,'Cash Flow'!$A42,'Wells Fargo'!$A:$A,AC$1,'Wells Fargo'!$B:$B,"&lt;="&amp;'Cash Flow'!AC$3,'Wells Fargo'!$B:$B,"&gt;"&amp;'Cash Flow'!AB$3)</f>
        <v>-200</v>
      </c>
      <c r="AD42" s="188">
        <f>SUMIFS('Wells Fargo'!$F:$F,'Wells Fargo'!$G:$G,'Cash Flow'!$A42,'Wells Fargo'!$A:$A,AD$1,'Wells Fargo'!$B:$B,"&lt;="&amp;'Cash Flow'!AD$3,'Wells Fargo'!$B:$B,"&gt;"&amp;'Cash Flow'!AC$3)</f>
        <v>0</v>
      </c>
      <c r="AE42" s="188">
        <f>SUMIFS('Wells Fargo'!$F:$F,'Wells Fargo'!$G:$G,'Cash Flow'!$A42,'Wells Fargo'!$A:$A,AE$1,'Wells Fargo'!$B:$B,"&lt;="&amp;'Cash Flow'!AE$3,'Wells Fargo'!$B:$B,"&gt;"&amp;'Cash Flow'!AD$3)</f>
        <v>0</v>
      </c>
      <c r="AF42" s="189">
        <f>SUMIFS('Wells Fargo'!$F:$F,'Wells Fargo'!$G:$G,'Cash Flow'!$A42,'Wells Fargo'!$A:$A,AF$1,'Wells Fargo'!$B:$B,"&lt;="&amp;'Cash Flow'!AF$3)</f>
        <v>0</v>
      </c>
      <c r="AG42" s="188">
        <f>SUMIFS('Wells Fargo'!$F:$F,'Wells Fargo'!$G:$G,'Cash Flow'!$A42,'Wells Fargo'!$A:$A,AG$1,'Wells Fargo'!$B:$B,"&lt;="&amp;'Cash Flow'!AG$3,'Wells Fargo'!$B:$B,"&gt;"&amp;'Cash Flow'!AF$3)</f>
        <v>0</v>
      </c>
      <c r="AH42" s="188">
        <f>SUMIFS('Wells Fargo'!$F:$F,'Wells Fargo'!$G:$G,'Cash Flow'!$A42,'Wells Fargo'!$A:$A,AH$1,'Wells Fargo'!$B:$B,"&lt;="&amp;'Cash Flow'!AH$3,'Wells Fargo'!$B:$B,"&gt;"&amp;'Cash Flow'!AG$3)</f>
        <v>0</v>
      </c>
      <c r="AI42" s="188">
        <f>SUMIFS('Wells Fargo'!$F:$F,'Wells Fargo'!$G:$G,'Cash Flow'!$A42,'Wells Fargo'!$A:$A,AI$1,'Wells Fargo'!$B:$B,"&lt;="&amp;'Cash Flow'!AI$3,'Wells Fargo'!$B:$B,"&gt;"&amp;'Cash Flow'!AH$3)</f>
        <v>0</v>
      </c>
      <c r="AJ42" s="188">
        <f>SUMIFS('Wells Fargo'!$F:$F,'Wells Fargo'!$G:$G,'Cash Flow'!$A42,'Wells Fargo'!$A:$A,AJ$1,'Wells Fargo'!$B:$B,"&lt;="&amp;'Cash Flow'!AJ$3,'Wells Fargo'!$B:$B,"&gt;"&amp;'Cash Flow'!AI$3)</f>
        <v>0</v>
      </c>
      <c r="AK42" s="189">
        <f>SUMIFS('Wells Fargo'!$F:$F,'Wells Fargo'!$G:$G,'Cash Flow'!$A42,'Wells Fargo'!$A:$A,AK$1,'Wells Fargo'!$B:$B,"&lt;="&amp;'Cash Flow'!AK$3)</f>
        <v>0</v>
      </c>
      <c r="AL42" s="188">
        <f>SUMIFS('Wells Fargo'!$F:$F,'Wells Fargo'!$G:$G,'Cash Flow'!$A42,'Wells Fargo'!$A:$A,AL$1,'Wells Fargo'!$B:$B,"&lt;="&amp;'Cash Flow'!AL$3,'Wells Fargo'!$B:$B,"&gt;"&amp;'Cash Flow'!AK$3)</f>
        <v>0</v>
      </c>
      <c r="AM42" s="188">
        <f>SUMIFS('Wells Fargo'!$F:$F,'Wells Fargo'!$G:$G,'Cash Flow'!$A42,'Wells Fargo'!$A:$A,AM$1,'Wells Fargo'!$B:$B,"&lt;="&amp;'Cash Flow'!AM$3,'Wells Fargo'!$B:$B,"&gt;"&amp;'Cash Flow'!AL$3)</f>
        <v>0</v>
      </c>
      <c r="AN42" s="188">
        <f>SUMIFS('Wells Fargo'!$F:$F,'Wells Fargo'!$G:$G,'Cash Flow'!$A42,'Wells Fargo'!$A:$A,AN$1,'Wells Fargo'!$B:$B,"&lt;="&amp;'Cash Flow'!AN$3,'Wells Fargo'!$B:$B,"&gt;"&amp;'Cash Flow'!AM$3)</f>
        <v>0</v>
      </c>
      <c r="AO42" s="188">
        <f>SUMIFS('Wells Fargo'!$F:$F,'Wells Fargo'!$G:$G,'Cash Flow'!$A42,'Wells Fargo'!$A:$A,AO$1,'Wells Fargo'!$B:$B,"&lt;="&amp;'Cash Flow'!AO$3,'Wells Fargo'!$B:$B,"&gt;"&amp;'Cash Flow'!AN$3)</f>
        <v>0</v>
      </c>
      <c r="AP42" s="189">
        <f>SUMIFS('Wells Fargo'!$F:$F,'Wells Fargo'!$G:$G,'Cash Flow'!$A42,'Wells Fargo'!$A:$A,AP$1,'Wells Fargo'!$B:$B,"&lt;="&amp;'Cash Flow'!AP$3)</f>
        <v>0</v>
      </c>
      <c r="AQ42" s="188">
        <f>SUMIFS('Wells Fargo'!$F:$F,'Wells Fargo'!$G:$G,'Cash Flow'!$A42,'Wells Fargo'!$A:$A,AQ$1,'Wells Fargo'!$B:$B,"&lt;="&amp;'Cash Flow'!AQ$3,'Wells Fargo'!$B:$B,"&gt;"&amp;'Cash Flow'!AP$3)</f>
        <v>0</v>
      </c>
      <c r="AR42" s="188">
        <f>SUMIFS('Wells Fargo'!$F:$F,'Wells Fargo'!$G:$G,'Cash Flow'!$A42,'Wells Fargo'!$A:$A,AR$1,'Wells Fargo'!$B:$B,"&lt;="&amp;'Cash Flow'!AR$3,'Wells Fargo'!$B:$B,"&gt;"&amp;'Cash Flow'!AQ$3)</f>
        <v>0</v>
      </c>
      <c r="AS42" s="188">
        <f>SUMIFS('Wells Fargo'!$F:$F,'Wells Fargo'!$G:$G,'Cash Flow'!$A42,'Wells Fargo'!$A:$A,AS$1,'Wells Fargo'!$B:$B,"&lt;="&amp;'Cash Flow'!AS$3,'Wells Fargo'!$B:$B,"&gt;"&amp;'Cash Flow'!AR$3)</f>
        <v>0</v>
      </c>
      <c r="AT42" s="188">
        <f>SUMIFS('Wells Fargo'!$F:$F,'Wells Fargo'!$G:$G,'Cash Flow'!$A42,'Wells Fargo'!$A:$A,AT$1,'Wells Fargo'!$B:$B,"&lt;="&amp;'Cash Flow'!AT$3,'Wells Fargo'!$B:$B,"&gt;"&amp;'Cash Flow'!AS$3)</f>
        <v>0</v>
      </c>
      <c r="AU42" s="189">
        <f>SUMIFS('Wells Fargo'!$F:$F,'Wells Fargo'!$G:$G,'Cash Flow'!$A42,'Wells Fargo'!$A:$A,AU$1,'Wells Fargo'!$B:$B,"&lt;="&amp;'Cash Flow'!AU$3)</f>
        <v>0</v>
      </c>
      <c r="AV42" s="188">
        <f>SUMIFS('Wells Fargo'!$F:$F,'Wells Fargo'!$G:$G,'Cash Flow'!$A42,'Wells Fargo'!$A:$A,AV$1,'Wells Fargo'!$B:$B,"&lt;="&amp;'Cash Flow'!AV$3,'Wells Fargo'!$B:$B,"&gt;"&amp;'Cash Flow'!AU$3)</f>
        <v>0</v>
      </c>
      <c r="AW42" s="188">
        <f>SUMIFS('Wells Fargo'!$F:$F,'Wells Fargo'!$G:$G,'Cash Flow'!$A42,'Wells Fargo'!$A:$A,AW$1,'Wells Fargo'!$B:$B,"&lt;="&amp;'Cash Flow'!AW$3,'Wells Fargo'!$B:$B,"&gt;"&amp;'Cash Flow'!AV$3)</f>
        <v>0</v>
      </c>
      <c r="AX42" s="188">
        <f>SUMIFS('Wells Fargo'!$F:$F,'Wells Fargo'!$G:$G,'Cash Flow'!$A42,'Wells Fargo'!$A:$A,AX$1,'Wells Fargo'!$B:$B,"&lt;="&amp;'Cash Flow'!AX$3,'Wells Fargo'!$B:$B,"&gt;"&amp;'Cash Flow'!AW$3)</f>
        <v>0</v>
      </c>
      <c r="AY42" s="188">
        <f>SUMIFS('Wells Fargo'!$F:$F,'Wells Fargo'!$G:$G,'Cash Flow'!$A42,'Wells Fargo'!$A:$A,AY$1,'Wells Fargo'!$B:$B,"&lt;="&amp;'Cash Flow'!AY$3,'Wells Fargo'!$B:$B,"&gt;"&amp;'Cash Flow'!AX$3)</f>
        <v>0</v>
      </c>
      <c r="AZ42" s="189">
        <f>SUMIFS('Wells Fargo'!$F:$F,'Wells Fargo'!$G:$G,'Cash Flow'!$A42,'Wells Fargo'!$A:$A,AZ$1,'Wells Fargo'!$B:$B,"&lt;="&amp;'Cash Flow'!AZ$3)</f>
        <v>0</v>
      </c>
      <c r="BA42" s="188">
        <f>SUMIFS('Wells Fargo'!$F:$F,'Wells Fargo'!$G:$G,'Cash Flow'!$A42,'Wells Fargo'!$A:$A,BA$1,'Wells Fargo'!$B:$B,"&lt;="&amp;'Cash Flow'!BA$3,'Wells Fargo'!$B:$B,"&gt;"&amp;'Cash Flow'!AZ$3)</f>
        <v>0</v>
      </c>
      <c r="BB42" s="188">
        <f>SUMIFS('Wells Fargo'!$F:$F,'Wells Fargo'!$G:$G,'Cash Flow'!$A42,'Wells Fargo'!$A:$A,BB$1,'Wells Fargo'!$B:$B,"&lt;="&amp;'Cash Flow'!BB$3,'Wells Fargo'!$B:$B,"&gt;"&amp;'Cash Flow'!BA$3)</f>
        <v>0</v>
      </c>
      <c r="BC42" s="188">
        <f>SUMIFS('Wells Fargo'!$F:$F,'Wells Fargo'!$G:$G,'Cash Flow'!$A42,'Wells Fargo'!$A:$A,BC$1,'Wells Fargo'!$B:$B,"&lt;="&amp;'Cash Flow'!BC$3,'Wells Fargo'!$B:$B,"&gt;"&amp;'Cash Flow'!BB$3)</f>
        <v>0</v>
      </c>
      <c r="BD42" s="188">
        <f>SUMIFS('Wells Fargo'!$F:$F,'Wells Fargo'!$G:$G,'Cash Flow'!$A42,'Wells Fargo'!$A:$A,BD$1,'Wells Fargo'!$B:$B,"&lt;="&amp;'Cash Flow'!BD$3,'Wells Fargo'!$B:$B,"&gt;"&amp;'Cash Flow'!BC$3)</f>
        <v>0</v>
      </c>
      <c r="BE42" s="189">
        <f>SUMIFS('Wells Fargo'!$F:$F,'Wells Fargo'!$G:$G,'Cash Flow'!$A42,'Wells Fargo'!$A:$A,BE$1,'Wells Fargo'!$B:$B,"&lt;="&amp;'Cash Flow'!BE$3)</f>
        <v>0</v>
      </c>
      <c r="BF42" s="188">
        <f>SUMIFS('Wells Fargo'!$F:$F,'Wells Fargo'!$G:$G,'Cash Flow'!$A42,'Wells Fargo'!$A:$A,BF$1,'Wells Fargo'!$B:$B,"&lt;="&amp;'Cash Flow'!BF$3,'Wells Fargo'!$B:$B,"&gt;"&amp;'Cash Flow'!BE$3)</f>
        <v>0</v>
      </c>
      <c r="BG42" s="188">
        <f>SUMIFS('Wells Fargo'!$F:$F,'Wells Fargo'!$G:$G,'Cash Flow'!$A42,'Wells Fargo'!$A:$A,BG$1,'Wells Fargo'!$B:$B,"&lt;="&amp;'Cash Flow'!BG$3,'Wells Fargo'!$B:$B,"&gt;"&amp;'Cash Flow'!BF$3)</f>
        <v>0</v>
      </c>
      <c r="BH42" s="188">
        <f>SUMIFS('Wells Fargo'!$F:$F,'Wells Fargo'!$G:$G,'Cash Flow'!$A42,'Wells Fargo'!$A:$A,BH$1,'Wells Fargo'!$B:$B,"&lt;="&amp;'Cash Flow'!BH$3,'Wells Fargo'!$B:$B,"&gt;"&amp;'Cash Flow'!BG$3)</f>
        <v>0</v>
      </c>
      <c r="BI42" s="188">
        <f>SUMIFS('Wells Fargo'!$F:$F,'Wells Fargo'!$G:$G,'Cash Flow'!$A42,'Wells Fargo'!$A:$A,BI$1,'Wells Fargo'!$B:$B,"&lt;="&amp;'Cash Flow'!BI$3,'Wells Fargo'!$B:$B,"&gt;"&amp;'Cash Flow'!BH$3)</f>
        <v>0</v>
      </c>
    </row>
    <row r="43" spans="1:61" ht="12.75" x14ac:dyDescent="0.2">
      <c r="A43" t="str">
        <v>Nationwide</v>
      </c>
      <c r="B43" s="87">
        <f t="shared" si="1"/>
        <v>23448.85</v>
      </c>
      <c r="C43" s="189">
        <f>SUMIFS('Wells Fargo'!$F:$F,'Wells Fargo'!$G:$G,'Cash Flow'!$A43,'Wells Fargo'!$A:$A,C$1,'Wells Fargo'!$B:$B,"&lt;="&amp;'Cash Flow'!C$3)</f>
        <v>0</v>
      </c>
      <c r="D43" s="188">
        <f>SUMIFS('Wells Fargo'!$F:$F,'Wells Fargo'!$G:$G,'Cash Flow'!$A43,'Wells Fargo'!$A:$A,D$1,'Wells Fargo'!$B:$B,"&lt;="&amp;'Cash Flow'!D$3,'Wells Fargo'!$B:$B,"&gt;"&amp;'Cash Flow'!C$3)</f>
        <v>0</v>
      </c>
      <c r="E43" s="188">
        <f>SUMIFS('Wells Fargo'!$F:$F,'Wells Fargo'!$G:$G,'Cash Flow'!$A43,'Wells Fargo'!$A:$A,E$1,'Wells Fargo'!$B:$B,"&lt;="&amp;'Cash Flow'!E$3,'Wells Fargo'!$B:$B,"&gt;"&amp;'Cash Flow'!D$3)</f>
        <v>0</v>
      </c>
      <c r="F43" s="188">
        <f>SUMIFS('Wells Fargo'!$F:$F,'Wells Fargo'!$G:$G,'Cash Flow'!$A43,'Wells Fargo'!$A:$A,F$1,'Wells Fargo'!$B:$B,"&lt;="&amp;'Cash Flow'!F$3,'Wells Fargo'!$B:$B,"&gt;"&amp;'Cash Flow'!E$3)</f>
        <v>0</v>
      </c>
      <c r="G43" s="188">
        <f>SUMIFS('Wells Fargo'!$F:$F,'Wells Fargo'!$G:$G,'Cash Flow'!$A43,'Wells Fargo'!$A:$A,G$1,'Wells Fargo'!$B:$B,"&lt;="&amp;'Cash Flow'!G$3,'Wells Fargo'!$B:$B,"&gt;"&amp;'Cash Flow'!F$3)</f>
        <v>0</v>
      </c>
      <c r="H43" s="189">
        <f>SUMIFS('Wells Fargo'!$F:$F,'Wells Fargo'!$G:$G,'Cash Flow'!$A43,'Wells Fargo'!$A:$A,H$1,'Wells Fargo'!$B:$B,"&lt;="&amp;'Cash Flow'!H$3)</f>
        <v>0</v>
      </c>
      <c r="I43" s="188">
        <f>SUMIFS('Wells Fargo'!$F:$F,'Wells Fargo'!$G:$G,'Cash Flow'!$A43,'Wells Fargo'!$A:$A,I$1,'Wells Fargo'!$B:$B,"&lt;="&amp;'Cash Flow'!I$3,'Wells Fargo'!$B:$B,"&gt;"&amp;'Cash Flow'!H$3)</f>
        <v>0</v>
      </c>
      <c r="J43" s="188">
        <f>SUMIFS('Wells Fargo'!$F:$F,'Wells Fargo'!$G:$G,'Cash Flow'!$A43,'Wells Fargo'!$A:$A,J$1,'Wells Fargo'!$B:$B,"&lt;="&amp;'Cash Flow'!J$3,'Wells Fargo'!$B:$B,"&gt;"&amp;'Cash Flow'!I$3)</f>
        <v>0</v>
      </c>
      <c r="K43" s="188">
        <f>SUMIFS('Wells Fargo'!$F:$F,'Wells Fargo'!$G:$G,'Cash Flow'!$A43,'Wells Fargo'!$A:$A,K$1,'Wells Fargo'!$B:$B,"&lt;="&amp;'Cash Flow'!K$3,'Wells Fargo'!$B:$B,"&gt;"&amp;'Cash Flow'!J$3)</f>
        <v>0</v>
      </c>
      <c r="L43" s="189">
        <f>SUMIFS('Wells Fargo'!$F:$F,'Wells Fargo'!$G:$G,'Cash Flow'!$A43,'Wells Fargo'!$A:$A,L$1,'Wells Fargo'!$B:$B,"&lt;="&amp;'Cash Flow'!L$3)</f>
        <v>0</v>
      </c>
      <c r="M43" s="188">
        <f>SUMIFS('Wells Fargo'!$F:$F,'Wells Fargo'!$G:$G,'Cash Flow'!$A43,'Wells Fargo'!$A:$A,M$1,'Wells Fargo'!$B:$B,"&lt;="&amp;'Cash Flow'!M$3,'Wells Fargo'!$B:$B,"&gt;"&amp;'Cash Flow'!L$3)</f>
        <v>0</v>
      </c>
      <c r="N43" s="188">
        <f>SUMIFS('Wells Fargo'!$F:$F,'Wells Fargo'!$G:$G,'Cash Flow'!$A43,'Wells Fargo'!$A:$A,N$1,'Wells Fargo'!$B:$B,"&lt;="&amp;'Cash Flow'!N$3,'Wells Fargo'!$B:$B,"&gt;"&amp;'Cash Flow'!M$3)</f>
        <v>0</v>
      </c>
      <c r="O43" s="188">
        <f>SUMIFS('Wells Fargo'!$F:$F,'Wells Fargo'!$G:$G,'Cash Flow'!$A43,'Wells Fargo'!$A:$A,O$1,'Wells Fargo'!$B:$B,"&lt;="&amp;'Cash Flow'!O$3,'Wells Fargo'!$B:$B,"&gt;"&amp;'Cash Flow'!N$3)</f>
        <v>0</v>
      </c>
      <c r="P43" s="188">
        <f>SUMIFS('Wells Fargo'!$F:$F,'Wells Fargo'!$G:$G,'Cash Flow'!$A43,'Wells Fargo'!$A:$A,P$1,'Wells Fargo'!$B:$B,"&lt;="&amp;'Cash Flow'!P$3,'Wells Fargo'!$B:$B,"&gt;"&amp;'Cash Flow'!O$3)</f>
        <v>0</v>
      </c>
      <c r="Q43" s="189">
        <f>SUMIFS('Wells Fargo'!$F:$F,'Wells Fargo'!$G:$G,'Cash Flow'!$A43,'Wells Fargo'!$A:$A,Q$1,'Wells Fargo'!$B:$B,"&lt;="&amp;'Cash Flow'!Q$3)</f>
        <v>0</v>
      </c>
      <c r="R43" s="188">
        <f>SUMIFS('Wells Fargo'!$F:$F,'Wells Fargo'!$G:$G,'Cash Flow'!$A43,'Wells Fargo'!$A:$A,R$1,'Wells Fargo'!$B:$B,"&lt;="&amp;'Cash Flow'!R$3,'Wells Fargo'!$B:$B,"&gt;"&amp;'Cash Flow'!Q$3)</f>
        <v>0</v>
      </c>
      <c r="S43" s="188">
        <f>SUMIFS('Wells Fargo'!$F:$F,'Wells Fargo'!$G:$G,'Cash Flow'!$A43,'Wells Fargo'!$A:$A,S$1,'Wells Fargo'!$B:$B,"&lt;="&amp;'Cash Flow'!S$3,'Wells Fargo'!$B:$B,"&gt;"&amp;'Cash Flow'!R$3)</f>
        <v>0</v>
      </c>
      <c r="T43" s="188">
        <f>SUMIFS('Wells Fargo'!$F:$F,'Wells Fargo'!$G:$G,'Cash Flow'!$A43,'Wells Fargo'!$A:$A,T$1,'Wells Fargo'!$B:$B,"&lt;="&amp;'Cash Flow'!T$3,'Wells Fargo'!$B:$B,"&gt;"&amp;'Cash Flow'!S$3)</f>
        <v>0</v>
      </c>
      <c r="U43" s="188">
        <f>SUMIFS('Wells Fargo'!$F:$F,'Wells Fargo'!$G:$G,'Cash Flow'!$A43,'Wells Fargo'!$A:$A,U$1,'Wells Fargo'!$B:$B,"&lt;="&amp;'Cash Flow'!U$3,'Wells Fargo'!$B:$B,"&gt;"&amp;'Cash Flow'!T$3)</f>
        <v>0</v>
      </c>
      <c r="V43" s="189">
        <f>SUMIFS('Wells Fargo'!$F:$F,'Wells Fargo'!$G:$G,'Cash Flow'!$A43,'Wells Fargo'!$A:$A,V$1,'Wells Fargo'!$B:$B,"&lt;="&amp;'Cash Flow'!V$3)</f>
        <v>0</v>
      </c>
      <c r="W43" s="188">
        <f>SUMIFS('Wells Fargo'!$F:$F,'Wells Fargo'!$G:$G,'Cash Flow'!$A43,'Wells Fargo'!$A:$A,W$1,'Wells Fargo'!$B:$B,"&lt;="&amp;'Cash Flow'!W$3,'Wells Fargo'!$B:$B,"&gt;"&amp;'Cash Flow'!V$3)</f>
        <v>0</v>
      </c>
      <c r="X43" s="188">
        <f>SUMIFS('Wells Fargo'!$F:$F,'Wells Fargo'!$G:$G,'Cash Flow'!$A43,'Wells Fargo'!$A:$A,X$1,'Wells Fargo'!$B:$B,"&lt;="&amp;'Cash Flow'!X$3,'Wells Fargo'!$B:$B,"&gt;"&amp;'Cash Flow'!W$3)</f>
        <v>0</v>
      </c>
      <c r="Y43" s="188">
        <f>SUMIFS('Wells Fargo'!$F:$F,'Wells Fargo'!$G:$G,'Cash Flow'!$A43,'Wells Fargo'!$A:$A,Y$1,'Wells Fargo'!$B:$B,"&lt;="&amp;'Cash Flow'!Y$3,'Wells Fargo'!$B:$B,"&gt;"&amp;'Cash Flow'!X$3)</f>
        <v>0</v>
      </c>
      <c r="Z43" s="188">
        <f>SUMIFS('Wells Fargo'!$F:$F,'Wells Fargo'!$G:$G,'Cash Flow'!$A43,'Wells Fargo'!$A:$A,Z$1,'Wells Fargo'!$B:$B,"&lt;="&amp;'Cash Flow'!Z$3,'Wells Fargo'!$B:$B,"&gt;"&amp;'Cash Flow'!Y$3)</f>
        <v>0</v>
      </c>
      <c r="AA43" s="189">
        <f>SUMIFS('Wells Fargo'!$F:$F,'Wells Fargo'!$G:$G,'Cash Flow'!$A43,'Wells Fargo'!$A:$A,AA$1,'Wells Fargo'!$B:$B,"&lt;="&amp;'Cash Flow'!AA$3)</f>
        <v>0</v>
      </c>
      <c r="AB43" s="188">
        <f>SUMIFS('Wells Fargo'!$F:$F,'Wells Fargo'!$G:$G,'Cash Flow'!$A43,'Wells Fargo'!$A:$A,AB$1,'Wells Fargo'!$B:$B,"&lt;="&amp;'Cash Flow'!AB$3,'Wells Fargo'!$B:$B,"&gt;"&amp;'Cash Flow'!AA$3)</f>
        <v>0</v>
      </c>
      <c r="AC43" s="188">
        <f>SUMIFS('Wells Fargo'!$F:$F,'Wells Fargo'!$G:$G,'Cash Flow'!$A43,'Wells Fargo'!$A:$A,AC$1,'Wells Fargo'!$B:$B,"&lt;="&amp;'Cash Flow'!AC$3,'Wells Fargo'!$B:$B,"&gt;"&amp;'Cash Flow'!AB$3)</f>
        <v>4436.57</v>
      </c>
      <c r="AD43" s="188">
        <f>SUMIFS('Wells Fargo'!$F:$F,'Wells Fargo'!$G:$G,'Cash Flow'!$A43,'Wells Fargo'!$A:$A,AD$1,'Wells Fargo'!$B:$B,"&lt;="&amp;'Cash Flow'!AD$3,'Wells Fargo'!$B:$B,"&gt;"&amp;'Cash Flow'!AC$3)</f>
        <v>0</v>
      </c>
      <c r="AE43" s="188">
        <f>SUMIFS('Wells Fargo'!$F:$F,'Wells Fargo'!$G:$G,'Cash Flow'!$A43,'Wells Fargo'!$A:$A,AE$1,'Wells Fargo'!$B:$B,"&lt;="&amp;'Cash Flow'!AE$3,'Wells Fargo'!$B:$B,"&gt;"&amp;'Cash Flow'!AD$3)</f>
        <v>0</v>
      </c>
      <c r="AF43" s="189">
        <f>SUMIFS('Wells Fargo'!$F:$F,'Wells Fargo'!$G:$G,'Cash Flow'!$A43,'Wells Fargo'!$A:$A,AF$1,'Wells Fargo'!$B:$B,"&lt;="&amp;'Cash Flow'!AF$3)</f>
        <v>1583.62</v>
      </c>
      <c r="AG43" s="188">
        <f>SUMIFS('Wells Fargo'!$F:$F,'Wells Fargo'!$G:$G,'Cash Flow'!$A43,'Wells Fargo'!$A:$A,AG$1,'Wells Fargo'!$B:$B,"&lt;="&amp;'Cash Flow'!AG$3,'Wells Fargo'!$B:$B,"&gt;"&amp;'Cash Flow'!AF$3)</f>
        <v>0</v>
      </c>
      <c r="AH43" s="188">
        <f>SUMIFS('Wells Fargo'!$F:$F,'Wells Fargo'!$G:$G,'Cash Flow'!$A43,'Wells Fargo'!$A:$A,AH$1,'Wells Fargo'!$B:$B,"&lt;="&amp;'Cash Flow'!AH$3,'Wells Fargo'!$B:$B,"&gt;"&amp;'Cash Flow'!AG$3)</f>
        <v>1583.61</v>
      </c>
      <c r="AI43" s="188">
        <f>SUMIFS('Wells Fargo'!$F:$F,'Wells Fargo'!$G:$G,'Cash Flow'!$A43,'Wells Fargo'!$A:$A,AI$1,'Wells Fargo'!$B:$B,"&lt;="&amp;'Cash Flow'!AI$3,'Wells Fargo'!$B:$B,"&gt;"&amp;'Cash Flow'!AH$3)</f>
        <v>0</v>
      </c>
      <c r="AJ43" s="188">
        <f>SUMIFS('Wells Fargo'!$F:$F,'Wells Fargo'!$G:$G,'Cash Flow'!$A43,'Wells Fargo'!$A:$A,AJ$1,'Wells Fargo'!$B:$B,"&lt;="&amp;'Cash Flow'!AJ$3,'Wells Fargo'!$B:$B,"&gt;"&amp;'Cash Flow'!AI$3)</f>
        <v>1733.66</v>
      </c>
      <c r="AK43" s="189">
        <f>SUMIFS('Wells Fargo'!$F:$F,'Wells Fargo'!$G:$G,'Cash Flow'!$A43,'Wells Fargo'!$A:$A,AK$1,'Wells Fargo'!$B:$B,"&lt;="&amp;'Cash Flow'!AK$3)</f>
        <v>0</v>
      </c>
      <c r="AL43" s="188">
        <f>SUMIFS('Wells Fargo'!$F:$F,'Wells Fargo'!$G:$G,'Cash Flow'!$A43,'Wells Fargo'!$A:$A,AL$1,'Wells Fargo'!$B:$B,"&lt;="&amp;'Cash Flow'!AL$3,'Wells Fargo'!$B:$B,"&gt;"&amp;'Cash Flow'!AK$3)</f>
        <v>2033.65</v>
      </c>
      <c r="AM43" s="188">
        <f>SUMIFS('Wells Fargo'!$F:$F,'Wells Fargo'!$G:$G,'Cash Flow'!$A43,'Wells Fargo'!$A:$A,AM$1,'Wells Fargo'!$B:$B,"&lt;="&amp;'Cash Flow'!AM$3,'Wells Fargo'!$B:$B,"&gt;"&amp;'Cash Flow'!AL$3)</f>
        <v>0</v>
      </c>
      <c r="AN43" s="188">
        <f>SUMIFS('Wells Fargo'!$F:$F,'Wells Fargo'!$G:$G,'Cash Flow'!$A43,'Wells Fargo'!$A:$A,AN$1,'Wells Fargo'!$B:$B,"&lt;="&amp;'Cash Flow'!AN$3,'Wells Fargo'!$B:$B,"&gt;"&amp;'Cash Flow'!AM$3)</f>
        <v>2033.65</v>
      </c>
      <c r="AO43" s="188">
        <f>SUMIFS('Wells Fargo'!$F:$F,'Wells Fargo'!$G:$G,'Cash Flow'!$A43,'Wells Fargo'!$A:$A,AO$1,'Wells Fargo'!$B:$B,"&lt;="&amp;'Cash Flow'!AO$3,'Wells Fargo'!$B:$B,"&gt;"&amp;'Cash Flow'!AN$3)</f>
        <v>0</v>
      </c>
      <c r="AP43" s="189">
        <f>SUMIFS('Wells Fargo'!$F:$F,'Wells Fargo'!$G:$G,'Cash Flow'!$A43,'Wells Fargo'!$A:$A,AP$1,'Wells Fargo'!$B:$B,"&lt;="&amp;'Cash Flow'!AP$3)</f>
        <v>0</v>
      </c>
      <c r="AQ43" s="188">
        <f>SUMIFS('Wells Fargo'!$F:$F,'Wells Fargo'!$G:$G,'Cash Flow'!$A43,'Wells Fargo'!$A:$A,AQ$1,'Wells Fargo'!$B:$B,"&lt;="&amp;'Cash Flow'!AQ$3,'Wells Fargo'!$B:$B,"&gt;"&amp;'Cash Flow'!AP$3)</f>
        <v>2033.66</v>
      </c>
      <c r="AR43" s="188">
        <f>SUMIFS('Wells Fargo'!$F:$F,'Wells Fargo'!$G:$G,'Cash Flow'!$A43,'Wells Fargo'!$A:$A,AR$1,'Wells Fargo'!$B:$B,"&lt;="&amp;'Cash Flow'!AR$3,'Wells Fargo'!$B:$B,"&gt;"&amp;'Cash Flow'!AQ$3)</f>
        <v>0</v>
      </c>
      <c r="AS43" s="188">
        <f>SUMIFS('Wells Fargo'!$F:$F,'Wells Fargo'!$G:$G,'Cash Flow'!$A43,'Wells Fargo'!$A:$A,AS$1,'Wells Fargo'!$B:$B,"&lt;="&amp;'Cash Flow'!AS$3,'Wells Fargo'!$B:$B,"&gt;"&amp;'Cash Flow'!AR$3)</f>
        <v>2179.34</v>
      </c>
      <c r="AT43" s="188">
        <f>SUMIFS('Wells Fargo'!$F:$F,'Wells Fargo'!$G:$G,'Cash Flow'!$A43,'Wells Fargo'!$A:$A,AT$1,'Wells Fargo'!$B:$B,"&lt;="&amp;'Cash Flow'!AT$3,'Wells Fargo'!$B:$B,"&gt;"&amp;'Cash Flow'!AS$3)</f>
        <v>0</v>
      </c>
      <c r="AU43" s="189">
        <f>SUMIFS('Wells Fargo'!$F:$F,'Wells Fargo'!$G:$G,'Cash Flow'!$A43,'Wells Fargo'!$A:$A,AU$1,'Wells Fargo'!$B:$B,"&lt;="&amp;'Cash Flow'!AU$3)</f>
        <v>0</v>
      </c>
      <c r="AV43" s="188">
        <f>SUMIFS('Wells Fargo'!$F:$F,'Wells Fargo'!$G:$G,'Cash Flow'!$A43,'Wells Fargo'!$A:$A,AV$1,'Wells Fargo'!$B:$B,"&lt;="&amp;'Cash Flow'!AV$3,'Wells Fargo'!$B:$B,"&gt;"&amp;'Cash Flow'!AU$3)</f>
        <v>2029.34</v>
      </c>
      <c r="AW43" s="188">
        <f>SUMIFS('Wells Fargo'!$F:$F,'Wells Fargo'!$G:$G,'Cash Flow'!$A43,'Wells Fargo'!$A:$A,AW$1,'Wells Fargo'!$B:$B,"&lt;="&amp;'Cash Flow'!AW$3,'Wells Fargo'!$B:$B,"&gt;"&amp;'Cash Flow'!AV$3)</f>
        <v>0</v>
      </c>
      <c r="AX43" s="188">
        <f>SUMIFS('Wells Fargo'!$F:$F,'Wells Fargo'!$G:$G,'Cash Flow'!$A43,'Wells Fargo'!$A:$A,AX$1,'Wells Fargo'!$B:$B,"&lt;="&amp;'Cash Flow'!AX$3,'Wells Fargo'!$B:$B,"&gt;"&amp;'Cash Flow'!AW$3)</f>
        <v>1900.88</v>
      </c>
      <c r="AY43" s="188">
        <f>SUMIFS('Wells Fargo'!$F:$F,'Wells Fargo'!$G:$G,'Cash Flow'!$A43,'Wells Fargo'!$A:$A,AY$1,'Wells Fargo'!$B:$B,"&lt;="&amp;'Cash Flow'!AY$3,'Wells Fargo'!$B:$B,"&gt;"&amp;'Cash Flow'!AX$3)</f>
        <v>0</v>
      </c>
      <c r="AZ43" s="189">
        <f>SUMIFS('Wells Fargo'!$F:$F,'Wells Fargo'!$G:$G,'Cash Flow'!$A43,'Wells Fargo'!$A:$A,AZ$1,'Wells Fargo'!$B:$B,"&lt;="&amp;'Cash Flow'!AZ$3)</f>
        <v>1900.87</v>
      </c>
      <c r="BA43" s="188">
        <f>SUMIFS('Wells Fargo'!$F:$F,'Wells Fargo'!$G:$G,'Cash Flow'!$A43,'Wells Fargo'!$A:$A,BA$1,'Wells Fargo'!$B:$B,"&lt;="&amp;'Cash Flow'!BA$3,'Wells Fargo'!$B:$B,"&gt;"&amp;'Cash Flow'!AZ$3)</f>
        <v>0</v>
      </c>
      <c r="BB43" s="188">
        <f>SUMIFS('Wells Fargo'!$F:$F,'Wells Fargo'!$G:$G,'Cash Flow'!$A43,'Wells Fargo'!$A:$A,BB$1,'Wells Fargo'!$B:$B,"&lt;="&amp;'Cash Flow'!BB$3,'Wells Fargo'!$B:$B,"&gt;"&amp;'Cash Flow'!BA$3)</f>
        <v>0</v>
      </c>
      <c r="BC43" s="188">
        <f>SUMIFS('Wells Fargo'!$F:$F,'Wells Fargo'!$G:$G,'Cash Flow'!$A43,'Wells Fargo'!$A:$A,BC$1,'Wells Fargo'!$B:$B,"&lt;="&amp;'Cash Flow'!BC$3,'Wells Fargo'!$B:$B,"&gt;"&amp;'Cash Flow'!BB$3)</f>
        <v>0</v>
      </c>
      <c r="BD43" s="188">
        <f>SUMIFS('Wells Fargo'!$F:$F,'Wells Fargo'!$G:$G,'Cash Flow'!$A43,'Wells Fargo'!$A:$A,BD$1,'Wells Fargo'!$B:$B,"&lt;="&amp;'Cash Flow'!BD$3,'Wells Fargo'!$B:$B,"&gt;"&amp;'Cash Flow'!BC$3)</f>
        <v>0</v>
      </c>
      <c r="BE43" s="189">
        <f>SUMIFS('Wells Fargo'!$F:$F,'Wells Fargo'!$G:$G,'Cash Flow'!$A43,'Wells Fargo'!$A:$A,BE$1,'Wells Fargo'!$B:$B,"&lt;="&amp;'Cash Flow'!BE$3)</f>
        <v>0</v>
      </c>
      <c r="BF43" s="188">
        <f>SUMIFS('Wells Fargo'!$F:$F,'Wells Fargo'!$G:$G,'Cash Flow'!$A43,'Wells Fargo'!$A:$A,BF$1,'Wells Fargo'!$B:$B,"&lt;="&amp;'Cash Flow'!BF$3,'Wells Fargo'!$B:$B,"&gt;"&amp;'Cash Flow'!BE$3)</f>
        <v>0</v>
      </c>
      <c r="BG43" s="188">
        <f>SUMIFS('Wells Fargo'!$F:$F,'Wells Fargo'!$G:$G,'Cash Flow'!$A43,'Wells Fargo'!$A:$A,BG$1,'Wells Fargo'!$B:$B,"&lt;="&amp;'Cash Flow'!BG$3,'Wells Fargo'!$B:$B,"&gt;"&amp;'Cash Flow'!BF$3)</f>
        <v>0</v>
      </c>
      <c r="BH43" s="188">
        <f>SUMIFS('Wells Fargo'!$F:$F,'Wells Fargo'!$G:$G,'Cash Flow'!$A43,'Wells Fargo'!$A:$A,BH$1,'Wells Fargo'!$B:$B,"&lt;="&amp;'Cash Flow'!BH$3,'Wells Fargo'!$B:$B,"&gt;"&amp;'Cash Flow'!BG$3)</f>
        <v>0</v>
      </c>
      <c r="BI43" s="188">
        <f>SUMIFS('Wells Fargo'!$F:$F,'Wells Fargo'!$G:$G,'Cash Flow'!$A43,'Wells Fargo'!$A:$A,BI$1,'Wells Fargo'!$B:$B,"&lt;="&amp;'Cash Flow'!BI$3,'Wells Fargo'!$B:$B,"&gt;"&amp;'Cash Flow'!BH$3)</f>
        <v>0</v>
      </c>
    </row>
    <row r="44" spans="1:61" ht="12.75" x14ac:dyDescent="0.2">
      <c r="A44" t="str">
        <v>Nationwide Tech Reimbursement</v>
      </c>
      <c r="B44" s="87">
        <f t="shared" si="1"/>
        <v>60</v>
      </c>
      <c r="C44" s="189">
        <f>SUMIFS('Wells Fargo'!$F:$F,'Wells Fargo'!$G:$G,'Cash Flow'!$A44,'Wells Fargo'!$A:$A,C$1,'Wells Fargo'!$B:$B,"&lt;="&amp;'Cash Flow'!C$3)</f>
        <v>0</v>
      </c>
      <c r="D44" s="188">
        <f>SUMIFS('Wells Fargo'!$F:$F,'Wells Fargo'!$G:$G,'Cash Flow'!$A44,'Wells Fargo'!$A:$A,D$1,'Wells Fargo'!$B:$B,"&lt;="&amp;'Cash Flow'!D$3,'Wells Fargo'!$B:$B,"&gt;"&amp;'Cash Flow'!C$3)</f>
        <v>0</v>
      </c>
      <c r="E44" s="188">
        <f>SUMIFS('Wells Fargo'!$F:$F,'Wells Fargo'!$G:$G,'Cash Flow'!$A44,'Wells Fargo'!$A:$A,E$1,'Wells Fargo'!$B:$B,"&lt;="&amp;'Cash Flow'!E$3,'Wells Fargo'!$B:$B,"&gt;"&amp;'Cash Flow'!D$3)</f>
        <v>0</v>
      </c>
      <c r="F44" s="188">
        <f>SUMIFS('Wells Fargo'!$F:$F,'Wells Fargo'!$G:$G,'Cash Flow'!$A44,'Wells Fargo'!$A:$A,F$1,'Wells Fargo'!$B:$B,"&lt;="&amp;'Cash Flow'!F$3,'Wells Fargo'!$B:$B,"&gt;"&amp;'Cash Flow'!E$3)</f>
        <v>0</v>
      </c>
      <c r="G44" s="188">
        <f>SUMIFS('Wells Fargo'!$F:$F,'Wells Fargo'!$G:$G,'Cash Flow'!$A44,'Wells Fargo'!$A:$A,G$1,'Wells Fargo'!$B:$B,"&lt;="&amp;'Cash Flow'!G$3,'Wells Fargo'!$B:$B,"&gt;"&amp;'Cash Flow'!F$3)</f>
        <v>0</v>
      </c>
      <c r="H44" s="189">
        <f>SUMIFS('Wells Fargo'!$F:$F,'Wells Fargo'!$G:$G,'Cash Flow'!$A44,'Wells Fargo'!$A:$A,H$1,'Wells Fargo'!$B:$B,"&lt;="&amp;'Cash Flow'!H$3)</f>
        <v>0</v>
      </c>
      <c r="I44" s="188">
        <f>SUMIFS('Wells Fargo'!$F:$F,'Wells Fargo'!$G:$G,'Cash Flow'!$A44,'Wells Fargo'!$A:$A,I$1,'Wells Fargo'!$B:$B,"&lt;="&amp;'Cash Flow'!I$3,'Wells Fargo'!$B:$B,"&gt;"&amp;'Cash Flow'!H$3)</f>
        <v>0</v>
      </c>
      <c r="J44" s="188">
        <f>SUMIFS('Wells Fargo'!$F:$F,'Wells Fargo'!$G:$G,'Cash Flow'!$A44,'Wells Fargo'!$A:$A,J$1,'Wells Fargo'!$B:$B,"&lt;="&amp;'Cash Flow'!J$3,'Wells Fargo'!$B:$B,"&gt;"&amp;'Cash Flow'!I$3)</f>
        <v>0</v>
      </c>
      <c r="K44" s="188">
        <f>SUMIFS('Wells Fargo'!$F:$F,'Wells Fargo'!$G:$G,'Cash Flow'!$A44,'Wells Fargo'!$A:$A,K$1,'Wells Fargo'!$B:$B,"&lt;="&amp;'Cash Flow'!K$3,'Wells Fargo'!$B:$B,"&gt;"&amp;'Cash Flow'!J$3)</f>
        <v>0</v>
      </c>
      <c r="L44" s="189">
        <f>SUMIFS('Wells Fargo'!$F:$F,'Wells Fargo'!$G:$G,'Cash Flow'!$A44,'Wells Fargo'!$A:$A,L$1,'Wells Fargo'!$B:$B,"&lt;="&amp;'Cash Flow'!L$3)</f>
        <v>0</v>
      </c>
      <c r="M44" s="188">
        <f>SUMIFS('Wells Fargo'!$F:$F,'Wells Fargo'!$G:$G,'Cash Flow'!$A44,'Wells Fargo'!$A:$A,M$1,'Wells Fargo'!$B:$B,"&lt;="&amp;'Cash Flow'!M$3,'Wells Fargo'!$B:$B,"&gt;"&amp;'Cash Flow'!L$3)</f>
        <v>0</v>
      </c>
      <c r="N44" s="188">
        <f>SUMIFS('Wells Fargo'!$F:$F,'Wells Fargo'!$G:$G,'Cash Flow'!$A44,'Wells Fargo'!$A:$A,N$1,'Wells Fargo'!$B:$B,"&lt;="&amp;'Cash Flow'!N$3,'Wells Fargo'!$B:$B,"&gt;"&amp;'Cash Flow'!M$3)</f>
        <v>0</v>
      </c>
      <c r="O44" s="188">
        <f>SUMIFS('Wells Fargo'!$F:$F,'Wells Fargo'!$G:$G,'Cash Flow'!$A44,'Wells Fargo'!$A:$A,O$1,'Wells Fargo'!$B:$B,"&lt;="&amp;'Cash Flow'!O$3,'Wells Fargo'!$B:$B,"&gt;"&amp;'Cash Flow'!N$3)</f>
        <v>0</v>
      </c>
      <c r="P44" s="188">
        <f>SUMIFS('Wells Fargo'!$F:$F,'Wells Fargo'!$G:$G,'Cash Flow'!$A44,'Wells Fargo'!$A:$A,P$1,'Wells Fargo'!$B:$B,"&lt;="&amp;'Cash Flow'!P$3,'Wells Fargo'!$B:$B,"&gt;"&amp;'Cash Flow'!O$3)</f>
        <v>0</v>
      </c>
      <c r="Q44" s="189">
        <f>SUMIFS('Wells Fargo'!$F:$F,'Wells Fargo'!$G:$G,'Cash Flow'!$A44,'Wells Fargo'!$A:$A,Q$1,'Wells Fargo'!$B:$B,"&lt;="&amp;'Cash Flow'!Q$3)</f>
        <v>0</v>
      </c>
      <c r="R44" s="188">
        <f>SUMIFS('Wells Fargo'!$F:$F,'Wells Fargo'!$G:$G,'Cash Flow'!$A44,'Wells Fargo'!$A:$A,R$1,'Wells Fargo'!$B:$B,"&lt;="&amp;'Cash Flow'!R$3,'Wells Fargo'!$B:$B,"&gt;"&amp;'Cash Flow'!Q$3)</f>
        <v>0</v>
      </c>
      <c r="S44" s="188">
        <f>SUMIFS('Wells Fargo'!$F:$F,'Wells Fargo'!$G:$G,'Cash Flow'!$A44,'Wells Fargo'!$A:$A,S$1,'Wells Fargo'!$B:$B,"&lt;="&amp;'Cash Flow'!S$3,'Wells Fargo'!$B:$B,"&gt;"&amp;'Cash Flow'!R$3)</f>
        <v>0</v>
      </c>
      <c r="T44" s="188">
        <f>SUMIFS('Wells Fargo'!$F:$F,'Wells Fargo'!$G:$G,'Cash Flow'!$A44,'Wells Fargo'!$A:$A,T$1,'Wells Fargo'!$B:$B,"&lt;="&amp;'Cash Flow'!T$3,'Wells Fargo'!$B:$B,"&gt;"&amp;'Cash Flow'!S$3)</f>
        <v>0</v>
      </c>
      <c r="U44" s="188">
        <f>SUMIFS('Wells Fargo'!$F:$F,'Wells Fargo'!$G:$G,'Cash Flow'!$A44,'Wells Fargo'!$A:$A,U$1,'Wells Fargo'!$B:$B,"&lt;="&amp;'Cash Flow'!U$3,'Wells Fargo'!$B:$B,"&gt;"&amp;'Cash Flow'!T$3)</f>
        <v>0</v>
      </c>
      <c r="V44" s="189">
        <f>SUMIFS('Wells Fargo'!$F:$F,'Wells Fargo'!$G:$G,'Cash Flow'!$A44,'Wells Fargo'!$A:$A,V$1,'Wells Fargo'!$B:$B,"&lt;="&amp;'Cash Flow'!V$3)</f>
        <v>0</v>
      </c>
      <c r="W44" s="188">
        <f>SUMIFS('Wells Fargo'!$F:$F,'Wells Fargo'!$G:$G,'Cash Flow'!$A44,'Wells Fargo'!$A:$A,W$1,'Wells Fargo'!$B:$B,"&lt;="&amp;'Cash Flow'!W$3,'Wells Fargo'!$B:$B,"&gt;"&amp;'Cash Flow'!V$3)</f>
        <v>0</v>
      </c>
      <c r="X44" s="188">
        <f>SUMIFS('Wells Fargo'!$F:$F,'Wells Fargo'!$G:$G,'Cash Flow'!$A44,'Wells Fargo'!$A:$A,X$1,'Wells Fargo'!$B:$B,"&lt;="&amp;'Cash Flow'!X$3,'Wells Fargo'!$B:$B,"&gt;"&amp;'Cash Flow'!W$3)</f>
        <v>0</v>
      </c>
      <c r="Y44" s="188">
        <f>SUMIFS('Wells Fargo'!$F:$F,'Wells Fargo'!$G:$G,'Cash Flow'!$A44,'Wells Fargo'!$A:$A,Y$1,'Wells Fargo'!$B:$B,"&lt;="&amp;'Cash Flow'!Y$3,'Wells Fargo'!$B:$B,"&gt;"&amp;'Cash Flow'!X$3)</f>
        <v>0</v>
      </c>
      <c r="Z44" s="188">
        <f>SUMIFS('Wells Fargo'!$F:$F,'Wells Fargo'!$G:$G,'Cash Flow'!$A44,'Wells Fargo'!$A:$A,Z$1,'Wells Fargo'!$B:$B,"&lt;="&amp;'Cash Flow'!Z$3,'Wells Fargo'!$B:$B,"&gt;"&amp;'Cash Flow'!Y$3)</f>
        <v>0</v>
      </c>
      <c r="AA44" s="189">
        <f>SUMIFS('Wells Fargo'!$F:$F,'Wells Fargo'!$G:$G,'Cash Flow'!$A44,'Wells Fargo'!$A:$A,AA$1,'Wells Fargo'!$B:$B,"&lt;="&amp;'Cash Flow'!AA$3)</f>
        <v>0</v>
      </c>
      <c r="AB44" s="188">
        <f>SUMIFS('Wells Fargo'!$F:$F,'Wells Fargo'!$G:$G,'Cash Flow'!$A44,'Wells Fargo'!$A:$A,AB$1,'Wells Fargo'!$B:$B,"&lt;="&amp;'Cash Flow'!AB$3,'Wells Fargo'!$B:$B,"&gt;"&amp;'Cash Flow'!AA$3)</f>
        <v>0</v>
      </c>
      <c r="AC44" s="188">
        <f>SUMIFS('Wells Fargo'!$F:$F,'Wells Fargo'!$G:$G,'Cash Flow'!$A44,'Wells Fargo'!$A:$A,AC$1,'Wells Fargo'!$B:$B,"&lt;="&amp;'Cash Flow'!AC$3,'Wells Fargo'!$B:$B,"&gt;"&amp;'Cash Flow'!AB$3)</f>
        <v>0</v>
      </c>
      <c r="AD44" s="188">
        <f>SUMIFS('Wells Fargo'!$F:$F,'Wells Fargo'!$G:$G,'Cash Flow'!$A44,'Wells Fargo'!$A:$A,AD$1,'Wells Fargo'!$B:$B,"&lt;="&amp;'Cash Flow'!AD$3,'Wells Fargo'!$B:$B,"&gt;"&amp;'Cash Flow'!AC$3)</f>
        <v>0</v>
      </c>
      <c r="AE44" s="188">
        <f>SUMIFS('Wells Fargo'!$F:$F,'Wells Fargo'!$G:$G,'Cash Flow'!$A44,'Wells Fargo'!$A:$A,AE$1,'Wells Fargo'!$B:$B,"&lt;="&amp;'Cash Flow'!AE$3,'Wells Fargo'!$B:$B,"&gt;"&amp;'Cash Flow'!AD$3)</f>
        <v>0</v>
      </c>
      <c r="AF44" s="189">
        <f>SUMIFS('Wells Fargo'!$F:$F,'Wells Fargo'!$G:$G,'Cash Flow'!$A44,'Wells Fargo'!$A:$A,AF$1,'Wells Fargo'!$B:$B,"&lt;="&amp;'Cash Flow'!AF$3)</f>
        <v>0</v>
      </c>
      <c r="AG44" s="188">
        <f>SUMIFS('Wells Fargo'!$F:$F,'Wells Fargo'!$G:$G,'Cash Flow'!$A44,'Wells Fargo'!$A:$A,AG$1,'Wells Fargo'!$B:$B,"&lt;="&amp;'Cash Flow'!AG$3,'Wells Fargo'!$B:$B,"&gt;"&amp;'Cash Flow'!AF$3)</f>
        <v>0</v>
      </c>
      <c r="AH44" s="188">
        <f>SUMIFS('Wells Fargo'!$F:$F,'Wells Fargo'!$G:$G,'Cash Flow'!$A44,'Wells Fargo'!$A:$A,AH$1,'Wells Fargo'!$B:$B,"&lt;="&amp;'Cash Flow'!AH$3,'Wells Fargo'!$B:$B,"&gt;"&amp;'Cash Flow'!AG$3)</f>
        <v>0</v>
      </c>
      <c r="AI44" s="188">
        <f>SUMIFS('Wells Fargo'!$F:$F,'Wells Fargo'!$G:$G,'Cash Flow'!$A44,'Wells Fargo'!$A:$A,AI$1,'Wells Fargo'!$B:$B,"&lt;="&amp;'Cash Flow'!AI$3,'Wells Fargo'!$B:$B,"&gt;"&amp;'Cash Flow'!AH$3)</f>
        <v>0</v>
      </c>
      <c r="AJ44" s="188">
        <f>SUMIFS('Wells Fargo'!$F:$F,'Wells Fargo'!$G:$G,'Cash Flow'!$A44,'Wells Fargo'!$A:$A,AJ$1,'Wells Fargo'!$B:$B,"&lt;="&amp;'Cash Flow'!AJ$3,'Wells Fargo'!$B:$B,"&gt;"&amp;'Cash Flow'!AI$3)</f>
        <v>30</v>
      </c>
      <c r="AK44" s="189">
        <f>SUMIFS('Wells Fargo'!$F:$F,'Wells Fargo'!$G:$G,'Cash Flow'!$A44,'Wells Fargo'!$A:$A,AK$1,'Wells Fargo'!$B:$B,"&lt;="&amp;'Cash Flow'!AK$3)</f>
        <v>0</v>
      </c>
      <c r="AL44" s="188">
        <f>SUMIFS('Wells Fargo'!$F:$F,'Wells Fargo'!$G:$G,'Cash Flow'!$A44,'Wells Fargo'!$A:$A,AL$1,'Wells Fargo'!$B:$B,"&lt;="&amp;'Cash Flow'!AL$3,'Wells Fargo'!$B:$B,"&gt;"&amp;'Cash Flow'!AK$3)</f>
        <v>0</v>
      </c>
      <c r="AM44" s="188">
        <f>SUMIFS('Wells Fargo'!$F:$F,'Wells Fargo'!$G:$G,'Cash Flow'!$A44,'Wells Fargo'!$A:$A,AM$1,'Wells Fargo'!$B:$B,"&lt;="&amp;'Cash Flow'!AM$3,'Wells Fargo'!$B:$B,"&gt;"&amp;'Cash Flow'!AL$3)</f>
        <v>0</v>
      </c>
      <c r="AN44" s="188">
        <f>SUMIFS('Wells Fargo'!$F:$F,'Wells Fargo'!$G:$G,'Cash Flow'!$A44,'Wells Fargo'!$A:$A,AN$1,'Wells Fargo'!$B:$B,"&lt;="&amp;'Cash Flow'!AN$3,'Wells Fargo'!$B:$B,"&gt;"&amp;'Cash Flow'!AM$3)</f>
        <v>0</v>
      </c>
      <c r="AO44" s="188">
        <f>SUMIFS('Wells Fargo'!$F:$F,'Wells Fargo'!$G:$G,'Cash Flow'!$A44,'Wells Fargo'!$A:$A,AO$1,'Wells Fargo'!$B:$B,"&lt;="&amp;'Cash Flow'!AO$3,'Wells Fargo'!$B:$B,"&gt;"&amp;'Cash Flow'!AN$3)</f>
        <v>0</v>
      </c>
      <c r="AP44" s="189">
        <f>SUMIFS('Wells Fargo'!$F:$F,'Wells Fargo'!$G:$G,'Cash Flow'!$A44,'Wells Fargo'!$A:$A,AP$1,'Wells Fargo'!$B:$B,"&lt;="&amp;'Cash Flow'!AP$3)</f>
        <v>0</v>
      </c>
      <c r="AQ44" s="188">
        <f>SUMIFS('Wells Fargo'!$F:$F,'Wells Fargo'!$G:$G,'Cash Flow'!$A44,'Wells Fargo'!$A:$A,AQ$1,'Wells Fargo'!$B:$B,"&lt;="&amp;'Cash Flow'!AQ$3,'Wells Fargo'!$B:$B,"&gt;"&amp;'Cash Flow'!AP$3)</f>
        <v>0</v>
      </c>
      <c r="AR44" s="188">
        <f>SUMIFS('Wells Fargo'!$F:$F,'Wells Fargo'!$G:$G,'Cash Flow'!$A44,'Wells Fargo'!$A:$A,AR$1,'Wells Fargo'!$B:$B,"&lt;="&amp;'Cash Flow'!AR$3,'Wells Fargo'!$B:$B,"&gt;"&amp;'Cash Flow'!AQ$3)</f>
        <v>0</v>
      </c>
      <c r="AS44" s="188">
        <f>SUMIFS('Wells Fargo'!$F:$F,'Wells Fargo'!$G:$G,'Cash Flow'!$A44,'Wells Fargo'!$A:$A,AS$1,'Wells Fargo'!$B:$B,"&lt;="&amp;'Cash Flow'!AS$3,'Wells Fargo'!$B:$B,"&gt;"&amp;'Cash Flow'!AR$3)</f>
        <v>0</v>
      </c>
      <c r="AT44" s="188">
        <f>SUMIFS('Wells Fargo'!$F:$F,'Wells Fargo'!$G:$G,'Cash Flow'!$A44,'Wells Fargo'!$A:$A,AT$1,'Wells Fargo'!$B:$B,"&lt;="&amp;'Cash Flow'!AT$3,'Wells Fargo'!$B:$B,"&gt;"&amp;'Cash Flow'!AS$3)</f>
        <v>30</v>
      </c>
      <c r="AU44" s="189">
        <f>SUMIFS('Wells Fargo'!$F:$F,'Wells Fargo'!$G:$G,'Cash Flow'!$A44,'Wells Fargo'!$A:$A,AU$1,'Wells Fargo'!$B:$B,"&lt;="&amp;'Cash Flow'!AU$3)</f>
        <v>0</v>
      </c>
      <c r="AV44" s="188">
        <f>SUMIFS('Wells Fargo'!$F:$F,'Wells Fargo'!$G:$G,'Cash Flow'!$A44,'Wells Fargo'!$A:$A,AV$1,'Wells Fargo'!$B:$B,"&lt;="&amp;'Cash Flow'!AV$3,'Wells Fargo'!$B:$B,"&gt;"&amp;'Cash Flow'!AU$3)</f>
        <v>0</v>
      </c>
      <c r="AW44" s="188">
        <f>SUMIFS('Wells Fargo'!$F:$F,'Wells Fargo'!$G:$G,'Cash Flow'!$A44,'Wells Fargo'!$A:$A,AW$1,'Wells Fargo'!$B:$B,"&lt;="&amp;'Cash Flow'!AW$3,'Wells Fargo'!$B:$B,"&gt;"&amp;'Cash Flow'!AV$3)</f>
        <v>0</v>
      </c>
      <c r="AX44" s="188">
        <f>SUMIFS('Wells Fargo'!$F:$F,'Wells Fargo'!$G:$G,'Cash Flow'!$A44,'Wells Fargo'!$A:$A,AX$1,'Wells Fargo'!$B:$B,"&lt;="&amp;'Cash Flow'!AX$3,'Wells Fargo'!$B:$B,"&gt;"&amp;'Cash Flow'!AW$3)</f>
        <v>0</v>
      </c>
      <c r="AY44" s="188">
        <f>SUMIFS('Wells Fargo'!$F:$F,'Wells Fargo'!$G:$G,'Cash Flow'!$A44,'Wells Fargo'!$A:$A,AY$1,'Wells Fargo'!$B:$B,"&lt;="&amp;'Cash Flow'!AY$3,'Wells Fargo'!$B:$B,"&gt;"&amp;'Cash Flow'!AX$3)</f>
        <v>0</v>
      </c>
      <c r="AZ44" s="189">
        <f>SUMIFS('Wells Fargo'!$F:$F,'Wells Fargo'!$G:$G,'Cash Flow'!$A44,'Wells Fargo'!$A:$A,AZ$1,'Wells Fargo'!$B:$B,"&lt;="&amp;'Cash Flow'!AZ$3)</f>
        <v>0</v>
      </c>
      <c r="BA44" s="188">
        <f>SUMIFS('Wells Fargo'!$F:$F,'Wells Fargo'!$G:$G,'Cash Flow'!$A44,'Wells Fargo'!$A:$A,BA$1,'Wells Fargo'!$B:$B,"&lt;="&amp;'Cash Flow'!BA$3,'Wells Fargo'!$B:$B,"&gt;"&amp;'Cash Flow'!AZ$3)</f>
        <v>0</v>
      </c>
      <c r="BB44" s="188">
        <f>SUMIFS('Wells Fargo'!$F:$F,'Wells Fargo'!$G:$G,'Cash Flow'!$A44,'Wells Fargo'!$A:$A,BB$1,'Wells Fargo'!$B:$B,"&lt;="&amp;'Cash Flow'!BB$3,'Wells Fargo'!$B:$B,"&gt;"&amp;'Cash Flow'!BA$3)</f>
        <v>0</v>
      </c>
      <c r="BC44" s="188">
        <f>SUMIFS('Wells Fargo'!$F:$F,'Wells Fargo'!$G:$G,'Cash Flow'!$A44,'Wells Fargo'!$A:$A,BC$1,'Wells Fargo'!$B:$B,"&lt;="&amp;'Cash Flow'!BC$3,'Wells Fargo'!$B:$B,"&gt;"&amp;'Cash Flow'!BB$3)</f>
        <v>0</v>
      </c>
      <c r="BD44" s="188">
        <f>SUMIFS('Wells Fargo'!$F:$F,'Wells Fargo'!$G:$G,'Cash Flow'!$A44,'Wells Fargo'!$A:$A,BD$1,'Wells Fargo'!$B:$B,"&lt;="&amp;'Cash Flow'!BD$3,'Wells Fargo'!$B:$B,"&gt;"&amp;'Cash Flow'!BC$3)</f>
        <v>0</v>
      </c>
      <c r="BE44" s="189">
        <f>SUMIFS('Wells Fargo'!$F:$F,'Wells Fargo'!$G:$G,'Cash Flow'!$A44,'Wells Fargo'!$A:$A,BE$1,'Wells Fargo'!$B:$B,"&lt;="&amp;'Cash Flow'!BE$3)</f>
        <v>0</v>
      </c>
      <c r="BF44" s="188">
        <f>SUMIFS('Wells Fargo'!$F:$F,'Wells Fargo'!$G:$G,'Cash Flow'!$A44,'Wells Fargo'!$A:$A,BF$1,'Wells Fargo'!$B:$B,"&lt;="&amp;'Cash Flow'!BF$3,'Wells Fargo'!$B:$B,"&gt;"&amp;'Cash Flow'!BE$3)</f>
        <v>0</v>
      </c>
      <c r="BG44" s="188">
        <f>SUMIFS('Wells Fargo'!$F:$F,'Wells Fargo'!$G:$G,'Cash Flow'!$A44,'Wells Fargo'!$A:$A,BG$1,'Wells Fargo'!$B:$B,"&lt;="&amp;'Cash Flow'!BG$3,'Wells Fargo'!$B:$B,"&gt;"&amp;'Cash Flow'!BF$3)</f>
        <v>0</v>
      </c>
      <c r="BH44" s="188">
        <f>SUMIFS('Wells Fargo'!$F:$F,'Wells Fargo'!$G:$G,'Cash Flow'!$A44,'Wells Fargo'!$A:$A,BH$1,'Wells Fargo'!$B:$B,"&lt;="&amp;'Cash Flow'!BH$3,'Wells Fargo'!$B:$B,"&gt;"&amp;'Cash Flow'!BG$3)</f>
        <v>0</v>
      </c>
      <c r="BI44" s="188">
        <f>SUMIFS('Wells Fargo'!$F:$F,'Wells Fargo'!$G:$G,'Cash Flow'!$A44,'Wells Fargo'!$A:$A,BI$1,'Wells Fargo'!$B:$B,"&lt;="&amp;'Cash Flow'!BI$3,'Wells Fargo'!$B:$B,"&gt;"&amp;'Cash Flow'!BH$3)</f>
        <v>0</v>
      </c>
    </row>
    <row r="45" spans="1:61" ht="12.75" x14ac:dyDescent="0.2">
      <c r="A45" t="str">
        <v>New Manchester - Fee</v>
      </c>
      <c r="B45" s="87">
        <f t="shared" si="1"/>
        <v>-200</v>
      </c>
      <c r="C45" s="189">
        <f>SUMIFS('Wells Fargo'!$F:$F,'Wells Fargo'!$G:$G,'Cash Flow'!$A45,'Wells Fargo'!$A:$A,C$1,'Wells Fargo'!$B:$B,"&lt;="&amp;'Cash Flow'!C$3)</f>
        <v>0</v>
      </c>
      <c r="D45" s="188">
        <f>SUMIFS('Wells Fargo'!$F:$F,'Wells Fargo'!$G:$G,'Cash Flow'!$A45,'Wells Fargo'!$A:$A,D$1,'Wells Fargo'!$B:$B,"&lt;="&amp;'Cash Flow'!D$3,'Wells Fargo'!$B:$B,"&gt;"&amp;'Cash Flow'!C$3)</f>
        <v>0</v>
      </c>
      <c r="E45" s="188">
        <f>SUMIFS('Wells Fargo'!$F:$F,'Wells Fargo'!$G:$G,'Cash Flow'!$A45,'Wells Fargo'!$A:$A,E$1,'Wells Fargo'!$B:$B,"&lt;="&amp;'Cash Flow'!E$3,'Wells Fargo'!$B:$B,"&gt;"&amp;'Cash Flow'!D$3)</f>
        <v>0</v>
      </c>
      <c r="F45" s="188">
        <f>SUMIFS('Wells Fargo'!$F:$F,'Wells Fargo'!$G:$G,'Cash Flow'!$A45,'Wells Fargo'!$A:$A,F$1,'Wells Fargo'!$B:$B,"&lt;="&amp;'Cash Flow'!F$3,'Wells Fargo'!$B:$B,"&gt;"&amp;'Cash Flow'!E$3)</f>
        <v>0</v>
      </c>
      <c r="G45" s="188">
        <f>SUMIFS('Wells Fargo'!$F:$F,'Wells Fargo'!$G:$G,'Cash Flow'!$A45,'Wells Fargo'!$A:$A,G$1,'Wells Fargo'!$B:$B,"&lt;="&amp;'Cash Flow'!G$3,'Wells Fargo'!$B:$B,"&gt;"&amp;'Cash Flow'!F$3)</f>
        <v>0</v>
      </c>
      <c r="H45" s="189">
        <f>SUMIFS('Wells Fargo'!$F:$F,'Wells Fargo'!$G:$G,'Cash Flow'!$A45,'Wells Fargo'!$A:$A,H$1,'Wells Fargo'!$B:$B,"&lt;="&amp;'Cash Flow'!H$3)</f>
        <v>0</v>
      </c>
      <c r="I45" s="188">
        <f>SUMIFS('Wells Fargo'!$F:$F,'Wells Fargo'!$G:$G,'Cash Flow'!$A45,'Wells Fargo'!$A:$A,I$1,'Wells Fargo'!$B:$B,"&lt;="&amp;'Cash Flow'!I$3,'Wells Fargo'!$B:$B,"&gt;"&amp;'Cash Flow'!H$3)</f>
        <v>0</v>
      </c>
      <c r="J45" s="188">
        <f>SUMIFS('Wells Fargo'!$F:$F,'Wells Fargo'!$G:$G,'Cash Flow'!$A45,'Wells Fargo'!$A:$A,J$1,'Wells Fargo'!$B:$B,"&lt;="&amp;'Cash Flow'!J$3,'Wells Fargo'!$B:$B,"&gt;"&amp;'Cash Flow'!I$3)</f>
        <v>0</v>
      </c>
      <c r="K45" s="188">
        <f>SUMIFS('Wells Fargo'!$F:$F,'Wells Fargo'!$G:$G,'Cash Flow'!$A45,'Wells Fargo'!$A:$A,K$1,'Wells Fargo'!$B:$B,"&lt;="&amp;'Cash Flow'!K$3,'Wells Fargo'!$B:$B,"&gt;"&amp;'Cash Flow'!J$3)</f>
        <v>0</v>
      </c>
      <c r="L45" s="189">
        <f>SUMIFS('Wells Fargo'!$F:$F,'Wells Fargo'!$G:$G,'Cash Flow'!$A45,'Wells Fargo'!$A:$A,L$1,'Wells Fargo'!$B:$B,"&lt;="&amp;'Cash Flow'!L$3)</f>
        <v>0</v>
      </c>
      <c r="M45" s="188">
        <f>SUMIFS('Wells Fargo'!$F:$F,'Wells Fargo'!$G:$G,'Cash Flow'!$A45,'Wells Fargo'!$A:$A,M$1,'Wells Fargo'!$B:$B,"&lt;="&amp;'Cash Flow'!M$3,'Wells Fargo'!$B:$B,"&gt;"&amp;'Cash Flow'!L$3)</f>
        <v>0</v>
      </c>
      <c r="N45" s="188">
        <f>SUMIFS('Wells Fargo'!$F:$F,'Wells Fargo'!$G:$G,'Cash Flow'!$A45,'Wells Fargo'!$A:$A,N$1,'Wells Fargo'!$B:$B,"&lt;="&amp;'Cash Flow'!N$3,'Wells Fargo'!$B:$B,"&gt;"&amp;'Cash Flow'!M$3)</f>
        <v>0</v>
      </c>
      <c r="O45" s="188">
        <f>SUMIFS('Wells Fargo'!$F:$F,'Wells Fargo'!$G:$G,'Cash Flow'!$A45,'Wells Fargo'!$A:$A,O$1,'Wells Fargo'!$B:$B,"&lt;="&amp;'Cash Flow'!O$3,'Wells Fargo'!$B:$B,"&gt;"&amp;'Cash Flow'!N$3)</f>
        <v>0</v>
      </c>
      <c r="P45" s="188">
        <f>SUMIFS('Wells Fargo'!$F:$F,'Wells Fargo'!$G:$G,'Cash Flow'!$A45,'Wells Fargo'!$A:$A,P$1,'Wells Fargo'!$B:$B,"&lt;="&amp;'Cash Flow'!P$3,'Wells Fargo'!$B:$B,"&gt;"&amp;'Cash Flow'!O$3)</f>
        <v>0</v>
      </c>
      <c r="Q45" s="189">
        <f>SUMIFS('Wells Fargo'!$F:$F,'Wells Fargo'!$G:$G,'Cash Flow'!$A45,'Wells Fargo'!$A:$A,Q$1,'Wells Fargo'!$B:$B,"&lt;="&amp;'Cash Flow'!Q$3)</f>
        <v>0</v>
      </c>
      <c r="R45" s="188">
        <f>SUMIFS('Wells Fargo'!$F:$F,'Wells Fargo'!$G:$G,'Cash Flow'!$A45,'Wells Fargo'!$A:$A,R$1,'Wells Fargo'!$B:$B,"&lt;="&amp;'Cash Flow'!R$3,'Wells Fargo'!$B:$B,"&gt;"&amp;'Cash Flow'!Q$3)</f>
        <v>0</v>
      </c>
      <c r="S45" s="188">
        <f>SUMIFS('Wells Fargo'!$F:$F,'Wells Fargo'!$G:$G,'Cash Flow'!$A45,'Wells Fargo'!$A:$A,S$1,'Wells Fargo'!$B:$B,"&lt;="&amp;'Cash Flow'!S$3,'Wells Fargo'!$B:$B,"&gt;"&amp;'Cash Flow'!R$3)</f>
        <v>0</v>
      </c>
      <c r="T45" s="188">
        <f>SUMIFS('Wells Fargo'!$F:$F,'Wells Fargo'!$G:$G,'Cash Flow'!$A45,'Wells Fargo'!$A:$A,T$1,'Wells Fargo'!$B:$B,"&lt;="&amp;'Cash Flow'!T$3,'Wells Fargo'!$B:$B,"&gt;"&amp;'Cash Flow'!S$3)</f>
        <v>0</v>
      </c>
      <c r="U45" s="188">
        <f>SUMIFS('Wells Fargo'!$F:$F,'Wells Fargo'!$G:$G,'Cash Flow'!$A45,'Wells Fargo'!$A:$A,U$1,'Wells Fargo'!$B:$B,"&lt;="&amp;'Cash Flow'!U$3,'Wells Fargo'!$B:$B,"&gt;"&amp;'Cash Flow'!T$3)</f>
        <v>0</v>
      </c>
      <c r="V45" s="189">
        <f>SUMIFS('Wells Fargo'!$F:$F,'Wells Fargo'!$G:$G,'Cash Flow'!$A45,'Wells Fargo'!$A:$A,V$1,'Wells Fargo'!$B:$B,"&lt;="&amp;'Cash Flow'!V$3)</f>
        <v>-200</v>
      </c>
      <c r="W45" s="188">
        <f>SUMIFS('Wells Fargo'!$F:$F,'Wells Fargo'!$G:$G,'Cash Flow'!$A45,'Wells Fargo'!$A:$A,W$1,'Wells Fargo'!$B:$B,"&lt;="&amp;'Cash Flow'!W$3,'Wells Fargo'!$B:$B,"&gt;"&amp;'Cash Flow'!V$3)</f>
        <v>0</v>
      </c>
      <c r="X45" s="188">
        <f>SUMIFS('Wells Fargo'!$F:$F,'Wells Fargo'!$G:$G,'Cash Flow'!$A45,'Wells Fargo'!$A:$A,X$1,'Wells Fargo'!$B:$B,"&lt;="&amp;'Cash Flow'!X$3,'Wells Fargo'!$B:$B,"&gt;"&amp;'Cash Flow'!W$3)</f>
        <v>0</v>
      </c>
      <c r="Y45" s="188">
        <f>SUMIFS('Wells Fargo'!$F:$F,'Wells Fargo'!$G:$G,'Cash Flow'!$A45,'Wells Fargo'!$A:$A,Y$1,'Wells Fargo'!$B:$B,"&lt;="&amp;'Cash Flow'!Y$3,'Wells Fargo'!$B:$B,"&gt;"&amp;'Cash Flow'!X$3)</f>
        <v>0</v>
      </c>
      <c r="Z45" s="188">
        <f>SUMIFS('Wells Fargo'!$F:$F,'Wells Fargo'!$G:$G,'Cash Flow'!$A45,'Wells Fargo'!$A:$A,Z$1,'Wells Fargo'!$B:$B,"&lt;="&amp;'Cash Flow'!Z$3,'Wells Fargo'!$B:$B,"&gt;"&amp;'Cash Flow'!Y$3)</f>
        <v>0</v>
      </c>
      <c r="AA45" s="189">
        <f>SUMIFS('Wells Fargo'!$F:$F,'Wells Fargo'!$G:$G,'Cash Flow'!$A45,'Wells Fargo'!$A:$A,AA$1,'Wells Fargo'!$B:$B,"&lt;="&amp;'Cash Flow'!AA$3)</f>
        <v>0</v>
      </c>
      <c r="AB45" s="188">
        <f>SUMIFS('Wells Fargo'!$F:$F,'Wells Fargo'!$G:$G,'Cash Flow'!$A45,'Wells Fargo'!$A:$A,AB$1,'Wells Fargo'!$B:$B,"&lt;="&amp;'Cash Flow'!AB$3,'Wells Fargo'!$B:$B,"&gt;"&amp;'Cash Flow'!AA$3)</f>
        <v>0</v>
      </c>
      <c r="AC45" s="188">
        <f>SUMIFS('Wells Fargo'!$F:$F,'Wells Fargo'!$G:$G,'Cash Flow'!$A45,'Wells Fargo'!$A:$A,AC$1,'Wells Fargo'!$B:$B,"&lt;="&amp;'Cash Flow'!AC$3,'Wells Fargo'!$B:$B,"&gt;"&amp;'Cash Flow'!AB$3)</f>
        <v>0</v>
      </c>
      <c r="AD45" s="188">
        <f>SUMIFS('Wells Fargo'!$F:$F,'Wells Fargo'!$G:$G,'Cash Flow'!$A45,'Wells Fargo'!$A:$A,AD$1,'Wells Fargo'!$B:$B,"&lt;="&amp;'Cash Flow'!AD$3,'Wells Fargo'!$B:$B,"&gt;"&amp;'Cash Flow'!AC$3)</f>
        <v>0</v>
      </c>
      <c r="AE45" s="188">
        <f>SUMIFS('Wells Fargo'!$F:$F,'Wells Fargo'!$G:$G,'Cash Flow'!$A45,'Wells Fargo'!$A:$A,AE$1,'Wells Fargo'!$B:$B,"&lt;="&amp;'Cash Flow'!AE$3,'Wells Fargo'!$B:$B,"&gt;"&amp;'Cash Flow'!AD$3)</f>
        <v>0</v>
      </c>
      <c r="AF45" s="189">
        <f>SUMIFS('Wells Fargo'!$F:$F,'Wells Fargo'!$G:$G,'Cash Flow'!$A45,'Wells Fargo'!$A:$A,AF$1,'Wells Fargo'!$B:$B,"&lt;="&amp;'Cash Flow'!AF$3)</f>
        <v>0</v>
      </c>
      <c r="AG45" s="188">
        <f>SUMIFS('Wells Fargo'!$F:$F,'Wells Fargo'!$G:$G,'Cash Flow'!$A45,'Wells Fargo'!$A:$A,AG$1,'Wells Fargo'!$B:$B,"&lt;="&amp;'Cash Flow'!AG$3,'Wells Fargo'!$B:$B,"&gt;"&amp;'Cash Flow'!AF$3)</f>
        <v>0</v>
      </c>
      <c r="AH45" s="188">
        <f>SUMIFS('Wells Fargo'!$F:$F,'Wells Fargo'!$G:$G,'Cash Flow'!$A45,'Wells Fargo'!$A:$A,AH$1,'Wells Fargo'!$B:$B,"&lt;="&amp;'Cash Flow'!AH$3,'Wells Fargo'!$B:$B,"&gt;"&amp;'Cash Flow'!AG$3)</f>
        <v>0</v>
      </c>
      <c r="AI45" s="188">
        <f>SUMIFS('Wells Fargo'!$F:$F,'Wells Fargo'!$G:$G,'Cash Flow'!$A45,'Wells Fargo'!$A:$A,AI$1,'Wells Fargo'!$B:$B,"&lt;="&amp;'Cash Flow'!AI$3,'Wells Fargo'!$B:$B,"&gt;"&amp;'Cash Flow'!AH$3)</f>
        <v>0</v>
      </c>
      <c r="AJ45" s="188">
        <f>SUMIFS('Wells Fargo'!$F:$F,'Wells Fargo'!$G:$G,'Cash Flow'!$A45,'Wells Fargo'!$A:$A,AJ$1,'Wells Fargo'!$B:$B,"&lt;="&amp;'Cash Flow'!AJ$3,'Wells Fargo'!$B:$B,"&gt;"&amp;'Cash Flow'!AI$3)</f>
        <v>0</v>
      </c>
      <c r="AK45" s="189">
        <f>SUMIFS('Wells Fargo'!$F:$F,'Wells Fargo'!$G:$G,'Cash Flow'!$A45,'Wells Fargo'!$A:$A,AK$1,'Wells Fargo'!$B:$B,"&lt;="&amp;'Cash Flow'!AK$3)</f>
        <v>0</v>
      </c>
      <c r="AL45" s="188">
        <f>SUMIFS('Wells Fargo'!$F:$F,'Wells Fargo'!$G:$G,'Cash Flow'!$A45,'Wells Fargo'!$A:$A,AL$1,'Wells Fargo'!$B:$B,"&lt;="&amp;'Cash Flow'!AL$3,'Wells Fargo'!$B:$B,"&gt;"&amp;'Cash Flow'!AK$3)</f>
        <v>0</v>
      </c>
      <c r="AM45" s="188">
        <f>SUMIFS('Wells Fargo'!$F:$F,'Wells Fargo'!$G:$G,'Cash Flow'!$A45,'Wells Fargo'!$A:$A,AM$1,'Wells Fargo'!$B:$B,"&lt;="&amp;'Cash Flow'!AM$3,'Wells Fargo'!$B:$B,"&gt;"&amp;'Cash Flow'!AL$3)</f>
        <v>0</v>
      </c>
      <c r="AN45" s="188">
        <f>SUMIFS('Wells Fargo'!$F:$F,'Wells Fargo'!$G:$G,'Cash Flow'!$A45,'Wells Fargo'!$A:$A,AN$1,'Wells Fargo'!$B:$B,"&lt;="&amp;'Cash Flow'!AN$3,'Wells Fargo'!$B:$B,"&gt;"&amp;'Cash Flow'!AM$3)</f>
        <v>0</v>
      </c>
      <c r="AO45" s="188">
        <f>SUMIFS('Wells Fargo'!$F:$F,'Wells Fargo'!$G:$G,'Cash Flow'!$A45,'Wells Fargo'!$A:$A,AO$1,'Wells Fargo'!$B:$B,"&lt;="&amp;'Cash Flow'!AO$3,'Wells Fargo'!$B:$B,"&gt;"&amp;'Cash Flow'!AN$3)</f>
        <v>0</v>
      </c>
      <c r="AP45" s="189">
        <f>SUMIFS('Wells Fargo'!$F:$F,'Wells Fargo'!$G:$G,'Cash Flow'!$A45,'Wells Fargo'!$A:$A,AP$1,'Wells Fargo'!$B:$B,"&lt;="&amp;'Cash Flow'!AP$3)</f>
        <v>0</v>
      </c>
      <c r="AQ45" s="188">
        <f>SUMIFS('Wells Fargo'!$F:$F,'Wells Fargo'!$G:$G,'Cash Flow'!$A45,'Wells Fargo'!$A:$A,AQ$1,'Wells Fargo'!$B:$B,"&lt;="&amp;'Cash Flow'!AQ$3,'Wells Fargo'!$B:$B,"&gt;"&amp;'Cash Flow'!AP$3)</f>
        <v>0</v>
      </c>
      <c r="AR45" s="188">
        <f>SUMIFS('Wells Fargo'!$F:$F,'Wells Fargo'!$G:$G,'Cash Flow'!$A45,'Wells Fargo'!$A:$A,AR$1,'Wells Fargo'!$B:$B,"&lt;="&amp;'Cash Flow'!AR$3,'Wells Fargo'!$B:$B,"&gt;"&amp;'Cash Flow'!AQ$3)</f>
        <v>0</v>
      </c>
      <c r="AS45" s="188">
        <f>SUMIFS('Wells Fargo'!$F:$F,'Wells Fargo'!$G:$G,'Cash Flow'!$A45,'Wells Fargo'!$A:$A,AS$1,'Wells Fargo'!$B:$B,"&lt;="&amp;'Cash Flow'!AS$3,'Wells Fargo'!$B:$B,"&gt;"&amp;'Cash Flow'!AR$3)</f>
        <v>0</v>
      </c>
      <c r="AT45" s="188">
        <f>SUMIFS('Wells Fargo'!$F:$F,'Wells Fargo'!$G:$G,'Cash Flow'!$A45,'Wells Fargo'!$A:$A,AT$1,'Wells Fargo'!$B:$B,"&lt;="&amp;'Cash Flow'!AT$3,'Wells Fargo'!$B:$B,"&gt;"&amp;'Cash Flow'!AS$3)</f>
        <v>0</v>
      </c>
      <c r="AU45" s="189">
        <f>SUMIFS('Wells Fargo'!$F:$F,'Wells Fargo'!$G:$G,'Cash Flow'!$A45,'Wells Fargo'!$A:$A,AU$1,'Wells Fargo'!$B:$B,"&lt;="&amp;'Cash Flow'!AU$3)</f>
        <v>0</v>
      </c>
      <c r="AV45" s="188">
        <f>SUMIFS('Wells Fargo'!$F:$F,'Wells Fargo'!$G:$G,'Cash Flow'!$A45,'Wells Fargo'!$A:$A,AV$1,'Wells Fargo'!$B:$B,"&lt;="&amp;'Cash Flow'!AV$3,'Wells Fargo'!$B:$B,"&gt;"&amp;'Cash Flow'!AU$3)</f>
        <v>0</v>
      </c>
      <c r="AW45" s="188">
        <f>SUMIFS('Wells Fargo'!$F:$F,'Wells Fargo'!$G:$G,'Cash Flow'!$A45,'Wells Fargo'!$A:$A,AW$1,'Wells Fargo'!$B:$B,"&lt;="&amp;'Cash Flow'!AW$3,'Wells Fargo'!$B:$B,"&gt;"&amp;'Cash Flow'!AV$3)</f>
        <v>0</v>
      </c>
      <c r="AX45" s="188">
        <f>SUMIFS('Wells Fargo'!$F:$F,'Wells Fargo'!$G:$G,'Cash Flow'!$A45,'Wells Fargo'!$A:$A,AX$1,'Wells Fargo'!$B:$B,"&lt;="&amp;'Cash Flow'!AX$3,'Wells Fargo'!$B:$B,"&gt;"&amp;'Cash Flow'!AW$3)</f>
        <v>0</v>
      </c>
      <c r="AY45" s="188">
        <f>SUMIFS('Wells Fargo'!$F:$F,'Wells Fargo'!$G:$G,'Cash Flow'!$A45,'Wells Fargo'!$A:$A,AY$1,'Wells Fargo'!$B:$B,"&lt;="&amp;'Cash Flow'!AY$3,'Wells Fargo'!$B:$B,"&gt;"&amp;'Cash Flow'!AX$3)</f>
        <v>0</v>
      </c>
      <c r="AZ45" s="189">
        <f>SUMIFS('Wells Fargo'!$F:$F,'Wells Fargo'!$G:$G,'Cash Flow'!$A45,'Wells Fargo'!$A:$A,AZ$1,'Wells Fargo'!$B:$B,"&lt;="&amp;'Cash Flow'!AZ$3)</f>
        <v>0</v>
      </c>
      <c r="BA45" s="188">
        <f>SUMIFS('Wells Fargo'!$F:$F,'Wells Fargo'!$G:$G,'Cash Flow'!$A45,'Wells Fargo'!$A:$A,BA$1,'Wells Fargo'!$B:$B,"&lt;="&amp;'Cash Flow'!BA$3,'Wells Fargo'!$B:$B,"&gt;"&amp;'Cash Flow'!AZ$3)</f>
        <v>0</v>
      </c>
      <c r="BB45" s="188">
        <f>SUMIFS('Wells Fargo'!$F:$F,'Wells Fargo'!$G:$G,'Cash Flow'!$A45,'Wells Fargo'!$A:$A,BB$1,'Wells Fargo'!$B:$B,"&lt;="&amp;'Cash Flow'!BB$3,'Wells Fargo'!$B:$B,"&gt;"&amp;'Cash Flow'!BA$3)</f>
        <v>0</v>
      </c>
      <c r="BC45" s="188">
        <f>SUMIFS('Wells Fargo'!$F:$F,'Wells Fargo'!$G:$G,'Cash Flow'!$A45,'Wells Fargo'!$A:$A,BC$1,'Wells Fargo'!$B:$B,"&lt;="&amp;'Cash Flow'!BC$3,'Wells Fargo'!$B:$B,"&gt;"&amp;'Cash Flow'!BB$3)</f>
        <v>0</v>
      </c>
      <c r="BD45" s="188">
        <f>SUMIFS('Wells Fargo'!$F:$F,'Wells Fargo'!$G:$G,'Cash Flow'!$A45,'Wells Fargo'!$A:$A,BD$1,'Wells Fargo'!$B:$B,"&lt;="&amp;'Cash Flow'!BD$3,'Wells Fargo'!$B:$B,"&gt;"&amp;'Cash Flow'!BC$3)</f>
        <v>0</v>
      </c>
      <c r="BE45" s="189">
        <f>SUMIFS('Wells Fargo'!$F:$F,'Wells Fargo'!$G:$G,'Cash Flow'!$A45,'Wells Fargo'!$A:$A,BE$1,'Wells Fargo'!$B:$B,"&lt;="&amp;'Cash Flow'!BE$3)</f>
        <v>0</v>
      </c>
      <c r="BF45" s="188">
        <f>SUMIFS('Wells Fargo'!$F:$F,'Wells Fargo'!$G:$G,'Cash Flow'!$A45,'Wells Fargo'!$A:$A,BF$1,'Wells Fargo'!$B:$B,"&lt;="&amp;'Cash Flow'!BF$3,'Wells Fargo'!$B:$B,"&gt;"&amp;'Cash Flow'!BE$3)</f>
        <v>0</v>
      </c>
      <c r="BG45" s="188">
        <f>SUMIFS('Wells Fargo'!$F:$F,'Wells Fargo'!$G:$G,'Cash Flow'!$A45,'Wells Fargo'!$A:$A,BG$1,'Wells Fargo'!$B:$B,"&lt;="&amp;'Cash Flow'!BG$3,'Wells Fargo'!$B:$B,"&gt;"&amp;'Cash Flow'!BF$3)</f>
        <v>0</v>
      </c>
      <c r="BH45" s="188">
        <f>SUMIFS('Wells Fargo'!$F:$F,'Wells Fargo'!$G:$G,'Cash Flow'!$A45,'Wells Fargo'!$A:$A,BH$1,'Wells Fargo'!$B:$B,"&lt;="&amp;'Cash Flow'!BH$3,'Wells Fargo'!$B:$B,"&gt;"&amp;'Cash Flow'!BG$3)</f>
        <v>0</v>
      </c>
      <c r="BI45" s="188">
        <f>SUMIFS('Wells Fargo'!$F:$F,'Wells Fargo'!$G:$G,'Cash Flow'!$A45,'Wells Fargo'!$A:$A,BI$1,'Wells Fargo'!$B:$B,"&lt;="&amp;'Cash Flow'!BI$3,'Wells Fargo'!$B:$B,"&gt;"&amp;'Cash Flow'!BH$3)</f>
        <v>0</v>
      </c>
    </row>
    <row r="46" spans="1:61" ht="12.75" x14ac:dyDescent="0.2">
      <c r="A46" t="str">
        <v>New Manchester - Rent</v>
      </c>
      <c r="B46" s="87">
        <f t="shared" si="1"/>
        <v>-5582.85</v>
      </c>
      <c r="C46" s="189">
        <f>SUMIFS('Wells Fargo'!$F:$F,'Wells Fargo'!$G:$G,'Cash Flow'!$A46,'Wells Fargo'!$A:$A,C$1,'Wells Fargo'!$B:$B,"&lt;="&amp;'Cash Flow'!C$3)</f>
        <v>0</v>
      </c>
      <c r="D46" s="188">
        <f>SUMIFS('Wells Fargo'!$F:$F,'Wells Fargo'!$G:$G,'Cash Flow'!$A46,'Wells Fargo'!$A:$A,D$1,'Wells Fargo'!$B:$B,"&lt;="&amp;'Cash Flow'!D$3,'Wells Fargo'!$B:$B,"&gt;"&amp;'Cash Flow'!C$3)</f>
        <v>0</v>
      </c>
      <c r="E46" s="188">
        <f>SUMIFS('Wells Fargo'!$F:$F,'Wells Fargo'!$G:$G,'Cash Flow'!$A46,'Wells Fargo'!$A:$A,E$1,'Wells Fargo'!$B:$B,"&lt;="&amp;'Cash Flow'!E$3,'Wells Fargo'!$B:$B,"&gt;"&amp;'Cash Flow'!D$3)</f>
        <v>0</v>
      </c>
      <c r="F46" s="188">
        <f>SUMIFS('Wells Fargo'!$F:$F,'Wells Fargo'!$G:$G,'Cash Flow'!$A46,'Wells Fargo'!$A:$A,F$1,'Wells Fargo'!$B:$B,"&lt;="&amp;'Cash Flow'!F$3,'Wells Fargo'!$B:$B,"&gt;"&amp;'Cash Flow'!E$3)</f>
        <v>0</v>
      </c>
      <c r="G46" s="188">
        <f>SUMIFS('Wells Fargo'!$F:$F,'Wells Fargo'!$G:$G,'Cash Flow'!$A46,'Wells Fargo'!$A:$A,G$1,'Wells Fargo'!$B:$B,"&lt;="&amp;'Cash Flow'!G$3,'Wells Fargo'!$B:$B,"&gt;"&amp;'Cash Flow'!F$3)</f>
        <v>0</v>
      </c>
      <c r="H46" s="189">
        <f>SUMIFS('Wells Fargo'!$F:$F,'Wells Fargo'!$G:$G,'Cash Flow'!$A46,'Wells Fargo'!$A:$A,H$1,'Wells Fargo'!$B:$B,"&lt;="&amp;'Cash Flow'!H$3)</f>
        <v>0</v>
      </c>
      <c r="I46" s="188">
        <f>SUMIFS('Wells Fargo'!$F:$F,'Wells Fargo'!$G:$G,'Cash Flow'!$A46,'Wells Fargo'!$A:$A,I$1,'Wells Fargo'!$B:$B,"&lt;="&amp;'Cash Flow'!I$3,'Wells Fargo'!$B:$B,"&gt;"&amp;'Cash Flow'!H$3)</f>
        <v>0</v>
      </c>
      <c r="J46" s="188">
        <f>SUMIFS('Wells Fargo'!$F:$F,'Wells Fargo'!$G:$G,'Cash Flow'!$A46,'Wells Fargo'!$A:$A,J$1,'Wells Fargo'!$B:$B,"&lt;="&amp;'Cash Flow'!J$3,'Wells Fargo'!$B:$B,"&gt;"&amp;'Cash Flow'!I$3)</f>
        <v>0</v>
      </c>
      <c r="K46" s="188">
        <f>SUMIFS('Wells Fargo'!$F:$F,'Wells Fargo'!$G:$G,'Cash Flow'!$A46,'Wells Fargo'!$A:$A,K$1,'Wells Fargo'!$B:$B,"&lt;="&amp;'Cash Flow'!K$3,'Wells Fargo'!$B:$B,"&gt;"&amp;'Cash Flow'!J$3)</f>
        <v>0</v>
      </c>
      <c r="L46" s="189">
        <f>SUMIFS('Wells Fargo'!$F:$F,'Wells Fargo'!$G:$G,'Cash Flow'!$A46,'Wells Fargo'!$A:$A,L$1,'Wells Fargo'!$B:$B,"&lt;="&amp;'Cash Flow'!L$3)</f>
        <v>0</v>
      </c>
      <c r="M46" s="188">
        <f>SUMIFS('Wells Fargo'!$F:$F,'Wells Fargo'!$G:$G,'Cash Flow'!$A46,'Wells Fargo'!$A:$A,M$1,'Wells Fargo'!$B:$B,"&lt;="&amp;'Cash Flow'!M$3,'Wells Fargo'!$B:$B,"&gt;"&amp;'Cash Flow'!L$3)</f>
        <v>0</v>
      </c>
      <c r="N46" s="188">
        <f>SUMIFS('Wells Fargo'!$F:$F,'Wells Fargo'!$G:$G,'Cash Flow'!$A46,'Wells Fargo'!$A:$A,N$1,'Wells Fargo'!$B:$B,"&lt;="&amp;'Cash Flow'!N$3,'Wells Fargo'!$B:$B,"&gt;"&amp;'Cash Flow'!M$3)</f>
        <v>0</v>
      </c>
      <c r="O46" s="188">
        <f>SUMIFS('Wells Fargo'!$F:$F,'Wells Fargo'!$G:$G,'Cash Flow'!$A46,'Wells Fargo'!$A:$A,O$1,'Wells Fargo'!$B:$B,"&lt;="&amp;'Cash Flow'!O$3,'Wells Fargo'!$B:$B,"&gt;"&amp;'Cash Flow'!N$3)</f>
        <v>0</v>
      </c>
      <c r="P46" s="188">
        <f>SUMIFS('Wells Fargo'!$F:$F,'Wells Fargo'!$G:$G,'Cash Flow'!$A46,'Wells Fargo'!$A:$A,P$1,'Wells Fargo'!$B:$B,"&lt;="&amp;'Cash Flow'!P$3,'Wells Fargo'!$B:$B,"&gt;"&amp;'Cash Flow'!O$3)</f>
        <v>0</v>
      </c>
      <c r="Q46" s="189">
        <f>SUMIFS('Wells Fargo'!$F:$F,'Wells Fargo'!$G:$G,'Cash Flow'!$A46,'Wells Fargo'!$A:$A,Q$1,'Wells Fargo'!$B:$B,"&lt;="&amp;'Cash Flow'!Q$3)</f>
        <v>0</v>
      </c>
      <c r="R46" s="188">
        <f>SUMIFS('Wells Fargo'!$F:$F,'Wells Fargo'!$G:$G,'Cash Flow'!$A46,'Wells Fargo'!$A:$A,R$1,'Wells Fargo'!$B:$B,"&lt;="&amp;'Cash Flow'!R$3,'Wells Fargo'!$B:$B,"&gt;"&amp;'Cash Flow'!Q$3)</f>
        <v>0</v>
      </c>
      <c r="S46" s="188">
        <f>SUMIFS('Wells Fargo'!$F:$F,'Wells Fargo'!$G:$G,'Cash Flow'!$A46,'Wells Fargo'!$A:$A,S$1,'Wells Fargo'!$B:$B,"&lt;="&amp;'Cash Flow'!S$3,'Wells Fargo'!$B:$B,"&gt;"&amp;'Cash Flow'!R$3)</f>
        <v>0</v>
      </c>
      <c r="T46" s="188">
        <f>SUMIFS('Wells Fargo'!$F:$F,'Wells Fargo'!$G:$G,'Cash Flow'!$A46,'Wells Fargo'!$A:$A,T$1,'Wells Fargo'!$B:$B,"&lt;="&amp;'Cash Flow'!T$3,'Wells Fargo'!$B:$B,"&gt;"&amp;'Cash Flow'!S$3)</f>
        <v>0</v>
      </c>
      <c r="U46" s="188">
        <f>SUMIFS('Wells Fargo'!$F:$F,'Wells Fargo'!$G:$G,'Cash Flow'!$A46,'Wells Fargo'!$A:$A,U$1,'Wells Fargo'!$B:$B,"&lt;="&amp;'Cash Flow'!U$3,'Wells Fargo'!$B:$B,"&gt;"&amp;'Cash Flow'!T$3)</f>
        <v>0</v>
      </c>
      <c r="V46" s="189">
        <f>SUMIFS('Wells Fargo'!$F:$F,'Wells Fargo'!$G:$G,'Cash Flow'!$A46,'Wells Fargo'!$A:$A,V$1,'Wells Fargo'!$B:$B,"&lt;="&amp;'Cash Flow'!V$3)</f>
        <v>0</v>
      </c>
      <c r="W46" s="188">
        <f>SUMIFS('Wells Fargo'!$F:$F,'Wells Fargo'!$G:$G,'Cash Flow'!$A46,'Wells Fargo'!$A:$A,W$1,'Wells Fargo'!$B:$B,"&lt;="&amp;'Cash Flow'!W$3,'Wells Fargo'!$B:$B,"&gt;"&amp;'Cash Flow'!V$3)</f>
        <v>0</v>
      </c>
      <c r="X46" s="188">
        <f>SUMIFS('Wells Fargo'!$F:$F,'Wells Fargo'!$G:$G,'Cash Flow'!$A46,'Wells Fargo'!$A:$A,X$1,'Wells Fargo'!$B:$B,"&lt;="&amp;'Cash Flow'!X$3,'Wells Fargo'!$B:$B,"&gt;"&amp;'Cash Flow'!W$3)</f>
        <v>0</v>
      </c>
      <c r="Y46" s="188">
        <f>SUMIFS('Wells Fargo'!$F:$F,'Wells Fargo'!$G:$G,'Cash Flow'!$A46,'Wells Fargo'!$A:$A,Y$1,'Wells Fargo'!$B:$B,"&lt;="&amp;'Cash Flow'!Y$3,'Wells Fargo'!$B:$B,"&gt;"&amp;'Cash Flow'!X$3)</f>
        <v>0</v>
      </c>
      <c r="Z46" s="188">
        <f>SUMIFS('Wells Fargo'!$F:$F,'Wells Fargo'!$G:$G,'Cash Flow'!$A46,'Wells Fargo'!$A:$A,Z$1,'Wells Fargo'!$B:$B,"&lt;="&amp;'Cash Flow'!Z$3,'Wells Fargo'!$B:$B,"&gt;"&amp;'Cash Flow'!Y$3)</f>
        <v>0</v>
      </c>
      <c r="AA46" s="189">
        <f>SUMIFS('Wells Fargo'!$F:$F,'Wells Fargo'!$G:$G,'Cash Flow'!$A46,'Wells Fargo'!$A:$A,AA$1,'Wells Fargo'!$B:$B,"&lt;="&amp;'Cash Flow'!AA$3)</f>
        <v>-2041.66</v>
      </c>
      <c r="AB46" s="188">
        <f>SUMIFS('Wells Fargo'!$F:$F,'Wells Fargo'!$G:$G,'Cash Flow'!$A46,'Wells Fargo'!$A:$A,AB$1,'Wells Fargo'!$B:$B,"&lt;="&amp;'Cash Flow'!AB$3,'Wells Fargo'!$B:$B,"&gt;"&amp;'Cash Flow'!AA$3)</f>
        <v>0</v>
      </c>
      <c r="AC46" s="188">
        <f>SUMIFS('Wells Fargo'!$F:$F,'Wells Fargo'!$G:$G,'Cash Flow'!$A46,'Wells Fargo'!$A:$A,AC$1,'Wells Fargo'!$B:$B,"&lt;="&amp;'Cash Flow'!AC$3,'Wells Fargo'!$B:$B,"&gt;"&amp;'Cash Flow'!AB$3)</f>
        <v>0</v>
      </c>
      <c r="AD46" s="188">
        <f>SUMIFS('Wells Fargo'!$F:$F,'Wells Fargo'!$G:$G,'Cash Flow'!$A46,'Wells Fargo'!$A:$A,AD$1,'Wells Fargo'!$B:$B,"&lt;="&amp;'Cash Flow'!AD$3,'Wells Fargo'!$B:$B,"&gt;"&amp;'Cash Flow'!AC$3)</f>
        <v>0</v>
      </c>
      <c r="AE46" s="188">
        <f>SUMIFS('Wells Fargo'!$F:$F,'Wells Fargo'!$G:$G,'Cash Flow'!$A46,'Wells Fargo'!$A:$A,AE$1,'Wells Fargo'!$B:$B,"&lt;="&amp;'Cash Flow'!AE$3,'Wells Fargo'!$B:$B,"&gt;"&amp;'Cash Flow'!AD$3)</f>
        <v>-1804.34</v>
      </c>
      <c r="AF46" s="189">
        <f>SUMIFS('Wells Fargo'!$F:$F,'Wells Fargo'!$G:$G,'Cash Flow'!$A46,'Wells Fargo'!$A:$A,AF$1,'Wells Fargo'!$B:$B,"&lt;="&amp;'Cash Flow'!AF$3)</f>
        <v>0</v>
      </c>
      <c r="AG46" s="188">
        <f>SUMIFS('Wells Fargo'!$F:$F,'Wells Fargo'!$G:$G,'Cash Flow'!$A46,'Wells Fargo'!$A:$A,AG$1,'Wells Fargo'!$B:$B,"&lt;="&amp;'Cash Flow'!AG$3,'Wells Fargo'!$B:$B,"&gt;"&amp;'Cash Flow'!AF$3)</f>
        <v>0</v>
      </c>
      <c r="AH46" s="188">
        <f>SUMIFS('Wells Fargo'!$F:$F,'Wells Fargo'!$G:$G,'Cash Flow'!$A46,'Wells Fargo'!$A:$A,AH$1,'Wells Fargo'!$B:$B,"&lt;="&amp;'Cash Flow'!AH$3,'Wells Fargo'!$B:$B,"&gt;"&amp;'Cash Flow'!AG$3)</f>
        <v>0</v>
      </c>
      <c r="AI46" s="188">
        <f>SUMIFS('Wells Fargo'!$F:$F,'Wells Fargo'!$G:$G,'Cash Flow'!$A46,'Wells Fargo'!$A:$A,AI$1,'Wells Fargo'!$B:$B,"&lt;="&amp;'Cash Flow'!AI$3,'Wells Fargo'!$B:$B,"&gt;"&amp;'Cash Flow'!AH$3)</f>
        <v>-1825</v>
      </c>
      <c r="AJ46" s="188">
        <f>SUMIFS('Wells Fargo'!$F:$F,'Wells Fargo'!$G:$G,'Cash Flow'!$A46,'Wells Fargo'!$A:$A,AJ$1,'Wells Fargo'!$B:$B,"&lt;="&amp;'Cash Flow'!AJ$3,'Wells Fargo'!$B:$B,"&gt;"&amp;'Cash Flow'!AI$3)</f>
        <v>0</v>
      </c>
      <c r="AK46" s="189">
        <f>SUMIFS('Wells Fargo'!$F:$F,'Wells Fargo'!$G:$G,'Cash Flow'!$A46,'Wells Fargo'!$A:$A,AK$1,'Wells Fargo'!$B:$B,"&lt;="&amp;'Cash Flow'!AK$3)</f>
        <v>0</v>
      </c>
      <c r="AL46" s="188">
        <f>SUMIFS('Wells Fargo'!$F:$F,'Wells Fargo'!$G:$G,'Cash Flow'!$A46,'Wells Fargo'!$A:$A,AL$1,'Wells Fargo'!$B:$B,"&lt;="&amp;'Cash Flow'!AL$3,'Wells Fargo'!$B:$B,"&gt;"&amp;'Cash Flow'!AK$3)</f>
        <v>0</v>
      </c>
      <c r="AM46" s="188">
        <f>SUMIFS('Wells Fargo'!$F:$F,'Wells Fargo'!$G:$G,'Cash Flow'!$A46,'Wells Fargo'!$A:$A,AM$1,'Wells Fargo'!$B:$B,"&lt;="&amp;'Cash Flow'!AM$3,'Wells Fargo'!$B:$B,"&gt;"&amp;'Cash Flow'!AL$3)</f>
        <v>0</v>
      </c>
      <c r="AN46" s="188">
        <f>SUMIFS('Wells Fargo'!$F:$F,'Wells Fargo'!$G:$G,'Cash Flow'!$A46,'Wells Fargo'!$A:$A,AN$1,'Wells Fargo'!$B:$B,"&lt;="&amp;'Cash Flow'!AN$3,'Wells Fargo'!$B:$B,"&gt;"&amp;'Cash Flow'!AM$3)</f>
        <v>-348.05</v>
      </c>
      <c r="AO46" s="188">
        <f>SUMIFS('Wells Fargo'!$F:$F,'Wells Fargo'!$G:$G,'Cash Flow'!$A46,'Wells Fargo'!$A:$A,AO$1,'Wells Fargo'!$B:$B,"&lt;="&amp;'Cash Flow'!AO$3,'Wells Fargo'!$B:$B,"&gt;"&amp;'Cash Flow'!AN$3)</f>
        <v>0</v>
      </c>
      <c r="AP46" s="189">
        <f>SUMIFS('Wells Fargo'!$F:$F,'Wells Fargo'!$G:$G,'Cash Flow'!$A46,'Wells Fargo'!$A:$A,AP$1,'Wells Fargo'!$B:$B,"&lt;="&amp;'Cash Flow'!AP$3)</f>
        <v>0</v>
      </c>
      <c r="AQ46" s="188">
        <f>SUMIFS('Wells Fargo'!$F:$F,'Wells Fargo'!$G:$G,'Cash Flow'!$A46,'Wells Fargo'!$A:$A,AQ$1,'Wells Fargo'!$B:$B,"&lt;="&amp;'Cash Flow'!AQ$3,'Wells Fargo'!$B:$B,"&gt;"&amp;'Cash Flow'!AP$3)</f>
        <v>0</v>
      </c>
      <c r="AR46" s="188">
        <f>SUMIFS('Wells Fargo'!$F:$F,'Wells Fargo'!$G:$G,'Cash Flow'!$A46,'Wells Fargo'!$A:$A,AR$1,'Wells Fargo'!$B:$B,"&lt;="&amp;'Cash Flow'!AR$3,'Wells Fargo'!$B:$B,"&gt;"&amp;'Cash Flow'!AQ$3)</f>
        <v>0</v>
      </c>
      <c r="AS46" s="188">
        <f>SUMIFS('Wells Fargo'!$F:$F,'Wells Fargo'!$G:$G,'Cash Flow'!$A46,'Wells Fargo'!$A:$A,AS$1,'Wells Fargo'!$B:$B,"&lt;="&amp;'Cash Flow'!AS$3,'Wells Fargo'!$B:$B,"&gt;"&amp;'Cash Flow'!AR$3)</f>
        <v>436.2</v>
      </c>
      <c r="AT46" s="188">
        <f>SUMIFS('Wells Fargo'!$F:$F,'Wells Fargo'!$G:$G,'Cash Flow'!$A46,'Wells Fargo'!$A:$A,AT$1,'Wells Fargo'!$B:$B,"&lt;="&amp;'Cash Flow'!AT$3,'Wells Fargo'!$B:$B,"&gt;"&amp;'Cash Flow'!AS$3)</f>
        <v>0</v>
      </c>
      <c r="AU46" s="189">
        <f>SUMIFS('Wells Fargo'!$F:$F,'Wells Fargo'!$G:$G,'Cash Flow'!$A46,'Wells Fargo'!$A:$A,AU$1,'Wells Fargo'!$B:$B,"&lt;="&amp;'Cash Flow'!AU$3)</f>
        <v>0</v>
      </c>
      <c r="AV46" s="188">
        <f>SUMIFS('Wells Fargo'!$F:$F,'Wells Fargo'!$G:$G,'Cash Flow'!$A46,'Wells Fargo'!$A:$A,AV$1,'Wells Fargo'!$B:$B,"&lt;="&amp;'Cash Flow'!AV$3,'Wells Fargo'!$B:$B,"&gt;"&amp;'Cash Flow'!AU$3)</f>
        <v>0</v>
      </c>
      <c r="AW46" s="188">
        <f>SUMIFS('Wells Fargo'!$F:$F,'Wells Fargo'!$G:$G,'Cash Flow'!$A46,'Wells Fargo'!$A:$A,AW$1,'Wells Fargo'!$B:$B,"&lt;="&amp;'Cash Flow'!AW$3,'Wells Fargo'!$B:$B,"&gt;"&amp;'Cash Flow'!AV$3)</f>
        <v>0</v>
      </c>
      <c r="AX46" s="188">
        <f>SUMIFS('Wells Fargo'!$F:$F,'Wells Fargo'!$G:$G,'Cash Flow'!$A46,'Wells Fargo'!$A:$A,AX$1,'Wells Fargo'!$B:$B,"&lt;="&amp;'Cash Flow'!AX$3,'Wells Fargo'!$B:$B,"&gt;"&amp;'Cash Flow'!AW$3)</f>
        <v>0</v>
      </c>
      <c r="AY46" s="188">
        <f>SUMIFS('Wells Fargo'!$F:$F,'Wells Fargo'!$G:$G,'Cash Flow'!$A46,'Wells Fargo'!$A:$A,AY$1,'Wells Fargo'!$B:$B,"&lt;="&amp;'Cash Flow'!AY$3,'Wells Fargo'!$B:$B,"&gt;"&amp;'Cash Flow'!AX$3)</f>
        <v>0</v>
      </c>
      <c r="AZ46" s="189">
        <f>SUMIFS('Wells Fargo'!$F:$F,'Wells Fargo'!$G:$G,'Cash Flow'!$A46,'Wells Fargo'!$A:$A,AZ$1,'Wells Fargo'!$B:$B,"&lt;="&amp;'Cash Flow'!AZ$3)</f>
        <v>0</v>
      </c>
      <c r="BA46" s="188">
        <f>SUMIFS('Wells Fargo'!$F:$F,'Wells Fargo'!$G:$G,'Cash Flow'!$A46,'Wells Fargo'!$A:$A,BA$1,'Wells Fargo'!$B:$B,"&lt;="&amp;'Cash Flow'!BA$3,'Wells Fargo'!$B:$B,"&gt;"&amp;'Cash Flow'!AZ$3)</f>
        <v>0</v>
      </c>
      <c r="BB46" s="188">
        <f>SUMIFS('Wells Fargo'!$F:$F,'Wells Fargo'!$G:$G,'Cash Flow'!$A46,'Wells Fargo'!$A:$A,BB$1,'Wells Fargo'!$B:$B,"&lt;="&amp;'Cash Flow'!BB$3,'Wells Fargo'!$B:$B,"&gt;"&amp;'Cash Flow'!BA$3)</f>
        <v>0</v>
      </c>
      <c r="BC46" s="188">
        <f>SUMIFS('Wells Fargo'!$F:$F,'Wells Fargo'!$G:$G,'Cash Flow'!$A46,'Wells Fargo'!$A:$A,BC$1,'Wells Fargo'!$B:$B,"&lt;="&amp;'Cash Flow'!BC$3,'Wells Fargo'!$B:$B,"&gt;"&amp;'Cash Flow'!BB$3)</f>
        <v>0</v>
      </c>
      <c r="BD46" s="188">
        <f>SUMIFS('Wells Fargo'!$F:$F,'Wells Fargo'!$G:$G,'Cash Flow'!$A46,'Wells Fargo'!$A:$A,BD$1,'Wells Fargo'!$B:$B,"&lt;="&amp;'Cash Flow'!BD$3,'Wells Fargo'!$B:$B,"&gt;"&amp;'Cash Flow'!BC$3)</f>
        <v>0</v>
      </c>
      <c r="BE46" s="189">
        <f>SUMIFS('Wells Fargo'!$F:$F,'Wells Fargo'!$G:$G,'Cash Flow'!$A46,'Wells Fargo'!$A:$A,BE$1,'Wells Fargo'!$B:$B,"&lt;="&amp;'Cash Flow'!BE$3)</f>
        <v>0</v>
      </c>
      <c r="BF46" s="188">
        <f>SUMIFS('Wells Fargo'!$F:$F,'Wells Fargo'!$G:$G,'Cash Flow'!$A46,'Wells Fargo'!$A:$A,BF$1,'Wells Fargo'!$B:$B,"&lt;="&amp;'Cash Flow'!BF$3,'Wells Fargo'!$B:$B,"&gt;"&amp;'Cash Flow'!BE$3)</f>
        <v>0</v>
      </c>
      <c r="BG46" s="188">
        <f>SUMIFS('Wells Fargo'!$F:$F,'Wells Fargo'!$G:$G,'Cash Flow'!$A46,'Wells Fargo'!$A:$A,BG$1,'Wells Fargo'!$B:$B,"&lt;="&amp;'Cash Flow'!BG$3,'Wells Fargo'!$B:$B,"&gt;"&amp;'Cash Flow'!BF$3)</f>
        <v>0</v>
      </c>
      <c r="BH46" s="188">
        <f>SUMIFS('Wells Fargo'!$F:$F,'Wells Fargo'!$G:$G,'Cash Flow'!$A46,'Wells Fargo'!$A:$A,BH$1,'Wells Fargo'!$B:$B,"&lt;="&amp;'Cash Flow'!BH$3,'Wells Fargo'!$B:$B,"&gt;"&amp;'Cash Flow'!BG$3)</f>
        <v>0</v>
      </c>
      <c r="BI46" s="188">
        <f>SUMIFS('Wells Fargo'!$F:$F,'Wells Fargo'!$G:$G,'Cash Flow'!$A46,'Wells Fargo'!$A:$A,BI$1,'Wells Fargo'!$B:$B,"&lt;="&amp;'Cash Flow'!BI$3,'Wells Fargo'!$B:$B,"&gt;"&amp;'Cash Flow'!BH$3)</f>
        <v>0</v>
      </c>
    </row>
    <row r="47" spans="1:61" ht="12.75" x14ac:dyDescent="0.2">
      <c r="A47" t="str">
        <v>New Manchester Deposit</v>
      </c>
      <c r="B47" s="87">
        <f t="shared" ref="B47:B61" si="2">SUM(C47:BI47)</f>
        <v>-200</v>
      </c>
      <c r="C47" s="189">
        <f>SUMIFS('Wells Fargo'!$F:$F,'Wells Fargo'!$G:$G,'Cash Flow'!$A47,'Wells Fargo'!$A:$A,C$1,'Wells Fargo'!$B:$B,"&lt;="&amp;'Cash Flow'!C$3)</f>
        <v>0</v>
      </c>
      <c r="D47" s="188">
        <f>SUMIFS('Wells Fargo'!$F:$F,'Wells Fargo'!$G:$G,'Cash Flow'!$A47,'Wells Fargo'!$A:$A,D$1,'Wells Fargo'!$B:$B,"&lt;="&amp;'Cash Flow'!D$3,'Wells Fargo'!$B:$B,"&gt;"&amp;'Cash Flow'!C$3)</f>
        <v>0</v>
      </c>
      <c r="E47" s="188">
        <f>SUMIFS('Wells Fargo'!$F:$F,'Wells Fargo'!$G:$G,'Cash Flow'!$A47,'Wells Fargo'!$A:$A,E$1,'Wells Fargo'!$B:$B,"&lt;="&amp;'Cash Flow'!E$3,'Wells Fargo'!$B:$B,"&gt;"&amp;'Cash Flow'!D$3)</f>
        <v>0</v>
      </c>
      <c r="F47" s="188">
        <f>SUMIFS('Wells Fargo'!$F:$F,'Wells Fargo'!$G:$G,'Cash Flow'!$A47,'Wells Fargo'!$A:$A,F$1,'Wells Fargo'!$B:$B,"&lt;="&amp;'Cash Flow'!F$3,'Wells Fargo'!$B:$B,"&gt;"&amp;'Cash Flow'!E$3)</f>
        <v>0</v>
      </c>
      <c r="G47" s="188">
        <f>SUMIFS('Wells Fargo'!$F:$F,'Wells Fargo'!$G:$G,'Cash Flow'!$A47,'Wells Fargo'!$A:$A,G$1,'Wells Fargo'!$B:$B,"&lt;="&amp;'Cash Flow'!G$3,'Wells Fargo'!$B:$B,"&gt;"&amp;'Cash Flow'!F$3)</f>
        <v>0</v>
      </c>
      <c r="H47" s="189">
        <f>SUMIFS('Wells Fargo'!$F:$F,'Wells Fargo'!$G:$G,'Cash Flow'!$A47,'Wells Fargo'!$A:$A,H$1,'Wells Fargo'!$B:$B,"&lt;="&amp;'Cash Flow'!H$3)</f>
        <v>0</v>
      </c>
      <c r="I47" s="188">
        <f>SUMIFS('Wells Fargo'!$F:$F,'Wells Fargo'!$G:$G,'Cash Flow'!$A47,'Wells Fargo'!$A:$A,I$1,'Wells Fargo'!$B:$B,"&lt;="&amp;'Cash Flow'!I$3,'Wells Fargo'!$B:$B,"&gt;"&amp;'Cash Flow'!H$3)</f>
        <v>0</v>
      </c>
      <c r="J47" s="188">
        <f>SUMIFS('Wells Fargo'!$F:$F,'Wells Fargo'!$G:$G,'Cash Flow'!$A47,'Wells Fargo'!$A:$A,J$1,'Wells Fargo'!$B:$B,"&lt;="&amp;'Cash Flow'!J$3,'Wells Fargo'!$B:$B,"&gt;"&amp;'Cash Flow'!I$3)</f>
        <v>0</v>
      </c>
      <c r="K47" s="188">
        <f>SUMIFS('Wells Fargo'!$F:$F,'Wells Fargo'!$G:$G,'Cash Flow'!$A47,'Wells Fargo'!$A:$A,K$1,'Wells Fargo'!$B:$B,"&lt;="&amp;'Cash Flow'!K$3,'Wells Fargo'!$B:$B,"&gt;"&amp;'Cash Flow'!J$3)</f>
        <v>0</v>
      </c>
      <c r="L47" s="189">
        <f>SUMIFS('Wells Fargo'!$F:$F,'Wells Fargo'!$G:$G,'Cash Flow'!$A47,'Wells Fargo'!$A:$A,L$1,'Wells Fargo'!$B:$B,"&lt;="&amp;'Cash Flow'!L$3)</f>
        <v>0</v>
      </c>
      <c r="M47" s="188">
        <f>SUMIFS('Wells Fargo'!$F:$F,'Wells Fargo'!$G:$G,'Cash Flow'!$A47,'Wells Fargo'!$A:$A,M$1,'Wells Fargo'!$B:$B,"&lt;="&amp;'Cash Flow'!M$3,'Wells Fargo'!$B:$B,"&gt;"&amp;'Cash Flow'!L$3)</f>
        <v>0</v>
      </c>
      <c r="N47" s="188">
        <f>SUMIFS('Wells Fargo'!$F:$F,'Wells Fargo'!$G:$G,'Cash Flow'!$A47,'Wells Fargo'!$A:$A,N$1,'Wells Fargo'!$B:$B,"&lt;="&amp;'Cash Flow'!N$3,'Wells Fargo'!$B:$B,"&gt;"&amp;'Cash Flow'!M$3)</f>
        <v>0</v>
      </c>
      <c r="O47" s="188">
        <f>SUMIFS('Wells Fargo'!$F:$F,'Wells Fargo'!$G:$G,'Cash Flow'!$A47,'Wells Fargo'!$A:$A,O$1,'Wells Fargo'!$B:$B,"&lt;="&amp;'Cash Flow'!O$3,'Wells Fargo'!$B:$B,"&gt;"&amp;'Cash Flow'!N$3)</f>
        <v>0</v>
      </c>
      <c r="P47" s="188">
        <f>SUMIFS('Wells Fargo'!$F:$F,'Wells Fargo'!$G:$G,'Cash Flow'!$A47,'Wells Fargo'!$A:$A,P$1,'Wells Fargo'!$B:$B,"&lt;="&amp;'Cash Flow'!P$3,'Wells Fargo'!$B:$B,"&gt;"&amp;'Cash Flow'!O$3)</f>
        <v>0</v>
      </c>
      <c r="Q47" s="189">
        <f>SUMIFS('Wells Fargo'!$F:$F,'Wells Fargo'!$G:$G,'Cash Flow'!$A47,'Wells Fargo'!$A:$A,Q$1,'Wells Fargo'!$B:$B,"&lt;="&amp;'Cash Flow'!Q$3)</f>
        <v>0</v>
      </c>
      <c r="R47" s="188">
        <f>SUMIFS('Wells Fargo'!$F:$F,'Wells Fargo'!$G:$G,'Cash Flow'!$A47,'Wells Fargo'!$A:$A,R$1,'Wells Fargo'!$B:$B,"&lt;="&amp;'Cash Flow'!R$3,'Wells Fargo'!$B:$B,"&gt;"&amp;'Cash Flow'!Q$3)</f>
        <v>0</v>
      </c>
      <c r="S47" s="188">
        <f>SUMIFS('Wells Fargo'!$F:$F,'Wells Fargo'!$G:$G,'Cash Flow'!$A47,'Wells Fargo'!$A:$A,S$1,'Wells Fargo'!$B:$B,"&lt;="&amp;'Cash Flow'!S$3,'Wells Fargo'!$B:$B,"&gt;"&amp;'Cash Flow'!R$3)</f>
        <v>0</v>
      </c>
      <c r="T47" s="188">
        <f>SUMIFS('Wells Fargo'!$F:$F,'Wells Fargo'!$G:$G,'Cash Flow'!$A47,'Wells Fargo'!$A:$A,T$1,'Wells Fargo'!$B:$B,"&lt;="&amp;'Cash Flow'!T$3,'Wells Fargo'!$B:$B,"&gt;"&amp;'Cash Flow'!S$3)</f>
        <v>0</v>
      </c>
      <c r="U47" s="188">
        <f>SUMIFS('Wells Fargo'!$F:$F,'Wells Fargo'!$G:$G,'Cash Flow'!$A47,'Wells Fargo'!$A:$A,U$1,'Wells Fargo'!$B:$B,"&lt;="&amp;'Cash Flow'!U$3,'Wells Fargo'!$B:$B,"&gt;"&amp;'Cash Flow'!T$3)</f>
        <v>0</v>
      </c>
      <c r="V47" s="189">
        <f>SUMIFS('Wells Fargo'!$F:$F,'Wells Fargo'!$G:$G,'Cash Flow'!$A47,'Wells Fargo'!$A:$A,V$1,'Wells Fargo'!$B:$B,"&lt;="&amp;'Cash Flow'!V$3)</f>
        <v>-200</v>
      </c>
      <c r="W47" s="188">
        <f>SUMIFS('Wells Fargo'!$F:$F,'Wells Fargo'!$G:$G,'Cash Flow'!$A47,'Wells Fargo'!$A:$A,W$1,'Wells Fargo'!$B:$B,"&lt;="&amp;'Cash Flow'!W$3,'Wells Fargo'!$B:$B,"&gt;"&amp;'Cash Flow'!V$3)</f>
        <v>0</v>
      </c>
      <c r="X47" s="188">
        <f>SUMIFS('Wells Fargo'!$F:$F,'Wells Fargo'!$G:$G,'Cash Flow'!$A47,'Wells Fargo'!$A:$A,X$1,'Wells Fargo'!$B:$B,"&lt;="&amp;'Cash Flow'!X$3,'Wells Fargo'!$B:$B,"&gt;"&amp;'Cash Flow'!W$3)</f>
        <v>0</v>
      </c>
      <c r="Y47" s="188">
        <f>SUMIFS('Wells Fargo'!$F:$F,'Wells Fargo'!$G:$G,'Cash Flow'!$A47,'Wells Fargo'!$A:$A,Y$1,'Wells Fargo'!$B:$B,"&lt;="&amp;'Cash Flow'!Y$3,'Wells Fargo'!$B:$B,"&gt;"&amp;'Cash Flow'!X$3)</f>
        <v>0</v>
      </c>
      <c r="Z47" s="188">
        <f>SUMIFS('Wells Fargo'!$F:$F,'Wells Fargo'!$G:$G,'Cash Flow'!$A47,'Wells Fargo'!$A:$A,Z$1,'Wells Fargo'!$B:$B,"&lt;="&amp;'Cash Flow'!Z$3,'Wells Fargo'!$B:$B,"&gt;"&amp;'Cash Flow'!Y$3)</f>
        <v>0</v>
      </c>
      <c r="AA47" s="189">
        <f>SUMIFS('Wells Fargo'!$F:$F,'Wells Fargo'!$G:$G,'Cash Flow'!$A47,'Wells Fargo'!$A:$A,AA$1,'Wells Fargo'!$B:$B,"&lt;="&amp;'Cash Flow'!AA$3)</f>
        <v>0</v>
      </c>
      <c r="AB47" s="188">
        <f>SUMIFS('Wells Fargo'!$F:$F,'Wells Fargo'!$G:$G,'Cash Flow'!$A47,'Wells Fargo'!$A:$A,AB$1,'Wells Fargo'!$B:$B,"&lt;="&amp;'Cash Flow'!AB$3,'Wells Fargo'!$B:$B,"&gt;"&amp;'Cash Flow'!AA$3)</f>
        <v>0</v>
      </c>
      <c r="AC47" s="188">
        <f>SUMIFS('Wells Fargo'!$F:$F,'Wells Fargo'!$G:$G,'Cash Flow'!$A47,'Wells Fargo'!$A:$A,AC$1,'Wells Fargo'!$B:$B,"&lt;="&amp;'Cash Flow'!AC$3,'Wells Fargo'!$B:$B,"&gt;"&amp;'Cash Flow'!AB$3)</f>
        <v>0</v>
      </c>
      <c r="AD47" s="188">
        <f>SUMIFS('Wells Fargo'!$F:$F,'Wells Fargo'!$G:$G,'Cash Flow'!$A47,'Wells Fargo'!$A:$A,AD$1,'Wells Fargo'!$B:$B,"&lt;="&amp;'Cash Flow'!AD$3,'Wells Fargo'!$B:$B,"&gt;"&amp;'Cash Flow'!AC$3)</f>
        <v>0</v>
      </c>
      <c r="AE47" s="188">
        <f>SUMIFS('Wells Fargo'!$F:$F,'Wells Fargo'!$G:$G,'Cash Flow'!$A47,'Wells Fargo'!$A:$A,AE$1,'Wells Fargo'!$B:$B,"&lt;="&amp;'Cash Flow'!AE$3,'Wells Fargo'!$B:$B,"&gt;"&amp;'Cash Flow'!AD$3)</f>
        <v>0</v>
      </c>
      <c r="AF47" s="189">
        <f>SUMIFS('Wells Fargo'!$F:$F,'Wells Fargo'!$G:$G,'Cash Flow'!$A47,'Wells Fargo'!$A:$A,AF$1,'Wells Fargo'!$B:$B,"&lt;="&amp;'Cash Flow'!AF$3)</f>
        <v>0</v>
      </c>
      <c r="AG47" s="188">
        <f>SUMIFS('Wells Fargo'!$F:$F,'Wells Fargo'!$G:$G,'Cash Flow'!$A47,'Wells Fargo'!$A:$A,AG$1,'Wells Fargo'!$B:$B,"&lt;="&amp;'Cash Flow'!AG$3,'Wells Fargo'!$B:$B,"&gt;"&amp;'Cash Flow'!AF$3)</f>
        <v>0</v>
      </c>
      <c r="AH47" s="188">
        <f>SUMIFS('Wells Fargo'!$F:$F,'Wells Fargo'!$G:$G,'Cash Flow'!$A47,'Wells Fargo'!$A:$A,AH$1,'Wells Fargo'!$B:$B,"&lt;="&amp;'Cash Flow'!AH$3,'Wells Fargo'!$B:$B,"&gt;"&amp;'Cash Flow'!AG$3)</f>
        <v>0</v>
      </c>
      <c r="AI47" s="188">
        <f>SUMIFS('Wells Fargo'!$F:$F,'Wells Fargo'!$G:$G,'Cash Flow'!$A47,'Wells Fargo'!$A:$A,AI$1,'Wells Fargo'!$B:$B,"&lt;="&amp;'Cash Flow'!AI$3,'Wells Fargo'!$B:$B,"&gt;"&amp;'Cash Flow'!AH$3)</f>
        <v>0</v>
      </c>
      <c r="AJ47" s="188">
        <f>SUMIFS('Wells Fargo'!$F:$F,'Wells Fargo'!$G:$G,'Cash Flow'!$A47,'Wells Fargo'!$A:$A,AJ$1,'Wells Fargo'!$B:$B,"&lt;="&amp;'Cash Flow'!AJ$3,'Wells Fargo'!$B:$B,"&gt;"&amp;'Cash Flow'!AI$3)</f>
        <v>0</v>
      </c>
      <c r="AK47" s="189">
        <f>SUMIFS('Wells Fargo'!$F:$F,'Wells Fargo'!$G:$G,'Cash Flow'!$A47,'Wells Fargo'!$A:$A,AK$1,'Wells Fargo'!$B:$B,"&lt;="&amp;'Cash Flow'!AK$3)</f>
        <v>0</v>
      </c>
      <c r="AL47" s="188">
        <f>SUMIFS('Wells Fargo'!$F:$F,'Wells Fargo'!$G:$G,'Cash Flow'!$A47,'Wells Fargo'!$A:$A,AL$1,'Wells Fargo'!$B:$B,"&lt;="&amp;'Cash Flow'!AL$3,'Wells Fargo'!$B:$B,"&gt;"&amp;'Cash Flow'!AK$3)</f>
        <v>0</v>
      </c>
      <c r="AM47" s="188">
        <f>SUMIFS('Wells Fargo'!$F:$F,'Wells Fargo'!$G:$G,'Cash Flow'!$A47,'Wells Fargo'!$A:$A,AM$1,'Wells Fargo'!$B:$B,"&lt;="&amp;'Cash Flow'!AM$3,'Wells Fargo'!$B:$B,"&gt;"&amp;'Cash Flow'!AL$3)</f>
        <v>0</v>
      </c>
      <c r="AN47" s="188">
        <f>SUMIFS('Wells Fargo'!$F:$F,'Wells Fargo'!$G:$G,'Cash Flow'!$A47,'Wells Fargo'!$A:$A,AN$1,'Wells Fargo'!$B:$B,"&lt;="&amp;'Cash Flow'!AN$3,'Wells Fargo'!$B:$B,"&gt;"&amp;'Cash Flow'!AM$3)</f>
        <v>0</v>
      </c>
      <c r="AO47" s="188">
        <f>SUMIFS('Wells Fargo'!$F:$F,'Wells Fargo'!$G:$G,'Cash Flow'!$A47,'Wells Fargo'!$A:$A,AO$1,'Wells Fargo'!$B:$B,"&lt;="&amp;'Cash Flow'!AO$3,'Wells Fargo'!$B:$B,"&gt;"&amp;'Cash Flow'!AN$3)</f>
        <v>0</v>
      </c>
      <c r="AP47" s="189">
        <f>SUMIFS('Wells Fargo'!$F:$F,'Wells Fargo'!$G:$G,'Cash Flow'!$A47,'Wells Fargo'!$A:$A,AP$1,'Wells Fargo'!$B:$B,"&lt;="&amp;'Cash Flow'!AP$3)</f>
        <v>0</v>
      </c>
      <c r="AQ47" s="188">
        <f>SUMIFS('Wells Fargo'!$F:$F,'Wells Fargo'!$G:$G,'Cash Flow'!$A47,'Wells Fargo'!$A:$A,AQ$1,'Wells Fargo'!$B:$B,"&lt;="&amp;'Cash Flow'!AQ$3,'Wells Fargo'!$B:$B,"&gt;"&amp;'Cash Flow'!AP$3)</f>
        <v>0</v>
      </c>
      <c r="AR47" s="188">
        <f>SUMIFS('Wells Fargo'!$F:$F,'Wells Fargo'!$G:$G,'Cash Flow'!$A47,'Wells Fargo'!$A:$A,AR$1,'Wells Fargo'!$B:$B,"&lt;="&amp;'Cash Flow'!AR$3,'Wells Fargo'!$B:$B,"&gt;"&amp;'Cash Flow'!AQ$3)</f>
        <v>0</v>
      </c>
      <c r="AS47" s="188">
        <f>SUMIFS('Wells Fargo'!$F:$F,'Wells Fargo'!$G:$G,'Cash Flow'!$A47,'Wells Fargo'!$A:$A,AS$1,'Wells Fargo'!$B:$B,"&lt;="&amp;'Cash Flow'!AS$3,'Wells Fargo'!$B:$B,"&gt;"&amp;'Cash Flow'!AR$3)</f>
        <v>0</v>
      </c>
      <c r="AT47" s="188">
        <f>SUMIFS('Wells Fargo'!$F:$F,'Wells Fargo'!$G:$G,'Cash Flow'!$A47,'Wells Fargo'!$A:$A,AT$1,'Wells Fargo'!$B:$B,"&lt;="&amp;'Cash Flow'!AT$3,'Wells Fargo'!$B:$B,"&gt;"&amp;'Cash Flow'!AS$3)</f>
        <v>0</v>
      </c>
      <c r="AU47" s="189">
        <f>SUMIFS('Wells Fargo'!$F:$F,'Wells Fargo'!$G:$G,'Cash Flow'!$A47,'Wells Fargo'!$A:$A,AU$1,'Wells Fargo'!$B:$B,"&lt;="&amp;'Cash Flow'!AU$3)</f>
        <v>0</v>
      </c>
      <c r="AV47" s="188">
        <f>SUMIFS('Wells Fargo'!$F:$F,'Wells Fargo'!$G:$G,'Cash Flow'!$A47,'Wells Fargo'!$A:$A,AV$1,'Wells Fargo'!$B:$B,"&lt;="&amp;'Cash Flow'!AV$3,'Wells Fargo'!$B:$B,"&gt;"&amp;'Cash Flow'!AU$3)</f>
        <v>0</v>
      </c>
      <c r="AW47" s="188">
        <f>SUMIFS('Wells Fargo'!$F:$F,'Wells Fargo'!$G:$G,'Cash Flow'!$A47,'Wells Fargo'!$A:$A,AW$1,'Wells Fargo'!$B:$B,"&lt;="&amp;'Cash Flow'!AW$3,'Wells Fargo'!$B:$B,"&gt;"&amp;'Cash Flow'!AV$3)</f>
        <v>0</v>
      </c>
      <c r="AX47" s="188">
        <f>SUMIFS('Wells Fargo'!$F:$F,'Wells Fargo'!$G:$G,'Cash Flow'!$A47,'Wells Fargo'!$A:$A,AX$1,'Wells Fargo'!$B:$B,"&lt;="&amp;'Cash Flow'!AX$3,'Wells Fargo'!$B:$B,"&gt;"&amp;'Cash Flow'!AW$3)</f>
        <v>0</v>
      </c>
      <c r="AY47" s="188">
        <f>SUMIFS('Wells Fargo'!$F:$F,'Wells Fargo'!$G:$G,'Cash Flow'!$A47,'Wells Fargo'!$A:$A,AY$1,'Wells Fargo'!$B:$B,"&lt;="&amp;'Cash Flow'!AY$3,'Wells Fargo'!$B:$B,"&gt;"&amp;'Cash Flow'!AX$3)</f>
        <v>0</v>
      </c>
      <c r="AZ47" s="189">
        <f>SUMIFS('Wells Fargo'!$F:$F,'Wells Fargo'!$G:$G,'Cash Flow'!$A47,'Wells Fargo'!$A:$A,AZ$1,'Wells Fargo'!$B:$B,"&lt;="&amp;'Cash Flow'!AZ$3)</f>
        <v>0</v>
      </c>
      <c r="BA47" s="188">
        <f>SUMIFS('Wells Fargo'!$F:$F,'Wells Fargo'!$G:$G,'Cash Flow'!$A47,'Wells Fargo'!$A:$A,BA$1,'Wells Fargo'!$B:$B,"&lt;="&amp;'Cash Flow'!BA$3,'Wells Fargo'!$B:$B,"&gt;"&amp;'Cash Flow'!AZ$3)</f>
        <v>0</v>
      </c>
      <c r="BB47" s="188">
        <f>SUMIFS('Wells Fargo'!$F:$F,'Wells Fargo'!$G:$G,'Cash Flow'!$A47,'Wells Fargo'!$A:$A,BB$1,'Wells Fargo'!$B:$B,"&lt;="&amp;'Cash Flow'!BB$3,'Wells Fargo'!$B:$B,"&gt;"&amp;'Cash Flow'!BA$3)</f>
        <v>0</v>
      </c>
      <c r="BC47" s="188">
        <f>SUMIFS('Wells Fargo'!$F:$F,'Wells Fargo'!$G:$G,'Cash Flow'!$A47,'Wells Fargo'!$A:$A,BC$1,'Wells Fargo'!$B:$B,"&lt;="&amp;'Cash Flow'!BC$3,'Wells Fargo'!$B:$B,"&gt;"&amp;'Cash Flow'!BB$3)</f>
        <v>0</v>
      </c>
      <c r="BD47" s="188">
        <f>SUMIFS('Wells Fargo'!$F:$F,'Wells Fargo'!$G:$G,'Cash Flow'!$A47,'Wells Fargo'!$A:$A,BD$1,'Wells Fargo'!$B:$B,"&lt;="&amp;'Cash Flow'!BD$3,'Wells Fargo'!$B:$B,"&gt;"&amp;'Cash Flow'!BC$3)</f>
        <v>0</v>
      </c>
      <c r="BE47" s="189">
        <f>SUMIFS('Wells Fargo'!$F:$F,'Wells Fargo'!$G:$G,'Cash Flow'!$A47,'Wells Fargo'!$A:$A,BE$1,'Wells Fargo'!$B:$B,"&lt;="&amp;'Cash Flow'!BE$3)</f>
        <v>0</v>
      </c>
      <c r="BF47" s="188">
        <f>SUMIFS('Wells Fargo'!$F:$F,'Wells Fargo'!$G:$G,'Cash Flow'!$A47,'Wells Fargo'!$A:$A,BF$1,'Wells Fargo'!$B:$B,"&lt;="&amp;'Cash Flow'!BF$3,'Wells Fargo'!$B:$B,"&gt;"&amp;'Cash Flow'!BE$3)</f>
        <v>0</v>
      </c>
      <c r="BG47" s="188">
        <f>SUMIFS('Wells Fargo'!$F:$F,'Wells Fargo'!$G:$G,'Cash Flow'!$A47,'Wells Fargo'!$A:$A,BG$1,'Wells Fargo'!$B:$B,"&lt;="&amp;'Cash Flow'!BG$3,'Wells Fargo'!$B:$B,"&gt;"&amp;'Cash Flow'!BF$3)</f>
        <v>0</v>
      </c>
      <c r="BH47" s="188">
        <f>SUMIFS('Wells Fargo'!$F:$F,'Wells Fargo'!$G:$G,'Cash Flow'!$A47,'Wells Fargo'!$A:$A,BH$1,'Wells Fargo'!$B:$B,"&lt;="&amp;'Cash Flow'!BH$3,'Wells Fargo'!$B:$B,"&gt;"&amp;'Cash Flow'!BG$3)</f>
        <v>0</v>
      </c>
      <c r="BI47" s="188">
        <f>SUMIFS('Wells Fargo'!$F:$F,'Wells Fargo'!$G:$G,'Cash Flow'!$A47,'Wells Fargo'!$A:$A,BI$1,'Wells Fargo'!$B:$B,"&lt;="&amp;'Cash Flow'!BI$3,'Wells Fargo'!$B:$B,"&gt;"&amp;'Cash Flow'!BH$3)</f>
        <v>0</v>
      </c>
    </row>
    <row r="48" spans="1:61" ht="12.75" x14ac:dyDescent="0.2">
      <c r="A48" t="str">
        <v>Principal retirement</v>
      </c>
      <c r="B48" s="87">
        <f t="shared" si="2"/>
        <v>4165.5599999999995</v>
      </c>
      <c r="C48" s="189">
        <f>SUMIFS('Wells Fargo'!$F:$F,'Wells Fargo'!$G:$G,'Cash Flow'!$A48,'Wells Fargo'!$A:$A,C$1,'Wells Fargo'!$B:$B,"&lt;="&amp;'Cash Flow'!C$3)</f>
        <v>0</v>
      </c>
      <c r="D48" s="188">
        <f>SUMIFS('Wells Fargo'!$F:$F,'Wells Fargo'!$G:$G,'Cash Flow'!$A48,'Wells Fargo'!$A:$A,D$1,'Wells Fargo'!$B:$B,"&lt;="&amp;'Cash Flow'!D$3,'Wells Fargo'!$B:$B,"&gt;"&amp;'Cash Flow'!C$3)</f>
        <v>0</v>
      </c>
      <c r="E48" s="188">
        <f>SUMIFS('Wells Fargo'!$F:$F,'Wells Fargo'!$G:$G,'Cash Flow'!$A48,'Wells Fargo'!$A:$A,E$1,'Wells Fargo'!$B:$B,"&lt;="&amp;'Cash Flow'!E$3,'Wells Fargo'!$B:$B,"&gt;"&amp;'Cash Flow'!D$3)</f>
        <v>0</v>
      </c>
      <c r="F48" s="188">
        <f>SUMIFS('Wells Fargo'!$F:$F,'Wells Fargo'!$G:$G,'Cash Flow'!$A48,'Wells Fargo'!$A:$A,F$1,'Wells Fargo'!$B:$B,"&lt;="&amp;'Cash Flow'!F$3,'Wells Fargo'!$B:$B,"&gt;"&amp;'Cash Flow'!E$3)</f>
        <v>0</v>
      </c>
      <c r="G48" s="188">
        <f>SUMIFS('Wells Fargo'!$F:$F,'Wells Fargo'!$G:$G,'Cash Flow'!$A48,'Wells Fargo'!$A:$A,G$1,'Wells Fargo'!$B:$B,"&lt;="&amp;'Cash Flow'!G$3,'Wells Fargo'!$B:$B,"&gt;"&amp;'Cash Flow'!F$3)</f>
        <v>0</v>
      </c>
      <c r="H48" s="189">
        <f>SUMIFS('Wells Fargo'!$F:$F,'Wells Fargo'!$G:$G,'Cash Flow'!$A48,'Wells Fargo'!$A:$A,H$1,'Wells Fargo'!$B:$B,"&lt;="&amp;'Cash Flow'!H$3)</f>
        <v>0</v>
      </c>
      <c r="I48" s="188">
        <f>SUMIFS('Wells Fargo'!$F:$F,'Wells Fargo'!$G:$G,'Cash Flow'!$A48,'Wells Fargo'!$A:$A,I$1,'Wells Fargo'!$B:$B,"&lt;="&amp;'Cash Flow'!I$3,'Wells Fargo'!$B:$B,"&gt;"&amp;'Cash Flow'!H$3)</f>
        <v>0</v>
      </c>
      <c r="J48" s="188">
        <f>SUMIFS('Wells Fargo'!$F:$F,'Wells Fargo'!$G:$G,'Cash Flow'!$A48,'Wells Fargo'!$A:$A,J$1,'Wells Fargo'!$B:$B,"&lt;="&amp;'Cash Flow'!J$3,'Wells Fargo'!$B:$B,"&gt;"&amp;'Cash Flow'!I$3)</f>
        <v>0</v>
      </c>
      <c r="K48" s="188">
        <f>SUMIFS('Wells Fargo'!$F:$F,'Wells Fargo'!$G:$G,'Cash Flow'!$A48,'Wells Fargo'!$A:$A,K$1,'Wells Fargo'!$B:$B,"&lt;="&amp;'Cash Flow'!K$3,'Wells Fargo'!$B:$B,"&gt;"&amp;'Cash Flow'!J$3)</f>
        <v>0</v>
      </c>
      <c r="L48" s="189">
        <f>SUMIFS('Wells Fargo'!$F:$F,'Wells Fargo'!$G:$G,'Cash Flow'!$A48,'Wells Fargo'!$A:$A,L$1,'Wells Fargo'!$B:$B,"&lt;="&amp;'Cash Flow'!L$3)</f>
        <v>0</v>
      </c>
      <c r="M48" s="188">
        <f>SUMIFS('Wells Fargo'!$F:$F,'Wells Fargo'!$G:$G,'Cash Flow'!$A48,'Wells Fargo'!$A:$A,M$1,'Wells Fargo'!$B:$B,"&lt;="&amp;'Cash Flow'!M$3,'Wells Fargo'!$B:$B,"&gt;"&amp;'Cash Flow'!L$3)</f>
        <v>0</v>
      </c>
      <c r="N48" s="188">
        <f>SUMIFS('Wells Fargo'!$F:$F,'Wells Fargo'!$G:$G,'Cash Flow'!$A48,'Wells Fargo'!$A:$A,N$1,'Wells Fargo'!$B:$B,"&lt;="&amp;'Cash Flow'!N$3,'Wells Fargo'!$B:$B,"&gt;"&amp;'Cash Flow'!M$3)</f>
        <v>0</v>
      </c>
      <c r="O48" s="188">
        <f>SUMIFS('Wells Fargo'!$F:$F,'Wells Fargo'!$G:$G,'Cash Flow'!$A48,'Wells Fargo'!$A:$A,O$1,'Wells Fargo'!$B:$B,"&lt;="&amp;'Cash Flow'!O$3,'Wells Fargo'!$B:$B,"&gt;"&amp;'Cash Flow'!N$3)</f>
        <v>0</v>
      </c>
      <c r="P48" s="188">
        <f>SUMIFS('Wells Fargo'!$F:$F,'Wells Fargo'!$G:$G,'Cash Flow'!$A48,'Wells Fargo'!$A:$A,P$1,'Wells Fargo'!$B:$B,"&lt;="&amp;'Cash Flow'!P$3,'Wells Fargo'!$B:$B,"&gt;"&amp;'Cash Flow'!O$3)</f>
        <v>0</v>
      </c>
      <c r="Q48" s="189">
        <f>SUMIFS('Wells Fargo'!$F:$F,'Wells Fargo'!$G:$G,'Cash Flow'!$A48,'Wells Fargo'!$A:$A,Q$1,'Wells Fargo'!$B:$B,"&lt;="&amp;'Cash Flow'!Q$3)</f>
        <v>0</v>
      </c>
      <c r="R48" s="188">
        <f>SUMIFS('Wells Fargo'!$F:$F,'Wells Fargo'!$G:$G,'Cash Flow'!$A48,'Wells Fargo'!$A:$A,R$1,'Wells Fargo'!$B:$B,"&lt;="&amp;'Cash Flow'!R$3,'Wells Fargo'!$B:$B,"&gt;"&amp;'Cash Flow'!Q$3)</f>
        <v>0</v>
      </c>
      <c r="S48" s="188">
        <f>SUMIFS('Wells Fargo'!$F:$F,'Wells Fargo'!$G:$G,'Cash Flow'!$A48,'Wells Fargo'!$A:$A,S$1,'Wells Fargo'!$B:$B,"&lt;="&amp;'Cash Flow'!S$3,'Wells Fargo'!$B:$B,"&gt;"&amp;'Cash Flow'!R$3)</f>
        <v>0</v>
      </c>
      <c r="T48" s="188">
        <f>SUMIFS('Wells Fargo'!$F:$F,'Wells Fargo'!$G:$G,'Cash Flow'!$A48,'Wells Fargo'!$A:$A,T$1,'Wells Fargo'!$B:$B,"&lt;="&amp;'Cash Flow'!T$3,'Wells Fargo'!$B:$B,"&gt;"&amp;'Cash Flow'!S$3)</f>
        <v>0</v>
      </c>
      <c r="U48" s="188">
        <f>SUMIFS('Wells Fargo'!$F:$F,'Wells Fargo'!$G:$G,'Cash Flow'!$A48,'Wells Fargo'!$A:$A,U$1,'Wells Fargo'!$B:$B,"&lt;="&amp;'Cash Flow'!U$3,'Wells Fargo'!$B:$B,"&gt;"&amp;'Cash Flow'!T$3)</f>
        <v>0</v>
      </c>
      <c r="V48" s="189">
        <f>SUMIFS('Wells Fargo'!$F:$F,'Wells Fargo'!$G:$G,'Cash Flow'!$A48,'Wells Fargo'!$A:$A,V$1,'Wells Fargo'!$B:$B,"&lt;="&amp;'Cash Flow'!V$3)</f>
        <v>0</v>
      </c>
      <c r="W48" s="188">
        <f>SUMIFS('Wells Fargo'!$F:$F,'Wells Fargo'!$G:$G,'Cash Flow'!$A48,'Wells Fargo'!$A:$A,W$1,'Wells Fargo'!$B:$B,"&lt;="&amp;'Cash Flow'!W$3,'Wells Fargo'!$B:$B,"&gt;"&amp;'Cash Flow'!V$3)</f>
        <v>0</v>
      </c>
      <c r="X48" s="188">
        <f>SUMIFS('Wells Fargo'!$F:$F,'Wells Fargo'!$G:$G,'Cash Flow'!$A48,'Wells Fargo'!$A:$A,X$1,'Wells Fargo'!$B:$B,"&lt;="&amp;'Cash Flow'!X$3,'Wells Fargo'!$B:$B,"&gt;"&amp;'Cash Flow'!W$3)</f>
        <v>0</v>
      </c>
      <c r="Y48" s="188">
        <f>SUMIFS('Wells Fargo'!$F:$F,'Wells Fargo'!$G:$G,'Cash Flow'!$A48,'Wells Fargo'!$A:$A,Y$1,'Wells Fargo'!$B:$B,"&lt;="&amp;'Cash Flow'!Y$3,'Wells Fargo'!$B:$B,"&gt;"&amp;'Cash Flow'!X$3)</f>
        <v>0</v>
      </c>
      <c r="Z48" s="188">
        <f>SUMIFS('Wells Fargo'!$F:$F,'Wells Fargo'!$G:$G,'Cash Flow'!$A48,'Wells Fargo'!$A:$A,Z$1,'Wells Fargo'!$B:$B,"&lt;="&amp;'Cash Flow'!Z$3,'Wells Fargo'!$B:$B,"&gt;"&amp;'Cash Flow'!Y$3)</f>
        <v>0</v>
      </c>
      <c r="AA48" s="189">
        <f>SUMIFS('Wells Fargo'!$F:$F,'Wells Fargo'!$G:$G,'Cash Flow'!$A48,'Wells Fargo'!$A:$A,AA$1,'Wells Fargo'!$B:$B,"&lt;="&amp;'Cash Flow'!AA$3)</f>
        <v>0</v>
      </c>
      <c r="AB48" s="188">
        <f>SUMIFS('Wells Fargo'!$F:$F,'Wells Fargo'!$G:$G,'Cash Flow'!$A48,'Wells Fargo'!$A:$A,AB$1,'Wells Fargo'!$B:$B,"&lt;="&amp;'Cash Flow'!AB$3,'Wells Fargo'!$B:$B,"&gt;"&amp;'Cash Flow'!AA$3)</f>
        <v>0</v>
      </c>
      <c r="AC48" s="188">
        <f>SUMIFS('Wells Fargo'!$F:$F,'Wells Fargo'!$G:$G,'Cash Flow'!$A48,'Wells Fargo'!$A:$A,AC$1,'Wells Fargo'!$B:$B,"&lt;="&amp;'Cash Flow'!AC$3,'Wells Fargo'!$B:$B,"&gt;"&amp;'Cash Flow'!AB$3)</f>
        <v>3967.1</v>
      </c>
      <c r="AD48" s="188">
        <f>SUMIFS('Wells Fargo'!$F:$F,'Wells Fargo'!$G:$G,'Cash Flow'!$A48,'Wells Fargo'!$A:$A,AD$1,'Wells Fargo'!$B:$B,"&lt;="&amp;'Cash Flow'!AD$3,'Wells Fargo'!$B:$B,"&gt;"&amp;'Cash Flow'!AC$3)</f>
        <v>198.46</v>
      </c>
      <c r="AE48" s="188">
        <f>SUMIFS('Wells Fargo'!$F:$F,'Wells Fargo'!$G:$G,'Cash Flow'!$A48,'Wells Fargo'!$A:$A,AE$1,'Wells Fargo'!$B:$B,"&lt;="&amp;'Cash Flow'!AE$3,'Wells Fargo'!$B:$B,"&gt;"&amp;'Cash Flow'!AD$3)</f>
        <v>0</v>
      </c>
      <c r="AF48" s="189">
        <f>SUMIFS('Wells Fargo'!$F:$F,'Wells Fargo'!$G:$G,'Cash Flow'!$A48,'Wells Fargo'!$A:$A,AF$1,'Wells Fargo'!$B:$B,"&lt;="&amp;'Cash Flow'!AF$3)</f>
        <v>0</v>
      </c>
      <c r="AG48" s="188">
        <f>SUMIFS('Wells Fargo'!$F:$F,'Wells Fargo'!$G:$G,'Cash Flow'!$A48,'Wells Fargo'!$A:$A,AG$1,'Wells Fargo'!$B:$B,"&lt;="&amp;'Cash Flow'!AG$3,'Wells Fargo'!$B:$B,"&gt;"&amp;'Cash Flow'!AF$3)</f>
        <v>0</v>
      </c>
      <c r="AH48" s="188">
        <f>SUMIFS('Wells Fargo'!$F:$F,'Wells Fargo'!$G:$G,'Cash Flow'!$A48,'Wells Fargo'!$A:$A,AH$1,'Wells Fargo'!$B:$B,"&lt;="&amp;'Cash Flow'!AH$3,'Wells Fargo'!$B:$B,"&gt;"&amp;'Cash Flow'!AG$3)</f>
        <v>0</v>
      </c>
      <c r="AI48" s="188">
        <f>SUMIFS('Wells Fargo'!$F:$F,'Wells Fargo'!$G:$G,'Cash Flow'!$A48,'Wells Fargo'!$A:$A,AI$1,'Wells Fargo'!$B:$B,"&lt;="&amp;'Cash Flow'!AI$3,'Wells Fargo'!$B:$B,"&gt;"&amp;'Cash Flow'!AH$3)</f>
        <v>0</v>
      </c>
      <c r="AJ48" s="188">
        <f>SUMIFS('Wells Fargo'!$F:$F,'Wells Fargo'!$G:$G,'Cash Flow'!$A48,'Wells Fargo'!$A:$A,AJ$1,'Wells Fargo'!$B:$B,"&lt;="&amp;'Cash Flow'!AJ$3,'Wells Fargo'!$B:$B,"&gt;"&amp;'Cash Flow'!AI$3)</f>
        <v>0</v>
      </c>
      <c r="AK48" s="189">
        <f>SUMIFS('Wells Fargo'!$F:$F,'Wells Fargo'!$G:$G,'Cash Flow'!$A48,'Wells Fargo'!$A:$A,AK$1,'Wells Fargo'!$B:$B,"&lt;="&amp;'Cash Flow'!AK$3)</f>
        <v>0</v>
      </c>
      <c r="AL48" s="188">
        <f>SUMIFS('Wells Fargo'!$F:$F,'Wells Fargo'!$G:$G,'Cash Flow'!$A48,'Wells Fargo'!$A:$A,AL$1,'Wells Fargo'!$B:$B,"&lt;="&amp;'Cash Flow'!AL$3,'Wells Fargo'!$B:$B,"&gt;"&amp;'Cash Flow'!AK$3)</f>
        <v>0</v>
      </c>
      <c r="AM48" s="188">
        <f>SUMIFS('Wells Fargo'!$F:$F,'Wells Fargo'!$G:$G,'Cash Flow'!$A48,'Wells Fargo'!$A:$A,AM$1,'Wells Fargo'!$B:$B,"&lt;="&amp;'Cash Flow'!AM$3,'Wells Fargo'!$B:$B,"&gt;"&amp;'Cash Flow'!AL$3)</f>
        <v>0</v>
      </c>
      <c r="AN48" s="188">
        <f>SUMIFS('Wells Fargo'!$F:$F,'Wells Fargo'!$G:$G,'Cash Flow'!$A48,'Wells Fargo'!$A:$A,AN$1,'Wells Fargo'!$B:$B,"&lt;="&amp;'Cash Flow'!AN$3,'Wells Fargo'!$B:$B,"&gt;"&amp;'Cash Flow'!AM$3)</f>
        <v>0</v>
      </c>
      <c r="AO48" s="188">
        <f>SUMIFS('Wells Fargo'!$F:$F,'Wells Fargo'!$G:$G,'Cash Flow'!$A48,'Wells Fargo'!$A:$A,AO$1,'Wells Fargo'!$B:$B,"&lt;="&amp;'Cash Flow'!AO$3,'Wells Fargo'!$B:$B,"&gt;"&amp;'Cash Flow'!AN$3)</f>
        <v>0</v>
      </c>
      <c r="AP48" s="189">
        <f>SUMIFS('Wells Fargo'!$F:$F,'Wells Fargo'!$G:$G,'Cash Flow'!$A48,'Wells Fargo'!$A:$A,AP$1,'Wells Fargo'!$B:$B,"&lt;="&amp;'Cash Flow'!AP$3)</f>
        <v>0</v>
      </c>
      <c r="AQ48" s="188">
        <f>SUMIFS('Wells Fargo'!$F:$F,'Wells Fargo'!$G:$G,'Cash Flow'!$A48,'Wells Fargo'!$A:$A,AQ$1,'Wells Fargo'!$B:$B,"&lt;="&amp;'Cash Flow'!AQ$3,'Wells Fargo'!$B:$B,"&gt;"&amp;'Cash Flow'!AP$3)</f>
        <v>0</v>
      </c>
      <c r="AR48" s="188">
        <f>SUMIFS('Wells Fargo'!$F:$F,'Wells Fargo'!$G:$G,'Cash Flow'!$A48,'Wells Fargo'!$A:$A,AR$1,'Wells Fargo'!$B:$B,"&lt;="&amp;'Cash Flow'!AR$3,'Wells Fargo'!$B:$B,"&gt;"&amp;'Cash Flow'!AQ$3)</f>
        <v>0</v>
      </c>
      <c r="AS48" s="188">
        <f>SUMIFS('Wells Fargo'!$F:$F,'Wells Fargo'!$G:$G,'Cash Flow'!$A48,'Wells Fargo'!$A:$A,AS$1,'Wells Fargo'!$B:$B,"&lt;="&amp;'Cash Flow'!AS$3,'Wells Fargo'!$B:$B,"&gt;"&amp;'Cash Flow'!AR$3)</f>
        <v>0</v>
      </c>
      <c r="AT48" s="188">
        <f>SUMIFS('Wells Fargo'!$F:$F,'Wells Fargo'!$G:$G,'Cash Flow'!$A48,'Wells Fargo'!$A:$A,AT$1,'Wells Fargo'!$B:$B,"&lt;="&amp;'Cash Flow'!AT$3,'Wells Fargo'!$B:$B,"&gt;"&amp;'Cash Flow'!AS$3)</f>
        <v>0</v>
      </c>
      <c r="AU48" s="189">
        <f>SUMIFS('Wells Fargo'!$F:$F,'Wells Fargo'!$G:$G,'Cash Flow'!$A48,'Wells Fargo'!$A:$A,AU$1,'Wells Fargo'!$B:$B,"&lt;="&amp;'Cash Flow'!AU$3)</f>
        <v>0</v>
      </c>
      <c r="AV48" s="188">
        <f>SUMIFS('Wells Fargo'!$F:$F,'Wells Fargo'!$G:$G,'Cash Flow'!$A48,'Wells Fargo'!$A:$A,AV$1,'Wells Fargo'!$B:$B,"&lt;="&amp;'Cash Flow'!AV$3,'Wells Fargo'!$B:$B,"&gt;"&amp;'Cash Flow'!AU$3)</f>
        <v>0</v>
      </c>
      <c r="AW48" s="188">
        <f>SUMIFS('Wells Fargo'!$F:$F,'Wells Fargo'!$G:$G,'Cash Flow'!$A48,'Wells Fargo'!$A:$A,AW$1,'Wells Fargo'!$B:$B,"&lt;="&amp;'Cash Flow'!AW$3,'Wells Fargo'!$B:$B,"&gt;"&amp;'Cash Flow'!AV$3)</f>
        <v>0</v>
      </c>
      <c r="AX48" s="188">
        <f>SUMIFS('Wells Fargo'!$F:$F,'Wells Fargo'!$G:$G,'Cash Flow'!$A48,'Wells Fargo'!$A:$A,AX$1,'Wells Fargo'!$B:$B,"&lt;="&amp;'Cash Flow'!AX$3,'Wells Fargo'!$B:$B,"&gt;"&amp;'Cash Flow'!AW$3)</f>
        <v>0</v>
      </c>
      <c r="AY48" s="188">
        <f>SUMIFS('Wells Fargo'!$F:$F,'Wells Fargo'!$G:$G,'Cash Flow'!$A48,'Wells Fargo'!$A:$A,AY$1,'Wells Fargo'!$B:$B,"&lt;="&amp;'Cash Flow'!AY$3,'Wells Fargo'!$B:$B,"&gt;"&amp;'Cash Flow'!AX$3)</f>
        <v>0</v>
      </c>
      <c r="AZ48" s="189">
        <f>SUMIFS('Wells Fargo'!$F:$F,'Wells Fargo'!$G:$G,'Cash Flow'!$A48,'Wells Fargo'!$A:$A,AZ$1,'Wells Fargo'!$B:$B,"&lt;="&amp;'Cash Flow'!AZ$3)</f>
        <v>0</v>
      </c>
      <c r="BA48" s="188">
        <f>SUMIFS('Wells Fargo'!$F:$F,'Wells Fargo'!$G:$G,'Cash Flow'!$A48,'Wells Fargo'!$A:$A,BA$1,'Wells Fargo'!$B:$B,"&lt;="&amp;'Cash Flow'!BA$3,'Wells Fargo'!$B:$B,"&gt;"&amp;'Cash Flow'!AZ$3)</f>
        <v>0</v>
      </c>
      <c r="BB48" s="188">
        <f>SUMIFS('Wells Fargo'!$F:$F,'Wells Fargo'!$G:$G,'Cash Flow'!$A48,'Wells Fargo'!$A:$A,BB$1,'Wells Fargo'!$B:$B,"&lt;="&amp;'Cash Flow'!BB$3,'Wells Fargo'!$B:$B,"&gt;"&amp;'Cash Flow'!BA$3)</f>
        <v>0</v>
      </c>
      <c r="BC48" s="188">
        <f>SUMIFS('Wells Fargo'!$F:$F,'Wells Fargo'!$G:$G,'Cash Flow'!$A48,'Wells Fargo'!$A:$A,BC$1,'Wells Fargo'!$B:$B,"&lt;="&amp;'Cash Flow'!BC$3,'Wells Fargo'!$B:$B,"&gt;"&amp;'Cash Flow'!BB$3)</f>
        <v>0</v>
      </c>
      <c r="BD48" s="188">
        <f>SUMIFS('Wells Fargo'!$F:$F,'Wells Fargo'!$G:$G,'Cash Flow'!$A48,'Wells Fargo'!$A:$A,BD$1,'Wells Fargo'!$B:$B,"&lt;="&amp;'Cash Flow'!BD$3,'Wells Fargo'!$B:$B,"&gt;"&amp;'Cash Flow'!BC$3)</f>
        <v>0</v>
      </c>
      <c r="BE48" s="189">
        <f>SUMIFS('Wells Fargo'!$F:$F,'Wells Fargo'!$G:$G,'Cash Flow'!$A48,'Wells Fargo'!$A:$A,BE$1,'Wells Fargo'!$B:$B,"&lt;="&amp;'Cash Flow'!BE$3)</f>
        <v>0</v>
      </c>
      <c r="BF48" s="188">
        <f>SUMIFS('Wells Fargo'!$F:$F,'Wells Fargo'!$G:$G,'Cash Flow'!$A48,'Wells Fargo'!$A:$A,BF$1,'Wells Fargo'!$B:$B,"&lt;="&amp;'Cash Flow'!BF$3,'Wells Fargo'!$B:$B,"&gt;"&amp;'Cash Flow'!BE$3)</f>
        <v>0</v>
      </c>
      <c r="BG48" s="188">
        <f>SUMIFS('Wells Fargo'!$F:$F,'Wells Fargo'!$G:$G,'Cash Flow'!$A48,'Wells Fargo'!$A:$A,BG$1,'Wells Fargo'!$B:$B,"&lt;="&amp;'Cash Flow'!BG$3,'Wells Fargo'!$B:$B,"&gt;"&amp;'Cash Flow'!BF$3)</f>
        <v>0</v>
      </c>
      <c r="BH48" s="188">
        <f>SUMIFS('Wells Fargo'!$F:$F,'Wells Fargo'!$G:$G,'Cash Flow'!$A48,'Wells Fargo'!$A:$A,BH$1,'Wells Fargo'!$B:$B,"&lt;="&amp;'Cash Flow'!BH$3,'Wells Fargo'!$B:$B,"&gt;"&amp;'Cash Flow'!BG$3)</f>
        <v>0</v>
      </c>
      <c r="BI48" s="188">
        <f>SUMIFS('Wells Fargo'!$F:$F,'Wells Fargo'!$G:$G,'Cash Flow'!$A48,'Wells Fargo'!$A:$A,BI$1,'Wells Fargo'!$B:$B,"&lt;="&amp;'Cash Flow'!BI$3,'Wells Fargo'!$B:$B,"&gt;"&amp;'Cash Flow'!BH$3)</f>
        <v>0</v>
      </c>
    </row>
    <row r="49" spans="1:61" ht="12.75" x14ac:dyDescent="0.2">
      <c r="A49" t="str">
        <v>Purchase</v>
      </c>
      <c r="B49" s="87">
        <f t="shared" si="2"/>
        <v>-59.610000000000007</v>
      </c>
      <c r="C49" s="189">
        <f>SUMIFS('Wells Fargo'!$F:$F,'Wells Fargo'!$G:$G,'Cash Flow'!$A49,'Wells Fargo'!$A:$A,C$1,'Wells Fargo'!$B:$B,"&lt;="&amp;'Cash Flow'!C$3)</f>
        <v>0</v>
      </c>
      <c r="D49" s="188">
        <f>SUMIFS('Wells Fargo'!$F:$F,'Wells Fargo'!$G:$G,'Cash Flow'!$A49,'Wells Fargo'!$A:$A,D$1,'Wells Fargo'!$B:$B,"&lt;="&amp;'Cash Flow'!D$3,'Wells Fargo'!$B:$B,"&gt;"&amp;'Cash Flow'!C$3)</f>
        <v>0</v>
      </c>
      <c r="E49" s="188">
        <f>SUMIFS('Wells Fargo'!$F:$F,'Wells Fargo'!$G:$G,'Cash Flow'!$A49,'Wells Fargo'!$A:$A,E$1,'Wells Fargo'!$B:$B,"&lt;="&amp;'Cash Flow'!E$3,'Wells Fargo'!$B:$B,"&gt;"&amp;'Cash Flow'!D$3)</f>
        <v>0</v>
      </c>
      <c r="F49" s="188">
        <f>SUMIFS('Wells Fargo'!$F:$F,'Wells Fargo'!$G:$G,'Cash Flow'!$A49,'Wells Fargo'!$A:$A,F$1,'Wells Fargo'!$B:$B,"&lt;="&amp;'Cash Flow'!F$3,'Wells Fargo'!$B:$B,"&gt;"&amp;'Cash Flow'!E$3)</f>
        <v>0</v>
      </c>
      <c r="G49" s="188">
        <f>SUMIFS('Wells Fargo'!$F:$F,'Wells Fargo'!$G:$G,'Cash Flow'!$A49,'Wells Fargo'!$A:$A,G$1,'Wells Fargo'!$B:$B,"&lt;="&amp;'Cash Flow'!G$3,'Wells Fargo'!$B:$B,"&gt;"&amp;'Cash Flow'!F$3)</f>
        <v>0</v>
      </c>
      <c r="H49" s="189">
        <f>SUMIFS('Wells Fargo'!$F:$F,'Wells Fargo'!$G:$G,'Cash Flow'!$A49,'Wells Fargo'!$A:$A,H$1,'Wells Fargo'!$B:$B,"&lt;="&amp;'Cash Flow'!H$3)</f>
        <v>-36.840000000000003</v>
      </c>
      <c r="I49" s="188">
        <f>SUMIFS('Wells Fargo'!$F:$F,'Wells Fargo'!$G:$G,'Cash Flow'!$A49,'Wells Fargo'!$A:$A,I$1,'Wells Fargo'!$B:$B,"&lt;="&amp;'Cash Flow'!I$3,'Wells Fargo'!$B:$B,"&gt;"&amp;'Cash Flow'!H$3)</f>
        <v>0</v>
      </c>
      <c r="J49" s="188">
        <f>SUMIFS('Wells Fargo'!$F:$F,'Wells Fargo'!$G:$G,'Cash Flow'!$A49,'Wells Fargo'!$A:$A,J$1,'Wells Fargo'!$B:$B,"&lt;="&amp;'Cash Flow'!J$3,'Wells Fargo'!$B:$B,"&gt;"&amp;'Cash Flow'!I$3)</f>
        <v>0</v>
      </c>
      <c r="K49" s="188">
        <f>SUMIFS('Wells Fargo'!$F:$F,'Wells Fargo'!$G:$G,'Cash Flow'!$A49,'Wells Fargo'!$A:$A,K$1,'Wells Fargo'!$B:$B,"&lt;="&amp;'Cash Flow'!K$3,'Wells Fargo'!$B:$B,"&gt;"&amp;'Cash Flow'!J$3)</f>
        <v>0</v>
      </c>
      <c r="L49" s="189">
        <f>SUMIFS('Wells Fargo'!$F:$F,'Wells Fargo'!$G:$G,'Cash Flow'!$A49,'Wells Fargo'!$A:$A,L$1,'Wells Fargo'!$B:$B,"&lt;="&amp;'Cash Flow'!L$3)</f>
        <v>0</v>
      </c>
      <c r="M49" s="188">
        <f>SUMIFS('Wells Fargo'!$F:$F,'Wells Fargo'!$G:$G,'Cash Flow'!$A49,'Wells Fargo'!$A:$A,M$1,'Wells Fargo'!$B:$B,"&lt;="&amp;'Cash Flow'!M$3,'Wells Fargo'!$B:$B,"&gt;"&amp;'Cash Flow'!L$3)</f>
        <v>0</v>
      </c>
      <c r="N49" s="188">
        <f>SUMIFS('Wells Fargo'!$F:$F,'Wells Fargo'!$G:$G,'Cash Flow'!$A49,'Wells Fargo'!$A:$A,N$1,'Wells Fargo'!$B:$B,"&lt;="&amp;'Cash Flow'!N$3,'Wells Fargo'!$B:$B,"&gt;"&amp;'Cash Flow'!M$3)</f>
        <v>0</v>
      </c>
      <c r="O49" s="188">
        <f>SUMIFS('Wells Fargo'!$F:$F,'Wells Fargo'!$G:$G,'Cash Flow'!$A49,'Wells Fargo'!$A:$A,O$1,'Wells Fargo'!$B:$B,"&lt;="&amp;'Cash Flow'!O$3,'Wells Fargo'!$B:$B,"&gt;"&amp;'Cash Flow'!N$3)</f>
        <v>0</v>
      </c>
      <c r="P49" s="188">
        <f>SUMIFS('Wells Fargo'!$F:$F,'Wells Fargo'!$G:$G,'Cash Flow'!$A49,'Wells Fargo'!$A:$A,P$1,'Wells Fargo'!$B:$B,"&lt;="&amp;'Cash Flow'!P$3,'Wells Fargo'!$B:$B,"&gt;"&amp;'Cash Flow'!O$3)</f>
        <v>0</v>
      </c>
      <c r="Q49" s="189">
        <f>SUMIFS('Wells Fargo'!$F:$F,'Wells Fargo'!$G:$G,'Cash Flow'!$A49,'Wells Fargo'!$A:$A,Q$1,'Wells Fargo'!$B:$B,"&lt;="&amp;'Cash Flow'!Q$3)</f>
        <v>0</v>
      </c>
      <c r="R49" s="188">
        <f>SUMIFS('Wells Fargo'!$F:$F,'Wells Fargo'!$G:$G,'Cash Flow'!$A49,'Wells Fargo'!$A:$A,R$1,'Wells Fargo'!$B:$B,"&lt;="&amp;'Cash Flow'!R$3,'Wells Fargo'!$B:$B,"&gt;"&amp;'Cash Flow'!Q$3)</f>
        <v>0</v>
      </c>
      <c r="S49" s="188">
        <f>SUMIFS('Wells Fargo'!$F:$F,'Wells Fargo'!$G:$G,'Cash Flow'!$A49,'Wells Fargo'!$A:$A,S$1,'Wells Fargo'!$B:$B,"&lt;="&amp;'Cash Flow'!S$3,'Wells Fargo'!$B:$B,"&gt;"&amp;'Cash Flow'!R$3)</f>
        <v>0</v>
      </c>
      <c r="T49" s="188">
        <f>SUMIFS('Wells Fargo'!$F:$F,'Wells Fargo'!$G:$G,'Cash Flow'!$A49,'Wells Fargo'!$A:$A,T$1,'Wells Fargo'!$B:$B,"&lt;="&amp;'Cash Flow'!T$3,'Wells Fargo'!$B:$B,"&gt;"&amp;'Cash Flow'!S$3)</f>
        <v>-10.6</v>
      </c>
      <c r="U49" s="188">
        <f>SUMIFS('Wells Fargo'!$F:$F,'Wells Fargo'!$G:$G,'Cash Flow'!$A49,'Wells Fargo'!$A:$A,U$1,'Wells Fargo'!$B:$B,"&lt;="&amp;'Cash Flow'!U$3,'Wells Fargo'!$B:$B,"&gt;"&amp;'Cash Flow'!T$3)</f>
        <v>0</v>
      </c>
      <c r="V49" s="189">
        <f>SUMIFS('Wells Fargo'!$F:$F,'Wells Fargo'!$G:$G,'Cash Flow'!$A49,'Wells Fargo'!$A:$A,V$1,'Wells Fargo'!$B:$B,"&lt;="&amp;'Cash Flow'!V$3)</f>
        <v>0</v>
      </c>
      <c r="W49" s="188">
        <f>SUMIFS('Wells Fargo'!$F:$F,'Wells Fargo'!$G:$G,'Cash Flow'!$A49,'Wells Fargo'!$A:$A,W$1,'Wells Fargo'!$B:$B,"&lt;="&amp;'Cash Flow'!W$3,'Wells Fargo'!$B:$B,"&gt;"&amp;'Cash Flow'!V$3)</f>
        <v>0</v>
      </c>
      <c r="X49" s="188">
        <f>SUMIFS('Wells Fargo'!$F:$F,'Wells Fargo'!$G:$G,'Cash Flow'!$A49,'Wells Fargo'!$A:$A,X$1,'Wells Fargo'!$B:$B,"&lt;="&amp;'Cash Flow'!X$3,'Wells Fargo'!$B:$B,"&gt;"&amp;'Cash Flow'!W$3)</f>
        <v>0</v>
      </c>
      <c r="Y49" s="188">
        <f>SUMIFS('Wells Fargo'!$F:$F,'Wells Fargo'!$G:$G,'Cash Flow'!$A49,'Wells Fargo'!$A:$A,Y$1,'Wells Fargo'!$B:$B,"&lt;="&amp;'Cash Flow'!Y$3,'Wells Fargo'!$B:$B,"&gt;"&amp;'Cash Flow'!X$3)</f>
        <v>0</v>
      </c>
      <c r="Z49" s="188">
        <f>SUMIFS('Wells Fargo'!$F:$F,'Wells Fargo'!$G:$G,'Cash Flow'!$A49,'Wells Fargo'!$A:$A,Z$1,'Wells Fargo'!$B:$B,"&lt;="&amp;'Cash Flow'!Z$3,'Wells Fargo'!$B:$B,"&gt;"&amp;'Cash Flow'!Y$3)</f>
        <v>0</v>
      </c>
      <c r="AA49" s="189">
        <f>SUMIFS('Wells Fargo'!$F:$F,'Wells Fargo'!$G:$G,'Cash Flow'!$A49,'Wells Fargo'!$A:$A,AA$1,'Wells Fargo'!$B:$B,"&lt;="&amp;'Cash Flow'!AA$3)</f>
        <v>0</v>
      </c>
      <c r="AB49" s="188">
        <f>SUMIFS('Wells Fargo'!$F:$F,'Wells Fargo'!$G:$G,'Cash Flow'!$A49,'Wells Fargo'!$A:$A,AB$1,'Wells Fargo'!$B:$B,"&lt;="&amp;'Cash Flow'!AB$3,'Wells Fargo'!$B:$B,"&gt;"&amp;'Cash Flow'!AA$3)</f>
        <v>-12.17</v>
      </c>
      <c r="AC49" s="188">
        <f>SUMIFS('Wells Fargo'!$F:$F,'Wells Fargo'!$G:$G,'Cash Flow'!$A49,'Wells Fargo'!$A:$A,AC$1,'Wells Fargo'!$B:$B,"&lt;="&amp;'Cash Flow'!AC$3,'Wells Fargo'!$B:$B,"&gt;"&amp;'Cash Flow'!AB$3)</f>
        <v>0</v>
      </c>
      <c r="AD49" s="188">
        <f>SUMIFS('Wells Fargo'!$F:$F,'Wells Fargo'!$G:$G,'Cash Flow'!$A49,'Wells Fargo'!$A:$A,AD$1,'Wells Fargo'!$B:$B,"&lt;="&amp;'Cash Flow'!AD$3,'Wells Fargo'!$B:$B,"&gt;"&amp;'Cash Flow'!AC$3)</f>
        <v>0</v>
      </c>
      <c r="AE49" s="188">
        <f>SUMIFS('Wells Fargo'!$F:$F,'Wells Fargo'!$G:$G,'Cash Flow'!$A49,'Wells Fargo'!$A:$A,AE$1,'Wells Fargo'!$B:$B,"&lt;="&amp;'Cash Flow'!AE$3,'Wells Fargo'!$B:$B,"&gt;"&amp;'Cash Flow'!AD$3)</f>
        <v>0</v>
      </c>
      <c r="AF49" s="189">
        <f>SUMIFS('Wells Fargo'!$F:$F,'Wells Fargo'!$G:$G,'Cash Flow'!$A49,'Wells Fargo'!$A:$A,AF$1,'Wells Fargo'!$B:$B,"&lt;="&amp;'Cash Flow'!AF$3)</f>
        <v>0</v>
      </c>
      <c r="AG49" s="188">
        <f>SUMIFS('Wells Fargo'!$F:$F,'Wells Fargo'!$G:$G,'Cash Flow'!$A49,'Wells Fargo'!$A:$A,AG$1,'Wells Fargo'!$B:$B,"&lt;="&amp;'Cash Flow'!AG$3,'Wells Fargo'!$B:$B,"&gt;"&amp;'Cash Flow'!AF$3)</f>
        <v>0</v>
      </c>
      <c r="AH49" s="188">
        <f>SUMIFS('Wells Fargo'!$F:$F,'Wells Fargo'!$G:$G,'Cash Flow'!$A49,'Wells Fargo'!$A:$A,AH$1,'Wells Fargo'!$B:$B,"&lt;="&amp;'Cash Flow'!AH$3,'Wells Fargo'!$B:$B,"&gt;"&amp;'Cash Flow'!AG$3)</f>
        <v>0</v>
      </c>
      <c r="AI49" s="188">
        <f>SUMIFS('Wells Fargo'!$F:$F,'Wells Fargo'!$G:$G,'Cash Flow'!$A49,'Wells Fargo'!$A:$A,AI$1,'Wells Fargo'!$B:$B,"&lt;="&amp;'Cash Flow'!AI$3,'Wells Fargo'!$B:$B,"&gt;"&amp;'Cash Flow'!AH$3)</f>
        <v>0</v>
      </c>
      <c r="AJ49" s="188">
        <f>SUMIFS('Wells Fargo'!$F:$F,'Wells Fargo'!$G:$G,'Cash Flow'!$A49,'Wells Fargo'!$A:$A,AJ$1,'Wells Fargo'!$B:$B,"&lt;="&amp;'Cash Flow'!AJ$3,'Wells Fargo'!$B:$B,"&gt;"&amp;'Cash Flow'!AI$3)</f>
        <v>0</v>
      </c>
      <c r="AK49" s="189">
        <f>SUMIFS('Wells Fargo'!$F:$F,'Wells Fargo'!$G:$G,'Cash Flow'!$A49,'Wells Fargo'!$A:$A,AK$1,'Wells Fargo'!$B:$B,"&lt;="&amp;'Cash Flow'!AK$3)</f>
        <v>0</v>
      </c>
      <c r="AL49" s="188">
        <f>SUMIFS('Wells Fargo'!$F:$F,'Wells Fargo'!$G:$G,'Cash Flow'!$A49,'Wells Fargo'!$A:$A,AL$1,'Wells Fargo'!$B:$B,"&lt;="&amp;'Cash Flow'!AL$3,'Wells Fargo'!$B:$B,"&gt;"&amp;'Cash Flow'!AK$3)</f>
        <v>0</v>
      </c>
      <c r="AM49" s="188">
        <f>SUMIFS('Wells Fargo'!$F:$F,'Wells Fargo'!$G:$G,'Cash Flow'!$A49,'Wells Fargo'!$A:$A,AM$1,'Wells Fargo'!$B:$B,"&lt;="&amp;'Cash Flow'!AM$3,'Wells Fargo'!$B:$B,"&gt;"&amp;'Cash Flow'!AL$3)</f>
        <v>0</v>
      </c>
      <c r="AN49" s="188">
        <f>SUMIFS('Wells Fargo'!$F:$F,'Wells Fargo'!$G:$G,'Cash Flow'!$A49,'Wells Fargo'!$A:$A,AN$1,'Wells Fargo'!$B:$B,"&lt;="&amp;'Cash Flow'!AN$3,'Wells Fargo'!$B:$B,"&gt;"&amp;'Cash Flow'!AM$3)</f>
        <v>0</v>
      </c>
      <c r="AO49" s="188">
        <f>SUMIFS('Wells Fargo'!$F:$F,'Wells Fargo'!$G:$G,'Cash Flow'!$A49,'Wells Fargo'!$A:$A,AO$1,'Wells Fargo'!$B:$B,"&lt;="&amp;'Cash Flow'!AO$3,'Wells Fargo'!$B:$B,"&gt;"&amp;'Cash Flow'!AN$3)</f>
        <v>0</v>
      </c>
      <c r="AP49" s="189">
        <f>SUMIFS('Wells Fargo'!$F:$F,'Wells Fargo'!$G:$G,'Cash Flow'!$A49,'Wells Fargo'!$A:$A,AP$1,'Wells Fargo'!$B:$B,"&lt;="&amp;'Cash Flow'!AP$3)</f>
        <v>0</v>
      </c>
      <c r="AQ49" s="188">
        <f>SUMIFS('Wells Fargo'!$F:$F,'Wells Fargo'!$G:$G,'Cash Flow'!$A49,'Wells Fargo'!$A:$A,AQ$1,'Wells Fargo'!$B:$B,"&lt;="&amp;'Cash Flow'!AQ$3,'Wells Fargo'!$B:$B,"&gt;"&amp;'Cash Flow'!AP$3)</f>
        <v>0</v>
      </c>
      <c r="AR49" s="188">
        <f>SUMIFS('Wells Fargo'!$F:$F,'Wells Fargo'!$G:$G,'Cash Flow'!$A49,'Wells Fargo'!$A:$A,AR$1,'Wells Fargo'!$B:$B,"&lt;="&amp;'Cash Flow'!AR$3,'Wells Fargo'!$B:$B,"&gt;"&amp;'Cash Flow'!AQ$3)</f>
        <v>0</v>
      </c>
      <c r="AS49" s="188">
        <f>SUMIFS('Wells Fargo'!$F:$F,'Wells Fargo'!$G:$G,'Cash Flow'!$A49,'Wells Fargo'!$A:$A,AS$1,'Wells Fargo'!$B:$B,"&lt;="&amp;'Cash Flow'!AS$3,'Wells Fargo'!$B:$B,"&gt;"&amp;'Cash Flow'!AR$3)</f>
        <v>0</v>
      </c>
      <c r="AT49" s="188">
        <f>SUMIFS('Wells Fargo'!$F:$F,'Wells Fargo'!$G:$G,'Cash Flow'!$A49,'Wells Fargo'!$A:$A,AT$1,'Wells Fargo'!$B:$B,"&lt;="&amp;'Cash Flow'!AT$3,'Wells Fargo'!$B:$B,"&gt;"&amp;'Cash Flow'!AS$3)</f>
        <v>0</v>
      </c>
      <c r="AU49" s="189">
        <f>SUMIFS('Wells Fargo'!$F:$F,'Wells Fargo'!$G:$G,'Cash Flow'!$A49,'Wells Fargo'!$A:$A,AU$1,'Wells Fargo'!$B:$B,"&lt;="&amp;'Cash Flow'!AU$3)</f>
        <v>0</v>
      </c>
      <c r="AV49" s="188">
        <f>SUMIFS('Wells Fargo'!$F:$F,'Wells Fargo'!$G:$G,'Cash Flow'!$A49,'Wells Fargo'!$A:$A,AV$1,'Wells Fargo'!$B:$B,"&lt;="&amp;'Cash Flow'!AV$3,'Wells Fargo'!$B:$B,"&gt;"&amp;'Cash Flow'!AU$3)</f>
        <v>0</v>
      </c>
      <c r="AW49" s="188">
        <f>SUMIFS('Wells Fargo'!$F:$F,'Wells Fargo'!$G:$G,'Cash Flow'!$A49,'Wells Fargo'!$A:$A,AW$1,'Wells Fargo'!$B:$B,"&lt;="&amp;'Cash Flow'!AW$3,'Wells Fargo'!$B:$B,"&gt;"&amp;'Cash Flow'!AV$3)</f>
        <v>0</v>
      </c>
      <c r="AX49" s="188">
        <f>SUMIFS('Wells Fargo'!$F:$F,'Wells Fargo'!$G:$G,'Cash Flow'!$A49,'Wells Fargo'!$A:$A,AX$1,'Wells Fargo'!$B:$B,"&lt;="&amp;'Cash Flow'!AX$3,'Wells Fargo'!$B:$B,"&gt;"&amp;'Cash Flow'!AW$3)</f>
        <v>0</v>
      </c>
      <c r="AY49" s="188">
        <f>SUMIFS('Wells Fargo'!$F:$F,'Wells Fargo'!$G:$G,'Cash Flow'!$A49,'Wells Fargo'!$A:$A,AY$1,'Wells Fargo'!$B:$B,"&lt;="&amp;'Cash Flow'!AY$3,'Wells Fargo'!$B:$B,"&gt;"&amp;'Cash Flow'!AX$3)</f>
        <v>0</v>
      </c>
      <c r="AZ49" s="189">
        <f>SUMIFS('Wells Fargo'!$F:$F,'Wells Fargo'!$G:$G,'Cash Flow'!$A49,'Wells Fargo'!$A:$A,AZ$1,'Wells Fargo'!$B:$B,"&lt;="&amp;'Cash Flow'!AZ$3)</f>
        <v>0</v>
      </c>
      <c r="BA49" s="188">
        <f>SUMIFS('Wells Fargo'!$F:$F,'Wells Fargo'!$G:$G,'Cash Flow'!$A49,'Wells Fargo'!$A:$A,BA$1,'Wells Fargo'!$B:$B,"&lt;="&amp;'Cash Flow'!BA$3,'Wells Fargo'!$B:$B,"&gt;"&amp;'Cash Flow'!AZ$3)</f>
        <v>0</v>
      </c>
      <c r="BB49" s="188">
        <f>SUMIFS('Wells Fargo'!$F:$F,'Wells Fargo'!$G:$G,'Cash Flow'!$A49,'Wells Fargo'!$A:$A,BB$1,'Wells Fargo'!$B:$B,"&lt;="&amp;'Cash Flow'!BB$3,'Wells Fargo'!$B:$B,"&gt;"&amp;'Cash Flow'!BA$3)</f>
        <v>0</v>
      </c>
      <c r="BC49" s="188">
        <f>SUMIFS('Wells Fargo'!$F:$F,'Wells Fargo'!$G:$G,'Cash Flow'!$A49,'Wells Fargo'!$A:$A,BC$1,'Wells Fargo'!$B:$B,"&lt;="&amp;'Cash Flow'!BC$3,'Wells Fargo'!$B:$B,"&gt;"&amp;'Cash Flow'!BB$3)</f>
        <v>0</v>
      </c>
      <c r="BD49" s="188">
        <f>SUMIFS('Wells Fargo'!$F:$F,'Wells Fargo'!$G:$G,'Cash Flow'!$A49,'Wells Fargo'!$A:$A,BD$1,'Wells Fargo'!$B:$B,"&lt;="&amp;'Cash Flow'!BD$3,'Wells Fargo'!$B:$B,"&gt;"&amp;'Cash Flow'!BC$3)</f>
        <v>0</v>
      </c>
      <c r="BE49" s="189">
        <f>SUMIFS('Wells Fargo'!$F:$F,'Wells Fargo'!$G:$G,'Cash Flow'!$A49,'Wells Fargo'!$A:$A,BE$1,'Wells Fargo'!$B:$B,"&lt;="&amp;'Cash Flow'!BE$3)</f>
        <v>0</v>
      </c>
      <c r="BF49" s="188">
        <f>SUMIFS('Wells Fargo'!$F:$F,'Wells Fargo'!$G:$G,'Cash Flow'!$A49,'Wells Fargo'!$A:$A,BF$1,'Wells Fargo'!$B:$B,"&lt;="&amp;'Cash Flow'!BF$3,'Wells Fargo'!$B:$B,"&gt;"&amp;'Cash Flow'!BE$3)</f>
        <v>0</v>
      </c>
      <c r="BG49" s="188">
        <f>SUMIFS('Wells Fargo'!$F:$F,'Wells Fargo'!$G:$G,'Cash Flow'!$A49,'Wells Fargo'!$A:$A,BG$1,'Wells Fargo'!$B:$B,"&lt;="&amp;'Cash Flow'!BG$3,'Wells Fargo'!$B:$B,"&gt;"&amp;'Cash Flow'!BF$3)</f>
        <v>0</v>
      </c>
      <c r="BH49" s="188">
        <f>SUMIFS('Wells Fargo'!$F:$F,'Wells Fargo'!$G:$G,'Cash Flow'!$A49,'Wells Fargo'!$A:$A,BH$1,'Wells Fargo'!$B:$B,"&lt;="&amp;'Cash Flow'!BH$3,'Wells Fargo'!$B:$B,"&gt;"&amp;'Cash Flow'!BG$3)</f>
        <v>0</v>
      </c>
      <c r="BI49" s="188">
        <f>SUMIFS('Wells Fargo'!$F:$F,'Wells Fargo'!$G:$G,'Cash Flow'!$A49,'Wells Fargo'!$A:$A,BI$1,'Wells Fargo'!$B:$B,"&lt;="&amp;'Cash Flow'!BI$3,'Wells Fargo'!$B:$B,"&gt;"&amp;'Cash Flow'!BH$3)</f>
        <v>0</v>
      </c>
    </row>
    <row r="50" spans="1:61" ht="12.75" x14ac:dyDescent="0.2">
      <c r="A50" t="str">
        <v>Rent - Artisan Village</v>
      </c>
      <c r="B50" s="87">
        <f t="shared" si="2"/>
        <v>-5445.61</v>
      </c>
      <c r="C50" s="189">
        <f>SUMIFS('Wells Fargo'!$F:$F,'Wells Fargo'!$G:$G,'Cash Flow'!$A50,'Wells Fargo'!$A:$A,C$1,'Wells Fargo'!$B:$B,"&lt;="&amp;'Cash Flow'!C$3)</f>
        <v>0</v>
      </c>
      <c r="D50" s="188">
        <f>SUMIFS('Wells Fargo'!$F:$F,'Wells Fargo'!$G:$G,'Cash Flow'!$A50,'Wells Fargo'!$A:$A,D$1,'Wells Fargo'!$B:$B,"&lt;="&amp;'Cash Flow'!D$3,'Wells Fargo'!$B:$B,"&gt;"&amp;'Cash Flow'!C$3)</f>
        <v>0</v>
      </c>
      <c r="E50" s="188">
        <f>SUMIFS('Wells Fargo'!$F:$F,'Wells Fargo'!$G:$G,'Cash Flow'!$A50,'Wells Fargo'!$A:$A,E$1,'Wells Fargo'!$B:$B,"&lt;="&amp;'Cash Flow'!E$3,'Wells Fargo'!$B:$B,"&gt;"&amp;'Cash Flow'!D$3)</f>
        <v>0</v>
      </c>
      <c r="F50" s="188">
        <f>SUMIFS('Wells Fargo'!$F:$F,'Wells Fargo'!$G:$G,'Cash Flow'!$A50,'Wells Fargo'!$A:$A,F$1,'Wells Fargo'!$B:$B,"&lt;="&amp;'Cash Flow'!F$3,'Wells Fargo'!$B:$B,"&gt;"&amp;'Cash Flow'!E$3)</f>
        <v>0</v>
      </c>
      <c r="G50" s="188">
        <f>SUMIFS('Wells Fargo'!$F:$F,'Wells Fargo'!$G:$G,'Cash Flow'!$A50,'Wells Fargo'!$A:$A,G$1,'Wells Fargo'!$B:$B,"&lt;="&amp;'Cash Flow'!G$3,'Wells Fargo'!$B:$B,"&gt;"&amp;'Cash Flow'!F$3)</f>
        <v>0</v>
      </c>
      <c r="H50" s="189">
        <f>SUMIFS('Wells Fargo'!$F:$F,'Wells Fargo'!$G:$G,'Cash Flow'!$A50,'Wells Fargo'!$A:$A,H$1,'Wells Fargo'!$B:$B,"&lt;="&amp;'Cash Flow'!H$3)</f>
        <v>0</v>
      </c>
      <c r="I50" s="188">
        <f>SUMIFS('Wells Fargo'!$F:$F,'Wells Fargo'!$G:$G,'Cash Flow'!$A50,'Wells Fargo'!$A:$A,I$1,'Wells Fargo'!$B:$B,"&lt;="&amp;'Cash Flow'!I$3,'Wells Fargo'!$B:$B,"&gt;"&amp;'Cash Flow'!H$3)</f>
        <v>0</v>
      </c>
      <c r="J50" s="188">
        <f>SUMIFS('Wells Fargo'!$F:$F,'Wells Fargo'!$G:$G,'Cash Flow'!$A50,'Wells Fargo'!$A:$A,J$1,'Wells Fargo'!$B:$B,"&lt;="&amp;'Cash Flow'!J$3,'Wells Fargo'!$B:$B,"&gt;"&amp;'Cash Flow'!I$3)</f>
        <v>0</v>
      </c>
      <c r="K50" s="188">
        <f>SUMIFS('Wells Fargo'!$F:$F,'Wells Fargo'!$G:$G,'Cash Flow'!$A50,'Wells Fargo'!$A:$A,K$1,'Wells Fargo'!$B:$B,"&lt;="&amp;'Cash Flow'!K$3,'Wells Fargo'!$B:$B,"&gt;"&amp;'Cash Flow'!J$3)</f>
        <v>0</v>
      </c>
      <c r="L50" s="189">
        <f>SUMIFS('Wells Fargo'!$F:$F,'Wells Fargo'!$G:$G,'Cash Flow'!$A50,'Wells Fargo'!$A:$A,L$1,'Wells Fargo'!$B:$B,"&lt;="&amp;'Cash Flow'!L$3)</f>
        <v>0</v>
      </c>
      <c r="M50" s="188">
        <f>SUMIFS('Wells Fargo'!$F:$F,'Wells Fargo'!$G:$G,'Cash Flow'!$A50,'Wells Fargo'!$A:$A,M$1,'Wells Fargo'!$B:$B,"&lt;="&amp;'Cash Flow'!M$3,'Wells Fargo'!$B:$B,"&gt;"&amp;'Cash Flow'!L$3)</f>
        <v>0</v>
      </c>
      <c r="N50" s="188">
        <f>SUMIFS('Wells Fargo'!$F:$F,'Wells Fargo'!$G:$G,'Cash Flow'!$A50,'Wells Fargo'!$A:$A,N$1,'Wells Fargo'!$B:$B,"&lt;="&amp;'Cash Flow'!N$3,'Wells Fargo'!$B:$B,"&gt;"&amp;'Cash Flow'!M$3)</f>
        <v>0</v>
      </c>
      <c r="O50" s="188">
        <f>SUMIFS('Wells Fargo'!$F:$F,'Wells Fargo'!$G:$G,'Cash Flow'!$A50,'Wells Fargo'!$A:$A,O$1,'Wells Fargo'!$B:$B,"&lt;="&amp;'Cash Flow'!O$3,'Wells Fargo'!$B:$B,"&gt;"&amp;'Cash Flow'!N$3)</f>
        <v>0</v>
      </c>
      <c r="P50" s="188">
        <f>SUMIFS('Wells Fargo'!$F:$F,'Wells Fargo'!$G:$G,'Cash Flow'!$A50,'Wells Fargo'!$A:$A,P$1,'Wells Fargo'!$B:$B,"&lt;="&amp;'Cash Flow'!P$3,'Wells Fargo'!$B:$B,"&gt;"&amp;'Cash Flow'!O$3)</f>
        <v>0</v>
      </c>
      <c r="Q50" s="189">
        <f>SUMIFS('Wells Fargo'!$F:$F,'Wells Fargo'!$G:$G,'Cash Flow'!$A50,'Wells Fargo'!$A:$A,Q$1,'Wells Fargo'!$B:$B,"&lt;="&amp;'Cash Flow'!Q$3)</f>
        <v>0</v>
      </c>
      <c r="R50" s="188">
        <f>SUMIFS('Wells Fargo'!$F:$F,'Wells Fargo'!$G:$G,'Cash Flow'!$A50,'Wells Fargo'!$A:$A,R$1,'Wells Fargo'!$B:$B,"&lt;="&amp;'Cash Flow'!R$3,'Wells Fargo'!$B:$B,"&gt;"&amp;'Cash Flow'!Q$3)</f>
        <v>0</v>
      </c>
      <c r="S50" s="188">
        <f>SUMIFS('Wells Fargo'!$F:$F,'Wells Fargo'!$G:$G,'Cash Flow'!$A50,'Wells Fargo'!$A:$A,S$1,'Wells Fargo'!$B:$B,"&lt;="&amp;'Cash Flow'!S$3,'Wells Fargo'!$B:$B,"&gt;"&amp;'Cash Flow'!R$3)</f>
        <v>0</v>
      </c>
      <c r="T50" s="188">
        <f>SUMIFS('Wells Fargo'!$F:$F,'Wells Fargo'!$G:$G,'Cash Flow'!$A50,'Wells Fargo'!$A:$A,T$1,'Wells Fargo'!$B:$B,"&lt;="&amp;'Cash Flow'!T$3,'Wells Fargo'!$B:$B,"&gt;"&amp;'Cash Flow'!S$3)</f>
        <v>0</v>
      </c>
      <c r="U50" s="188">
        <f>SUMIFS('Wells Fargo'!$F:$F,'Wells Fargo'!$G:$G,'Cash Flow'!$A50,'Wells Fargo'!$A:$A,U$1,'Wells Fargo'!$B:$B,"&lt;="&amp;'Cash Flow'!U$3,'Wells Fargo'!$B:$B,"&gt;"&amp;'Cash Flow'!T$3)</f>
        <v>0</v>
      </c>
      <c r="V50" s="189">
        <f>SUMIFS('Wells Fargo'!$F:$F,'Wells Fargo'!$G:$G,'Cash Flow'!$A50,'Wells Fargo'!$A:$A,V$1,'Wells Fargo'!$B:$B,"&lt;="&amp;'Cash Flow'!V$3)</f>
        <v>0</v>
      </c>
      <c r="W50" s="188">
        <f>SUMIFS('Wells Fargo'!$F:$F,'Wells Fargo'!$G:$G,'Cash Flow'!$A50,'Wells Fargo'!$A:$A,W$1,'Wells Fargo'!$B:$B,"&lt;="&amp;'Cash Flow'!W$3,'Wells Fargo'!$B:$B,"&gt;"&amp;'Cash Flow'!V$3)</f>
        <v>0</v>
      </c>
      <c r="X50" s="188">
        <f>SUMIFS('Wells Fargo'!$F:$F,'Wells Fargo'!$G:$G,'Cash Flow'!$A50,'Wells Fargo'!$A:$A,X$1,'Wells Fargo'!$B:$B,"&lt;="&amp;'Cash Flow'!X$3,'Wells Fargo'!$B:$B,"&gt;"&amp;'Cash Flow'!W$3)</f>
        <v>0</v>
      </c>
      <c r="Y50" s="188">
        <f>SUMIFS('Wells Fargo'!$F:$F,'Wells Fargo'!$G:$G,'Cash Flow'!$A50,'Wells Fargo'!$A:$A,Y$1,'Wells Fargo'!$B:$B,"&lt;="&amp;'Cash Flow'!Y$3,'Wells Fargo'!$B:$B,"&gt;"&amp;'Cash Flow'!X$3)</f>
        <v>0</v>
      </c>
      <c r="Z50" s="188">
        <f>SUMIFS('Wells Fargo'!$F:$F,'Wells Fargo'!$G:$G,'Cash Flow'!$A50,'Wells Fargo'!$A:$A,Z$1,'Wells Fargo'!$B:$B,"&lt;="&amp;'Cash Flow'!Z$3,'Wells Fargo'!$B:$B,"&gt;"&amp;'Cash Flow'!Y$3)</f>
        <v>0</v>
      </c>
      <c r="AA50" s="189">
        <f>SUMIFS('Wells Fargo'!$F:$F,'Wells Fargo'!$G:$G,'Cash Flow'!$A50,'Wells Fargo'!$A:$A,AA$1,'Wells Fargo'!$B:$B,"&lt;="&amp;'Cash Flow'!AA$3)</f>
        <v>0</v>
      </c>
      <c r="AB50" s="188">
        <f>SUMIFS('Wells Fargo'!$F:$F,'Wells Fargo'!$G:$G,'Cash Flow'!$A50,'Wells Fargo'!$A:$A,AB$1,'Wells Fargo'!$B:$B,"&lt;="&amp;'Cash Flow'!AB$3,'Wells Fargo'!$B:$B,"&gt;"&amp;'Cash Flow'!AA$3)</f>
        <v>0</v>
      </c>
      <c r="AC50" s="188">
        <f>SUMIFS('Wells Fargo'!$F:$F,'Wells Fargo'!$G:$G,'Cash Flow'!$A50,'Wells Fargo'!$A:$A,AC$1,'Wells Fargo'!$B:$B,"&lt;="&amp;'Cash Flow'!AC$3,'Wells Fargo'!$B:$B,"&gt;"&amp;'Cash Flow'!AB$3)</f>
        <v>0</v>
      </c>
      <c r="AD50" s="188">
        <f>SUMIFS('Wells Fargo'!$F:$F,'Wells Fargo'!$G:$G,'Cash Flow'!$A50,'Wells Fargo'!$A:$A,AD$1,'Wells Fargo'!$B:$B,"&lt;="&amp;'Cash Flow'!AD$3,'Wells Fargo'!$B:$B,"&gt;"&amp;'Cash Flow'!AC$3)</f>
        <v>0</v>
      </c>
      <c r="AE50" s="188">
        <f>SUMIFS('Wells Fargo'!$F:$F,'Wells Fargo'!$G:$G,'Cash Flow'!$A50,'Wells Fargo'!$A:$A,AE$1,'Wells Fargo'!$B:$B,"&lt;="&amp;'Cash Flow'!AE$3,'Wells Fargo'!$B:$B,"&gt;"&amp;'Cash Flow'!AD$3)</f>
        <v>0</v>
      </c>
      <c r="AF50" s="189">
        <f>SUMIFS('Wells Fargo'!$F:$F,'Wells Fargo'!$G:$G,'Cash Flow'!$A50,'Wells Fargo'!$A:$A,AF$1,'Wells Fargo'!$B:$B,"&lt;="&amp;'Cash Flow'!AF$3)</f>
        <v>0</v>
      </c>
      <c r="AG50" s="188">
        <f>SUMIFS('Wells Fargo'!$F:$F,'Wells Fargo'!$G:$G,'Cash Flow'!$A50,'Wells Fargo'!$A:$A,AG$1,'Wells Fargo'!$B:$B,"&lt;="&amp;'Cash Flow'!AG$3,'Wells Fargo'!$B:$B,"&gt;"&amp;'Cash Flow'!AF$3)</f>
        <v>0</v>
      </c>
      <c r="AH50" s="188">
        <f>SUMIFS('Wells Fargo'!$F:$F,'Wells Fargo'!$G:$G,'Cash Flow'!$A50,'Wells Fargo'!$A:$A,AH$1,'Wells Fargo'!$B:$B,"&lt;="&amp;'Cash Flow'!AH$3,'Wells Fargo'!$B:$B,"&gt;"&amp;'Cash Flow'!AG$3)</f>
        <v>0</v>
      </c>
      <c r="AI50" s="188">
        <f>SUMIFS('Wells Fargo'!$F:$F,'Wells Fargo'!$G:$G,'Cash Flow'!$A50,'Wells Fargo'!$A:$A,AI$1,'Wells Fargo'!$B:$B,"&lt;="&amp;'Cash Flow'!AI$3,'Wells Fargo'!$B:$B,"&gt;"&amp;'Cash Flow'!AH$3)</f>
        <v>0</v>
      </c>
      <c r="AJ50" s="188">
        <f>SUMIFS('Wells Fargo'!$F:$F,'Wells Fargo'!$G:$G,'Cash Flow'!$A50,'Wells Fargo'!$A:$A,AJ$1,'Wells Fargo'!$B:$B,"&lt;="&amp;'Cash Flow'!AJ$3,'Wells Fargo'!$B:$B,"&gt;"&amp;'Cash Flow'!AI$3)</f>
        <v>0</v>
      </c>
      <c r="AK50" s="189">
        <f>SUMIFS('Wells Fargo'!$F:$F,'Wells Fargo'!$G:$G,'Cash Flow'!$A50,'Wells Fargo'!$A:$A,AK$1,'Wells Fargo'!$B:$B,"&lt;="&amp;'Cash Flow'!AK$3)</f>
        <v>0</v>
      </c>
      <c r="AL50" s="188">
        <f>SUMIFS('Wells Fargo'!$F:$F,'Wells Fargo'!$G:$G,'Cash Flow'!$A50,'Wells Fargo'!$A:$A,AL$1,'Wells Fargo'!$B:$B,"&lt;="&amp;'Cash Flow'!AL$3,'Wells Fargo'!$B:$B,"&gt;"&amp;'Cash Flow'!AK$3)</f>
        <v>0</v>
      </c>
      <c r="AM50" s="188">
        <f>SUMIFS('Wells Fargo'!$F:$F,'Wells Fargo'!$G:$G,'Cash Flow'!$A50,'Wells Fargo'!$A:$A,AM$1,'Wells Fargo'!$B:$B,"&lt;="&amp;'Cash Flow'!AM$3,'Wells Fargo'!$B:$B,"&gt;"&amp;'Cash Flow'!AL$3)</f>
        <v>0</v>
      </c>
      <c r="AN50" s="188">
        <f>SUMIFS('Wells Fargo'!$F:$F,'Wells Fargo'!$G:$G,'Cash Flow'!$A50,'Wells Fargo'!$A:$A,AN$1,'Wells Fargo'!$B:$B,"&lt;="&amp;'Cash Flow'!AN$3,'Wells Fargo'!$B:$B,"&gt;"&amp;'Cash Flow'!AM$3)</f>
        <v>0</v>
      </c>
      <c r="AO50" s="188">
        <f>SUMIFS('Wells Fargo'!$F:$F,'Wells Fargo'!$G:$G,'Cash Flow'!$A50,'Wells Fargo'!$A:$A,AO$1,'Wells Fargo'!$B:$B,"&lt;="&amp;'Cash Flow'!AO$3,'Wells Fargo'!$B:$B,"&gt;"&amp;'Cash Flow'!AN$3)</f>
        <v>0</v>
      </c>
      <c r="AP50" s="189">
        <f>SUMIFS('Wells Fargo'!$F:$F,'Wells Fargo'!$G:$G,'Cash Flow'!$A50,'Wells Fargo'!$A:$A,AP$1,'Wells Fargo'!$B:$B,"&lt;="&amp;'Cash Flow'!AP$3)</f>
        <v>0</v>
      </c>
      <c r="AQ50" s="188">
        <f>SUMIFS('Wells Fargo'!$F:$F,'Wells Fargo'!$G:$G,'Cash Flow'!$A50,'Wells Fargo'!$A:$A,AQ$1,'Wells Fargo'!$B:$B,"&lt;="&amp;'Cash Flow'!AQ$3,'Wells Fargo'!$B:$B,"&gt;"&amp;'Cash Flow'!AP$3)</f>
        <v>0</v>
      </c>
      <c r="AR50" s="188">
        <f>SUMIFS('Wells Fargo'!$F:$F,'Wells Fargo'!$G:$G,'Cash Flow'!$A50,'Wells Fargo'!$A:$A,AR$1,'Wells Fargo'!$B:$B,"&lt;="&amp;'Cash Flow'!AR$3,'Wells Fargo'!$B:$B,"&gt;"&amp;'Cash Flow'!AQ$3)</f>
        <v>0</v>
      </c>
      <c r="AS50" s="188">
        <f>SUMIFS('Wells Fargo'!$F:$F,'Wells Fargo'!$G:$G,'Cash Flow'!$A50,'Wells Fargo'!$A:$A,AS$1,'Wells Fargo'!$B:$B,"&lt;="&amp;'Cash Flow'!AS$3,'Wells Fargo'!$B:$B,"&gt;"&amp;'Cash Flow'!AR$3)</f>
        <v>-250</v>
      </c>
      <c r="AT50" s="188">
        <f>SUMIFS('Wells Fargo'!$F:$F,'Wells Fargo'!$G:$G,'Cash Flow'!$A50,'Wells Fargo'!$A:$A,AT$1,'Wells Fargo'!$B:$B,"&lt;="&amp;'Cash Flow'!AT$3,'Wells Fargo'!$B:$B,"&gt;"&amp;'Cash Flow'!AS$3)</f>
        <v>-1652.2199999999998</v>
      </c>
      <c r="AU50" s="189">
        <f>SUMIFS('Wells Fargo'!$F:$F,'Wells Fargo'!$G:$G,'Cash Flow'!$A50,'Wells Fargo'!$A:$A,AU$1,'Wells Fargo'!$B:$B,"&lt;="&amp;'Cash Flow'!AU$3)</f>
        <v>-1866.67</v>
      </c>
      <c r="AV50" s="188">
        <f>SUMIFS('Wells Fargo'!$F:$F,'Wells Fargo'!$G:$G,'Cash Flow'!$A50,'Wells Fargo'!$A:$A,AV$1,'Wells Fargo'!$B:$B,"&lt;="&amp;'Cash Flow'!AV$3,'Wells Fargo'!$B:$B,"&gt;"&amp;'Cash Flow'!AU$3)</f>
        <v>0</v>
      </c>
      <c r="AW50" s="188">
        <f>SUMIFS('Wells Fargo'!$F:$F,'Wells Fargo'!$G:$G,'Cash Flow'!$A50,'Wells Fargo'!$A:$A,AW$1,'Wells Fargo'!$B:$B,"&lt;="&amp;'Cash Flow'!AW$3,'Wells Fargo'!$B:$B,"&gt;"&amp;'Cash Flow'!AV$3)</f>
        <v>0</v>
      </c>
      <c r="AX50" s="188">
        <f>SUMIFS('Wells Fargo'!$F:$F,'Wells Fargo'!$G:$G,'Cash Flow'!$A50,'Wells Fargo'!$A:$A,AX$1,'Wells Fargo'!$B:$B,"&lt;="&amp;'Cash Flow'!AX$3,'Wells Fargo'!$B:$B,"&gt;"&amp;'Cash Flow'!AW$3)</f>
        <v>0</v>
      </c>
      <c r="AY50" s="188">
        <f>SUMIFS('Wells Fargo'!$F:$F,'Wells Fargo'!$G:$G,'Cash Flow'!$A50,'Wells Fargo'!$A:$A,AY$1,'Wells Fargo'!$B:$B,"&lt;="&amp;'Cash Flow'!AY$3,'Wells Fargo'!$B:$B,"&gt;"&amp;'Cash Flow'!AX$3)</f>
        <v>0</v>
      </c>
      <c r="AZ50" s="189">
        <f>SUMIFS('Wells Fargo'!$F:$F,'Wells Fargo'!$G:$G,'Cash Flow'!$A50,'Wells Fargo'!$A:$A,AZ$1,'Wells Fargo'!$B:$B,"&lt;="&amp;'Cash Flow'!AZ$3)</f>
        <v>-1676.72</v>
      </c>
      <c r="BA50" s="188">
        <f>SUMIFS('Wells Fargo'!$F:$F,'Wells Fargo'!$G:$G,'Cash Flow'!$A50,'Wells Fargo'!$A:$A,BA$1,'Wells Fargo'!$B:$B,"&lt;="&amp;'Cash Flow'!BA$3,'Wells Fargo'!$B:$B,"&gt;"&amp;'Cash Flow'!AZ$3)</f>
        <v>0</v>
      </c>
      <c r="BB50" s="188">
        <f>SUMIFS('Wells Fargo'!$F:$F,'Wells Fargo'!$G:$G,'Cash Flow'!$A50,'Wells Fargo'!$A:$A,BB$1,'Wells Fargo'!$B:$B,"&lt;="&amp;'Cash Flow'!BB$3,'Wells Fargo'!$B:$B,"&gt;"&amp;'Cash Flow'!BA$3)</f>
        <v>0</v>
      </c>
      <c r="BC50" s="188">
        <f>SUMIFS('Wells Fargo'!$F:$F,'Wells Fargo'!$G:$G,'Cash Flow'!$A50,'Wells Fargo'!$A:$A,BC$1,'Wells Fargo'!$B:$B,"&lt;="&amp;'Cash Flow'!BC$3,'Wells Fargo'!$B:$B,"&gt;"&amp;'Cash Flow'!BB$3)</f>
        <v>0</v>
      </c>
      <c r="BD50" s="188">
        <f>SUMIFS('Wells Fargo'!$F:$F,'Wells Fargo'!$G:$G,'Cash Flow'!$A50,'Wells Fargo'!$A:$A,BD$1,'Wells Fargo'!$B:$B,"&lt;="&amp;'Cash Flow'!BD$3,'Wells Fargo'!$B:$B,"&gt;"&amp;'Cash Flow'!BC$3)</f>
        <v>0</v>
      </c>
      <c r="BE50" s="189">
        <f>SUMIFS('Wells Fargo'!$F:$F,'Wells Fargo'!$G:$G,'Cash Flow'!$A50,'Wells Fargo'!$A:$A,BE$1,'Wells Fargo'!$B:$B,"&lt;="&amp;'Cash Flow'!BE$3)</f>
        <v>0</v>
      </c>
      <c r="BF50" s="188">
        <f>SUMIFS('Wells Fargo'!$F:$F,'Wells Fargo'!$G:$G,'Cash Flow'!$A50,'Wells Fargo'!$A:$A,BF$1,'Wells Fargo'!$B:$B,"&lt;="&amp;'Cash Flow'!BF$3,'Wells Fargo'!$B:$B,"&gt;"&amp;'Cash Flow'!BE$3)</f>
        <v>0</v>
      </c>
      <c r="BG50" s="188">
        <f>SUMIFS('Wells Fargo'!$F:$F,'Wells Fargo'!$G:$G,'Cash Flow'!$A50,'Wells Fargo'!$A:$A,BG$1,'Wells Fargo'!$B:$B,"&lt;="&amp;'Cash Flow'!BG$3,'Wells Fargo'!$B:$B,"&gt;"&amp;'Cash Flow'!BF$3)</f>
        <v>0</v>
      </c>
      <c r="BH50" s="188">
        <f>SUMIFS('Wells Fargo'!$F:$F,'Wells Fargo'!$G:$G,'Cash Flow'!$A50,'Wells Fargo'!$A:$A,BH$1,'Wells Fargo'!$B:$B,"&lt;="&amp;'Cash Flow'!BH$3,'Wells Fargo'!$B:$B,"&gt;"&amp;'Cash Flow'!BG$3)</f>
        <v>0</v>
      </c>
      <c r="BI50" s="188">
        <f>SUMIFS('Wells Fargo'!$F:$F,'Wells Fargo'!$G:$G,'Cash Flow'!$A50,'Wells Fargo'!$A:$A,BI$1,'Wells Fargo'!$B:$B,"&lt;="&amp;'Cash Flow'!BI$3,'Wells Fargo'!$B:$B,"&gt;"&amp;'Cash Flow'!BH$3)</f>
        <v>0</v>
      </c>
    </row>
    <row r="51" spans="1:61" ht="12.75" x14ac:dyDescent="0.2">
      <c r="A51" t="str">
        <v>Resteraunt</v>
      </c>
      <c r="B51" s="87">
        <f t="shared" si="2"/>
        <v>-88.57</v>
      </c>
      <c r="C51" s="189">
        <f>SUMIFS('Wells Fargo'!$F:$F,'Wells Fargo'!$G:$G,'Cash Flow'!$A51,'Wells Fargo'!$A:$A,C$1,'Wells Fargo'!$B:$B,"&lt;="&amp;'Cash Flow'!C$3)</f>
        <v>0</v>
      </c>
      <c r="D51" s="188">
        <f>SUMIFS('Wells Fargo'!$F:$F,'Wells Fargo'!$G:$G,'Cash Flow'!$A51,'Wells Fargo'!$A:$A,D$1,'Wells Fargo'!$B:$B,"&lt;="&amp;'Cash Flow'!D$3,'Wells Fargo'!$B:$B,"&gt;"&amp;'Cash Flow'!C$3)</f>
        <v>0</v>
      </c>
      <c r="E51" s="188">
        <f>SUMIFS('Wells Fargo'!$F:$F,'Wells Fargo'!$G:$G,'Cash Flow'!$A51,'Wells Fargo'!$A:$A,E$1,'Wells Fargo'!$B:$B,"&lt;="&amp;'Cash Flow'!E$3,'Wells Fargo'!$B:$B,"&gt;"&amp;'Cash Flow'!D$3)</f>
        <v>0</v>
      </c>
      <c r="F51" s="188">
        <f>SUMIFS('Wells Fargo'!$F:$F,'Wells Fargo'!$G:$G,'Cash Flow'!$A51,'Wells Fargo'!$A:$A,F$1,'Wells Fargo'!$B:$B,"&lt;="&amp;'Cash Flow'!F$3,'Wells Fargo'!$B:$B,"&gt;"&amp;'Cash Flow'!E$3)</f>
        <v>0</v>
      </c>
      <c r="G51" s="188">
        <f>SUMIFS('Wells Fargo'!$F:$F,'Wells Fargo'!$G:$G,'Cash Flow'!$A51,'Wells Fargo'!$A:$A,G$1,'Wells Fargo'!$B:$B,"&lt;="&amp;'Cash Flow'!G$3,'Wells Fargo'!$B:$B,"&gt;"&amp;'Cash Flow'!F$3)</f>
        <v>0</v>
      </c>
      <c r="H51" s="189">
        <f>SUMIFS('Wells Fargo'!$F:$F,'Wells Fargo'!$G:$G,'Cash Flow'!$A51,'Wells Fargo'!$A:$A,H$1,'Wells Fargo'!$B:$B,"&lt;="&amp;'Cash Flow'!H$3)</f>
        <v>0</v>
      </c>
      <c r="I51" s="188">
        <f>SUMIFS('Wells Fargo'!$F:$F,'Wells Fargo'!$G:$G,'Cash Flow'!$A51,'Wells Fargo'!$A:$A,I$1,'Wells Fargo'!$B:$B,"&lt;="&amp;'Cash Flow'!I$3,'Wells Fargo'!$B:$B,"&gt;"&amp;'Cash Flow'!H$3)</f>
        <v>0</v>
      </c>
      <c r="J51" s="188">
        <f>SUMIFS('Wells Fargo'!$F:$F,'Wells Fargo'!$G:$G,'Cash Flow'!$A51,'Wells Fargo'!$A:$A,J$1,'Wells Fargo'!$B:$B,"&lt;="&amp;'Cash Flow'!J$3,'Wells Fargo'!$B:$B,"&gt;"&amp;'Cash Flow'!I$3)</f>
        <v>0</v>
      </c>
      <c r="K51" s="188">
        <f>SUMIFS('Wells Fargo'!$F:$F,'Wells Fargo'!$G:$G,'Cash Flow'!$A51,'Wells Fargo'!$A:$A,K$1,'Wells Fargo'!$B:$B,"&lt;="&amp;'Cash Flow'!K$3,'Wells Fargo'!$B:$B,"&gt;"&amp;'Cash Flow'!J$3)</f>
        <v>0</v>
      </c>
      <c r="L51" s="189">
        <f>SUMIFS('Wells Fargo'!$F:$F,'Wells Fargo'!$G:$G,'Cash Flow'!$A51,'Wells Fargo'!$A:$A,L$1,'Wells Fargo'!$B:$B,"&lt;="&amp;'Cash Flow'!L$3)</f>
        <v>0</v>
      </c>
      <c r="M51" s="188">
        <f>SUMIFS('Wells Fargo'!$F:$F,'Wells Fargo'!$G:$G,'Cash Flow'!$A51,'Wells Fargo'!$A:$A,M$1,'Wells Fargo'!$B:$B,"&lt;="&amp;'Cash Flow'!M$3,'Wells Fargo'!$B:$B,"&gt;"&amp;'Cash Flow'!L$3)</f>
        <v>0</v>
      </c>
      <c r="N51" s="188">
        <f>SUMIFS('Wells Fargo'!$F:$F,'Wells Fargo'!$G:$G,'Cash Flow'!$A51,'Wells Fargo'!$A:$A,N$1,'Wells Fargo'!$B:$B,"&lt;="&amp;'Cash Flow'!N$3,'Wells Fargo'!$B:$B,"&gt;"&amp;'Cash Flow'!M$3)</f>
        <v>0</v>
      </c>
      <c r="O51" s="188">
        <f>SUMIFS('Wells Fargo'!$F:$F,'Wells Fargo'!$G:$G,'Cash Flow'!$A51,'Wells Fargo'!$A:$A,O$1,'Wells Fargo'!$B:$B,"&lt;="&amp;'Cash Flow'!O$3,'Wells Fargo'!$B:$B,"&gt;"&amp;'Cash Flow'!N$3)</f>
        <v>0</v>
      </c>
      <c r="P51" s="188">
        <f>SUMIFS('Wells Fargo'!$F:$F,'Wells Fargo'!$G:$G,'Cash Flow'!$A51,'Wells Fargo'!$A:$A,P$1,'Wells Fargo'!$B:$B,"&lt;="&amp;'Cash Flow'!P$3,'Wells Fargo'!$B:$B,"&gt;"&amp;'Cash Flow'!O$3)</f>
        <v>0</v>
      </c>
      <c r="Q51" s="189">
        <f>SUMIFS('Wells Fargo'!$F:$F,'Wells Fargo'!$G:$G,'Cash Flow'!$A51,'Wells Fargo'!$A:$A,Q$1,'Wells Fargo'!$B:$B,"&lt;="&amp;'Cash Flow'!Q$3)</f>
        <v>0</v>
      </c>
      <c r="R51" s="188">
        <f>SUMIFS('Wells Fargo'!$F:$F,'Wells Fargo'!$G:$G,'Cash Flow'!$A51,'Wells Fargo'!$A:$A,R$1,'Wells Fargo'!$B:$B,"&lt;="&amp;'Cash Flow'!R$3,'Wells Fargo'!$B:$B,"&gt;"&amp;'Cash Flow'!Q$3)</f>
        <v>0</v>
      </c>
      <c r="S51" s="188">
        <f>SUMIFS('Wells Fargo'!$F:$F,'Wells Fargo'!$G:$G,'Cash Flow'!$A51,'Wells Fargo'!$A:$A,S$1,'Wells Fargo'!$B:$B,"&lt;="&amp;'Cash Flow'!S$3,'Wells Fargo'!$B:$B,"&gt;"&amp;'Cash Flow'!R$3)</f>
        <v>0</v>
      </c>
      <c r="T51" s="188">
        <f>SUMIFS('Wells Fargo'!$F:$F,'Wells Fargo'!$G:$G,'Cash Flow'!$A51,'Wells Fargo'!$A:$A,T$1,'Wells Fargo'!$B:$B,"&lt;="&amp;'Cash Flow'!T$3,'Wells Fargo'!$B:$B,"&gt;"&amp;'Cash Flow'!S$3)</f>
        <v>0</v>
      </c>
      <c r="U51" s="188">
        <f>SUMIFS('Wells Fargo'!$F:$F,'Wells Fargo'!$G:$G,'Cash Flow'!$A51,'Wells Fargo'!$A:$A,U$1,'Wells Fargo'!$B:$B,"&lt;="&amp;'Cash Flow'!U$3,'Wells Fargo'!$B:$B,"&gt;"&amp;'Cash Flow'!T$3)</f>
        <v>0</v>
      </c>
      <c r="V51" s="189">
        <f>SUMIFS('Wells Fargo'!$F:$F,'Wells Fargo'!$G:$G,'Cash Flow'!$A51,'Wells Fargo'!$A:$A,V$1,'Wells Fargo'!$B:$B,"&lt;="&amp;'Cash Flow'!V$3)</f>
        <v>0</v>
      </c>
      <c r="W51" s="188">
        <f>SUMIFS('Wells Fargo'!$F:$F,'Wells Fargo'!$G:$G,'Cash Flow'!$A51,'Wells Fargo'!$A:$A,W$1,'Wells Fargo'!$B:$B,"&lt;="&amp;'Cash Flow'!W$3,'Wells Fargo'!$B:$B,"&gt;"&amp;'Cash Flow'!V$3)</f>
        <v>0</v>
      </c>
      <c r="X51" s="188">
        <f>SUMIFS('Wells Fargo'!$F:$F,'Wells Fargo'!$G:$G,'Cash Flow'!$A51,'Wells Fargo'!$A:$A,X$1,'Wells Fargo'!$B:$B,"&lt;="&amp;'Cash Flow'!X$3,'Wells Fargo'!$B:$B,"&gt;"&amp;'Cash Flow'!W$3)</f>
        <v>0</v>
      </c>
      <c r="Y51" s="188">
        <f>SUMIFS('Wells Fargo'!$F:$F,'Wells Fargo'!$G:$G,'Cash Flow'!$A51,'Wells Fargo'!$A:$A,Y$1,'Wells Fargo'!$B:$B,"&lt;="&amp;'Cash Flow'!Y$3,'Wells Fargo'!$B:$B,"&gt;"&amp;'Cash Flow'!X$3)</f>
        <v>0</v>
      </c>
      <c r="Z51" s="188">
        <f>SUMIFS('Wells Fargo'!$F:$F,'Wells Fargo'!$G:$G,'Cash Flow'!$A51,'Wells Fargo'!$A:$A,Z$1,'Wells Fargo'!$B:$B,"&lt;="&amp;'Cash Flow'!Z$3,'Wells Fargo'!$B:$B,"&gt;"&amp;'Cash Flow'!Y$3)</f>
        <v>0</v>
      </c>
      <c r="AA51" s="189">
        <f>SUMIFS('Wells Fargo'!$F:$F,'Wells Fargo'!$G:$G,'Cash Flow'!$A51,'Wells Fargo'!$A:$A,AA$1,'Wells Fargo'!$B:$B,"&lt;="&amp;'Cash Flow'!AA$3)</f>
        <v>0</v>
      </c>
      <c r="AB51" s="188">
        <f>SUMIFS('Wells Fargo'!$F:$F,'Wells Fargo'!$G:$G,'Cash Flow'!$A51,'Wells Fargo'!$A:$A,AB$1,'Wells Fargo'!$B:$B,"&lt;="&amp;'Cash Flow'!AB$3,'Wells Fargo'!$B:$B,"&gt;"&amp;'Cash Flow'!AA$3)</f>
        <v>0</v>
      </c>
      <c r="AC51" s="188">
        <f>SUMIFS('Wells Fargo'!$F:$F,'Wells Fargo'!$G:$G,'Cash Flow'!$A51,'Wells Fargo'!$A:$A,AC$1,'Wells Fargo'!$B:$B,"&lt;="&amp;'Cash Flow'!AC$3,'Wells Fargo'!$B:$B,"&gt;"&amp;'Cash Flow'!AB$3)</f>
        <v>0</v>
      </c>
      <c r="AD51" s="188">
        <f>SUMIFS('Wells Fargo'!$F:$F,'Wells Fargo'!$G:$G,'Cash Flow'!$A51,'Wells Fargo'!$A:$A,AD$1,'Wells Fargo'!$B:$B,"&lt;="&amp;'Cash Flow'!AD$3,'Wells Fargo'!$B:$B,"&gt;"&amp;'Cash Flow'!AC$3)</f>
        <v>-58.57</v>
      </c>
      <c r="AE51" s="188">
        <f>SUMIFS('Wells Fargo'!$F:$F,'Wells Fargo'!$G:$G,'Cash Flow'!$A51,'Wells Fargo'!$A:$A,AE$1,'Wells Fargo'!$B:$B,"&lt;="&amp;'Cash Flow'!AE$3,'Wells Fargo'!$B:$B,"&gt;"&amp;'Cash Flow'!AD$3)</f>
        <v>0</v>
      </c>
      <c r="AF51" s="189">
        <f>SUMIFS('Wells Fargo'!$F:$F,'Wells Fargo'!$G:$G,'Cash Flow'!$A51,'Wells Fargo'!$A:$A,AF$1,'Wells Fargo'!$B:$B,"&lt;="&amp;'Cash Flow'!AF$3)</f>
        <v>0</v>
      </c>
      <c r="AG51" s="188">
        <f>SUMIFS('Wells Fargo'!$F:$F,'Wells Fargo'!$G:$G,'Cash Flow'!$A51,'Wells Fargo'!$A:$A,AG$1,'Wells Fargo'!$B:$B,"&lt;="&amp;'Cash Flow'!AG$3,'Wells Fargo'!$B:$B,"&gt;"&amp;'Cash Flow'!AF$3)</f>
        <v>-30</v>
      </c>
      <c r="AH51" s="188">
        <f>SUMIFS('Wells Fargo'!$F:$F,'Wells Fargo'!$G:$G,'Cash Flow'!$A51,'Wells Fargo'!$A:$A,AH$1,'Wells Fargo'!$B:$B,"&lt;="&amp;'Cash Flow'!AH$3,'Wells Fargo'!$B:$B,"&gt;"&amp;'Cash Flow'!AG$3)</f>
        <v>0</v>
      </c>
      <c r="AI51" s="188">
        <f>SUMIFS('Wells Fargo'!$F:$F,'Wells Fargo'!$G:$G,'Cash Flow'!$A51,'Wells Fargo'!$A:$A,AI$1,'Wells Fargo'!$B:$B,"&lt;="&amp;'Cash Flow'!AI$3,'Wells Fargo'!$B:$B,"&gt;"&amp;'Cash Flow'!AH$3)</f>
        <v>0</v>
      </c>
      <c r="AJ51" s="188">
        <f>SUMIFS('Wells Fargo'!$F:$F,'Wells Fargo'!$G:$G,'Cash Flow'!$A51,'Wells Fargo'!$A:$A,AJ$1,'Wells Fargo'!$B:$B,"&lt;="&amp;'Cash Flow'!AJ$3,'Wells Fargo'!$B:$B,"&gt;"&amp;'Cash Flow'!AI$3)</f>
        <v>0</v>
      </c>
      <c r="AK51" s="189">
        <f>SUMIFS('Wells Fargo'!$F:$F,'Wells Fargo'!$G:$G,'Cash Flow'!$A51,'Wells Fargo'!$A:$A,AK$1,'Wells Fargo'!$B:$B,"&lt;="&amp;'Cash Flow'!AK$3)</f>
        <v>0</v>
      </c>
      <c r="AL51" s="188">
        <f>SUMIFS('Wells Fargo'!$F:$F,'Wells Fargo'!$G:$G,'Cash Flow'!$A51,'Wells Fargo'!$A:$A,AL$1,'Wells Fargo'!$B:$B,"&lt;="&amp;'Cash Flow'!AL$3,'Wells Fargo'!$B:$B,"&gt;"&amp;'Cash Flow'!AK$3)</f>
        <v>0</v>
      </c>
      <c r="AM51" s="188">
        <f>SUMIFS('Wells Fargo'!$F:$F,'Wells Fargo'!$G:$G,'Cash Flow'!$A51,'Wells Fargo'!$A:$A,AM$1,'Wells Fargo'!$B:$B,"&lt;="&amp;'Cash Flow'!AM$3,'Wells Fargo'!$B:$B,"&gt;"&amp;'Cash Flow'!AL$3)</f>
        <v>0</v>
      </c>
      <c r="AN51" s="188">
        <f>SUMIFS('Wells Fargo'!$F:$F,'Wells Fargo'!$G:$G,'Cash Flow'!$A51,'Wells Fargo'!$A:$A,AN$1,'Wells Fargo'!$B:$B,"&lt;="&amp;'Cash Flow'!AN$3,'Wells Fargo'!$B:$B,"&gt;"&amp;'Cash Flow'!AM$3)</f>
        <v>0</v>
      </c>
      <c r="AO51" s="188">
        <f>SUMIFS('Wells Fargo'!$F:$F,'Wells Fargo'!$G:$G,'Cash Flow'!$A51,'Wells Fargo'!$A:$A,AO$1,'Wells Fargo'!$B:$B,"&lt;="&amp;'Cash Flow'!AO$3,'Wells Fargo'!$B:$B,"&gt;"&amp;'Cash Flow'!AN$3)</f>
        <v>0</v>
      </c>
      <c r="AP51" s="189">
        <f>SUMIFS('Wells Fargo'!$F:$F,'Wells Fargo'!$G:$G,'Cash Flow'!$A51,'Wells Fargo'!$A:$A,AP$1,'Wells Fargo'!$B:$B,"&lt;="&amp;'Cash Flow'!AP$3)</f>
        <v>0</v>
      </c>
      <c r="AQ51" s="188">
        <f>SUMIFS('Wells Fargo'!$F:$F,'Wells Fargo'!$G:$G,'Cash Flow'!$A51,'Wells Fargo'!$A:$A,AQ$1,'Wells Fargo'!$B:$B,"&lt;="&amp;'Cash Flow'!AQ$3,'Wells Fargo'!$B:$B,"&gt;"&amp;'Cash Flow'!AP$3)</f>
        <v>0</v>
      </c>
      <c r="AR51" s="188">
        <f>SUMIFS('Wells Fargo'!$F:$F,'Wells Fargo'!$G:$G,'Cash Flow'!$A51,'Wells Fargo'!$A:$A,AR$1,'Wells Fargo'!$B:$B,"&lt;="&amp;'Cash Flow'!AR$3,'Wells Fargo'!$B:$B,"&gt;"&amp;'Cash Flow'!AQ$3)</f>
        <v>0</v>
      </c>
      <c r="AS51" s="188">
        <f>SUMIFS('Wells Fargo'!$F:$F,'Wells Fargo'!$G:$G,'Cash Flow'!$A51,'Wells Fargo'!$A:$A,AS$1,'Wells Fargo'!$B:$B,"&lt;="&amp;'Cash Flow'!AS$3,'Wells Fargo'!$B:$B,"&gt;"&amp;'Cash Flow'!AR$3)</f>
        <v>0</v>
      </c>
      <c r="AT51" s="188">
        <f>SUMIFS('Wells Fargo'!$F:$F,'Wells Fargo'!$G:$G,'Cash Flow'!$A51,'Wells Fargo'!$A:$A,AT$1,'Wells Fargo'!$B:$B,"&lt;="&amp;'Cash Flow'!AT$3,'Wells Fargo'!$B:$B,"&gt;"&amp;'Cash Flow'!AS$3)</f>
        <v>0</v>
      </c>
      <c r="AU51" s="189">
        <f>SUMIFS('Wells Fargo'!$F:$F,'Wells Fargo'!$G:$G,'Cash Flow'!$A51,'Wells Fargo'!$A:$A,AU$1,'Wells Fargo'!$B:$B,"&lt;="&amp;'Cash Flow'!AU$3)</f>
        <v>0</v>
      </c>
      <c r="AV51" s="188">
        <f>SUMIFS('Wells Fargo'!$F:$F,'Wells Fargo'!$G:$G,'Cash Flow'!$A51,'Wells Fargo'!$A:$A,AV$1,'Wells Fargo'!$B:$B,"&lt;="&amp;'Cash Flow'!AV$3,'Wells Fargo'!$B:$B,"&gt;"&amp;'Cash Flow'!AU$3)</f>
        <v>0</v>
      </c>
      <c r="AW51" s="188">
        <f>SUMIFS('Wells Fargo'!$F:$F,'Wells Fargo'!$G:$G,'Cash Flow'!$A51,'Wells Fargo'!$A:$A,AW$1,'Wells Fargo'!$B:$B,"&lt;="&amp;'Cash Flow'!AW$3,'Wells Fargo'!$B:$B,"&gt;"&amp;'Cash Flow'!AV$3)</f>
        <v>0</v>
      </c>
      <c r="AX51" s="188">
        <f>SUMIFS('Wells Fargo'!$F:$F,'Wells Fargo'!$G:$G,'Cash Flow'!$A51,'Wells Fargo'!$A:$A,AX$1,'Wells Fargo'!$B:$B,"&lt;="&amp;'Cash Flow'!AX$3,'Wells Fargo'!$B:$B,"&gt;"&amp;'Cash Flow'!AW$3)</f>
        <v>0</v>
      </c>
      <c r="AY51" s="188">
        <f>SUMIFS('Wells Fargo'!$F:$F,'Wells Fargo'!$G:$G,'Cash Flow'!$A51,'Wells Fargo'!$A:$A,AY$1,'Wells Fargo'!$B:$B,"&lt;="&amp;'Cash Flow'!AY$3,'Wells Fargo'!$B:$B,"&gt;"&amp;'Cash Flow'!AX$3)</f>
        <v>0</v>
      </c>
      <c r="AZ51" s="189">
        <f>SUMIFS('Wells Fargo'!$F:$F,'Wells Fargo'!$G:$G,'Cash Flow'!$A51,'Wells Fargo'!$A:$A,AZ$1,'Wells Fargo'!$B:$B,"&lt;="&amp;'Cash Flow'!AZ$3)</f>
        <v>0</v>
      </c>
      <c r="BA51" s="188">
        <f>SUMIFS('Wells Fargo'!$F:$F,'Wells Fargo'!$G:$G,'Cash Flow'!$A51,'Wells Fargo'!$A:$A,BA$1,'Wells Fargo'!$B:$B,"&lt;="&amp;'Cash Flow'!BA$3,'Wells Fargo'!$B:$B,"&gt;"&amp;'Cash Flow'!AZ$3)</f>
        <v>0</v>
      </c>
      <c r="BB51" s="188">
        <f>SUMIFS('Wells Fargo'!$F:$F,'Wells Fargo'!$G:$G,'Cash Flow'!$A51,'Wells Fargo'!$A:$A,BB$1,'Wells Fargo'!$B:$B,"&lt;="&amp;'Cash Flow'!BB$3,'Wells Fargo'!$B:$B,"&gt;"&amp;'Cash Flow'!BA$3)</f>
        <v>0</v>
      </c>
      <c r="BC51" s="188">
        <f>SUMIFS('Wells Fargo'!$F:$F,'Wells Fargo'!$G:$G,'Cash Flow'!$A51,'Wells Fargo'!$A:$A,BC$1,'Wells Fargo'!$B:$B,"&lt;="&amp;'Cash Flow'!BC$3,'Wells Fargo'!$B:$B,"&gt;"&amp;'Cash Flow'!BB$3)</f>
        <v>0</v>
      </c>
      <c r="BD51" s="188">
        <f>SUMIFS('Wells Fargo'!$F:$F,'Wells Fargo'!$G:$G,'Cash Flow'!$A51,'Wells Fargo'!$A:$A,BD$1,'Wells Fargo'!$B:$B,"&lt;="&amp;'Cash Flow'!BD$3,'Wells Fargo'!$B:$B,"&gt;"&amp;'Cash Flow'!BC$3)</f>
        <v>0</v>
      </c>
      <c r="BE51" s="189">
        <f>SUMIFS('Wells Fargo'!$F:$F,'Wells Fargo'!$G:$G,'Cash Flow'!$A51,'Wells Fargo'!$A:$A,BE$1,'Wells Fargo'!$B:$B,"&lt;="&amp;'Cash Flow'!BE$3)</f>
        <v>0</v>
      </c>
      <c r="BF51" s="188">
        <f>SUMIFS('Wells Fargo'!$F:$F,'Wells Fargo'!$G:$G,'Cash Flow'!$A51,'Wells Fargo'!$A:$A,BF$1,'Wells Fargo'!$B:$B,"&lt;="&amp;'Cash Flow'!BF$3,'Wells Fargo'!$B:$B,"&gt;"&amp;'Cash Flow'!BE$3)</f>
        <v>0</v>
      </c>
      <c r="BG51" s="188">
        <f>SUMIFS('Wells Fargo'!$F:$F,'Wells Fargo'!$G:$G,'Cash Flow'!$A51,'Wells Fargo'!$A:$A,BG$1,'Wells Fargo'!$B:$B,"&lt;="&amp;'Cash Flow'!BG$3,'Wells Fargo'!$B:$B,"&gt;"&amp;'Cash Flow'!BF$3)</f>
        <v>0</v>
      </c>
      <c r="BH51" s="188">
        <f>SUMIFS('Wells Fargo'!$F:$F,'Wells Fargo'!$G:$G,'Cash Flow'!$A51,'Wells Fargo'!$A:$A,BH$1,'Wells Fargo'!$B:$B,"&lt;="&amp;'Cash Flow'!BH$3,'Wells Fargo'!$B:$B,"&gt;"&amp;'Cash Flow'!BG$3)</f>
        <v>0</v>
      </c>
      <c r="BI51" s="188">
        <f>SUMIFS('Wells Fargo'!$F:$F,'Wells Fargo'!$G:$G,'Cash Flow'!$A51,'Wells Fargo'!$A:$A,BI$1,'Wells Fargo'!$B:$B,"&lt;="&amp;'Cash Flow'!BI$3,'Wells Fargo'!$B:$B,"&gt;"&amp;'Cash Flow'!BH$3)</f>
        <v>0</v>
      </c>
    </row>
    <row r="52" spans="1:61" ht="12.75" x14ac:dyDescent="0.2">
      <c r="A52" t="str">
        <v>Sharon</v>
      </c>
      <c r="B52" s="87">
        <f t="shared" si="2"/>
        <v>103.42</v>
      </c>
      <c r="C52" s="189">
        <f>SUMIFS('Wells Fargo'!$F:$F,'Wells Fargo'!$G:$G,'Cash Flow'!$A52,'Wells Fargo'!$A:$A,C$1,'Wells Fargo'!$B:$B,"&lt;="&amp;'Cash Flow'!C$3)</f>
        <v>0</v>
      </c>
      <c r="D52" s="188">
        <f>SUMIFS('Wells Fargo'!$F:$F,'Wells Fargo'!$G:$G,'Cash Flow'!$A52,'Wells Fargo'!$A:$A,D$1,'Wells Fargo'!$B:$B,"&lt;="&amp;'Cash Flow'!D$3,'Wells Fargo'!$B:$B,"&gt;"&amp;'Cash Flow'!C$3)</f>
        <v>0</v>
      </c>
      <c r="E52" s="188">
        <f>SUMIFS('Wells Fargo'!$F:$F,'Wells Fargo'!$G:$G,'Cash Flow'!$A52,'Wells Fargo'!$A:$A,E$1,'Wells Fargo'!$B:$B,"&lt;="&amp;'Cash Flow'!E$3,'Wells Fargo'!$B:$B,"&gt;"&amp;'Cash Flow'!D$3)</f>
        <v>0</v>
      </c>
      <c r="F52" s="188">
        <f>SUMIFS('Wells Fargo'!$F:$F,'Wells Fargo'!$G:$G,'Cash Flow'!$A52,'Wells Fargo'!$A:$A,F$1,'Wells Fargo'!$B:$B,"&lt;="&amp;'Cash Flow'!F$3,'Wells Fargo'!$B:$B,"&gt;"&amp;'Cash Flow'!E$3)</f>
        <v>0</v>
      </c>
      <c r="G52" s="188">
        <f>SUMIFS('Wells Fargo'!$F:$F,'Wells Fargo'!$G:$G,'Cash Flow'!$A52,'Wells Fargo'!$A:$A,G$1,'Wells Fargo'!$B:$B,"&lt;="&amp;'Cash Flow'!G$3,'Wells Fargo'!$B:$B,"&gt;"&amp;'Cash Flow'!F$3)</f>
        <v>0</v>
      </c>
      <c r="H52" s="189">
        <f>SUMIFS('Wells Fargo'!$F:$F,'Wells Fargo'!$G:$G,'Cash Flow'!$A52,'Wells Fargo'!$A:$A,H$1,'Wells Fargo'!$B:$B,"&lt;="&amp;'Cash Flow'!H$3)</f>
        <v>0</v>
      </c>
      <c r="I52" s="188">
        <f>SUMIFS('Wells Fargo'!$F:$F,'Wells Fargo'!$G:$G,'Cash Flow'!$A52,'Wells Fargo'!$A:$A,I$1,'Wells Fargo'!$B:$B,"&lt;="&amp;'Cash Flow'!I$3,'Wells Fargo'!$B:$B,"&gt;"&amp;'Cash Flow'!H$3)</f>
        <v>0</v>
      </c>
      <c r="J52" s="188">
        <f>SUMIFS('Wells Fargo'!$F:$F,'Wells Fargo'!$G:$G,'Cash Flow'!$A52,'Wells Fargo'!$A:$A,J$1,'Wells Fargo'!$B:$B,"&lt;="&amp;'Cash Flow'!J$3,'Wells Fargo'!$B:$B,"&gt;"&amp;'Cash Flow'!I$3)</f>
        <v>0</v>
      </c>
      <c r="K52" s="188">
        <f>SUMIFS('Wells Fargo'!$F:$F,'Wells Fargo'!$G:$G,'Cash Flow'!$A52,'Wells Fargo'!$A:$A,K$1,'Wells Fargo'!$B:$B,"&lt;="&amp;'Cash Flow'!K$3,'Wells Fargo'!$B:$B,"&gt;"&amp;'Cash Flow'!J$3)</f>
        <v>0</v>
      </c>
      <c r="L52" s="189">
        <f>SUMIFS('Wells Fargo'!$F:$F,'Wells Fargo'!$G:$G,'Cash Flow'!$A52,'Wells Fargo'!$A:$A,L$1,'Wells Fargo'!$B:$B,"&lt;="&amp;'Cash Flow'!L$3)</f>
        <v>0</v>
      </c>
      <c r="M52" s="188">
        <f>SUMIFS('Wells Fargo'!$F:$F,'Wells Fargo'!$G:$G,'Cash Flow'!$A52,'Wells Fargo'!$A:$A,M$1,'Wells Fargo'!$B:$B,"&lt;="&amp;'Cash Flow'!M$3,'Wells Fargo'!$B:$B,"&gt;"&amp;'Cash Flow'!L$3)</f>
        <v>0</v>
      </c>
      <c r="N52" s="188">
        <f>SUMIFS('Wells Fargo'!$F:$F,'Wells Fargo'!$G:$G,'Cash Flow'!$A52,'Wells Fargo'!$A:$A,N$1,'Wells Fargo'!$B:$B,"&lt;="&amp;'Cash Flow'!N$3,'Wells Fargo'!$B:$B,"&gt;"&amp;'Cash Flow'!M$3)</f>
        <v>0</v>
      </c>
      <c r="O52" s="188">
        <f>SUMIFS('Wells Fargo'!$F:$F,'Wells Fargo'!$G:$G,'Cash Flow'!$A52,'Wells Fargo'!$A:$A,O$1,'Wells Fargo'!$B:$B,"&lt;="&amp;'Cash Flow'!O$3,'Wells Fargo'!$B:$B,"&gt;"&amp;'Cash Flow'!N$3)</f>
        <v>0</v>
      </c>
      <c r="P52" s="188">
        <f>SUMIFS('Wells Fargo'!$F:$F,'Wells Fargo'!$G:$G,'Cash Flow'!$A52,'Wells Fargo'!$A:$A,P$1,'Wells Fargo'!$B:$B,"&lt;="&amp;'Cash Flow'!P$3,'Wells Fargo'!$B:$B,"&gt;"&amp;'Cash Flow'!O$3)</f>
        <v>0</v>
      </c>
      <c r="Q52" s="189">
        <f>SUMIFS('Wells Fargo'!$F:$F,'Wells Fargo'!$G:$G,'Cash Flow'!$A52,'Wells Fargo'!$A:$A,Q$1,'Wells Fargo'!$B:$B,"&lt;="&amp;'Cash Flow'!Q$3)</f>
        <v>0</v>
      </c>
      <c r="R52" s="188">
        <f>SUMIFS('Wells Fargo'!$F:$F,'Wells Fargo'!$G:$G,'Cash Flow'!$A52,'Wells Fargo'!$A:$A,R$1,'Wells Fargo'!$B:$B,"&lt;="&amp;'Cash Flow'!R$3,'Wells Fargo'!$B:$B,"&gt;"&amp;'Cash Flow'!Q$3)</f>
        <v>0</v>
      </c>
      <c r="S52" s="188">
        <f>SUMIFS('Wells Fargo'!$F:$F,'Wells Fargo'!$G:$G,'Cash Flow'!$A52,'Wells Fargo'!$A:$A,S$1,'Wells Fargo'!$B:$B,"&lt;="&amp;'Cash Flow'!S$3,'Wells Fargo'!$B:$B,"&gt;"&amp;'Cash Flow'!R$3)</f>
        <v>0</v>
      </c>
      <c r="T52" s="188">
        <f>SUMIFS('Wells Fargo'!$F:$F,'Wells Fargo'!$G:$G,'Cash Flow'!$A52,'Wells Fargo'!$A:$A,T$1,'Wells Fargo'!$B:$B,"&lt;="&amp;'Cash Flow'!T$3,'Wells Fargo'!$B:$B,"&gt;"&amp;'Cash Flow'!S$3)</f>
        <v>0</v>
      </c>
      <c r="U52" s="188">
        <f>SUMIFS('Wells Fargo'!$F:$F,'Wells Fargo'!$G:$G,'Cash Flow'!$A52,'Wells Fargo'!$A:$A,U$1,'Wells Fargo'!$B:$B,"&lt;="&amp;'Cash Flow'!U$3,'Wells Fargo'!$B:$B,"&gt;"&amp;'Cash Flow'!T$3)</f>
        <v>0</v>
      </c>
      <c r="V52" s="189">
        <f>SUMIFS('Wells Fargo'!$F:$F,'Wells Fargo'!$G:$G,'Cash Flow'!$A52,'Wells Fargo'!$A:$A,V$1,'Wells Fargo'!$B:$B,"&lt;="&amp;'Cash Flow'!V$3)</f>
        <v>0</v>
      </c>
      <c r="W52" s="188">
        <f>SUMIFS('Wells Fargo'!$F:$F,'Wells Fargo'!$G:$G,'Cash Flow'!$A52,'Wells Fargo'!$A:$A,W$1,'Wells Fargo'!$B:$B,"&lt;="&amp;'Cash Flow'!W$3,'Wells Fargo'!$B:$B,"&gt;"&amp;'Cash Flow'!V$3)</f>
        <v>0</v>
      </c>
      <c r="X52" s="188">
        <f>SUMIFS('Wells Fargo'!$F:$F,'Wells Fargo'!$G:$G,'Cash Flow'!$A52,'Wells Fargo'!$A:$A,X$1,'Wells Fargo'!$B:$B,"&lt;="&amp;'Cash Flow'!X$3,'Wells Fargo'!$B:$B,"&gt;"&amp;'Cash Flow'!W$3)</f>
        <v>0</v>
      </c>
      <c r="Y52" s="188">
        <f>SUMIFS('Wells Fargo'!$F:$F,'Wells Fargo'!$G:$G,'Cash Flow'!$A52,'Wells Fargo'!$A:$A,Y$1,'Wells Fargo'!$B:$B,"&lt;="&amp;'Cash Flow'!Y$3,'Wells Fargo'!$B:$B,"&gt;"&amp;'Cash Flow'!X$3)</f>
        <v>0</v>
      </c>
      <c r="Z52" s="188">
        <f>SUMIFS('Wells Fargo'!$F:$F,'Wells Fargo'!$G:$G,'Cash Flow'!$A52,'Wells Fargo'!$A:$A,Z$1,'Wells Fargo'!$B:$B,"&lt;="&amp;'Cash Flow'!Z$3,'Wells Fargo'!$B:$B,"&gt;"&amp;'Cash Flow'!Y$3)</f>
        <v>0</v>
      </c>
      <c r="AA52" s="189">
        <f>SUMIFS('Wells Fargo'!$F:$F,'Wells Fargo'!$G:$G,'Cash Flow'!$A52,'Wells Fargo'!$A:$A,AA$1,'Wells Fargo'!$B:$B,"&lt;="&amp;'Cash Flow'!AA$3)</f>
        <v>0</v>
      </c>
      <c r="AB52" s="188">
        <f>SUMIFS('Wells Fargo'!$F:$F,'Wells Fargo'!$G:$G,'Cash Flow'!$A52,'Wells Fargo'!$A:$A,AB$1,'Wells Fargo'!$B:$B,"&lt;="&amp;'Cash Flow'!AB$3,'Wells Fargo'!$B:$B,"&gt;"&amp;'Cash Flow'!AA$3)</f>
        <v>0</v>
      </c>
      <c r="AC52" s="188">
        <f>SUMIFS('Wells Fargo'!$F:$F,'Wells Fargo'!$G:$G,'Cash Flow'!$A52,'Wells Fargo'!$A:$A,AC$1,'Wells Fargo'!$B:$B,"&lt;="&amp;'Cash Flow'!AC$3,'Wells Fargo'!$B:$B,"&gt;"&amp;'Cash Flow'!AB$3)</f>
        <v>0</v>
      </c>
      <c r="AD52" s="188">
        <f>SUMIFS('Wells Fargo'!$F:$F,'Wells Fargo'!$G:$G,'Cash Flow'!$A52,'Wells Fargo'!$A:$A,AD$1,'Wells Fargo'!$B:$B,"&lt;="&amp;'Cash Flow'!AD$3,'Wells Fargo'!$B:$B,"&gt;"&amp;'Cash Flow'!AC$3)</f>
        <v>0</v>
      </c>
      <c r="AE52" s="188">
        <f>SUMIFS('Wells Fargo'!$F:$F,'Wells Fargo'!$G:$G,'Cash Flow'!$A52,'Wells Fargo'!$A:$A,AE$1,'Wells Fargo'!$B:$B,"&lt;="&amp;'Cash Flow'!AE$3,'Wells Fargo'!$B:$B,"&gt;"&amp;'Cash Flow'!AD$3)</f>
        <v>0</v>
      </c>
      <c r="AF52" s="189">
        <f>SUMIFS('Wells Fargo'!$F:$F,'Wells Fargo'!$G:$G,'Cash Flow'!$A52,'Wells Fargo'!$A:$A,AF$1,'Wells Fargo'!$B:$B,"&lt;="&amp;'Cash Flow'!AF$3)</f>
        <v>0</v>
      </c>
      <c r="AG52" s="188">
        <f>SUMIFS('Wells Fargo'!$F:$F,'Wells Fargo'!$G:$G,'Cash Flow'!$A52,'Wells Fargo'!$A:$A,AG$1,'Wells Fargo'!$B:$B,"&lt;="&amp;'Cash Flow'!AG$3,'Wells Fargo'!$B:$B,"&gt;"&amp;'Cash Flow'!AF$3)</f>
        <v>0</v>
      </c>
      <c r="AH52" s="188">
        <f>SUMIFS('Wells Fargo'!$F:$F,'Wells Fargo'!$G:$G,'Cash Flow'!$A52,'Wells Fargo'!$A:$A,AH$1,'Wells Fargo'!$B:$B,"&lt;="&amp;'Cash Flow'!AH$3,'Wells Fargo'!$B:$B,"&gt;"&amp;'Cash Flow'!AG$3)</f>
        <v>0</v>
      </c>
      <c r="AI52" s="188">
        <f>SUMIFS('Wells Fargo'!$F:$F,'Wells Fargo'!$G:$G,'Cash Flow'!$A52,'Wells Fargo'!$A:$A,AI$1,'Wells Fargo'!$B:$B,"&lt;="&amp;'Cash Flow'!AI$3,'Wells Fargo'!$B:$B,"&gt;"&amp;'Cash Flow'!AH$3)</f>
        <v>0</v>
      </c>
      <c r="AJ52" s="188">
        <f>SUMIFS('Wells Fargo'!$F:$F,'Wells Fargo'!$G:$G,'Cash Flow'!$A52,'Wells Fargo'!$A:$A,AJ$1,'Wells Fargo'!$B:$B,"&lt;="&amp;'Cash Flow'!AJ$3,'Wells Fargo'!$B:$B,"&gt;"&amp;'Cash Flow'!AI$3)</f>
        <v>0</v>
      </c>
      <c r="AK52" s="189">
        <f>SUMIFS('Wells Fargo'!$F:$F,'Wells Fargo'!$G:$G,'Cash Flow'!$A52,'Wells Fargo'!$A:$A,AK$1,'Wells Fargo'!$B:$B,"&lt;="&amp;'Cash Flow'!AK$3)</f>
        <v>0</v>
      </c>
      <c r="AL52" s="188">
        <f>SUMIFS('Wells Fargo'!$F:$F,'Wells Fargo'!$G:$G,'Cash Flow'!$A52,'Wells Fargo'!$A:$A,AL$1,'Wells Fargo'!$B:$B,"&lt;="&amp;'Cash Flow'!AL$3,'Wells Fargo'!$B:$B,"&gt;"&amp;'Cash Flow'!AK$3)</f>
        <v>0</v>
      </c>
      <c r="AM52" s="188">
        <f>SUMIFS('Wells Fargo'!$F:$F,'Wells Fargo'!$G:$G,'Cash Flow'!$A52,'Wells Fargo'!$A:$A,AM$1,'Wells Fargo'!$B:$B,"&lt;="&amp;'Cash Flow'!AM$3,'Wells Fargo'!$B:$B,"&gt;"&amp;'Cash Flow'!AL$3)</f>
        <v>0</v>
      </c>
      <c r="AN52" s="188">
        <f>SUMIFS('Wells Fargo'!$F:$F,'Wells Fargo'!$G:$G,'Cash Flow'!$A52,'Wells Fargo'!$A:$A,AN$1,'Wells Fargo'!$B:$B,"&lt;="&amp;'Cash Flow'!AN$3,'Wells Fargo'!$B:$B,"&gt;"&amp;'Cash Flow'!AM$3)</f>
        <v>0</v>
      </c>
      <c r="AO52" s="188">
        <f>SUMIFS('Wells Fargo'!$F:$F,'Wells Fargo'!$G:$G,'Cash Flow'!$A52,'Wells Fargo'!$A:$A,AO$1,'Wells Fargo'!$B:$B,"&lt;="&amp;'Cash Flow'!AO$3,'Wells Fargo'!$B:$B,"&gt;"&amp;'Cash Flow'!AN$3)</f>
        <v>0</v>
      </c>
      <c r="AP52" s="189">
        <f>SUMIFS('Wells Fargo'!$F:$F,'Wells Fargo'!$G:$G,'Cash Flow'!$A52,'Wells Fargo'!$A:$A,AP$1,'Wells Fargo'!$B:$B,"&lt;="&amp;'Cash Flow'!AP$3)</f>
        <v>0</v>
      </c>
      <c r="AQ52" s="188">
        <f>SUMIFS('Wells Fargo'!$F:$F,'Wells Fargo'!$G:$G,'Cash Flow'!$A52,'Wells Fargo'!$A:$A,AQ$1,'Wells Fargo'!$B:$B,"&lt;="&amp;'Cash Flow'!AQ$3,'Wells Fargo'!$B:$B,"&gt;"&amp;'Cash Flow'!AP$3)</f>
        <v>103.42</v>
      </c>
      <c r="AR52" s="188">
        <f>SUMIFS('Wells Fargo'!$F:$F,'Wells Fargo'!$G:$G,'Cash Flow'!$A52,'Wells Fargo'!$A:$A,AR$1,'Wells Fargo'!$B:$B,"&lt;="&amp;'Cash Flow'!AR$3,'Wells Fargo'!$B:$B,"&gt;"&amp;'Cash Flow'!AQ$3)</f>
        <v>0</v>
      </c>
      <c r="AS52" s="188">
        <f>SUMIFS('Wells Fargo'!$F:$F,'Wells Fargo'!$G:$G,'Cash Flow'!$A52,'Wells Fargo'!$A:$A,AS$1,'Wells Fargo'!$B:$B,"&lt;="&amp;'Cash Flow'!AS$3,'Wells Fargo'!$B:$B,"&gt;"&amp;'Cash Flow'!AR$3)</f>
        <v>0</v>
      </c>
      <c r="AT52" s="188">
        <f>SUMIFS('Wells Fargo'!$F:$F,'Wells Fargo'!$G:$G,'Cash Flow'!$A52,'Wells Fargo'!$A:$A,AT$1,'Wells Fargo'!$B:$B,"&lt;="&amp;'Cash Flow'!AT$3,'Wells Fargo'!$B:$B,"&gt;"&amp;'Cash Flow'!AS$3)</f>
        <v>0</v>
      </c>
      <c r="AU52" s="189">
        <f>SUMIFS('Wells Fargo'!$F:$F,'Wells Fargo'!$G:$G,'Cash Flow'!$A52,'Wells Fargo'!$A:$A,AU$1,'Wells Fargo'!$B:$B,"&lt;="&amp;'Cash Flow'!AU$3)</f>
        <v>0</v>
      </c>
      <c r="AV52" s="188">
        <f>SUMIFS('Wells Fargo'!$F:$F,'Wells Fargo'!$G:$G,'Cash Flow'!$A52,'Wells Fargo'!$A:$A,AV$1,'Wells Fargo'!$B:$B,"&lt;="&amp;'Cash Flow'!AV$3,'Wells Fargo'!$B:$B,"&gt;"&amp;'Cash Flow'!AU$3)</f>
        <v>0</v>
      </c>
      <c r="AW52" s="188">
        <f>SUMIFS('Wells Fargo'!$F:$F,'Wells Fargo'!$G:$G,'Cash Flow'!$A52,'Wells Fargo'!$A:$A,AW$1,'Wells Fargo'!$B:$B,"&lt;="&amp;'Cash Flow'!AW$3,'Wells Fargo'!$B:$B,"&gt;"&amp;'Cash Flow'!AV$3)</f>
        <v>0</v>
      </c>
      <c r="AX52" s="188">
        <f>SUMIFS('Wells Fargo'!$F:$F,'Wells Fargo'!$G:$G,'Cash Flow'!$A52,'Wells Fargo'!$A:$A,AX$1,'Wells Fargo'!$B:$B,"&lt;="&amp;'Cash Flow'!AX$3,'Wells Fargo'!$B:$B,"&gt;"&amp;'Cash Flow'!AW$3)</f>
        <v>0</v>
      </c>
      <c r="AY52" s="188">
        <f>SUMIFS('Wells Fargo'!$F:$F,'Wells Fargo'!$G:$G,'Cash Flow'!$A52,'Wells Fargo'!$A:$A,AY$1,'Wells Fargo'!$B:$B,"&lt;="&amp;'Cash Flow'!AY$3,'Wells Fargo'!$B:$B,"&gt;"&amp;'Cash Flow'!AX$3)</f>
        <v>0</v>
      </c>
      <c r="AZ52" s="189">
        <f>SUMIFS('Wells Fargo'!$F:$F,'Wells Fargo'!$G:$G,'Cash Flow'!$A52,'Wells Fargo'!$A:$A,AZ$1,'Wells Fargo'!$B:$B,"&lt;="&amp;'Cash Flow'!AZ$3)</f>
        <v>0</v>
      </c>
      <c r="BA52" s="188">
        <f>SUMIFS('Wells Fargo'!$F:$F,'Wells Fargo'!$G:$G,'Cash Flow'!$A52,'Wells Fargo'!$A:$A,BA$1,'Wells Fargo'!$B:$B,"&lt;="&amp;'Cash Flow'!BA$3,'Wells Fargo'!$B:$B,"&gt;"&amp;'Cash Flow'!AZ$3)</f>
        <v>0</v>
      </c>
      <c r="BB52" s="188">
        <f>SUMIFS('Wells Fargo'!$F:$F,'Wells Fargo'!$G:$G,'Cash Flow'!$A52,'Wells Fargo'!$A:$A,BB$1,'Wells Fargo'!$B:$B,"&lt;="&amp;'Cash Flow'!BB$3,'Wells Fargo'!$B:$B,"&gt;"&amp;'Cash Flow'!BA$3)</f>
        <v>0</v>
      </c>
      <c r="BC52" s="188">
        <f>SUMIFS('Wells Fargo'!$F:$F,'Wells Fargo'!$G:$G,'Cash Flow'!$A52,'Wells Fargo'!$A:$A,BC$1,'Wells Fargo'!$B:$B,"&lt;="&amp;'Cash Flow'!BC$3,'Wells Fargo'!$B:$B,"&gt;"&amp;'Cash Flow'!BB$3)</f>
        <v>0</v>
      </c>
      <c r="BD52" s="188">
        <f>SUMIFS('Wells Fargo'!$F:$F,'Wells Fargo'!$G:$G,'Cash Flow'!$A52,'Wells Fargo'!$A:$A,BD$1,'Wells Fargo'!$B:$B,"&lt;="&amp;'Cash Flow'!BD$3,'Wells Fargo'!$B:$B,"&gt;"&amp;'Cash Flow'!BC$3)</f>
        <v>0</v>
      </c>
      <c r="BE52" s="189">
        <f>SUMIFS('Wells Fargo'!$F:$F,'Wells Fargo'!$G:$G,'Cash Flow'!$A52,'Wells Fargo'!$A:$A,BE$1,'Wells Fargo'!$B:$B,"&lt;="&amp;'Cash Flow'!BE$3)</f>
        <v>0</v>
      </c>
      <c r="BF52" s="188">
        <f>SUMIFS('Wells Fargo'!$F:$F,'Wells Fargo'!$G:$G,'Cash Flow'!$A52,'Wells Fargo'!$A:$A,BF$1,'Wells Fargo'!$B:$B,"&lt;="&amp;'Cash Flow'!BF$3,'Wells Fargo'!$B:$B,"&gt;"&amp;'Cash Flow'!BE$3)</f>
        <v>0</v>
      </c>
      <c r="BG52" s="188">
        <f>SUMIFS('Wells Fargo'!$F:$F,'Wells Fargo'!$G:$G,'Cash Flow'!$A52,'Wells Fargo'!$A:$A,BG$1,'Wells Fargo'!$B:$B,"&lt;="&amp;'Cash Flow'!BG$3,'Wells Fargo'!$B:$B,"&gt;"&amp;'Cash Flow'!BF$3)</f>
        <v>0</v>
      </c>
      <c r="BH52" s="188">
        <f>SUMIFS('Wells Fargo'!$F:$F,'Wells Fargo'!$G:$G,'Cash Flow'!$A52,'Wells Fargo'!$A:$A,BH$1,'Wells Fargo'!$B:$B,"&lt;="&amp;'Cash Flow'!BH$3,'Wells Fargo'!$B:$B,"&gt;"&amp;'Cash Flow'!BG$3)</f>
        <v>0</v>
      </c>
      <c r="BI52" s="188">
        <f>SUMIFS('Wells Fargo'!$F:$F,'Wells Fargo'!$G:$G,'Cash Flow'!$A52,'Wells Fargo'!$A:$A,BI$1,'Wells Fargo'!$B:$B,"&lt;="&amp;'Cash Flow'!BI$3,'Wells Fargo'!$B:$B,"&gt;"&amp;'Cash Flow'!BH$3)</f>
        <v>0</v>
      </c>
    </row>
    <row r="53" spans="1:61" ht="12.75" x14ac:dyDescent="0.2">
      <c r="A53" t="str">
        <v>Shelley</v>
      </c>
      <c r="B53" s="87">
        <f t="shared" si="2"/>
        <v>-48.33</v>
      </c>
      <c r="C53" s="189">
        <f>SUMIFS('Wells Fargo'!$F:$F,'Wells Fargo'!$G:$G,'Cash Flow'!$A53,'Wells Fargo'!$A:$A,C$1,'Wells Fargo'!$B:$B,"&lt;="&amp;'Cash Flow'!C$3)</f>
        <v>0</v>
      </c>
      <c r="D53" s="188">
        <f>SUMIFS('Wells Fargo'!$F:$F,'Wells Fargo'!$G:$G,'Cash Flow'!$A53,'Wells Fargo'!$A:$A,D$1,'Wells Fargo'!$B:$B,"&lt;="&amp;'Cash Flow'!D$3,'Wells Fargo'!$B:$B,"&gt;"&amp;'Cash Flow'!C$3)</f>
        <v>0</v>
      </c>
      <c r="E53" s="188">
        <f>SUMIFS('Wells Fargo'!$F:$F,'Wells Fargo'!$G:$G,'Cash Flow'!$A53,'Wells Fargo'!$A:$A,E$1,'Wells Fargo'!$B:$B,"&lt;="&amp;'Cash Flow'!E$3,'Wells Fargo'!$B:$B,"&gt;"&amp;'Cash Flow'!D$3)</f>
        <v>0</v>
      </c>
      <c r="F53" s="188">
        <f>SUMIFS('Wells Fargo'!$F:$F,'Wells Fargo'!$G:$G,'Cash Flow'!$A53,'Wells Fargo'!$A:$A,F$1,'Wells Fargo'!$B:$B,"&lt;="&amp;'Cash Flow'!F$3,'Wells Fargo'!$B:$B,"&gt;"&amp;'Cash Flow'!E$3)</f>
        <v>0</v>
      </c>
      <c r="G53" s="188">
        <f>SUMIFS('Wells Fargo'!$F:$F,'Wells Fargo'!$G:$G,'Cash Flow'!$A53,'Wells Fargo'!$A:$A,G$1,'Wells Fargo'!$B:$B,"&lt;="&amp;'Cash Flow'!G$3,'Wells Fargo'!$B:$B,"&gt;"&amp;'Cash Flow'!F$3)</f>
        <v>0</v>
      </c>
      <c r="H53" s="189">
        <f>SUMIFS('Wells Fargo'!$F:$F,'Wells Fargo'!$G:$G,'Cash Flow'!$A53,'Wells Fargo'!$A:$A,H$1,'Wells Fargo'!$B:$B,"&lt;="&amp;'Cash Flow'!H$3)</f>
        <v>0</v>
      </c>
      <c r="I53" s="188">
        <f>SUMIFS('Wells Fargo'!$F:$F,'Wells Fargo'!$G:$G,'Cash Flow'!$A53,'Wells Fargo'!$A:$A,I$1,'Wells Fargo'!$B:$B,"&lt;="&amp;'Cash Flow'!I$3,'Wells Fargo'!$B:$B,"&gt;"&amp;'Cash Flow'!H$3)</f>
        <v>0</v>
      </c>
      <c r="J53" s="188">
        <f>SUMIFS('Wells Fargo'!$F:$F,'Wells Fargo'!$G:$G,'Cash Flow'!$A53,'Wells Fargo'!$A:$A,J$1,'Wells Fargo'!$B:$B,"&lt;="&amp;'Cash Flow'!J$3,'Wells Fargo'!$B:$B,"&gt;"&amp;'Cash Flow'!I$3)</f>
        <v>0</v>
      </c>
      <c r="K53" s="188">
        <f>SUMIFS('Wells Fargo'!$F:$F,'Wells Fargo'!$G:$G,'Cash Flow'!$A53,'Wells Fargo'!$A:$A,K$1,'Wells Fargo'!$B:$B,"&lt;="&amp;'Cash Flow'!K$3,'Wells Fargo'!$B:$B,"&gt;"&amp;'Cash Flow'!J$3)</f>
        <v>0</v>
      </c>
      <c r="L53" s="189">
        <f>SUMIFS('Wells Fargo'!$F:$F,'Wells Fargo'!$G:$G,'Cash Flow'!$A53,'Wells Fargo'!$A:$A,L$1,'Wells Fargo'!$B:$B,"&lt;="&amp;'Cash Flow'!L$3)</f>
        <v>0</v>
      </c>
      <c r="M53" s="188">
        <f>SUMIFS('Wells Fargo'!$F:$F,'Wells Fargo'!$G:$G,'Cash Flow'!$A53,'Wells Fargo'!$A:$A,M$1,'Wells Fargo'!$B:$B,"&lt;="&amp;'Cash Flow'!M$3,'Wells Fargo'!$B:$B,"&gt;"&amp;'Cash Flow'!L$3)</f>
        <v>0</v>
      </c>
      <c r="N53" s="188">
        <f>SUMIFS('Wells Fargo'!$F:$F,'Wells Fargo'!$G:$G,'Cash Flow'!$A53,'Wells Fargo'!$A:$A,N$1,'Wells Fargo'!$B:$B,"&lt;="&amp;'Cash Flow'!N$3,'Wells Fargo'!$B:$B,"&gt;"&amp;'Cash Flow'!M$3)</f>
        <v>0</v>
      </c>
      <c r="O53" s="188">
        <f>SUMIFS('Wells Fargo'!$F:$F,'Wells Fargo'!$G:$G,'Cash Flow'!$A53,'Wells Fargo'!$A:$A,O$1,'Wells Fargo'!$B:$B,"&lt;="&amp;'Cash Flow'!O$3,'Wells Fargo'!$B:$B,"&gt;"&amp;'Cash Flow'!N$3)</f>
        <v>-48.33</v>
      </c>
      <c r="P53" s="188">
        <f>SUMIFS('Wells Fargo'!$F:$F,'Wells Fargo'!$G:$G,'Cash Flow'!$A53,'Wells Fargo'!$A:$A,P$1,'Wells Fargo'!$B:$B,"&lt;="&amp;'Cash Flow'!P$3,'Wells Fargo'!$B:$B,"&gt;"&amp;'Cash Flow'!O$3)</f>
        <v>0</v>
      </c>
      <c r="Q53" s="189">
        <f>SUMIFS('Wells Fargo'!$F:$F,'Wells Fargo'!$G:$G,'Cash Flow'!$A53,'Wells Fargo'!$A:$A,Q$1,'Wells Fargo'!$B:$B,"&lt;="&amp;'Cash Flow'!Q$3)</f>
        <v>0</v>
      </c>
      <c r="R53" s="188">
        <f>SUMIFS('Wells Fargo'!$F:$F,'Wells Fargo'!$G:$G,'Cash Flow'!$A53,'Wells Fargo'!$A:$A,R$1,'Wells Fargo'!$B:$B,"&lt;="&amp;'Cash Flow'!R$3,'Wells Fargo'!$B:$B,"&gt;"&amp;'Cash Flow'!Q$3)</f>
        <v>0</v>
      </c>
      <c r="S53" s="188">
        <f>SUMIFS('Wells Fargo'!$F:$F,'Wells Fargo'!$G:$G,'Cash Flow'!$A53,'Wells Fargo'!$A:$A,S$1,'Wells Fargo'!$B:$B,"&lt;="&amp;'Cash Flow'!S$3,'Wells Fargo'!$B:$B,"&gt;"&amp;'Cash Flow'!R$3)</f>
        <v>0</v>
      </c>
      <c r="T53" s="188">
        <f>SUMIFS('Wells Fargo'!$F:$F,'Wells Fargo'!$G:$G,'Cash Flow'!$A53,'Wells Fargo'!$A:$A,T$1,'Wells Fargo'!$B:$B,"&lt;="&amp;'Cash Flow'!T$3,'Wells Fargo'!$B:$B,"&gt;"&amp;'Cash Flow'!S$3)</f>
        <v>0</v>
      </c>
      <c r="U53" s="188">
        <f>SUMIFS('Wells Fargo'!$F:$F,'Wells Fargo'!$G:$G,'Cash Flow'!$A53,'Wells Fargo'!$A:$A,U$1,'Wells Fargo'!$B:$B,"&lt;="&amp;'Cash Flow'!U$3,'Wells Fargo'!$B:$B,"&gt;"&amp;'Cash Flow'!T$3)</f>
        <v>0</v>
      </c>
      <c r="V53" s="189">
        <f>SUMIFS('Wells Fargo'!$F:$F,'Wells Fargo'!$G:$G,'Cash Flow'!$A53,'Wells Fargo'!$A:$A,V$1,'Wells Fargo'!$B:$B,"&lt;="&amp;'Cash Flow'!V$3)</f>
        <v>0</v>
      </c>
      <c r="W53" s="188">
        <f>SUMIFS('Wells Fargo'!$F:$F,'Wells Fargo'!$G:$G,'Cash Flow'!$A53,'Wells Fargo'!$A:$A,W$1,'Wells Fargo'!$B:$B,"&lt;="&amp;'Cash Flow'!W$3,'Wells Fargo'!$B:$B,"&gt;"&amp;'Cash Flow'!V$3)</f>
        <v>0</v>
      </c>
      <c r="X53" s="188">
        <f>SUMIFS('Wells Fargo'!$F:$F,'Wells Fargo'!$G:$G,'Cash Flow'!$A53,'Wells Fargo'!$A:$A,X$1,'Wells Fargo'!$B:$B,"&lt;="&amp;'Cash Flow'!X$3,'Wells Fargo'!$B:$B,"&gt;"&amp;'Cash Flow'!W$3)</f>
        <v>0</v>
      </c>
      <c r="Y53" s="188">
        <f>SUMIFS('Wells Fargo'!$F:$F,'Wells Fargo'!$G:$G,'Cash Flow'!$A53,'Wells Fargo'!$A:$A,Y$1,'Wells Fargo'!$B:$B,"&lt;="&amp;'Cash Flow'!Y$3,'Wells Fargo'!$B:$B,"&gt;"&amp;'Cash Flow'!X$3)</f>
        <v>0</v>
      </c>
      <c r="Z53" s="188">
        <f>SUMIFS('Wells Fargo'!$F:$F,'Wells Fargo'!$G:$G,'Cash Flow'!$A53,'Wells Fargo'!$A:$A,Z$1,'Wells Fargo'!$B:$B,"&lt;="&amp;'Cash Flow'!Z$3,'Wells Fargo'!$B:$B,"&gt;"&amp;'Cash Flow'!Y$3)</f>
        <v>0</v>
      </c>
      <c r="AA53" s="189">
        <f>SUMIFS('Wells Fargo'!$F:$F,'Wells Fargo'!$G:$G,'Cash Flow'!$A53,'Wells Fargo'!$A:$A,AA$1,'Wells Fargo'!$B:$B,"&lt;="&amp;'Cash Flow'!AA$3)</f>
        <v>0</v>
      </c>
      <c r="AB53" s="188">
        <f>SUMIFS('Wells Fargo'!$F:$F,'Wells Fargo'!$G:$G,'Cash Flow'!$A53,'Wells Fargo'!$A:$A,AB$1,'Wells Fargo'!$B:$B,"&lt;="&amp;'Cash Flow'!AB$3,'Wells Fargo'!$B:$B,"&gt;"&amp;'Cash Flow'!AA$3)</f>
        <v>0</v>
      </c>
      <c r="AC53" s="188">
        <f>SUMIFS('Wells Fargo'!$F:$F,'Wells Fargo'!$G:$G,'Cash Flow'!$A53,'Wells Fargo'!$A:$A,AC$1,'Wells Fargo'!$B:$B,"&lt;="&amp;'Cash Flow'!AC$3,'Wells Fargo'!$B:$B,"&gt;"&amp;'Cash Flow'!AB$3)</f>
        <v>0</v>
      </c>
      <c r="AD53" s="188">
        <f>SUMIFS('Wells Fargo'!$F:$F,'Wells Fargo'!$G:$G,'Cash Flow'!$A53,'Wells Fargo'!$A:$A,AD$1,'Wells Fargo'!$B:$B,"&lt;="&amp;'Cash Flow'!AD$3,'Wells Fargo'!$B:$B,"&gt;"&amp;'Cash Flow'!AC$3)</f>
        <v>0</v>
      </c>
      <c r="AE53" s="188">
        <f>SUMIFS('Wells Fargo'!$F:$F,'Wells Fargo'!$G:$G,'Cash Flow'!$A53,'Wells Fargo'!$A:$A,AE$1,'Wells Fargo'!$B:$B,"&lt;="&amp;'Cash Flow'!AE$3,'Wells Fargo'!$B:$B,"&gt;"&amp;'Cash Flow'!AD$3)</f>
        <v>0</v>
      </c>
      <c r="AF53" s="189">
        <f>SUMIFS('Wells Fargo'!$F:$F,'Wells Fargo'!$G:$G,'Cash Flow'!$A53,'Wells Fargo'!$A:$A,AF$1,'Wells Fargo'!$B:$B,"&lt;="&amp;'Cash Flow'!AF$3)</f>
        <v>0</v>
      </c>
      <c r="AG53" s="188">
        <f>SUMIFS('Wells Fargo'!$F:$F,'Wells Fargo'!$G:$G,'Cash Flow'!$A53,'Wells Fargo'!$A:$A,AG$1,'Wells Fargo'!$B:$B,"&lt;="&amp;'Cash Flow'!AG$3,'Wells Fargo'!$B:$B,"&gt;"&amp;'Cash Flow'!AF$3)</f>
        <v>0</v>
      </c>
      <c r="AH53" s="188">
        <f>SUMIFS('Wells Fargo'!$F:$F,'Wells Fargo'!$G:$G,'Cash Flow'!$A53,'Wells Fargo'!$A:$A,AH$1,'Wells Fargo'!$B:$B,"&lt;="&amp;'Cash Flow'!AH$3,'Wells Fargo'!$B:$B,"&gt;"&amp;'Cash Flow'!AG$3)</f>
        <v>0</v>
      </c>
      <c r="AI53" s="188">
        <f>SUMIFS('Wells Fargo'!$F:$F,'Wells Fargo'!$G:$G,'Cash Flow'!$A53,'Wells Fargo'!$A:$A,AI$1,'Wells Fargo'!$B:$B,"&lt;="&amp;'Cash Flow'!AI$3,'Wells Fargo'!$B:$B,"&gt;"&amp;'Cash Flow'!AH$3)</f>
        <v>0</v>
      </c>
      <c r="AJ53" s="188">
        <f>SUMIFS('Wells Fargo'!$F:$F,'Wells Fargo'!$G:$G,'Cash Flow'!$A53,'Wells Fargo'!$A:$A,AJ$1,'Wells Fargo'!$B:$B,"&lt;="&amp;'Cash Flow'!AJ$3,'Wells Fargo'!$B:$B,"&gt;"&amp;'Cash Flow'!AI$3)</f>
        <v>0</v>
      </c>
      <c r="AK53" s="189">
        <f>SUMIFS('Wells Fargo'!$F:$F,'Wells Fargo'!$G:$G,'Cash Flow'!$A53,'Wells Fargo'!$A:$A,AK$1,'Wells Fargo'!$B:$B,"&lt;="&amp;'Cash Flow'!AK$3)</f>
        <v>0</v>
      </c>
      <c r="AL53" s="188">
        <f>SUMIFS('Wells Fargo'!$F:$F,'Wells Fargo'!$G:$G,'Cash Flow'!$A53,'Wells Fargo'!$A:$A,AL$1,'Wells Fargo'!$B:$B,"&lt;="&amp;'Cash Flow'!AL$3,'Wells Fargo'!$B:$B,"&gt;"&amp;'Cash Flow'!AK$3)</f>
        <v>0</v>
      </c>
      <c r="AM53" s="188">
        <f>SUMIFS('Wells Fargo'!$F:$F,'Wells Fargo'!$G:$G,'Cash Flow'!$A53,'Wells Fargo'!$A:$A,AM$1,'Wells Fargo'!$B:$B,"&lt;="&amp;'Cash Flow'!AM$3,'Wells Fargo'!$B:$B,"&gt;"&amp;'Cash Flow'!AL$3)</f>
        <v>0</v>
      </c>
      <c r="AN53" s="188">
        <f>SUMIFS('Wells Fargo'!$F:$F,'Wells Fargo'!$G:$G,'Cash Flow'!$A53,'Wells Fargo'!$A:$A,AN$1,'Wells Fargo'!$B:$B,"&lt;="&amp;'Cash Flow'!AN$3,'Wells Fargo'!$B:$B,"&gt;"&amp;'Cash Flow'!AM$3)</f>
        <v>0</v>
      </c>
      <c r="AO53" s="188">
        <f>SUMIFS('Wells Fargo'!$F:$F,'Wells Fargo'!$G:$G,'Cash Flow'!$A53,'Wells Fargo'!$A:$A,AO$1,'Wells Fargo'!$B:$B,"&lt;="&amp;'Cash Flow'!AO$3,'Wells Fargo'!$B:$B,"&gt;"&amp;'Cash Flow'!AN$3)</f>
        <v>0</v>
      </c>
      <c r="AP53" s="189">
        <f>SUMIFS('Wells Fargo'!$F:$F,'Wells Fargo'!$G:$G,'Cash Flow'!$A53,'Wells Fargo'!$A:$A,AP$1,'Wells Fargo'!$B:$B,"&lt;="&amp;'Cash Flow'!AP$3)</f>
        <v>0</v>
      </c>
      <c r="AQ53" s="188">
        <f>SUMIFS('Wells Fargo'!$F:$F,'Wells Fargo'!$G:$G,'Cash Flow'!$A53,'Wells Fargo'!$A:$A,AQ$1,'Wells Fargo'!$B:$B,"&lt;="&amp;'Cash Flow'!AQ$3,'Wells Fargo'!$B:$B,"&gt;"&amp;'Cash Flow'!AP$3)</f>
        <v>0</v>
      </c>
      <c r="AR53" s="188">
        <f>SUMIFS('Wells Fargo'!$F:$F,'Wells Fargo'!$G:$G,'Cash Flow'!$A53,'Wells Fargo'!$A:$A,AR$1,'Wells Fargo'!$B:$B,"&lt;="&amp;'Cash Flow'!AR$3,'Wells Fargo'!$B:$B,"&gt;"&amp;'Cash Flow'!AQ$3)</f>
        <v>0</v>
      </c>
      <c r="AS53" s="188">
        <f>SUMIFS('Wells Fargo'!$F:$F,'Wells Fargo'!$G:$G,'Cash Flow'!$A53,'Wells Fargo'!$A:$A,AS$1,'Wells Fargo'!$B:$B,"&lt;="&amp;'Cash Flow'!AS$3,'Wells Fargo'!$B:$B,"&gt;"&amp;'Cash Flow'!AR$3)</f>
        <v>0</v>
      </c>
      <c r="AT53" s="188">
        <f>SUMIFS('Wells Fargo'!$F:$F,'Wells Fargo'!$G:$G,'Cash Flow'!$A53,'Wells Fargo'!$A:$A,AT$1,'Wells Fargo'!$B:$B,"&lt;="&amp;'Cash Flow'!AT$3,'Wells Fargo'!$B:$B,"&gt;"&amp;'Cash Flow'!AS$3)</f>
        <v>0</v>
      </c>
      <c r="AU53" s="189">
        <f>SUMIFS('Wells Fargo'!$F:$F,'Wells Fargo'!$G:$G,'Cash Flow'!$A53,'Wells Fargo'!$A:$A,AU$1,'Wells Fargo'!$B:$B,"&lt;="&amp;'Cash Flow'!AU$3)</f>
        <v>0</v>
      </c>
      <c r="AV53" s="188">
        <f>SUMIFS('Wells Fargo'!$F:$F,'Wells Fargo'!$G:$G,'Cash Flow'!$A53,'Wells Fargo'!$A:$A,AV$1,'Wells Fargo'!$B:$B,"&lt;="&amp;'Cash Flow'!AV$3,'Wells Fargo'!$B:$B,"&gt;"&amp;'Cash Flow'!AU$3)</f>
        <v>0</v>
      </c>
      <c r="AW53" s="188">
        <f>SUMIFS('Wells Fargo'!$F:$F,'Wells Fargo'!$G:$G,'Cash Flow'!$A53,'Wells Fargo'!$A:$A,AW$1,'Wells Fargo'!$B:$B,"&lt;="&amp;'Cash Flow'!AW$3,'Wells Fargo'!$B:$B,"&gt;"&amp;'Cash Flow'!AV$3)</f>
        <v>0</v>
      </c>
      <c r="AX53" s="188">
        <f>SUMIFS('Wells Fargo'!$F:$F,'Wells Fargo'!$G:$G,'Cash Flow'!$A53,'Wells Fargo'!$A:$A,AX$1,'Wells Fargo'!$B:$B,"&lt;="&amp;'Cash Flow'!AX$3,'Wells Fargo'!$B:$B,"&gt;"&amp;'Cash Flow'!AW$3)</f>
        <v>0</v>
      </c>
      <c r="AY53" s="188">
        <f>SUMIFS('Wells Fargo'!$F:$F,'Wells Fargo'!$G:$G,'Cash Flow'!$A53,'Wells Fargo'!$A:$A,AY$1,'Wells Fargo'!$B:$B,"&lt;="&amp;'Cash Flow'!AY$3,'Wells Fargo'!$B:$B,"&gt;"&amp;'Cash Flow'!AX$3)</f>
        <v>0</v>
      </c>
      <c r="AZ53" s="189">
        <f>SUMIFS('Wells Fargo'!$F:$F,'Wells Fargo'!$G:$G,'Cash Flow'!$A53,'Wells Fargo'!$A:$A,AZ$1,'Wells Fargo'!$B:$B,"&lt;="&amp;'Cash Flow'!AZ$3)</f>
        <v>0</v>
      </c>
      <c r="BA53" s="188">
        <f>SUMIFS('Wells Fargo'!$F:$F,'Wells Fargo'!$G:$G,'Cash Flow'!$A53,'Wells Fargo'!$A:$A,BA$1,'Wells Fargo'!$B:$B,"&lt;="&amp;'Cash Flow'!BA$3,'Wells Fargo'!$B:$B,"&gt;"&amp;'Cash Flow'!AZ$3)</f>
        <v>0</v>
      </c>
      <c r="BB53" s="188">
        <f>SUMIFS('Wells Fargo'!$F:$F,'Wells Fargo'!$G:$G,'Cash Flow'!$A53,'Wells Fargo'!$A:$A,BB$1,'Wells Fargo'!$B:$B,"&lt;="&amp;'Cash Flow'!BB$3,'Wells Fargo'!$B:$B,"&gt;"&amp;'Cash Flow'!BA$3)</f>
        <v>0</v>
      </c>
      <c r="BC53" s="188">
        <f>SUMIFS('Wells Fargo'!$F:$F,'Wells Fargo'!$G:$G,'Cash Flow'!$A53,'Wells Fargo'!$A:$A,BC$1,'Wells Fargo'!$B:$B,"&lt;="&amp;'Cash Flow'!BC$3,'Wells Fargo'!$B:$B,"&gt;"&amp;'Cash Flow'!BB$3)</f>
        <v>0</v>
      </c>
      <c r="BD53" s="188">
        <f>SUMIFS('Wells Fargo'!$F:$F,'Wells Fargo'!$G:$G,'Cash Flow'!$A53,'Wells Fargo'!$A:$A,BD$1,'Wells Fargo'!$B:$B,"&lt;="&amp;'Cash Flow'!BD$3,'Wells Fargo'!$B:$B,"&gt;"&amp;'Cash Flow'!BC$3)</f>
        <v>0</v>
      </c>
      <c r="BE53" s="189">
        <f>SUMIFS('Wells Fargo'!$F:$F,'Wells Fargo'!$G:$G,'Cash Flow'!$A53,'Wells Fargo'!$A:$A,BE$1,'Wells Fargo'!$B:$B,"&lt;="&amp;'Cash Flow'!BE$3)</f>
        <v>0</v>
      </c>
      <c r="BF53" s="188">
        <f>SUMIFS('Wells Fargo'!$F:$F,'Wells Fargo'!$G:$G,'Cash Flow'!$A53,'Wells Fargo'!$A:$A,BF$1,'Wells Fargo'!$B:$B,"&lt;="&amp;'Cash Flow'!BF$3,'Wells Fargo'!$B:$B,"&gt;"&amp;'Cash Flow'!BE$3)</f>
        <v>0</v>
      </c>
      <c r="BG53" s="188">
        <f>SUMIFS('Wells Fargo'!$F:$F,'Wells Fargo'!$G:$G,'Cash Flow'!$A53,'Wells Fargo'!$A:$A,BG$1,'Wells Fargo'!$B:$B,"&lt;="&amp;'Cash Flow'!BG$3,'Wells Fargo'!$B:$B,"&gt;"&amp;'Cash Flow'!BF$3)</f>
        <v>0</v>
      </c>
      <c r="BH53" s="188">
        <f>SUMIFS('Wells Fargo'!$F:$F,'Wells Fargo'!$G:$G,'Cash Flow'!$A53,'Wells Fargo'!$A:$A,BH$1,'Wells Fargo'!$B:$B,"&lt;="&amp;'Cash Flow'!BH$3,'Wells Fargo'!$B:$B,"&gt;"&amp;'Cash Flow'!BG$3)</f>
        <v>0</v>
      </c>
      <c r="BI53" s="188">
        <f>SUMIFS('Wells Fargo'!$F:$F,'Wells Fargo'!$G:$G,'Cash Flow'!$A53,'Wells Fargo'!$A:$A,BI$1,'Wells Fargo'!$B:$B,"&lt;="&amp;'Cash Flow'!BI$3,'Wells Fargo'!$B:$B,"&gt;"&amp;'Cash Flow'!BH$3)</f>
        <v>0</v>
      </c>
    </row>
    <row r="54" spans="1:61" ht="12.75" x14ac:dyDescent="0.2">
      <c r="A54" t="str">
        <v>Shevon</v>
      </c>
      <c r="B54" s="87">
        <f t="shared" si="2"/>
        <v>-1521.95</v>
      </c>
      <c r="C54" s="189">
        <f>SUMIFS('Wells Fargo'!$F:$F,'Wells Fargo'!$G:$G,'Cash Flow'!$A54,'Wells Fargo'!$A:$A,C$1,'Wells Fargo'!$B:$B,"&lt;="&amp;'Cash Flow'!C$3)</f>
        <v>0</v>
      </c>
      <c r="D54" s="188">
        <f>SUMIFS('Wells Fargo'!$F:$F,'Wells Fargo'!$G:$G,'Cash Flow'!$A54,'Wells Fargo'!$A:$A,D$1,'Wells Fargo'!$B:$B,"&lt;="&amp;'Cash Flow'!D$3,'Wells Fargo'!$B:$B,"&gt;"&amp;'Cash Flow'!C$3)</f>
        <v>0</v>
      </c>
      <c r="E54" s="188">
        <f>SUMIFS('Wells Fargo'!$F:$F,'Wells Fargo'!$G:$G,'Cash Flow'!$A54,'Wells Fargo'!$A:$A,E$1,'Wells Fargo'!$B:$B,"&lt;="&amp;'Cash Flow'!E$3,'Wells Fargo'!$B:$B,"&gt;"&amp;'Cash Flow'!D$3)</f>
        <v>0</v>
      </c>
      <c r="F54" s="188">
        <f>SUMIFS('Wells Fargo'!$F:$F,'Wells Fargo'!$G:$G,'Cash Flow'!$A54,'Wells Fargo'!$A:$A,F$1,'Wells Fargo'!$B:$B,"&lt;="&amp;'Cash Flow'!F$3,'Wells Fargo'!$B:$B,"&gt;"&amp;'Cash Flow'!E$3)</f>
        <v>0</v>
      </c>
      <c r="G54" s="188">
        <f>SUMIFS('Wells Fargo'!$F:$F,'Wells Fargo'!$G:$G,'Cash Flow'!$A54,'Wells Fargo'!$A:$A,G$1,'Wells Fargo'!$B:$B,"&lt;="&amp;'Cash Flow'!G$3,'Wells Fargo'!$B:$B,"&gt;"&amp;'Cash Flow'!F$3)</f>
        <v>0</v>
      </c>
      <c r="H54" s="189">
        <f>SUMIFS('Wells Fargo'!$F:$F,'Wells Fargo'!$G:$G,'Cash Flow'!$A54,'Wells Fargo'!$A:$A,H$1,'Wells Fargo'!$B:$B,"&lt;="&amp;'Cash Flow'!H$3)</f>
        <v>0</v>
      </c>
      <c r="I54" s="188">
        <f>SUMIFS('Wells Fargo'!$F:$F,'Wells Fargo'!$G:$G,'Cash Flow'!$A54,'Wells Fargo'!$A:$A,I$1,'Wells Fargo'!$B:$B,"&lt;="&amp;'Cash Flow'!I$3,'Wells Fargo'!$B:$B,"&gt;"&amp;'Cash Flow'!H$3)</f>
        <v>0</v>
      </c>
      <c r="J54" s="188">
        <f>SUMIFS('Wells Fargo'!$F:$F,'Wells Fargo'!$G:$G,'Cash Flow'!$A54,'Wells Fargo'!$A:$A,J$1,'Wells Fargo'!$B:$B,"&lt;="&amp;'Cash Flow'!J$3,'Wells Fargo'!$B:$B,"&gt;"&amp;'Cash Flow'!I$3)</f>
        <v>0</v>
      </c>
      <c r="K54" s="188">
        <f>SUMIFS('Wells Fargo'!$F:$F,'Wells Fargo'!$G:$G,'Cash Flow'!$A54,'Wells Fargo'!$A:$A,K$1,'Wells Fargo'!$B:$B,"&lt;="&amp;'Cash Flow'!K$3,'Wells Fargo'!$B:$B,"&gt;"&amp;'Cash Flow'!J$3)</f>
        <v>0</v>
      </c>
      <c r="L54" s="189">
        <f>SUMIFS('Wells Fargo'!$F:$F,'Wells Fargo'!$G:$G,'Cash Flow'!$A54,'Wells Fargo'!$A:$A,L$1,'Wells Fargo'!$B:$B,"&lt;="&amp;'Cash Flow'!L$3)</f>
        <v>0</v>
      </c>
      <c r="M54" s="188">
        <f>SUMIFS('Wells Fargo'!$F:$F,'Wells Fargo'!$G:$G,'Cash Flow'!$A54,'Wells Fargo'!$A:$A,M$1,'Wells Fargo'!$B:$B,"&lt;="&amp;'Cash Flow'!M$3,'Wells Fargo'!$B:$B,"&gt;"&amp;'Cash Flow'!L$3)</f>
        <v>0</v>
      </c>
      <c r="N54" s="188">
        <f>SUMIFS('Wells Fargo'!$F:$F,'Wells Fargo'!$G:$G,'Cash Flow'!$A54,'Wells Fargo'!$A:$A,N$1,'Wells Fargo'!$B:$B,"&lt;="&amp;'Cash Flow'!N$3,'Wells Fargo'!$B:$B,"&gt;"&amp;'Cash Flow'!M$3)</f>
        <v>0</v>
      </c>
      <c r="O54" s="188">
        <f>SUMIFS('Wells Fargo'!$F:$F,'Wells Fargo'!$G:$G,'Cash Flow'!$A54,'Wells Fargo'!$A:$A,O$1,'Wells Fargo'!$B:$B,"&lt;="&amp;'Cash Flow'!O$3,'Wells Fargo'!$B:$B,"&gt;"&amp;'Cash Flow'!N$3)</f>
        <v>0</v>
      </c>
      <c r="P54" s="188">
        <f>SUMIFS('Wells Fargo'!$F:$F,'Wells Fargo'!$G:$G,'Cash Flow'!$A54,'Wells Fargo'!$A:$A,P$1,'Wells Fargo'!$B:$B,"&lt;="&amp;'Cash Flow'!P$3,'Wells Fargo'!$B:$B,"&gt;"&amp;'Cash Flow'!O$3)</f>
        <v>0</v>
      </c>
      <c r="Q54" s="189">
        <f>SUMIFS('Wells Fargo'!$F:$F,'Wells Fargo'!$G:$G,'Cash Flow'!$A54,'Wells Fargo'!$A:$A,Q$1,'Wells Fargo'!$B:$B,"&lt;="&amp;'Cash Flow'!Q$3)</f>
        <v>-400</v>
      </c>
      <c r="R54" s="188">
        <f>SUMIFS('Wells Fargo'!$F:$F,'Wells Fargo'!$G:$G,'Cash Flow'!$A54,'Wells Fargo'!$A:$A,R$1,'Wells Fargo'!$B:$B,"&lt;="&amp;'Cash Flow'!R$3,'Wells Fargo'!$B:$B,"&gt;"&amp;'Cash Flow'!Q$3)</f>
        <v>0</v>
      </c>
      <c r="S54" s="188">
        <f>SUMIFS('Wells Fargo'!$F:$F,'Wells Fargo'!$G:$G,'Cash Flow'!$A54,'Wells Fargo'!$A:$A,S$1,'Wells Fargo'!$B:$B,"&lt;="&amp;'Cash Flow'!S$3,'Wells Fargo'!$B:$B,"&gt;"&amp;'Cash Flow'!R$3)</f>
        <v>0</v>
      </c>
      <c r="T54" s="188">
        <f>SUMIFS('Wells Fargo'!$F:$F,'Wells Fargo'!$G:$G,'Cash Flow'!$A54,'Wells Fargo'!$A:$A,T$1,'Wells Fargo'!$B:$B,"&lt;="&amp;'Cash Flow'!T$3,'Wells Fargo'!$B:$B,"&gt;"&amp;'Cash Flow'!S$3)</f>
        <v>0</v>
      </c>
      <c r="U54" s="188">
        <f>SUMIFS('Wells Fargo'!$F:$F,'Wells Fargo'!$G:$G,'Cash Flow'!$A54,'Wells Fargo'!$A:$A,U$1,'Wells Fargo'!$B:$B,"&lt;="&amp;'Cash Flow'!U$3,'Wells Fargo'!$B:$B,"&gt;"&amp;'Cash Flow'!T$3)</f>
        <v>0</v>
      </c>
      <c r="V54" s="189">
        <f>SUMIFS('Wells Fargo'!$F:$F,'Wells Fargo'!$G:$G,'Cash Flow'!$A54,'Wells Fargo'!$A:$A,V$1,'Wells Fargo'!$B:$B,"&lt;="&amp;'Cash Flow'!V$3)</f>
        <v>0</v>
      </c>
      <c r="W54" s="188">
        <f>SUMIFS('Wells Fargo'!$F:$F,'Wells Fargo'!$G:$G,'Cash Flow'!$A54,'Wells Fargo'!$A:$A,W$1,'Wells Fargo'!$B:$B,"&lt;="&amp;'Cash Flow'!W$3,'Wells Fargo'!$B:$B,"&gt;"&amp;'Cash Flow'!V$3)</f>
        <v>0</v>
      </c>
      <c r="X54" s="188">
        <f>SUMIFS('Wells Fargo'!$F:$F,'Wells Fargo'!$G:$G,'Cash Flow'!$A54,'Wells Fargo'!$A:$A,X$1,'Wells Fargo'!$B:$B,"&lt;="&amp;'Cash Flow'!X$3,'Wells Fargo'!$B:$B,"&gt;"&amp;'Cash Flow'!W$3)</f>
        <v>0</v>
      </c>
      <c r="Y54" s="188">
        <f>SUMIFS('Wells Fargo'!$F:$F,'Wells Fargo'!$G:$G,'Cash Flow'!$A54,'Wells Fargo'!$A:$A,Y$1,'Wells Fargo'!$B:$B,"&lt;="&amp;'Cash Flow'!Y$3,'Wells Fargo'!$B:$B,"&gt;"&amp;'Cash Flow'!X$3)</f>
        <v>-140</v>
      </c>
      <c r="Z54" s="188">
        <f>SUMIFS('Wells Fargo'!$F:$F,'Wells Fargo'!$G:$G,'Cash Flow'!$A54,'Wells Fargo'!$A:$A,Z$1,'Wells Fargo'!$B:$B,"&lt;="&amp;'Cash Flow'!Z$3,'Wells Fargo'!$B:$B,"&gt;"&amp;'Cash Flow'!Y$3)</f>
        <v>0</v>
      </c>
      <c r="AA54" s="189">
        <f>SUMIFS('Wells Fargo'!$F:$F,'Wells Fargo'!$G:$G,'Cash Flow'!$A54,'Wells Fargo'!$A:$A,AA$1,'Wells Fargo'!$B:$B,"&lt;="&amp;'Cash Flow'!AA$3)</f>
        <v>0</v>
      </c>
      <c r="AB54" s="188">
        <f>SUMIFS('Wells Fargo'!$F:$F,'Wells Fargo'!$G:$G,'Cash Flow'!$A54,'Wells Fargo'!$A:$A,AB$1,'Wells Fargo'!$B:$B,"&lt;="&amp;'Cash Flow'!AB$3,'Wells Fargo'!$B:$B,"&gt;"&amp;'Cash Flow'!AA$3)</f>
        <v>128.05000000000001</v>
      </c>
      <c r="AC54" s="188">
        <f>SUMIFS('Wells Fargo'!$F:$F,'Wells Fargo'!$G:$G,'Cash Flow'!$A54,'Wells Fargo'!$A:$A,AC$1,'Wells Fargo'!$B:$B,"&lt;="&amp;'Cash Flow'!AC$3,'Wells Fargo'!$B:$B,"&gt;"&amp;'Cash Flow'!AB$3)</f>
        <v>0</v>
      </c>
      <c r="AD54" s="188">
        <f>SUMIFS('Wells Fargo'!$F:$F,'Wells Fargo'!$G:$G,'Cash Flow'!$A54,'Wells Fargo'!$A:$A,AD$1,'Wells Fargo'!$B:$B,"&lt;="&amp;'Cash Flow'!AD$3,'Wells Fargo'!$B:$B,"&gt;"&amp;'Cash Flow'!AC$3)</f>
        <v>0</v>
      </c>
      <c r="AE54" s="188">
        <f>SUMIFS('Wells Fargo'!$F:$F,'Wells Fargo'!$G:$G,'Cash Flow'!$A54,'Wells Fargo'!$A:$A,AE$1,'Wells Fargo'!$B:$B,"&lt;="&amp;'Cash Flow'!AE$3,'Wells Fargo'!$B:$B,"&gt;"&amp;'Cash Flow'!AD$3)</f>
        <v>0</v>
      </c>
      <c r="AF54" s="189">
        <f>SUMIFS('Wells Fargo'!$F:$F,'Wells Fargo'!$G:$G,'Cash Flow'!$A54,'Wells Fargo'!$A:$A,AF$1,'Wells Fargo'!$B:$B,"&lt;="&amp;'Cash Flow'!AF$3)</f>
        <v>0</v>
      </c>
      <c r="AG54" s="188">
        <f>SUMIFS('Wells Fargo'!$F:$F,'Wells Fargo'!$G:$G,'Cash Flow'!$A54,'Wells Fargo'!$A:$A,AG$1,'Wells Fargo'!$B:$B,"&lt;="&amp;'Cash Flow'!AG$3,'Wells Fargo'!$B:$B,"&gt;"&amp;'Cash Flow'!AF$3)</f>
        <v>0</v>
      </c>
      <c r="AH54" s="188">
        <f>SUMIFS('Wells Fargo'!$F:$F,'Wells Fargo'!$G:$G,'Cash Flow'!$A54,'Wells Fargo'!$A:$A,AH$1,'Wells Fargo'!$B:$B,"&lt;="&amp;'Cash Flow'!AH$3,'Wells Fargo'!$B:$B,"&gt;"&amp;'Cash Flow'!AG$3)</f>
        <v>-200</v>
      </c>
      <c r="AI54" s="188">
        <f>SUMIFS('Wells Fargo'!$F:$F,'Wells Fargo'!$G:$G,'Cash Flow'!$A54,'Wells Fargo'!$A:$A,AI$1,'Wells Fargo'!$B:$B,"&lt;="&amp;'Cash Flow'!AI$3,'Wells Fargo'!$B:$B,"&gt;"&amp;'Cash Flow'!AH$3)</f>
        <v>0</v>
      </c>
      <c r="AJ54" s="188">
        <f>SUMIFS('Wells Fargo'!$F:$F,'Wells Fargo'!$G:$G,'Cash Flow'!$A54,'Wells Fargo'!$A:$A,AJ$1,'Wells Fargo'!$B:$B,"&lt;="&amp;'Cash Flow'!AJ$3,'Wells Fargo'!$B:$B,"&gt;"&amp;'Cash Flow'!AI$3)</f>
        <v>0</v>
      </c>
      <c r="AK54" s="189">
        <f>SUMIFS('Wells Fargo'!$F:$F,'Wells Fargo'!$G:$G,'Cash Flow'!$A54,'Wells Fargo'!$A:$A,AK$1,'Wells Fargo'!$B:$B,"&lt;="&amp;'Cash Flow'!AK$3)</f>
        <v>-230</v>
      </c>
      <c r="AL54" s="188">
        <f>SUMIFS('Wells Fargo'!$F:$F,'Wells Fargo'!$G:$G,'Cash Flow'!$A54,'Wells Fargo'!$A:$A,AL$1,'Wells Fargo'!$B:$B,"&lt;="&amp;'Cash Flow'!AL$3,'Wells Fargo'!$B:$B,"&gt;"&amp;'Cash Flow'!AK$3)</f>
        <v>0</v>
      </c>
      <c r="AM54" s="188">
        <f>SUMIFS('Wells Fargo'!$F:$F,'Wells Fargo'!$G:$G,'Cash Flow'!$A54,'Wells Fargo'!$A:$A,AM$1,'Wells Fargo'!$B:$B,"&lt;="&amp;'Cash Flow'!AM$3,'Wells Fargo'!$B:$B,"&gt;"&amp;'Cash Flow'!AL$3)</f>
        <v>0</v>
      </c>
      <c r="AN54" s="188">
        <f>SUMIFS('Wells Fargo'!$F:$F,'Wells Fargo'!$G:$G,'Cash Flow'!$A54,'Wells Fargo'!$A:$A,AN$1,'Wells Fargo'!$B:$B,"&lt;="&amp;'Cash Flow'!AN$3,'Wells Fargo'!$B:$B,"&gt;"&amp;'Cash Flow'!AM$3)</f>
        <v>-230</v>
      </c>
      <c r="AO54" s="188">
        <f>SUMIFS('Wells Fargo'!$F:$F,'Wells Fargo'!$G:$G,'Cash Flow'!$A54,'Wells Fargo'!$A:$A,AO$1,'Wells Fargo'!$B:$B,"&lt;="&amp;'Cash Flow'!AO$3,'Wells Fargo'!$B:$B,"&gt;"&amp;'Cash Flow'!AN$3)</f>
        <v>0</v>
      </c>
      <c r="AP54" s="189">
        <f>SUMIFS('Wells Fargo'!$F:$F,'Wells Fargo'!$G:$G,'Cash Flow'!$A54,'Wells Fargo'!$A:$A,AP$1,'Wells Fargo'!$B:$B,"&lt;="&amp;'Cash Flow'!AP$3)</f>
        <v>0</v>
      </c>
      <c r="AQ54" s="188">
        <f>SUMIFS('Wells Fargo'!$F:$F,'Wells Fargo'!$G:$G,'Cash Flow'!$A54,'Wells Fargo'!$A:$A,AQ$1,'Wells Fargo'!$B:$B,"&lt;="&amp;'Cash Flow'!AQ$3,'Wells Fargo'!$B:$B,"&gt;"&amp;'Cash Flow'!AP$3)</f>
        <v>0</v>
      </c>
      <c r="AR54" s="188">
        <f>SUMIFS('Wells Fargo'!$F:$F,'Wells Fargo'!$G:$G,'Cash Flow'!$A54,'Wells Fargo'!$A:$A,AR$1,'Wells Fargo'!$B:$B,"&lt;="&amp;'Cash Flow'!AR$3,'Wells Fargo'!$B:$B,"&gt;"&amp;'Cash Flow'!AQ$3)</f>
        <v>0</v>
      </c>
      <c r="AS54" s="188">
        <f>SUMIFS('Wells Fargo'!$F:$F,'Wells Fargo'!$G:$G,'Cash Flow'!$A54,'Wells Fargo'!$A:$A,AS$1,'Wells Fargo'!$B:$B,"&lt;="&amp;'Cash Flow'!AS$3,'Wells Fargo'!$B:$B,"&gt;"&amp;'Cash Flow'!AR$3)</f>
        <v>-60</v>
      </c>
      <c r="AT54" s="188">
        <f>SUMIFS('Wells Fargo'!$F:$F,'Wells Fargo'!$G:$G,'Cash Flow'!$A54,'Wells Fargo'!$A:$A,AT$1,'Wells Fargo'!$B:$B,"&lt;="&amp;'Cash Flow'!AT$3,'Wells Fargo'!$B:$B,"&gt;"&amp;'Cash Flow'!AS$3)</f>
        <v>0</v>
      </c>
      <c r="AU54" s="189">
        <f>SUMIFS('Wells Fargo'!$F:$F,'Wells Fargo'!$G:$G,'Cash Flow'!$A54,'Wells Fargo'!$A:$A,AU$1,'Wells Fargo'!$B:$B,"&lt;="&amp;'Cash Flow'!AU$3)</f>
        <v>0</v>
      </c>
      <c r="AV54" s="188">
        <f>SUMIFS('Wells Fargo'!$F:$F,'Wells Fargo'!$G:$G,'Cash Flow'!$A54,'Wells Fargo'!$A:$A,AV$1,'Wells Fargo'!$B:$B,"&lt;="&amp;'Cash Flow'!AV$3,'Wells Fargo'!$B:$B,"&gt;"&amp;'Cash Flow'!AU$3)</f>
        <v>0</v>
      </c>
      <c r="AW54" s="188">
        <f>SUMIFS('Wells Fargo'!$F:$F,'Wells Fargo'!$G:$G,'Cash Flow'!$A54,'Wells Fargo'!$A:$A,AW$1,'Wells Fargo'!$B:$B,"&lt;="&amp;'Cash Flow'!AW$3,'Wells Fargo'!$B:$B,"&gt;"&amp;'Cash Flow'!AV$3)</f>
        <v>-350</v>
      </c>
      <c r="AX54" s="188">
        <f>SUMIFS('Wells Fargo'!$F:$F,'Wells Fargo'!$G:$G,'Cash Flow'!$A54,'Wells Fargo'!$A:$A,AX$1,'Wells Fargo'!$B:$B,"&lt;="&amp;'Cash Flow'!AX$3,'Wells Fargo'!$B:$B,"&gt;"&amp;'Cash Flow'!AW$3)</f>
        <v>0</v>
      </c>
      <c r="AY54" s="188">
        <f>SUMIFS('Wells Fargo'!$F:$F,'Wells Fargo'!$G:$G,'Cash Flow'!$A54,'Wells Fargo'!$A:$A,AY$1,'Wells Fargo'!$B:$B,"&lt;="&amp;'Cash Flow'!AY$3,'Wells Fargo'!$B:$B,"&gt;"&amp;'Cash Flow'!AX$3)</f>
        <v>0</v>
      </c>
      <c r="AZ54" s="189">
        <f>SUMIFS('Wells Fargo'!$F:$F,'Wells Fargo'!$G:$G,'Cash Flow'!$A54,'Wells Fargo'!$A:$A,AZ$1,'Wells Fargo'!$B:$B,"&lt;="&amp;'Cash Flow'!AZ$3)</f>
        <v>0</v>
      </c>
      <c r="BA54" s="188">
        <f>SUMIFS('Wells Fargo'!$F:$F,'Wells Fargo'!$G:$G,'Cash Flow'!$A54,'Wells Fargo'!$A:$A,BA$1,'Wells Fargo'!$B:$B,"&lt;="&amp;'Cash Flow'!BA$3,'Wells Fargo'!$B:$B,"&gt;"&amp;'Cash Flow'!AZ$3)</f>
        <v>-40</v>
      </c>
      <c r="BB54" s="188">
        <f>SUMIFS('Wells Fargo'!$F:$F,'Wells Fargo'!$G:$G,'Cash Flow'!$A54,'Wells Fargo'!$A:$A,BB$1,'Wells Fargo'!$B:$B,"&lt;="&amp;'Cash Flow'!BB$3,'Wells Fargo'!$B:$B,"&gt;"&amp;'Cash Flow'!BA$3)</f>
        <v>0</v>
      </c>
      <c r="BC54" s="188">
        <f>SUMIFS('Wells Fargo'!$F:$F,'Wells Fargo'!$G:$G,'Cash Flow'!$A54,'Wells Fargo'!$A:$A,BC$1,'Wells Fargo'!$B:$B,"&lt;="&amp;'Cash Flow'!BC$3,'Wells Fargo'!$B:$B,"&gt;"&amp;'Cash Flow'!BB$3)</f>
        <v>0</v>
      </c>
      <c r="BD54" s="188">
        <f>SUMIFS('Wells Fargo'!$F:$F,'Wells Fargo'!$G:$G,'Cash Flow'!$A54,'Wells Fargo'!$A:$A,BD$1,'Wells Fargo'!$B:$B,"&lt;="&amp;'Cash Flow'!BD$3,'Wells Fargo'!$B:$B,"&gt;"&amp;'Cash Flow'!BC$3)</f>
        <v>0</v>
      </c>
      <c r="BE54" s="189">
        <f>SUMIFS('Wells Fargo'!$F:$F,'Wells Fargo'!$G:$G,'Cash Flow'!$A54,'Wells Fargo'!$A:$A,BE$1,'Wells Fargo'!$B:$B,"&lt;="&amp;'Cash Flow'!BE$3)</f>
        <v>0</v>
      </c>
      <c r="BF54" s="188">
        <f>SUMIFS('Wells Fargo'!$F:$F,'Wells Fargo'!$G:$G,'Cash Flow'!$A54,'Wells Fargo'!$A:$A,BF$1,'Wells Fargo'!$B:$B,"&lt;="&amp;'Cash Flow'!BF$3,'Wells Fargo'!$B:$B,"&gt;"&amp;'Cash Flow'!BE$3)</f>
        <v>0</v>
      </c>
      <c r="BG54" s="188">
        <f>SUMIFS('Wells Fargo'!$F:$F,'Wells Fargo'!$G:$G,'Cash Flow'!$A54,'Wells Fargo'!$A:$A,BG$1,'Wells Fargo'!$B:$B,"&lt;="&amp;'Cash Flow'!BG$3,'Wells Fargo'!$B:$B,"&gt;"&amp;'Cash Flow'!BF$3)</f>
        <v>0</v>
      </c>
      <c r="BH54" s="188">
        <f>SUMIFS('Wells Fargo'!$F:$F,'Wells Fargo'!$G:$G,'Cash Flow'!$A54,'Wells Fargo'!$A:$A,BH$1,'Wells Fargo'!$B:$B,"&lt;="&amp;'Cash Flow'!BH$3,'Wells Fargo'!$B:$B,"&gt;"&amp;'Cash Flow'!BG$3)</f>
        <v>0</v>
      </c>
      <c r="BI54" s="188">
        <f>SUMIFS('Wells Fargo'!$F:$F,'Wells Fargo'!$G:$G,'Cash Flow'!$A54,'Wells Fargo'!$A:$A,BI$1,'Wells Fargo'!$B:$B,"&lt;="&amp;'Cash Flow'!BI$3,'Wells Fargo'!$B:$B,"&gt;"&amp;'Cash Flow'!BH$3)</f>
        <v>0</v>
      </c>
    </row>
    <row r="55" spans="1:61" ht="12.75" x14ac:dyDescent="0.2">
      <c r="A55" t="str">
        <v>SOA</v>
      </c>
      <c r="B55" s="87">
        <f t="shared" si="2"/>
        <v>-75</v>
      </c>
      <c r="C55" s="189">
        <f>SUMIFS('Wells Fargo'!$F:$F,'Wells Fargo'!$G:$G,'Cash Flow'!$A55,'Wells Fargo'!$A:$A,C$1,'Wells Fargo'!$B:$B,"&lt;="&amp;'Cash Flow'!C$3)</f>
        <v>0</v>
      </c>
      <c r="D55" s="188">
        <f>SUMIFS('Wells Fargo'!$F:$F,'Wells Fargo'!$G:$G,'Cash Flow'!$A55,'Wells Fargo'!$A:$A,D$1,'Wells Fargo'!$B:$B,"&lt;="&amp;'Cash Flow'!D$3,'Wells Fargo'!$B:$B,"&gt;"&amp;'Cash Flow'!C$3)</f>
        <v>0</v>
      </c>
      <c r="E55" s="188">
        <f>SUMIFS('Wells Fargo'!$F:$F,'Wells Fargo'!$G:$G,'Cash Flow'!$A55,'Wells Fargo'!$A:$A,E$1,'Wells Fargo'!$B:$B,"&lt;="&amp;'Cash Flow'!E$3,'Wells Fargo'!$B:$B,"&gt;"&amp;'Cash Flow'!D$3)</f>
        <v>0</v>
      </c>
      <c r="F55" s="188">
        <f>SUMIFS('Wells Fargo'!$F:$F,'Wells Fargo'!$G:$G,'Cash Flow'!$A55,'Wells Fargo'!$A:$A,F$1,'Wells Fargo'!$B:$B,"&lt;="&amp;'Cash Flow'!F$3,'Wells Fargo'!$B:$B,"&gt;"&amp;'Cash Flow'!E$3)</f>
        <v>-75</v>
      </c>
      <c r="G55" s="188">
        <f>SUMIFS('Wells Fargo'!$F:$F,'Wells Fargo'!$G:$G,'Cash Flow'!$A55,'Wells Fargo'!$A:$A,G$1,'Wells Fargo'!$B:$B,"&lt;="&amp;'Cash Flow'!G$3,'Wells Fargo'!$B:$B,"&gt;"&amp;'Cash Flow'!F$3)</f>
        <v>0</v>
      </c>
      <c r="H55" s="189">
        <f>SUMIFS('Wells Fargo'!$F:$F,'Wells Fargo'!$G:$G,'Cash Flow'!$A55,'Wells Fargo'!$A:$A,H$1,'Wells Fargo'!$B:$B,"&lt;="&amp;'Cash Flow'!H$3)</f>
        <v>0</v>
      </c>
      <c r="I55" s="188">
        <f>SUMIFS('Wells Fargo'!$F:$F,'Wells Fargo'!$G:$G,'Cash Flow'!$A55,'Wells Fargo'!$A:$A,I$1,'Wells Fargo'!$B:$B,"&lt;="&amp;'Cash Flow'!I$3,'Wells Fargo'!$B:$B,"&gt;"&amp;'Cash Flow'!H$3)</f>
        <v>0</v>
      </c>
      <c r="J55" s="188">
        <f>SUMIFS('Wells Fargo'!$F:$F,'Wells Fargo'!$G:$G,'Cash Flow'!$A55,'Wells Fargo'!$A:$A,J$1,'Wells Fargo'!$B:$B,"&lt;="&amp;'Cash Flow'!J$3,'Wells Fargo'!$B:$B,"&gt;"&amp;'Cash Flow'!I$3)</f>
        <v>0</v>
      </c>
      <c r="K55" s="188">
        <f>SUMIFS('Wells Fargo'!$F:$F,'Wells Fargo'!$G:$G,'Cash Flow'!$A55,'Wells Fargo'!$A:$A,K$1,'Wells Fargo'!$B:$B,"&lt;="&amp;'Cash Flow'!K$3,'Wells Fargo'!$B:$B,"&gt;"&amp;'Cash Flow'!J$3)</f>
        <v>0</v>
      </c>
      <c r="L55" s="189">
        <f>SUMIFS('Wells Fargo'!$F:$F,'Wells Fargo'!$G:$G,'Cash Flow'!$A55,'Wells Fargo'!$A:$A,L$1,'Wells Fargo'!$B:$B,"&lt;="&amp;'Cash Flow'!L$3)</f>
        <v>0</v>
      </c>
      <c r="M55" s="188">
        <f>SUMIFS('Wells Fargo'!$F:$F,'Wells Fargo'!$G:$G,'Cash Flow'!$A55,'Wells Fargo'!$A:$A,M$1,'Wells Fargo'!$B:$B,"&lt;="&amp;'Cash Flow'!M$3,'Wells Fargo'!$B:$B,"&gt;"&amp;'Cash Flow'!L$3)</f>
        <v>0</v>
      </c>
      <c r="N55" s="188">
        <f>SUMIFS('Wells Fargo'!$F:$F,'Wells Fargo'!$G:$G,'Cash Flow'!$A55,'Wells Fargo'!$A:$A,N$1,'Wells Fargo'!$B:$B,"&lt;="&amp;'Cash Flow'!N$3,'Wells Fargo'!$B:$B,"&gt;"&amp;'Cash Flow'!M$3)</f>
        <v>0</v>
      </c>
      <c r="O55" s="188">
        <f>SUMIFS('Wells Fargo'!$F:$F,'Wells Fargo'!$G:$G,'Cash Flow'!$A55,'Wells Fargo'!$A:$A,O$1,'Wells Fargo'!$B:$B,"&lt;="&amp;'Cash Flow'!O$3,'Wells Fargo'!$B:$B,"&gt;"&amp;'Cash Flow'!N$3)</f>
        <v>0</v>
      </c>
      <c r="P55" s="188">
        <f>SUMIFS('Wells Fargo'!$F:$F,'Wells Fargo'!$G:$G,'Cash Flow'!$A55,'Wells Fargo'!$A:$A,P$1,'Wells Fargo'!$B:$B,"&lt;="&amp;'Cash Flow'!P$3,'Wells Fargo'!$B:$B,"&gt;"&amp;'Cash Flow'!O$3)</f>
        <v>0</v>
      </c>
      <c r="Q55" s="189">
        <f>SUMIFS('Wells Fargo'!$F:$F,'Wells Fargo'!$G:$G,'Cash Flow'!$A55,'Wells Fargo'!$A:$A,Q$1,'Wells Fargo'!$B:$B,"&lt;="&amp;'Cash Flow'!Q$3)</f>
        <v>0</v>
      </c>
      <c r="R55" s="188">
        <f>SUMIFS('Wells Fargo'!$F:$F,'Wells Fargo'!$G:$G,'Cash Flow'!$A55,'Wells Fargo'!$A:$A,R$1,'Wells Fargo'!$B:$B,"&lt;="&amp;'Cash Flow'!R$3,'Wells Fargo'!$B:$B,"&gt;"&amp;'Cash Flow'!Q$3)</f>
        <v>0</v>
      </c>
      <c r="S55" s="188">
        <f>SUMIFS('Wells Fargo'!$F:$F,'Wells Fargo'!$G:$G,'Cash Flow'!$A55,'Wells Fargo'!$A:$A,S$1,'Wells Fargo'!$B:$B,"&lt;="&amp;'Cash Flow'!S$3,'Wells Fargo'!$B:$B,"&gt;"&amp;'Cash Flow'!R$3)</f>
        <v>0</v>
      </c>
      <c r="T55" s="188">
        <f>SUMIFS('Wells Fargo'!$F:$F,'Wells Fargo'!$G:$G,'Cash Flow'!$A55,'Wells Fargo'!$A:$A,T$1,'Wells Fargo'!$B:$B,"&lt;="&amp;'Cash Flow'!T$3,'Wells Fargo'!$B:$B,"&gt;"&amp;'Cash Flow'!S$3)</f>
        <v>0</v>
      </c>
      <c r="U55" s="188">
        <f>SUMIFS('Wells Fargo'!$F:$F,'Wells Fargo'!$G:$G,'Cash Flow'!$A55,'Wells Fargo'!$A:$A,U$1,'Wells Fargo'!$B:$B,"&lt;="&amp;'Cash Flow'!U$3,'Wells Fargo'!$B:$B,"&gt;"&amp;'Cash Flow'!T$3)</f>
        <v>0</v>
      </c>
      <c r="V55" s="189">
        <f>SUMIFS('Wells Fargo'!$F:$F,'Wells Fargo'!$G:$G,'Cash Flow'!$A55,'Wells Fargo'!$A:$A,V$1,'Wells Fargo'!$B:$B,"&lt;="&amp;'Cash Flow'!V$3)</f>
        <v>0</v>
      </c>
      <c r="W55" s="188">
        <f>SUMIFS('Wells Fargo'!$F:$F,'Wells Fargo'!$G:$G,'Cash Flow'!$A55,'Wells Fargo'!$A:$A,W$1,'Wells Fargo'!$B:$B,"&lt;="&amp;'Cash Flow'!W$3,'Wells Fargo'!$B:$B,"&gt;"&amp;'Cash Flow'!V$3)</f>
        <v>0</v>
      </c>
      <c r="X55" s="188">
        <f>SUMIFS('Wells Fargo'!$F:$F,'Wells Fargo'!$G:$G,'Cash Flow'!$A55,'Wells Fargo'!$A:$A,X$1,'Wells Fargo'!$B:$B,"&lt;="&amp;'Cash Flow'!X$3,'Wells Fargo'!$B:$B,"&gt;"&amp;'Cash Flow'!W$3)</f>
        <v>0</v>
      </c>
      <c r="Y55" s="188">
        <f>SUMIFS('Wells Fargo'!$F:$F,'Wells Fargo'!$G:$G,'Cash Flow'!$A55,'Wells Fargo'!$A:$A,Y$1,'Wells Fargo'!$B:$B,"&lt;="&amp;'Cash Flow'!Y$3,'Wells Fargo'!$B:$B,"&gt;"&amp;'Cash Flow'!X$3)</f>
        <v>0</v>
      </c>
      <c r="Z55" s="188">
        <f>SUMIFS('Wells Fargo'!$F:$F,'Wells Fargo'!$G:$G,'Cash Flow'!$A55,'Wells Fargo'!$A:$A,Z$1,'Wells Fargo'!$B:$B,"&lt;="&amp;'Cash Flow'!Z$3,'Wells Fargo'!$B:$B,"&gt;"&amp;'Cash Flow'!Y$3)</f>
        <v>0</v>
      </c>
      <c r="AA55" s="189">
        <f>SUMIFS('Wells Fargo'!$F:$F,'Wells Fargo'!$G:$G,'Cash Flow'!$A55,'Wells Fargo'!$A:$A,AA$1,'Wells Fargo'!$B:$B,"&lt;="&amp;'Cash Flow'!AA$3)</f>
        <v>0</v>
      </c>
      <c r="AB55" s="188">
        <f>SUMIFS('Wells Fargo'!$F:$F,'Wells Fargo'!$G:$G,'Cash Flow'!$A55,'Wells Fargo'!$A:$A,AB$1,'Wells Fargo'!$B:$B,"&lt;="&amp;'Cash Flow'!AB$3,'Wells Fargo'!$B:$B,"&gt;"&amp;'Cash Flow'!AA$3)</f>
        <v>0</v>
      </c>
      <c r="AC55" s="188">
        <f>SUMIFS('Wells Fargo'!$F:$F,'Wells Fargo'!$G:$G,'Cash Flow'!$A55,'Wells Fargo'!$A:$A,AC$1,'Wells Fargo'!$B:$B,"&lt;="&amp;'Cash Flow'!AC$3,'Wells Fargo'!$B:$B,"&gt;"&amp;'Cash Flow'!AB$3)</f>
        <v>0</v>
      </c>
      <c r="AD55" s="188">
        <f>SUMIFS('Wells Fargo'!$F:$F,'Wells Fargo'!$G:$G,'Cash Flow'!$A55,'Wells Fargo'!$A:$A,AD$1,'Wells Fargo'!$B:$B,"&lt;="&amp;'Cash Flow'!AD$3,'Wells Fargo'!$B:$B,"&gt;"&amp;'Cash Flow'!AC$3)</f>
        <v>0</v>
      </c>
      <c r="AE55" s="188">
        <f>SUMIFS('Wells Fargo'!$F:$F,'Wells Fargo'!$G:$G,'Cash Flow'!$A55,'Wells Fargo'!$A:$A,AE$1,'Wells Fargo'!$B:$B,"&lt;="&amp;'Cash Flow'!AE$3,'Wells Fargo'!$B:$B,"&gt;"&amp;'Cash Flow'!AD$3)</f>
        <v>0</v>
      </c>
      <c r="AF55" s="189">
        <f>SUMIFS('Wells Fargo'!$F:$F,'Wells Fargo'!$G:$G,'Cash Flow'!$A55,'Wells Fargo'!$A:$A,AF$1,'Wells Fargo'!$B:$B,"&lt;="&amp;'Cash Flow'!AF$3)</f>
        <v>0</v>
      </c>
      <c r="AG55" s="188">
        <f>SUMIFS('Wells Fargo'!$F:$F,'Wells Fargo'!$G:$G,'Cash Flow'!$A55,'Wells Fargo'!$A:$A,AG$1,'Wells Fargo'!$B:$B,"&lt;="&amp;'Cash Flow'!AG$3,'Wells Fargo'!$B:$B,"&gt;"&amp;'Cash Flow'!AF$3)</f>
        <v>0</v>
      </c>
      <c r="AH55" s="188">
        <f>SUMIFS('Wells Fargo'!$F:$F,'Wells Fargo'!$G:$G,'Cash Flow'!$A55,'Wells Fargo'!$A:$A,AH$1,'Wells Fargo'!$B:$B,"&lt;="&amp;'Cash Flow'!AH$3,'Wells Fargo'!$B:$B,"&gt;"&amp;'Cash Flow'!AG$3)</f>
        <v>0</v>
      </c>
      <c r="AI55" s="188">
        <f>SUMIFS('Wells Fargo'!$F:$F,'Wells Fargo'!$G:$G,'Cash Flow'!$A55,'Wells Fargo'!$A:$A,AI$1,'Wells Fargo'!$B:$B,"&lt;="&amp;'Cash Flow'!AI$3,'Wells Fargo'!$B:$B,"&gt;"&amp;'Cash Flow'!AH$3)</f>
        <v>0</v>
      </c>
      <c r="AJ55" s="188">
        <f>SUMIFS('Wells Fargo'!$F:$F,'Wells Fargo'!$G:$G,'Cash Flow'!$A55,'Wells Fargo'!$A:$A,AJ$1,'Wells Fargo'!$B:$B,"&lt;="&amp;'Cash Flow'!AJ$3,'Wells Fargo'!$B:$B,"&gt;"&amp;'Cash Flow'!AI$3)</f>
        <v>0</v>
      </c>
      <c r="AK55" s="189">
        <f>SUMIFS('Wells Fargo'!$F:$F,'Wells Fargo'!$G:$G,'Cash Flow'!$A55,'Wells Fargo'!$A:$A,AK$1,'Wells Fargo'!$B:$B,"&lt;="&amp;'Cash Flow'!AK$3)</f>
        <v>0</v>
      </c>
      <c r="AL55" s="188">
        <f>SUMIFS('Wells Fargo'!$F:$F,'Wells Fargo'!$G:$G,'Cash Flow'!$A55,'Wells Fargo'!$A:$A,AL$1,'Wells Fargo'!$B:$B,"&lt;="&amp;'Cash Flow'!AL$3,'Wells Fargo'!$B:$B,"&gt;"&amp;'Cash Flow'!AK$3)</f>
        <v>0</v>
      </c>
      <c r="AM55" s="188">
        <f>SUMIFS('Wells Fargo'!$F:$F,'Wells Fargo'!$G:$G,'Cash Flow'!$A55,'Wells Fargo'!$A:$A,AM$1,'Wells Fargo'!$B:$B,"&lt;="&amp;'Cash Flow'!AM$3,'Wells Fargo'!$B:$B,"&gt;"&amp;'Cash Flow'!AL$3)</f>
        <v>0</v>
      </c>
      <c r="AN55" s="188">
        <f>SUMIFS('Wells Fargo'!$F:$F,'Wells Fargo'!$G:$G,'Cash Flow'!$A55,'Wells Fargo'!$A:$A,AN$1,'Wells Fargo'!$B:$B,"&lt;="&amp;'Cash Flow'!AN$3,'Wells Fargo'!$B:$B,"&gt;"&amp;'Cash Flow'!AM$3)</f>
        <v>0</v>
      </c>
      <c r="AO55" s="188">
        <f>SUMIFS('Wells Fargo'!$F:$F,'Wells Fargo'!$G:$G,'Cash Flow'!$A55,'Wells Fargo'!$A:$A,AO$1,'Wells Fargo'!$B:$B,"&lt;="&amp;'Cash Flow'!AO$3,'Wells Fargo'!$B:$B,"&gt;"&amp;'Cash Flow'!AN$3)</f>
        <v>0</v>
      </c>
      <c r="AP55" s="189">
        <f>SUMIFS('Wells Fargo'!$F:$F,'Wells Fargo'!$G:$G,'Cash Flow'!$A55,'Wells Fargo'!$A:$A,AP$1,'Wells Fargo'!$B:$B,"&lt;="&amp;'Cash Flow'!AP$3)</f>
        <v>0</v>
      </c>
      <c r="AQ55" s="188">
        <f>SUMIFS('Wells Fargo'!$F:$F,'Wells Fargo'!$G:$G,'Cash Flow'!$A55,'Wells Fargo'!$A:$A,AQ$1,'Wells Fargo'!$B:$B,"&lt;="&amp;'Cash Flow'!AQ$3,'Wells Fargo'!$B:$B,"&gt;"&amp;'Cash Flow'!AP$3)</f>
        <v>0</v>
      </c>
      <c r="AR55" s="188">
        <f>SUMIFS('Wells Fargo'!$F:$F,'Wells Fargo'!$G:$G,'Cash Flow'!$A55,'Wells Fargo'!$A:$A,AR$1,'Wells Fargo'!$B:$B,"&lt;="&amp;'Cash Flow'!AR$3,'Wells Fargo'!$B:$B,"&gt;"&amp;'Cash Flow'!AQ$3)</f>
        <v>0</v>
      </c>
      <c r="AS55" s="188">
        <f>SUMIFS('Wells Fargo'!$F:$F,'Wells Fargo'!$G:$G,'Cash Flow'!$A55,'Wells Fargo'!$A:$A,AS$1,'Wells Fargo'!$B:$B,"&lt;="&amp;'Cash Flow'!AS$3,'Wells Fargo'!$B:$B,"&gt;"&amp;'Cash Flow'!AR$3)</f>
        <v>0</v>
      </c>
      <c r="AT55" s="188">
        <f>SUMIFS('Wells Fargo'!$F:$F,'Wells Fargo'!$G:$G,'Cash Flow'!$A55,'Wells Fargo'!$A:$A,AT$1,'Wells Fargo'!$B:$B,"&lt;="&amp;'Cash Flow'!AT$3,'Wells Fargo'!$B:$B,"&gt;"&amp;'Cash Flow'!AS$3)</f>
        <v>0</v>
      </c>
      <c r="AU55" s="189">
        <f>SUMIFS('Wells Fargo'!$F:$F,'Wells Fargo'!$G:$G,'Cash Flow'!$A55,'Wells Fargo'!$A:$A,AU$1,'Wells Fargo'!$B:$B,"&lt;="&amp;'Cash Flow'!AU$3)</f>
        <v>0</v>
      </c>
      <c r="AV55" s="188">
        <f>SUMIFS('Wells Fargo'!$F:$F,'Wells Fargo'!$G:$G,'Cash Flow'!$A55,'Wells Fargo'!$A:$A,AV$1,'Wells Fargo'!$B:$B,"&lt;="&amp;'Cash Flow'!AV$3,'Wells Fargo'!$B:$B,"&gt;"&amp;'Cash Flow'!AU$3)</f>
        <v>0</v>
      </c>
      <c r="AW55" s="188">
        <f>SUMIFS('Wells Fargo'!$F:$F,'Wells Fargo'!$G:$G,'Cash Flow'!$A55,'Wells Fargo'!$A:$A,AW$1,'Wells Fargo'!$B:$B,"&lt;="&amp;'Cash Flow'!AW$3,'Wells Fargo'!$B:$B,"&gt;"&amp;'Cash Flow'!AV$3)</f>
        <v>0</v>
      </c>
      <c r="AX55" s="188">
        <f>SUMIFS('Wells Fargo'!$F:$F,'Wells Fargo'!$G:$G,'Cash Flow'!$A55,'Wells Fargo'!$A:$A,AX$1,'Wells Fargo'!$B:$B,"&lt;="&amp;'Cash Flow'!AX$3,'Wells Fargo'!$B:$B,"&gt;"&amp;'Cash Flow'!AW$3)</f>
        <v>0</v>
      </c>
      <c r="AY55" s="188">
        <f>SUMIFS('Wells Fargo'!$F:$F,'Wells Fargo'!$G:$G,'Cash Flow'!$A55,'Wells Fargo'!$A:$A,AY$1,'Wells Fargo'!$B:$B,"&lt;="&amp;'Cash Flow'!AY$3,'Wells Fargo'!$B:$B,"&gt;"&amp;'Cash Flow'!AX$3)</f>
        <v>0</v>
      </c>
      <c r="AZ55" s="189">
        <f>SUMIFS('Wells Fargo'!$F:$F,'Wells Fargo'!$G:$G,'Cash Flow'!$A55,'Wells Fargo'!$A:$A,AZ$1,'Wells Fargo'!$B:$B,"&lt;="&amp;'Cash Flow'!AZ$3)</f>
        <v>0</v>
      </c>
      <c r="BA55" s="188">
        <f>SUMIFS('Wells Fargo'!$F:$F,'Wells Fargo'!$G:$G,'Cash Flow'!$A55,'Wells Fargo'!$A:$A,BA$1,'Wells Fargo'!$B:$B,"&lt;="&amp;'Cash Flow'!BA$3,'Wells Fargo'!$B:$B,"&gt;"&amp;'Cash Flow'!AZ$3)</f>
        <v>0</v>
      </c>
      <c r="BB55" s="188">
        <f>SUMIFS('Wells Fargo'!$F:$F,'Wells Fargo'!$G:$G,'Cash Flow'!$A55,'Wells Fargo'!$A:$A,BB$1,'Wells Fargo'!$B:$B,"&lt;="&amp;'Cash Flow'!BB$3,'Wells Fargo'!$B:$B,"&gt;"&amp;'Cash Flow'!BA$3)</f>
        <v>0</v>
      </c>
      <c r="BC55" s="188">
        <f>SUMIFS('Wells Fargo'!$F:$F,'Wells Fargo'!$G:$G,'Cash Flow'!$A55,'Wells Fargo'!$A:$A,BC$1,'Wells Fargo'!$B:$B,"&lt;="&amp;'Cash Flow'!BC$3,'Wells Fargo'!$B:$B,"&gt;"&amp;'Cash Flow'!BB$3)</f>
        <v>0</v>
      </c>
      <c r="BD55" s="188">
        <f>SUMIFS('Wells Fargo'!$F:$F,'Wells Fargo'!$G:$G,'Cash Flow'!$A55,'Wells Fargo'!$A:$A,BD$1,'Wells Fargo'!$B:$B,"&lt;="&amp;'Cash Flow'!BD$3,'Wells Fargo'!$B:$B,"&gt;"&amp;'Cash Flow'!BC$3)</f>
        <v>0</v>
      </c>
      <c r="BE55" s="189">
        <f>SUMIFS('Wells Fargo'!$F:$F,'Wells Fargo'!$G:$G,'Cash Flow'!$A55,'Wells Fargo'!$A:$A,BE$1,'Wells Fargo'!$B:$B,"&lt;="&amp;'Cash Flow'!BE$3)</f>
        <v>0</v>
      </c>
      <c r="BF55" s="188">
        <f>SUMIFS('Wells Fargo'!$F:$F,'Wells Fargo'!$G:$G,'Cash Flow'!$A55,'Wells Fargo'!$A:$A,BF$1,'Wells Fargo'!$B:$B,"&lt;="&amp;'Cash Flow'!BF$3,'Wells Fargo'!$B:$B,"&gt;"&amp;'Cash Flow'!BE$3)</f>
        <v>0</v>
      </c>
      <c r="BG55" s="188">
        <f>SUMIFS('Wells Fargo'!$F:$F,'Wells Fargo'!$G:$G,'Cash Flow'!$A55,'Wells Fargo'!$A:$A,BG$1,'Wells Fargo'!$B:$B,"&lt;="&amp;'Cash Flow'!BG$3,'Wells Fargo'!$B:$B,"&gt;"&amp;'Cash Flow'!BF$3)</f>
        <v>0</v>
      </c>
      <c r="BH55" s="188">
        <f>SUMIFS('Wells Fargo'!$F:$F,'Wells Fargo'!$G:$G,'Cash Flow'!$A55,'Wells Fargo'!$A:$A,BH$1,'Wells Fargo'!$B:$B,"&lt;="&amp;'Cash Flow'!BH$3,'Wells Fargo'!$B:$B,"&gt;"&amp;'Cash Flow'!BG$3)</f>
        <v>0</v>
      </c>
      <c r="BI55" s="188">
        <f>SUMIFS('Wells Fargo'!$F:$F,'Wells Fargo'!$G:$G,'Cash Flow'!$A55,'Wells Fargo'!$A:$A,BI$1,'Wells Fargo'!$B:$B,"&lt;="&amp;'Cash Flow'!BI$3,'Wells Fargo'!$B:$B,"&gt;"&amp;'Cash Flow'!BH$3)</f>
        <v>0</v>
      </c>
    </row>
    <row r="56" spans="1:61" ht="12.75" x14ac:dyDescent="0.2">
      <c r="A56" t="str">
        <v>Stimulus 1</v>
      </c>
      <c r="B56" s="87">
        <f t="shared" si="2"/>
        <v>600</v>
      </c>
      <c r="C56" s="189">
        <f>SUMIFS('Wells Fargo'!$F:$F,'Wells Fargo'!$G:$G,'Cash Flow'!$A56,'Wells Fargo'!$A:$A,C$1,'Wells Fargo'!$B:$B,"&lt;="&amp;'Cash Flow'!C$3)</f>
        <v>0</v>
      </c>
      <c r="D56" s="188">
        <f>SUMIFS('Wells Fargo'!$F:$F,'Wells Fargo'!$G:$G,'Cash Flow'!$A56,'Wells Fargo'!$A:$A,D$1,'Wells Fargo'!$B:$B,"&lt;="&amp;'Cash Flow'!D$3,'Wells Fargo'!$B:$B,"&gt;"&amp;'Cash Flow'!C$3)</f>
        <v>600</v>
      </c>
      <c r="E56" s="188">
        <f>SUMIFS('Wells Fargo'!$F:$F,'Wells Fargo'!$G:$G,'Cash Flow'!$A56,'Wells Fargo'!$A:$A,E$1,'Wells Fargo'!$B:$B,"&lt;="&amp;'Cash Flow'!E$3,'Wells Fargo'!$B:$B,"&gt;"&amp;'Cash Flow'!D$3)</f>
        <v>0</v>
      </c>
      <c r="F56" s="188">
        <f>SUMIFS('Wells Fargo'!$F:$F,'Wells Fargo'!$G:$G,'Cash Flow'!$A56,'Wells Fargo'!$A:$A,F$1,'Wells Fargo'!$B:$B,"&lt;="&amp;'Cash Flow'!F$3,'Wells Fargo'!$B:$B,"&gt;"&amp;'Cash Flow'!E$3)</f>
        <v>0</v>
      </c>
      <c r="G56" s="188">
        <f>SUMIFS('Wells Fargo'!$F:$F,'Wells Fargo'!$G:$G,'Cash Flow'!$A56,'Wells Fargo'!$A:$A,G$1,'Wells Fargo'!$B:$B,"&lt;="&amp;'Cash Flow'!G$3,'Wells Fargo'!$B:$B,"&gt;"&amp;'Cash Flow'!F$3)</f>
        <v>0</v>
      </c>
      <c r="H56" s="189">
        <f>SUMIFS('Wells Fargo'!$F:$F,'Wells Fargo'!$G:$G,'Cash Flow'!$A56,'Wells Fargo'!$A:$A,H$1,'Wells Fargo'!$B:$B,"&lt;="&amp;'Cash Flow'!H$3)</f>
        <v>0</v>
      </c>
      <c r="I56" s="188">
        <f>SUMIFS('Wells Fargo'!$F:$F,'Wells Fargo'!$G:$G,'Cash Flow'!$A56,'Wells Fargo'!$A:$A,I$1,'Wells Fargo'!$B:$B,"&lt;="&amp;'Cash Flow'!I$3,'Wells Fargo'!$B:$B,"&gt;"&amp;'Cash Flow'!H$3)</f>
        <v>0</v>
      </c>
      <c r="J56" s="188">
        <f>SUMIFS('Wells Fargo'!$F:$F,'Wells Fargo'!$G:$G,'Cash Flow'!$A56,'Wells Fargo'!$A:$A,J$1,'Wells Fargo'!$B:$B,"&lt;="&amp;'Cash Flow'!J$3,'Wells Fargo'!$B:$B,"&gt;"&amp;'Cash Flow'!I$3)</f>
        <v>0</v>
      </c>
      <c r="K56" s="188">
        <f>SUMIFS('Wells Fargo'!$F:$F,'Wells Fargo'!$G:$G,'Cash Flow'!$A56,'Wells Fargo'!$A:$A,K$1,'Wells Fargo'!$B:$B,"&lt;="&amp;'Cash Flow'!K$3,'Wells Fargo'!$B:$B,"&gt;"&amp;'Cash Flow'!J$3)</f>
        <v>0</v>
      </c>
      <c r="L56" s="189">
        <f>SUMIFS('Wells Fargo'!$F:$F,'Wells Fargo'!$G:$G,'Cash Flow'!$A56,'Wells Fargo'!$A:$A,L$1,'Wells Fargo'!$B:$B,"&lt;="&amp;'Cash Flow'!L$3)</f>
        <v>0</v>
      </c>
      <c r="M56" s="188">
        <f>SUMIFS('Wells Fargo'!$F:$F,'Wells Fargo'!$G:$G,'Cash Flow'!$A56,'Wells Fargo'!$A:$A,M$1,'Wells Fargo'!$B:$B,"&lt;="&amp;'Cash Flow'!M$3,'Wells Fargo'!$B:$B,"&gt;"&amp;'Cash Flow'!L$3)</f>
        <v>0</v>
      </c>
      <c r="N56" s="188">
        <f>SUMIFS('Wells Fargo'!$F:$F,'Wells Fargo'!$G:$G,'Cash Flow'!$A56,'Wells Fargo'!$A:$A,N$1,'Wells Fargo'!$B:$B,"&lt;="&amp;'Cash Flow'!N$3,'Wells Fargo'!$B:$B,"&gt;"&amp;'Cash Flow'!M$3)</f>
        <v>0</v>
      </c>
      <c r="O56" s="188">
        <f>SUMIFS('Wells Fargo'!$F:$F,'Wells Fargo'!$G:$G,'Cash Flow'!$A56,'Wells Fargo'!$A:$A,O$1,'Wells Fargo'!$B:$B,"&lt;="&amp;'Cash Flow'!O$3,'Wells Fargo'!$B:$B,"&gt;"&amp;'Cash Flow'!N$3)</f>
        <v>0</v>
      </c>
      <c r="P56" s="188">
        <f>SUMIFS('Wells Fargo'!$F:$F,'Wells Fargo'!$G:$G,'Cash Flow'!$A56,'Wells Fargo'!$A:$A,P$1,'Wells Fargo'!$B:$B,"&lt;="&amp;'Cash Flow'!P$3,'Wells Fargo'!$B:$B,"&gt;"&amp;'Cash Flow'!O$3)</f>
        <v>0</v>
      </c>
      <c r="Q56" s="189">
        <f>SUMIFS('Wells Fargo'!$F:$F,'Wells Fargo'!$G:$G,'Cash Flow'!$A56,'Wells Fargo'!$A:$A,Q$1,'Wells Fargo'!$B:$B,"&lt;="&amp;'Cash Flow'!Q$3)</f>
        <v>0</v>
      </c>
      <c r="R56" s="188">
        <f>SUMIFS('Wells Fargo'!$F:$F,'Wells Fargo'!$G:$G,'Cash Flow'!$A56,'Wells Fargo'!$A:$A,R$1,'Wells Fargo'!$B:$B,"&lt;="&amp;'Cash Flow'!R$3,'Wells Fargo'!$B:$B,"&gt;"&amp;'Cash Flow'!Q$3)</f>
        <v>0</v>
      </c>
      <c r="S56" s="188">
        <f>SUMIFS('Wells Fargo'!$F:$F,'Wells Fargo'!$G:$G,'Cash Flow'!$A56,'Wells Fargo'!$A:$A,S$1,'Wells Fargo'!$B:$B,"&lt;="&amp;'Cash Flow'!S$3,'Wells Fargo'!$B:$B,"&gt;"&amp;'Cash Flow'!R$3)</f>
        <v>0</v>
      </c>
      <c r="T56" s="188">
        <f>SUMIFS('Wells Fargo'!$F:$F,'Wells Fargo'!$G:$G,'Cash Flow'!$A56,'Wells Fargo'!$A:$A,T$1,'Wells Fargo'!$B:$B,"&lt;="&amp;'Cash Flow'!T$3,'Wells Fargo'!$B:$B,"&gt;"&amp;'Cash Flow'!S$3)</f>
        <v>0</v>
      </c>
      <c r="U56" s="188">
        <f>SUMIFS('Wells Fargo'!$F:$F,'Wells Fargo'!$G:$G,'Cash Flow'!$A56,'Wells Fargo'!$A:$A,U$1,'Wells Fargo'!$B:$B,"&lt;="&amp;'Cash Flow'!U$3,'Wells Fargo'!$B:$B,"&gt;"&amp;'Cash Flow'!T$3)</f>
        <v>0</v>
      </c>
      <c r="V56" s="189">
        <f>SUMIFS('Wells Fargo'!$F:$F,'Wells Fargo'!$G:$G,'Cash Flow'!$A56,'Wells Fargo'!$A:$A,V$1,'Wells Fargo'!$B:$B,"&lt;="&amp;'Cash Flow'!V$3)</f>
        <v>0</v>
      </c>
      <c r="W56" s="188">
        <f>SUMIFS('Wells Fargo'!$F:$F,'Wells Fargo'!$G:$G,'Cash Flow'!$A56,'Wells Fargo'!$A:$A,W$1,'Wells Fargo'!$B:$B,"&lt;="&amp;'Cash Flow'!W$3,'Wells Fargo'!$B:$B,"&gt;"&amp;'Cash Flow'!V$3)</f>
        <v>0</v>
      </c>
      <c r="X56" s="188">
        <f>SUMIFS('Wells Fargo'!$F:$F,'Wells Fargo'!$G:$G,'Cash Flow'!$A56,'Wells Fargo'!$A:$A,X$1,'Wells Fargo'!$B:$B,"&lt;="&amp;'Cash Flow'!X$3,'Wells Fargo'!$B:$B,"&gt;"&amp;'Cash Flow'!W$3)</f>
        <v>0</v>
      </c>
      <c r="Y56" s="188">
        <f>SUMIFS('Wells Fargo'!$F:$F,'Wells Fargo'!$G:$G,'Cash Flow'!$A56,'Wells Fargo'!$A:$A,Y$1,'Wells Fargo'!$B:$B,"&lt;="&amp;'Cash Flow'!Y$3,'Wells Fargo'!$B:$B,"&gt;"&amp;'Cash Flow'!X$3)</f>
        <v>0</v>
      </c>
      <c r="Z56" s="188">
        <f>SUMIFS('Wells Fargo'!$F:$F,'Wells Fargo'!$G:$G,'Cash Flow'!$A56,'Wells Fargo'!$A:$A,Z$1,'Wells Fargo'!$B:$B,"&lt;="&amp;'Cash Flow'!Z$3,'Wells Fargo'!$B:$B,"&gt;"&amp;'Cash Flow'!Y$3)</f>
        <v>0</v>
      </c>
      <c r="AA56" s="189">
        <f>SUMIFS('Wells Fargo'!$F:$F,'Wells Fargo'!$G:$G,'Cash Flow'!$A56,'Wells Fargo'!$A:$A,AA$1,'Wells Fargo'!$B:$B,"&lt;="&amp;'Cash Flow'!AA$3)</f>
        <v>0</v>
      </c>
      <c r="AB56" s="188">
        <f>SUMIFS('Wells Fargo'!$F:$F,'Wells Fargo'!$G:$G,'Cash Flow'!$A56,'Wells Fargo'!$A:$A,AB$1,'Wells Fargo'!$B:$B,"&lt;="&amp;'Cash Flow'!AB$3,'Wells Fargo'!$B:$B,"&gt;"&amp;'Cash Flow'!AA$3)</f>
        <v>0</v>
      </c>
      <c r="AC56" s="188">
        <f>SUMIFS('Wells Fargo'!$F:$F,'Wells Fargo'!$G:$G,'Cash Flow'!$A56,'Wells Fargo'!$A:$A,AC$1,'Wells Fargo'!$B:$B,"&lt;="&amp;'Cash Flow'!AC$3,'Wells Fargo'!$B:$B,"&gt;"&amp;'Cash Flow'!AB$3)</f>
        <v>0</v>
      </c>
      <c r="AD56" s="188">
        <f>SUMIFS('Wells Fargo'!$F:$F,'Wells Fargo'!$G:$G,'Cash Flow'!$A56,'Wells Fargo'!$A:$A,AD$1,'Wells Fargo'!$B:$B,"&lt;="&amp;'Cash Flow'!AD$3,'Wells Fargo'!$B:$B,"&gt;"&amp;'Cash Flow'!AC$3)</f>
        <v>0</v>
      </c>
      <c r="AE56" s="188">
        <f>SUMIFS('Wells Fargo'!$F:$F,'Wells Fargo'!$G:$G,'Cash Flow'!$A56,'Wells Fargo'!$A:$A,AE$1,'Wells Fargo'!$B:$B,"&lt;="&amp;'Cash Flow'!AE$3,'Wells Fargo'!$B:$B,"&gt;"&amp;'Cash Flow'!AD$3)</f>
        <v>0</v>
      </c>
      <c r="AF56" s="189">
        <f>SUMIFS('Wells Fargo'!$F:$F,'Wells Fargo'!$G:$G,'Cash Flow'!$A56,'Wells Fargo'!$A:$A,AF$1,'Wells Fargo'!$B:$B,"&lt;="&amp;'Cash Flow'!AF$3)</f>
        <v>0</v>
      </c>
      <c r="AG56" s="188">
        <f>SUMIFS('Wells Fargo'!$F:$F,'Wells Fargo'!$G:$G,'Cash Flow'!$A56,'Wells Fargo'!$A:$A,AG$1,'Wells Fargo'!$B:$B,"&lt;="&amp;'Cash Flow'!AG$3,'Wells Fargo'!$B:$B,"&gt;"&amp;'Cash Flow'!AF$3)</f>
        <v>0</v>
      </c>
      <c r="AH56" s="188">
        <f>SUMIFS('Wells Fargo'!$F:$F,'Wells Fargo'!$G:$G,'Cash Flow'!$A56,'Wells Fargo'!$A:$A,AH$1,'Wells Fargo'!$B:$B,"&lt;="&amp;'Cash Flow'!AH$3,'Wells Fargo'!$B:$B,"&gt;"&amp;'Cash Flow'!AG$3)</f>
        <v>0</v>
      </c>
      <c r="AI56" s="188">
        <f>SUMIFS('Wells Fargo'!$F:$F,'Wells Fargo'!$G:$G,'Cash Flow'!$A56,'Wells Fargo'!$A:$A,AI$1,'Wells Fargo'!$B:$B,"&lt;="&amp;'Cash Flow'!AI$3,'Wells Fargo'!$B:$B,"&gt;"&amp;'Cash Flow'!AH$3)</f>
        <v>0</v>
      </c>
      <c r="AJ56" s="188">
        <f>SUMIFS('Wells Fargo'!$F:$F,'Wells Fargo'!$G:$G,'Cash Flow'!$A56,'Wells Fargo'!$A:$A,AJ$1,'Wells Fargo'!$B:$B,"&lt;="&amp;'Cash Flow'!AJ$3,'Wells Fargo'!$B:$B,"&gt;"&amp;'Cash Flow'!AI$3)</f>
        <v>0</v>
      </c>
      <c r="AK56" s="189">
        <f>SUMIFS('Wells Fargo'!$F:$F,'Wells Fargo'!$G:$G,'Cash Flow'!$A56,'Wells Fargo'!$A:$A,AK$1,'Wells Fargo'!$B:$B,"&lt;="&amp;'Cash Flow'!AK$3)</f>
        <v>0</v>
      </c>
      <c r="AL56" s="188">
        <f>SUMIFS('Wells Fargo'!$F:$F,'Wells Fargo'!$G:$G,'Cash Flow'!$A56,'Wells Fargo'!$A:$A,AL$1,'Wells Fargo'!$B:$B,"&lt;="&amp;'Cash Flow'!AL$3,'Wells Fargo'!$B:$B,"&gt;"&amp;'Cash Flow'!AK$3)</f>
        <v>0</v>
      </c>
      <c r="AM56" s="188">
        <f>SUMIFS('Wells Fargo'!$F:$F,'Wells Fargo'!$G:$G,'Cash Flow'!$A56,'Wells Fargo'!$A:$A,AM$1,'Wells Fargo'!$B:$B,"&lt;="&amp;'Cash Flow'!AM$3,'Wells Fargo'!$B:$B,"&gt;"&amp;'Cash Flow'!AL$3)</f>
        <v>0</v>
      </c>
      <c r="AN56" s="188">
        <f>SUMIFS('Wells Fargo'!$F:$F,'Wells Fargo'!$G:$G,'Cash Flow'!$A56,'Wells Fargo'!$A:$A,AN$1,'Wells Fargo'!$B:$B,"&lt;="&amp;'Cash Flow'!AN$3,'Wells Fargo'!$B:$B,"&gt;"&amp;'Cash Flow'!AM$3)</f>
        <v>0</v>
      </c>
      <c r="AO56" s="188">
        <f>SUMIFS('Wells Fargo'!$F:$F,'Wells Fargo'!$G:$G,'Cash Flow'!$A56,'Wells Fargo'!$A:$A,AO$1,'Wells Fargo'!$B:$B,"&lt;="&amp;'Cash Flow'!AO$3,'Wells Fargo'!$B:$B,"&gt;"&amp;'Cash Flow'!AN$3)</f>
        <v>0</v>
      </c>
      <c r="AP56" s="189">
        <f>SUMIFS('Wells Fargo'!$F:$F,'Wells Fargo'!$G:$G,'Cash Flow'!$A56,'Wells Fargo'!$A:$A,AP$1,'Wells Fargo'!$B:$B,"&lt;="&amp;'Cash Flow'!AP$3)</f>
        <v>0</v>
      </c>
      <c r="AQ56" s="188">
        <f>SUMIFS('Wells Fargo'!$F:$F,'Wells Fargo'!$G:$G,'Cash Flow'!$A56,'Wells Fargo'!$A:$A,AQ$1,'Wells Fargo'!$B:$B,"&lt;="&amp;'Cash Flow'!AQ$3,'Wells Fargo'!$B:$B,"&gt;"&amp;'Cash Flow'!AP$3)</f>
        <v>0</v>
      </c>
      <c r="AR56" s="188">
        <f>SUMIFS('Wells Fargo'!$F:$F,'Wells Fargo'!$G:$G,'Cash Flow'!$A56,'Wells Fargo'!$A:$A,AR$1,'Wells Fargo'!$B:$B,"&lt;="&amp;'Cash Flow'!AR$3,'Wells Fargo'!$B:$B,"&gt;"&amp;'Cash Flow'!AQ$3)</f>
        <v>0</v>
      </c>
      <c r="AS56" s="188">
        <f>SUMIFS('Wells Fargo'!$F:$F,'Wells Fargo'!$G:$G,'Cash Flow'!$A56,'Wells Fargo'!$A:$A,AS$1,'Wells Fargo'!$B:$B,"&lt;="&amp;'Cash Flow'!AS$3,'Wells Fargo'!$B:$B,"&gt;"&amp;'Cash Flow'!AR$3)</f>
        <v>0</v>
      </c>
      <c r="AT56" s="188">
        <f>SUMIFS('Wells Fargo'!$F:$F,'Wells Fargo'!$G:$G,'Cash Flow'!$A56,'Wells Fargo'!$A:$A,AT$1,'Wells Fargo'!$B:$B,"&lt;="&amp;'Cash Flow'!AT$3,'Wells Fargo'!$B:$B,"&gt;"&amp;'Cash Flow'!AS$3)</f>
        <v>0</v>
      </c>
      <c r="AU56" s="189">
        <f>SUMIFS('Wells Fargo'!$F:$F,'Wells Fargo'!$G:$G,'Cash Flow'!$A56,'Wells Fargo'!$A:$A,AU$1,'Wells Fargo'!$B:$B,"&lt;="&amp;'Cash Flow'!AU$3)</f>
        <v>0</v>
      </c>
      <c r="AV56" s="188">
        <f>SUMIFS('Wells Fargo'!$F:$F,'Wells Fargo'!$G:$G,'Cash Flow'!$A56,'Wells Fargo'!$A:$A,AV$1,'Wells Fargo'!$B:$B,"&lt;="&amp;'Cash Flow'!AV$3,'Wells Fargo'!$B:$B,"&gt;"&amp;'Cash Flow'!AU$3)</f>
        <v>0</v>
      </c>
      <c r="AW56" s="188">
        <f>SUMIFS('Wells Fargo'!$F:$F,'Wells Fargo'!$G:$G,'Cash Flow'!$A56,'Wells Fargo'!$A:$A,AW$1,'Wells Fargo'!$B:$B,"&lt;="&amp;'Cash Flow'!AW$3,'Wells Fargo'!$B:$B,"&gt;"&amp;'Cash Flow'!AV$3)</f>
        <v>0</v>
      </c>
      <c r="AX56" s="188">
        <f>SUMIFS('Wells Fargo'!$F:$F,'Wells Fargo'!$G:$G,'Cash Flow'!$A56,'Wells Fargo'!$A:$A,AX$1,'Wells Fargo'!$B:$B,"&lt;="&amp;'Cash Flow'!AX$3,'Wells Fargo'!$B:$B,"&gt;"&amp;'Cash Flow'!AW$3)</f>
        <v>0</v>
      </c>
      <c r="AY56" s="188">
        <f>SUMIFS('Wells Fargo'!$F:$F,'Wells Fargo'!$G:$G,'Cash Flow'!$A56,'Wells Fargo'!$A:$A,AY$1,'Wells Fargo'!$B:$B,"&lt;="&amp;'Cash Flow'!AY$3,'Wells Fargo'!$B:$B,"&gt;"&amp;'Cash Flow'!AX$3)</f>
        <v>0</v>
      </c>
      <c r="AZ56" s="189">
        <f>SUMIFS('Wells Fargo'!$F:$F,'Wells Fargo'!$G:$G,'Cash Flow'!$A56,'Wells Fargo'!$A:$A,AZ$1,'Wells Fargo'!$B:$B,"&lt;="&amp;'Cash Flow'!AZ$3)</f>
        <v>0</v>
      </c>
      <c r="BA56" s="188">
        <f>SUMIFS('Wells Fargo'!$F:$F,'Wells Fargo'!$G:$G,'Cash Flow'!$A56,'Wells Fargo'!$A:$A,BA$1,'Wells Fargo'!$B:$B,"&lt;="&amp;'Cash Flow'!BA$3,'Wells Fargo'!$B:$B,"&gt;"&amp;'Cash Flow'!AZ$3)</f>
        <v>0</v>
      </c>
      <c r="BB56" s="188">
        <f>SUMIFS('Wells Fargo'!$F:$F,'Wells Fargo'!$G:$G,'Cash Flow'!$A56,'Wells Fargo'!$A:$A,BB$1,'Wells Fargo'!$B:$B,"&lt;="&amp;'Cash Flow'!BB$3,'Wells Fargo'!$B:$B,"&gt;"&amp;'Cash Flow'!BA$3)</f>
        <v>0</v>
      </c>
      <c r="BC56" s="188">
        <f>SUMIFS('Wells Fargo'!$F:$F,'Wells Fargo'!$G:$G,'Cash Flow'!$A56,'Wells Fargo'!$A:$A,BC$1,'Wells Fargo'!$B:$B,"&lt;="&amp;'Cash Flow'!BC$3,'Wells Fargo'!$B:$B,"&gt;"&amp;'Cash Flow'!BB$3)</f>
        <v>0</v>
      </c>
      <c r="BD56" s="188">
        <f>SUMIFS('Wells Fargo'!$F:$F,'Wells Fargo'!$G:$G,'Cash Flow'!$A56,'Wells Fargo'!$A:$A,BD$1,'Wells Fargo'!$B:$B,"&lt;="&amp;'Cash Flow'!BD$3,'Wells Fargo'!$B:$B,"&gt;"&amp;'Cash Flow'!BC$3)</f>
        <v>0</v>
      </c>
      <c r="BE56" s="189">
        <f>SUMIFS('Wells Fargo'!$F:$F,'Wells Fargo'!$G:$G,'Cash Flow'!$A56,'Wells Fargo'!$A:$A,BE$1,'Wells Fargo'!$B:$B,"&lt;="&amp;'Cash Flow'!BE$3)</f>
        <v>0</v>
      </c>
      <c r="BF56" s="188">
        <f>SUMIFS('Wells Fargo'!$F:$F,'Wells Fargo'!$G:$G,'Cash Flow'!$A56,'Wells Fargo'!$A:$A,BF$1,'Wells Fargo'!$B:$B,"&lt;="&amp;'Cash Flow'!BF$3,'Wells Fargo'!$B:$B,"&gt;"&amp;'Cash Flow'!BE$3)</f>
        <v>0</v>
      </c>
      <c r="BG56" s="188">
        <f>SUMIFS('Wells Fargo'!$F:$F,'Wells Fargo'!$G:$G,'Cash Flow'!$A56,'Wells Fargo'!$A:$A,BG$1,'Wells Fargo'!$B:$B,"&lt;="&amp;'Cash Flow'!BG$3,'Wells Fargo'!$B:$B,"&gt;"&amp;'Cash Flow'!BF$3)</f>
        <v>0</v>
      </c>
      <c r="BH56" s="188">
        <f>SUMIFS('Wells Fargo'!$F:$F,'Wells Fargo'!$G:$G,'Cash Flow'!$A56,'Wells Fargo'!$A:$A,BH$1,'Wells Fargo'!$B:$B,"&lt;="&amp;'Cash Flow'!BH$3,'Wells Fargo'!$B:$B,"&gt;"&amp;'Cash Flow'!BG$3)</f>
        <v>0</v>
      </c>
      <c r="BI56" s="188">
        <f>SUMIFS('Wells Fargo'!$F:$F,'Wells Fargo'!$G:$G,'Cash Flow'!$A56,'Wells Fargo'!$A:$A,BI$1,'Wells Fargo'!$B:$B,"&lt;="&amp;'Cash Flow'!BI$3,'Wells Fargo'!$B:$B,"&gt;"&amp;'Cash Flow'!BH$3)</f>
        <v>0</v>
      </c>
    </row>
    <row r="57" spans="1:61" ht="12.75" x14ac:dyDescent="0.2">
      <c r="A57" t="str">
        <v>Stimulus 2</v>
      </c>
      <c r="B57" s="87">
        <f t="shared" si="2"/>
        <v>2800</v>
      </c>
      <c r="C57" s="189">
        <f>SUMIFS('Wells Fargo'!$F:$F,'Wells Fargo'!$G:$G,'Cash Flow'!$A57,'Wells Fargo'!$A:$A,C$1,'Wells Fargo'!$B:$B,"&lt;="&amp;'Cash Flow'!C$3)</f>
        <v>0</v>
      </c>
      <c r="D57" s="188">
        <f>SUMIFS('Wells Fargo'!$F:$F,'Wells Fargo'!$G:$G,'Cash Flow'!$A57,'Wells Fargo'!$A:$A,D$1,'Wells Fargo'!$B:$B,"&lt;="&amp;'Cash Flow'!D$3,'Wells Fargo'!$B:$B,"&gt;"&amp;'Cash Flow'!C$3)</f>
        <v>0</v>
      </c>
      <c r="E57" s="188">
        <f>SUMIFS('Wells Fargo'!$F:$F,'Wells Fargo'!$G:$G,'Cash Flow'!$A57,'Wells Fargo'!$A:$A,E$1,'Wells Fargo'!$B:$B,"&lt;="&amp;'Cash Flow'!E$3,'Wells Fargo'!$B:$B,"&gt;"&amp;'Cash Flow'!D$3)</f>
        <v>0</v>
      </c>
      <c r="F57" s="188">
        <f>SUMIFS('Wells Fargo'!$F:$F,'Wells Fargo'!$G:$G,'Cash Flow'!$A57,'Wells Fargo'!$A:$A,F$1,'Wells Fargo'!$B:$B,"&lt;="&amp;'Cash Flow'!F$3,'Wells Fargo'!$B:$B,"&gt;"&amp;'Cash Flow'!E$3)</f>
        <v>0</v>
      </c>
      <c r="G57" s="188">
        <f>SUMIFS('Wells Fargo'!$F:$F,'Wells Fargo'!$G:$G,'Cash Flow'!$A57,'Wells Fargo'!$A:$A,G$1,'Wells Fargo'!$B:$B,"&lt;="&amp;'Cash Flow'!G$3,'Wells Fargo'!$B:$B,"&gt;"&amp;'Cash Flow'!F$3)</f>
        <v>0</v>
      </c>
      <c r="H57" s="189">
        <f>SUMIFS('Wells Fargo'!$F:$F,'Wells Fargo'!$G:$G,'Cash Flow'!$A57,'Wells Fargo'!$A:$A,H$1,'Wells Fargo'!$B:$B,"&lt;="&amp;'Cash Flow'!H$3)</f>
        <v>0</v>
      </c>
      <c r="I57" s="188">
        <f>SUMIFS('Wells Fargo'!$F:$F,'Wells Fargo'!$G:$G,'Cash Flow'!$A57,'Wells Fargo'!$A:$A,I$1,'Wells Fargo'!$B:$B,"&lt;="&amp;'Cash Flow'!I$3,'Wells Fargo'!$B:$B,"&gt;"&amp;'Cash Flow'!H$3)</f>
        <v>0</v>
      </c>
      <c r="J57" s="188">
        <f>SUMIFS('Wells Fargo'!$F:$F,'Wells Fargo'!$G:$G,'Cash Flow'!$A57,'Wells Fargo'!$A:$A,J$1,'Wells Fargo'!$B:$B,"&lt;="&amp;'Cash Flow'!J$3,'Wells Fargo'!$B:$B,"&gt;"&amp;'Cash Flow'!I$3)</f>
        <v>0</v>
      </c>
      <c r="K57" s="188">
        <f>SUMIFS('Wells Fargo'!$F:$F,'Wells Fargo'!$G:$G,'Cash Flow'!$A57,'Wells Fargo'!$A:$A,K$1,'Wells Fargo'!$B:$B,"&lt;="&amp;'Cash Flow'!K$3,'Wells Fargo'!$B:$B,"&gt;"&amp;'Cash Flow'!J$3)</f>
        <v>0</v>
      </c>
      <c r="L57" s="189">
        <f>SUMIFS('Wells Fargo'!$F:$F,'Wells Fargo'!$G:$G,'Cash Flow'!$A57,'Wells Fargo'!$A:$A,L$1,'Wells Fargo'!$B:$B,"&lt;="&amp;'Cash Flow'!L$3)</f>
        <v>0</v>
      </c>
      <c r="M57" s="188">
        <f>SUMIFS('Wells Fargo'!$F:$F,'Wells Fargo'!$G:$G,'Cash Flow'!$A57,'Wells Fargo'!$A:$A,M$1,'Wells Fargo'!$B:$B,"&lt;="&amp;'Cash Flow'!M$3,'Wells Fargo'!$B:$B,"&gt;"&amp;'Cash Flow'!L$3)</f>
        <v>0</v>
      </c>
      <c r="N57" s="188">
        <f>SUMIFS('Wells Fargo'!$F:$F,'Wells Fargo'!$G:$G,'Cash Flow'!$A57,'Wells Fargo'!$A:$A,N$1,'Wells Fargo'!$B:$B,"&lt;="&amp;'Cash Flow'!N$3,'Wells Fargo'!$B:$B,"&gt;"&amp;'Cash Flow'!M$3)</f>
        <v>2800</v>
      </c>
      <c r="O57" s="188">
        <f>SUMIFS('Wells Fargo'!$F:$F,'Wells Fargo'!$G:$G,'Cash Flow'!$A57,'Wells Fargo'!$A:$A,O$1,'Wells Fargo'!$B:$B,"&lt;="&amp;'Cash Flow'!O$3,'Wells Fargo'!$B:$B,"&gt;"&amp;'Cash Flow'!N$3)</f>
        <v>0</v>
      </c>
      <c r="P57" s="188">
        <f>SUMIFS('Wells Fargo'!$F:$F,'Wells Fargo'!$G:$G,'Cash Flow'!$A57,'Wells Fargo'!$A:$A,P$1,'Wells Fargo'!$B:$B,"&lt;="&amp;'Cash Flow'!P$3,'Wells Fargo'!$B:$B,"&gt;"&amp;'Cash Flow'!O$3)</f>
        <v>0</v>
      </c>
      <c r="Q57" s="189">
        <f>SUMIFS('Wells Fargo'!$F:$F,'Wells Fargo'!$G:$G,'Cash Flow'!$A57,'Wells Fargo'!$A:$A,Q$1,'Wells Fargo'!$B:$B,"&lt;="&amp;'Cash Flow'!Q$3)</f>
        <v>0</v>
      </c>
      <c r="R57" s="188">
        <f>SUMIFS('Wells Fargo'!$F:$F,'Wells Fargo'!$G:$G,'Cash Flow'!$A57,'Wells Fargo'!$A:$A,R$1,'Wells Fargo'!$B:$B,"&lt;="&amp;'Cash Flow'!R$3,'Wells Fargo'!$B:$B,"&gt;"&amp;'Cash Flow'!Q$3)</f>
        <v>0</v>
      </c>
      <c r="S57" s="188">
        <f>SUMIFS('Wells Fargo'!$F:$F,'Wells Fargo'!$G:$G,'Cash Flow'!$A57,'Wells Fargo'!$A:$A,S$1,'Wells Fargo'!$B:$B,"&lt;="&amp;'Cash Flow'!S$3,'Wells Fargo'!$B:$B,"&gt;"&amp;'Cash Flow'!R$3)</f>
        <v>0</v>
      </c>
      <c r="T57" s="188">
        <f>SUMIFS('Wells Fargo'!$F:$F,'Wells Fargo'!$G:$G,'Cash Flow'!$A57,'Wells Fargo'!$A:$A,T$1,'Wells Fargo'!$B:$B,"&lt;="&amp;'Cash Flow'!T$3,'Wells Fargo'!$B:$B,"&gt;"&amp;'Cash Flow'!S$3)</f>
        <v>0</v>
      </c>
      <c r="U57" s="188">
        <f>SUMIFS('Wells Fargo'!$F:$F,'Wells Fargo'!$G:$G,'Cash Flow'!$A57,'Wells Fargo'!$A:$A,U$1,'Wells Fargo'!$B:$B,"&lt;="&amp;'Cash Flow'!U$3,'Wells Fargo'!$B:$B,"&gt;"&amp;'Cash Flow'!T$3)</f>
        <v>0</v>
      </c>
      <c r="V57" s="189">
        <f>SUMIFS('Wells Fargo'!$F:$F,'Wells Fargo'!$G:$G,'Cash Flow'!$A57,'Wells Fargo'!$A:$A,V$1,'Wells Fargo'!$B:$B,"&lt;="&amp;'Cash Flow'!V$3)</f>
        <v>0</v>
      </c>
      <c r="W57" s="188">
        <f>SUMIFS('Wells Fargo'!$F:$F,'Wells Fargo'!$G:$G,'Cash Flow'!$A57,'Wells Fargo'!$A:$A,W$1,'Wells Fargo'!$B:$B,"&lt;="&amp;'Cash Flow'!W$3,'Wells Fargo'!$B:$B,"&gt;"&amp;'Cash Flow'!V$3)</f>
        <v>0</v>
      </c>
      <c r="X57" s="188">
        <f>SUMIFS('Wells Fargo'!$F:$F,'Wells Fargo'!$G:$G,'Cash Flow'!$A57,'Wells Fargo'!$A:$A,X$1,'Wells Fargo'!$B:$B,"&lt;="&amp;'Cash Flow'!X$3,'Wells Fargo'!$B:$B,"&gt;"&amp;'Cash Flow'!W$3)</f>
        <v>0</v>
      </c>
      <c r="Y57" s="188">
        <f>SUMIFS('Wells Fargo'!$F:$F,'Wells Fargo'!$G:$G,'Cash Flow'!$A57,'Wells Fargo'!$A:$A,Y$1,'Wells Fargo'!$B:$B,"&lt;="&amp;'Cash Flow'!Y$3,'Wells Fargo'!$B:$B,"&gt;"&amp;'Cash Flow'!X$3)</f>
        <v>0</v>
      </c>
      <c r="Z57" s="188">
        <f>SUMIFS('Wells Fargo'!$F:$F,'Wells Fargo'!$G:$G,'Cash Flow'!$A57,'Wells Fargo'!$A:$A,Z$1,'Wells Fargo'!$B:$B,"&lt;="&amp;'Cash Flow'!Z$3,'Wells Fargo'!$B:$B,"&gt;"&amp;'Cash Flow'!Y$3)</f>
        <v>0</v>
      </c>
      <c r="AA57" s="189">
        <f>SUMIFS('Wells Fargo'!$F:$F,'Wells Fargo'!$G:$G,'Cash Flow'!$A57,'Wells Fargo'!$A:$A,AA$1,'Wells Fargo'!$B:$B,"&lt;="&amp;'Cash Flow'!AA$3)</f>
        <v>0</v>
      </c>
      <c r="AB57" s="188">
        <f>SUMIFS('Wells Fargo'!$F:$F,'Wells Fargo'!$G:$G,'Cash Flow'!$A57,'Wells Fargo'!$A:$A,AB$1,'Wells Fargo'!$B:$B,"&lt;="&amp;'Cash Flow'!AB$3,'Wells Fargo'!$B:$B,"&gt;"&amp;'Cash Flow'!AA$3)</f>
        <v>0</v>
      </c>
      <c r="AC57" s="188">
        <f>SUMIFS('Wells Fargo'!$F:$F,'Wells Fargo'!$G:$G,'Cash Flow'!$A57,'Wells Fargo'!$A:$A,AC$1,'Wells Fargo'!$B:$B,"&lt;="&amp;'Cash Flow'!AC$3,'Wells Fargo'!$B:$B,"&gt;"&amp;'Cash Flow'!AB$3)</f>
        <v>0</v>
      </c>
      <c r="AD57" s="188">
        <f>SUMIFS('Wells Fargo'!$F:$F,'Wells Fargo'!$G:$G,'Cash Flow'!$A57,'Wells Fargo'!$A:$A,AD$1,'Wells Fargo'!$B:$B,"&lt;="&amp;'Cash Flow'!AD$3,'Wells Fargo'!$B:$B,"&gt;"&amp;'Cash Flow'!AC$3)</f>
        <v>0</v>
      </c>
      <c r="AE57" s="188">
        <f>SUMIFS('Wells Fargo'!$F:$F,'Wells Fargo'!$G:$G,'Cash Flow'!$A57,'Wells Fargo'!$A:$A,AE$1,'Wells Fargo'!$B:$B,"&lt;="&amp;'Cash Flow'!AE$3,'Wells Fargo'!$B:$B,"&gt;"&amp;'Cash Flow'!AD$3)</f>
        <v>0</v>
      </c>
      <c r="AF57" s="189">
        <f>SUMIFS('Wells Fargo'!$F:$F,'Wells Fargo'!$G:$G,'Cash Flow'!$A57,'Wells Fargo'!$A:$A,AF$1,'Wells Fargo'!$B:$B,"&lt;="&amp;'Cash Flow'!AF$3)</f>
        <v>0</v>
      </c>
      <c r="AG57" s="188">
        <f>SUMIFS('Wells Fargo'!$F:$F,'Wells Fargo'!$G:$G,'Cash Flow'!$A57,'Wells Fargo'!$A:$A,AG$1,'Wells Fargo'!$B:$B,"&lt;="&amp;'Cash Flow'!AG$3,'Wells Fargo'!$B:$B,"&gt;"&amp;'Cash Flow'!AF$3)</f>
        <v>0</v>
      </c>
      <c r="AH57" s="188">
        <f>SUMIFS('Wells Fargo'!$F:$F,'Wells Fargo'!$G:$G,'Cash Flow'!$A57,'Wells Fargo'!$A:$A,AH$1,'Wells Fargo'!$B:$B,"&lt;="&amp;'Cash Flow'!AH$3,'Wells Fargo'!$B:$B,"&gt;"&amp;'Cash Flow'!AG$3)</f>
        <v>0</v>
      </c>
      <c r="AI57" s="188">
        <f>SUMIFS('Wells Fargo'!$F:$F,'Wells Fargo'!$G:$G,'Cash Flow'!$A57,'Wells Fargo'!$A:$A,AI$1,'Wells Fargo'!$B:$B,"&lt;="&amp;'Cash Flow'!AI$3,'Wells Fargo'!$B:$B,"&gt;"&amp;'Cash Flow'!AH$3)</f>
        <v>0</v>
      </c>
      <c r="AJ57" s="188">
        <f>SUMIFS('Wells Fargo'!$F:$F,'Wells Fargo'!$G:$G,'Cash Flow'!$A57,'Wells Fargo'!$A:$A,AJ$1,'Wells Fargo'!$B:$B,"&lt;="&amp;'Cash Flow'!AJ$3,'Wells Fargo'!$B:$B,"&gt;"&amp;'Cash Flow'!AI$3)</f>
        <v>0</v>
      </c>
      <c r="AK57" s="189">
        <f>SUMIFS('Wells Fargo'!$F:$F,'Wells Fargo'!$G:$G,'Cash Flow'!$A57,'Wells Fargo'!$A:$A,AK$1,'Wells Fargo'!$B:$B,"&lt;="&amp;'Cash Flow'!AK$3)</f>
        <v>0</v>
      </c>
      <c r="AL57" s="188">
        <f>SUMIFS('Wells Fargo'!$F:$F,'Wells Fargo'!$G:$G,'Cash Flow'!$A57,'Wells Fargo'!$A:$A,AL$1,'Wells Fargo'!$B:$B,"&lt;="&amp;'Cash Flow'!AL$3,'Wells Fargo'!$B:$B,"&gt;"&amp;'Cash Flow'!AK$3)</f>
        <v>0</v>
      </c>
      <c r="AM57" s="188">
        <f>SUMIFS('Wells Fargo'!$F:$F,'Wells Fargo'!$G:$G,'Cash Flow'!$A57,'Wells Fargo'!$A:$A,AM$1,'Wells Fargo'!$B:$B,"&lt;="&amp;'Cash Flow'!AM$3,'Wells Fargo'!$B:$B,"&gt;"&amp;'Cash Flow'!AL$3)</f>
        <v>0</v>
      </c>
      <c r="AN57" s="188">
        <f>SUMIFS('Wells Fargo'!$F:$F,'Wells Fargo'!$G:$G,'Cash Flow'!$A57,'Wells Fargo'!$A:$A,AN$1,'Wells Fargo'!$B:$B,"&lt;="&amp;'Cash Flow'!AN$3,'Wells Fargo'!$B:$B,"&gt;"&amp;'Cash Flow'!AM$3)</f>
        <v>0</v>
      </c>
      <c r="AO57" s="188">
        <f>SUMIFS('Wells Fargo'!$F:$F,'Wells Fargo'!$G:$G,'Cash Flow'!$A57,'Wells Fargo'!$A:$A,AO$1,'Wells Fargo'!$B:$B,"&lt;="&amp;'Cash Flow'!AO$3,'Wells Fargo'!$B:$B,"&gt;"&amp;'Cash Flow'!AN$3)</f>
        <v>0</v>
      </c>
      <c r="AP57" s="189">
        <f>SUMIFS('Wells Fargo'!$F:$F,'Wells Fargo'!$G:$G,'Cash Flow'!$A57,'Wells Fargo'!$A:$A,AP$1,'Wells Fargo'!$B:$B,"&lt;="&amp;'Cash Flow'!AP$3)</f>
        <v>0</v>
      </c>
      <c r="AQ57" s="188">
        <f>SUMIFS('Wells Fargo'!$F:$F,'Wells Fargo'!$G:$G,'Cash Flow'!$A57,'Wells Fargo'!$A:$A,AQ$1,'Wells Fargo'!$B:$B,"&lt;="&amp;'Cash Flow'!AQ$3,'Wells Fargo'!$B:$B,"&gt;"&amp;'Cash Flow'!AP$3)</f>
        <v>0</v>
      </c>
      <c r="AR57" s="188">
        <f>SUMIFS('Wells Fargo'!$F:$F,'Wells Fargo'!$G:$G,'Cash Flow'!$A57,'Wells Fargo'!$A:$A,AR$1,'Wells Fargo'!$B:$B,"&lt;="&amp;'Cash Flow'!AR$3,'Wells Fargo'!$B:$B,"&gt;"&amp;'Cash Flow'!AQ$3)</f>
        <v>0</v>
      </c>
      <c r="AS57" s="188">
        <f>SUMIFS('Wells Fargo'!$F:$F,'Wells Fargo'!$G:$G,'Cash Flow'!$A57,'Wells Fargo'!$A:$A,AS$1,'Wells Fargo'!$B:$B,"&lt;="&amp;'Cash Flow'!AS$3,'Wells Fargo'!$B:$B,"&gt;"&amp;'Cash Flow'!AR$3)</f>
        <v>0</v>
      </c>
      <c r="AT57" s="188">
        <f>SUMIFS('Wells Fargo'!$F:$F,'Wells Fargo'!$G:$G,'Cash Flow'!$A57,'Wells Fargo'!$A:$A,AT$1,'Wells Fargo'!$B:$B,"&lt;="&amp;'Cash Flow'!AT$3,'Wells Fargo'!$B:$B,"&gt;"&amp;'Cash Flow'!AS$3)</f>
        <v>0</v>
      </c>
      <c r="AU57" s="189">
        <f>SUMIFS('Wells Fargo'!$F:$F,'Wells Fargo'!$G:$G,'Cash Flow'!$A57,'Wells Fargo'!$A:$A,AU$1,'Wells Fargo'!$B:$B,"&lt;="&amp;'Cash Flow'!AU$3)</f>
        <v>0</v>
      </c>
      <c r="AV57" s="188">
        <f>SUMIFS('Wells Fargo'!$F:$F,'Wells Fargo'!$G:$G,'Cash Flow'!$A57,'Wells Fargo'!$A:$A,AV$1,'Wells Fargo'!$B:$B,"&lt;="&amp;'Cash Flow'!AV$3,'Wells Fargo'!$B:$B,"&gt;"&amp;'Cash Flow'!AU$3)</f>
        <v>0</v>
      </c>
      <c r="AW57" s="188">
        <f>SUMIFS('Wells Fargo'!$F:$F,'Wells Fargo'!$G:$G,'Cash Flow'!$A57,'Wells Fargo'!$A:$A,AW$1,'Wells Fargo'!$B:$B,"&lt;="&amp;'Cash Flow'!AW$3,'Wells Fargo'!$B:$B,"&gt;"&amp;'Cash Flow'!AV$3)</f>
        <v>0</v>
      </c>
      <c r="AX57" s="188">
        <f>SUMIFS('Wells Fargo'!$F:$F,'Wells Fargo'!$G:$G,'Cash Flow'!$A57,'Wells Fargo'!$A:$A,AX$1,'Wells Fargo'!$B:$B,"&lt;="&amp;'Cash Flow'!AX$3,'Wells Fargo'!$B:$B,"&gt;"&amp;'Cash Flow'!AW$3)</f>
        <v>0</v>
      </c>
      <c r="AY57" s="188">
        <f>SUMIFS('Wells Fargo'!$F:$F,'Wells Fargo'!$G:$G,'Cash Flow'!$A57,'Wells Fargo'!$A:$A,AY$1,'Wells Fargo'!$B:$B,"&lt;="&amp;'Cash Flow'!AY$3,'Wells Fargo'!$B:$B,"&gt;"&amp;'Cash Flow'!AX$3)</f>
        <v>0</v>
      </c>
      <c r="AZ57" s="189">
        <f>SUMIFS('Wells Fargo'!$F:$F,'Wells Fargo'!$G:$G,'Cash Flow'!$A57,'Wells Fargo'!$A:$A,AZ$1,'Wells Fargo'!$B:$B,"&lt;="&amp;'Cash Flow'!AZ$3)</f>
        <v>0</v>
      </c>
      <c r="BA57" s="188">
        <f>SUMIFS('Wells Fargo'!$F:$F,'Wells Fargo'!$G:$G,'Cash Flow'!$A57,'Wells Fargo'!$A:$A,BA$1,'Wells Fargo'!$B:$B,"&lt;="&amp;'Cash Flow'!BA$3,'Wells Fargo'!$B:$B,"&gt;"&amp;'Cash Flow'!AZ$3)</f>
        <v>0</v>
      </c>
      <c r="BB57" s="188">
        <f>SUMIFS('Wells Fargo'!$F:$F,'Wells Fargo'!$G:$G,'Cash Flow'!$A57,'Wells Fargo'!$A:$A,BB$1,'Wells Fargo'!$B:$B,"&lt;="&amp;'Cash Flow'!BB$3,'Wells Fargo'!$B:$B,"&gt;"&amp;'Cash Flow'!BA$3)</f>
        <v>0</v>
      </c>
      <c r="BC57" s="188">
        <f>SUMIFS('Wells Fargo'!$F:$F,'Wells Fargo'!$G:$G,'Cash Flow'!$A57,'Wells Fargo'!$A:$A,BC$1,'Wells Fargo'!$B:$B,"&lt;="&amp;'Cash Flow'!BC$3,'Wells Fargo'!$B:$B,"&gt;"&amp;'Cash Flow'!BB$3)</f>
        <v>0</v>
      </c>
      <c r="BD57" s="188">
        <f>SUMIFS('Wells Fargo'!$F:$F,'Wells Fargo'!$G:$G,'Cash Flow'!$A57,'Wells Fargo'!$A:$A,BD$1,'Wells Fargo'!$B:$B,"&lt;="&amp;'Cash Flow'!BD$3,'Wells Fargo'!$B:$B,"&gt;"&amp;'Cash Flow'!BC$3)</f>
        <v>0</v>
      </c>
      <c r="BE57" s="189">
        <f>SUMIFS('Wells Fargo'!$F:$F,'Wells Fargo'!$G:$G,'Cash Flow'!$A57,'Wells Fargo'!$A:$A,BE$1,'Wells Fargo'!$B:$B,"&lt;="&amp;'Cash Flow'!BE$3)</f>
        <v>0</v>
      </c>
      <c r="BF57" s="188">
        <f>SUMIFS('Wells Fargo'!$F:$F,'Wells Fargo'!$G:$G,'Cash Flow'!$A57,'Wells Fargo'!$A:$A,BF$1,'Wells Fargo'!$B:$B,"&lt;="&amp;'Cash Flow'!BF$3,'Wells Fargo'!$B:$B,"&gt;"&amp;'Cash Flow'!BE$3)</f>
        <v>0</v>
      </c>
      <c r="BG57" s="188">
        <f>SUMIFS('Wells Fargo'!$F:$F,'Wells Fargo'!$G:$G,'Cash Flow'!$A57,'Wells Fargo'!$A:$A,BG$1,'Wells Fargo'!$B:$B,"&lt;="&amp;'Cash Flow'!BG$3,'Wells Fargo'!$B:$B,"&gt;"&amp;'Cash Flow'!BF$3)</f>
        <v>0</v>
      </c>
      <c r="BH57" s="188">
        <f>SUMIFS('Wells Fargo'!$F:$F,'Wells Fargo'!$G:$G,'Cash Flow'!$A57,'Wells Fargo'!$A:$A,BH$1,'Wells Fargo'!$B:$B,"&lt;="&amp;'Cash Flow'!BH$3,'Wells Fargo'!$B:$B,"&gt;"&amp;'Cash Flow'!BG$3)</f>
        <v>0</v>
      </c>
      <c r="BI57" s="188">
        <f>SUMIFS('Wells Fargo'!$F:$F,'Wells Fargo'!$G:$G,'Cash Flow'!$A57,'Wells Fargo'!$A:$A,BI$1,'Wells Fargo'!$B:$B,"&lt;="&amp;'Cash Flow'!BI$3,'Wells Fargo'!$B:$B,"&gt;"&amp;'Cash Flow'!BH$3)</f>
        <v>0</v>
      </c>
    </row>
    <row r="58" spans="1:61" ht="12.75" x14ac:dyDescent="0.2">
      <c r="A58" t="str">
        <v>Stranger</v>
      </c>
      <c r="B58" s="87">
        <f t="shared" si="2"/>
        <v>-50</v>
      </c>
      <c r="C58" s="189">
        <f>SUMIFS('Wells Fargo'!$F:$F,'Wells Fargo'!$G:$G,'Cash Flow'!$A58,'Wells Fargo'!$A:$A,C$1,'Wells Fargo'!$B:$B,"&lt;="&amp;'Cash Flow'!C$3)</f>
        <v>0</v>
      </c>
      <c r="D58" s="188">
        <f>SUMIFS('Wells Fargo'!$F:$F,'Wells Fargo'!$G:$G,'Cash Flow'!$A58,'Wells Fargo'!$A:$A,D$1,'Wells Fargo'!$B:$B,"&lt;="&amp;'Cash Flow'!D$3,'Wells Fargo'!$B:$B,"&gt;"&amp;'Cash Flow'!C$3)</f>
        <v>0</v>
      </c>
      <c r="E58" s="188">
        <f>SUMIFS('Wells Fargo'!$F:$F,'Wells Fargo'!$G:$G,'Cash Flow'!$A58,'Wells Fargo'!$A:$A,E$1,'Wells Fargo'!$B:$B,"&lt;="&amp;'Cash Flow'!E$3,'Wells Fargo'!$B:$B,"&gt;"&amp;'Cash Flow'!D$3)</f>
        <v>0</v>
      </c>
      <c r="F58" s="188">
        <f>SUMIFS('Wells Fargo'!$F:$F,'Wells Fargo'!$G:$G,'Cash Flow'!$A58,'Wells Fargo'!$A:$A,F$1,'Wells Fargo'!$B:$B,"&lt;="&amp;'Cash Flow'!F$3,'Wells Fargo'!$B:$B,"&gt;"&amp;'Cash Flow'!E$3)</f>
        <v>0</v>
      </c>
      <c r="G58" s="188">
        <f>SUMIFS('Wells Fargo'!$F:$F,'Wells Fargo'!$G:$G,'Cash Flow'!$A58,'Wells Fargo'!$A:$A,G$1,'Wells Fargo'!$B:$B,"&lt;="&amp;'Cash Flow'!G$3,'Wells Fargo'!$B:$B,"&gt;"&amp;'Cash Flow'!F$3)</f>
        <v>0</v>
      </c>
      <c r="H58" s="189">
        <f>SUMIFS('Wells Fargo'!$F:$F,'Wells Fargo'!$G:$G,'Cash Flow'!$A58,'Wells Fargo'!$A:$A,H$1,'Wells Fargo'!$B:$B,"&lt;="&amp;'Cash Flow'!H$3)</f>
        <v>0</v>
      </c>
      <c r="I58" s="188">
        <f>SUMIFS('Wells Fargo'!$F:$F,'Wells Fargo'!$G:$G,'Cash Flow'!$A58,'Wells Fargo'!$A:$A,I$1,'Wells Fargo'!$B:$B,"&lt;="&amp;'Cash Flow'!I$3,'Wells Fargo'!$B:$B,"&gt;"&amp;'Cash Flow'!H$3)</f>
        <v>0</v>
      </c>
      <c r="J58" s="188">
        <f>SUMIFS('Wells Fargo'!$F:$F,'Wells Fargo'!$G:$G,'Cash Flow'!$A58,'Wells Fargo'!$A:$A,J$1,'Wells Fargo'!$B:$B,"&lt;="&amp;'Cash Flow'!J$3,'Wells Fargo'!$B:$B,"&gt;"&amp;'Cash Flow'!I$3)</f>
        <v>0</v>
      </c>
      <c r="K58" s="188">
        <f>SUMIFS('Wells Fargo'!$F:$F,'Wells Fargo'!$G:$G,'Cash Flow'!$A58,'Wells Fargo'!$A:$A,K$1,'Wells Fargo'!$B:$B,"&lt;="&amp;'Cash Flow'!K$3,'Wells Fargo'!$B:$B,"&gt;"&amp;'Cash Flow'!J$3)</f>
        <v>0</v>
      </c>
      <c r="L58" s="189">
        <f>SUMIFS('Wells Fargo'!$F:$F,'Wells Fargo'!$G:$G,'Cash Flow'!$A58,'Wells Fargo'!$A:$A,L$1,'Wells Fargo'!$B:$B,"&lt;="&amp;'Cash Flow'!L$3)</f>
        <v>0</v>
      </c>
      <c r="M58" s="188">
        <f>SUMIFS('Wells Fargo'!$F:$F,'Wells Fargo'!$G:$G,'Cash Flow'!$A58,'Wells Fargo'!$A:$A,M$1,'Wells Fargo'!$B:$B,"&lt;="&amp;'Cash Flow'!M$3,'Wells Fargo'!$B:$B,"&gt;"&amp;'Cash Flow'!L$3)</f>
        <v>0</v>
      </c>
      <c r="N58" s="188">
        <f>SUMIFS('Wells Fargo'!$F:$F,'Wells Fargo'!$G:$G,'Cash Flow'!$A58,'Wells Fargo'!$A:$A,N$1,'Wells Fargo'!$B:$B,"&lt;="&amp;'Cash Flow'!N$3,'Wells Fargo'!$B:$B,"&gt;"&amp;'Cash Flow'!M$3)</f>
        <v>0</v>
      </c>
      <c r="O58" s="188">
        <f>SUMIFS('Wells Fargo'!$F:$F,'Wells Fargo'!$G:$G,'Cash Flow'!$A58,'Wells Fargo'!$A:$A,O$1,'Wells Fargo'!$B:$B,"&lt;="&amp;'Cash Flow'!O$3,'Wells Fargo'!$B:$B,"&gt;"&amp;'Cash Flow'!N$3)</f>
        <v>0</v>
      </c>
      <c r="P58" s="188">
        <f>SUMIFS('Wells Fargo'!$F:$F,'Wells Fargo'!$G:$G,'Cash Flow'!$A58,'Wells Fargo'!$A:$A,P$1,'Wells Fargo'!$B:$B,"&lt;="&amp;'Cash Flow'!P$3,'Wells Fargo'!$B:$B,"&gt;"&amp;'Cash Flow'!O$3)</f>
        <v>0</v>
      </c>
      <c r="Q58" s="189">
        <f>SUMIFS('Wells Fargo'!$F:$F,'Wells Fargo'!$G:$G,'Cash Flow'!$A58,'Wells Fargo'!$A:$A,Q$1,'Wells Fargo'!$B:$B,"&lt;="&amp;'Cash Flow'!Q$3)</f>
        <v>0</v>
      </c>
      <c r="R58" s="188">
        <f>SUMIFS('Wells Fargo'!$F:$F,'Wells Fargo'!$G:$G,'Cash Flow'!$A58,'Wells Fargo'!$A:$A,R$1,'Wells Fargo'!$B:$B,"&lt;="&amp;'Cash Flow'!R$3,'Wells Fargo'!$B:$B,"&gt;"&amp;'Cash Flow'!Q$3)</f>
        <v>0</v>
      </c>
      <c r="S58" s="188">
        <f>SUMIFS('Wells Fargo'!$F:$F,'Wells Fargo'!$G:$G,'Cash Flow'!$A58,'Wells Fargo'!$A:$A,S$1,'Wells Fargo'!$B:$B,"&lt;="&amp;'Cash Flow'!S$3,'Wells Fargo'!$B:$B,"&gt;"&amp;'Cash Flow'!R$3)</f>
        <v>0</v>
      </c>
      <c r="T58" s="188">
        <f>SUMIFS('Wells Fargo'!$F:$F,'Wells Fargo'!$G:$G,'Cash Flow'!$A58,'Wells Fargo'!$A:$A,T$1,'Wells Fargo'!$B:$B,"&lt;="&amp;'Cash Flow'!T$3,'Wells Fargo'!$B:$B,"&gt;"&amp;'Cash Flow'!S$3)</f>
        <v>0</v>
      </c>
      <c r="U58" s="188">
        <f>SUMIFS('Wells Fargo'!$F:$F,'Wells Fargo'!$G:$G,'Cash Flow'!$A58,'Wells Fargo'!$A:$A,U$1,'Wells Fargo'!$B:$B,"&lt;="&amp;'Cash Flow'!U$3,'Wells Fargo'!$B:$B,"&gt;"&amp;'Cash Flow'!T$3)</f>
        <v>0</v>
      </c>
      <c r="V58" s="189">
        <f>SUMIFS('Wells Fargo'!$F:$F,'Wells Fargo'!$G:$G,'Cash Flow'!$A58,'Wells Fargo'!$A:$A,V$1,'Wells Fargo'!$B:$B,"&lt;="&amp;'Cash Flow'!V$3)</f>
        <v>0</v>
      </c>
      <c r="W58" s="188">
        <f>SUMIFS('Wells Fargo'!$F:$F,'Wells Fargo'!$G:$G,'Cash Flow'!$A58,'Wells Fargo'!$A:$A,W$1,'Wells Fargo'!$B:$B,"&lt;="&amp;'Cash Flow'!W$3,'Wells Fargo'!$B:$B,"&gt;"&amp;'Cash Flow'!V$3)</f>
        <v>0</v>
      </c>
      <c r="X58" s="188">
        <f>SUMIFS('Wells Fargo'!$F:$F,'Wells Fargo'!$G:$G,'Cash Flow'!$A58,'Wells Fargo'!$A:$A,X$1,'Wells Fargo'!$B:$B,"&lt;="&amp;'Cash Flow'!X$3,'Wells Fargo'!$B:$B,"&gt;"&amp;'Cash Flow'!W$3)</f>
        <v>0</v>
      </c>
      <c r="Y58" s="188">
        <f>SUMIFS('Wells Fargo'!$F:$F,'Wells Fargo'!$G:$G,'Cash Flow'!$A58,'Wells Fargo'!$A:$A,Y$1,'Wells Fargo'!$B:$B,"&lt;="&amp;'Cash Flow'!Y$3,'Wells Fargo'!$B:$B,"&gt;"&amp;'Cash Flow'!X$3)</f>
        <v>-50</v>
      </c>
      <c r="Z58" s="188">
        <f>SUMIFS('Wells Fargo'!$F:$F,'Wells Fargo'!$G:$G,'Cash Flow'!$A58,'Wells Fargo'!$A:$A,Z$1,'Wells Fargo'!$B:$B,"&lt;="&amp;'Cash Flow'!Z$3,'Wells Fargo'!$B:$B,"&gt;"&amp;'Cash Flow'!Y$3)</f>
        <v>0</v>
      </c>
      <c r="AA58" s="189">
        <f>SUMIFS('Wells Fargo'!$F:$F,'Wells Fargo'!$G:$G,'Cash Flow'!$A58,'Wells Fargo'!$A:$A,AA$1,'Wells Fargo'!$B:$B,"&lt;="&amp;'Cash Flow'!AA$3)</f>
        <v>0</v>
      </c>
      <c r="AB58" s="188">
        <f>SUMIFS('Wells Fargo'!$F:$F,'Wells Fargo'!$G:$G,'Cash Flow'!$A58,'Wells Fargo'!$A:$A,AB$1,'Wells Fargo'!$B:$B,"&lt;="&amp;'Cash Flow'!AB$3,'Wells Fargo'!$B:$B,"&gt;"&amp;'Cash Flow'!AA$3)</f>
        <v>0</v>
      </c>
      <c r="AC58" s="188">
        <f>SUMIFS('Wells Fargo'!$F:$F,'Wells Fargo'!$G:$G,'Cash Flow'!$A58,'Wells Fargo'!$A:$A,AC$1,'Wells Fargo'!$B:$B,"&lt;="&amp;'Cash Flow'!AC$3,'Wells Fargo'!$B:$B,"&gt;"&amp;'Cash Flow'!AB$3)</f>
        <v>0</v>
      </c>
      <c r="AD58" s="188">
        <f>SUMIFS('Wells Fargo'!$F:$F,'Wells Fargo'!$G:$G,'Cash Flow'!$A58,'Wells Fargo'!$A:$A,AD$1,'Wells Fargo'!$B:$B,"&lt;="&amp;'Cash Flow'!AD$3,'Wells Fargo'!$B:$B,"&gt;"&amp;'Cash Flow'!AC$3)</f>
        <v>0</v>
      </c>
      <c r="AE58" s="188">
        <f>SUMIFS('Wells Fargo'!$F:$F,'Wells Fargo'!$G:$G,'Cash Flow'!$A58,'Wells Fargo'!$A:$A,AE$1,'Wells Fargo'!$B:$B,"&lt;="&amp;'Cash Flow'!AE$3,'Wells Fargo'!$B:$B,"&gt;"&amp;'Cash Flow'!AD$3)</f>
        <v>0</v>
      </c>
      <c r="AF58" s="189">
        <f>SUMIFS('Wells Fargo'!$F:$F,'Wells Fargo'!$G:$G,'Cash Flow'!$A58,'Wells Fargo'!$A:$A,AF$1,'Wells Fargo'!$B:$B,"&lt;="&amp;'Cash Flow'!AF$3)</f>
        <v>0</v>
      </c>
      <c r="AG58" s="188">
        <f>SUMIFS('Wells Fargo'!$F:$F,'Wells Fargo'!$G:$G,'Cash Flow'!$A58,'Wells Fargo'!$A:$A,AG$1,'Wells Fargo'!$B:$B,"&lt;="&amp;'Cash Flow'!AG$3,'Wells Fargo'!$B:$B,"&gt;"&amp;'Cash Flow'!AF$3)</f>
        <v>0</v>
      </c>
      <c r="AH58" s="188">
        <f>SUMIFS('Wells Fargo'!$F:$F,'Wells Fargo'!$G:$G,'Cash Flow'!$A58,'Wells Fargo'!$A:$A,AH$1,'Wells Fargo'!$B:$B,"&lt;="&amp;'Cash Flow'!AH$3,'Wells Fargo'!$B:$B,"&gt;"&amp;'Cash Flow'!AG$3)</f>
        <v>0</v>
      </c>
      <c r="AI58" s="188">
        <f>SUMIFS('Wells Fargo'!$F:$F,'Wells Fargo'!$G:$G,'Cash Flow'!$A58,'Wells Fargo'!$A:$A,AI$1,'Wells Fargo'!$B:$B,"&lt;="&amp;'Cash Flow'!AI$3,'Wells Fargo'!$B:$B,"&gt;"&amp;'Cash Flow'!AH$3)</f>
        <v>0</v>
      </c>
      <c r="AJ58" s="188">
        <f>SUMIFS('Wells Fargo'!$F:$F,'Wells Fargo'!$G:$G,'Cash Flow'!$A58,'Wells Fargo'!$A:$A,AJ$1,'Wells Fargo'!$B:$B,"&lt;="&amp;'Cash Flow'!AJ$3,'Wells Fargo'!$B:$B,"&gt;"&amp;'Cash Flow'!AI$3)</f>
        <v>0</v>
      </c>
      <c r="AK58" s="189">
        <f>SUMIFS('Wells Fargo'!$F:$F,'Wells Fargo'!$G:$G,'Cash Flow'!$A58,'Wells Fargo'!$A:$A,AK$1,'Wells Fargo'!$B:$B,"&lt;="&amp;'Cash Flow'!AK$3)</f>
        <v>0</v>
      </c>
      <c r="AL58" s="188">
        <f>SUMIFS('Wells Fargo'!$F:$F,'Wells Fargo'!$G:$G,'Cash Flow'!$A58,'Wells Fargo'!$A:$A,AL$1,'Wells Fargo'!$B:$B,"&lt;="&amp;'Cash Flow'!AL$3,'Wells Fargo'!$B:$B,"&gt;"&amp;'Cash Flow'!AK$3)</f>
        <v>0</v>
      </c>
      <c r="AM58" s="188">
        <f>SUMIFS('Wells Fargo'!$F:$F,'Wells Fargo'!$G:$G,'Cash Flow'!$A58,'Wells Fargo'!$A:$A,AM$1,'Wells Fargo'!$B:$B,"&lt;="&amp;'Cash Flow'!AM$3,'Wells Fargo'!$B:$B,"&gt;"&amp;'Cash Flow'!AL$3)</f>
        <v>0</v>
      </c>
      <c r="AN58" s="188">
        <f>SUMIFS('Wells Fargo'!$F:$F,'Wells Fargo'!$G:$G,'Cash Flow'!$A58,'Wells Fargo'!$A:$A,AN$1,'Wells Fargo'!$B:$B,"&lt;="&amp;'Cash Flow'!AN$3,'Wells Fargo'!$B:$B,"&gt;"&amp;'Cash Flow'!AM$3)</f>
        <v>0</v>
      </c>
      <c r="AO58" s="188">
        <f>SUMIFS('Wells Fargo'!$F:$F,'Wells Fargo'!$G:$G,'Cash Flow'!$A58,'Wells Fargo'!$A:$A,AO$1,'Wells Fargo'!$B:$B,"&lt;="&amp;'Cash Flow'!AO$3,'Wells Fargo'!$B:$B,"&gt;"&amp;'Cash Flow'!AN$3)</f>
        <v>0</v>
      </c>
      <c r="AP58" s="189">
        <f>SUMIFS('Wells Fargo'!$F:$F,'Wells Fargo'!$G:$G,'Cash Flow'!$A58,'Wells Fargo'!$A:$A,AP$1,'Wells Fargo'!$B:$B,"&lt;="&amp;'Cash Flow'!AP$3)</f>
        <v>0</v>
      </c>
      <c r="AQ58" s="188">
        <f>SUMIFS('Wells Fargo'!$F:$F,'Wells Fargo'!$G:$G,'Cash Flow'!$A58,'Wells Fargo'!$A:$A,AQ$1,'Wells Fargo'!$B:$B,"&lt;="&amp;'Cash Flow'!AQ$3,'Wells Fargo'!$B:$B,"&gt;"&amp;'Cash Flow'!AP$3)</f>
        <v>0</v>
      </c>
      <c r="AR58" s="188">
        <f>SUMIFS('Wells Fargo'!$F:$F,'Wells Fargo'!$G:$G,'Cash Flow'!$A58,'Wells Fargo'!$A:$A,AR$1,'Wells Fargo'!$B:$B,"&lt;="&amp;'Cash Flow'!AR$3,'Wells Fargo'!$B:$B,"&gt;"&amp;'Cash Flow'!AQ$3)</f>
        <v>0</v>
      </c>
      <c r="AS58" s="188">
        <f>SUMIFS('Wells Fargo'!$F:$F,'Wells Fargo'!$G:$G,'Cash Flow'!$A58,'Wells Fargo'!$A:$A,AS$1,'Wells Fargo'!$B:$B,"&lt;="&amp;'Cash Flow'!AS$3,'Wells Fargo'!$B:$B,"&gt;"&amp;'Cash Flow'!AR$3)</f>
        <v>0</v>
      </c>
      <c r="AT58" s="188">
        <f>SUMIFS('Wells Fargo'!$F:$F,'Wells Fargo'!$G:$G,'Cash Flow'!$A58,'Wells Fargo'!$A:$A,AT$1,'Wells Fargo'!$B:$B,"&lt;="&amp;'Cash Flow'!AT$3,'Wells Fargo'!$B:$B,"&gt;"&amp;'Cash Flow'!AS$3)</f>
        <v>0</v>
      </c>
      <c r="AU58" s="189">
        <f>SUMIFS('Wells Fargo'!$F:$F,'Wells Fargo'!$G:$G,'Cash Flow'!$A58,'Wells Fargo'!$A:$A,AU$1,'Wells Fargo'!$B:$B,"&lt;="&amp;'Cash Flow'!AU$3)</f>
        <v>0</v>
      </c>
      <c r="AV58" s="188">
        <f>SUMIFS('Wells Fargo'!$F:$F,'Wells Fargo'!$G:$G,'Cash Flow'!$A58,'Wells Fargo'!$A:$A,AV$1,'Wells Fargo'!$B:$B,"&lt;="&amp;'Cash Flow'!AV$3,'Wells Fargo'!$B:$B,"&gt;"&amp;'Cash Flow'!AU$3)</f>
        <v>0</v>
      </c>
      <c r="AW58" s="188">
        <f>SUMIFS('Wells Fargo'!$F:$F,'Wells Fargo'!$G:$G,'Cash Flow'!$A58,'Wells Fargo'!$A:$A,AW$1,'Wells Fargo'!$B:$B,"&lt;="&amp;'Cash Flow'!AW$3,'Wells Fargo'!$B:$B,"&gt;"&amp;'Cash Flow'!AV$3)</f>
        <v>0</v>
      </c>
      <c r="AX58" s="188">
        <f>SUMIFS('Wells Fargo'!$F:$F,'Wells Fargo'!$G:$G,'Cash Flow'!$A58,'Wells Fargo'!$A:$A,AX$1,'Wells Fargo'!$B:$B,"&lt;="&amp;'Cash Flow'!AX$3,'Wells Fargo'!$B:$B,"&gt;"&amp;'Cash Flow'!AW$3)</f>
        <v>0</v>
      </c>
      <c r="AY58" s="188">
        <f>SUMIFS('Wells Fargo'!$F:$F,'Wells Fargo'!$G:$G,'Cash Flow'!$A58,'Wells Fargo'!$A:$A,AY$1,'Wells Fargo'!$B:$B,"&lt;="&amp;'Cash Flow'!AY$3,'Wells Fargo'!$B:$B,"&gt;"&amp;'Cash Flow'!AX$3)</f>
        <v>0</v>
      </c>
      <c r="AZ58" s="189">
        <f>SUMIFS('Wells Fargo'!$F:$F,'Wells Fargo'!$G:$G,'Cash Flow'!$A58,'Wells Fargo'!$A:$A,AZ$1,'Wells Fargo'!$B:$B,"&lt;="&amp;'Cash Flow'!AZ$3)</f>
        <v>0</v>
      </c>
      <c r="BA58" s="188">
        <f>SUMIFS('Wells Fargo'!$F:$F,'Wells Fargo'!$G:$G,'Cash Flow'!$A58,'Wells Fargo'!$A:$A,BA$1,'Wells Fargo'!$B:$B,"&lt;="&amp;'Cash Flow'!BA$3,'Wells Fargo'!$B:$B,"&gt;"&amp;'Cash Flow'!AZ$3)</f>
        <v>0</v>
      </c>
      <c r="BB58" s="188">
        <f>SUMIFS('Wells Fargo'!$F:$F,'Wells Fargo'!$G:$G,'Cash Flow'!$A58,'Wells Fargo'!$A:$A,BB$1,'Wells Fargo'!$B:$B,"&lt;="&amp;'Cash Flow'!BB$3,'Wells Fargo'!$B:$B,"&gt;"&amp;'Cash Flow'!BA$3)</f>
        <v>0</v>
      </c>
      <c r="BC58" s="188">
        <f>SUMIFS('Wells Fargo'!$F:$F,'Wells Fargo'!$G:$G,'Cash Flow'!$A58,'Wells Fargo'!$A:$A,BC$1,'Wells Fargo'!$B:$B,"&lt;="&amp;'Cash Flow'!BC$3,'Wells Fargo'!$B:$B,"&gt;"&amp;'Cash Flow'!BB$3)</f>
        <v>0</v>
      </c>
      <c r="BD58" s="188">
        <f>SUMIFS('Wells Fargo'!$F:$F,'Wells Fargo'!$G:$G,'Cash Flow'!$A58,'Wells Fargo'!$A:$A,BD$1,'Wells Fargo'!$B:$B,"&lt;="&amp;'Cash Flow'!BD$3,'Wells Fargo'!$B:$B,"&gt;"&amp;'Cash Flow'!BC$3)</f>
        <v>0</v>
      </c>
      <c r="BE58" s="189">
        <f>SUMIFS('Wells Fargo'!$F:$F,'Wells Fargo'!$G:$G,'Cash Flow'!$A58,'Wells Fargo'!$A:$A,BE$1,'Wells Fargo'!$B:$B,"&lt;="&amp;'Cash Flow'!BE$3)</f>
        <v>0</v>
      </c>
      <c r="BF58" s="188">
        <f>SUMIFS('Wells Fargo'!$F:$F,'Wells Fargo'!$G:$G,'Cash Flow'!$A58,'Wells Fargo'!$A:$A,BF$1,'Wells Fargo'!$B:$B,"&lt;="&amp;'Cash Flow'!BF$3,'Wells Fargo'!$B:$B,"&gt;"&amp;'Cash Flow'!BE$3)</f>
        <v>0</v>
      </c>
      <c r="BG58" s="188">
        <f>SUMIFS('Wells Fargo'!$F:$F,'Wells Fargo'!$G:$G,'Cash Flow'!$A58,'Wells Fargo'!$A:$A,BG$1,'Wells Fargo'!$B:$B,"&lt;="&amp;'Cash Flow'!BG$3,'Wells Fargo'!$B:$B,"&gt;"&amp;'Cash Flow'!BF$3)</f>
        <v>0</v>
      </c>
      <c r="BH58" s="188">
        <f>SUMIFS('Wells Fargo'!$F:$F,'Wells Fargo'!$G:$G,'Cash Flow'!$A58,'Wells Fargo'!$A:$A,BH$1,'Wells Fargo'!$B:$B,"&lt;="&amp;'Cash Flow'!BH$3,'Wells Fargo'!$B:$B,"&gt;"&amp;'Cash Flow'!BG$3)</f>
        <v>0</v>
      </c>
      <c r="BI58" s="188">
        <f>SUMIFS('Wells Fargo'!$F:$F,'Wells Fargo'!$G:$G,'Cash Flow'!$A58,'Wells Fargo'!$A:$A,BI$1,'Wells Fargo'!$B:$B,"&lt;="&amp;'Cash Flow'!BI$3,'Wells Fargo'!$B:$B,"&gt;"&amp;'Cash Flow'!BH$3)</f>
        <v>0</v>
      </c>
    </row>
    <row r="59" spans="1:61" ht="12.75" x14ac:dyDescent="0.2">
      <c r="A59" t="str">
        <v>Tax Return</v>
      </c>
      <c r="B59" s="87">
        <f t="shared" si="2"/>
        <v>2475</v>
      </c>
      <c r="C59" s="189">
        <f>SUMIFS('Wells Fargo'!$F:$F,'Wells Fargo'!$G:$G,'Cash Flow'!$A59,'Wells Fargo'!$A:$A,C$1,'Wells Fargo'!$B:$B,"&lt;="&amp;'Cash Flow'!C$3)</f>
        <v>0</v>
      </c>
      <c r="D59" s="188">
        <f>SUMIFS('Wells Fargo'!$F:$F,'Wells Fargo'!$G:$G,'Cash Flow'!$A59,'Wells Fargo'!$A:$A,D$1,'Wells Fargo'!$B:$B,"&lt;="&amp;'Cash Flow'!D$3,'Wells Fargo'!$B:$B,"&gt;"&amp;'Cash Flow'!C$3)</f>
        <v>0</v>
      </c>
      <c r="E59" s="188">
        <f>SUMIFS('Wells Fargo'!$F:$F,'Wells Fargo'!$G:$G,'Cash Flow'!$A59,'Wells Fargo'!$A:$A,E$1,'Wells Fargo'!$B:$B,"&lt;="&amp;'Cash Flow'!E$3,'Wells Fargo'!$B:$B,"&gt;"&amp;'Cash Flow'!D$3)</f>
        <v>0</v>
      </c>
      <c r="F59" s="188">
        <f>SUMIFS('Wells Fargo'!$F:$F,'Wells Fargo'!$G:$G,'Cash Flow'!$A59,'Wells Fargo'!$A:$A,F$1,'Wells Fargo'!$B:$B,"&lt;="&amp;'Cash Flow'!F$3,'Wells Fargo'!$B:$B,"&gt;"&amp;'Cash Flow'!E$3)</f>
        <v>0</v>
      </c>
      <c r="G59" s="188">
        <f>SUMIFS('Wells Fargo'!$F:$F,'Wells Fargo'!$G:$G,'Cash Flow'!$A59,'Wells Fargo'!$A:$A,G$1,'Wells Fargo'!$B:$B,"&lt;="&amp;'Cash Flow'!G$3,'Wells Fargo'!$B:$B,"&gt;"&amp;'Cash Flow'!F$3)</f>
        <v>0</v>
      </c>
      <c r="H59" s="189">
        <f>SUMIFS('Wells Fargo'!$F:$F,'Wells Fargo'!$G:$G,'Cash Flow'!$A59,'Wells Fargo'!$A:$A,H$1,'Wells Fargo'!$B:$B,"&lt;="&amp;'Cash Flow'!H$3)</f>
        <v>0</v>
      </c>
      <c r="I59" s="188">
        <f>SUMIFS('Wells Fargo'!$F:$F,'Wells Fargo'!$G:$G,'Cash Flow'!$A59,'Wells Fargo'!$A:$A,I$1,'Wells Fargo'!$B:$B,"&lt;="&amp;'Cash Flow'!I$3,'Wells Fargo'!$B:$B,"&gt;"&amp;'Cash Flow'!H$3)</f>
        <v>0</v>
      </c>
      <c r="J59" s="188">
        <f>SUMIFS('Wells Fargo'!$F:$F,'Wells Fargo'!$G:$G,'Cash Flow'!$A59,'Wells Fargo'!$A:$A,J$1,'Wells Fargo'!$B:$B,"&lt;="&amp;'Cash Flow'!J$3,'Wells Fargo'!$B:$B,"&gt;"&amp;'Cash Flow'!I$3)</f>
        <v>0</v>
      </c>
      <c r="K59" s="188">
        <f>SUMIFS('Wells Fargo'!$F:$F,'Wells Fargo'!$G:$G,'Cash Flow'!$A59,'Wells Fargo'!$A:$A,K$1,'Wells Fargo'!$B:$B,"&lt;="&amp;'Cash Flow'!K$3,'Wells Fargo'!$B:$B,"&gt;"&amp;'Cash Flow'!J$3)</f>
        <v>2420</v>
      </c>
      <c r="L59" s="189">
        <f>SUMIFS('Wells Fargo'!$F:$F,'Wells Fargo'!$G:$G,'Cash Flow'!$A59,'Wells Fargo'!$A:$A,L$1,'Wells Fargo'!$B:$B,"&lt;="&amp;'Cash Flow'!L$3)</f>
        <v>0</v>
      </c>
      <c r="M59" s="188">
        <f>SUMIFS('Wells Fargo'!$F:$F,'Wells Fargo'!$G:$G,'Cash Flow'!$A59,'Wells Fargo'!$A:$A,M$1,'Wells Fargo'!$B:$B,"&lt;="&amp;'Cash Flow'!M$3,'Wells Fargo'!$B:$B,"&gt;"&amp;'Cash Flow'!L$3)</f>
        <v>55</v>
      </c>
      <c r="N59" s="188">
        <f>SUMIFS('Wells Fargo'!$F:$F,'Wells Fargo'!$G:$G,'Cash Flow'!$A59,'Wells Fargo'!$A:$A,N$1,'Wells Fargo'!$B:$B,"&lt;="&amp;'Cash Flow'!N$3,'Wells Fargo'!$B:$B,"&gt;"&amp;'Cash Flow'!M$3)</f>
        <v>0</v>
      </c>
      <c r="O59" s="188">
        <f>SUMIFS('Wells Fargo'!$F:$F,'Wells Fargo'!$G:$G,'Cash Flow'!$A59,'Wells Fargo'!$A:$A,O$1,'Wells Fargo'!$B:$B,"&lt;="&amp;'Cash Flow'!O$3,'Wells Fargo'!$B:$B,"&gt;"&amp;'Cash Flow'!N$3)</f>
        <v>0</v>
      </c>
      <c r="P59" s="188">
        <f>SUMIFS('Wells Fargo'!$F:$F,'Wells Fargo'!$G:$G,'Cash Flow'!$A59,'Wells Fargo'!$A:$A,P$1,'Wells Fargo'!$B:$B,"&lt;="&amp;'Cash Flow'!P$3,'Wells Fargo'!$B:$B,"&gt;"&amp;'Cash Flow'!O$3)</f>
        <v>0</v>
      </c>
      <c r="Q59" s="189">
        <f>SUMIFS('Wells Fargo'!$F:$F,'Wells Fargo'!$G:$G,'Cash Flow'!$A59,'Wells Fargo'!$A:$A,Q$1,'Wells Fargo'!$B:$B,"&lt;="&amp;'Cash Flow'!Q$3)</f>
        <v>0</v>
      </c>
      <c r="R59" s="188">
        <f>SUMIFS('Wells Fargo'!$F:$F,'Wells Fargo'!$G:$G,'Cash Flow'!$A59,'Wells Fargo'!$A:$A,R$1,'Wells Fargo'!$B:$B,"&lt;="&amp;'Cash Flow'!R$3,'Wells Fargo'!$B:$B,"&gt;"&amp;'Cash Flow'!Q$3)</f>
        <v>0</v>
      </c>
      <c r="S59" s="188">
        <f>SUMIFS('Wells Fargo'!$F:$F,'Wells Fargo'!$G:$G,'Cash Flow'!$A59,'Wells Fargo'!$A:$A,S$1,'Wells Fargo'!$B:$B,"&lt;="&amp;'Cash Flow'!S$3,'Wells Fargo'!$B:$B,"&gt;"&amp;'Cash Flow'!R$3)</f>
        <v>0</v>
      </c>
      <c r="T59" s="188">
        <f>SUMIFS('Wells Fargo'!$F:$F,'Wells Fargo'!$G:$G,'Cash Flow'!$A59,'Wells Fargo'!$A:$A,T$1,'Wells Fargo'!$B:$B,"&lt;="&amp;'Cash Flow'!T$3,'Wells Fargo'!$B:$B,"&gt;"&amp;'Cash Flow'!S$3)</f>
        <v>0</v>
      </c>
      <c r="U59" s="188">
        <f>SUMIFS('Wells Fargo'!$F:$F,'Wells Fargo'!$G:$G,'Cash Flow'!$A59,'Wells Fargo'!$A:$A,U$1,'Wells Fargo'!$B:$B,"&lt;="&amp;'Cash Flow'!U$3,'Wells Fargo'!$B:$B,"&gt;"&amp;'Cash Flow'!T$3)</f>
        <v>0</v>
      </c>
      <c r="V59" s="189">
        <f>SUMIFS('Wells Fargo'!$F:$F,'Wells Fargo'!$G:$G,'Cash Flow'!$A59,'Wells Fargo'!$A:$A,V$1,'Wells Fargo'!$B:$B,"&lt;="&amp;'Cash Flow'!V$3)</f>
        <v>0</v>
      </c>
      <c r="W59" s="188">
        <f>SUMIFS('Wells Fargo'!$F:$F,'Wells Fargo'!$G:$G,'Cash Flow'!$A59,'Wells Fargo'!$A:$A,W$1,'Wells Fargo'!$B:$B,"&lt;="&amp;'Cash Flow'!W$3,'Wells Fargo'!$B:$B,"&gt;"&amp;'Cash Flow'!V$3)</f>
        <v>0</v>
      </c>
      <c r="X59" s="188">
        <f>SUMIFS('Wells Fargo'!$F:$F,'Wells Fargo'!$G:$G,'Cash Flow'!$A59,'Wells Fargo'!$A:$A,X$1,'Wells Fargo'!$B:$B,"&lt;="&amp;'Cash Flow'!X$3,'Wells Fargo'!$B:$B,"&gt;"&amp;'Cash Flow'!W$3)</f>
        <v>0</v>
      </c>
      <c r="Y59" s="188">
        <f>SUMIFS('Wells Fargo'!$F:$F,'Wells Fargo'!$G:$G,'Cash Flow'!$A59,'Wells Fargo'!$A:$A,Y$1,'Wells Fargo'!$B:$B,"&lt;="&amp;'Cash Flow'!Y$3,'Wells Fargo'!$B:$B,"&gt;"&amp;'Cash Flow'!X$3)</f>
        <v>0</v>
      </c>
      <c r="Z59" s="188">
        <f>SUMIFS('Wells Fargo'!$F:$F,'Wells Fargo'!$G:$G,'Cash Flow'!$A59,'Wells Fargo'!$A:$A,Z$1,'Wells Fargo'!$B:$B,"&lt;="&amp;'Cash Flow'!Z$3,'Wells Fargo'!$B:$B,"&gt;"&amp;'Cash Flow'!Y$3)</f>
        <v>0</v>
      </c>
      <c r="AA59" s="189">
        <f>SUMIFS('Wells Fargo'!$F:$F,'Wells Fargo'!$G:$G,'Cash Flow'!$A59,'Wells Fargo'!$A:$A,AA$1,'Wells Fargo'!$B:$B,"&lt;="&amp;'Cash Flow'!AA$3)</f>
        <v>0</v>
      </c>
      <c r="AB59" s="188">
        <f>SUMIFS('Wells Fargo'!$F:$F,'Wells Fargo'!$G:$G,'Cash Flow'!$A59,'Wells Fargo'!$A:$A,AB$1,'Wells Fargo'!$B:$B,"&lt;="&amp;'Cash Flow'!AB$3,'Wells Fargo'!$B:$B,"&gt;"&amp;'Cash Flow'!AA$3)</f>
        <v>0</v>
      </c>
      <c r="AC59" s="188">
        <f>SUMIFS('Wells Fargo'!$F:$F,'Wells Fargo'!$G:$G,'Cash Flow'!$A59,'Wells Fargo'!$A:$A,AC$1,'Wells Fargo'!$B:$B,"&lt;="&amp;'Cash Flow'!AC$3,'Wells Fargo'!$B:$B,"&gt;"&amp;'Cash Flow'!AB$3)</f>
        <v>0</v>
      </c>
      <c r="AD59" s="188">
        <f>SUMIFS('Wells Fargo'!$F:$F,'Wells Fargo'!$G:$G,'Cash Flow'!$A59,'Wells Fargo'!$A:$A,AD$1,'Wells Fargo'!$B:$B,"&lt;="&amp;'Cash Flow'!AD$3,'Wells Fargo'!$B:$B,"&gt;"&amp;'Cash Flow'!AC$3)</f>
        <v>0</v>
      </c>
      <c r="AE59" s="188">
        <f>SUMIFS('Wells Fargo'!$F:$F,'Wells Fargo'!$G:$G,'Cash Flow'!$A59,'Wells Fargo'!$A:$A,AE$1,'Wells Fargo'!$B:$B,"&lt;="&amp;'Cash Flow'!AE$3,'Wells Fargo'!$B:$B,"&gt;"&amp;'Cash Flow'!AD$3)</f>
        <v>0</v>
      </c>
      <c r="AF59" s="189">
        <f>SUMIFS('Wells Fargo'!$F:$F,'Wells Fargo'!$G:$G,'Cash Flow'!$A59,'Wells Fargo'!$A:$A,AF$1,'Wells Fargo'!$B:$B,"&lt;="&amp;'Cash Flow'!AF$3)</f>
        <v>0</v>
      </c>
      <c r="AG59" s="188">
        <f>SUMIFS('Wells Fargo'!$F:$F,'Wells Fargo'!$G:$G,'Cash Flow'!$A59,'Wells Fargo'!$A:$A,AG$1,'Wells Fargo'!$B:$B,"&lt;="&amp;'Cash Flow'!AG$3,'Wells Fargo'!$B:$B,"&gt;"&amp;'Cash Flow'!AF$3)</f>
        <v>0</v>
      </c>
      <c r="AH59" s="188">
        <f>SUMIFS('Wells Fargo'!$F:$F,'Wells Fargo'!$G:$G,'Cash Flow'!$A59,'Wells Fargo'!$A:$A,AH$1,'Wells Fargo'!$B:$B,"&lt;="&amp;'Cash Flow'!AH$3,'Wells Fargo'!$B:$B,"&gt;"&amp;'Cash Flow'!AG$3)</f>
        <v>0</v>
      </c>
      <c r="AI59" s="188">
        <f>SUMIFS('Wells Fargo'!$F:$F,'Wells Fargo'!$G:$G,'Cash Flow'!$A59,'Wells Fargo'!$A:$A,AI$1,'Wells Fargo'!$B:$B,"&lt;="&amp;'Cash Flow'!AI$3,'Wells Fargo'!$B:$B,"&gt;"&amp;'Cash Flow'!AH$3)</f>
        <v>0</v>
      </c>
      <c r="AJ59" s="188">
        <f>SUMIFS('Wells Fargo'!$F:$F,'Wells Fargo'!$G:$G,'Cash Flow'!$A59,'Wells Fargo'!$A:$A,AJ$1,'Wells Fargo'!$B:$B,"&lt;="&amp;'Cash Flow'!AJ$3,'Wells Fargo'!$B:$B,"&gt;"&amp;'Cash Flow'!AI$3)</f>
        <v>0</v>
      </c>
      <c r="AK59" s="189">
        <f>SUMIFS('Wells Fargo'!$F:$F,'Wells Fargo'!$G:$G,'Cash Flow'!$A59,'Wells Fargo'!$A:$A,AK$1,'Wells Fargo'!$B:$B,"&lt;="&amp;'Cash Flow'!AK$3)</f>
        <v>0</v>
      </c>
      <c r="AL59" s="188">
        <f>SUMIFS('Wells Fargo'!$F:$F,'Wells Fargo'!$G:$G,'Cash Flow'!$A59,'Wells Fargo'!$A:$A,AL$1,'Wells Fargo'!$B:$B,"&lt;="&amp;'Cash Flow'!AL$3,'Wells Fargo'!$B:$B,"&gt;"&amp;'Cash Flow'!AK$3)</f>
        <v>0</v>
      </c>
      <c r="AM59" s="188">
        <f>SUMIFS('Wells Fargo'!$F:$F,'Wells Fargo'!$G:$G,'Cash Flow'!$A59,'Wells Fargo'!$A:$A,AM$1,'Wells Fargo'!$B:$B,"&lt;="&amp;'Cash Flow'!AM$3,'Wells Fargo'!$B:$B,"&gt;"&amp;'Cash Flow'!AL$3)</f>
        <v>0</v>
      </c>
      <c r="AN59" s="188">
        <f>SUMIFS('Wells Fargo'!$F:$F,'Wells Fargo'!$G:$G,'Cash Flow'!$A59,'Wells Fargo'!$A:$A,AN$1,'Wells Fargo'!$B:$B,"&lt;="&amp;'Cash Flow'!AN$3,'Wells Fargo'!$B:$B,"&gt;"&amp;'Cash Flow'!AM$3)</f>
        <v>0</v>
      </c>
      <c r="AO59" s="188">
        <f>SUMIFS('Wells Fargo'!$F:$F,'Wells Fargo'!$G:$G,'Cash Flow'!$A59,'Wells Fargo'!$A:$A,AO$1,'Wells Fargo'!$B:$B,"&lt;="&amp;'Cash Flow'!AO$3,'Wells Fargo'!$B:$B,"&gt;"&amp;'Cash Flow'!AN$3)</f>
        <v>0</v>
      </c>
      <c r="AP59" s="189">
        <f>SUMIFS('Wells Fargo'!$F:$F,'Wells Fargo'!$G:$G,'Cash Flow'!$A59,'Wells Fargo'!$A:$A,AP$1,'Wells Fargo'!$B:$B,"&lt;="&amp;'Cash Flow'!AP$3)</f>
        <v>0</v>
      </c>
      <c r="AQ59" s="188">
        <f>SUMIFS('Wells Fargo'!$F:$F,'Wells Fargo'!$G:$G,'Cash Flow'!$A59,'Wells Fargo'!$A:$A,AQ$1,'Wells Fargo'!$B:$B,"&lt;="&amp;'Cash Flow'!AQ$3,'Wells Fargo'!$B:$B,"&gt;"&amp;'Cash Flow'!AP$3)</f>
        <v>0</v>
      </c>
      <c r="AR59" s="188">
        <f>SUMIFS('Wells Fargo'!$F:$F,'Wells Fargo'!$G:$G,'Cash Flow'!$A59,'Wells Fargo'!$A:$A,AR$1,'Wells Fargo'!$B:$B,"&lt;="&amp;'Cash Flow'!AR$3,'Wells Fargo'!$B:$B,"&gt;"&amp;'Cash Flow'!AQ$3)</f>
        <v>0</v>
      </c>
      <c r="AS59" s="188">
        <f>SUMIFS('Wells Fargo'!$F:$F,'Wells Fargo'!$G:$G,'Cash Flow'!$A59,'Wells Fargo'!$A:$A,AS$1,'Wells Fargo'!$B:$B,"&lt;="&amp;'Cash Flow'!AS$3,'Wells Fargo'!$B:$B,"&gt;"&amp;'Cash Flow'!AR$3)</f>
        <v>0</v>
      </c>
      <c r="AT59" s="188">
        <f>SUMIFS('Wells Fargo'!$F:$F,'Wells Fargo'!$G:$G,'Cash Flow'!$A59,'Wells Fargo'!$A:$A,AT$1,'Wells Fargo'!$B:$B,"&lt;="&amp;'Cash Flow'!AT$3,'Wells Fargo'!$B:$B,"&gt;"&amp;'Cash Flow'!AS$3)</f>
        <v>0</v>
      </c>
      <c r="AU59" s="189">
        <f>SUMIFS('Wells Fargo'!$F:$F,'Wells Fargo'!$G:$G,'Cash Flow'!$A59,'Wells Fargo'!$A:$A,AU$1,'Wells Fargo'!$B:$B,"&lt;="&amp;'Cash Flow'!AU$3)</f>
        <v>0</v>
      </c>
      <c r="AV59" s="188">
        <f>SUMIFS('Wells Fargo'!$F:$F,'Wells Fargo'!$G:$G,'Cash Flow'!$A59,'Wells Fargo'!$A:$A,AV$1,'Wells Fargo'!$B:$B,"&lt;="&amp;'Cash Flow'!AV$3,'Wells Fargo'!$B:$B,"&gt;"&amp;'Cash Flow'!AU$3)</f>
        <v>0</v>
      </c>
      <c r="AW59" s="188">
        <f>SUMIFS('Wells Fargo'!$F:$F,'Wells Fargo'!$G:$G,'Cash Flow'!$A59,'Wells Fargo'!$A:$A,AW$1,'Wells Fargo'!$B:$B,"&lt;="&amp;'Cash Flow'!AW$3,'Wells Fargo'!$B:$B,"&gt;"&amp;'Cash Flow'!AV$3)</f>
        <v>0</v>
      </c>
      <c r="AX59" s="188">
        <f>SUMIFS('Wells Fargo'!$F:$F,'Wells Fargo'!$G:$G,'Cash Flow'!$A59,'Wells Fargo'!$A:$A,AX$1,'Wells Fargo'!$B:$B,"&lt;="&amp;'Cash Flow'!AX$3,'Wells Fargo'!$B:$B,"&gt;"&amp;'Cash Flow'!AW$3)</f>
        <v>0</v>
      </c>
      <c r="AY59" s="188">
        <f>SUMIFS('Wells Fargo'!$F:$F,'Wells Fargo'!$G:$G,'Cash Flow'!$A59,'Wells Fargo'!$A:$A,AY$1,'Wells Fargo'!$B:$B,"&lt;="&amp;'Cash Flow'!AY$3,'Wells Fargo'!$B:$B,"&gt;"&amp;'Cash Flow'!AX$3)</f>
        <v>0</v>
      </c>
      <c r="AZ59" s="189">
        <f>SUMIFS('Wells Fargo'!$F:$F,'Wells Fargo'!$G:$G,'Cash Flow'!$A59,'Wells Fargo'!$A:$A,AZ$1,'Wells Fargo'!$B:$B,"&lt;="&amp;'Cash Flow'!AZ$3)</f>
        <v>0</v>
      </c>
      <c r="BA59" s="188">
        <f>SUMIFS('Wells Fargo'!$F:$F,'Wells Fargo'!$G:$G,'Cash Flow'!$A59,'Wells Fargo'!$A:$A,BA$1,'Wells Fargo'!$B:$B,"&lt;="&amp;'Cash Flow'!BA$3,'Wells Fargo'!$B:$B,"&gt;"&amp;'Cash Flow'!AZ$3)</f>
        <v>0</v>
      </c>
      <c r="BB59" s="188">
        <f>SUMIFS('Wells Fargo'!$F:$F,'Wells Fargo'!$G:$G,'Cash Flow'!$A59,'Wells Fargo'!$A:$A,BB$1,'Wells Fargo'!$B:$B,"&lt;="&amp;'Cash Flow'!BB$3,'Wells Fargo'!$B:$B,"&gt;"&amp;'Cash Flow'!BA$3)</f>
        <v>0</v>
      </c>
      <c r="BC59" s="188">
        <f>SUMIFS('Wells Fargo'!$F:$F,'Wells Fargo'!$G:$G,'Cash Flow'!$A59,'Wells Fargo'!$A:$A,BC$1,'Wells Fargo'!$B:$B,"&lt;="&amp;'Cash Flow'!BC$3,'Wells Fargo'!$B:$B,"&gt;"&amp;'Cash Flow'!BB$3)</f>
        <v>0</v>
      </c>
      <c r="BD59" s="188">
        <f>SUMIFS('Wells Fargo'!$F:$F,'Wells Fargo'!$G:$G,'Cash Flow'!$A59,'Wells Fargo'!$A:$A,BD$1,'Wells Fargo'!$B:$B,"&lt;="&amp;'Cash Flow'!BD$3,'Wells Fargo'!$B:$B,"&gt;"&amp;'Cash Flow'!BC$3)</f>
        <v>0</v>
      </c>
      <c r="BE59" s="189">
        <f>SUMIFS('Wells Fargo'!$F:$F,'Wells Fargo'!$G:$G,'Cash Flow'!$A59,'Wells Fargo'!$A:$A,BE$1,'Wells Fargo'!$B:$B,"&lt;="&amp;'Cash Flow'!BE$3)</f>
        <v>0</v>
      </c>
      <c r="BF59" s="188">
        <f>SUMIFS('Wells Fargo'!$F:$F,'Wells Fargo'!$G:$G,'Cash Flow'!$A59,'Wells Fargo'!$A:$A,BF$1,'Wells Fargo'!$B:$B,"&lt;="&amp;'Cash Flow'!BF$3,'Wells Fargo'!$B:$B,"&gt;"&amp;'Cash Flow'!BE$3)</f>
        <v>0</v>
      </c>
      <c r="BG59" s="188">
        <f>SUMIFS('Wells Fargo'!$F:$F,'Wells Fargo'!$G:$G,'Cash Flow'!$A59,'Wells Fargo'!$A:$A,BG$1,'Wells Fargo'!$B:$B,"&lt;="&amp;'Cash Flow'!BG$3,'Wells Fargo'!$B:$B,"&gt;"&amp;'Cash Flow'!BF$3)</f>
        <v>0</v>
      </c>
      <c r="BH59" s="188">
        <f>SUMIFS('Wells Fargo'!$F:$F,'Wells Fargo'!$G:$G,'Cash Flow'!$A59,'Wells Fargo'!$A:$A,BH$1,'Wells Fargo'!$B:$B,"&lt;="&amp;'Cash Flow'!BH$3,'Wells Fargo'!$B:$B,"&gt;"&amp;'Cash Flow'!BG$3)</f>
        <v>0</v>
      </c>
      <c r="BI59" s="188">
        <f>SUMIFS('Wells Fargo'!$F:$F,'Wells Fargo'!$G:$G,'Cash Flow'!$A59,'Wells Fargo'!$A:$A,BI$1,'Wells Fargo'!$B:$B,"&lt;="&amp;'Cash Flow'!BI$3,'Wells Fargo'!$B:$B,"&gt;"&amp;'Cash Flow'!BH$3)</f>
        <v>0</v>
      </c>
    </row>
    <row r="60" spans="1:61" ht="12.75" x14ac:dyDescent="0.2">
      <c r="A60" t="str">
        <v>Tennis Private Lesson</v>
      </c>
      <c r="B60" s="87">
        <f t="shared" si="2"/>
        <v>-70</v>
      </c>
      <c r="C60" s="189">
        <f>SUMIFS('Wells Fargo'!$F:$F,'Wells Fargo'!$G:$G,'Cash Flow'!$A60,'Wells Fargo'!$A:$A,C$1,'Wells Fargo'!$B:$B,"&lt;="&amp;'Cash Flow'!C$3)</f>
        <v>0</v>
      </c>
      <c r="D60" s="188">
        <f>SUMIFS('Wells Fargo'!$F:$F,'Wells Fargo'!$G:$G,'Cash Flow'!$A60,'Wells Fargo'!$A:$A,D$1,'Wells Fargo'!$B:$B,"&lt;="&amp;'Cash Flow'!D$3,'Wells Fargo'!$B:$B,"&gt;"&amp;'Cash Flow'!C$3)</f>
        <v>0</v>
      </c>
      <c r="E60" s="188">
        <f>SUMIFS('Wells Fargo'!$F:$F,'Wells Fargo'!$G:$G,'Cash Flow'!$A60,'Wells Fargo'!$A:$A,E$1,'Wells Fargo'!$B:$B,"&lt;="&amp;'Cash Flow'!E$3,'Wells Fargo'!$B:$B,"&gt;"&amp;'Cash Flow'!D$3)</f>
        <v>0</v>
      </c>
      <c r="F60" s="188">
        <f>SUMIFS('Wells Fargo'!$F:$F,'Wells Fargo'!$G:$G,'Cash Flow'!$A60,'Wells Fargo'!$A:$A,F$1,'Wells Fargo'!$B:$B,"&lt;="&amp;'Cash Flow'!F$3,'Wells Fargo'!$B:$B,"&gt;"&amp;'Cash Flow'!E$3)</f>
        <v>0</v>
      </c>
      <c r="G60" s="188">
        <f>SUMIFS('Wells Fargo'!$F:$F,'Wells Fargo'!$G:$G,'Cash Flow'!$A60,'Wells Fargo'!$A:$A,G$1,'Wells Fargo'!$B:$B,"&lt;="&amp;'Cash Flow'!G$3,'Wells Fargo'!$B:$B,"&gt;"&amp;'Cash Flow'!F$3)</f>
        <v>0</v>
      </c>
      <c r="H60" s="189">
        <f>SUMIFS('Wells Fargo'!$F:$F,'Wells Fargo'!$G:$G,'Cash Flow'!$A60,'Wells Fargo'!$A:$A,H$1,'Wells Fargo'!$B:$B,"&lt;="&amp;'Cash Flow'!H$3)</f>
        <v>0</v>
      </c>
      <c r="I60" s="188">
        <f>SUMIFS('Wells Fargo'!$F:$F,'Wells Fargo'!$G:$G,'Cash Flow'!$A60,'Wells Fargo'!$A:$A,I$1,'Wells Fargo'!$B:$B,"&lt;="&amp;'Cash Flow'!I$3,'Wells Fargo'!$B:$B,"&gt;"&amp;'Cash Flow'!H$3)</f>
        <v>0</v>
      </c>
      <c r="J60" s="188">
        <f>SUMIFS('Wells Fargo'!$F:$F,'Wells Fargo'!$G:$G,'Cash Flow'!$A60,'Wells Fargo'!$A:$A,J$1,'Wells Fargo'!$B:$B,"&lt;="&amp;'Cash Flow'!J$3,'Wells Fargo'!$B:$B,"&gt;"&amp;'Cash Flow'!I$3)</f>
        <v>0</v>
      </c>
      <c r="K60" s="188">
        <f>SUMIFS('Wells Fargo'!$F:$F,'Wells Fargo'!$G:$G,'Cash Flow'!$A60,'Wells Fargo'!$A:$A,K$1,'Wells Fargo'!$B:$B,"&lt;="&amp;'Cash Flow'!K$3,'Wells Fargo'!$B:$B,"&gt;"&amp;'Cash Flow'!J$3)</f>
        <v>0</v>
      </c>
      <c r="L60" s="189">
        <f>SUMIFS('Wells Fargo'!$F:$F,'Wells Fargo'!$G:$G,'Cash Flow'!$A60,'Wells Fargo'!$A:$A,L$1,'Wells Fargo'!$B:$B,"&lt;="&amp;'Cash Flow'!L$3)</f>
        <v>0</v>
      </c>
      <c r="M60" s="188">
        <f>SUMIFS('Wells Fargo'!$F:$F,'Wells Fargo'!$G:$G,'Cash Flow'!$A60,'Wells Fargo'!$A:$A,M$1,'Wells Fargo'!$B:$B,"&lt;="&amp;'Cash Flow'!M$3,'Wells Fargo'!$B:$B,"&gt;"&amp;'Cash Flow'!L$3)</f>
        <v>0</v>
      </c>
      <c r="N60" s="188">
        <f>SUMIFS('Wells Fargo'!$F:$F,'Wells Fargo'!$G:$G,'Cash Flow'!$A60,'Wells Fargo'!$A:$A,N$1,'Wells Fargo'!$B:$B,"&lt;="&amp;'Cash Flow'!N$3,'Wells Fargo'!$B:$B,"&gt;"&amp;'Cash Flow'!M$3)</f>
        <v>0</v>
      </c>
      <c r="O60" s="188">
        <f>SUMIFS('Wells Fargo'!$F:$F,'Wells Fargo'!$G:$G,'Cash Flow'!$A60,'Wells Fargo'!$A:$A,O$1,'Wells Fargo'!$B:$B,"&lt;="&amp;'Cash Flow'!O$3,'Wells Fargo'!$B:$B,"&gt;"&amp;'Cash Flow'!N$3)</f>
        <v>0</v>
      </c>
      <c r="P60" s="188">
        <f>SUMIFS('Wells Fargo'!$F:$F,'Wells Fargo'!$G:$G,'Cash Flow'!$A60,'Wells Fargo'!$A:$A,P$1,'Wells Fargo'!$B:$B,"&lt;="&amp;'Cash Flow'!P$3,'Wells Fargo'!$B:$B,"&gt;"&amp;'Cash Flow'!O$3)</f>
        <v>0</v>
      </c>
      <c r="Q60" s="189">
        <f>SUMIFS('Wells Fargo'!$F:$F,'Wells Fargo'!$G:$G,'Cash Flow'!$A60,'Wells Fargo'!$A:$A,Q$1,'Wells Fargo'!$B:$B,"&lt;="&amp;'Cash Flow'!Q$3)</f>
        <v>0</v>
      </c>
      <c r="R60" s="188">
        <f>SUMIFS('Wells Fargo'!$F:$F,'Wells Fargo'!$G:$G,'Cash Flow'!$A60,'Wells Fargo'!$A:$A,R$1,'Wells Fargo'!$B:$B,"&lt;="&amp;'Cash Flow'!R$3,'Wells Fargo'!$B:$B,"&gt;"&amp;'Cash Flow'!Q$3)</f>
        <v>0</v>
      </c>
      <c r="S60" s="188">
        <f>SUMIFS('Wells Fargo'!$F:$F,'Wells Fargo'!$G:$G,'Cash Flow'!$A60,'Wells Fargo'!$A:$A,S$1,'Wells Fargo'!$B:$B,"&lt;="&amp;'Cash Flow'!S$3,'Wells Fargo'!$B:$B,"&gt;"&amp;'Cash Flow'!R$3)</f>
        <v>0</v>
      </c>
      <c r="T60" s="188">
        <f>SUMIFS('Wells Fargo'!$F:$F,'Wells Fargo'!$G:$G,'Cash Flow'!$A60,'Wells Fargo'!$A:$A,T$1,'Wells Fargo'!$B:$B,"&lt;="&amp;'Cash Flow'!T$3,'Wells Fargo'!$B:$B,"&gt;"&amp;'Cash Flow'!S$3)</f>
        <v>0</v>
      </c>
      <c r="U60" s="188">
        <f>SUMIFS('Wells Fargo'!$F:$F,'Wells Fargo'!$G:$G,'Cash Flow'!$A60,'Wells Fargo'!$A:$A,U$1,'Wells Fargo'!$B:$B,"&lt;="&amp;'Cash Flow'!U$3,'Wells Fargo'!$B:$B,"&gt;"&amp;'Cash Flow'!T$3)</f>
        <v>0</v>
      </c>
      <c r="V60" s="189">
        <f>SUMIFS('Wells Fargo'!$F:$F,'Wells Fargo'!$G:$G,'Cash Flow'!$A60,'Wells Fargo'!$A:$A,V$1,'Wells Fargo'!$B:$B,"&lt;="&amp;'Cash Flow'!V$3)</f>
        <v>0</v>
      </c>
      <c r="W60" s="188">
        <f>SUMIFS('Wells Fargo'!$F:$F,'Wells Fargo'!$G:$G,'Cash Flow'!$A60,'Wells Fargo'!$A:$A,W$1,'Wells Fargo'!$B:$B,"&lt;="&amp;'Cash Flow'!W$3,'Wells Fargo'!$B:$B,"&gt;"&amp;'Cash Flow'!V$3)</f>
        <v>0</v>
      </c>
      <c r="X60" s="188">
        <f>SUMIFS('Wells Fargo'!$F:$F,'Wells Fargo'!$G:$G,'Cash Flow'!$A60,'Wells Fargo'!$A:$A,X$1,'Wells Fargo'!$B:$B,"&lt;="&amp;'Cash Flow'!X$3,'Wells Fargo'!$B:$B,"&gt;"&amp;'Cash Flow'!W$3)</f>
        <v>0</v>
      </c>
      <c r="Y60" s="188">
        <f>SUMIFS('Wells Fargo'!$F:$F,'Wells Fargo'!$G:$G,'Cash Flow'!$A60,'Wells Fargo'!$A:$A,Y$1,'Wells Fargo'!$B:$B,"&lt;="&amp;'Cash Flow'!Y$3,'Wells Fargo'!$B:$B,"&gt;"&amp;'Cash Flow'!X$3)</f>
        <v>0</v>
      </c>
      <c r="Z60" s="188">
        <f>SUMIFS('Wells Fargo'!$F:$F,'Wells Fargo'!$G:$G,'Cash Flow'!$A60,'Wells Fargo'!$A:$A,Z$1,'Wells Fargo'!$B:$B,"&lt;="&amp;'Cash Flow'!Z$3,'Wells Fargo'!$B:$B,"&gt;"&amp;'Cash Flow'!Y$3)</f>
        <v>0</v>
      </c>
      <c r="AA60" s="189">
        <f>SUMIFS('Wells Fargo'!$F:$F,'Wells Fargo'!$G:$G,'Cash Flow'!$A60,'Wells Fargo'!$A:$A,AA$1,'Wells Fargo'!$B:$B,"&lt;="&amp;'Cash Flow'!AA$3)</f>
        <v>0</v>
      </c>
      <c r="AB60" s="188">
        <f>SUMIFS('Wells Fargo'!$F:$F,'Wells Fargo'!$G:$G,'Cash Flow'!$A60,'Wells Fargo'!$A:$A,AB$1,'Wells Fargo'!$B:$B,"&lt;="&amp;'Cash Flow'!AB$3,'Wells Fargo'!$B:$B,"&gt;"&amp;'Cash Flow'!AA$3)</f>
        <v>0</v>
      </c>
      <c r="AC60" s="188">
        <f>SUMIFS('Wells Fargo'!$F:$F,'Wells Fargo'!$G:$G,'Cash Flow'!$A60,'Wells Fargo'!$A:$A,AC$1,'Wells Fargo'!$B:$B,"&lt;="&amp;'Cash Flow'!AC$3,'Wells Fargo'!$B:$B,"&gt;"&amp;'Cash Flow'!AB$3)</f>
        <v>0</v>
      </c>
      <c r="AD60" s="188">
        <f>SUMIFS('Wells Fargo'!$F:$F,'Wells Fargo'!$G:$G,'Cash Flow'!$A60,'Wells Fargo'!$A:$A,AD$1,'Wells Fargo'!$B:$B,"&lt;="&amp;'Cash Flow'!AD$3,'Wells Fargo'!$B:$B,"&gt;"&amp;'Cash Flow'!AC$3)</f>
        <v>0</v>
      </c>
      <c r="AE60" s="188">
        <f>SUMIFS('Wells Fargo'!$F:$F,'Wells Fargo'!$G:$G,'Cash Flow'!$A60,'Wells Fargo'!$A:$A,AE$1,'Wells Fargo'!$B:$B,"&lt;="&amp;'Cash Flow'!AE$3,'Wells Fargo'!$B:$B,"&gt;"&amp;'Cash Flow'!AD$3)</f>
        <v>0</v>
      </c>
      <c r="AF60" s="189">
        <f>SUMIFS('Wells Fargo'!$F:$F,'Wells Fargo'!$G:$G,'Cash Flow'!$A60,'Wells Fargo'!$A:$A,AF$1,'Wells Fargo'!$B:$B,"&lt;="&amp;'Cash Flow'!AF$3)</f>
        <v>0</v>
      </c>
      <c r="AG60" s="188">
        <f>SUMIFS('Wells Fargo'!$F:$F,'Wells Fargo'!$G:$G,'Cash Flow'!$A60,'Wells Fargo'!$A:$A,AG$1,'Wells Fargo'!$B:$B,"&lt;="&amp;'Cash Flow'!AG$3,'Wells Fargo'!$B:$B,"&gt;"&amp;'Cash Flow'!AF$3)</f>
        <v>0</v>
      </c>
      <c r="AH60" s="188">
        <f>SUMIFS('Wells Fargo'!$F:$F,'Wells Fargo'!$G:$G,'Cash Flow'!$A60,'Wells Fargo'!$A:$A,AH$1,'Wells Fargo'!$B:$B,"&lt;="&amp;'Cash Flow'!AH$3,'Wells Fargo'!$B:$B,"&gt;"&amp;'Cash Flow'!AG$3)</f>
        <v>0</v>
      </c>
      <c r="AI60" s="188">
        <f>SUMIFS('Wells Fargo'!$F:$F,'Wells Fargo'!$G:$G,'Cash Flow'!$A60,'Wells Fargo'!$A:$A,AI$1,'Wells Fargo'!$B:$B,"&lt;="&amp;'Cash Flow'!AI$3,'Wells Fargo'!$B:$B,"&gt;"&amp;'Cash Flow'!AH$3)</f>
        <v>0</v>
      </c>
      <c r="AJ60" s="188">
        <f>SUMIFS('Wells Fargo'!$F:$F,'Wells Fargo'!$G:$G,'Cash Flow'!$A60,'Wells Fargo'!$A:$A,AJ$1,'Wells Fargo'!$B:$B,"&lt;="&amp;'Cash Flow'!AJ$3,'Wells Fargo'!$B:$B,"&gt;"&amp;'Cash Flow'!AI$3)</f>
        <v>0</v>
      </c>
      <c r="AK60" s="189">
        <f>SUMIFS('Wells Fargo'!$F:$F,'Wells Fargo'!$G:$G,'Cash Flow'!$A60,'Wells Fargo'!$A:$A,AK$1,'Wells Fargo'!$B:$B,"&lt;="&amp;'Cash Flow'!AK$3)</f>
        <v>0</v>
      </c>
      <c r="AL60" s="188">
        <f>SUMIFS('Wells Fargo'!$F:$F,'Wells Fargo'!$G:$G,'Cash Flow'!$A60,'Wells Fargo'!$A:$A,AL$1,'Wells Fargo'!$B:$B,"&lt;="&amp;'Cash Flow'!AL$3,'Wells Fargo'!$B:$B,"&gt;"&amp;'Cash Flow'!AK$3)</f>
        <v>0</v>
      </c>
      <c r="AM60" s="188">
        <f>SUMIFS('Wells Fargo'!$F:$F,'Wells Fargo'!$G:$G,'Cash Flow'!$A60,'Wells Fargo'!$A:$A,AM$1,'Wells Fargo'!$B:$B,"&lt;="&amp;'Cash Flow'!AM$3,'Wells Fargo'!$B:$B,"&gt;"&amp;'Cash Flow'!AL$3)</f>
        <v>0</v>
      </c>
      <c r="AN60" s="188">
        <f>SUMIFS('Wells Fargo'!$F:$F,'Wells Fargo'!$G:$G,'Cash Flow'!$A60,'Wells Fargo'!$A:$A,AN$1,'Wells Fargo'!$B:$B,"&lt;="&amp;'Cash Flow'!AN$3,'Wells Fargo'!$B:$B,"&gt;"&amp;'Cash Flow'!AM$3)</f>
        <v>0</v>
      </c>
      <c r="AO60" s="188">
        <f>SUMIFS('Wells Fargo'!$F:$F,'Wells Fargo'!$G:$G,'Cash Flow'!$A60,'Wells Fargo'!$A:$A,AO$1,'Wells Fargo'!$B:$B,"&lt;="&amp;'Cash Flow'!AO$3,'Wells Fargo'!$B:$B,"&gt;"&amp;'Cash Flow'!AN$3)</f>
        <v>0</v>
      </c>
      <c r="AP60" s="189">
        <f>SUMIFS('Wells Fargo'!$F:$F,'Wells Fargo'!$G:$G,'Cash Flow'!$A60,'Wells Fargo'!$A:$A,AP$1,'Wells Fargo'!$B:$B,"&lt;="&amp;'Cash Flow'!AP$3)</f>
        <v>0</v>
      </c>
      <c r="AQ60" s="188">
        <f>SUMIFS('Wells Fargo'!$F:$F,'Wells Fargo'!$G:$G,'Cash Flow'!$A60,'Wells Fargo'!$A:$A,AQ$1,'Wells Fargo'!$B:$B,"&lt;="&amp;'Cash Flow'!AQ$3,'Wells Fargo'!$B:$B,"&gt;"&amp;'Cash Flow'!AP$3)</f>
        <v>0</v>
      </c>
      <c r="AR60" s="188">
        <f>SUMIFS('Wells Fargo'!$F:$F,'Wells Fargo'!$G:$G,'Cash Flow'!$A60,'Wells Fargo'!$A:$A,AR$1,'Wells Fargo'!$B:$B,"&lt;="&amp;'Cash Flow'!AR$3,'Wells Fargo'!$B:$B,"&gt;"&amp;'Cash Flow'!AQ$3)</f>
        <v>0</v>
      </c>
      <c r="AS60" s="188">
        <f>SUMIFS('Wells Fargo'!$F:$F,'Wells Fargo'!$G:$G,'Cash Flow'!$A60,'Wells Fargo'!$A:$A,AS$1,'Wells Fargo'!$B:$B,"&lt;="&amp;'Cash Flow'!AS$3,'Wells Fargo'!$B:$B,"&gt;"&amp;'Cash Flow'!AR$3)</f>
        <v>0</v>
      </c>
      <c r="AT60" s="188">
        <f>SUMIFS('Wells Fargo'!$F:$F,'Wells Fargo'!$G:$G,'Cash Flow'!$A60,'Wells Fargo'!$A:$A,AT$1,'Wells Fargo'!$B:$B,"&lt;="&amp;'Cash Flow'!AT$3,'Wells Fargo'!$B:$B,"&gt;"&amp;'Cash Flow'!AS$3)</f>
        <v>0</v>
      </c>
      <c r="AU60" s="189">
        <f>SUMIFS('Wells Fargo'!$F:$F,'Wells Fargo'!$G:$G,'Cash Flow'!$A60,'Wells Fargo'!$A:$A,AU$1,'Wells Fargo'!$B:$B,"&lt;="&amp;'Cash Flow'!AU$3)</f>
        <v>0</v>
      </c>
      <c r="AV60" s="188">
        <f>SUMIFS('Wells Fargo'!$F:$F,'Wells Fargo'!$G:$G,'Cash Flow'!$A60,'Wells Fargo'!$A:$A,AV$1,'Wells Fargo'!$B:$B,"&lt;="&amp;'Cash Flow'!AV$3,'Wells Fargo'!$B:$B,"&gt;"&amp;'Cash Flow'!AU$3)</f>
        <v>0</v>
      </c>
      <c r="AW60" s="188">
        <f>SUMIFS('Wells Fargo'!$F:$F,'Wells Fargo'!$G:$G,'Cash Flow'!$A60,'Wells Fargo'!$A:$A,AW$1,'Wells Fargo'!$B:$B,"&lt;="&amp;'Cash Flow'!AW$3,'Wells Fargo'!$B:$B,"&gt;"&amp;'Cash Flow'!AV$3)</f>
        <v>0</v>
      </c>
      <c r="AX60" s="188">
        <f>SUMIFS('Wells Fargo'!$F:$F,'Wells Fargo'!$G:$G,'Cash Flow'!$A60,'Wells Fargo'!$A:$A,AX$1,'Wells Fargo'!$B:$B,"&lt;="&amp;'Cash Flow'!AX$3,'Wells Fargo'!$B:$B,"&gt;"&amp;'Cash Flow'!AW$3)</f>
        <v>0</v>
      </c>
      <c r="AY60" s="188">
        <f>SUMIFS('Wells Fargo'!$F:$F,'Wells Fargo'!$G:$G,'Cash Flow'!$A60,'Wells Fargo'!$A:$A,AY$1,'Wells Fargo'!$B:$B,"&lt;="&amp;'Cash Flow'!AY$3,'Wells Fargo'!$B:$B,"&gt;"&amp;'Cash Flow'!AX$3)</f>
        <v>0</v>
      </c>
      <c r="AZ60" s="189">
        <f>SUMIFS('Wells Fargo'!$F:$F,'Wells Fargo'!$G:$G,'Cash Flow'!$A60,'Wells Fargo'!$A:$A,AZ$1,'Wells Fargo'!$B:$B,"&lt;="&amp;'Cash Flow'!AZ$3)</f>
        <v>0</v>
      </c>
      <c r="BA60" s="188">
        <f>SUMIFS('Wells Fargo'!$F:$F,'Wells Fargo'!$G:$G,'Cash Flow'!$A60,'Wells Fargo'!$A:$A,BA$1,'Wells Fargo'!$B:$B,"&lt;="&amp;'Cash Flow'!BA$3,'Wells Fargo'!$B:$B,"&gt;"&amp;'Cash Flow'!AZ$3)</f>
        <v>-70</v>
      </c>
      <c r="BB60" s="188">
        <f>SUMIFS('Wells Fargo'!$F:$F,'Wells Fargo'!$G:$G,'Cash Flow'!$A60,'Wells Fargo'!$A:$A,BB$1,'Wells Fargo'!$B:$B,"&lt;="&amp;'Cash Flow'!BB$3,'Wells Fargo'!$B:$B,"&gt;"&amp;'Cash Flow'!BA$3)</f>
        <v>0</v>
      </c>
      <c r="BC60" s="188">
        <f>SUMIFS('Wells Fargo'!$F:$F,'Wells Fargo'!$G:$G,'Cash Flow'!$A60,'Wells Fargo'!$A:$A,BC$1,'Wells Fargo'!$B:$B,"&lt;="&amp;'Cash Flow'!BC$3,'Wells Fargo'!$B:$B,"&gt;"&amp;'Cash Flow'!BB$3)</f>
        <v>0</v>
      </c>
      <c r="BD60" s="188">
        <f>SUMIFS('Wells Fargo'!$F:$F,'Wells Fargo'!$G:$G,'Cash Flow'!$A60,'Wells Fargo'!$A:$A,BD$1,'Wells Fargo'!$B:$B,"&lt;="&amp;'Cash Flow'!BD$3,'Wells Fargo'!$B:$B,"&gt;"&amp;'Cash Flow'!BC$3)</f>
        <v>0</v>
      </c>
      <c r="BE60" s="189">
        <f>SUMIFS('Wells Fargo'!$F:$F,'Wells Fargo'!$G:$G,'Cash Flow'!$A60,'Wells Fargo'!$A:$A,BE$1,'Wells Fargo'!$B:$B,"&lt;="&amp;'Cash Flow'!BE$3)</f>
        <v>0</v>
      </c>
      <c r="BF60" s="188">
        <f>SUMIFS('Wells Fargo'!$F:$F,'Wells Fargo'!$G:$G,'Cash Flow'!$A60,'Wells Fargo'!$A:$A,BF$1,'Wells Fargo'!$B:$B,"&lt;="&amp;'Cash Flow'!BF$3,'Wells Fargo'!$B:$B,"&gt;"&amp;'Cash Flow'!BE$3)</f>
        <v>0</v>
      </c>
      <c r="BG60" s="188">
        <f>SUMIFS('Wells Fargo'!$F:$F,'Wells Fargo'!$G:$G,'Cash Flow'!$A60,'Wells Fargo'!$A:$A,BG$1,'Wells Fargo'!$B:$B,"&lt;="&amp;'Cash Flow'!BG$3,'Wells Fargo'!$B:$B,"&gt;"&amp;'Cash Flow'!BF$3)</f>
        <v>0</v>
      </c>
      <c r="BH60" s="188">
        <f>SUMIFS('Wells Fargo'!$F:$F,'Wells Fargo'!$G:$G,'Cash Flow'!$A60,'Wells Fargo'!$A:$A,BH$1,'Wells Fargo'!$B:$B,"&lt;="&amp;'Cash Flow'!BH$3,'Wells Fargo'!$B:$B,"&gt;"&amp;'Cash Flow'!BG$3)</f>
        <v>0</v>
      </c>
      <c r="BI60" s="188">
        <f>SUMIFS('Wells Fargo'!$F:$F,'Wells Fargo'!$G:$G,'Cash Flow'!$A60,'Wells Fargo'!$A:$A,BI$1,'Wells Fargo'!$B:$B,"&lt;="&amp;'Cash Flow'!BI$3,'Wells Fargo'!$B:$B,"&gt;"&amp;'Cash Flow'!BH$3)</f>
        <v>0</v>
      </c>
    </row>
    <row r="61" spans="1:61" ht="12.75" x14ac:dyDescent="0.2">
      <c r="A61" t="str">
        <v>Utility</v>
      </c>
      <c r="B61" s="87">
        <f t="shared" si="2"/>
        <v>-173.07000000000002</v>
      </c>
      <c r="C61" s="189">
        <f>SUMIFS('Wells Fargo'!$F:$F,'Wells Fargo'!$G:$G,'Cash Flow'!$A61,'Wells Fargo'!$A:$A,C$1,'Wells Fargo'!$B:$B,"&lt;="&amp;'Cash Flow'!C$3)</f>
        <v>0</v>
      </c>
      <c r="D61" s="188">
        <f>SUMIFS('Wells Fargo'!$F:$F,'Wells Fargo'!$G:$G,'Cash Flow'!$A61,'Wells Fargo'!$A:$A,D$1,'Wells Fargo'!$B:$B,"&lt;="&amp;'Cash Flow'!D$3,'Wells Fargo'!$B:$B,"&gt;"&amp;'Cash Flow'!C$3)</f>
        <v>0</v>
      </c>
      <c r="E61" s="188">
        <f>SUMIFS('Wells Fargo'!$F:$F,'Wells Fargo'!$G:$G,'Cash Flow'!$A61,'Wells Fargo'!$A:$A,E$1,'Wells Fargo'!$B:$B,"&lt;="&amp;'Cash Flow'!E$3,'Wells Fargo'!$B:$B,"&gt;"&amp;'Cash Flow'!D$3)</f>
        <v>0</v>
      </c>
      <c r="F61" s="188">
        <f>SUMIFS('Wells Fargo'!$F:$F,'Wells Fargo'!$G:$G,'Cash Flow'!$A61,'Wells Fargo'!$A:$A,F$1,'Wells Fargo'!$B:$B,"&lt;="&amp;'Cash Flow'!F$3,'Wells Fargo'!$B:$B,"&gt;"&amp;'Cash Flow'!E$3)</f>
        <v>0</v>
      </c>
      <c r="G61" s="188">
        <f>SUMIFS('Wells Fargo'!$F:$F,'Wells Fargo'!$G:$G,'Cash Flow'!$A61,'Wells Fargo'!$A:$A,G$1,'Wells Fargo'!$B:$B,"&lt;="&amp;'Cash Flow'!G$3,'Wells Fargo'!$B:$B,"&gt;"&amp;'Cash Flow'!F$3)</f>
        <v>0</v>
      </c>
      <c r="H61" s="189">
        <f>SUMIFS('Wells Fargo'!$F:$F,'Wells Fargo'!$G:$G,'Cash Flow'!$A61,'Wells Fargo'!$A:$A,H$1,'Wells Fargo'!$B:$B,"&lt;="&amp;'Cash Flow'!H$3)</f>
        <v>0</v>
      </c>
      <c r="I61" s="188">
        <f>SUMIFS('Wells Fargo'!$F:$F,'Wells Fargo'!$G:$G,'Cash Flow'!$A61,'Wells Fargo'!$A:$A,I$1,'Wells Fargo'!$B:$B,"&lt;="&amp;'Cash Flow'!I$3,'Wells Fargo'!$B:$B,"&gt;"&amp;'Cash Flow'!H$3)</f>
        <v>0</v>
      </c>
      <c r="J61" s="188">
        <f>SUMIFS('Wells Fargo'!$F:$F,'Wells Fargo'!$G:$G,'Cash Flow'!$A61,'Wells Fargo'!$A:$A,J$1,'Wells Fargo'!$B:$B,"&lt;="&amp;'Cash Flow'!J$3,'Wells Fargo'!$B:$B,"&gt;"&amp;'Cash Flow'!I$3)</f>
        <v>0</v>
      </c>
      <c r="K61" s="188">
        <f>SUMIFS('Wells Fargo'!$F:$F,'Wells Fargo'!$G:$G,'Cash Flow'!$A61,'Wells Fargo'!$A:$A,K$1,'Wells Fargo'!$B:$B,"&lt;="&amp;'Cash Flow'!K$3,'Wells Fargo'!$B:$B,"&gt;"&amp;'Cash Flow'!J$3)</f>
        <v>0</v>
      </c>
      <c r="L61" s="189">
        <f>SUMIFS('Wells Fargo'!$F:$F,'Wells Fargo'!$G:$G,'Cash Flow'!$A61,'Wells Fargo'!$A:$A,L$1,'Wells Fargo'!$B:$B,"&lt;="&amp;'Cash Flow'!L$3)</f>
        <v>0</v>
      </c>
      <c r="M61" s="188">
        <f>SUMIFS('Wells Fargo'!$F:$F,'Wells Fargo'!$G:$G,'Cash Flow'!$A61,'Wells Fargo'!$A:$A,M$1,'Wells Fargo'!$B:$B,"&lt;="&amp;'Cash Flow'!M$3,'Wells Fargo'!$B:$B,"&gt;"&amp;'Cash Flow'!L$3)</f>
        <v>0</v>
      </c>
      <c r="N61" s="188">
        <f>SUMIFS('Wells Fargo'!$F:$F,'Wells Fargo'!$G:$G,'Cash Flow'!$A61,'Wells Fargo'!$A:$A,N$1,'Wells Fargo'!$B:$B,"&lt;="&amp;'Cash Flow'!N$3,'Wells Fargo'!$B:$B,"&gt;"&amp;'Cash Flow'!M$3)</f>
        <v>0</v>
      </c>
      <c r="O61" s="188">
        <f>SUMIFS('Wells Fargo'!$F:$F,'Wells Fargo'!$G:$G,'Cash Flow'!$A61,'Wells Fargo'!$A:$A,O$1,'Wells Fargo'!$B:$B,"&lt;="&amp;'Cash Flow'!O$3,'Wells Fargo'!$B:$B,"&gt;"&amp;'Cash Flow'!N$3)</f>
        <v>0</v>
      </c>
      <c r="P61" s="188">
        <f>SUMIFS('Wells Fargo'!$F:$F,'Wells Fargo'!$G:$G,'Cash Flow'!$A61,'Wells Fargo'!$A:$A,P$1,'Wells Fargo'!$B:$B,"&lt;="&amp;'Cash Flow'!P$3,'Wells Fargo'!$B:$B,"&gt;"&amp;'Cash Flow'!O$3)</f>
        <v>0</v>
      </c>
      <c r="Q61" s="189">
        <f>SUMIFS('Wells Fargo'!$F:$F,'Wells Fargo'!$G:$G,'Cash Flow'!$A61,'Wells Fargo'!$A:$A,Q$1,'Wells Fargo'!$B:$B,"&lt;="&amp;'Cash Flow'!Q$3)</f>
        <v>0</v>
      </c>
      <c r="R61" s="188">
        <f>SUMIFS('Wells Fargo'!$F:$F,'Wells Fargo'!$G:$G,'Cash Flow'!$A61,'Wells Fargo'!$A:$A,R$1,'Wells Fargo'!$B:$B,"&lt;="&amp;'Cash Flow'!R$3,'Wells Fargo'!$B:$B,"&gt;"&amp;'Cash Flow'!Q$3)</f>
        <v>0</v>
      </c>
      <c r="S61" s="188">
        <f>SUMIFS('Wells Fargo'!$F:$F,'Wells Fargo'!$G:$G,'Cash Flow'!$A61,'Wells Fargo'!$A:$A,S$1,'Wells Fargo'!$B:$B,"&lt;="&amp;'Cash Flow'!S$3,'Wells Fargo'!$B:$B,"&gt;"&amp;'Cash Flow'!R$3)</f>
        <v>0</v>
      </c>
      <c r="T61" s="188">
        <f>SUMIFS('Wells Fargo'!$F:$F,'Wells Fargo'!$G:$G,'Cash Flow'!$A61,'Wells Fargo'!$A:$A,T$1,'Wells Fargo'!$B:$B,"&lt;="&amp;'Cash Flow'!T$3,'Wells Fargo'!$B:$B,"&gt;"&amp;'Cash Flow'!S$3)</f>
        <v>0</v>
      </c>
      <c r="U61" s="188">
        <f>SUMIFS('Wells Fargo'!$F:$F,'Wells Fargo'!$G:$G,'Cash Flow'!$A61,'Wells Fargo'!$A:$A,U$1,'Wells Fargo'!$B:$B,"&lt;="&amp;'Cash Flow'!U$3,'Wells Fargo'!$B:$B,"&gt;"&amp;'Cash Flow'!T$3)</f>
        <v>0</v>
      </c>
      <c r="V61" s="189">
        <f>SUMIFS('Wells Fargo'!$F:$F,'Wells Fargo'!$G:$G,'Cash Flow'!$A61,'Wells Fargo'!$A:$A,V$1,'Wells Fargo'!$B:$B,"&lt;="&amp;'Cash Flow'!V$3)</f>
        <v>0</v>
      </c>
      <c r="W61" s="188">
        <f>SUMIFS('Wells Fargo'!$F:$F,'Wells Fargo'!$G:$G,'Cash Flow'!$A61,'Wells Fargo'!$A:$A,W$1,'Wells Fargo'!$B:$B,"&lt;="&amp;'Cash Flow'!W$3,'Wells Fargo'!$B:$B,"&gt;"&amp;'Cash Flow'!V$3)</f>
        <v>0</v>
      </c>
      <c r="X61" s="188">
        <f>SUMIFS('Wells Fargo'!$F:$F,'Wells Fargo'!$G:$G,'Cash Flow'!$A61,'Wells Fargo'!$A:$A,X$1,'Wells Fargo'!$B:$B,"&lt;="&amp;'Cash Flow'!X$3,'Wells Fargo'!$B:$B,"&gt;"&amp;'Cash Flow'!W$3)</f>
        <v>0</v>
      </c>
      <c r="Y61" s="188">
        <f>SUMIFS('Wells Fargo'!$F:$F,'Wells Fargo'!$G:$G,'Cash Flow'!$A61,'Wells Fargo'!$A:$A,Y$1,'Wells Fargo'!$B:$B,"&lt;="&amp;'Cash Flow'!Y$3,'Wells Fargo'!$B:$B,"&gt;"&amp;'Cash Flow'!X$3)</f>
        <v>0</v>
      </c>
      <c r="Z61" s="188">
        <f>SUMIFS('Wells Fargo'!$F:$F,'Wells Fargo'!$G:$G,'Cash Flow'!$A61,'Wells Fargo'!$A:$A,Z$1,'Wells Fargo'!$B:$B,"&lt;="&amp;'Cash Flow'!Z$3,'Wells Fargo'!$B:$B,"&gt;"&amp;'Cash Flow'!Y$3)</f>
        <v>0</v>
      </c>
      <c r="AA61" s="189">
        <f>SUMIFS('Wells Fargo'!$F:$F,'Wells Fargo'!$G:$G,'Cash Flow'!$A61,'Wells Fargo'!$A:$A,AA$1,'Wells Fargo'!$B:$B,"&lt;="&amp;'Cash Flow'!AA$3)</f>
        <v>0</v>
      </c>
      <c r="AB61" s="188">
        <f>SUMIFS('Wells Fargo'!$F:$F,'Wells Fargo'!$G:$G,'Cash Flow'!$A61,'Wells Fargo'!$A:$A,AB$1,'Wells Fargo'!$B:$B,"&lt;="&amp;'Cash Flow'!AB$3,'Wells Fargo'!$B:$B,"&gt;"&amp;'Cash Flow'!AA$3)</f>
        <v>0</v>
      </c>
      <c r="AC61" s="188">
        <f>SUMIFS('Wells Fargo'!$F:$F,'Wells Fargo'!$G:$G,'Cash Flow'!$A61,'Wells Fargo'!$A:$A,AC$1,'Wells Fargo'!$B:$B,"&lt;="&amp;'Cash Flow'!AC$3,'Wells Fargo'!$B:$B,"&gt;"&amp;'Cash Flow'!AB$3)</f>
        <v>-33.61</v>
      </c>
      <c r="AD61" s="188">
        <f>SUMIFS('Wells Fargo'!$F:$F,'Wells Fargo'!$G:$G,'Cash Flow'!$A61,'Wells Fargo'!$A:$A,AD$1,'Wells Fargo'!$B:$B,"&lt;="&amp;'Cash Flow'!AD$3,'Wells Fargo'!$B:$B,"&gt;"&amp;'Cash Flow'!AC$3)</f>
        <v>0</v>
      </c>
      <c r="AE61" s="188">
        <f>SUMIFS('Wells Fargo'!$F:$F,'Wells Fargo'!$G:$G,'Cash Flow'!$A61,'Wells Fargo'!$A:$A,AE$1,'Wells Fargo'!$B:$B,"&lt;="&amp;'Cash Flow'!AE$3,'Wells Fargo'!$B:$B,"&gt;"&amp;'Cash Flow'!AD$3)</f>
        <v>0</v>
      </c>
      <c r="AF61" s="189">
        <f>SUMIFS('Wells Fargo'!$F:$F,'Wells Fargo'!$G:$G,'Cash Flow'!$A61,'Wells Fargo'!$A:$A,AF$1,'Wells Fargo'!$B:$B,"&lt;="&amp;'Cash Flow'!AF$3)</f>
        <v>0</v>
      </c>
      <c r="AG61" s="188">
        <f>SUMIFS('Wells Fargo'!$F:$F,'Wells Fargo'!$G:$G,'Cash Flow'!$A61,'Wells Fargo'!$A:$A,AG$1,'Wells Fargo'!$B:$B,"&lt;="&amp;'Cash Flow'!AG$3,'Wells Fargo'!$B:$B,"&gt;"&amp;'Cash Flow'!AF$3)</f>
        <v>0</v>
      </c>
      <c r="AH61" s="188">
        <f>SUMIFS('Wells Fargo'!$F:$F,'Wells Fargo'!$G:$G,'Cash Flow'!$A61,'Wells Fargo'!$A:$A,AH$1,'Wells Fargo'!$B:$B,"&lt;="&amp;'Cash Flow'!AH$3,'Wells Fargo'!$B:$B,"&gt;"&amp;'Cash Flow'!AG$3)</f>
        <v>0</v>
      </c>
      <c r="AI61" s="188">
        <f>SUMIFS('Wells Fargo'!$F:$F,'Wells Fargo'!$G:$G,'Cash Flow'!$A61,'Wells Fargo'!$A:$A,AI$1,'Wells Fargo'!$B:$B,"&lt;="&amp;'Cash Flow'!AI$3,'Wells Fargo'!$B:$B,"&gt;"&amp;'Cash Flow'!AH$3)</f>
        <v>-120.94</v>
      </c>
      <c r="AJ61" s="188">
        <f>SUMIFS('Wells Fargo'!$F:$F,'Wells Fargo'!$G:$G,'Cash Flow'!$A61,'Wells Fargo'!$A:$A,AJ$1,'Wells Fargo'!$B:$B,"&lt;="&amp;'Cash Flow'!AJ$3,'Wells Fargo'!$B:$B,"&gt;"&amp;'Cash Flow'!AI$3)</f>
        <v>0</v>
      </c>
      <c r="AK61" s="189">
        <f>SUMIFS('Wells Fargo'!$F:$F,'Wells Fargo'!$G:$G,'Cash Flow'!$A61,'Wells Fargo'!$A:$A,AK$1,'Wells Fargo'!$B:$B,"&lt;="&amp;'Cash Flow'!AK$3)</f>
        <v>0</v>
      </c>
      <c r="AL61" s="188">
        <f>SUMIFS('Wells Fargo'!$F:$F,'Wells Fargo'!$G:$G,'Cash Flow'!$A61,'Wells Fargo'!$A:$A,AL$1,'Wells Fargo'!$B:$B,"&lt;="&amp;'Cash Flow'!AL$3,'Wells Fargo'!$B:$B,"&gt;"&amp;'Cash Flow'!AK$3)</f>
        <v>0</v>
      </c>
      <c r="AM61" s="188">
        <f>SUMIFS('Wells Fargo'!$F:$F,'Wells Fargo'!$G:$G,'Cash Flow'!$A61,'Wells Fargo'!$A:$A,AM$1,'Wells Fargo'!$B:$B,"&lt;="&amp;'Cash Flow'!AM$3,'Wells Fargo'!$B:$B,"&gt;"&amp;'Cash Flow'!AL$3)</f>
        <v>-86.17</v>
      </c>
      <c r="AN61" s="188">
        <f>SUMIFS('Wells Fargo'!$F:$F,'Wells Fargo'!$G:$G,'Cash Flow'!$A61,'Wells Fargo'!$A:$A,AN$1,'Wells Fargo'!$B:$B,"&lt;="&amp;'Cash Flow'!AN$3,'Wells Fargo'!$B:$B,"&gt;"&amp;'Cash Flow'!AM$3)</f>
        <v>0</v>
      </c>
      <c r="AO61" s="188">
        <f>SUMIFS('Wells Fargo'!$F:$F,'Wells Fargo'!$G:$G,'Cash Flow'!$A61,'Wells Fargo'!$A:$A,AO$1,'Wells Fargo'!$B:$B,"&lt;="&amp;'Cash Flow'!AO$3,'Wells Fargo'!$B:$B,"&gt;"&amp;'Cash Flow'!AN$3)</f>
        <v>0</v>
      </c>
      <c r="AP61" s="189">
        <f>SUMIFS('Wells Fargo'!$F:$F,'Wells Fargo'!$G:$G,'Cash Flow'!$A61,'Wells Fargo'!$A:$A,AP$1,'Wells Fargo'!$B:$B,"&lt;="&amp;'Cash Flow'!AP$3)</f>
        <v>0</v>
      </c>
      <c r="AQ61" s="188">
        <f>SUMIFS('Wells Fargo'!$F:$F,'Wells Fargo'!$G:$G,'Cash Flow'!$A61,'Wells Fargo'!$A:$A,AQ$1,'Wells Fargo'!$B:$B,"&lt;="&amp;'Cash Flow'!AQ$3,'Wells Fargo'!$B:$B,"&gt;"&amp;'Cash Flow'!AP$3)</f>
        <v>0</v>
      </c>
      <c r="AR61" s="188">
        <f>SUMIFS('Wells Fargo'!$F:$F,'Wells Fargo'!$G:$G,'Cash Flow'!$A61,'Wells Fargo'!$A:$A,AR$1,'Wells Fargo'!$B:$B,"&lt;="&amp;'Cash Flow'!AR$3,'Wells Fargo'!$B:$B,"&gt;"&amp;'Cash Flow'!AQ$3)</f>
        <v>0</v>
      </c>
      <c r="AS61" s="188">
        <f>SUMIFS('Wells Fargo'!$F:$F,'Wells Fargo'!$G:$G,'Cash Flow'!$A61,'Wells Fargo'!$A:$A,AS$1,'Wells Fargo'!$B:$B,"&lt;="&amp;'Cash Flow'!AS$3,'Wells Fargo'!$B:$B,"&gt;"&amp;'Cash Flow'!AR$3)</f>
        <v>-120.69</v>
      </c>
      <c r="AT61" s="188">
        <f>SUMIFS('Wells Fargo'!$F:$F,'Wells Fargo'!$G:$G,'Cash Flow'!$A61,'Wells Fargo'!$A:$A,AT$1,'Wells Fargo'!$B:$B,"&lt;="&amp;'Cash Flow'!AT$3,'Wells Fargo'!$B:$B,"&gt;"&amp;'Cash Flow'!AS$3)</f>
        <v>188.34</v>
      </c>
      <c r="AU61" s="189">
        <f>SUMIFS('Wells Fargo'!$F:$F,'Wells Fargo'!$G:$G,'Cash Flow'!$A61,'Wells Fargo'!$A:$A,AU$1,'Wells Fargo'!$B:$B,"&lt;="&amp;'Cash Flow'!AU$3)</f>
        <v>0</v>
      </c>
      <c r="AV61" s="188">
        <f>SUMIFS('Wells Fargo'!$F:$F,'Wells Fargo'!$G:$G,'Cash Flow'!$A61,'Wells Fargo'!$A:$A,AV$1,'Wells Fargo'!$B:$B,"&lt;="&amp;'Cash Flow'!AV$3,'Wells Fargo'!$B:$B,"&gt;"&amp;'Cash Flow'!AU$3)</f>
        <v>0</v>
      </c>
      <c r="AW61" s="188">
        <f>SUMIFS('Wells Fargo'!$F:$F,'Wells Fargo'!$G:$G,'Cash Flow'!$A61,'Wells Fargo'!$A:$A,AW$1,'Wells Fargo'!$B:$B,"&lt;="&amp;'Cash Flow'!AW$3,'Wells Fargo'!$B:$B,"&gt;"&amp;'Cash Flow'!AV$3)</f>
        <v>0</v>
      </c>
      <c r="AX61" s="188">
        <f>SUMIFS('Wells Fargo'!$F:$F,'Wells Fargo'!$G:$G,'Cash Flow'!$A61,'Wells Fargo'!$A:$A,AX$1,'Wells Fargo'!$B:$B,"&lt;="&amp;'Cash Flow'!AX$3,'Wells Fargo'!$B:$B,"&gt;"&amp;'Cash Flow'!AW$3)</f>
        <v>0</v>
      </c>
      <c r="AY61" s="188">
        <f>SUMIFS('Wells Fargo'!$F:$F,'Wells Fargo'!$G:$G,'Cash Flow'!$A61,'Wells Fargo'!$A:$A,AY$1,'Wells Fargo'!$B:$B,"&lt;="&amp;'Cash Flow'!AY$3,'Wells Fargo'!$B:$B,"&gt;"&amp;'Cash Flow'!AX$3)</f>
        <v>0</v>
      </c>
      <c r="AZ61" s="189">
        <f>SUMIFS('Wells Fargo'!$F:$F,'Wells Fargo'!$G:$G,'Cash Flow'!$A61,'Wells Fargo'!$A:$A,AZ$1,'Wells Fargo'!$B:$B,"&lt;="&amp;'Cash Flow'!AZ$3)</f>
        <v>0</v>
      </c>
      <c r="BA61" s="188">
        <f>SUMIFS('Wells Fargo'!$F:$F,'Wells Fargo'!$G:$G,'Cash Flow'!$A61,'Wells Fargo'!$A:$A,BA$1,'Wells Fargo'!$B:$B,"&lt;="&amp;'Cash Flow'!BA$3,'Wells Fargo'!$B:$B,"&gt;"&amp;'Cash Flow'!AZ$3)</f>
        <v>0</v>
      </c>
      <c r="BB61" s="188">
        <f>SUMIFS('Wells Fargo'!$F:$F,'Wells Fargo'!$G:$G,'Cash Flow'!$A61,'Wells Fargo'!$A:$A,BB$1,'Wells Fargo'!$B:$B,"&lt;="&amp;'Cash Flow'!BB$3,'Wells Fargo'!$B:$B,"&gt;"&amp;'Cash Flow'!BA$3)</f>
        <v>0</v>
      </c>
      <c r="BC61" s="188">
        <f>SUMIFS('Wells Fargo'!$F:$F,'Wells Fargo'!$G:$G,'Cash Flow'!$A61,'Wells Fargo'!$A:$A,BC$1,'Wells Fargo'!$B:$B,"&lt;="&amp;'Cash Flow'!BC$3,'Wells Fargo'!$B:$B,"&gt;"&amp;'Cash Flow'!BB$3)</f>
        <v>0</v>
      </c>
      <c r="BD61" s="188">
        <f>SUMIFS('Wells Fargo'!$F:$F,'Wells Fargo'!$G:$G,'Cash Flow'!$A61,'Wells Fargo'!$A:$A,BD$1,'Wells Fargo'!$B:$B,"&lt;="&amp;'Cash Flow'!BD$3,'Wells Fargo'!$B:$B,"&gt;"&amp;'Cash Flow'!BC$3)</f>
        <v>0</v>
      </c>
      <c r="BE61" s="189">
        <f>SUMIFS('Wells Fargo'!$F:$F,'Wells Fargo'!$G:$G,'Cash Flow'!$A61,'Wells Fargo'!$A:$A,BE$1,'Wells Fargo'!$B:$B,"&lt;="&amp;'Cash Flow'!BE$3)</f>
        <v>0</v>
      </c>
      <c r="BF61" s="188">
        <f>SUMIFS('Wells Fargo'!$F:$F,'Wells Fargo'!$G:$G,'Cash Flow'!$A61,'Wells Fargo'!$A:$A,BF$1,'Wells Fargo'!$B:$B,"&lt;="&amp;'Cash Flow'!BF$3,'Wells Fargo'!$B:$B,"&gt;"&amp;'Cash Flow'!BE$3)</f>
        <v>0</v>
      </c>
      <c r="BG61" s="188">
        <f>SUMIFS('Wells Fargo'!$F:$F,'Wells Fargo'!$G:$G,'Cash Flow'!$A61,'Wells Fargo'!$A:$A,BG$1,'Wells Fargo'!$B:$B,"&lt;="&amp;'Cash Flow'!BG$3,'Wells Fargo'!$B:$B,"&gt;"&amp;'Cash Flow'!BF$3)</f>
        <v>0</v>
      </c>
      <c r="BH61" s="188">
        <f>SUMIFS('Wells Fargo'!$F:$F,'Wells Fargo'!$G:$G,'Cash Flow'!$A61,'Wells Fargo'!$A:$A,BH$1,'Wells Fargo'!$B:$B,"&lt;="&amp;'Cash Flow'!BH$3,'Wells Fargo'!$B:$B,"&gt;"&amp;'Cash Flow'!BG$3)</f>
        <v>0</v>
      </c>
      <c r="BI61" s="188">
        <f>SUMIFS('Wells Fargo'!$F:$F,'Wells Fargo'!$G:$G,'Cash Flow'!$A61,'Wells Fargo'!$A:$A,BI$1,'Wells Fargo'!$B:$B,"&lt;="&amp;'Cash Flow'!BI$3,'Wells Fargo'!$B:$B,"&gt;"&amp;'Cash Flow'!BH$3)</f>
        <v>0</v>
      </c>
    </row>
    <row r="62" spans="1:61" ht="12.75" x14ac:dyDescent="0.2">
      <c r="A62" t="str">
        <v>Venmo Cash Out</v>
      </c>
      <c r="B62" s="87">
        <f t="shared" ref="B62:B64" si="3">SUM(C62:BI62)</f>
        <v>350</v>
      </c>
      <c r="C62" s="189">
        <f>SUMIFS('Wells Fargo'!$F:$F,'Wells Fargo'!$G:$G,'Cash Flow'!$A62,'Wells Fargo'!$A:$A,C$1,'Wells Fargo'!$B:$B,"&lt;="&amp;'Cash Flow'!C$3)</f>
        <v>0</v>
      </c>
      <c r="D62" s="188">
        <f>SUMIFS('Wells Fargo'!$F:$F,'Wells Fargo'!$G:$G,'Cash Flow'!$A62,'Wells Fargo'!$A:$A,D$1,'Wells Fargo'!$B:$B,"&lt;="&amp;'Cash Flow'!D$3,'Wells Fargo'!$B:$B,"&gt;"&amp;'Cash Flow'!C$3)</f>
        <v>0</v>
      </c>
      <c r="E62" s="188">
        <f>SUMIFS('Wells Fargo'!$F:$F,'Wells Fargo'!$G:$G,'Cash Flow'!$A62,'Wells Fargo'!$A:$A,E$1,'Wells Fargo'!$B:$B,"&lt;="&amp;'Cash Flow'!E$3,'Wells Fargo'!$B:$B,"&gt;"&amp;'Cash Flow'!D$3)</f>
        <v>0</v>
      </c>
      <c r="F62" s="188">
        <f>SUMIFS('Wells Fargo'!$F:$F,'Wells Fargo'!$G:$G,'Cash Flow'!$A62,'Wells Fargo'!$A:$A,F$1,'Wells Fargo'!$B:$B,"&lt;="&amp;'Cash Flow'!F$3,'Wells Fargo'!$B:$B,"&gt;"&amp;'Cash Flow'!E$3)</f>
        <v>150</v>
      </c>
      <c r="G62" s="188">
        <f>SUMIFS('Wells Fargo'!$F:$F,'Wells Fargo'!$G:$G,'Cash Flow'!$A62,'Wells Fargo'!$A:$A,G$1,'Wells Fargo'!$B:$B,"&lt;="&amp;'Cash Flow'!G$3,'Wells Fargo'!$B:$B,"&gt;"&amp;'Cash Flow'!F$3)</f>
        <v>0</v>
      </c>
      <c r="H62" s="189">
        <f>SUMIFS('Wells Fargo'!$F:$F,'Wells Fargo'!$G:$G,'Cash Flow'!$A62,'Wells Fargo'!$A:$A,H$1,'Wells Fargo'!$B:$B,"&lt;="&amp;'Cash Flow'!H$3)</f>
        <v>0</v>
      </c>
      <c r="I62" s="188">
        <f>SUMIFS('Wells Fargo'!$F:$F,'Wells Fargo'!$G:$G,'Cash Flow'!$A62,'Wells Fargo'!$A:$A,I$1,'Wells Fargo'!$B:$B,"&lt;="&amp;'Cash Flow'!I$3,'Wells Fargo'!$B:$B,"&gt;"&amp;'Cash Flow'!H$3)</f>
        <v>0</v>
      </c>
      <c r="J62" s="188">
        <f>SUMIFS('Wells Fargo'!$F:$F,'Wells Fargo'!$G:$G,'Cash Flow'!$A62,'Wells Fargo'!$A:$A,J$1,'Wells Fargo'!$B:$B,"&lt;="&amp;'Cash Flow'!J$3,'Wells Fargo'!$B:$B,"&gt;"&amp;'Cash Flow'!I$3)</f>
        <v>0</v>
      </c>
      <c r="K62" s="188">
        <f>SUMIFS('Wells Fargo'!$F:$F,'Wells Fargo'!$G:$G,'Cash Flow'!$A62,'Wells Fargo'!$A:$A,K$1,'Wells Fargo'!$B:$B,"&lt;="&amp;'Cash Flow'!K$3,'Wells Fargo'!$B:$B,"&gt;"&amp;'Cash Flow'!J$3)</f>
        <v>0</v>
      </c>
      <c r="L62" s="189">
        <f>SUMIFS('Wells Fargo'!$F:$F,'Wells Fargo'!$G:$G,'Cash Flow'!$A62,'Wells Fargo'!$A:$A,L$1,'Wells Fargo'!$B:$B,"&lt;="&amp;'Cash Flow'!L$3)</f>
        <v>0</v>
      </c>
      <c r="M62" s="188">
        <f>SUMIFS('Wells Fargo'!$F:$F,'Wells Fargo'!$G:$G,'Cash Flow'!$A62,'Wells Fargo'!$A:$A,M$1,'Wells Fargo'!$B:$B,"&lt;="&amp;'Cash Flow'!M$3,'Wells Fargo'!$B:$B,"&gt;"&amp;'Cash Flow'!L$3)</f>
        <v>0</v>
      </c>
      <c r="N62" s="188">
        <f>SUMIFS('Wells Fargo'!$F:$F,'Wells Fargo'!$G:$G,'Cash Flow'!$A62,'Wells Fargo'!$A:$A,N$1,'Wells Fargo'!$B:$B,"&lt;="&amp;'Cash Flow'!N$3,'Wells Fargo'!$B:$B,"&gt;"&amp;'Cash Flow'!M$3)</f>
        <v>0</v>
      </c>
      <c r="O62" s="188">
        <f>SUMIFS('Wells Fargo'!$F:$F,'Wells Fargo'!$G:$G,'Cash Flow'!$A62,'Wells Fargo'!$A:$A,O$1,'Wells Fargo'!$B:$B,"&lt;="&amp;'Cash Flow'!O$3,'Wells Fargo'!$B:$B,"&gt;"&amp;'Cash Flow'!N$3)</f>
        <v>0</v>
      </c>
      <c r="P62" s="188">
        <f>SUMIFS('Wells Fargo'!$F:$F,'Wells Fargo'!$G:$G,'Cash Flow'!$A62,'Wells Fargo'!$A:$A,P$1,'Wells Fargo'!$B:$B,"&lt;="&amp;'Cash Flow'!P$3,'Wells Fargo'!$B:$B,"&gt;"&amp;'Cash Flow'!O$3)</f>
        <v>0</v>
      </c>
      <c r="Q62" s="189">
        <f>SUMIFS('Wells Fargo'!$F:$F,'Wells Fargo'!$G:$G,'Cash Flow'!$A62,'Wells Fargo'!$A:$A,Q$1,'Wells Fargo'!$B:$B,"&lt;="&amp;'Cash Flow'!Q$3)</f>
        <v>0</v>
      </c>
      <c r="R62" s="188">
        <f>SUMIFS('Wells Fargo'!$F:$F,'Wells Fargo'!$G:$G,'Cash Flow'!$A62,'Wells Fargo'!$A:$A,R$1,'Wells Fargo'!$B:$B,"&lt;="&amp;'Cash Flow'!R$3,'Wells Fargo'!$B:$B,"&gt;"&amp;'Cash Flow'!Q$3)</f>
        <v>0</v>
      </c>
      <c r="S62" s="188">
        <f>SUMIFS('Wells Fargo'!$F:$F,'Wells Fargo'!$G:$G,'Cash Flow'!$A62,'Wells Fargo'!$A:$A,S$1,'Wells Fargo'!$B:$B,"&lt;="&amp;'Cash Flow'!S$3,'Wells Fargo'!$B:$B,"&gt;"&amp;'Cash Flow'!R$3)</f>
        <v>0</v>
      </c>
      <c r="T62" s="188">
        <f>SUMIFS('Wells Fargo'!$F:$F,'Wells Fargo'!$G:$G,'Cash Flow'!$A62,'Wells Fargo'!$A:$A,T$1,'Wells Fargo'!$B:$B,"&lt;="&amp;'Cash Flow'!T$3,'Wells Fargo'!$B:$B,"&gt;"&amp;'Cash Flow'!S$3)</f>
        <v>50</v>
      </c>
      <c r="U62" s="188">
        <f>SUMIFS('Wells Fargo'!$F:$F,'Wells Fargo'!$G:$G,'Cash Flow'!$A62,'Wells Fargo'!$A:$A,U$1,'Wells Fargo'!$B:$B,"&lt;="&amp;'Cash Flow'!U$3,'Wells Fargo'!$B:$B,"&gt;"&amp;'Cash Flow'!T$3)</f>
        <v>0</v>
      </c>
      <c r="V62" s="189">
        <f>SUMIFS('Wells Fargo'!$F:$F,'Wells Fargo'!$G:$G,'Cash Flow'!$A62,'Wells Fargo'!$A:$A,V$1,'Wells Fargo'!$B:$B,"&lt;="&amp;'Cash Flow'!V$3)</f>
        <v>0</v>
      </c>
      <c r="W62" s="188">
        <f>SUMIFS('Wells Fargo'!$F:$F,'Wells Fargo'!$G:$G,'Cash Flow'!$A62,'Wells Fargo'!$A:$A,W$1,'Wells Fargo'!$B:$B,"&lt;="&amp;'Cash Flow'!W$3,'Wells Fargo'!$B:$B,"&gt;"&amp;'Cash Flow'!V$3)</f>
        <v>150</v>
      </c>
      <c r="X62" s="188">
        <f>SUMIFS('Wells Fargo'!$F:$F,'Wells Fargo'!$G:$G,'Cash Flow'!$A62,'Wells Fargo'!$A:$A,X$1,'Wells Fargo'!$B:$B,"&lt;="&amp;'Cash Flow'!X$3,'Wells Fargo'!$B:$B,"&gt;"&amp;'Cash Flow'!W$3)</f>
        <v>0</v>
      </c>
      <c r="Y62" s="188">
        <f>SUMIFS('Wells Fargo'!$F:$F,'Wells Fargo'!$G:$G,'Cash Flow'!$A62,'Wells Fargo'!$A:$A,Y$1,'Wells Fargo'!$B:$B,"&lt;="&amp;'Cash Flow'!Y$3,'Wells Fargo'!$B:$B,"&gt;"&amp;'Cash Flow'!X$3)</f>
        <v>0</v>
      </c>
      <c r="Z62" s="188">
        <f>SUMIFS('Wells Fargo'!$F:$F,'Wells Fargo'!$G:$G,'Cash Flow'!$A62,'Wells Fargo'!$A:$A,Z$1,'Wells Fargo'!$B:$B,"&lt;="&amp;'Cash Flow'!Z$3,'Wells Fargo'!$B:$B,"&gt;"&amp;'Cash Flow'!Y$3)</f>
        <v>0</v>
      </c>
      <c r="AA62" s="189">
        <f>SUMIFS('Wells Fargo'!$F:$F,'Wells Fargo'!$G:$G,'Cash Flow'!$A62,'Wells Fargo'!$A:$A,AA$1,'Wells Fargo'!$B:$B,"&lt;="&amp;'Cash Flow'!AA$3)</f>
        <v>0</v>
      </c>
      <c r="AB62" s="188">
        <f>SUMIFS('Wells Fargo'!$F:$F,'Wells Fargo'!$G:$G,'Cash Flow'!$A62,'Wells Fargo'!$A:$A,AB$1,'Wells Fargo'!$B:$B,"&lt;="&amp;'Cash Flow'!AB$3,'Wells Fargo'!$B:$B,"&gt;"&amp;'Cash Flow'!AA$3)</f>
        <v>0</v>
      </c>
      <c r="AC62" s="188">
        <f>SUMIFS('Wells Fargo'!$F:$F,'Wells Fargo'!$G:$G,'Cash Flow'!$A62,'Wells Fargo'!$A:$A,AC$1,'Wells Fargo'!$B:$B,"&lt;="&amp;'Cash Flow'!AC$3,'Wells Fargo'!$B:$B,"&gt;"&amp;'Cash Flow'!AB$3)</f>
        <v>0</v>
      </c>
      <c r="AD62" s="188">
        <f>SUMIFS('Wells Fargo'!$F:$F,'Wells Fargo'!$G:$G,'Cash Flow'!$A62,'Wells Fargo'!$A:$A,AD$1,'Wells Fargo'!$B:$B,"&lt;="&amp;'Cash Flow'!AD$3,'Wells Fargo'!$B:$B,"&gt;"&amp;'Cash Flow'!AC$3)</f>
        <v>0</v>
      </c>
      <c r="AE62" s="188">
        <f>SUMIFS('Wells Fargo'!$F:$F,'Wells Fargo'!$G:$G,'Cash Flow'!$A62,'Wells Fargo'!$A:$A,AE$1,'Wells Fargo'!$B:$B,"&lt;="&amp;'Cash Flow'!AE$3,'Wells Fargo'!$B:$B,"&gt;"&amp;'Cash Flow'!AD$3)</f>
        <v>0</v>
      </c>
      <c r="AF62" s="189">
        <f>SUMIFS('Wells Fargo'!$F:$F,'Wells Fargo'!$G:$G,'Cash Flow'!$A62,'Wells Fargo'!$A:$A,AF$1,'Wells Fargo'!$B:$B,"&lt;="&amp;'Cash Flow'!AF$3)</f>
        <v>0</v>
      </c>
      <c r="AG62" s="188">
        <f>SUMIFS('Wells Fargo'!$F:$F,'Wells Fargo'!$G:$G,'Cash Flow'!$A62,'Wells Fargo'!$A:$A,AG$1,'Wells Fargo'!$B:$B,"&lt;="&amp;'Cash Flow'!AG$3,'Wells Fargo'!$B:$B,"&gt;"&amp;'Cash Flow'!AF$3)</f>
        <v>0</v>
      </c>
      <c r="AH62" s="188">
        <f>SUMIFS('Wells Fargo'!$F:$F,'Wells Fargo'!$G:$G,'Cash Flow'!$A62,'Wells Fargo'!$A:$A,AH$1,'Wells Fargo'!$B:$B,"&lt;="&amp;'Cash Flow'!AH$3,'Wells Fargo'!$B:$B,"&gt;"&amp;'Cash Flow'!AG$3)</f>
        <v>0</v>
      </c>
      <c r="AI62" s="188">
        <f>SUMIFS('Wells Fargo'!$F:$F,'Wells Fargo'!$G:$G,'Cash Flow'!$A62,'Wells Fargo'!$A:$A,AI$1,'Wells Fargo'!$B:$B,"&lt;="&amp;'Cash Flow'!AI$3,'Wells Fargo'!$B:$B,"&gt;"&amp;'Cash Flow'!AH$3)</f>
        <v>0</v>
      </c>
      <c r="AJ62" s="188">
        <f>SUMIFS('Wells Fargo'!$F:$F,'Wells Fargo'!$G:$G,'Cash Flow'!$A62,'Wells Fargo'!$A:$A,AJ$1,'Wells Fargo'!$B:$B,"&lt;="&amp;'Cash Flow'!AJ$3,'Wells Fargo'!$B:$B,"&gt;"&amp;'Cash Flow'!AI$3)</f>
        <v>0</v>
      </c>
      <c r="AK62" s="189">
        <f>SUMIFS('Wells Fargo'!$F:$F,'Wells Fargo'!$G:$G,'Cash Flow'!$A62,'Wells Fargo'!$A:$A,AK$1,'Wells Fargo'!$B:$B,"&lt;="&amp;'Cash Flow'!AK$3)</f>
        <v>0</v>
      </c>
      <c r="AL62" s="188">
        <f>SUMIFS('Wells Fargo'!$F:$F,'Wells Fargo'!$G:$G,'Cash Flow'!$A62,'Wells Fargo'!$A:$A,AL$1,'Wells Fargo'!$B:$B,"&lt;="&amp;'Cash Flow'!AL$3,'Wells Fargo'!$B:$B,"&gt;"&amp;'Cash Flow'!AK$3)</f>
        <v>0</v>
      </c>
      <c r="AM62" s="188">
        <f>SUMIFS('Wells Fargo'!$F:$F,'Wells Fargo'!$G:$G,'Cash Flow'!$A62,'Wells Fargo'!$A:$A,AM$1,'Wells Fargo'!$B:$B,"&lt;="&amp;'Cash Flow'!AM$3,'Wells Fargo'!$B:$B,"&gt;"&amp;'Cash Flow'!AL$3)</f>
        <v>0</v>
      </c>
      <c r="AN62" s="188">
        <f>SUMIFS('Wells Fargo'!$F:$F,'Wells Fargo'!$G:$G,'Cash Flow'!$A62,'Wells Fargo'!$A:$A,AN$1,'Wells Fargo'!$B:$B,"&lt;="&amp;'Cash Flow'!AN$3,'Wells Fargo'!$B:$B,"&gt;"&amp;'Cash Flow'!AM$3)</f>
        <v>0</v>
      </c>
      <c r="AO62" s="188">
        <f>SUMIFS('Wells Fargo'!$F:$F,'Wells Fargo'!$G:$G,'Cash Flow'!$A62,'Wells Fargo'!$A:$A,AO$1,'Wells Fargo'!$B:$B,"&lt;="&amp;'Cash Flow'!AO$3,'Wells Fargo'!$B:$B,"&gt;"&amp;'Cash Flow'!AN$3)</f>
        <v>0</v>
      </c>
      <c r="AP62" s="189">
        <f>SUMIFS('Wells Fargo'!$F:$F,'Wells Fargo'!$G:$G,'Cash Flow'!$A62,'Wells Fargo'!$A:$A,AP$1,'Wells Fargo'!$B:$B,"&lt;="&amp;'Cash Flow'!AP$3)</f>
        <v>0</v>
      </c>
      <c r="AQ62" s="188">
        <f>SUMIFS('Wells Fargo'!$F:$F,'Wells Fargo'!$G:$G,'Cash Flow'!$A62,'Wells Fargo'!$A:$A,AQ$1,'Wells Fargo'!$B:$B,"&lt;="&amp;'Cash Flow'!AQ$3,'Wells Fargo'!$B:$B,"&gt;"&amp;'Cash Flow'!AP$3)</f>
        <v>0</v>
      </c>
      <c r="AR62" s="188">
        <f>SUMIFS('Wells Fargo'!$F:$F,'Wells Fargo'!$G:$G,'Cash Flow'!$A62,'Wells Fargo'!$A:$A,AR$1,'Wells Fargo'!$B:$B,"&lt;="&amp;'Cash Flow'!AR$3,'Wells Fargo'!$B:$B,"&gt;"&amp;'Cash Flow'!AQ$3)</f>
        <v>0</v>
      </c>
      <c r="AS62" s="188">
        <f>SUMIFS('Wells Fargo'!$F:$F,'Wells Fargo'!$G:$G,'Cash Flow'!$A62,'Wells Fargo'!$A:$A,AS$1,'Wells Fargo'!$B:$B,"&lt;="&amp;'Cash Flow'!AS$3,'Wells Fargo'!$B:$B,"&gt;"&amp;'Cash Flow'!AR$3)</f>
        <v>0</v>
      </c>
      <c r="AT62" s="188">
        <f>SUMIFS('Wells Fargo'!$F:$F,'Wells Fargo'!$G:$G,'Cash Flow'!$A62,'Wells Fargo'!$A:$A,AT$1,'Wells Fargo'!$B:$B,"&lt;="&amp;'Cash Flow'!AT$3,'Wells Fargo'!$B:$B,"&gt;"&amp;'Cash Flow'!AS$3)</f>
        <v>0</v>
      </c>
      <c r="AU62" s="189">
        <f>SUMIFS('Wells Fargo'!$F:$F,'Wells Fargo'!$G:$G,'Cash Flow'!$A62,'Wells Fargo'!$A:$A,AU$1,'Wells Fargo'!$B:$B,"&lt;="&amp;'Cash Flow'!AU$3)</f>
        <v>0</v>
      </c>
      <c r="AV62" s="188">
        <f>SUMIFS('Wells Fargo'!$F:$F,'Wells Fargo'!$G:$G,'Cash Flow'!$A62,'Wells Fargo'!$A:$A,AV$1,'Wells Fargo'!$B:$B,"&lt;="&amp;'Cash Flow'!AV$3,'Wells Fargo'!$B:$B,"&gt;"&amp;'Cash Flow'!AU$3)</f>
        <v>0</v>
      </c>
      <c r="AW62" s="188">
        <f>SUMIFS('Wells Fargo'!$F:$F,'Wells Fargo'!$G:$G,'Cash Flow'!$A62,'Wells Fargo'!$A:$A,AW$1,'Wells Fargo'!$B:$B,"&lt;="&amp;'Cash Flow'!AW$3,'Wells Fargo'!$B:$B,"&gt;"&amp;'Cash Flow'!AV$3)</f>
        <v>0</v>
      </c>
      <c r="AX62" s="188">
        <f>SUMIFS('Wells Fargo'!$F:$F,'Wells Fargo'!$G:$G,'Cash Flow'!$A62,'Wells Fargo'!$A:$A,AX$1,'Wells Fargo'!$B:$B,"&lt;="&amp;'Cash Flow'!AX$3,'Wells Fargo'!$B:$B,"&gt;"&amp;'Cash Flow'!AW$3)</f>
        <v>0</v>
      </c>
      <c r="AY62" s="188">
        <f>SUMIFS('Wells Fargo'!$F:$F,'Wells Fargo'!$G:$G,'Cash Flow'!$A62,'Wells Fargo'!$A:$A,AY$1,'Wells Fargo'!$B:$B,"&lt;="&amp;'Cash Flow'!AY$3,'Wells Fargo'!$B:$B,"&gt;"&amp;'Cash Flow'!AX$3)</f>
        <v>0</v>
      </c>
      <c r="AZ62" s="189">
        <f>SUMIFS('Wells Fargo'!$F:$F,'Wells Fargo'!$G:$G,'Cash Flow'!$A62,'Wells Fargo'!$A:$A,AZ$1,'Wells Fargo'!$B:$B,"&lt;="&amp;'Cash Flow'!AZ$3)</f>
        <v>0</v>
      </c>
      <c r="BA62" s="188">
        <f>SUMIFS('Wells Fargo'!$F:$F,'Wells Fargo'!$G:$G,'Cash Flow'!$A62,'Wells Fargo'!$A:$A,BA$1,'Wells Fargo'!$B:$B,"&lt;="&amp;'Cash Flow'!BA$3,'Wells Fargo'!$B:$B,"&gt;"&amp;'Cash Flow'!AZ$3)</f>
        <v>0</v>
      </c>
      <c r="BB62" s="188">
        <f>SUMIFS('Wells Fargo'!$F:$F,'Wells Fargo'!$G:$G,'Cash Flow'!$A62,'Wells Fargo'!$A:$A,BB$1,'Wells Fargo'!$B:$B,"&lt;="&amp;'Cash Flow'!BB$3,'Wells Fargo'!$B:$B,"&gt;"&amp;'Cash Flow'!BA$3)</f>
        <v>0</v>
      </c>
      <c r="BC62" s="188">
        <f>SUMIFS('Wells Fargo'!$F:$F,'Wells Fargo'!$G:$G,'Cash Flow'!$A62,'Wells Fargo'!$A:$A,BC$1,'Wells Fargo'!$B:$B,"&lt;="&amp;'Cash Flow'!BC$3,'Wells Fargo'!$B:$B,"&gt;"&amp;'Cash Flow'!BB$3)</f>
        <v>0</v>
      </c>
      <c r="BD62" s="188">
        <f>SUMIFS('Wells Fargo'!$F:$F,'Wells Fargo'!$G:$G,'Cash Flow'!$A62,'Wells Fargo'!$A:$A,BD$1,'Wells Fargo'!$B:$B,"&lt;="&amp;'Cash Flow'!BD$3,'Wells Fargo'!$B:$B,"&gt;"&amp;'Cash Flow'!BC$3)</f>
        <v>0</v>
      </c>
      <c r="BE62" s="189">
        <f>SUMIFS('Wells Fargo'!$F:$F,'Wells Fargo'!$G:$G,'Cash Flow'!$A62,'Wells Fargo'!$A:$A,BE$1,'Wells Fargo'!$B:$B,"&lt;="&amp;'Cash Flow'!BE$3)</f>
        <v>0</v>
      </c>
      <c r="BF62" s="188">
        <f>SUMIFS('Wells Fargo'!$F:$F,'Wells Fargo'!$G:$G,'Cash Flow'!$A62,'Wells Fargo'!$A:$A,BF$1,'Wells Fargo'!$B:$B,"&lt;="&amp;'Cash Flow'!BF$3,'Wells Fargo'!$B:$B,"&gt;"&amp;'Cash Flow'!BE$3)</f>
        <v>0</v>
      </c>
      <c r="BG62" s="188">
        <f>SUMIFS('Wells Fargo'!$F:$F,'Wells Fargo'!$G:$G,'Cash Flow'!$A62,'Wells Fargo'!$A:$A,BG$1,'Wells Fargo'!$B:$B,"&lt;="&amp;'Cash Flow'!BG$3,'Wells Fargo'!$B:$B,"&gt;"&amp;'Cash Flow'!BF$3)</f>
        <v>0</v>
      </c>
      <c r="BH62" s="188">
        <f>SUMIFS('Wells Fargo'!$F:$F,'Wells Fargo'!$G:$G,'Cash Flow'!$A62,'Wells Fargo'!$A:$A,BH$1,'Wells Fargo'!$B:$B,"&lt;="&amp;'Cash Flow'!BH$3,'Wells Fargo'!$B:$B,"&gt;"&amp;'Cash Flow'!BG$3)</f>
        <v>0</v>
      </c>
      <c r="BI62" s="188">
        <f>SUMIFS('Wells Fargo'!$F:$F,'Wells Fargo'!$G:$G,'Cash Flow'!$A62,'Wells Fargo'!$A:$A,BI$1,'Wells Fargo'!$B:$B,"&lt;="&amp;'Cash Flow'!BI$3,'Wells Fargo'!$B:$B,"&gt;"&amp;'Cash Flow'!BH$3)</f>
        <v>0</v>
      </c>
    </row>
    <row r="63" spans="1:61" ht="12.75" x14ac:dyDescent="0.2">
      <c r="A63" t="str">
        <v>Vincent</v>
      </c>
      <c r="B63" s="87">
        <f t="shared" si="3"/>
        <v>3593.9800000000005</v>
      </c>
      <c r="C63" s="189">
        <f>SUMIFS('Wells Fargo'!$F:$F,'Wells Fargo'!$G:$G,'Cash Flow'!$A63,'Wells Fargo'!$A:$A,C$1,'Wells Fargo'!$B:$B,"&lt;="&amp;'Cash Flow'!C$3)</f>
        <v>0</v>
      </c>
      <c r="D63" s="188">
        <f>SUMIFS('Wells Fargo'!$F:$F,'Wells Fargo'!$G:$G,'Cash Flow'!$A63,'Wells Fargo'!$A:$A,D$1,'Wells Fargo'!$B:$B,"&lt;="&amp;'Cash Flow'!D$3,'Wells Fargo'!$B:$B,"&gt;"&amp;'Cash Flow'!C$3)</f>
        <v>0</v>
      </c>
      <c r="E63" s="188">
        <f>SUMIFS('Wells Fargo'!$F:$F,'Wells Fargo'!$G:$G,'Cash Flow'!$A63,'Wells Fargo'!$A:$A,E$1,'Wells Fargo'!$B:$B,"&lt;="&amp;'Cash Flow'!E$3,'Wells Fargo'!$B:$B,"&gt;"&amp;'Cash Flow'!D$3)</f>
        <v>0</v>
      </c>
      <c r="F63" s="188">
        <f>SUMIFS('Wells Fargo'!$F:$F,'Wells Fargo'!$G:$G,'Cash Flow'!$A63,'Wells Fargo'!$A:$A,F$1,'Wells Fargo'!$B:$B,"&lt;="&amp;'Cash Flow'!F$3,'Wells Fargo'!$B:$B,"&gt;"&amp;'Cash Flow'!E$3)</f>
        <v>-569.12</v>
      </c>
      <c r="G63" s="188">
        <f>SUMIFS('Wells Fargo'!$F:$F,'Wells Fargo'!$G:$G,'Cash Flow'!$A63,'Wells Fargo'!$A:$A,G$1,'Wells Fargo'!$B:$B,"&lt;="&amp;'Cash Flow'!G$3,'Wells Fargo'!$B:$B,"&gt;"&amp;'Cash Flow'!F$3)</f>
        <v>-728.15</v>
      </c>
      <c r="H63" s="189">
        <f>SUMIFS('Wells Fargo'!$F:$F,'Wells Fargo'!$G:$G,'Cash Flow'!$A63,'Wells Fargo'!$A:$A,H$1,'Wells Fargo'!$B:$B,"&lt;="&amp;'Cash Flow'!H$3)</f>
        <v>495</v>
      </c>
      <c r="I63" s="188">
        <f>SUMIFS('Wells Fargo'!$F:$F,'Wells Fargo'!$G:$G,'Cash Flow'!$A63,'Wells Fargo'!$A:$A,I$1,'Wells Fargo'!$B:$B,"&lt;="&amp;'Cash Flow'!I$3,'Wells Fargo'!$B:$B,"&gt;"&amp;'Cash Flow'!H$3)</f>
        <v>-350</v>
      </c>
      <c r="J63" s="188">
        <f>SUMIFS('Wells Fargo'!$F:$F,'Wells Fargo'!$G:$G,'Cash Flow'!$A63,'Wells Fargo'!$A:$A,J$1,'Wells Fargo'!$B:$B,"&lt;="&amp;'Cash Flow'!J$3,'Wells Fargo'!$B:$B,"&gt;"&amp;'Cash Flow'!I$3)</f>
        <v>-500</v>
      </c>
      <c r="K63" s="188">
        <f>SUMIFS('Wells Fargo'!$F:$F,'Wells Fargo'!$G:$G,'Cash Flow'!$A63,'Wells Fargo'!$A:$A,K$1,'Wells Fargo'!$B:$B,"&lt;="&amp;'Cash Flow'!K$3,'Wells Fargo'!$B:$B,"&gt;"&amp;'Cash Flow'!J$3)</f>
        <v>0</v>
      </c>
      <c r="L63" s="189">
        <f>SUMIFS('Wells Fargo'!$F:$F,'Wells Fargo'!$G:$G,'Cash Flow'!$A63,'Wells Fargo'!$A:$A,L$1,'Wells Fargo'!$B:$B,"&lt;="&amp;'Cash Flow'!L$3)</f>
        <v>0</v>
      </c>
      <c r="M63" s="188">
        <f>SUMIFS('Wells Fargo'!$F:$F,'Wells Fargo'!$G:$G,'Cash Flow'!$A63,'Wells Fargo'!$A:$A,M$1,'Wells Fargo'!$B:$B,"&lt;="&amp;'Cash Flow'!M$3,'Wells Fargo'!$B:$B,"&gt;"&amp;'Cash Flow'!L$3)</f>
        <v>0</v>
      </c>
      <c r="N63" s="188">
        <f>SUMIFS('Wells Fargo'!$F:$F,'Wells Fargo'!$G:$G,'Cash Flow'!$A63,'Wells Fargo'!$A:$A,N$1,'Wells Fargo'!$B:$B,"&lt;="&amp;'Cash Flow'!N$3,'Wells Fargo'!$B:$B,"&gt;"&amp;'Cash Flow'!M$3)</f>
        <v>0</v>
      </c>
      <c r="O63" s="188">
        <f>SUMIFS('Wells Fargo'!$F:$F,'Wells Fargo'!$G:$G,'Cash Flow'!$A63,'Wells Fargo'!$A:$A,O$1,'Wells Fargo'!$B:$B,"&lt;="&amp;'Cash Flow'!O$3,'Wells Fargo'!$B:$B,"&gt;"&amp;'Cash Flow'!N$3)</f>
        <v>-59</v>
      </c>
      <c r="P63" s="188">
        <f>SUMIFS('Wells Fargo'!$F:$F,'Wells Fargo'!$G:$G,'Cash Flow'!$A63,'Wells Fargo'!$A:$A,P$1,'Wells Fargo'!$B:$B,"&lt;="&amp;'Cash Flow'!P$3,'Wells Fargo'!$B:$B,"&gt;"&amp;'Cash Flow'!O$3)</f>
        <v>0</v>
      </c>
      <c r="Q63" s="189">
        <f>SUMIFS('Wells Fargo'!$F:$F,'Wells Fargo'!$G:$G,'Cash Flow'!$A63,'Wells Fargo'!$A:$A,Q$1,'Wells Fargo'!$B:$B,"&lt;="&amp;'Cash Flow'!Q$3)</f>
        <v>0</v>
      </c>
      <c r="R63" s="188">
        <f>SUMIFS('Wells Fargo'!$F:$F,'Wells Fargo'!$G:$G,'Cash Flow'!$A63,'Wells Fargo'!$A:$A,R$1,'Wells Fargo'!$B:$B,"&lt;="&amp;'Cash Flow'!R$3,'Wells Fargo'!$B:$B,"&gt;"&amp;'Cash Flow'!Q$3)</f>
        <v>0</v>
      </c>
      <c r="S63" s="188">
        <f>SUMIFS('Wells Fargo'!$F:$F,'Wells Fargo'!$G:$G,'Cash Flow'!$A63,'Wells Fargo'!$A:$A,S$1,'Wells Fargo'!$B:$B,"&lt;="&amp;'Cash Flow'!S$3,'Wells Fargo'!$B:$B,"&gt;"&amp;'Cash Flow'!R$3)</f>
        <v>0</v>
      </c>
      <c r="T63" s="188">
        <f>SUMIFS('Wells Fargo'!$F:$F,'Wells Fargo'!$G:$G,'Cash Flow'!$A63,'Wells Fargo'!$A:$A,T$1,'Wells Fargo'!$B:$B,"&lt;="&amp;'Cash Flow'!T$3,'Wells Fargo'!$B:$B,"&gt;"&amp;'Cash Flow'!S$3)</f>
        <v>0</v>
      </c>
      <c r="U63" s="188">
        <f>SUMIFS('Wells Fargo'!$F:$F,'Wells Fargo'!$G:$G,'Cash Flow'!$A63,'Wells Fargo'!$A:$A,U$1,'Wells Fargo'!$B:$B,"&lt;="&amp;'Cash Flow'!U$3,'Wells Fargo'!$B:$B,"&gt;"&amp;'Cash Flow'!T$3)</f>
        <v>0</v>
      </c>
      <c r="V63" s="189">
        <f>SUMIFS('Wells Fargo'!$F:$F,'Wells Fargo'!$G:$G,'Cash Flow'!$A63,'Wells Fargo'!$A:$A,V$1,'Wells Fargo'!$B:$B,"&lt;="&amp;'Cash Flow'!V$3)</f>
        <v>0</v>
      </c>
      <c r="W63" s="188">
        <f>SUMIFS('Wells Fargo'!$F:$F,'Wells Fargo'!$G:$G,'Cash Flow'!$A63,'Wells Fargo'!$A:$A,W$1,'Wells Fargo'!$B:$B,"&lt;="&amp;'Cash Flow'!W$3,'Wells Fargo'!$B:$B,"&gt;"&amp;'Cash Flow'!V$3)</f>
        <v>0</v>
      </c>
      <c r="X63" s="188">
        <f>SUMIFS('Wells Fargo'!$F:$F,'Wells Fargo'!$G:$G,'Cash Flow'!$A63,'Wells Fargo'!$A:$A,X$1,'Wells Fargo'!$B:$B,"&lt;="&amp;'Cash Flow'!X$3,'Wells Fargo'!$B:$B,"&gt;"&amp;'Cash Flow'!W$3)</f>
        <v>-305</v>
      </c>
      <c r="Y63" s="188">
        <f>SUMIFS('Wells Fargo'!$F:$F,'Wells Fargo'!$G:$G,'Cash Flow'!$A63,'Wells Fargo'!$A:$A,Y$1,'Wells Fargo'!$B:$B,"&lt;="&amp;'Cash Flow'!Y$3,'Wells Fargo'!$B:$B,"&gt;"&amp;'Cash Flow'!X$3)</f>
        <v>600.36</v>
      </c>
      <c r="Z63" s="188">
        <f>SUMIFS('Wells Fargo'!$F:$F,'Wells Fargo'!$G:$G,'Cash Flow'!$A63,'Wells Fargo'!$A:$A,Z$1,'Wells Fargo'!$B:$B,"&lt;="&amp;'Cash Flow'!Z$3,'Wells Fargo'!$B:$B,"&gt;"&amp;'Cash Flow'!Y$3)</f>
        <v>0</v>
      </c>
      <c r="AA63" s="189">
        <f>SUMIFS('Wells Fargo'!$F:$F,'Wells Fargo'!$G:$G,'Cash Flow'!$A63,'Wells Fargo'!$A:$A,AA$1,'Wells Fargo'!$B:$B,"&lt;="&amp;'Cash Flow'!AA$3)</f>
        <v>0</v>
      </c>
      <c r="AB63" s="188">
        <f>SUMIFS('Wells Fargo'!$F:$F,'Wells Fargo'!$G:$G,'Cash Flow'!$A63,'Wells Fargo'!$A:$A,AB$1,'Wells Fargo'!$B:$B,"&lt;="&amp;'Cash Flow'!AB$3,'Wells Fargo'!$B:$B,"&gt;"&amp;'Cash Flow'!AA$3)</f>
        <v>0</v>
      </c>
      <c r="AC63" s="188">
        <f>SUMIFS('Wells Fargo'!$F:$F,'Wells Fargo'!$G:$G,'Cash Flow'!$A63,'Wells Fargo'!$A:$A,AC$1,'Wells Fargo'!$B:$B,"&lt;="&amp;'Cash Flow'!AC$3,'Wells Fargo'!$B:$B,"&gt;"&amp;'Cash Flow'!AB$3)</f>
        <v>0</v>
      </c>
      <c r="AD63" s="188">
        <f>SUMIFS('Wells Fargo'!$F:$F,'Wells Fargo'!$G:$G,'Cash Flow'!$A63,'Wells Fargo'!$A:$A,AD$1,'Wells Fargo'!$B:$B,"&lt;="&amp;'Cash Flow'!AD$3,'Wells Fargo'!$B:$B,"&gt;"&amp;'Cash Flow'!AC$3)</f>
        <v>0</v>
      </c>
      <c r="AE63" s="188">
        <f>SUMIFS('Wells Fargo'!$F:$F,'Wells Fargo'!$G:$G,'Cash Flow'!$A63,'Wells Fargo'!$A:$A,AE$1,'Wells Fargo'!$B:$B,"&lt;="&amp;'Cash Flow'!AE$3,'Wells Fargo'!$B:$B,"&gt;"&amp;'Cash Flow'!AD$3)</f>
        <v>0</v>
      </c>
      <c r="AF63" s="189">
        <f>SUMIFS('Wells Fargo'!$F:$F,'Wells Fargo'!$G:$G,'Cash Flow'!$A63,'Wells Fargo'!$A:$A,AF$1,'Wells Fargo'!$B:$B,"&lt;="&amp;'Cash Flow'!AF$3)</f>
        <v>0</v>
      </c>
      <c r="AG63" s="188">
        <f>SUMIFS('Wells Fargo'!$F:$F,'Wells Fargo'!$G:$G,'Cash Flow'!$A63,'Wells Fargo'!$A:$A,AG$1,'Wells Fargo'!$B:$B,"&lt;="&amp;'Cash Flow'!AG$3,'Wells Fargo'!$B:$B,"&gt;"&amp;'Cash Flow'!AF$3)</f>
        <v>1076.8800000000001</v>
      </c>
      <c r="AH63" s="188">
        <f>SUMIFS('Wells Fargo'!$F:$F,'Wells Fargo'!$G:$G,'Cash Flow'!$A63,'Wells Fargo'!$A:$A,AH$1,'Wells Fargo'!$B:$B,"&lt;="&amp;'Cash Flow'!AH$3,'Wells Fargo'!$B:$B,"&gt;"&amp;'Cash Flow'!AG$3)</f>
        <v>156.77000000000001</v>
      </c>
      <c r="AI63" s="188">
        <f>SUMIFS('Wells Fargo'!$F:$F,'Wells Fargo'!$G:$G,'Cash Flow'!$A63,'Wells Fargo'!$A:$A,AI$1,'Wells Fargo'!$B:$B,"&lt;="&amp;'Cash Flow'!AI$3,'Wells Fargo'!$B:$B,"&gt;"&amp;'Cash Flow'!AH$3)</f>
        <v>937.5</v>
      </c>
      <c r="AJ63" s="188">
        <f>SUMIFS('Wells Fargo'!$F:$F,'Wells Fargo'!$G:$G,'Cash Flow'!$A63,'Wells Fargo'!$A:$A,AJ$1,'Wells Fargo'!$B:$B,"&lt;="&amp;'Cash Flow'!AJ$3,'Wells Fargo'!$B:$B,"&gt;"&amp;'Cash Flow'!AI$3)</f>
        <v>0</v>
      </c>
      <c r="AK63" s="189">
        <f>SUMIFS('Wells Fargo'!$F:$F,'Wells Fargo'!$G:$G,'Cash Flow'!$A63,'Wells Fargo'!$A:$A,AK$1,'Wells Fargo'!$B:$B,"&lt;="&amp;'Cash Flow'!AK$3)</f>
        <v>0</v>
      </c>
      <c r="AL63" s="188">
        <f>SUMIFS('Wells Fargo'!$F:$F,'Wells Fargo'!$G:$G,'Cash Flow'!$A63,'Wells Fargo'!$A:$A,AL$1,'Wells Fargo'!$B:$B,"&lt;="&amp;'Cash Flow'!AL$3,'Wells Fargo'!$B:$B,"&gt;"&amp;'Cash Flow'!AK$3)</f>
        <v>0</v>
      </c>
      <c r="AM63" s="188">
        <f>SUMIFS('Wells Fargo'!$F:$F,'Wells Fargo'!$G:$G,'Cash Flow'!$A63,'Wells Fargo'!$A:$A,AM$1,'Wells Fargo'!$B:$B,"&lt;="&amp;'Cash Flow'!AM$3,'Wells Fargo'!$B:$B,"&gt;"&amp;'Cash Flow'!AL$3)</f>
        <v>0</v>
      </c>
      <c r="AN63" s="188">
        <f>SUMIFS('Wells Fargo'!$F:$F,'Wells Fargo'!$G:$G,'Cash Flow'!$A63,'Wells Fargo'!$A:$A,AN$1,'Wells Fargo'!$B:$B,"&lt;="&amp;'Cash Flow'!AN$3,'Wells Fargo'!$B:$B,"&gt;"&amp;'Cash Flow'!AM$3)</f>
        <v>0</v>
      </c>
      <c r="AO63" s="188">
        <f>SUMIFS('Wells Fargo'!$F:$F,'Wells Fargo'!$G:$G,'Cash Flow'!$A63,'Wells Fargo'!$A:$A,AO$1,'Wells Fargo'!$B:$B,"&lt;="&amp;'Cash Flow'!AO$3,'Wells Fargo'!$B:$B,"&gt;"&amp;'Cash Flow'!AN$3)</f>
        <v>0</v>
      </c>
      <c r="AP63" s="189">
        <f>SUMIFS('Wells Fargo'!$F:$F,'Wells Fargo'!$G:$G,'Cash Flow'!$A63,'Wells Fargo'!$A:$A,AP$1,'Wells Fargo'!$B:$B,"&lt;="&amp;'Cash Flow'!AP$3)</f>
        <v>0</v>
      </c>
      <c r="AQ63" s="188">
        <f>SUMIFS('Wells Fargo'!$F:$F,'Wells Fargo'!$G:$G,'Cash Flow'!$A63,'Wells Fargo'!$A:$A,AQ$1,'Wells Fargo'!$B:$B,"&lt;="&amp;'Cash Flow'!AQ$3,'Wells Fargo'!$B:$B,"&gt;"&amp;'Cash Flow'!AP$3)</f>
        <v>972.07</v>
      </c>
      <c r="AR63" s="188">
        <f>SUMIFS('Wells Fargo'!$F:$F,'Wells Fargo'!$G:$G,'Cash Flow'!$A63,'Wells Fargo'!$A:$A,AR$1,'Wells Fargo'!$B:$B,"&lt;="&amp;'Cash Flow'!AR$3,'Wells Fargo'!$B:$B,"&gt;"&amp;'Cash Flow'!AQ$3)</f>
        <v>0</v>
      </c>
      <c r="AS63" s="188">
        <f>SUMIFS('Wells Fargo'!$F:$F,'Wells Fargo'!$G:$G,'Cash Flow'!$A63,'Wells Fargo'!$A:$A,AS$1,'Wells Fargo'!$B:$B,"&lt;="&amp;'Cash Flow'!AS$3,'Wells Fargo'!$B:$B,"&gt;"&amp;'Cash Flow'!AR$3)</f>
        <v>0</v>
      </c>
      <c r="AT63" s="188">
        <f>SUMIFS('Wells Fargo'!$F:$F,'Wells Fargo'!$G:$G,'Cash Flow'!$A63,'Wells Fargo'!$A:$A,AT$1,'Wells Fargo'!$B:$B,"&lt;="&amp;'Cash Flow'!AT$3,'Wells Fargo'!$B:$B,"&gt;"&amp;'Cash Flow'!AS$3)</f>
        <v>1866.67</v>
      </c>
      <c r="AU63" s="189">
        <f>SUMIFS('Wells Fargo'!$F:$F,'Wells Fargo'!$G:$G,'Cash Flow'!$A63,'Wells Fargo'!$A:$A,AU$1,'Wells Fargo'!$B:$B,"&lt;="&amp;'Cash Flow'!AU$3)</f>
        <v>0</v>
      </c>
      <c r="AV63" s="188">
        <f>SUMIFS('Wells Fargo'!$F:$F,'Wells Fargo'!$G:$G,'Cash Flow'!$A63,'Wells Fargo'!$A:$A,AV$1,'Wells Fargo'!$B:$B,"&lt;="&amp;'Cash Flow'!AV$3,'Wells Fargo'!$B:$B,"&gt;"&amp;'Cash Flow'!AU$3)</f>
        <v>0</v>
      </c>
      <c r="AW63" s="188">
        <f>SUMIFS('Wells Fargo'!$F:$F,'Wells Fargo'!$G:$G,'Cash Flow'!$A63,'Wells Fargo'!$A:$A,AW$1,'Wells Fargo'!$B:$B,"&lt;="&amp;'Cash Flow'!AW$3,'Wells Fargo'!$B:$B,"&gt;"&amp;'Cash Flow'!AV$3)</f>
        <v>0</v>
      </c>
      <c r="AX63" s="188">
        <f>SUMIFS('Wells Fargo'!$F:$F,'Wells Fargo'!$G:$G,'Cash Flow'!$A63,'Wells Fargo'!$A:$A,AX$1,'Wells Fargo'!$B:$B,"&lt;="&amp;'Cash Flow'!AX$3,'Wells Fargo'!$B:$B,"&gt;"&amp;'Cash Flow'!AW$3)</f>
        <v>0</v>
      </c>
      <c r="AY63" s="188">
        <f>SUMIFS('Wells Fargo'!$F:$F,'Wells Fargo'!$G:$G,'Cash Flow'!$A63,'Wells Fargo'!$A:$A,AY$1,'Wells Fargo'!$B:$B,"&lt;="&amp;'Cash Flow'!AY$3,'Wells Fargo'!$B:$B,"&gt;"&amp;'Cash Flow'!AX$3)</f>
        <v>0</v>
      </c>
      <c r="AZ63" s="189">
        <f>SUMIFS('Wells Fargo'!$F:$F,'Wells Fargo'!$G:$G,'Cash Flow'!$A63,'Wells Fargo'!$A:$A,AZ$1,'Wells Fargo'!$B:$B,"&lt;="&amp;'Cash Flow'!AZ$3)</f>
        <v>0</v>
      </c>
      <c r="BA63" s="188">
        <f>SUMIFS('Wells Fargo'!$F:$F,'Wells Fargo'!$G:$G,'Cash Flow'!$A63,'Wells Fargo'!$A:$A,BA$1,'Wells Fargo'!$B:$B,"&lt;="&amp;'Cash Flow'!BA$3,'Wells Fargo'!$B:$B,"&gt;"&amp;'Cash Flow'!AZ$3)</f>
        <v>0</v>
      </c>
      <c r="BB63" s="188">
        <f>SUMIFS('Wells Fargo'!$F:$F,'Wells Fargo'!$G:$G,'Cash Flow'!$A63,'Wells Fargo'!$A:$A,BB$1,'Wells Fargo'!$B:$B,"&lt;="&amp;'Cash Flow'!BB$3,'Wells Fargo'!$B:$B,"&gt;"&amp;'Cash Flow'!BA$3)</f>
        <v>0</v>
      </c>
      <c r="BC63" s="188">
        <f>SUMIFS('Wells Fargo'!$F:$F,'Wells Fargo'!$G:$G,'Cash Flow'!$A63,'Wells Fargo'!$A:$A,BC$1,'Wells Fargo'!$B:$B,"&lt;="&amp;'Cash Flow'!BC$3,'Wells Fargo'!$B:$B,"&gt;"&amp;'Cash Flow'!BB$3)</f>
        <v>0</v>
      </c>
      <c r="BD63" s="188">
        <f>SUMIFS('Wells Fargo'!$F:$F,'Wells Fargo'!$G:$G,'Cash Flow'!$A63,'Wells Fargo'!$A:$A,BD$1,'Wells Fargo'!$B:$B,"&lt;="&amp;'Cash Flow'!BD$3,'Wells Fargo'!$B:$B,"&gt;"&amp;'Cash Flow'!BC$3)</f>
        <v>0</v>
      </c>
      <c r="BE63" s="189">
        <f>SUMIFS('Wells Fargo'!$F:$F,'Wells Fargo'!$G:$G,'Cash Flow'!$A63,'Wells Fargo'!$A:$A,BE$1,'Wells Fargo'!$B:$B,"&lt;="&amp;'Cash Flow'!BE$3)</f>
        <v>0</v>
      </c>
      <c r="BF63" s="188">
        <f>SUMIFS('Wells Fargo'!$F:$F,'Wells Fargo'!$G:$G,'Cash Flow'!$A63,'Wells Fargo'!$A:$A,BF$1,'Wells Fargo'!$B:$B,"&lt;="&amp;'Cash Flow'!BF$3,'Wells Fargo'!$B:$B,"&gt;"&amp;'Cash Flow'!BE$3)</f>
        <v>0</v>
      </c>
      <c r="BG63" s="188">
        <f>SUMIFS('Wells Fargo'!$F:$F,'Wells Fargo'!$G:$G,'Cash Flow'!$A63,'Wells Fargo'!$A:$A,BG$1,'Wells Fargo'!$B:$B,"&lt;="&amp;'Cash Flow'!BG$3,'Wells Fargo'!$B:$B,"&gt;"&amp;'Cash Flow'!BF$3)</f>
        <v>0</v>
      </c>
      <c r="BH63" s="188">
        <f>SUMIFS('Wells Fargo'!$F:$F,'Wells Fargo'!$G:$G,'Cash Flow'!$A63,'Wells Fargo'!$A:$A,BH$1,'Wells Fargo'!$B:$B,"&lt;="&amp;'Cash Flow'!BH$3,'Wells Fargo'!$B:$B,"&gt;"&amp;'Cash Flow'!BG$3)</f>
        <v>0</v>
      </c>
      <c r="BI63" s="188">
        <f>SUMIFS('Wells Fargo'!$F:$F,'Wells Fargo'!$G:$G,'Cash Flow'!$A63,'Wells Fargo'!$A:$A,BI$1,'Wells Fargo'!$B:$B,"&lt;="&amp;'Cash Flow'!BI$3,'Wells Fargo'!$B:$B,"&gt;"&amp;'Cash Flow'!BH$3)</f>
        <v>0</v>
      </c>
    </row>
    <row r="64" spans="1:61" ht="12.75" x14ac:dyDescent="0.2">
      <c r="A64" t="str">
        <v xml:space="preserve">Vincent </v>
      </c>
      <c r="B64" s="87">
        <f t="shared" si="3"/>
        <v>162.02000000000001</v>
      </c>
      <c r="C64" s="189">
        <f>SUMIFS('Wells Fargo'!$F:$F,'Wells Fargo'!$G:$G,'Cash Flow'!$A64,'Wells Fargo'!$A:$A,C$1,'Wells Fargo'!$B:$B,"&lt;="&amp;'Cash Flow'!C$3)</f>
        <v>0</v>
      </c>
      <c r="D64" s="188">
        <f>SUMIFS('Wells Fargo'!$F:$F,'Wells Fargo'!$G:$G,'Cash Flow'!$A64,'Wells Fargo'!$A:$A,D$1,'Wells Fargo'!$B:$B,"&lt;="&amp;'Cash Flow'!D$3,'Wells Fargo'!$B:$B,"&gt;"&amp;'Cash Flow'!C$3)</f>
        <v>0</v>
      </c>
      <c r="E64" s="188">
        <f>SUMIFS('Wells Fargo'!$F:$F,'Wells Fargo'!$G:$G,'Cash Flow'!$A64,'Wells Fargo'!$A:$A,E$1,'Wells Fargo'!$B:$B,"&lt;="&amp;'Cash Flow'!E$3,'Wells Fargo'!$B:$B,"&gt;"&amp;'Cash Flow'!D$3)</f>
        <v>0</v>
      </c>
      <c r="F64" s="188">
        <f>SUMIFS('Wells Fargo'!$F:$F,'Wells Fargo'!$G:$G,'Cash Flow'!$A64,'Wells Fargo'!$A:$A,F$1,'Wells Fargo'!$B:$B,"&lt;="&amp;'Cash Flow'!F$3,'Wells Fargo'!$B:$B,"&gt;"&amp;'Cash Flow'!E$3)</f>
        <v>0</v>
      </c>
      <c r="G64" s="188">
        <f>SUMIFS('Wells Fargo'!$F:$F,'Wells Fargo'!$G:$G,'Cash Flow'!$A64,'Wells Fargo'!$A:$A,G$1,'Wells Fargo'!$B:$B,"&lt;="&amp;'Cash Flow'!G$3,'Wells Fargo'!$B:$B,"&gt;"&amp;'Cash Flow'!F$3)</f>
        <v>0</v>
      </c>
      <c r="H64" s="189">
        <f>SUMIFS('Wells Fargo'!$F:$F,'Wells Fargo'!$G:$G,'Cash Flow'!$A64,'Wells Fargo'!$A:$A,H$1,'Wells Fargo'!$B:$B,"&lt;="&amp;'Cash Flow'!H$3)</f>
        <v>0</v>
      </c>
      <c r="I64" s="188">
        <f>SUMIFS('Wells Fargo'!$F:$F,'Wells Fargo'!$G:$G,'Cash Flow'!$A64,'Wells Fargo'!$A:$A,I$1,'Wells Fargo'!$B:$B,"&lt;="&amp;'Cash Flow'!I$3,'Wells Fargo'!$B:$B,"&gt;"&amp;'Cash Flow'!H$3)</f>
        <v>0</v>
      </c>
      <c r="J64" s="188">
        <f>SUMIFS('Wells Fargo'!$F:$F,'Wells Fargo'!$G:$G,'Cash Flow'!$A64,'Wells Fargo'!$A:$A,J$1,'Wells Fargo'!$B:$B,"&lt;="&amp;'Cash Flow'!J$3,'Wells Fargo'!$B:$B,"&gt;"&amp;'Cash Flow'!I$3)</f>
        <v>0</v>
      </c>
      <c r="K64" s="188">
        <f>SUMIFS('Wells Fargo'!$F:$F,'Wells Fargo'!$G:$G,'Cash Flow'!$A64,'Wells Fargo'!$A:$A,K$1,'Wells Fargo'!$B:$B,"&lt;="&amp;'Cash Flow'!K$3,'Wells Fargo'!$B:$B,"&gt;"&amp;'Cash Flow'!J$3)</f>
        <v>0</v>
      </c>
      <c r="L64" s="189">
        <f>SUMIFS('Wells Fargo'!$F:$F,'Wells Fargo'!$G:$G,'Cash Flow'!$A64,'Wells Fargo'!$A:$A,L$1,'Wells Fargo'!$B:$B,"&lt;="&amp;'Cash Flow'!L$3)</f>
        <v>0</v>
      </c>
      <c r="M64" s="188">
        <f>SUMIFS('Wells Fargo'!$F:$F,'Wells Fargo'!$G:$G,'Cash Flow'!$A64,'Wells Fargo'!$A:$A,M$1,'Wells Fargo'!$B:$B,"&lt;="&amp;'Cash Flow'!M$3,'Wells Fargo'!$B:$B,"&gt;"&amp;'Cash Flow'!L$3)</f>
        <v>0</v>
      </c>
      <c r="N64" s="188">
        <f>SUMIFS('Wells Fargo'!$F:$F,'Wells Fargo'!$G:$G,'Cash Flow'!$A64,'Wells Fargo'!$A:$A,N$1,'Wells Fargo'!$B:$B,"&lt;="&amp;'Cash Flow'!N$3,'Wells Fargo'!$B:$B,"&gt;"&amp;'Cash Flow'!M$3)</f>
        <v>0</v>
      </c>
      <c r="O64" s="188">
        <f>SUMIFS('Wells Fargo'!$F:$F,'Wells Fargo'!$G:$G,'Cash Flow'!$A64,'Wells Fargo'!$A:$A,O$1,'Wells Fargo'!$B:$B,"&lt;="&amp;'Cash Flow'!O$3,'Wells Fargo'!$B:$B,"&gt;"&amp;'Cash Flow'!N$3)</f>
        <v>0</v>
      </c>
      <c r="P64" s="188">
        <f>SUMIFS('Wells Fargo'!$F:$F,'Wells Fargo'!$G:$G,'Cash Flow'!$A64,'Wells Fargo'!$A:$A,P$1,'Wells Fargo'!$B:$B,"&lt;="&amp;'Cash Flow'!P$3,'Wells Fargo'!$B:$B,"&gt;"&amp;'Cash Flow'!O$3)</f>
        <v>0</v>
      </c>
      <c r="Q64" s="189">
        <f>SUMIFS('Wells Fargo'!$F:$F,'Wells Fargo'!$G:$G,'Cash Flow'!$A64,'Wells Fargo'!$A:$A,Q$1,'Wells Fargo'!$B:$B,"&lt;="&amp;'Cash Flow'!Q$3)</f>
        <v>0</v>
      </c>
      <c r="R64" s="188">
        <f>SUMIFS('Wells Fargo'!$F:$F,'Wells Fargo'!$G:$G,'Cash Flow'!$A64,'Wells Fargo'!$A:$A,R$1,'Wells Fargo'!$B:$B,"&lt;="&amp;'Cash Flow'!R$3,'Wells Fargo'!$B:$B,"&gt;"&amp;'Cash Flow'!Q$3)</f>
        <v>0</v>
      </c>
      <c r="S64" s="188">
        <f>SUMIFS('Wells Fargo'!$F:$F,'Wells Fargo'!$G:$G,'Cash Flow'!$A64,'Wells Fargo'!$A:$A,S$1,'Wells Fargo'!$B:$B,"&lt;="&amp;'Cash Flow'!S$3,'Wells Fargo'!$B:$B,"&gt;"&amp;'Cash Flow'!R$3)</f>
        <v>0</v>
      </c>
      <c r="T64" s="188">
        <f>SUMIFS('Wells Fargo'!$F:$F,'Wells Fargo'!$G:$G,'Cash Flow'!$A64,'Wells Fargo'!$A:$A,T$1,'Wells Fargo'!$B:$B,"&lt;="&amp;'Cash Flow'!T$3,'Wells Fargo'!$B:$B,"&gt;"&amp;'Cash Flow'!S$3)</f>
        <v>0</v>
      </c>
      <c r="U64" s="188">
        <f>SUMIFS('Wells Fargo'!$F:$F,'Wells Fargo'!$G:$G,'Cash Flow'!$A64,'Wells Fargo'!$A:$A,U$1,'Wells Fargo'!$B:$B,"&lt;="&amp;'Cash Flow'!U$3,'Wells Fargo'!$B:$B,"&gt;"&amp;'Cash Flow'!T$3)</f>
        <v>0</v>
      </c>
      <c r="V64" s="189">
        <f>SUMIFS('Wells Fargo'!$F:$F,'Wells Fargo'!$G:$G,'Cash Flow'!$A64,'Wells Fargo'!$A:$A,V$1,'Wells Fargo'!$B:$B,"&lt;="&amp;'Cash Flow'!V$3)</f>
        <v>0</v>
      </c>
      <c r="W64" s="188">
        <f>SUMIFS('Wells Fargo'!$F:$F,'Wells Fargo'!$G:$G,'Cash Flow'!$A64,'Wells Fargo'!$A:$A,W$1,'Wells Fargo'!$B:$B,"&lt;="&amp;'Cash Flow'!W$3,'Wells Fargo'!$B:$B,"&gt;"&amp;'Cash Flow'!V$3)</f>
        <v>0</v>
      </c>
      <c r="X64" s="188">
        <f>SUMIFS('Wells Fargo'!$F:$F,'Wells Fargo'!$G:$G,'Cash Flow'!$A64,'Wells Fargo'!$A:$A,X$1,'Wells Fargo'!$B:$B,"&lt;="&amp;'Cash Flow'!X$3,'Wells Fargo'!$B:$B,"&gt;"&amp;'Cash Flow'!W$3)</f>
        <v>0</v>
      </c>
      <c r="Y64" s="188">
        <f>SUMIFS('Wells Fargo'!$F:$F,'Wells Fargo'!$G:$G,'Cash Flow'!$A64,'Wells Fargo'!$A:$A,Y$1,'Wells Fargo'!$B:$B,"&lt;="&amp;'Cash Flow'!Y$3,'Wells Fargo'!$B:$B,"&gt;"&amp;'Cash Flow'!X$3)</f>
        <v>0</v>
      </c>
      <c r="Z64" s="188">
        <f>SUMIFS('Wells Fargo'!$F:$F,'Wells Fargo'!$G:$G,'Cash Flow'!$A64,'Wells Fargo'!$A:$A,Z$1,'Wells Fargo'!$B:$B,"&lt;="&amp;'Cash Flow'!Z$3,'Wells Fargo'!$B:$B,"&gt;"&amp;'Cash Flow'!Y$3)</f>
        <v>0</v>
      </c>
      <c r="AA64" s="189">
        <f>SUMIFS('Wells Fargo'!$F:$F,'Wells Fargo'!$G:$G,'Cash Flow'!$A64,'Wells Fargo'!$A:$A,AA$1,'Wells Fargo'!$B:$B,"&lt;="&amp;'Cash Flow'!AA$3)</f>
        <v>0</v>
      </c>
      <c r="AB64" s="188">
        <f>SUMIFS('Wells Fargo'!$F:$F,'Wells Fargo'!$G:$G,'Cash Flow'!$A64,'Wells Fargo'!$A:$A,AB$1,'Wells Fargo'!$B:$B,"&lt;="&amp;'Cash Flow'!AB$3,'Wells Fargo'!$B:$B,"&gt;"&amp;'Cash Flow'!AA$3)</f>
        <v>0</v>
      </c>
      <c r="AC64" s="188">
        <f>SUMIFS('Wells Fargo'!$F:$F,'Wells Fargo'!$G:$G,'Cash Flow'!$A64,'Wells Fargo'!$A:$A,AC$1,'Wells Fargo'!$B:$B,"&lt;="&amp;'Cash Flow'!AC$3,'Wells Fargo'!$B:$B,"&gt;"&amp;'Cash Flow'!AB$3)</f>
        <v>0</v>
      </c>
      <c r="AD64" s="188">
        <f>SUMIFS('Wells Fargo'!$F:$F,'Wells Fargo'!$G:$G,'Cash Flow'!$A64,'Wells Fargo'!$A:$A,AD$1,'Wells Fargo'!$B:$B,"&lt;="&amp;'Cash Flow'!AD$3,'Wells Fargo'!$B:$B,"&gt;"&amp;'Cash Flow'!AC$3)</f>
        <v>0</v>
      </c>
      <c r="AE64" s="188">
        <f>SUMIFS('Wells Fargo'!$F:$F,'Wells Fargo'!$G:$G,'Cash Flow'!$A64,'Wells Fargo'!$A:$A,AE$1,'Wells Fargo'!$B:$B,"&lt;="&amp;'Cash Flow'!AE$3,'Wells Fargo'!$B:$B,"&gt;"&amp;'Cash Flow'!AD$3)</f>
        <v>0</v>
      </c>
      <c r="AF64" s="189">
        <f>SUMIFS('Wells Fargo'!$F:$F,'Wells Fargo'!$G:$G,'Cash Flow'!$A64,'Wells Fargo'!$A:$A,AF$1,'Wells Fargo'!$B:$B,"&lt;="&amp;'Cash Flow'!AF$3)</f>
        <v>0</v>
      </c>
      <c r="AG64" s="188">
        <f>SUMIFS('Wells Fargo'!$F:$F,'Wells Fargo'!$G:$G,'Cash Flow'!$A64,'Wells Fargo'!$A:$A,AG$1,'Wells Fargo'!$B:$B,"&lt;="&amp;'Cash Flow'!AG$3,'Wells Fargo'!$B:$B,"&gt;"&amp;'Cash Flow'!AF$3)</f>
        <v>0</v>
      </c>
      <c r="AH64" s="188">
        <f>SUMIFS('Wells Fargo'!$F:$F,'Wells Fargo'!$G:$G,'Cash Flow'!$A64,'Wells Fargo'!$A:$A,AH$1,'Wells Fargo'!$B:$B,"&lt;="&amp;'Cash Flow'!AH$3,'Wells Fargo'!$B:$B,"&gt;"&amp;'Cash Flow'!AG$3)</f>
        <v>0</v>
      </c>
      <c r="AI64" s="188">
        <f>SUMIFS('Wells Fargo'!$F:$F,'Wells Fargo'!$G:$G,'Cash Flow'!$A64,'Wells Fargo'!$A:$A,AI$1,'Wells Fargo'!$B:$B,"&lt;="&amp;'Cash Flow'!AI$3,'Wells Fargo'!$B:$B,"&gt;"&amp;'Cash Flow'!AH$3)</f>
        <v>0</v>
      </c>
      <c r="AJ64" s="188">
        <f>SUMIFS('Wells Fargo'!$F:$F,'Wells Fargo'!$G:$G,'Cash Flow'!$A64,'Wells Fargo'!$A:$A,AJ$1,'Wells Fargo'!$B:$B,"&lt;="&amp;'Cash Flow'!AJ$3,'Wells Fargo'!$B:$B,"&gt;"&amp;'Cash Flow'!AI$3)</f>
        <v>162.02000000000001</v>
      </c>
      <c r="AK64" s="189">
        <f>SUMIFS('Wells Fargo'!$F:$F,'Wells Fargo'!$G:$G,'Cash Flow'!$A64,'Wells Fargo'!$A:$A,AK$1,'Wells Fargo'!$B:$B,"&lt;="&amp;'Cash Flow'!AK$3)</f>
        <v>0</v>
      </c>
      <c r="AL64" s="188">
        <f>SUMIFS('Wells Fargo'!$F:$F,'Wells Fargo'!$G:$G,'Cash Flow'!$A64,'Wells Fargo'!$A:$A,AL$1,'Wells Fargo'!$B:$B,"&lt;="&amp;'Cash Flow'!AL$3,'Wells Fargo'!$B:$B,"&gt;"&amp;'Cash Flow'!AK$3)</f>
        <v>0</v>
      </c>
      <c r="AM64" s="188">
        <f>SUMIFS('Wells Fargo'!$F:$F,'Wells Fargo'!$G:$G,'Cash Flow'!$A64,'Wells Fargo'!$A:$A,AM$1,'Wells Fargo'!$B:$B,"&lt;="&amp;'Cash Flow'!AM$3,'Wells Fargo'!$B:$B,"&gt;"&amp;'Cash Flow'!AL$3)</f>
        <v>0</v>
      </c>
      <c r="AN64" s="188">
        <f>SUMIFS('Wells Fargo'!$F:$F,'Wells Fargo'!$G:$G,'Cash Flow'!$A64,'Wells Fargo'!$A:$A,AN$1,'Wells Fargo'!$B:$B,"&lt;="&amp;'Cash Flow'!AN$3,'Wells Fargo'!$B:$B,"&gt;"&amp;'Cash Flow'!AM$3)</f>
        <v>0</v>
      </c>
      <c r="AO64" s="188">
        <f>SUMIFS('Wells Fargo'!$F:$F,'Wells Fargo'!$G:$G,'Cash Flow'!$A64,'Wells Fargo'!$A:$A,AO$1,'Wells Fargo'!$B:$B,"&lt;="&amp;'Cash Flow'!AO$3,'Wells Fargo'!$B:$B,"&gt;"&amp;'Cash Flow'!AN$3)</f>
        <v>0</v>
      </c>
      <c r="AP64" s="189">
        <f>SUMIFS('Wells Fargo'!$F:$F,'Wells Fargo'!$G:$G,'Cash Flow'!$A64,'Wells Fargo'!$A:$A,AP$1,'Wells Fargo'!$B:$B,"&lt;="&amp;'Cash Flow'!AP$3)</f>
        <v>0</v>
      </c>
      <c r="AQ64" s="188">
        <f>SUMIFS('Wells Fargo'!$F:$F,'Wells Fargo'!$G:$G,'Cash Flow'!$A64,'Wells Fargo'!$A:$A,AQ$1,'Wells Fargo'!$B:$B,"&lt;="&amp;'Cash Flow'!AQ$3,'Wells Fargo'!$B:$B,"&gt;"&amp;'Cash Flow'!AP$3)</f>
        <v>0</v>
      </c>
      <c r="AR64" s="188">
        <f>SUMIFS('Wells Fargo'!$F:$F,'Wells Fargo'!$G:$G,'Cash Flow'!$A64,'Wells Fargo'!$A:$A,AR$1,'Wells Fargo'!$B:$B,"&lt;="&amp;'Cash Flow'!AR$3,'Wells Fargo'!$B:$B,"&gt;"&amp;'Cash Flow'!AQ$3)</f>
        <v>0</v>
      </c>
      <c r="AS64" s="188">
        <f>SUMIFS('Wells Fargo'!$F:$F,'Wells Fargo'!$G:$G,'Cash Flow'!$A64,'Wells Fargo'!$A:$A,AS$1,'Wells Fargo'!$B:$B,"&lt;="&amp;'Cash Flow'!AS$3,'Wells Fargo'!$B:$B,"&gt;"&amp;'Cash Flow'!AR$3)</f>
        <v>0</v>
      </c>
      <c r="AT64" s="188">
        <f>SUMIFS('Wells Fargo'!$F:$F,'Wells Fargo'!$G:$G,'Cash Flow'!$A64,'Wells Fargo'!$A:$A,AT$1,'Wells Fargo'!$B:$B,"&lt;="&amp;'Cash Flow'!AT$3,'Wells Fargo'!$B:$B,"&gt;"&amp;'Cash Flow'!AS$3)</f>
        <v>0</v>
      </c>
      <c r="AU64" s="189">
        <f>SUMIFS('Wells Fargo'!$F:$F,'Wells Fargo'!$G:$G,'Cash Flow'!$A64,'Wells Fargo'!$A:$A,AU$1,'Wells Fargo'!$B:$B,"&lt;="&amp;'Cash Flow'!AU$3)</f>
        <v>0</v>
      </c>
      <c r="AV64" s="188">
        <f>SUMIFS('Wells Fargo'!$F:$F,'Wells Fargo'!$G:$G,'Cash Flow'!$A64,'Wells Fargo'!$A:$A,AV$1,'Wells Fargo'!$B:$B,"&lt;="&amp;'Cash Flow'!AV$3,'Wells Fargo'!$B:$B,"&gt;"&amp;'Cash Flow'!AU$3)</f>
        <v>0</v>
      </c>
      <c r="AW64" s="188">
        <f>SUMIFS('Wells Fargo'!$F:$F,'Wells Fargo'!$G:$G,'Cash Flow'!$A64,'Wells Fargo'!$A:$A,AW$1,'Wells Fargo'!$B:$B,"&lt;="&amp;'Cash Flow'!AW$3,'Wells Fargo'!$B:$B,"&gt;"&amp;'Cash Flow'!AV$3)</f>
        <v>0</v>
      </c>
      <c r="AX64" s="188">
        <f>SUMIFS('Wells Fargo'!$F:$F,'Wells Fargo'!$G:$G,'Cash Flow'!$A64,'Wells Fargo'!$A:$A,AX$1,'Wells Fargo'!$B:$B,"&lt;="&amp;'Cash Flow'!AX$3,'Wells Fargo'!$B:$B,"&gt;"&amp;'Cash Flow'!AW$3)</f>
        <v>0</v>
      </c>
      <c r="AY64" s="188">
        <f>SUMIFS('Wells Fargo'!$F:$F,'Wells Fargo'!$G:$G,'Cash Flow'!$A64,'Wells Fargo'!$A:$A,AY$1,'Wells Fargo'!$B:$B,"&lt;="&amp;'Cash Flow'!AY$3,'Wells Fargo'!$B:$B,"&gt;"&amp;'Cash Flow'!AX$3)</f>
        <v>0</v>
      </c>
      <c r="AZ64" s="189">
        <f>SUMIFS('Wells Fargo'!$F:$F,'Wells Fargo'!$G:$G,'Cash Flow'!$A64,'Wells Fargo'!$A:$A,AZ$1,'Wells Fargo'!$B:$B,"&lt;="&amp;'Cash Flow'!AZ$3)</f>
        <v>0</v>
      </c>
      <c r="BA64" s="188">
        <f>SUMIFS('Wells Fargo'!$F:$F,'Wells Fargo'!$G:$G,'Cash Flow'!$A64,'Wells Fargo'!$A:$A,BA$1,'Wells Fargo'!$B:$B,"&lt;="&amp;'Cash Flow'!BA$3,'Wells Fargo'!$B:$B,"&gt;"&amp;'Cash Flow'!AZ$3)</f>
        <v>0</v>
      </c>
      <c r="BB64" s="188">
        <f>SUMIFS('Wells Fargo'!$F:$F,'Wells Fargo'!$G:$G,'Cash Flow'!$A64,'Wells Fargo'!$A:$A,BB$1,'Wells Fargo'!$B:$B,"&lt;="&amp;'Cash Flow'!BB$3,'Wells Fargo'!$B:$B,"&gt;"&amp;'Cash Flow'!BA$3)</f>
        <v>0</v>
      </c>
      <c r="BC64" s="188">
        <f>SUMIFS('Wells Fargo'!$F:$F,'Wells Fargo'!$G:$G,'Cash Flow'!$A64,'Wells Fargo'!$A:$A,BC$1,'Wells Fargo'!$B:$B,"&lt;="&amp;'Cash Flow'!BC$3,'Wells Fargo'!$B:$B,"&gt;"&amp;'Cash Flow'!BB$3)</f>
        <v>0</v>
      </c>
      <c r="BD64" s="188">
        <f>SUMIFS('Wells Fargo'!$F:$F,'Wells Fargo'!$G:$G,'Cash Flow'!$A64,'Wells Fargo'!$A:$A,BD$1,'Wells Fargo'!$B:$B,"&lt;="&amp;'Cash Flow'!BD$3,'Wells Fargo'!$B:$B,"&gt;"&amp;'Cash Flow'!BC$3)</f>
        <v>0</v>
      </c>
      <c r="BE64" s="189">
        <f>SUMIFS('Wells Fargo'!$F:$F,'Wells Fargo'!$G:$G,'Cash Flow'!$A64,'Wells Fargo'!$A:$A,BE$1,'Wells Fargo'!$B:$B,"&lt;="&amp;'Cash Flow'!BE$3)</f>
        <v>0</v>
      </c>
      <c r="BF64" s="188">
        <f>SUMIFS('Wells Fargo'!$F:$F,'Wells Fargo'!$G:$G,'Cash Flow'!$A64,'Wells Fargo'!$A:$A,BF$1,'Wells Fargo'!$B:$B,"&lt;="&amp;'Cash Flow'!BF$3,'Wells Fargo'!$B:$B,"&gt;"&amp;'Cash Flow'!BE$3)</f>
        <v>0</v>
      </c>
      <c r="BG64" s="188">
        <f>SUMIFS('Wells Fargo'!$F:$F,'Wells Fargo'!$G:$G,'Cash Flow'!$A64,'Wells Fargo'!$A:$A,BG$1,'Wells Fargo'!$B:$B,"&lt;="&amp;'Cash Flow'!BG$3,'Wells Fargo'!$B:$B,"&gt;"&amp;'Cash Flow'!BF$3)</f>
        <v>0</v>
      </c>
      <c r="BH64" s="188">
        <f>SUMIFS('Wells Fargo'!$F:$F,'Wells Fargo'!$G:$G,'Cash Flow'!$A64,'Wells Fargo'!$A:$A,BH$1,'Wells Fargo'!$B:$B,"&lt;="&amp;'Cash Flow'!BH$3,'Wells Fargo'!$B:$B,"&gt;"&amp;'Cash Flow'!BG$3)</f>
        <v>0</v>
      </c>
      <c r="BI64" s="188">
        <f>SUMIFS('Wells Fargo'!$F:$F,'Wells Fargo'!$G:$G,'Cash Flow'!$A64,'Wells Fargo'!$A:$A,BI$1,'Wells Fargo'!$B:$B,"&lt;="&amp;'Cash Flow'!BI$3,'Wells Fargo'!$B:$B,"&gt;"&amp;'Cash Flow'!BH$3)</f>
        <v>0</v>
      </c>
    </row>
    <row r="65" spans="1:61" ht="12.75" x14ac:dyDescent="0.2">
      <c r="A65" t="str">
        <v>Window Tint</v>
      </c>
      <c r="B65" s="87">
        <f t="shared" ref="B65" si="4">SUM(C65:BI65)</f>
        <v>-411.99</v>
      </c>
      <c r="C65" s="189">
        <f>SUMIFS('Wells Fargo'!$F:$F,'Wells Fargo'!$G:$G,'Cash Flow'!$A65,'Wells Fargo'!$A:$A,C$1,'Wells Fargo'!$B:$B,"&lt;="&amp;'Cash Flow'!C$3)</f>
        <v>0</v>
      </c>
      <c r="D65" s="188">
        <f>SUMIFS('Wells Fargo'!$F:$F,'Wells Fargo'!$G:$G,'Cash Flow'!$A65,'Wells Fargo'!$A:$A,D$1,'Wells Fargo'!$B:$B,"&lt;="&amp;'Cash Flow'!D$3,'Wells Fargo'!$B:$B,"&gt;"&amp;'Cash Flow'!C$3)</f>
        <v>0</v>
      </c>
      <c r="E65" s="188">
        <f>SUMIFS('Wells Fargo'!$F:$F,'Wells Fargo'!$G:$G,'Cash Flow'!$A65,'Wells Fargo'!$A:$A,E$1,'Wells Fargo'!$B:$B,"&lt;="&amp;'Cash Flow'!E$3,'Wells Fargo'!$B:$B,"&gt;"&amp;'Cash Flow'!D$3)</f>
        <v>0</v>
      </c>
      <c r="F65" s="188">
        <f>SUMIFS('Wells Fargo'!$F:$F,'Wells Fargo'!$G:$G,'Cash Flow'!$A65,'Wells Fargo'!$A:$A,F$1,'Wells Fargo'!$B:$B,"&lt;="&amp;'Cash Flow'!F$3,'Wells Fargo'!$B:$B,"&gt;"&amp;'Cash Flow'!E$3)</f>
        <v>0</v>
      </c>
      <c r="G65" s="188">
        <f>SUMIFS('Wells Fargo'!$F:$F,'Wells Fargo'!$G:$G,'Cash Flow'!$A65,'Wells Fargo'!$A:$A,G$1,'Wells Fargo'!$B:$B,"&lt;="&amp;'Cash Flow'!G$3,'Wells Fargo'!$B:$B,"&gt;"&amp;'Cash Flow'!F$3)</f>
        <v>0</v>
      </c>
      <c r="H65" s="189">
        <f>SUMIFS('Wells Fargo'!$F:$F,'Wells Fargo'!$G:$G,'Cash Flow'!$A65,'Wells Fargo'!$A:$A,H$1,'Wells Fargo'!$B:$B,"&lt;="&amp;'Cash Flow'!H$3)</f>
        <v>0</v>
      </c>
      <c r="I65" s="188">
        <f>SUMIFS('Wells Fargo'!$F:$F,'Wells Fargo'!$G:$G,'Cash Flow'!$A65,'Wells Fargo'!$A:$A,I$1,'Wells Fargo'!$B:$B,"&lt;="&amp;'Cash Flow'!I$3,'Wells Fargo'!$B:$B,"&gt;"&amp;'Cash Flow'!H$3)</f>
        <v>0</v>
      </c>
      <c r="J65" s="188">
        <f>SUMIFS('Wells Fargo'!$F:$F,'Wells Fargo'!$G:$G,'Cash Flow'!$A65,'Wells Fargo'!$A:$A,J$1,'Wells Fargo'!$B:$B,"&lt;="&amp;'Cash Flow'!J$3,'Wells Fargo'!$B:$B,"&gt;"&amp;'Cash Flow'!I$3)</f>
        <v>0</v>
      </c>
      <c r="K65" s="188">
        <f>SUMIFS('Wells Fargo'!$F:$F,'Wells Fargo'!$G:$G,'Cash Flow'!$A65,'Wells Fargo'!$A:$A,K$1,'Wells Fargo'!$B:$B,"&lt;="&amp;'Cash Flow'!K$3,'Wells Fargo'!$B:$B,"&gt;"&amp;'Cash Flow'!J$3)</f>
        <v>0</v>
      </c>
      <c r="L65" s="189">
        <f>SUMIFS('Wells Fargo'!$F:$F,'Wells Fargo'!$G:$G,'Cash Flow'!$A65,'Wells Fargo'!$A:$A,L$1,'Wells Fargo'!$B:$B,"&lt;="&amp;'Cash Flow'!L$3)</f>
        <v>0</v>
      </c>
      <c r="M65" s="188">
        <f>SUMIFS('Wells Fargo'!$F:$F,'Wells Fargo'!$G:$G,'Cash Flow'!$A65,'Wells Fargo'!$A:$A,M$1,'Wells Fargo'!$B:$B,"&lt;="&amp;'Cash Flow'!M$3,'Wells Fargo'!$B:$B,"&gt;"&amp;'Cash Flow'!L$3)</f>
        <v>0</v>
      </c>
      <c r="N65" s="188">
        <f>SUMIFS('Wells Fargo'!$F:$F,'Wells Fargo'!$G:$G,'Cash Flow'!$A65,'Wells Fargo'!$A:$A,N$1,'Wells Fargo'!$B:$B,"&lt;="&amp;'Cash Flow'!N$3,'Wells Fargo'!$B:$B,"&gt;"&amp;'Cash Flow'!M$3)</f>
        <v>0</v>
      </c>
      <c r="O65" s="188">
        <f>SUMIFS('Wells Fargo'!$F:$F,'Wells Fargo'!$G:$G,'Cash Flow'!$A65,'Wells Fargo'!$A:$A,O$1,'Wells Fargo'!$B:$B,"&lt;="&amp;'Cash Flow'!O$3,'Wells Fargo'!$B:$B,"&gt;"&amp;'Cash Flow'!N$3)</f>
        <v>0</v>
      </c>
      <c r="P65" s="188">
        <f>SUMIFS('Wells Fargo'!$F:$F,'Wells Fargo'!$G:$G,'Cash Flow'!$A65,'Wells Fargo'!$A:$A,P$1,'Wells Fargo'!$B:$B,"&lt;="&amp;'Cash Flow'!P$3,'Wells Fargo'!$B:$B,"&gt;"&amp;'Cash Flow'!O$3)</f>
        <v>0</v>
      </c>
      <c r="Q65" s="189">
        <f>SUMIFS('Wells Fargo'!$F:$F,'Wells Fargo'!$G:$G,'Cash Flow'!$A65,'Wells Fargo'!$A:$A,Q$1,'Wells Fargo'!$B:$B,"&lt;="&amp;'Cash Flow'!Q$3)</f>
        <v>0</v>
      </c>
      <c r="R65" s="188">
        <f>SUMIFS('Wells Fargo'!$F:$F,'Wells Fargo'!$G:$G,'Cash Flow'!$A65,'Wells Fargo'!$A:$A,R$1,'Wells Fargo'!$B:$B,"&lt;="&amp;'Cash Flow'!R$3,'Wells Fargo'!$B:$B,"&gt;"&amp;'Cash Flow'!Q$3)</f>
        <v>0</v>
      </c>
      <c r="S65" s="188">
        <f>SUMIFS('Wells Fargo'!$F:$F,'Wells Fargo'!$G:$G,'Cash Flow'!$A65,'Wells Fargo'!$A:$A,S$1,'Wells Fargo'!$B:$B,"&lt;="&amp;'Cash Flow'!S$3,'Wells Fargo'!$B:$B,"&gt;"&amp;'Cash Flow'!R$3)</f>
        <v>0</v>
      </c>
      <c r="T65" s="188">
        <f>SUMIFS('Wells Fargo'!$F:$F,'Wells Fargo'!$G:$G,'Cash Flow'!$A65,'Wells Fargo'!$A:$A,T$1,'Wells Fargo'!$B:$B,"&lt;="&amp;'Cash Flow'!T$3,'Wells Fargo'!$B:$B,"&gt;"&amp;'Cash Flow'!S$3)</f>
        <v>0</v>
      </c>
      <c r="U65" s="188">
        <f>SUMIFS('Wells Fargo'!$F:$F,'Wells Fargo'!$G:$G,'Cash Flow'!$A65,'Wells Fargo'!$A:$A,U$1,'Wells Fargo'!$B:$B,"&lt;="&amp;'Cash Flow'!U$3,'Wells Fargo'!$B:$B,"&gt;"&amp;'Cash Flow'!T$3)</f>
        <v>0</v>
      </c>
      <c r="V65" s="189">
        <f>SUMIFS('Wells Fargo'!$F:$F,'Wells Fargo'!$G:$G,'Cash Flow'!$A65,'Wells Fargo'!$A:$A,V$1,'Wells Fargo'!$B:$B,"&lt;="&amp;'Cash Flow'!V$3)</f>
        <v>0</v>
      </c>
      <c r="W65" s="188">
        <f>SUMIFS('Wells Fargo'!$F:$F,'Wells Fargo'!$G:$G,'Cash Flow'!$A65,'Wells Fargo'!$A:$A,W$1,'Wells Fargo'!$B:$B,"&lt;="&amp;'Cash Flow'!W$3,'Wells Fargo'!$B:$B,"&gt;"&amp;'Cash Flow'!V$3)</f>
        <v>0</v>
      </c>
      <c r="X65" s="188">
        <f>SUMIFS('Wells Fargo'!$F:$F,'Wells Fargo'!$G:$G,'Cash Flow'!$A65,'Wells Fargo'!$A:$A,X$1,'Wells Fargo'!$B:$B,"&lt;="&amp;'Cash Flow'!X$3,'Wells Fargo'!$B:$B,"&gt;"&amp;'Cash Flow'!W$3)</f>
        <v>0</v>
      </c>
      <c r="Y65" s="188">
        <f>SUMIFS('Wells Fargo'!$F:$F,'Wells Fargo'!$G:$G,'Cash Flow'!$A65,'Wells Fargo'!$A:$A,Y$1,'Wells Fargo'!$B:$B,"&lt;="&amp;'Cash Flow'!Y$3,'Wells Fargo'!$B:$B,"&gt;"&amp;'Cash Flow'!X$3)</f>
        <v>0</v>
      </c>
      <c r="Z65" s="188">
        <f>SUMIFS('Wells Fargo'!$F:$F,'Wells Fargo'!$G:$G,'Cash Flow'!$A65,'Wells Fargo'!$A:$A,Z$1,'Wells Fargo'!$B:$B,"&lt;="&amp;'Cash Flow'!Z$3,'Wells Fargo'!$B:$B,"&gt;"&amp;'Cash Flow'!Y$3)</f>
        <v>0</v>
      </c>
      <c r="AA65" s="189">
        <f>SUMIFS('Wells Fargo'!$F:$F,'Wells Fargo'!$G:$G,'Cash Flow'!$A65,'Wells Fargo'!$A:$A,AA$1,'Wells Fargo'!$B:$B,"&lt;="&amp;'Cash Flow'!AA$3)</f>
        <v>0</v>
      </c>
      <c r="AB65" s="188">
        <f>SUMIFS('Wells Fargo'!$F:$F,'Wells Fargo'!$G:$G,'Cash Flow'!$A65,'Wells Fargo'!$A:$A,AB$1,'Wells Fargo'!$B:$B,"&lt;="&amp;'Cash Flow'!AB$3,'Wells Fargo'!$B:$B,"&gt;"&amp;'Cash Flow'!AA$3)</f>
        <v>0</v>
      </c>
      <c r="AC65" s="188">
        <f>SUMIFS('Wells Fargo'!$F:$F,'Wells Fargo'!$G:$G,'Cash Flow'!$A65,'Wells Fargo'!$A:$A,AC$1,'Wells Fargo'!$B:$B,"&lt;="&amp;'Cash Flow'!AC$3,'Wells Fargo'!$B:$B,"&gt;"&amp;'Cash Flow'!AB$3)</f>
        <v>0</v>
      </c>
      <c r="AD65" s="188">
        <f>SUMIFS('Wells Fargo'!$F:$F,'Wells Fargo'!$G:$G,'Cash Flow'!$A65,'Wells Fargo'!$A:$A,AD$1,'Wells Fargo'!$B:$B,"&lt;="&amp;'Cash Flow'!AD$3,'Wells Fargo'!$B:$B,"&gt;"&amp;'Cash Flow'!AC$3)</f>
        <v>0</v>
      </c>
      <c r="AE65" s="188">
        <f>SUMIFS('Wells Fargo'!$F:$F,'Wells Fargo'!$G:$G,'Cash Flow'!$A65,'Wells Fargo'!$A:$A,AE$1,'Wells Fargo'!$B:$B,"&lt;="&amp;'Cash Flow'!AE$3,'Wells Fargo'!$B:$B,"&gt;"&amp;'Cash Flow'!AD$3)</f>
        <v>0</v>
      </c>
      <c r="AF65" s="189">
        <f>SUMIFS('Wells Fargo'!$F:$F,'Wells Fargo'!$G:$G,'Cash Flow'!$A65,'Wells Fargo'!$A:$A,AF$1,'Wells Fargo'!$B:$B,"&lt;="&amp;'Cash Flow'!AF$3)</f>
        <v>0</v>
      </c>
      <c r="AG65" s="188">
        <f>SUMIFS('Wells Fargo'!$F:$F,'Wells Fargo'!$G:$G,'Cash Flow'!$A65,'Wells Fargo'!$A:$A,AG$1,'Wells Fargo'!$B:$B,"&lt;="&amp;'Cash Flow'!AG$3,'Wells Fargo'!$B:$B,"&gt;"&amp;'Cash Flow'!AF$3)</f>
        <v>0</v>
      </c>
      <c r="AH65" s="188">
        <f>SUMIFS('Wells Fargo'!$F:$F,'Wells Fargo'!$G:$G,'Cash Flow'!$A65,'Wells Fargo'!$A:$A,AH$1,'Wells Fargo'!$B:$B,"&lt;="&amp;'Cash Flow'!AH$3,'Wells Fargo'!$B:$B,"&gt;"&amp;'Cash Flow'!AG$3)</f>
        <v>-411.99</v>
      </c>
      <c r="AI65" s="188">
        <f>SUMIFS('Wells Fargo'!$F:$F,'Wells Fargo'!$G:$G,'Cash Flow'!$A65,'Wells Fargo'!$A:$A,AI$1,'Wells Fargo'!$B:$B,"&lt;="&amp;'Cash Flow'!AI$3,'Wells Fargo'!$B:$B,"&gt;"&amp;'Cash Flow'!AH$3)</f>
        <v>0</v>
      </c>
      <c r="AJ65" s="188">
        <f>SUMIFS('Wells Fargo'!$F:$F,'Wells Fargo'!$G:$G,'Cash Flow'!$A65,'Wells Fargo'!$A:$A,AJ$1,'Wells Fargo'!$B:$B,"&lt;="&amp;'Cash Flow'!AJ$3,'Wells Fargo'!$B:$B,"&gt;"&amp;'Cash Flow'!AI$3)</f>
        <v>0</v>
      </c>
      <c r="AK65" s="189">
        <f>SUMIFS('Wells Fargo'!$F:$F,'Wells Fargo'!$G:$G,'Cash Flow'!$A65,'Wells Fargo'!$A:$A,AK$1,'Wells Fargo'!$B:$B,"&lt;="&amp;'Cash Flow'!AK$3)</f>
        <v>0</v>
      </c>
      <c r="AL65" s="188">
        <f>SUMIFS('Wells Fargo'!$F:$F,'Wells Fargo'!$G:$G,'Cash Flow'!$A65,'Wells Fargo'!$A:$A,AL$1,'Wells Fargo'!$B:$B,"&lt;="&amp;'Cash Flow'!AL$3,'Wells Fargo'!$B:$B,"&gt;"&amp;'Cash Flow'!AK$3)</f>
        <v>0</v>
      </c>
      <c r="AM65" s="188">
        <f>SUMIFS('Wells Fargo'!$F:$F,'Wells Fargo'!$G:$G,'Cash Flow'!$A65,'Wells Fargo'!$A:$A,AM$1,'Wells Fargo'!$B:$B,"&lt;="&amp;'Cash Flow'!AM$3,'Wells Fargo'!$B:$B,"&gt;"&amp;'Cash Flow'!AL$3)</f>
        <v>0</v>
      </c>
      <c r="AN65" s="188">
        <f>SUMIFS('Wells Fargo'!$F:$F,'Wells Fargo'!$G:$G,'Cash Flow'!$A65,'Wells Fargo'!$A:$A,AN$1,'Wells Fargo'!$B:$B,"&lt;="&amp;'Cash Flow'!AN$3,'Wells Fargo'!$B:$B,"&gt;"&amp;'Cash Flow'!AM$3)</f>
        <v>0</v>
      </c>
      <c r="AO65" s="188">
        <f>SUMIFS('Wells Fargo'!$F:$F,'Wells Fargo'!$G:$G,'Cash Flow'!$A65,'Wells Fargo'!$A:$A,AO$1,'Wells Fargo'!$B:$B,"&lt;="&amp;'Cash Flow'!AO$3,'Wells Fargo'!$B:$B,"&gt;"&amp;'Cash Flow'!AN$3)</f>
        <v>0</v>
      </c>
      <c r="AP65" s="189">
        <f>SUMIFS('Wells Fargo'!$F:$F,'Wells Fargo'!$G:$G,'Cash Flow'!$A65,'Wells Fargo'!$A:$A,AP$1,'Wells Fargo'!$B:$B,"&lt;="&amp;'Cash Flow'!AP$3)</f>
        <v>0</v>
      </c>
      <c r="AQ65" s="188">
        <f>SUMIFS('Wells Fargo'!$F:$F,'Wells Fargo'!$G:$G,'Cash Flow'!$A65,'Wells Fargo'!$A:$A,AQ$1,'Wells Fargo'!$B:$B,"&lt;="&amp;'Cash Flow'!AQ$3,'Wells Fargo'!$B:$B,"&gt;"&amp;'Cash Flow'!AP$3)</f>
        <v>0</v>
      </c>
      <c r="AR65" s="188">
        <f>SUMIFS('Wells Fargo'!$F:$F,'Wells Fargo'!$G:$G,'Cash Flow'!$A65,'Wells Fargo'!$A:$A,AR$1,'Wells Fargo'!$B:$B,"&lt;="&amp;'Cash Flow'!AR$3,'Wells Fargo'!$B:$B,"&gt;"&amp;'Cash Flow'!AQ$3)</f>
        <v>0</v>
      </c>
      <c r="AS65" s="188">
        <f>SUMIFS('Wells Fargo'!$F:$F,'Wells Fargo'!$G:$G,'Cash Flow'!$A65,'Wells Fargo'!$A:$A,AS$1,'Wells Fargo'!$B:$B,"&lt;="&amp;'Cash Flow'!AS$3,'Wells Fargo'!$B:$B,"&gt;"&amp;'Cash Flow'!AR$3)</f>
        <v>0</v>
      </c>
      <c r="AT65" s="188">
        <f>SUMIFS('Wells Fargo'!$F:$F,'Wells Fargo'!$G:$G,'Cash Flow'!$A65,'Wells Fargo'!$A:$A,AT$1,'Wells Fargo'!$B:$B,"&lt;="&amp;'Cash Flow'!AT$3,'Wells Fargo'!$B:$B,"&gt;"&amp;'Cash Flow'!AS$3)</f>
        <v>0</v>
      </c>
      <c r="AU65" s="189">
        <f>SUMIFS('Wells Fargo'!$F:$F,'Wells Fargo'!$G:$G,'Cash Flow'!$A65,'Wells Fargo'!$A:$A,AU$1,'Wells Fargo'!$B:$B,"&lt;="&amp;'Cash Flow'!AU$3)</f>
        <v>0</v>
      </c>
      <c r="AV65" s="188">
        <f>SUMIFS('Wells Fargo'!$F:$F,'Wells Fargo'!$G:$G,'Cash Flow'!$A65,'Wells Fargo'!$A:$A,AV$1,'Wells Fargo'!$B:$B,"&lt;="&amp;'Cash Flow'!AV$3,'Wells Fargo'!$B:$B,"&gt;"&amp;'Cash Flow'!AU$3)</f>
        <v>0</v>
      </c>
      <c r="AW65" s="188">
        <f>SUMIFS('Wells Fargo'!$F:$F,'Wells Fargo'!$G:$G,'Cash Flow'!$A65,'Wells Fargo'!$A:$A,AW$1,'Wells Fargo'!$B:$B,"&lt;="&amp;'Cash Flow'!AW$3,'Wells Fargo'!$B:$B,"&gt;"&amp;'Cash Flow'!AV$3)</f>
        <v>0</v>
      </c>
      <c r="AX65" s="188">
        <f>SUMIFS('Wells Fargo'!$F:$F,'Wells Fargo'!$G:$G,'Cash Flow'!$A65,'Wells Fargo'!$A:$A,AX$1,'Wells Fargo'!$B:$B,"&lt;="&amp;'Cash Flow'!AX$3,'Wells Fargo'!$B:$B,"&gt;"&amp;'Cash Flow'!AW$3)</f>
        <v>0</v>
      </c>
      <c r="AY65" s="188">
        <f>SUMIFS('Wells Fargo'!$F:$F,'Wells Fargo'!$G:$G,'Cash Flow'!$A65,'Wells Fargo'!$A:$A,AY$1,'Wells Fargo'!$B:$B,"&lt;="&amp;'Cash Flow'!AY$3,'Wells Fargo'!$B:$B,"&gt;"&amp;'Cash Flow'!AX$3)</f>
        <v>0</v>
      </c>
      <c r="AZ65" s="189">
        <f>SUMIFS('Wells Fargo'!$F:$F,'Wells Fargo'!$G:$G,'Cash Flow'!$A65,'Wells Fargo'!$A:$A,AZ$1,'Wells Fargo'!$B:$B,"&lt;="&amp;'Cash Flow'!AZ$3)</f>
        <v>0</v>
      </c>
      <c r="BA65" s="188">
        <f>SUMIFS('Wells Fargo'!$F:$F,'Wells Fargo'!$G:$G,'Cash Flow'!$A65,'Wells Fargo'!$A:$A,BA$1,'Wells Fargo'!$B:$B,"&lt;="&amp;'Cash Flow'!BA$3,'Wells Fargo'!$B:$B,"&gt;"&amp;'Cash Flow'!AZ$3)</f>
        <v>0</v>
      </c>
      <c r="BB65" s="188">
        <f>SUMIFS('Wells Fargo'!$F:$F,'Wells Fargo'!$G:$G,'Cash Flow'!$A65,'Wells Fargo'!$A:$A,BB$1,'Wells Fargo'!$B:$B,"&lt;="&amp;'Cash Flow'!BB$3,'Wells Fargo'!$B:$B,"&gt;"&amp;'Cash Flow'!BA$3)</f>
        <v>0</v>
      </c>
      <c r="BC65" s="188">
        <f>SUMIFS('Wells Fargo'!$F:$F,'Wells Fargo'!$G:$G,'Cash Flow'!$A65,'Wells Fargo'!$A:$A,BC$1,'Wells Fargo'!$B:$B,"&lt;="&amp;'Cash Flow'!BC$3,'Wells Fargo'!$B:$B,"&gt;"&amp;'Cash Flow'!BB$3)</f>
        <v>0</v>
      </c>
      <c r="BD65" s="188">
        <f>SUMIFS('Wells Fargo'!$F:$F,'Wells Fargo'!$G:$G,'Cash Flow'!$A65,'Wells Fargo'!$A:$A,BD$1,'Wells Fargo'!$B:$B,"&lt;="&amp;'Cash Flow'!BD$3,'Wells Fargo'!$B:$B,"&gt;"&amp;'Cash Flow'!BC$3)</f>
        <v>0</v>
      </c>
      <c r="BE65" s="189">
        <f>SUMIFS('Wells Fargo'!$F:$F,'Wells Fargo'!$G:$G,'Cash Flow'!$A65,'Wells Fargo'!$A:$A,BE$1,'Wells Fargo'!$B:$B,"&lt;="&amp;'Cash Flow'!BE$3)</f>
        <v>0</v>
      </c>
      <c r="BF65" s="188">
        <f>SUMIFS('Wells Fargo'!$F:$F,'Wells Fargo'!$G:$G,'Cash Flow'!$A65,'Wells Fargo'!$A:$A,BF$1,'Wells Fargo'!$B:$B,"&lt;="&amp;'Cash Flow'!BF$3,'Wells Fargo'!$B:$B,"&gt;"&amp;'Cash Flow'!BE$3)</f>
        <v>0</v>
      </c>
      <c r="BG65" s="188">
        <f>SUMIFS('Wells Fargo'!$F:$F,'Wells Fargo'!$G:$G,'Cash Flow'!$A65,'Wells Fargo'!$A:$A,BG$1,'Wells Fargo'!$B:$B,"&lt;="&amp;'Cash Flow'!BG$3,'Wells Fargo'!$B:$B,"&gt;"&amp;'Cash Flow'!BF$3)</f>
        <v>0</v>
      </c>
      <c r="BH65" s="188">
        <f>SUMIFS('Wells Fargo'!$F:$F,'Wells Fargo'!$G:$G,'Cash Flow'!$A65,'Wells Fargo'!$A:$A,BH$1,'Wells Fargo'!$B:$B,"&lt;="&amp;'Cash Flow'!BH$3,'Wells Fargo'!$B:$B,"&gt;"&amp;'Cash Flow'!BG$3)</f>
        <v>0</v>
      </c>
      <c r="BI65" s="188">
        <f>SUMIFS('Wells Fargo'!$F:$F,'Wells Fargo'!$G:$G,'Cash Flow'!$A65,'Wells Fargo'!$A:$A,BI$1,'Wells Fargo'!$B:$B,"&lt;="&amp;'Cash Flow'!BI$3,'Wells Fargo'!$B:$B,"&gt;"&amp;'Cash Flow'!BH$3)</f>
        <v>0</v>
      </c>
    </row>
    <row r="66" spans="1:61" ht="12.75" x14ac:dyDescent="0.2">
      <c r="A66" t="str">
        <v>ZZZ</v>
      </c>
      <c r="B66" s="87">
        <f t="shared" ref="B66" si="5">SUM(C66:BI66)</f>
        <v>-2140.94</v>
      </c>
      <c r="C66" s="189">
        <f>SUMIFS('Wells Fargo'!$F:$F,'Wells Fargo'!$G:$G,'Cash Flow'!$A66,'Wells Fargo'!$A:$A,C$1,'Wells Fargo'!$B:$B,"&lt;="&amp;'Cash Flow'!C$3)</f>
        <v>0</v>
      </c>
      <c r="D66" s="188">
        <f>SUMIFS('Wells Fargo'!$F:$F,'Wells Fargo'!$G:$G,'Cash Flow'!$A66,'Wells Fargo'!$A:$A,D$1,'Wells Fargo'!$B:$B,"&lt;="&amp;'Cash Flow'!D$3,'Wells Fargo'!$B:$B,"&gt;"&amp;'Cash Flow'!C$3)</f>
        <v>0</v>
      </c>
      <c r="E66" s="188">
        <f>SUMIFS('Wells Fargo'!$F:$F,'Wells Fargo'!$G:$G,'Cash Flow'!$A66,'Wells Fargo'!$A:$A,E$1,'Wells Fargo'!$B:$B,"&lt;="&amp;'Cash Flow'!E$3,'Wells Fargo'!$B:$B,"&gt;"&amp;'Cash Flow'!D$3)</f>
        <v>0</v>
      </c>
      <c r="F66" s="188">
        <f>SUMIFS('Wells Fargo'!$F:$F,'Wells Fargo'!$G:$G,'Cash Flow'!$A66,'Wells Fargo'!$A:$A,F$1,'Wells Fargo'!$B:$B,"&lt;="&amp;'Cash Flow'!F$3,'Wells Fargo'!$B:$B,"&gt;"&amp;'Cash Flow'!E$3)</f>
        <v>0</v>
      </c>
      <c r="G66" s="188">
        <f>SUMIFS('Wells Fargo'!$F:$F,'Wells Fargo'!$G:$G,'Cash Flow'!$A66,'Wells Fargo'!$A:$A,G$1,'Wells Fargo'!$B:$B,"&lt;="&amp;'Cash Flow'!G$3,'Wells Fargo'!$B:$B,"&gt;"&amp;'Cash Flow'!F$3)</f>
        <v>0</v>
      </c>
      <c r="H66" s="189">
        <f>SUMIFS('Wells Fargo'!$F:$F,'Wells Fargo'!$G:$G,'Cash Flow'!$A66,'Wells Fargo'!$A:$A,H$1,'Wells Fargo'!$B:$B,"&lt;="&amp;'Cash Flow'!H$3)</f>
        <v>0</v>
      </c>
      <c r="I66" s="188">
        <f>SUMIFS('Wells Fargo'!$F:$F,'Wells Fargo'!$G:$G,'Cash Flow'!$A66,'Wells Fargo'!$A:$A,I$1,'Wells Fargo'!$B:$B,"&lt;="&amp;'Cash Flow'!I$3,'Wells Fargo'!$B:$B,"&gt;"&amp;'Cash Flow'!H$3)</f>
        <v>0</v>
      </c>
      <c r="J66" s="188">
        <f>SUMIFS('Wells Fargo'!$F:$F,'Wells Fargo'!$G:$G,'Cash Flow'!$A66,'Wells Fargo'!$A:$A,J$1,'Wells Fargo'!$B:$B,"&lt;="&amp;'Cash Flow'!J$3,'Wells Fargo'!$B:$B,"&gt;"&amp;'Cash Flow'!I$3)</f>
        <v>0</v>
      </c>
      <c r="K66" s="188">
        <f>SUMIFS('Wells Fargo'!$F:$F,'Wells Fargo'!$G:$G,'Cash Flow'!$A66,'Wells Fargo'!$A:$A,K$1,'Wells Fargo'!$B:$B,"&lt;="&amp;'Cash Flow'!K$3,'Wells Fargo'!$B:$B,"&gt;"&amp;'Cash Flow'!J$3)</f>
        <v>0</v>
      </c>
      <c r="L66" s="189">
        <f>SUMIFS('Wells Fargo'!$F:$F,'Wells Fargo'!$G:$G,'Cash Flow'!$A66,'Wells Fargo'!$A:$A,L$1,'Wells Fargo'!$B:$B,"&lt;="&amp;'Cash Flow'!L$3)</f>
        <v>0</v>
      </c>
      <c r="M66" s="188">
        <f>SUMIFS('Wells Fargo'!$F:$F,'Wells Fargo'!$G:$G,'Cash Flow'!$A66,'Wells Fargo'!$A:$A,M$1,'Wells Fargo'!$B:$B,"&lt;="&amp;'Cash Flow'!M$3,'Wells Fargo'!$B:$B,"&gt;"&amp;'Cash Flow'!L$3)</f>
        <v>0</v>
      </c>
      <c r="N66" s="188">
        <f>SUMIFS('Wells Fargo'!$F:$F,'Wells Fargo'!$G:$G,'Cash Flow'!$A66,'Wells Fargo'!$A:$A,N$1,'Wells Fargo'!$B:$B,"&lt;="&amp;'Cash Flow'!N$3,'Wells Fargo'!$B:$B,"&gt;"&amp;'Cash Flow'!M$3)</f>
        <v>0</v>
      </c>
      <c r="O66" s="188">
        <f>SUMIFS('Wells Fargo'!$F:$F,'Wells Fargo'!$G:$G,'Cash Flow'!$A66,'Wells Fargo'!$A:$A,O$1,'Wells Fargo'!$B:$B,"&lt;="&amp;'Cash Flow'!O$3,'Wells Fargo'!$B:$B,"&gt;"&amp;'Cash Flow'!N$3)</f>
        <v>0</v>
      </c>
      <c r="P66" s="188">
        <f>SUMIFS('Wells Fargo'!$F:$F,'Wells Fargo'!$G:$G,'Cash Flow'!$A66,'Wells Fargo'!$A:$A,P$1,'Wells Fargo'!$B:$B,"&lt;="&amp;'Cash Flow'!P$3,'Wells Fargo'!$B:$B,"&gt;"&amp;'Cash Flow'!O$3)</f>
        <v>0</v>
      </c>
      <c r="Q66" s="189">
        <f>SUMIFS('Wells Fargo'!$F:$F,'Wells Fargo'!$G:$G,'Cash Flow'!$A66,'Wells Fargo'!$A:$A,Q$1,'Wells Fargo'!$B:$B,"&lt;="&amp;'Cash Flow'!Q$3)</f>
        <v>0</v>
      </c>
      <c r="R66" s="188">
        <f>SUMIFS('Wells Fargo'!$F:$F,'Wells Fargo'!$G:$G,'Cash Flow'!$A66,'Wells Fargo'!$A:$A,R$1,'Wells Fargo'!$B:$B,"&lt;="&amp;'Cash Flow'!R$3,'Wells Fargo'!$B:$B,"&gt;"&amp;'Cash Flow'!Q$3)</f>
        <v>0</v>
      </c>
      <c r="S66" s="188">
        <f>SUMIFS('Wells Fargo'!$F:$F,'Wells Fargo'!$G:$G,'Cash Flow'!$A66,'Wells Fargo'!$A:$A,S$1,'Wells Fargo'!$B:$B,"&lt;="&amp;'Cash Flow'!S$3,'Wells Fargo'!$B:$B,"&gt;"&amp;'Cash Flow'!R$3)</f>
        <v>0</v>
      </c>
      <c r="T66" s="188">
        <f>SUMIFS('Wells Fargo'!$F:$F,'Wells Fargo'!$G:$G,'Cash Flow'!$A66,'Wells Fargo'!$A:$A,T$1,'Wells Fargo'!$B:$B,"&lt;="&amp;'Cash Flow'!T$3,'Wells Fargo'!$B:$B,"&gt;"&amp;'Cash Flow'!S$3)</f>
        <v>0</v>
      </c>
      <c r="U66" s="188">
        <f>SUMIFS('Wells Fargo'!$F:$F,'Wells Fargo'!$G:$G,'Cash Flow'!$A66,'Wells Fargo'!$A:$A,U$1,'Wells Fargo'!$B:$B,"&lt;="&amp;'Cash Flow'!U$3,'Wells Fargo'!$B:$B,"&gt;"&amp;'Cash Flow'!T$3)</f>
        <v>0</v>
      </c>
      <c r="V66" s="189">
        <f>SUMIFS('Wells Fargo'!$F:$F,'Wells Fargo'!$G:$G,'Cash Flow'!$A66,'Wells Fargo'!$A:$A,V$1,'Wells Fargo'!$B:$B,"&lt;="&amp;'Cash Flow'!V$3)</f>
        <v>0</v>
      </c>
      <c r="W66" s="188">
        <f>SUMIFS('Wells Fargo'!$F:$F,'Wells Fargo'!$G:$G,'Cash Flow'!$A66,'Wells Fargo'!$A:$A,W$1,'Wells Fargo'!$B:$B,"&lt;="&amp;'Cash Flow'!W$3,'Wells Fargo'!$B:$B,"&gt;"&amp;'Cash Flow'!V$3)</f>
        <v>0</v>
      </c>
      <c r="X66" s="188">
        <f>SUMIFS('Wells Fargo'!$F:$F,'Wells Fargo'!$G:$G,'Cash Flow'!$A66,'Wells Fargo'!$A:$A,X$1,'Wells Fargo'!$B:$B,"&lt;="&amp;'Cash Flow'!X$3,'Wells Fargo'!$B:$B,"&gt;"&amp;'Cash Flow'!W$3)</f>
        <v>0</v>
      </c>
      <c r="Y66" s="188">
        <f>SUMIFS('Wells Fargo'!$F:$F,'Wells Fargo'!$G:$G,'Cash Flow'!$A66,'Wells Fargo'!$A:$A,Y$1,'Wells Fargo'!$B:$B,"&lt;="&amp;'Cash Flow'!Y$3,'Wells Fargo'!$B:$B,"&gt;"&amp;'Cash Flow'!X$3)</f>
        <v>0</v>
      </c>
      <c r="Z66" s="188">
        <f>SUMIFS('Wells Fargo'!$F:$F,'Wells Fargo'!$G:$G,'Cash Flow'!$A66,'Wells Fargo'!$A:$A,Z$1,'Wells Fargo'!$B:$B,"&lt;="&amp;'Cash Flow'!Z$3,'Wells Fargo'!$B:$B,"&gt;"&amp;'Cash Flow'!Y$3)</f>
        <v>0</v>
      </c>
      <c r="AA66" s="189">
        <f>SUMIFS('Wells Fargo'!$F:$F,'Wells Fargo'!$G:$G,'Cash Flow'!$A66,'Wells Fargo'!$A:$A,AA$1,'Wells Fargo'!$B:$B,"&lt;="&amp;'Cash Flow'!AA$3)</f>
        <v>0</v>
      </c>
      <c r="AB66" s="188">
        <f>SUMIFS('Wells Fargo'!$F:$F,'Wells Fargo'!$G:$G,'Cash Flow'!$A66,'Wells Fargo'!$A:$A,AB$1,'Wells Fargo'!$B:$B,"&lt;="&amp;'Cash Flow'!AB$3,'Wells Fargo'!$B:$B,"&gt;"&amp;'Cash Flow'!AA$3)</f>
        <v>0</v>
      </c>
      <c r="AC66" s="188">
        <f>SUMIFS('Wells Fargo'!$F:$F,'Wells Fargo'!$G:$G,'Cash Flow'!$A66,'Wells Fargo'!$A:$A,AC$1,'Wells Fargo'!$B:$B,"&lt;="&amp;'Cash Flow'!AC$3,'Wells Fargo'!$B:$B,"&gt;"&amp;'Cash Flow'!AB$3)</f>
        <v>0</v>
      </c>
      <c r="AD66" s="188">
        <f>SUMIFS('Wells Fargo'!$F:$F,'Wells Fargo'!$G:$G,'Cash Flow'!$A66,'Wells Fargo'!$A:$A,AD$1,'Wells Fargo'!$B:$B,"&lt;="&amp;'Cash Flow'!AD$3,'Wells Fargo'!$B:$B,"&gt;"&amp;'Cash Flow'!AC$3)</f>
        <v>0</v>
      </c>
      <c r="AE66" s="188">
        <f>SUMIFS('Wells Fargo'!$F:$F,'Wells Fargo'!$G:$G,'Cash Flow'!$A66,'Wells Fargo'!$A:$A,AE$1,'Wells Fargo'!$B:$B,"&lt;="&amp;'Cash Flow'!AE$3,'Wells Fargo'!$B:$B,"&gt;"&amp;'Cash Flow'!AD$3)</f>
        <v>0</v>
      </c>
      <c r="AF66" s="189">
        <f>SUMIFS('Wells Fargo'!$F:$F,'Wells Fargo'!$G:$G,'Cash Flow'!$A66,'Wells Fargo'!$A:$A,AF$1,'Wells Fargo'!$B:$B,"&lt;="&amp;'Cash Flow'!AF$3)</f>
        <v>0</v>
      </c>
      <c r="AG66" s="188">
        <f>SUMIFS('Wells Fargo'!$F:$F,'Wells Fargo'!$G:$G,'Cash Flow'!$A66,'Wells Fargo'!$A:$A,AG$1,'Wells Fargo'!$B:$B,"&lt;="&amp;'Cash Flow'!AG$3,'Wells Fargo'!$B:$B,"&gt;"&amp;'Cash Flow'!AF$3)</f>
        <v>0</v>
      </c>
      <c r="AH66" s="188">
        <f>SUMIFS('Wells Fargo'!$F:$F,'Wells Fargo'!$G:$G,'Cash Flow'!$A66,'Wells Fargo'!$A:$A,AH$1,'Wells Fargo'!$B:$B,"&lt;="&amp;'Cash Flow'!AH$3,'Wells Fargo'!$B:$B,"&gt;"&amp;'Cash Flow'!AG$3)</f>
        <v>0</v>
      </c>
      <c r="AI66" s="188">
        <f>SUMIFS('Wells Fargo'!$F:$F,'Wells Fargo'!$G:$G,'Cash Flow'!$A66,'Wells Fargo'!$A:$A,AI$1,'Wells Fargo'!$B:$B,"&lt;="&amp;'Cash Flow'!AI$3,'Wells Fargo'!$B:$B,"&gt;"&amp;'Cash Flow'!AH$3)</f>
        <v>0</v>
      </c>
      <c r="AJ66" s="188">
        <f>SUMIFS('Wells Fargo'!$F:$F,'Wells Fargo'!$G:$G,'Cash Flow'!$A66,'Wells Fargo'!$A:$A,AJ$1,'Wells Fargo'!$B:$B,"&lt;="&amp;'Cash Flow'!AJ$3,'Wells Fargo'!$B:$B,"&gt;"&amp;'Cash Flow'!AI$3)</f>
        <v>0</v>
      </c>
      <c r="AK66" s="189">
        <f>SUMIFS('Wells Fargo'!$F:$F,'Wells Fargo'!$G:$G,'Cash Flow'!$A66,'Wells Fargo'!$A:$A,AK$1,'Wells Fargo'!$B:$B,"&lt;="&amp;'Cash Flow'!AK$3)</f>
        <v>0</v>
      </c>
      <c r="AL66" s="188">
        <f>SUMIFS('Wells Fargo'!$F:$F,'Wells Fargo'!$G:$G,'Cash Flow'!$A66,'Wells Fargo'!$A:$A,AL$1,'Wells Fargo'!$B:$B,"&lt;="&amp;'Cash Flow'!AL$3,'Wells Fargo'!$B:$B,"&gt;"&amp;'Cash Flow'!AK$3)</f>
        <v>0</v>
      </c>
      <c r="AM66" s="188">
        <f>SUMIFS('Wells Fargo'!$F:$F,'Wells Fargo'!$G:$G,'Cash Flow'!$A66,'Wells Fargo'!$A:$A,AM$1,'Wells Fargo'!$B:$B,"&lt;="&amp;'Cash Flow'!AM$3,'Wells Fargo'!$B:$B,"&gt;"&amp;'Cash Flow'!AL$3)</f>
        <v>0</v>
      </c>
      <c r="AN66" s="188">
        <f>SUMIFS('Wells Fargo'!$F:$F,'Wells Fargo'!$G:$G,'Cash Flow'!$A66,'Wells Fargo'!$A:$A,AN$1,'Wells Fargo'!$B:$B,"&lt;="&amp;'Cash Flow'!AN$3,'Wells Fargo'!$B:$B,"&gt;"&amp;'Cash Flow'!AM$3)</f>
        <v>0</v>
      </c>
      <c r="AO66" s="188">
        <f>SUMIFS('Wells Fargo'!$F:$F,'Wells Fargo'!$G:$G,'Cash Flow'!$A66,'Wells Fargo'!$A:$A,AO$1,'Wells Fargo'!$B:$B,"&lt;="&amp;'Cash Flow'!AO$3,'Wells Fargo'!$B:$B,"&gt;"&amp;'Cash Flow'!AN$3)</f>
        <v>0</v>
      </c>
      <c r="AP66" s="189">
        <f>SUMIFS('Wells Fargo'!$F:$F,'Wells Fargo'!$G:$G,'Cash Flow'!$A66,'Wells Fargo'!$A:$A,AP$1,'Wells Fargo'!$B:$B,"&lt;="&amp;'Cash Flow'!AP$3)</f>
        <v>0</v>
      </c>
      <c r="AQ66" s="188">
        <f>SUMIFS('Wells Fargo'!$F:$F,'Wells Fargo'!$G:$G,'Cash Flow'!$A66,'Wells Fargo'!$A:$A,AQ$1,'Wells Fargo'!$B:$B,"&lt;="&amp;'Cash Flow'!AQ$3,'Wells Fargo'!$B:$B,"&gt;"&amp;'Cash Flow'!AP$3)</f>
        <v>0</v>
      </c>
      <c r="AR66" s="188">
        <f>SUMIFS('Wells Fargo'!$F:$F,'Wells Fargo'!$G:$G,'Cash Flow'!$A66,'Wells Fargo'!$A:$A,AR$1,'Wells Fargo'!$B:$B,"&lt;="&amp;'Cash Flow'!AR$3,'Wells Fargo'!$B:$B,"&gt;"&amp;'Cash Flow'!AQ$3)</f>
        <v>0</v>
      </c>
      <c r="AS66" s="188">
        <f>SUMIFS('Wells Fargo'!$F:$F,'Wells Fargo'!$G:$G,'Cash Flow'!$A66,'Wells Fargo'!$A:$A,AS$1,'Wells Fargo'!$B:$B,"&lt;="&amp;'Cash Flow'!AS$3,'Wells Fargo'!$B:$B,"&gt;"&amp;'Cash Flow'!AR$3)</f>
        <v>0</v>
      </c>
      <c r="AT66" s="188">
        <f>SUMIFS('Wells Fargo'!$F:$F,'Wells Fargo'!$G:$G,'Cash Flow'!$A66,'Wells Fargo'!$A:$A,AT$1,'Wells Fargo'!$B:$B,"&lt;="&amp;'Cash Flow'!AT$3,'Wells Fargo'!$B:$B,"&gt;"&amp;'Cash Flow'!AS$3)</f>
        <v>0</v>
      </c>
      <c r="AU66" s="189">
        <f>SUMIFS('Wells Fargo'!$F:$F,'Wells Fargo'!$G:$G,'Cash Flow'!$A66,'Wells Fargo'!$A:$A,AU$1,'Wells Fargo'!$B:$B,"&lt;="&amp;'Cash Flow'!AU$3)</f>
        <v>0</v>
      </c>
      <c r="AV66" s="188">
        <f>SUMIFS('Wells Fargo'!$F:$F,'Wells Fargo'!$G:$G,'Cash Flow'!$A66,'Wells Fargo'!$A:$A,AV$1,'Wells Fargo'!$B:$B,"&lt;="&amp;'Cash Flow'!AV$3,'Wells Fargo'!$B:$B,"&gt;"&amp;'Cash Flow'!AU$3)</f>
        <v>0</v>
      </c>
      <c r="AW66" s="188">
        <f>SUMIFS('Wells Fargo'!$F:$F,'Wells Fargo'!$G:$G,'Cash Flow'!$A66,'Wells Fargo'!$A:$A,AW$1,'Wells Fargo'!$B:$B,"&lt;="&amp;'Cash Flow'!AW$3,'Wells Fargo'!$B:$B,"&gt;"&amp;'Cash Flow'!AV$3)</f>
        <v>0</v>
      </c>
      <c r="AX66" s="188">
        <f>SUMIFS('Wells Fargo'!$F:$F,'Wells Fargo'!$G:$G,'Cash Flow'!$A66,'Wells Fargo'!$A:$A,AX$1,'Wells Fargo'!$B:$B,"&lt;="&amp;'Cash Flow'!AX$3,'Wells Fargo'!$B:$B,"&gt;"&amp;'Cash Flow'!AW$3)</f>
        <v>-1732.31</v>
      </c>
      <c r="AY66" s="188">
        <f>SUMIFS('Wells Fargo'!$F:$F,'Wells Fargo'!$G:$G,'Cash Flow'!$A66,'Wells Fargo'!$A:$A,AY$1,'Wells Fargo'!$B:$B,"&lt;="&amp;'Cash Flow'!AY$3,'Wells Fargo'!$B:$B,"&gt;"&amp;'Cash Flow'!AX$3)</f>
        <v>-75.260000000000005</v>
      </c>
      <c r="AZ66" s="189">
        <f>SUMIFS('Wells Fargo'!$F:$F,'Wells Fargo'!$G:$G,'Cash Flow'!$A66,'Wells Fargo'!$A:$A,AZ$1,'Wells Fargo'!$B:$B,"&lt;="&amp;'Cash Flow'!AZ$3)</f>
        <v>-69.47</v>
      </c>
      <c r="BA66" s="188">
        <f>SUMIFS('Wells Fargo'!$F:$F,'Wells Fargo'!$G:$G,'Cash Flow'!$A66,'Wells Fargo'!$A:$A,BA$1,'Wells Fargo'!$B:$B,"&lt;="&amp;'Cash Flow'!BA$3,'Wells Fargo'!$B:$B,"&gt;"&amp;'Cash Flow'!AZ$3)</f>
        <v>36.1</v>
      </c>
      <c r="BB66" s="188">
        <f>SUMIFS('Wells Fargo'!$F:$F,'Wells Fargo'!$G:$G,'Cash Flow'!$A66,'Wells Fargo'!$A:$A,BB$1,'Wells Fargo'!$B:$B,"&lt;="&amp;'Cash Flow'!BB$3,'Wells Fargo'!$B:$B,"&gt;"&amp;'Cash Flow'!BA$3)</f>
        <v>-300</v>
      </c>
      <c r="BC66" s="188">
        <f>SUMIFS('Wells Fargo'!$F:$F,'Wells Fargo'!$G:$G,'Cash Flow'!$A66,'Wells Fargo'!$A:$A,BC$1,'Wells Fargo'!$B:$B,"&lt;="&amp;'Cash Flow'!BC$3,'Wells Fargo'!$B:$B,"&gt;"&amp;'Cash Flow'!BB$3)</f>
        <v>0</v>
      </c>
      <c r="BD66" s="188">
        <f>SUMIFS('Wells Fargo'!$F:$F,'Wells Fargo'!$G:$G,'Cash Flow'!$A66,'Wells Fargo'!$A:$A,BD$1,'Wells Fargo'!$B:$B,"&lt;="&amp;'Cash Flow'!BD$3,'Wells Fargo'!$B:$B,"&gt;"&amp;'Cash Flow'!BC$3)</f>
        <v>0</v>
      </c>
      <c r="BE66" s="189">
        <f>SUMIFS('Wells Fargo'!$F:$F,'Wells Fargo'!$G:$G,'Cash Flow'!$A66,'Wells Fargo'!$A:$A,BE$1,'Wells Fargo'!$B:$B,"&lt;="&amp;'Cash Flow'!BE$3)</f>
        <v>0</v>
      </c>
      <c r="BF66" s="188">
        <f>SUMIFS('Wells Fargo'!$F:$F,'Wells Fargo'!$G:$G,'Cash Flow'!$A66,'Wells Fargo'!$A:$A,BF$1,'Wells Fargo'!$B:$B,"&lt;="&amp;'Cash Flow'!BF$3,'Wells Fargo'!$B:$B,"&gt;"&amp;'Cash Flow'!BE$3)</f>
        <v>0</v>
      </c>
      <c r="BG66" s="188">
        <f>SUMIFS('Wells Fargo'!$F:$F,'Wells Fargo'!$G:$G,'Cash Flow'!$A66,'Wells Fargo'!$A:$A,BG$1,'Wells Fargo'!$B:$B,"&lt;="&amp;'Cash Flow'!BG$3,'Wells Fargo'!$B:$B,"&gt;"&amp;'Cash Flow'!BF$3)</f>
        <v>0</v>
      </c>
      <c r="BH66" s="188">
        <f>SUMIFS('Wells Fargo'!$F:$F,'Wells Fargo'!$G:$G,'Cash Flow'!$A66,'Wells Fargo'!$A:$A,BH$1,'Wells Fargo'!$B:$B,"&lt;="&amp;'Cash Flow'!BH$3,'Wells Fargo'!$B:$B,"&gt;"&amp;'Cash Flow'!BG$3)</f>
        <v>0</v>
      </c>
      <c r="BI66" s="188">
        <f>SUMIFS('Wells Fargo'!$F:$F,'Wells Fargo'!$G:$G,'Cash Flow'!$A66,'Wells Fargo'!$A:$A,BI$1,'Wells Fargo'!$B:$B,"&lt;="&amp;'Cash Flow'!BI$3,'Wells Fargo'!$B:$B,"&gt;"&amp;'Cash Flow'!BH$3)</f>
        <v>0</v>
      </c>
    </row>
    <row r="74" spans="1:61" x14ac:dyDescent="0.2">
      <c r="C74" s="87">
        <f>SUM(C4:C64)</f>
        <v>0</v>
      </c>
      <c r="D74" s="87">
        <f>SUM(D4:D66)</f>
        <v>-100</v>
      </c>
      <c r="E74" s="87">
        <f t="shared" ref="E74:BI74" si="6">SUM(E4:E66)</f>
        <v>730.42000000000007</v>
      </c>
      <c r="F74" s="87">
        <f t="shared" si="6"/>
        <v>-727.98</v>
      </c>
      <c r="G74" s="87">
        <f t="shared" si="6"/>
        <v>424.96000000000015</v>
      </c>
      <c r="H74" s="87">
        <f t="shared" si="6"/>
        <v>-350.31000000000006</v>
      </c>
      <c r="I74" s="87">
        <f t="shared" si="6"/>
        <v>732.76000000000022</v>
      </c>
      <c r="J74" s="87">
        <f t="shared" si="6"/>
        <v>-612.29</v>
      </c>
      <c r="K74" s="87">
        <f t="shared" si="6"/>
        <v>2327.7800000000002</v>
      </c>
      <c r="L74" s="87">
        <f t="shared" si="6"/>
        <v>-2261.5299999999997</v>
      </c>
      <c r="M74" s="87">
        <f t="shared" si="6"/>
        <v>231.60999999999999</v>
      </c>
      <c r="N74" s="87">
        <f t="shared" si="6"/>
        <v>1513.1200000000001</v>
      </c>
      <c r="O74" s="87">
        <f t="shared" si="6"/>
        <v>1085.8899999999999</v>
      </c>
      <c r="P74" s="87">
        <f t="shared" si="6"/>
        <v>-485.03</v>
      </c>
      <c r="Q74" s="87">
        <f t="shared" si="6"/>
        <v>-400</v>
      </c>
      <c r="R74" s="87">
        <f t="shared" si="6"/>
        <v>792.8</v>
      </c>
      <c r="S74" s="87">
        <f t="shared" si="6"/>
        <v>-488.52</v>
      </c>
      <c r="T74" s="87">
        <f t="shared" si="6"/>
        <v>732.91</v>
      </c>
      <c r="U74" s="87">
        <f t="shared" si="6"/>
        <v>-50</v>
      </c>
      <c r="V74" s="87">
        <f t="shared" si="6"/>
        <v>124.33000000000004</v>
      </c>
      <c r="W74" s="87">
        <f t="shared" si="6"/>
        <v>-50.319999999999993</v>
      </c>
      <c r="X74" s="87">
        <f t="shared" si="6"/>
        <v>697.98</v>
      </c>
      <c r="Y74" s="87">
        <f t="shared" si="6"/>
        <v>-1171.96</v>
      </c>
      <c r="Z74" s="87">
        <f t="shared" si="6"/>
        <v>0</v>
      </c>
      <c r="AA74" s="87">
        <f t="shared" si="6"/>
        <v>514.85000000000014</v>
      </c>
      <c r="AB74" s="87">
        <f t="shared" si="6"/>
        <v>-592.83999999999992</v>
      </c>
      <c r="AC74" s="87">
        <f t="shared" si="6"/>
        <v>8850.08</v>
      </c>
      <c r="AD74" s="87">
        <f t="shared" si="6"/>
        <v>-5102.6099999999997</v>
      </c>
      <c r="AE74" s="87">
        <f t="shared" si="6"/>
        <v>-1804.34</v>
      </c>
      <c r="AF74" s="87">
        <f t="shared" si="6"/>
        <v>711.65999999999985</v>
      </c>
      <c r="AG74" s="87">
        <f t="shared" si="6"/>
        <v>-1587.35</v>
      </c>
      <c r="AH74" s="87">
        <f t="shared" si="6"/>
        <v>-14.850000000000136</v>
      </c>
      <c r="AI74" s="87">
        <f t="shared" si="6"/>
        <v>-2356.8200000000002</v>
      </c>
      <c r="AJ74" s="87">
        <f t="shared" si="6"/>
        <v>1925.68</v>
      </c>
      <c r="AK74" s="87">
        <f t="shared" si="6"/>
        <v>-1403.17</v>
      </c>
      <c r="AL74" s="87">
        <f t="shared" si="6"/>
        <v>1958.65</v>
      </c>
      <c r="AM74" s="87">
        <f t="shared" si="6"/>
        <v>-356.17</v>
      </c>
      <c r="AN74" s="87">
        <f t="shared" si="6"/>
        <v>-576.47</v>
      </c>
      <c r="AO74" s="87">
        <f t="shared" si="6"/>
        <v>0</v>
      </c>
      <c r="AP74" s="87">
        <f t="shared" si="6"/>
        <v>-200</v>
      </c>
      <c r="AQ74" s="87">
        <f t="shared" si="6"/>
        <v>311.30000000000018</v>
      </c>
      <c r="AR74" s="87">
        <f t="shared" si="6"/>
        <v>-336.22999999999996</v>
      </c>
      <c r="AS74" s="87">
        <f t="shared" si="6"/>
        <v>748.86000000000013</v>
      </c>
      <c r="AT74" s="87">
        <f t="shared" si="6"/>
        <v>-662.20999999999958</v>
      </c>
      <c r="AU74" s="87">
        <f t="shared" si="6"/>
        <v>-1866.67</v>
      </c>
      <c r="AV74" s="87">
        <f t="shared" si="6"/>
        <v>2029.34</v>
      </c>
      <c r="AW74" s="87">
        <f t="shared" si="6"/>
        <v>836.88999999999987</v>
      </c>
      <c r="AX74" s="87">
        <f t="shared" si="6"/>
        <v>1358.67</v>
      </c>
      <c r="AY74" s="87">
        <f t="shared" si="6"/>
        <v>-53.38000000000001</v>
      </c>
      <c r="AZ74" s="87">
        <f t="shared" si="6"/>
        <v>-950.7</v>
      </c>
      <c r="BA74" s="87">
        <f t="shared" si="6"/>
        <v>-1073.9000000000001</v>
      </c>
      <c r="BB74" s="87">
        <f t="shared" si="6"/>
        <v>-300</v>
      </c>
      <c r="BC74" s="87">
        <f t="shared" si="6"/>
        <v>0</v>
      </c>
      <c r="BD74" s="87">
        <f t="shared" si="6"/>
        <v>0</v>
      </c>
      <c r="BE74" s="87">
        <f t="shared" si="6"/>
        <v>0</v>
      </c>
      <c r="BF74" s="87">
        <f t="shared" si="6"/>
        <v>0</v>
      </c>
      <c r="BG74" s="87">
        <f t="shared" si="6"/>
        <v>0</v>
      </c>
      <c r="BH74" s="87">
        <f t="shared" si="6"/>
        <v>0</v>
      </c>
      <c r="BI74" s="87">
        <f t="shared" si="6"/>
        <v>0</v>
      </c>
    </row>
    <row r="75" spans="1:61" x14ac:dyDescent="0.2">
      <c r="C75">
        <f>B2</f>
        <v>167.58</v>
      </c>
      <c r="D75" s="87">
        <f>$B$2+D74</f>
        <v>67.580000000000013</v>
      </c>
      <c r="E75" s="87">
        <f t="shared" ref="E75" si="7">D75+E74</f>
        <v>798.00000000000011</v>
      </c>
      <c r="F75" s="87">
        <f t="shared" ref="F75" si="8">E75+F74</f>
        <v>70.020000000000095</v>
      </c>
      <c r="G75" s="87">
        <f t="shared" ref="G75" si="9">F75+G74</f>
        <v>494.98000000000025</v>
      </c>
      <c r="H75" s="87">
        <f t="shared" ref="H75" si="10">G75+H74</f>
        <v>144.67000000000019</v>
      </c>
      <c r="I75" s="87">
        <f t="shared" ref="I75" si="11">H75+I74</f>
        <v>877.4300000000004</v>
      </c>
      <c r="J75" s="87">
        <f t="shared" ref="J75" si="12">I75+J74</f>
        <v>265.14000000000044</v>
      </c>
      <c r="K75" s="87">
        <f t="shared" ref="K75" si="13">J75+K74</f>
        <v>2592.9200000000005</v>
      </c>
      <c r="L75" s="87">
        <f t="shared" ref="L75" si="14">K75+L74</f>
        <v>331.39000000000078</v>
      </c>
      <c r="M75" s="87">
        <f t="shared" ref="M75" si="15">L75+M74</f>
        <v>563.0000000000008</v>
      </c>
      <c r="N75" s="87">
        <f t="shared" ref="N75" si="16">M75+N74</f>
        <v>2076.1200000000008</v>
      </c>
      <c r="O75" s="87">
        <f t="shared" ref="O75" si="17">N75+O74</f>
        <v>3162.0100000000007</v>
      </c>
      <c r="P75" s="87">
        <f t="shared" ref="P75" si="18">O75+P74</f>
        <v>2676.9800000000005</v>
      </c>
      <c r="Q75" s="87">
        <f t="shared" ref="Q75" si="19">P75+Q74</f>
        <v>2276.9800000000005</v>
      </c>
      <c r="R75" s="87">
        <f t="shared" ref="R75" si="20">Q75+R74</f>
        <v>3069.7800000000007</v>
      </c>
      <c r="S75" s="87">
        <f t="shared" ref="S75" si="21">R75+S74</f>
        <v>2581.2600000000007</v>
      </c>
      <c r="T75" s="87">
        <f t="shared" ref="T75" si="22">S75+T74</f>
        <v>3314.1700000000005</v>
      </c>
      <c r="U75" s="87">
        <f t="shared" ref="U75" si="23">T75+U74</f>
        <v>3264.1700000000005</v>
      </c>
      <c r="V75" s="87">
        <f t="shared" ref="V75" si="24">U75+V74</f>
        <v>3388.5000000000005</v>
      </c>
      <c r="W75" s="87">
        <f t="shared" ref="W75" si="25">V75+W74</f>
        <v>3338.1800000000003</v>
      </c>
      <c r="X75" s="87">
        <f t="shared" ref="X75" si="26">W75+X74</f>
        <v>4036.1600000000003</v>
      </c>
      <c r="Y75" s="87">
        <f t="shared" ref="Y75" si="27">X75+Y74</f>
        <v>2864.2000000000003</v>
      </c>
      <c r="Z75" s="87">
        <f t="shared" ref="Z75" si="28">Y75+Z74</f>
        <v>2864.2000000000003</v>
      </c>
      <c r="AA75" s="87">
        <f t="shared" ref="AA75" si="29">Z75+AA74</f>
        <v>3379.05</v>
      </c>
      <c r="AB75" s="87">
        <f t="shared" ref="AB75" si="30">AA75+AB74</f>
        <v>2786.21</v>
      </c>
      <c r="AC75" s="87">
        <f t="shared" ref="AC75" si="31">AB75+AC74</f>
        <v>11636.29</v>
      </c>
      <c r="AD75" s="87">
        <f t="shared" ref="AD75" si="32">AC75+AD74</f>
        <v>6533.6800000000012</v>
      </c>
      <c r="AE75" s="87">
        <f t="shared" ref="AE75" si="33">AD75+AE74</f>
        <v>4729.3400000000011</v>
      </c>
      <c r="AF75" s="87">
        <f t="shared" ref="AF75" si="34">AE75+AF74</f>
        <v>5441.0000000000009</v>
      </c>
      <c r="AG75" s="87">
        <f t="shared" ref="AG75" si="35">AF75+AG74</f>
        <v>3853.650000000001</v>
      </c>
      <c r="AH75" s="87">
        <f t="shared" ref="AH75" si="36">AG75+AH74</f>
        <v>3838.8000000000011</v>
      </c>
      <c r="AI75" s="87">
        <f t="shared" ref="AI75" si="37">AH75+AI74</f>
        <v>1481.9800000000009</v>
      </c>
      <c r="AJ75" s="87">
        <f t="shared" ref="AJ75" si="38">AI75+AJ74</f>
        <v>3407.6600000000008</v>
      </c>
      <c r="AK75" s="87">
        <f t="shared" ref="AK75" si="39">AJ75+AK74</f>
        <v>2004.4900000000007</v>
      </c>
      <c r="AL75" s="87">
        <f t="shared" ref="AL75" si="40">AK75+AL74</f>
        <v>3963.1400000000008</v>
      </c>
      <c r="AM75" s="87">
        <f t="shared" ref="AM75" si="41">AL75+AM74</f>
        <v>3606.9700000000007</v>
      </c>
      <c r="AN75" s="87">
        <f t="shared" ref="AN75" si="42">AM75+AN74</f>
        <v>3030.5000000000009</v>
      </c>
      <c r="AO75" s="87">
        <f t="shared" ref="AO75" si="43">AN75+AO74</f>
        <v>3030.5000000000009</v>
      </c>
      <c r="AP75" s="87">
        <f t="shared" ref="AP75" si="44">AO75+AP74</f>
        <v>2830.5000000000009</v>
      </c>
      <c r="AQ75" s="87">
        <f t="shared" ref="AQ75" si="45">AP75+AQ74</f>
        <v>3141.8000000000011</v>
      </c>
      <c r="AR75" s="87">
        <f t="shared" ref="AR75" si="46">AQ75+AR74</f>
        <v>2805.5700000000011</v>
      </c>
      <c r="AS75" s="87">
        <f t="shared" ref="AS75" si="47">AR75+AS74</f>
        <v>3554.4300000000012</v>
      </c>
      <c r="AT75" s="87">
        <f t="shared" ref="AT75" si="48">AS75+AT74</f>
        <v>2892.2200000000016</v>
      </c>
      <c r="AU75" s="87">
        <f t="shared" ref="AU75" si="49">AT75+AU74</f>
        <v>1025.5500000000015</v>
      </c>
      <c r="AV75" s="87">
        <f t="shared" ref="AV75" si="50">AU75+AV74</f>
        <v>3054.8900000000012</v>
      </c>
      <c r="AW75" s="87">
        <f t="shared" ref="AW75" si="51">AV75+AW74</f>
        <v>3891.7800000000011</v>
      </c>
      <c r="AX75" s="87">
        <f t="shared" ref="AX75" si="52">AW75+AX74</f>
        <v>5250.4500000000007</v>
      </c>
      <c r="AY75" s="87">
        <f>AX75+AY74</f>
        <v>5197.0700000000006</v>
      </c>
      <c r="AZ75" s="87">
        <f t="shared" ref="AZ75" si="53">AY75+AZ74</f>
        <v>4246.3700000000008</v>
      </c>
      <c r="BA75" s="87">
        <f t="shared" ref="BA75" si="54">AZ75+BA74</f>
        <v>3172.4700000000007</v>
      </c>
      <c r="BB75" s="87">
        <f t="shared" ref="BB75" si="55">BA75+BB74</f>
        <v>2872.4700000000007</v>
      </c>
      <c r="BC75" s="87">
        <f t="shared" ref="BC75" si="56">BB75+BC74</f>
        <v>2872.4700000000007</v>
      </c>
      <c r="BD75" s="87">
        <f t="shared" ref="BD75" si="57">BC75+BD74</f>
        <v>2872.4700000000007</v>
      </c>
      <c r="BE75" s="87">
        <f t="shared" ref="BE75" si="58">BD75+BE74</f>
        <v>2872.4700000000007</v>
      </c>
      <c r="BF75" s="87">
        <f t="shared" ref="BF75" si="59">BE75+BF74</f>
        <v>2872.4700000000007</v>
      </c>
      <c r="BG75" s="87">
        <f t="shared" ref="BG75" si="60">BF75+BG74</f>
        <v>2872.4700000000007</v>
      </c>
      <c r="BH75" s="87">
        <f t="shared" ref="BH75" si="61">BG75+BH74</f>
        <v>2872.4700000000007</v>
      </c>
      <c r="BI75" s="87">
        <f t="shared" ref="BI75" si="62">BH75+BI74</f>
        <v>2872.4700000000007</v>
      </c>
    </row>
  </sheetData>
  <mergeCells count="12">
    <mergeCell ref="BE2:BI2"/>
    <mergeCell ref="AA2:AE2"/>
    <mergeCell ref="AF2:AJ2"/>
    <mergeCell ref="AK2:AO2"/>
    <mergeCell ref="AP2:AT2"/>
    <mergeCell ref="AU2:AY2"/>
    <mergeCell ref="AZ2:BD2"/>
    <mergeCell ref="C2:G2"/>
    <mergeCell ref="H2:K2"/>
    <mergeCell ref="L2:P2"/>
    <mergeCell ref="V2:Z2"/>
    <mergeCell ref="Q2:U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3939-21ED-4E9A-AC2A-CED62F4E19B6}">
  <sheetPr>
    <tabColor rgb="FF00CC99"/>
  </sheetPr>
  <dimension ref="A1:K60"/>
  <sheetViews>
    <sheetView topLeftCell="J1" zoomScale="70" zoomScaleNormal="70" workbookViewId="0">
      <selection activeCell="W68" sqref="W68"/>
    </sheetView>
  </sheetViews>
  <sheetFormatPr defaultRowHeight="11.25" x14ac:dyDescent="0.2"/>
  <cols>
    <col min="3" max="3" width="9.83203125" style="2" bestFit="1" customWidth="1"/>
    <col min="4" max="4" width="10.5" style="2" bestFit="1" customWidth="1"/>
    <col min="5" max="5" width="9.1640625" style="2"/>
    <col min="7" max="7" width="14.6640625" bestFit="1" customWidth="1"/>
  </cols>
  <sheetData>
    <row r="1" spans="1:11" x14ac:dyDescent="0.2">
      <c r="C1" s="2" t="s">
        <v>479</v>
      </c>
      <c r="D1" s="2" t="s">
        <v>5</v>
      </c>
      <c r="E1" s="2" t="s">
        <v>19</v>
      </c>
      <c r="H1" s="2" t="s">
        <v>530</v>
      </c>
      <c r="I1" s="2" t="s">
        <v>527</v>
      </c>
      <c r="J1" s="2" t="s">
        <v>528</v>
      </c>
      <c r="K1" s="2" t="s">
        <v>529</v>
      </c>
    </row>
    <row r="2" spans="1:11" x14ac:dyDescent="0.2">
      <c r="A2" s="2">
        <v>1</v>
      </c>
      <c r="B2" s="2">
        <v>1</v>
      </c>
      <c r="C2" s="110">
        <f>DATE(2021,A2,B2)</f>
        <v>44197</v>
      </c>
      <c r="D2" s="109">
        <f ca="1">OFFSET('Cash Flow'!$C$74,0, ROW()-2)</f>
        <v>0</v>
      </c>
      <c r="E2" s="109">
        <f ca="1">OFFSET('Cash Flow'!$C$74,1, ROW()-2)</f>
        <v>167.58</v>
      </c>
      <c r="G2" s="1" t="s">
        <v>531</v>
      </c>
      <c r="H2" s="111">
        <f ca="1">E2</f>
        <v>167.58</v>
      </c>
      <c r="I2" s="111"/>
      <c r="J2" s="111"/>
      <c r="K2" s="111"/>
    </row>
    <row r="3" spans="1:11" x14ac:dyDescent="0.2">
      <c r="A3" s="2">
        <v>1</v>
      </c>
      <c r="B3" s="2">
        <v>8</v>
      </c>
      <c r="C3" s="110">
        <f t="shared" ref="C3:C60" si="0">DATE(2021,A3,B3)</f>
        <v>44204</v>
      </c>
      <c r="D3" s="109">
        <f ca="1">OFFSET('Cash Flow'!$C$74,0, ROW()-2)</f>
        <v>-100</v>
      </c>
      <c r="E3" s="109">
        <f ca="1">OFFSET('Cash Flow'!$C$74,1, ROW()-2)</f>
        <v>67.580000000000013</v>
      </c>
      <c r="G3" s="1">
        <f>C3</f>
        <v>44204</v>
      </c>
      <c r="H3" s="111">
        <f ca="1">H2+J2-I3</f>
        <v>67.580000000000013</v>
      </c>
      <c r="I3" s="111">
        <f ca="1">MIN(K3,0)*-1</f>
        <v>100</v>
      </c>
      <c r="J3" s="111">
        <f t="shared" ref="J3:J31" ca="1" si="1">MAX(K3,0)</f>
        <v>0</v>
      </c>
      <c r="K3" s="111">
        <f t="shared" ref="K3:K31" ca="1" si="2">E3-E2</f>
        <v>-100</v>
      </c>
    </row>
    <row r="4" spans="1:11" x14ac:dyDescent="0.2">
      <c r="A4" s="2">
        <v>1</v>
      </c>
      <c r="B4" s="2">
        <v>15</v>
      </c>
      <c r="C4" s="110">
        <f t="shared" si="0"/>
        <v>44211</v>
      </c>
      <c r="D4" s="109">
        <f ca="1">OFFSET('Cash Flow'!$C$74,0, ROW()-2)</f>
        <v>730.42000000000007</v>
      </c>
      <c r="E4" s="109">
        <f ca="1">OFFSET('Cash Flow'!$C$74,1, ROW()-2)</f>
        <v>798.00000000000011</v>
      </c>
      <c r="G4" s="1">
        <f t="shared" ref="G4:G31" si="3">C4</f>
        <v>44211</v>
      </c>
      <c r="H4" s="111">
        <f t="shared" ref="H4:H31" ca="1" si="4">H3+J3-I4</f>
        <v>67.580000000000013</v>
      </c>
      <c r="I4" s="111">
        <f t="shared" ref="I4:I31" ca="1" si="5">MIN(K4,0)*-1</f>
        <v>0</v>
      </c>
      <c r="J4" s="111">
        <f t="shared" ca="1" si="1"/>
        <v>730.42000000000007</v>
      </c>
      <c r="K4" s="111">
        <f t="shared" ca="1" si="2"/>
        <v>730.42000000000007</v>
      </c>
    </row>
    <row r="5" spans="1:11" x14ac:dyDescent="0.2">
      <c r="A5" s="2">
        <v>1</v>
      </c>
      <c r="B5" s="2">
        <v>22</v>
      </c>
      <c r="C5" s="110">
        <f t="shared" si="0"/>
        <v>44218</v>
      </c>
      <c r="D5" s="109">
        <f ca="1">OFFSET('Cash Flow'!$C$74,0, ROW()-2)</f>
        <v>-727.98</v>
      </c>
      <c r="E5" s="109">
        <f ca="1">OFFSET('Cash Flow'!$C$74,1, ROW()-2)</f>
        <v>70.020000000000095</v>
      </c>
      <c r="G5" s="1">
        <f t="shared" si="3"/>
        <v>44218</v>
      </c>
      <c r="H5" s="111">
        <f t="shared" ca="1" si="4"/>
        <v>70.020000000000095</v>
      </c>
      <c r="I5" s="111">
        <f t="shared" ca="1" si="5"/>
        <v>727.98</v>
      </c>
      <c r="J5" s="111">
        <f t="shared" ca="1" si="1"/>
        <v>0</v>
      </c>
      <c r="K5" s="111">
        <f t="shared" ca="1" si="2"/>
        <v>-727.98</v>
      </c>
    </row>
    <row r="6" spans="1:11" x14ac:dyDescent="0.2">
      <c r="A6" s="2">
        <v>1</v>
      </c>
      <c r="B6" s="2">
        <v>31</v>
      </c>
      <c r="C6" s="110">
        <f t="shared" si="0"/>
        <v>44227</v>
      </c>
      <c r="D6" s="109">
        <f ca="1">OFFSET('Cash Flow'!$C$74,0, ROW()-2)</f>
        <v>424.96000000000015</v>
      </c>
      <c r="E6" s="109">
        <f ca="1">OFFSET('Cash Flow'!$C$74,1, ROW()-2)</f>
        <v>494.98000000000025</v>
      </c>
      <c r="G6" s="1">
        <f t="shared" si="3"/>
        <v>44227</v>
      </c>
      <c r="H6" s="111">
        <f t="shared" ca="1" si="4"/>
        <v>70.020000000000095</v>
      </c>
      <c r="I6" s="111">
        <f t="shared" ca="1" si="5"/>
        <v>0</v>
      </c>
      <c r="J6" s="111">
        <f t="shared" ca="1" si="1"/>
        <v>424.96000000000015</v>
      </c>
      <c r="K6" s="111">
        <f t="shared" ca="1" si="2"/>
        <v>424.96000000000015</v>
      </c>
    </row>
    <row r="7" spans="1:11" x14ac:dyDescent="0.2">
      <c r="A7" s="2">
        <v>2</v>
      </c>
      <c r="B7" s="2">
        <v>5</v>
      </c>
      <c r="C7" s="110">
        <f t="shared" si="0"/>
        <v>44232</v>
      </c>
      <c r="D7" s="109">
        <f ca="1">OFFSET('Cash Flow'!$C$74,0, ROW()-2)</f>
        <v>-350.31000000000006</v>
      </c>
      <c r="E7" s="109">
        <f ca="1">OFFSET('Cash Flow'!$C$74,1, ROW()-2)</f>
        <v>144.67000000000019</v>
      </c>
      <c r="G7" s="1">
        <f t="shared" si="3"/>
        <v>44232</v>
      </c>
      <c r="H7" s="111">
        <f t="shared" ca="1" si="4"/>
        <v>144.67000000000019</v>
      </c>
      <c r="I7" s="111">
        <f t="shared" ca="1" si="5"/>
        <v>350.31000000000006</v>
      </c>
      <c r="J7" s="111">
        <f t="shared" ca="1" si="1"/>
        <v>0</v>
      </c>
      <c r="K7" s="111">
        <f t="shared" ca="1" si="2"/>
        <v>-350.31000000000006</v>
      </c>
    </row>
    <row r="8" spans="1:11" x14ac:dyDescent="0.2">
      <c r="A8" s="2">
        <v>2</v>
      </c>
      <c r="B8" s="2">
        <v>12</v>
      </c>
      <c r="C8" s="110">
        <f t="shared" si="0"/>
        <v>44239</v>
      </c>
      <c r="D8" s="109">
        <f ca="1">OFFSET('Cash Flow'!$C$74,0, ROW()-2)</f>
        <v>732.76000000000022</v>
      </c>
      <c r="E8" s="109">
        <f ca="1">OFFSET('Cash Flow'!$C$74,1, ROW()-2)</f>
        <v>877.4300000000004</v>
      </c>
      <c r="G8" s="1">
        <f t="shared" si="3"/>
        <v>44239</v>
      </c>
      <c r="H8" s="111">
        <f t="shared" ca="1" si="4"/>
        <v>144.67000000000019</v>
      </c>
      <c r="I8" s="111">
        <f t="shared" ca="1" si="5"/>
        <v>0</v>
      </c>
      <c r="J8" s="111">
        <f t="shared" ca="1" si="1"/>
        <v>732.76000000000022</v>
      </c>
      <c r="K8" s="111">
        <f t="shared" ca="1" si="2"/>
        <v>732.76000000000022</v>
      </c>
    </row>
    <row r="9" spans="1:11" x14ac:dyDescent="0.2">
      <c r="A9" s="2">
        <v>2</v>
      </c>
      <c r="B9" s="2">
        <v>19</v>
      </c>
      <c r="C9" s="110">
        <f t="shared" si="0"/>
        <v>44246</v>
      </c>
      <c r="D9" s="109">
        <f ca="1">OFFSET('Cash Flow'!$C$74,0, ROW()-2)</f>
        <v>-612.29</v>
      </c>
      <c r="E9" s="109">
        <f ca="1">OFFSET('Cash Flow'!$C$74,1, ROW()-2)</f>
        <v>265.14000000000044</v>
      </c>
      <c r="G9" s="1">
        <f t="shared" si="3"/>
        <v>44246</v>
      </c>
      <c r="H9" s="111">
        <f t="shared" ca="1" si="4"/>
        <v>265.14000000000044</v>
      </c>
      <c r="I9" s="111">
        <f t="shared" ca="1" si="5"/>
        <v>612.29</v>
      </c>
      <c r="J9" s="111">
        <f t="shared" ca="1" si="1"/>
        <v>0</v>
      </c>
      <c r="K9" s="111">
        <f t="shared" ca="1" si="2"/>
        <v>-612.29</v>
      </c>
    </row>
    <row r="10" spans="1:11" x14ac:dyDescent="0.2">
      <c r="A10" s="2">
        <v>2</v>
      </c>
      <c r="B10" s="2">
        <v>28</v>
      </c>
      <c r="C10" s="110">
        <f t="shared" si="0"/>
        <v>44255</v>
      </c>
      <c r="D10" s="109">
        <f ca="1">OFFSET('Cash Flow'!$C$74,0, ROW()-2)</f>
        <v>2327.7800000000002</v>
      </c>
      <c r="E10" s="109">
        <f ca="1">OFFSET('Cash Flow'!$C$74,1, ROW()-2)</f>
        <v>2592.9200000000005</v>
      </c>
      <c r="G10" s="1">
        <f t="shared" si="3"/>
        <v>44255</v>
      </c>
      <c r="H10" s="111">
        <f t="shared" ca="1" si="4"/>
        <v>265.14000000000044</v>
      </c>
      <c r="I10" s="111">
        <f t="shared" ca="1" si="5"/>
        <v>0</v>
      </c>
      <c r="J10" s="111">
        <f t="shared" ca="1" si="1"/>
        <v>2327.7800000000002</v>
      </c>
      <c r="K10" s="111">
        <f t="shared" ca="1" si="2"/>
        <v>2327.7800000000002</v>
      </c>
    </row>
    <row r="11" spans="1:11" x14ac:dyDescent="0.2">
      <c r="A11" s="2">
        <v>3</v>
      </c>
      <c r="B11" s="2">
        <v>5</v>
      </c>
      <c r="C11" s="110">
        <f t="shared" si="0"/>
        <v>44260</v>
      </c>
      <c r="D11" s="109">
        <f ca="1">OFFSET('Cash Flow'!$C$74,0, ROW()-2)</f>
        <v>-2261.5299999999997</v>
      </c>
      <c r="E11" s="109">
        <f ca="1">OFFSET('Cash Flow'!$C$74,1, ROW()-2)</f>
        <v>331.39000000000078</v>
      </c>
      <c r="G11" s="1">
        <f t="shared" si="3"/>
        <v>44260</v>
      </c>
      <c r="H11" s="111">
        <f t="shared" ca="1" si="4"/>
        <v>331.39000000000078</v>
      </c>
      <c r="I11" s="111">
        <f t="shared" ca="1" si="5"/>
        <v>2261.5299999999997</v>
      </c>
      <c r="J11" s="111">
        <f t="shared" ca="1" si="1"/>
        <v>0</v>
      </c>
      <c r="K11" s="111">
        <f t="shared" ca="1" si="2"/>
        <v>-2261.5299999999997</v>
      </c>
    </row>
    <row r="12" spans="1:11" x14ac:dyDescent="0.2">
      <c r="A12" s="2">
        <v>3</v>
      </c>
      <c r="B12" s="2">
        <v>12</v>
      </c>
      <c r="C12" s="110">
        <f t="shared" si="0"/>
        <v>44267</v>
      </c>
      <c r="D12" s="109">
        <f ca="1">OFFSET('Cash Flow'!$C$74,0, ROW()-2)</f>
        <v>231.60999999999999</v>
      </c>
      <c r="E12" s="109">
        <f ca="1">OFFSET('Cash Flow'!$C$74,1, ROW()-2)</f>
        <v>563.0000000000008</v>
      </c>
      <c r="G12" s="1">
        <f t="shared" si="3"/>
        <v>44267</v>
      </c>
      <c r="H12" s="111">
        <f t="shared" ca="1" si="4"/>
        <v>331.39000000000078</v>
      </c>
      <c r="I12" s="111">
        <f t="shared" ca="1" si="5"/>
        <v>0</v>
      </c>
      <c r="J12" s="111">
        <f t="shared" ca="1" si="1"/>
        <v>231.61</v>
      </c>
      <c r="K12" s="111">
        <f t="shared" ca="1" si="2"/>
        <v>231.61</v>
      </c>
    </row>
    <row r="13" spans="1:11" x14ac:dyDescent="0.2">
      <c r="A13" s="2">
        <v>3</v>
      </c>
      <c r="B13" s="2">
        <v>19</v>
      </c>
      <c r="C13" s="110">
        <f t="shared" si="0"/>
        <v>44274</v>
      </c>
      <c r="D13" s="109">
        <f ca="1">OFFSET('Cash Flow'!$C$74,0, ROW()-2)</f>
        <v>1513.1200000000001</v>
      </c>
      <c r="E13" s="109">
        <f ca="1">OFFSET('Cash Flow'!$C$74,1, ROW()-2)</f>
        <v>2076.1200000000008</v>
      </c>
      <c r="G13" s="1">
        <f t="shared" si="3"/>
        <v>44274</v>
      </c>
      <c r="H13" s="111">
        <f t="shared" ca="1" si="4"/>
        <v>563.0000000000008</v>
      </c>
      <c r="I13" s="111">
        <f t="shared" ca="1" si="5"/>
        <v>0</v>
      </c>
      <c r="J13" s="111">
        <f t="shared" ca="1" si="1"/>
        <v>1513.12</v>
      </c>
      <c r="K13" s="111">
        <f t="shared" ca="1" si="2"/>
        <v>1513.12</v>
      </c>
    </row>
    <row r="14" spans="1:11" x14ac:dyDescent="0.2">
      <c r="A14" s="2">
        <v>3</v>
      </c>
      <c r="B14" s="2">
        <v>26</v>
      </c>
      <c r="C14" s="110">
        <f t="shared" si="0"/>
        <v>44281</v>
      </c>
      <c r="D14" s="109">
        <f ca="1">OFFSET('Cash Flow'!$C$74,0, ROW()-2)</f>
        <v>1085.8899999999999</v>
      </c>
      <c r="E14" s="109">
        <f ca="1">OFFSET('Cash Flow'!$C$74,1, ROW()-2)</f>
        <v>3162.0100000000007</v>
      </c>
      <c r="G14" s="1">
        <f t="shared" si="3"/>
        <v>44281</v>
      </c>
      <c r="H14" s="111">
        <f t="shared" ca="1" si="4"/>
        <v>2076.1200000000008</v>
      </c>
      <c r="I14" s="111">
        <f t="shared" ca="1" si="5"/>
        <v>0</v>
      </c>
      <c r="J14" s="111">
        <f t="shared" ca="1" si="1"/>
        <v>1085.8899999999999</v>
      </c>
      <c r="K14" s="111">
        <f t="shared" ca="1" si="2"/>
        <v>1085.8899999999999</v>
      </c>
    </row>
    <row r="15" spans="1:11" x14ac:dyDescent="0.2">
      <c r="A15" s="2">
        <v>3</v>
      </c>
      <c r="B15" s="2">
        <v>31</v>
      </c>
      <c r="C15" s="110">
        <f t="shared" si="0"/>
        <v>44286</v>
      </c>
      <c r="D15" s="109">
        <f ca="1">OFFSET('Cash Flow'!$C$74,0, ROW()-2)</f>
        <v>-485.03</v>
      </c>
      <c r="E15" s="109">
        <f ca="1">OFFSET('Cash Flow'!$C$74,1, ROW()-2)</f>
        <v>2676.9800000000005</v>
      </c>
      <c r="G15" s="1">
        <f t="shared" si="3"/>
        <v>44286</v>
      </c>
      <c r="H15" s="111">
        <f t="shared" ca="1" si="4"/>
        <v>2676.9800000000005</v>
      </c>
      <c r="I15" s="111">
        <f t="shared" ca="1" si="5"/>
        <v>485.0300000000002</v>
      </c>
      <c r="J15" s="111">
        <f t="shared" ca="1" si="1"/>
        <v>0</v>
      </c>
      <c r="K15" s="111">
        <f t="shared" ca="1" si="2"/>
        <v>-485.0300000000002</v>
      </c>
    </row>
    <row r="16" spans="1:11" x14ac:dyDescent="0.2">
      <c r="A16" s="2">
        <v>4</v>
      </c>
      <c r="B16" s="2">
        <v>2</v>
      </c>
      <c r="C16" s="110">
        <f t="shared" si="0"/>
        <v>44288</v>
      </c>
      <c r="D16" s="109">
        <f ca="1">OFFSET('Cash Flow'!$C$74,0, ROW()-2)</f>
        <v>-400</v>
      </c>
      <c r="E16" s="109">
        <f ca="1">OFFSET('Cash Flow'!$C$74,1, ROW()-2)</f>
        <v>2276.9800000000005</v>
      </c>
      <c r="G16" s="1">
        <f t="shared" si="3"/>
        <v>44288</v>
      </c>
      <c r="H16" s="111">
        <f t="shared" ca="1" si="4"/>
        <v>2276.9800000000005</v>
      </c>
      <c r="I16" s="111">
        <f t="shared" ca="1" si="5"/>
        <v>400</v>
      </c>
      <c r="J16" s="111">
        <f t="shared" ca="1" si="1"/>
        <v>0</v>
      </c>
      <c r="K16" s="111">
        <f t="shared" ca="1" si="2"/>
        <v>-400</v>
      </c>
    </row>
    <row r="17" spans="1:11" x14ac:dyDescent="0.2">
      <c r="A17" s="2">
        <v>4</v>
      </c>
      <c r="B17" s="2">
        <v>9</v>
      </c>
      <c r="C17" s="110">
        <f t="shared" si="0"/>
        <v>44295</v>
      </c>
      <c r="D17" s="109">
        <f ca="1">OFFSET('Cash Flow'!$C$74,0, ROW()-2)</f>
        <v>792.8</v>
      </c>
      <c r="E17" s="109">
        <f ca="1">OFFSET('Cash Flow'!$C$74,1, ROW()-2)</f>
        <v>3069.7800000000007</v>
      </c>
      <c r="G17" s="1">
        <f t="shared" si="3"/>
        <v>44295</v>
      </c>
      <c r="H17" s="111">
        <f t="shared" ca="1" si="4"/>
        <v>2276.9800000000005</v>
      </c>
      <c r="I17" s="111">
        <f t="shared" ca="1" si="5"/>
        <v>0</v>
      </c>
      <c r="J17" s="111">
        <f t="shared" ca="1" si="1"/>
        <v>792.80000000000018</v>
      </c>
      <c r="K17" s="111">
        <f t="shared" ca="1" si="2"/>
        <v>792.80000000000018</v>
      </c>
    </row>
    <row r="18" spans="1:11" x14ac:dyDescent="0.2">
      <c r="A18" s="2">
        <v>4</v>
      </c>
      <c r="B18" s="2">
        <v>16</v>
      </c>
      <c r="C18" s="110">
        <f t="shared" si="0"/>
        <v>44302</v>
      </c>
      <c r="D18" s="109">
        <f ca="1">OFFSET('Cash Flow'!$C$74,0, ROW()-2)</f>
        <v>-488.52</v>
      </c>
      <c r="E18" s="109">
        <f ca="1">OFFSET('Cash Flow'!$C$74,1, ROW()-2)</f>
        <v>2581.2600000000007</v>
      </c>
      <c r="G18" s="1">
        <f t="shared" si="3"/>
        <v>44302</v>
      </c>
      <c r="H18" s="111">
        <f t="shared" ca="1" si="4"/>
        <v>2581.2600000000007</v>
      </c>
      <c r="I18" s="111">
        <f t="shared" ca="1" si="5"/>
        <v>488.52</v>
      </c>
      <c r="J18" s="111">
        <f t="shared" ca="1" si="1"/>
        <v>0</v>
      </c>
      <c r="K18" s="111">
        <f t="shared" ca="1" si="2"/>
        <v>-488.52</v>
      </c>
    </row>
    <row r="19" spans="1:11" x14ac:dyDescent="0.2">
      <c r="A19" s="2">
        <v>4</v>
      </c>
      <c r="B19" s="2">
        <v>23</v>
      </c>
      <c r="C19" s="110">
        <f t="shared" si="0"/>
        <v>44309</v>
      </c>
      <c r="D19" s="109">
        <f ca="1">OFFSET('Cash Flow'!$C$74,0, ROW()-2)</f>
        <v>732.91</v>
      </c>
      <c r="E19" s="109">
        <f ca="1">OFFSET('Cash Flow'!$C$74,1, ROW()-2)</f>
        <v>3314.1700000000005</v>
      </c>
      <c r="G19" s="1">
        <f t="shared" si="3"/>
        <v>44309</v>
      </c>
      <c r="H19" s="111">
        <f t="shared" ca="1" si="4"/>
        <v>2581.2600000000007</v>
      </c>
      <c r="I19" s="111">
        <f t="shared" ca="1" si="5"/>
        <v>0</v>
      </c>
      <c r="J19" s="111">
        <f t="shared" ca="1" si="1"/>
        <v>732.90999999999985</v>
      </c>
      <c r="K19" s="111">
        <f t="shared" ca="1" si="2"/>
        <v>732.90999999999985</v>
      </c>
    </row>
    <row r="20" spans="1:11" x14ac:dyDescent="0.2">
      <c r="A20" s="2">
        <v>4</v>
      </c>
      <c r="B20" s="2">
        <v>30</v>
      </c>
      <c r="C20" s="110">
        <f t="shared" si="0"/>
        <v>44316</v>
      </c>
      <c r="D20" s="109">
        <f ca="1">OFFSET('Cash Flow'!$C$74,0, ROW()-2)</f>
        <v>-50</v>
      </c>
      <c r="E20" s="109">
        <f ca="1">OFFSET('Cash Flow'!$C$74,1, ROW()-2)</f>
        <v>3264.1700000000005</v>
      </c>
      <c r="G20" s="1">
        <f t="shared" si="3"/>
        <v>44316</v>
      </c>
      <c r="H20" s="111">
        <f t="shared" ca="1" si="4"/>
        <v>3264.1700000000005</v>
      </c>
      <c r="I20" s="111">
        <f t="shared" ca="1" si="5"/>
        <v>50</v>
      </c>
      <c r="J20" s="111">
        <f t="shared" ca="1" si="1"/>
        <v>0</v>
      </c>
      <c r="K20" s="111">
        <f t="shared" ca="1" si="2"/>
        <v>-50</v>
      </c>
    </row>
    <row r="21" spans="1:11" x14ac:dyDescent="0.2">
      <c r="A21" s="2">
        <v>5</v>
      </c>
      <c r="B21" s="2">
        <v>7</v>
      </c>
      <c r="C21" s="110">
        <f t="shared" si="0"/>
        <v>44323</v>
      </c>
      <c r="D21" s="109">
        <f ca="1">OFFSET('Cash Flow'!$C$74,0, ROW()-2)</f>
        <v>124.33000000000004</v>
      </c>
      <c r="E21" s="109">
        <f ca="1">OFFSET('Cash Flow'!$C$74,1, ROW()-2)</f>
        <v>3388.5000000000005</v>
      </c>
      <c r="G21" s="1">
        <f t="shared" si="3"/>
        <v>44323</v>
      </c>
      <c r="H21" s="111">
        <f t="shared" ca="1" si="4"/>
        <v>3264.1700000000005</v>
      </c>
      <c r="I21" s="111">
        <f t="shared" ca="1" si="5"/>
        <v>0</v>
      </c>
      <c r="J21" s="111">
        <f t="shared" ca="1" si="1"/>
        <v>124.32999999999993</v>
      </c>
      <c r="K21" s="111">
        <f t="shared" ca="1" si="2"/>
        <v>124.32999999999993</v>
      </c>
    </row>
    <row r="22" spans="1:11" x14ac:dyDescent="0.2">
      <c r="A22" s="2">
        <v>5</v>
      </c>
      <c r="B22" s="2">
        <v>14</v>
      </c>
      <c r="C22" s="110">
        <f t="shared" si="0"/>
        <v>44330</v>
      </c>
      <c r="D22" s="109">
        <f ca="1">OFFSET('Cash Flow'!$C$74,0, ROW()-2)</f>
        <v>-50.319999999999993</v>
      </c>
      <c r="E22" s="109">
        <f ca="1">OFFSET('Cash Flow'!$C$74,1, ROW()-2)</f>
        <v>3338.1800000000003</v>
      </c>
      <c r="G22" s="1">
        <f t="shared" si="3"/>
        <v>44330</v>
      </c>
      <c r="H22" s="111">
        <f t="shared" ca="1" si="4"/>
        <v>3338.1800000000003</v>
      </c>
      <c r="I22" s="111">
        <f t="shared" ca="1" si="5"/>
        <v>50.320000000000164</v>
      </c>
      <c r="J22" s="111">
        <f t="shared" ca="1" si="1"/>
        <v>0</v>
      </c>
      <c r="K22" s="111">
        <f t="shared" ca="1" si="2"/>
        <v>-50.320000000000164</v>
      </c>
    </row>
    <row r="23" spans="1:11" x14ac:dyDescent="0.2">
      <c r="A23" s="2">
        <v>5</v>
      </c>
      <c r="B23" s="2">
        <v>21</v>
      </c>
      <c r="C23" s="110">
        <f t="shared" si="0"/>
        <v>44337</v>
      </c>
      <c r="D23" s="109">
        <f ca="1">OFFSET('Cash Flow'!$C$74,0, ROW()-2)</f>
        <v>697.98</v>
      </c>
      <c r="E23" s="109">
        <f ca="1">OFFSET('Cash Flow'!$C$74,1, ROW()-2)</f>
        <v>4036.1600000000003</v>
      </c>
      <c r="G23" s="1">
        <f t="shared" si="3"/>
        <v>44337</v>
      </c>
      <c r="H23" s="111">
        <f t="shared" ca="1" si="4"/>
        <v>3338.1800000000003</v>
      </c>
      <c r="I23" s="111">
        <f t="shared" ca="1" si="5"/>
        <v>0</v>
      </c>
      <c r="J23" s="111">
        <f t="shared" ca="1" si="1"/>
        <v>697.98</v>
      </c>
      <c r="K23" s="111">
        <f t="shared" ca="1" si="2"/>
        <v>697.98</v>
      </c>
    </row>
    <row r="24" spans="1:11" x14ac:dyDescent="0.2">
      <c r="A24" s="2">
        <v>5</v>
      </c>
      <c r="B24" s="2">
        <v>28</v>
      </c>
      <c r="C24" s="110">
        <f t="shared" si="0"/>
        <v>44344</v>
      </c>
      <c r="D24" s="109">
        <f ca="1">OFFSET('Cash Flow'!$C$74,0, ROW()-2)</f>
        <v>-1171.96</v>
      </c>
      <c r="E24" s="109">
        <f ca="1">OFFSET('Cash Flow'!$C$74,1, ROW()-2)</f>
        <v>2864.2000000000003</v>
      </c>
      <c r="G24" s="1">
        <f t="shared" si="3"/>
        <v>44344</v>
      </c>
      <c r="H24" s="111">
        <f t="shared" ca="1" si="4"/>
        <v>2864.2000000000003</v>
      </c>
      <c r="I24" s="111">
        <f t="shared" ca="1" si="5"/>
        <v>1171.96</v>
      </c>
      <c r="J24" s="111">
        <f t="shared" ca="1" si="1"/>
        <v>0</v>
      </c>
      <c r="K24" s="111">
        <f t="shared" ca="1" si="2"/>
        <v>-1171.96</v>
      </c>
    </row>
    <row r="25" spans="1:11" x14ac:dyDescent="0.2">
      <c r="A25" s="2">
        <v>5</v>
      </c>
      <c r="B25" s="2">
        <v>31</v>
      </c>
      <c r="C25" s="110">
        <f t="shared" si="0"/>
        <v>44347</v>
      </c>
      <c r="D25" s="109">
        <f ca="1">OFFSET('Cash Flow'!$C$74,0, ROW()-2)</f>
        <v>0</v>
      </c>
      <c r="E25" s="109">
        <f ca="1">OFFSET('Cash Flow'!$C$74,1, ROW()-2)</f>
        <v>2864.2000000000003</v>
      </c>
      <c r="G25" s="1">
        <f t="shared" si="3"/>
        <v>44347</v>
      </c>
      <c r="H25" s="111">
        <f t="shared" ca="1" si="4"/>
        <v>2864.2000000000003</v>
      </c>
      <c r="I25" s="111">
        <f t="shared" ca="1" si="5"/>
        <v>0</v>
      </c>
      <c r="J25" s="111">
        <f t="shared" ca="1" si="1"/>
        <v>0</v>
      </c>
      <c r="K25" s="111">
        <f t="shared" ca="1" si="2"/>
        <v>0</v>
      </c>
    </row>
    <row r="26" spans="1:11" x14ac:dyDescent="0.2">
      <c r="A26" s="2">
        <v>6</v>
      </c>
      <c r="B26" s="2">
        <v>4</v>
      </c>
      <c r="C26" s="110">
        <f t="shared" si="0"/>
        <v>44351</v>
      </c>
      <c r="D26" s="109">
        <f ca="1">OFFSET('Cash Flow'!$C$74,0, ROW()-2)</f>
        <v>514.85000000000014</v>
      </c>
      <c r="E26" s="109">
        <f ca="1">OFFSET('Cash Flow'!$C$74,1, ROW()-2)</f>
        <v>3379.05</v>
      </c>
      <c r="G26" s="1">
        <f t="shared" si="3"/>
        <v>44351</v>
      </c>
      <c r="H26" s="111">
        <f t="shared" ca="1" si="4"/>
        <v>2864.2000000000003</v>
      </c>
      <c r="I26" s="111">
        <f t="shared" ca="1" si="5"/>
        <v>0</v>
      </c>
      <c r="J26" s="111">
        <f t="shared" ca="1" si="1"/>
        <v>514.84999999999991</v>
      </c>
      <c r="K26" s="111">
        <f t="shared" ca="1" si="2"/>
        <v>514.84999999999991</v>
      </c>
    </row>
    <row r="27" spans="1:11" x14ac:dyDescent="0.2">
      <c r="A27" s="2">
        <v>6</v>
      </c>
      <c r="B27" s="2">
        <v>11</v>
      </c>
      <c r="C27" s="110">
        <f t="shared" si="0"/>
        <v>44358</v>
      </c>
      <c r="D27" s="109">
        <f ca="1">OFFSET('Cash Flow'!$C$74,0, ROW()-2)</f>
        <v>-592.83999999999992</v>
      </c>
      <c r="E27" s="109">
        <f ca="1">OFFSET('Cash Flow'!$C$74,1, ROW()-2)</f>
        <v>2786.21</v>
      </c>
      <c r="G27" s="1">
        <f t="shared" si="3"/>
        <v>44358</v>
      </c>
      <c r="H27" s="111">
        <f t="shared" ca="1" si="4"/>
        <v>2786.21</v>
      </c>
      <c r="I27" s="111">
        <f t="shared" ca="1" si="5"/>
        <v>592.84000000000015</v>
      </c>
      <c r="J27" s="111">
        <f t="shared" ca="1" si="1"/>
        <v>0</v>
      </c>
      <c r="K27" s="111">
        <f t="shared" ca="1" si="2"/>
        <v>-592.84000000000015</v>
      </c>
    </row>
    <row r="28" spans="1:11" x14ac:dyDescent="0.2">
      <c r="A28" s="2">
        <v>6</v>
      </c>
      <c r="B28" s="2">
        <v>18</v>
      </c>
      <c r="C28" s="110">
        <f t="shared" si="0"/>
        <v>44365</v>
      </c>
      <c r="D28" s="109">
        <f ca="1">OFFSET('Cash Flow'!$C$74,0, ROW()-2)</f>
        <v>8850.08</v>
      </c>
      <c r="E28" s="109">
        <f ca="1">OFFSET('Cash Flow'!$C$74,1, ROW()-2)</f>
        <v>11636.29</v>
      </c>
      <c r="G28" s="1">
        <f t="shared" si="3"/>
        <v>44365</v>
      </c>
      <c r="H28" s="111">
        <f t="shared" ca="1" si="4"/>
        <v>2786.21</v>
      </c>
      <c r="I28" s="111">
        <f t="shared" ca="1" si="5"/>
        <v>0</v>
      </c>
      <c r="J28" s="111">
        <f t="shared" ca="1" si="1"/>
        <v>8850.0800000000017</v>
      </c>
      <c r="K28" s="111">
        <f t="shared" ca="1" si="2"/>
        <v>8850.0800000000017</v>
      </c>
    </row>
    <row r="29" spans="1:11" x14ac:dyDescent="0.2">
      <c r="A29" s="2">
        <v>6</v>
      </c>
      <c r="B29" s="2">
        <v>25</v>
      </c>
      <c r="C29" s="110">
        <f t="shared" si="0"/>
        <v>44372</v>
      </c>
      <c r="D29" s="109">
        <f ca="1">OFFSET('Cash Flow'!$C$74,0, ROW()-2)</f>
        <v>-5102.6099999999997</v>
      </c>
      <c r="E29" s="109">
        <f ca="1">OFFSET('Cash Flow'!$C$74,1, ROW()-2)</f>
        <v>6533.6800000000012</v>
      </c>
      <c r="G29" s="1">
        <f t="shared" si="3"/>
        <v>44372</v>
      </c>
      <c r="H29" s="111">
        <f t="shared" ca="1" si="4"/>
        <v>6533.6800000000012</v>
      </c>
      <c r="I29" s="111">
        <f t="shared" ca="1" si="5"/>
        <v>5102.6099999999997</v>
      </c>
      <c r="J29" s="111">
        <f t="shared" ca="1" si="1"/>
        <v>0</v>
      </c>
      <c r="K29" s="111">
        <f t="shared" ca="1" si="2"/>
        <v>-5102.6099999999997</v>
      </c>
    </row>
    <row r="30" spans="1:11" x14ac:dyDescent="0.2">
      <c r="A30" s="2">
        <v>6</v>
      </c>
      <c r="B30" s="2">
        <v>30</v>
      </c>
      <c r="C30" s="110">
        <f t="shared" si="0"/>
        <v>44377</v>
      </c>
      <c r="D30" s="109">
        <f ca="1">OFFSET('Cash Flow'!$C$74,0, ROW()-2)</f>
        <v>-1804.34</v>
      </c>
      <c r="E30" s="109">
        <f ca="1">OFFSET('Cash Flow'!$C$74,1, ROW()-2)</f>
        <v>4729.3400000000011</v>
      </c>
      <c r="G30" s="1">
        <f t="shared" si="3"/>
        <v>44377</v>
      </c>
      <c r="H30" s="111">
        <f t="shared" ca="1" si="4"/>
        <v>4729.3400000000011</v>
      </c>
      <c r="I30" s="111">
        <f t="shared" ca="1" si="5"/>
        <v>1804.3400000000001</v>
      </c>
      <c r="J30" s="111">
        <f t="shared" ca="1" si="1"/>
        <v>0</v>
      </c>
      <c r="K30" s="111">
        <f t="shared" ca="1" si="2"/>
        <v>-1804.3400000000001</v>
      </c>
    </row>
    <row r="31" spans="1:11" x14ac:dyDescent="0.2">
      <c r="A31" s="2">
        <v>7</v>
      </c>
      <c r="B31" s="2">
        <v>2</v>
      </c>
      <c r="C31" s="110">
        <f t="shared" si="0"/>
        <v>44379</v>
      </c>
      <c r="D31" s="109">
        <f ca="1">OFFSET('Cash Flow'!$C$74,0, ROW()-2)</f>
        <v>711.65999999999985</v>
      </c>
      <c r="E31" s="109">
        <f ca="1">OFFSET('Cash Flow'!$C$74,1, ROW()-2)</f>
        <v>5441.0000000000009</v>
      </c>
      <c r="G31" s="1">
        <f t="shared" si="3"/>
        <v>44379</v>
      </c>
      <c r="H31" s="111">
        <f t="shared" ca="1" si="4"/>
        <v>4729.3400000000011</v>
      </c>
      <c r="I31" s="111">
        <f t="shared" ca="1" si="5"/>
        <v>0</v>
      </c>
      <c r="J31" s="111">
        <f t="shared" ca="1" si="1"/>
        <v>711.65999999999985</v>
      </c>
      <c r="K31" s="111">
        <f t="shared" ca="1" si="2"/>
        <v>711.65999999999985</v>
      </c>
    </row>
    <row r="32" spans="1:11" x14ac:dyDescent="0.2">
      <c r="A32" s="2">
        <v>7</v>
      </c>
      <c r="B32" s="2">
        <v>9</v>
      </c>
      <c r="C32" s="110">
        <f t="shared" si="0"/>
        <v>44386</v>
      </c>
      <c r="D32" s="109">
        <f ca="1">OFFSET('Cash Flow'!$C$74,0, ROW()-2)</f>
        <v>-1587.35</v>
      </c>
      <c r="E32" s="109">
        <f ca="1">OFFSET('Cash Flow'!$C$74,1, ROW()-2)</f>
        <v>3853.650000000001</v>
      </c>
      <c r="G32" s="1">
        <f t="shared" ref="G32:G40" si="6">C32</f>
        <v>44386</v>
      </c>
      <c r="H32" s="111">
        <f t="shared" ref="H32:H34" ca="1" si="7">H31+J31-I32</f>
        <v>3853.650000000001</v>
      </c>
      <c r="I32" s="111">
        <f t="shared" ref="I32:I34" ca="1" si="8">MIN(K32,0)*-1</f>
        <v>1587.35</v>
      </c>
      <c r="J32" s="111">
        <f t="shared" ref="J32:J34" ca="1" si="9">MAX(K32,0)</f>
        <v>0</v>
      </c>
      <c r="K32" s="111">
        <f t="shared" ref="K32:K45" ca="1" si="10">E32-E31</f>
        <v>-1587.35</v>
      </c>
    </row>
    <row r="33" spans="1:11" x14ac:dyDescent="0.2">
      <c r="A33" s="2">
        <v>7</v>
      </c>
      <c r="B33" s="2">
        <v>16</v>
      </c>
      <c r="C33" s="110">
        <f t="shared" si="0"/>
        <v>44393</v>
      </c>
      <c r="D33" s="109">
        <f ca="1">OFFSET('Cash Flow'!$C$74,0, ROW()-2)</f>
        <v>-14.850000000000136</v>
      </c>
      <c r="E33" s="109">
        <f ca="1">OFFSET('Cash Flow'!$C$74,1, ROW()-2)</f>
        <v>3838.8000000000011</v>
      </c>
      <c r="G33" s="1">
        <f t="shared" si="6"/>
        <v>44393</v>
      </c>
      <c r="H33" s="111">
        <f t="shared" ca="1" si="7"/>
        <v>3838.8000000000011</v>
      </c>
      <c r="I33" s="111">
        <f t="shared" ca="1" si="8"/>
        <v>14.849999999999909</v>
      </c>
      <c r="J33" s="111">
        <f t="shared" ca="1" si="9"/>
        <v>0</v>
      </c>
      <c r="K33" s="111">
        <f t="shared" ca="1" si="10"/>
        <v>-14.849999999999909</v>
      </c>
    </row>
    <row r="34" spans="1:11" x14ac:dyDescent="0.2">
      <c r="A34" s="2">
        <v>7</v>
      </c>
      <c r="B34" s="2">
        <v>23</v>
      </c>
      <c r="C34" s="110">
        <f t="shared" si="0"/>
        <v>44400</v>
      </c>
      <c r="D34" s="109">
        <f ca="1">OFFSET('Cash Flow'!$C$74,0, ROW()-2)</f>
        <v>-2356.8200000000002</v>
      </c>
      <c r="E34" s="109">
        <f ca="1">OFFSET('Cash Flow'!$C$74,1, ROW()-2)</f>
        <v>1481.9800000000009</v>
      </c>
      <c r="G34" s="1">
        <f t="shared" si="6"/>
        <v>44400</v>
      </c>
      <c r="H34" s="111">
        <f t="shared" ca="1" si="7"/>
        <v>1481.9800000000009</v>
      </c>
      <c r="I34" s="111">
        <f t="shared" ca="1" si="8"/>
        <v>2356.8200000000002</v>
      </c>
      <c r="J34" s="111">
        <f t="shared" ca="1" si="9"/>
        <v>0</v>
      </c>
      <c r="K34" s="111">
        <f t="shared" ca="1" si="10"/>
        <v>-2356.8200000000002</v>
      </c>
    </row>
    <row r="35" spans="1:11" x14ac:dyDescent="0.2">
      <c r="A35" s="2">
        <v>7</v>
      </c>
      <c r="B35" s="2">
        <v>30</v>
      </c>
      <c r="C35" s="110">
        <f t="shared" si="0"/>
        <v>44407</v>
      </c>
      <c r="D35" s="109">
        <f ca="1">OFFSET('Cash Flow'!$C$74,0, ROW()-2)</f>
        <v>1925.68</v>
      </c>
      <c r="E35" s="109">
        <f ca="1">OFFSET('Cash Flow'!$C$74,1, ROW()-2)</f>
        <v>3407.6600000000008</v>
      </c>
      <c r="G35" s="1">
        <f t="shared" si="6"/>
        <v>44407</v>
      </c>
      <c r="H35" s="111">
        <f t="shared" ref="H35:H38" ca="1" si="11">H34+J34-I35</f>
        <v>1481.9800000000009</v>
      </c>
      <c r="I35" s="111">
        <f t="shared" ref="I35:I38" ca="1" si="12">MIN(K35,0)*-1</f>
        <v>0</v>
      </c>
      <c r="J35" s="111">
        <f t="shared" ref="J35:J38" ca="1" si="13">MAX(K35,0)</f>
        <v>1925.6799999999998</v>
      </c>
      <c r="K35" s="111">
        <f t="shared" ca="1" si="10"/>
        <v>1925.6799999999998</v>
      </c>
    </row>
    <row r="36" spans="1:11" x14ac:dyDescent="0.2">
      <c r="A36" s="2">
        <v>8</v>
      </c>
      <c r="B36" s="2">
        <v>6</v>
      </c>
      <c r="C36" s="110">
        <f t="shared" si="0"/>
        <v>44414</v>
      </c>
      <c r="D36" s="109">
        <f ca="1">OFFSET('Cash Flow'!$C$74,0, ROW()-2)</f>
        <v>-1403.17</v>
      </c>
      <c r="E36" s="109">
        <f ca="1">OFFSET('Cash Flow'!$C$74,1, ROW()-2)</f>
        <v>2004.4900000000007</v>
      </c>
      <c r="G36" s="1">
        <f t="shared" si="6"/>
        <v>44414</v>
      </c>
      <c r="H36" s="111">
        <f t="shared" ca="1" si="11"/>
        <v>2004.4900000000007</v>
      </c>
      <c r="I36" s="111">
        <f t="shared" ca="1" si="12"/>
        <v>1403.17</v>
      </c>
      <c r="J36" s="111">
        <f t="shared" ca="1" si="13"/>
        <v>0</v>
      </c>
      <c r="K36" s="111">
        <f t="shared" ca="1" si="10"/>
        <v>-1403.17</v>
      </c>
    </row>
    <row r="37" spans="1:11" x14ac:dyDescent="0.2">
      <c r="A37" s="2">
        <v>8</v>
      </c>
      <c r="B37" s="2">
        <v>13</v>
      </c>
      <c r="C37" s="110">
        <f t="shared" si="0"/>
        <v>44421</v>
      </c>
      <c r="D37" s="109">
        <f ca="1">OFFSET('Cash Flow'!$C$74,0, ROW()-2)</f>
        <v>1958.65</v>
      </c>
      <c r="E37" s="109">
        <f ca="1">OFFSET('Cash Flow'!$C$74,1, ROW()-2)</f>
        <v>3963.1400000000008</v>
      </c>
      <c r="G37" s="1">
        <f t="shared" si="6"/>
        <v>44421</v>
      </c>
      <c r="H37" s="111">
        <f t="shared" ca="1" si="11"/>
        <v>2004.4900000000007</v>
      </c>
      <c r="I37" s="111">
        <f t="shared" ca="1" si="12"/>
        <v>0</v>
      </c>
      <c r="J37" s="111">
        <f t="shared" ca="1" si="13"/>
        <v>1958.65</v>
      </c>
      <c r="K37" s="111">
        <f t="shared" ca="1" si="10"/>
        <v>1958.65</v>
      </c>
    </row>
    <row r="38" spans="1:11" x14ac:dyDescent="0.2">
      <c r="A38" s="2">
        <v>8</v>
      </c>
      <c r="B38" s="2">
        <v>20</v>
      </c>
      <c r="C38" s="110">
        <f t="shared" si="0"/>
        <v>44428</v>
      </c>
      <c r="D38" s="109">
        <f ca="1">OFFSET('Cash Flow'!$C$74,0, ROW()-2)</f>
        <v>-356.17</v>
      </c>
      <c r="E38" s="109">
        <f ca="1">OFFSET('Cash Flow'!$C$74,1, ROW()-2)</f>
        <v>3606.9700000000007</v>
      </c>
      <c r="G38" s="1">
        <f t="shared" si="6"/>
        <v>44428</v>
      </c>
      <c r="H38" s="111">
        <f t="shared" ca="1" si="11"/>
        <v>3606.9700000000007</v>
      </c>
      <c r="I38" s="111">
        <f t="shared" ca="1" si="12"/>
        <v>356.17000000000007</v>
      </c>
      <c r="J38" s="111">
        <f t="shared" ca="1" si="13"/>
        <v>0</v>
      </c>
      <c r="K38" s="111">
        <f t="shared" ca="1" si="10"/>
        <v>-356.17000000000007</v>
      </c>
    </row>
    <row r="39" spans="1:11" x14ac:dyDescent="0.2">
      <c r="A39" s="2">
        <v>8</v>
      </c>
      <c r="B39" s="2">
        <v>27</v>
      </c>
      <c r="C39" s="110">
        <f t="shared" si="0"/>
        <v>44435</v>
      </c>
      <c r="D39" s="109">
        <f ca="1">OFFSET('Cash Flow'!$C$74,0, ROW()-2)</f>
        <v>-576.47</v>
      </c>
      <c r="E39" s="109">
        <f ca="1">OFFSET('Cash Flow'!$C$74,1, ROW()-2)</f>
        <v>3030.5000000000009</v>
      </c>
      <c r="G39" s="1">
        <f t="shared" si="6"/>
        <v>44435</v>
      </c>
      <c r="H39" s="111">
        <f t="shared" ref="H39:H40" ca="1" si="14">H38+J38-I39</f>
        <v>3030.5000000000009</v>
      </c>
      <c r="I39" s="111">
        <f t="shared" ref="I39:I40" ca="1" si="15">MIN(K39,0)*-1</f>
        <v>576.4699999999998</v>
      </c>
      <c r="J39" s="111">
        <f t="shared" ref="J39:J40" ca="1" si="16">MAX(K39,0)</f>
        <v>0</v>
      </c>
      <c r="K39" s="111">
        <f t="shared" ca="1" si="10"/>
        <v>-576.4699999999998</v>
      </c>
    </row>
    <row r="40" spans="1:11" x14ac:dyDescent="0.2">
      <c r="A40" s="2">
        <v>8</v>
      </c>
      <c r="B40" s="2">
        <v>31</v>
      </c>
      <c r="C40" s="110">
        <f t="shared" si="0"/>
        <v>44439</v>
      </c>
      <c r="D40" s="109">
        <f ca="1">OFFSET('Cash Flow'!$C$74,0, ROW()-2)</f>
        <v>0</v>
      </c>
      <c r="E40" s="109">
        <f ca="1">OFFSET('Cash Flow'!$C$74,1, ROW()-2)</f>
        <v>3030.5000000000009</v>
      </c>
      <c r="G40" s="1">
        <f t="shared" si="6"/>
        <v>44439</v>
      </c>
      <c r="H40" s="111">
        <f t="shared" ca="1" si="14"/>
        <v>3030.5000000000009</v>
      </c>
      <c r="I40" s="111">
        <f t="shared" ca="1" si="15"/>
        <v>0</v>
      </c>
      <c r="J40" s="111">
        <f t="shared" ca="1" si="16"/>
        <v>0</v>
      </c>
      <c r="K40" s="111">
        <f t="shared" ca="1" si="10"/>
        <v>0</v>
      </c>
    </row>
    <row r="41" spans="1:11" x14ac:dyDescent="0.2">
      <c r="A41" s="2">
        <v>9</v>
      </c>
      <c r="B41" s="2">
        <v>3</v>
      </c>
      <c r="C41" s="110">
        <f t="shared" si="0"/>
        <v>44442</v>
      </c>
      <c r="D41" s="109">
        <f ca="1">OFFSET('Cash Flow'!$C$74,0, ROW()-2)</f>
        <v>-200</v>
      </c>
      <c r="E41" s="109">
        <f ca="1">OFFSET('Cash Flow'!$C$74,1, ROW()-2)</f>
        <v>2830.5000000000009</v>
      </c>
      <c r="G41" s="1">
        <f t="shared" ref="G41:G45" si="17">C41</f>
        <v>44442</v>
      </c>
      <c r="H41" s="111">
        <f t="shared" ref="H41:H45" ca="1" si="18">H40+J40-I41</f>
        <v>2830.5000000000009</v>
      </c>
      <c r="I41" s="111">
        <f t="shared" ref="I41:I45" ca="1" si="19">MIN(K41,0)*-1</f>
        <v>200</v>
      </c>
      <c r="J41" s="111">
        <f t="shared" ref="J41:J45" ca="1" si="20">MAX(K41,0)</f>
        <v>0</v>
      </c>
      <c r="K41" s="111">
        <f t="shared" ca="1" si="10"/>
        <v>-200</v>
      </c>
    </row>
    <row r="42" spans="1:11" x14ac:dyDescent="0.2">
      <c r="A42" s="2">
        <v>9</v>
      </c>
      <c r="B42" s="2">
        <v>10</v>
      </c>
      <c r="C42" s="110">
        <f t="shared" si="0"/>
        <v>44449</v>
      </c>
      <c r="D42" s="109">
        <f ca="1">OFFSET('Cash Flow'!$C$74,0, ROW()-2)</f>
        <v>311.30000000000018</v>
      </c>
      <c r="E42" s="109">
        <f ca="1">OFFSET('Cash Flow'!$C$74,1, ROW()-2)</f>
        <v>3141.8000000000011</v>
      </c>
      <c r="G42" s="1">
        <f t="shared" si="17"/>
        <v>44449</v>
      </c>
      <c r="H42" s="111">
        <f t="shared" ca="1" si="18"/>
        <v>2830.5000000000009</v>
      </c>
      <c r="I42" s="111">
        <f t="shared" ca="1" si="19"/>
        <v>0</v>
      </c>
      <c r="J42" s="111">
        <f t="shared" ca="1" si="20"/>
        <v>311.30000000000018</v>
      </c>
      <c r="K42" s="111">
        <f t="shared" ca="1" si="10"/>
        <v>311.30000000000018</v>
      </c>
    </row>
    <row r="43" spans="1:11" x14ac:dyDescent="0.2">
      <c r="A43" s="2">
        <v>9</v>
      </c>
      <c r="B43" s="2">
        <v>17</v>
      </c>
      <c r="C43" s="110">
        <f t="shared" si="0"/>
        <v>44456</v>
      </c>
      <c r="D43" s="109">
        <f ca="1">OFFSET('Cash Flow'!$C$74,0, ROW()-2)</f>
        <v>-336.22999999999996</v>
      </c>
      <c r="E43" s="109">
        <f ca="1">OFFSET('Cash Flow'!$C$74,1, ROW()-2)</f>
        <v>2805.5700000000011</v>
      </c>
      <c r="G43" s="1">
        <f t="shared" si="17"/>
        <v>44456</v>
      </c>
      <c r="H43" s="111">
        <f t="shared" ca="1" si="18"/>
        <v>2805.5700000000011</v>
      </c>
      <c r="I43" s="111">
        <f t="shared" ca="1" si="19"/>
        <v>336.23</v>
      </c>
      <c r="J43" s="111">
        <f t="shared" ca="1" si="20"/>
        <v>0</v>
      </c>
      <c r="K43" s="111">
        <f t="shared" ca="1" si="10"/>
        <v>-336.23</v>
      </c>
    </row>
    <row r="44" spans="1:11" x14ac:dyDescent="0.2">
      <c r="A44" s="2">
        <v>9</v>
      </c>
      <c r="B44" s="2">
        <v>24</v>
      </c>
      <c r="C44" s="110">
        <f t="shared" si="0"/>
        <v>44463</v>
      </c>
      <c r="D44" s="109">
        <f ca="1">OFFSET('Cash Flow'!$C$74,0, ROW()-2)</f>
        <v>748.86000000000013</v>
      </c>
      <c r="E44" s="109">
        <f ca="1">OFFSET('Cash Flow'!$C$74,1, ROW()-2)</f>
        <v>3554.4300000000012</v>
      </c>
      <c r="G44" s="1">
        <f t="shared" si="17"/>
        <v>44463</v>
      </c>
      <c r="H44" s="111">
        <f t="shared" ca="1" si="18"/>
        <v>2805.5700000000011</v>
      </c>
      <c r="I44" s="111">
        <f t="shared" ca="1" si="19"/>
        <v>0</v>
      </c>
      <c r="J44" s="111">
        <f t="shared" ca="1" si="20"/>
        <v>748.86000000000013</v>
      </c>
      <c r="K44" s="111">
        <f t="shared" ca="1" si="10"/>
        <v>748.86000000000013</v>
      </c>
    </row>
    <row r="45" spans="1:11" x14ac:dyDescent="0.2">
      <c r="A45" s="2">
        <v>9</v>
      </c>
      <c r="B45" s="2">
        <v>30</v>
      </c>
      <c r="C45" s="110">
        <f t="shared" si="0"/>
        <v>44469</v>
      </c>
      <c r="D45" s="109">
        <f ca="1">OFFSET('Cash Flow'!$C$74,0, ROW()-2)</f>
        <v>-662.20999999999958</v>
      </c>
      <c r="E45" s="109">
        <f ca="1">OFFSET('Cash Flow'!$C$74,1, ROW()-2)</f>
        <v>2892.2200000000016</v>
      </c>
      <c r="G45" s="1">
        <f t="shared" si="17"/>
        <v>44469</v>
      </c>
      <c r="H45" s="111">
        <f t="shared" ca="1" si="18"/>
        <v>2892.2200000000016</v>
      </c>
      <c r="I45" s="111">
        <f t="shared" ca="1" si="19"/>
        <v>662.20999999999958</v>
      </c>
      <c r="J45" s="111">
        <f t="shared" ca="1" si="20"/>
        <v>0</v>
      </c>
      <c r="K45" s="111">
        <f t="shared" ca="1" si="10"/>
        <v>-662.20999999999958</v>
      </c>
    </row>
    <row r="46" spans="1:11" x14ac:dyDescent="0.2">
      <c r="A46" s="2">
        <v>10</v>
      </c>
      <c r="B46" s="2">
        <v>1</v>
      </c>
      <c r="C46" s="110">
        <f t="shared" si="0"/>
        <v>44470</v>
      </c>
      <c r="D46" s="109">
        <f ca="1">OFFSET('Cash Flow'!$C$74,0, ROW()-2)</f>
        <v>-1866.67</v>
      </c>
      <c r="E46" s="109">
        <f ca="1">OFFSET('Cash Flow'!$C$74,1, ROW()-2)</f>
        <v>1025.5500000000015</v>
      </c>
      <c r="G46" s="1">
        <f t="shared" ref="G46:G52" si="21">C46</f>
        <v>44470</v>
      </c>
      <c r="H46" s="111">
        <f t="shared" ref="H46:H51" ca="1" si="22">H45+J45-I46</f>
        <v>1025.5500000000015</v>
      </c>
      <c r="I46" s="111">
        <f t="shared" ref="I46:I51" ca="1" si="23">MIN(K46,0)*-1</f>
        <v>1866.67</v>
      </c>
      <c r="J46" s="111">
        <f t="shared" ref="J46:J51" ca="1" si="24">MAX(K46,0)</f>
        <v>0</v>
      </c>
      <c r="K46" s="111">
        <f t="shared" ref="K46:K51" ca="1" si="25">E46-E45</f>
        <v>-1866.67</v>
      </c>
    </row>
    <row r="47" spans="1:11" x14ac:dyDescent="0.2">
      <c r="A47" s="2">
        <v>10</v>
      </c>
      <c r="B47" s="2">
        <v>8</v>
      </c>
      <c r="C47" s="110">
        <f t="shared" si="0"/>
        <v>44477</v>
      </c>
      <c r="D47" s="109">
        <f ca="1">OFFSET('Cash Flow'!$C$74,0, ROW()-2)</f>
        <v>2029.34</v>
      </c>
      <c r="E47" s="109">
        <f ca="1">OFFSET('Cash Flow'!$C$74,1, ROW()-2)</f>
        <v>3054.8900000000012</v>
      </c>
      <c r="G47" s="1">
        <f t="shared" si="21"/>
        <v>44477</v>
      </c>
      <c r="H47" s="111">
        <f t="shared" ca="1" si="22"/>
        <v>1025.5500000000015</v>
      </c>
      <c r="I47" s="111">
        <f t="shared" ca="1" si="23"/>
        <v>0</v>
      </c>
      <c r="J47" s="111">
        <f t="shared" ca="1" si="24"/>
        <v>2029.3399999999997</v>
      </c>
      <c r="K47" s="111">
        <f t="shared" ca="1" si="25"/>
        <v>2029.3399999999997</v>
      </c>
    </row>
    <row r="48" spans="1:11" x14ac:dyDescent="0.2">
      <c r="A48" s="2">
        <v>10</v>
      </c>
      <c r="B48" s="2">
        <v>15</v>
      </c>
      <c r="C48" s="110">
        <f t="shared" si="0"/>
        <v>44484</v>
      </c>
      <c r="D48" s="109">
        <f ca="1">OFFSET('Cash Flow'!$C$74,0, ROW()-2)</f>
        <v>836.88999999999987</v>
      </c>
      <c r="E48" s="109">
        <f ca="1">OFFSET('Cash Flow'!$C$74,1, ROW()-2)</f>
        <v>3891.7800000000011</v>
      </c>
      <c r="G48" s="1">
        <f t="shared" si="21"/>
        <v>44484</v>
      </c>
      <c r="H48" s="111">
        <f t="shared" ca="1" si="22"/>
        <v>3054.8900000000012</v>
      </c>
      <c r="I48" s="111">
        <f t="shared" ca="1" si="23"/>
        <v>0</v>
      </c>
      <c r="J48" s="111">
        <f t="shared" ca="1" si="24"/>
        <v>836.88999999999987</v>
      </c>
      <c r="K48" s="111">
        <f t="shared" ca="1" si="25"/>
        <v>836.88999999999987</v>
      </c>
    </row>
    <row r="49" spans="1:11" x14ac:dyDescent="0.2">
      <c r="A49" s="2">
        <v>10</v>
      </c>
      <c r="B49" s="2">
        <v>22</v>
      </c>
      <c r="C49" s="110">
        <f t="shared" si="0"/>
        <v>44491</v>
      </c>
      <c r="D49" s="109">
        <f ca="1">OFFSET('Cash Flow'!$C$74,0, ROW()-2)</f>
        <v>1358.67</v>
      </c>
      <c r="E49" s="109">
        <f ca="1">OFFSET('Cash Flow'!$C$74,1, ROW()-2)</f>
        <v>5250.4500000000007</v>
      </c>
      <c r="G49" s="1">
        <f t="shared" si="21"/>
        <v>44491</v>
      </c>
      <c r="H49" s="111">
        <f t="shared" ca="1" si="22"/>
        <v>3891.7800000000011</v>
      </c>
      <c r="I49" s="111">
        <f t="shared" ca="1" si="23"/>
        <v>0</v>
      </c>
      <c r="J49" s="111">
        <f t="shared" ca="1" si="24"/>
        <v>1358.6699999999996</v>
      </c>
      <c r="K49" s="111">
        <f t="shared" ca="1" si="25"/>
        <v>1358.6699999999996</v>
      </c>
    </row>
    <row r="50" spans="1:11" x14ac:dyDescent="0.2">
      <c r="A50" s="2">
        <v>10</v>
      </c>
      <c r="B50" s="2">
        <v>29</v>
      </c>
      <c r="C50" s="110">
        <f t="shared" si="0"/>
        <v>44498</v>
      </c>
      <c r="D50" s="109">
        <f ca="1">OFFSET('Cash Flow'!$C$74,0, ROW()-2)</f>
        <v>-53.38000000000001</v>
      </c>
      <c r="E50" s="109">
        <f ca="1">OFFSET('Cash Flow'!$C$74,1, ROW()-2)</f>
        <v>5197.0700000000006</v>
      </c>
      <c r="G50" s="1">
        <f t="shared" si="21"/>
        <v>44498</v>
      </c>
      <c r="H50" s="111">
        <f t="shared" ca="1" si="22"/>
        <v>5197.0700000000006</v>
      </c>
      <c r="I50" s="111">
        <f t="shared" ca="1" si="23"/>
        <v>53.380000000000109</v>
      </c>
      <c r="J50" s="111">
        <f t="shared" ca="1" si="24"/>
        <v>0</v>
      </c>
      <c r="K50" s="111">
        <f t="shared" ca="1" si="25"/>
        <v>-53.380000000000109</v>
      </c>
    </row>
    <row r="51" spans="1:11" x14ac:dyDescent="0.2">
      <c r="A51" s="2">
        <v>11</v>
      </c>
      <c r="B51" s="2">
        <v>5</v>
      </c>
      <c r="C51" s="110">
        <f t="shared" si="0"/>
        <v>44505</v>
      </c>
      <c r="D51" s="109">
        <f ca="1">OFFSET('Cash Flow'!$C$74,0, ROW()-2)</f>
        <v>-950.7</v>
      </c>
      <c r="E51" s="109">
        <f ca="1">OFFSET('Cash Flow'!$C$74,1, ROW()-2)</f>
        <v>4246.3700000000008</v>
      </c>
      <c r="G51" s="1">
        <f t="shared" si="21"/>
        <v>44505</v>
      </c>
      <c r="H51" s="111">
        <f t="shared" ca="1" si="22"/>
        <v>4246.3700000000008</v>
      </c>
      <c r="I51" s="111">
        <f t="shared" ca="1" si="23"/>
        <v>950.69999999999982</v>
      </c>
      <c r="J51" s="111">
        <f t="shared" ca="1" si="24"/>
        <v>0</v>
      </c>
      <c r="K51" s="111">
        <f t="shared" ca="1" si="25"/>
        <v>-950.69999999999982</v>
      </c>
    </row>
    <row r="52" spans="1:11" x14ac:dyDescent="0.2">
      <c r="A52" s="2">
        <v>11</v>
      </c>
      <c r="B52" s="2">
        <v>12</v>
      </c>
      <c r="C52" s="110">
        <f t="shared" si="0"/>
        <v>44512</v>
      </c>
      <c r="D52" s="109">
        <f ca="1">OFFSET('Cash Flow'!$C$74,0, ROW()-2)</f>
        <v>-1073.9000000000001</v>
      </c>
      <c r="E52" s="109">
        <f ca="1">OFFSET('Cash Flow'!$C$74,1, ROW()-2)</f>
        <v>3172.4700000000007</v>
      </c>
      <c r="G52" s="1">
        <f t="shared" si="21"/>
        <v>44512</v>
      </c>
      <c r="H52" s="111">
        <f t="shared" ref="H52" ca="1" si="26">H51+J51-I52</f>
        <v>3172.4700000000007</v>
      </c>
      <c r="I52" s="111">
        <f t="shared" ref="I52" ca="1" si="27">MIN(K52,0)*-1</f>
        <v>1073.9000000000001</v>
      </c>
      <c r="J52" s="111">
        <f t="shared" ref="J52" ca="1" si="28">MAX(K52,0)</f>
        <v>0</v>
      </c>
      <c r="K52" s="111">
        <f t="shared" ref="K52" ca="1" si="29">E52-E51</f>
        <v>-1073.9000000000001</v>
      </c>
    </row>
    <row r="53" spans="1:11" x14ac:dyDescent="0.2">
      <c r="A53" s="2">
        <v>11</v>
      </c>
      <c r="B53" s="2">
        <v>19</v>
      </c>
      <c r="C53" s="110">
        <f t="shared" si="0"/>
        <v>44519</v>
      </c>
      <c r="D53" s="109">
        <f ca="1">OFFSET('Cash Flow'!$C$74,0, ROW()-2)</f>
        <v>-300</v>
      </c>
      <c r="E53" s="109">
        <f ca="1">OFFSET('Cash Flow'!$C$74,1, ROW()-2)</f>
        <v>2872.4700000000007</v>
      </c>
      <c r="G53" t="s">
        <v>532</v>
      </c>
      <c r="H53" s="111">
        <f t="shared" ref="H53" ca="1" si="30">H52+J52-I53</f>
        <v>2872.4700000000007</v>
      </c>
      <c r="I53" s="111">
        <f t="shared" ref="I53" ca="1" si="31">MIN(K53,0)*-1</f>
        <v>300</v>
      </c>
      <c r="J53" s="111">
        <f t="shared" ref="J53" ca="1" si="32">MAX(K53,0)</f>
        <v>0</v>
      </c>
      <c r="K53" s="111">
        <f t="shared" ref="K53" ca="1" si="33">E53-E52</f>
        <v>-300</v>
      </c>
    </row>
    <row r="54" spans="1:11" x14ac:dyDescent="0.2">
      <c r="A54" s="2">
        <v>11</v>
      </c>
      <c r="B54" s="2">
        <v>26</v>
      </c>
      <c r="C54" s="110">
        <f t="shared" si="0"/>
        <v>44526</v>
      </c>
      <c r="D54" s="109">
        <f ca="1">OFFSET('Cash Flow'!$C$74,0, ROW()-2)</f>
        <v>0</v>
      </c>
      <c r="E54" s="109">
        <f ca="1">OFFSET('Cash Flow'!$C$74,1, ROW()-2)</f>
        <v>2872.4700000000007</v>
      </c>
    </row>
    <row r="55" spans="1:11" x14ac:dyDescent="0.2">
      <c r="A55" s="2">
        <v>11</v>
      </c>
      <c r="B55" s="2">
        <v>30</v>
      </c>
      <c r="C55" s="110">
        <f t="shared" si="0"/>
        <v>44530</v>
      </c>
      <c r="D55" s="109">
        <f ca="1">OFFSET('Cash Flow'!$C$74,0, ROW()-2)</f>
        <v>0</v>
      </c>
      <c r="E55" s="109">
        <f ca="1">OFFSET('Cash Flow'!$C$74,1, ROW()-2)</f>
        <v>2872.4700000000007</v>
      </c>
    </row>
    <row r="56" spans="1:11" x14ac:dyDescent="0.2">
      <c r="A56" s="2">
        <v>12</v>
      </c>
      <c r="B56" s="2">
        <v>3</v>
      </c>
      <c r="C56" s="110">
        <f t="shared" si="0"/>
        <v>44533</v>
      </c>
      <c r="D56" s="109">
        <f ca="1">OFFSET('Cash Flow'!$C$74,0, ROW()-2)</f>
        <v>0</v>
      </c>
      <c r="E56" s="109">
        <f ca="1">OFFSET('Cash Flow'!$C$74,1, ROW()-2)</f>
        <v>2872.4700000000007</v>
      </c>
    </row>
    <row r="57" spans="1:11" x14ac:dyDescent="0.2">
      <c r="A57" s="2">
        <v>12</v>
      </c>
      <c r="B57" s="2">
        <v>10</v>
      </c>
      <c r="C57" s="110">
        <f t="shared" si="0"/>
        <v>44540</v>
      </c>
      <c r="D57" s="109">
        <f ca="1">OFFSET('Cash Flow'!$C$74,0, ROW()-2)</f>
        <v>0</v>
      </c>
      <c r="E57" s="109">
        <f ca="1">OFFSET('Cash Flow'!$C$74,1, ROW()-2)</f>
        <v>2872.4700000000007</v>
      </c>
    </row>
    <row r="58" spans="1:11" x14ac:dyDescent="0.2">
      <c r="A58" s="2">
        <v>12</v>
      </c>
      <c r="B58" s="2">
        <v>17</v>
      </c>
      <c r="C58" s="110">
        <f t="shared" si="0"/>
        <v>44547</v>
      </c>
      <c r="D58" s="109">
        <f ca="1">OFFSET('Cash Flow'!$C$74,0, ROW()-2)</f>
        <v>0</v>
      </c>
      <c r="E58" s="109">
        <f ca="1">OFFSET('Cash Flow'!$C$74,1, ROW()-2)</f>
        <v>2872.4700000000007</v>
      </c>
    </row>
    <row r="59" spans="1:11" x14ac:dyDescent="0.2">
      <c r="A59" s="2">
        <v>12</v>
      </c>
      <c r="B59" s="2">
        <v>24</v>
      </c>
      <c r="C59" s="110">
        <f t="shared" si="0"/>
        <v>44554</v>
      </c>
      <c r="D59" s="109">
        <f ca="1">OFFSET('Cash Flow'!$C$74,0, ROW()-2)</f>
        <v>0</v>
      </c>
      <c r="E59" s="109">
        <f ca="1">OFFSET('Cash Flow'!$C$74,1, ROW()-2)</f>
        <v>2872.4700000000007</v>
      </c>
    </row>
    <row r="60" spans="1:11" x14ac:dyDescent="0.2">
      <c r="A60" s="2">
        <v>12</v>
      </c>
      <c r="B60" s="2">
        <v>31</v>
      </c>
      <c r="C60" s="110">
        <f t="shared" si="0"/>
        <v>44561</v>
      </c>
      <c r="D60" s="109">
        <f ca="1">OFFSET('Cash Flow'!$C$74,0, ROW()-2)</f>
        <v>0</v>
      </c>
      <c r="E60" s="109">
        <f ca="1">OFFSET('Cash Flow'!$C$74,1, ROW()-2)</f>
        <v>2872.4700000000007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F0CD8-7AFB-4E85-9DD5-D03AA1E374BB}">
  <dimension ref="A1:B1"/>
  <sheetViews>
    <sheetView workbookViewId="0">
      <selection activeCell="J25" sqref="J25"/>
    </sheetView>
  </sheetViews>
  <sheetFormatPr defaultRowHeight="11.25" x14ac:dyDescent="0.2"/>
  <sheetData>
    <row r="1" spans="1:2" x14ac:dyDescent="0.2">
      <c r="A1" t="s">
        <v>535</v>
      </c>
      <c r="B1" s="114">
        <v>9462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326CE-C662-40D8-9A3F-2CE0B3AD9869}">
  <dimension ref="A1"/>
  <sheetViews>
    <sheetView zoomScaleNormal="100" workbookViewId="0">
      <selection activeCell="H27" sqref="H27"/>
    </sheetView>
  </sheetViews>
  <sheetFormatPr defaultRowHeight="11.25" x14ac:dyDescent="0.2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82E6-E2BD-433A-864D-0745D8FDC452}">
  <dimension ref="A1:L12"/>
  <sheetViews>
    <sheetView zoomScale="85" zoomScaleNormal="85" workbookViewId="0">
      <selection activeCell="A20" sqref="A20"/>
    </sheetView>
  </sheetViews>
  <sheetFormatPr defaultRowHeight="11.25" x14ac:dyDescent="0.2"/>
  <cols>
    <col min="1" max="1" width="30.1640625" bestFit="1" customWidth="1"/>
    <col min="2" max="12" width="20.5" customWidth="1"/>
    <col min="13" max="13" width="15.5" customWidth="1"/>
  </cols>
  <sheetData>
    <row r="1" spans="1:12" x14ac:dyDescent="0.2">
      <c r="A1" s="192" t="s">
        <v>776</v>
      </c>
      <c r="B1" s="192" t="s">
        <v>777</v>
      </c>
      <c r="C1" s="192" t="s">
        <v>786</v>
      </c>
      <c r="D1" s="192" t="s">
        <v>778</v>
      </c>
      <c r="E1" s="192" t="s">
        <v>779</v>
      </c>
      <c r="F1" s="192" t="s">
        <v>780</v>
      </c>
      <c r="G1" s="192" t="s">
        <v>781</v>
      </c>
      <c r="H1" s="192" t="s">
        <v>782</v>
      </c>
      <c r="I1" s="192" t="s">
        <v>787</v>
      </c>
      <c r="J1" s="192" t="s">
        <v>783</v>
      </c>
      <c r="K1" s="192" t="s">
        <v>784</v>
      </c>
      <c r="L1" s="192" t="s">
        <v>785</v>
      </c>
    </row>
    <row r="2" spans="1:12" x14ac:dyDescent="0.2">
      <c r="A2" s="193" t="s">
        <v>673</v>
      </c>
    </row>
    <row r="3" spans="1:12" x14ac:dyDescent="0.2">
      <c r="A3" s="194" t="s">
        <v>675</v>
      </c>
    </row>
    <row r="4" spans="1:12" x14ac:dyDescent="0.2">
      <c r="A4" s="195" t="s">
        <v>633</v>
      </c>
    </row>
    <row r="5" spans="1:12" x14ac:dyDescent="0.2">
      <c r="A5" s="196" t="s">
        <v>632</v>
      </c>
    </row>
    <row r="6" spans="1:12" x14ac:dyDescent="0.2">
      <c r="A6" s="196" t="s">
        <v>676</v>
      </c>
    </row>
    <row r="7" spans="1:12" x14ac:dyDescent="0.2">
      <c r="A7" s="195" t="s">
        <v>682</v>
      </c>
    </row>
    <row r="8" spans="1:12" x14ac:dyDescent="0.2">
      <c r="A8" s="197" t="s">
        <v>687</v>
      </c>
    </row>
    <row r="9" spans="1:12" x14ac:dyDescent="0.2">
      <c r="A9" s="198" t="s">
        <v>788</v>
      </c>
    </row>
    <row r="10" spans="1:12" x14ac:dyDescent="0.2">
      <c r="A10" s="198" t="s">
        <v>693</v>
      </c>
    </row>
    <row r="11" spans="1:12" x14ac:dyDescent="0.2">
      <c r="A11" s="197" t="s">
        <v>697</v>
      </c>
    </row>
    <row r="12" spans="1:12" x14ac:dyDescent="0.2">
      <c r="A12" s="197" t="s">
        <v>702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266F-8EDE-4115-8B6F-07BDB3D1006F}">
  <sheetPr>
    <tabColor theme="4"/>
    <pageSetUpPr autoPageBreaks="0" fitToPage="1"/>
  </sheetPr>
  <dimension ref="A1:T109"/>
  <sheetViews>
    <sheetView showGridLines="0" topLeftCell="A3" zoomScale="70" zoomScaleNormal="70" workbookViewId="0">
      <selection activeCell="I55" sqref="I55"/>
    </sheetView>
  </sheetViews>
  <sheetFormatPr defaultColWidth="0" defaultRowHeight="0" customHeight="1" zeroHeight="1" x14ac:dyDescent="0.2"/>
  <cols>
    <col min="1" max="1" width="6.5" style="120" customWidth="1"/>
    <col min="2" max="2" width="14" style="121" customWidth="1"/>
    <col min="3" max="3" width="42.5" style="121" customWidth="1"/>
    <col min="4" max="16" width="17.1640625" style="122" customWidth="1"/>
    <col min="17" max="17" width="17.1640625" style="121" customWidth="1"/>
    <col min="18" max="18" width="3.6640625" style="121" customWidth="1"/>
    <col min="19" max="19" width="8.83203125" style="121" customWidth="1"/>
    <col min="20" max="20" width="0" style="121" hidden="1" customWidth="1"/>
    <col min="21" max="16384" width="8.83203125" style="121" hidden="1"/>
  </cols>
  <sheetData>
    <row r="1" spans="1:19" ht="12.75" customHeight="1" x14ac:dyDescent="0.2">
      <c r="A1" s="120" t="s">
        <v>637</v>
      </c>
    </row>
    <row r="2" spans="1:19" ht="35.25" customHeight="1" thickBot="1" x14ac:dyDescent="0.75">
      <c r="A2" s="123" t="s">
        <v>638</v>
      </c>
      <c r="B2" s="234" t="s">
        <v>639</v>
      </c>
      <c r="C2" s="234"/>
      <c r="D2" s="234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124">
        <f ca="1">YEAR(TODAY())</f>
        <v>2021</v>
      </c>
    </row>
    <row r="3" spans="1:19" ht="26.25" customHeight="1" x14ac:dyDescent="0.2">
      <c r="D3" s="122">
        <f>C3+1</f>
        <v>1</v>
      </c>
      <c r="E3" s="122">
        <f t="shared" ref="E3:O3" si="0">D3+1</f>
        <v>2</v>
      </c>
      <c r="F3" s="122">
        <f t="shared" si="0"/>
        <v>3</v>
      </c>
      <c r="G3" s="122">
        <f t="shared" si="0"/>
        <v>4</v>
      </c>
      <c r="H3" s="122">
        <f t="shared" si="0"/>
        <v>5</v>
      </c>
      <c r="I3" s="122">
        <f t="shared" si="0"/>
        <v>6</v>
      </c>
      <c r="J3" s="122">
        <f t="shared" si="0"/>
        <v>7</v>
      </c>
      <c r="K3" s="122">
        <f t="shared" si="0"/>
        <v>8</v>
      </c>
      <c r="L3" s="122">
        <f t="shared" si="0"/>
        <v>9</v>
      </c>
      <c r="M3" s="122">
        <f t="shared" si="0"/>
        <v>10</v>
      </c>
      <c r="N3" s="122">
        <f t="shared" si="0"/>
        <v>11</v>
      </c>
      <c r="O3" s="122">
        <f t="shared" si="0"/>
        <v>12</v>
      </c>
    </row>
    <row r="4" spans="1:19" ht="21" customHeight="1" x14ac:dyDescent="0.2">
      <c r="A4" s="120" t="s">
        <v>640</v>
      </c>
      <c r="B4" s="144"/>
      <c r="C4" s="126" t="s">
        <v>641</v>
      </c>
      <c r="D4" s="127" t="s">
        <v>642</v>
      </c>
      <c r="E4" s="127" t="s">
        <v>643</v>
      </c>
      <c r="F4" s="127" t="s">
        <v>644</v>
      </c>
      <c r="G4" s="127" t="s">
        <v>645</v>
      </c>
      <c r="H4" s="127" t="s">
        <v>646</v>
      </c>
      <c r="I4" s="127" t="s">
        <v>647</v>
      </c>
      <c r="J4" s="127" t="s">
        <v>648</v>
      </c>
      <c r="K4" s="127" t="s">
        <v>649</v>
      </c>
      <c r="L4" s="127" t="s">
        <v>650</v>
      </c>
      <c r="M4" s="127" t="s">
        <v>651</v>
      </c>
      <c r="N4" s="127" t="s">
        <v>652</v>
      </c>
      <c r="O4" s="127" t="s">
        <v>653</v>
      </c>
      <c r="P4" s="127" t="s">
        <v>654</v>
      </c>
      <c r="Q4" s="127"/>
    </row>
    <row r="5" spans="1:19" ht="15.95" customHeight="1" x14ac:dyDescent="0.2">
      <c r="A5" s="123" t="s">
        <v>655</v>
      </c>
      <c r="B5" s="144"/>
      <c r="C5" s="128" t="s">
        <v>656</v>
      </c>
      <c r="D5" s="129" t="s">
        <v>657</v>
      </c>
      <c r="E5" s="129" t="s">
        <v>658</v>
      </c>
      <c r="F5" s="129" t="s">
        <v>659</v>
      </c>
      <c r="G5" s="129" t="s">
        <v>660</v>
      </c>
      <c r="H5" s="129" t="s">
        <v>521</v>
      </c>
      <c r="I5" s="129" t="s">
        <v>279</v>
      </c>
      <c r="J5" s="129" t="s">
        <v>661</v>
      </c>
      <c r="K5" s="129" t="s">
        <v>662</v>
      </c>
      <c r="L5" s="129" t="s">
        <v>663</v>
      </c>
      <c r="M5" s="129" t="s">
        <v>664</v>
      </c>
      <c r="N5" s="129" t="s">
        <v>665</v>
      </c>
      <c r="O5" s="129" t="s">
        <v>666</v>
      </c>
      <c r="P5" s="129" t="s">
        <v>13</v>
      </c>
      <c r="Q5" s="129" t="s">
        <v>667</v>
      </c>
    </row>
    <row r="6" spans="1:19" ht="15.95" customHeight="1" x14ac:dyDescent="0.2">
      <c r="B6" s="144"/>
      <c r="C6" s="130" t="s">
        <v>668</v>
      </c>
      <c r="D6" s="131" cm="1">
        <f t="array" ref="D6">SUM(SUMIFS('Wells Fargo'!$F:$F,'Wells Fargo'!$G:$G,{"Nationwide";"Elephant"},'Wells Fargo'!$A:$A, D3))</f>
        <v>2919.29</v>
      </c>
      <c r="E6" s="131" cm="1">
        <f t="array" ref="E6">SUM(SUMIFS('Wells Fargo'!$F:$F,'Wells Fargo'!$G:$G,{"Nationwide";"Elephant"},'Wells Fargo'!$A:$A, E3))</f>
        <v>3269.3</v>
      </c>
      <c r="F6" s="131" cm="1">
        <f t="array" ref="F6">SUM(SUMIFS('Wells Fargo'!$F:$F,'Wells Fargo'!$G:$G,{"Nationwide";"Elephant"},'Wells Fargo'!$A:$A, F3))</f>
        <v>2917.46</v>
      </c>
      <c r="G6" s="131" cm="1">
        <f t="array" ref="G6">SUM(SUMIFS('Wells Fargo'!$F:$F,'Wells Fargo'!$G:$G,{"Nationwide";"Elephant"},'Wells Fargo'!$A:$A, G3))</f>
        <v>2417.33</v>
      </c>
      <c r="H6" s="131" cm="1">
        <f t="array" ref="H6">SUM(SUMIFS('Wells Fargo'!$F:$F,'Wells Fargo'!$G:$G,{"Nationwide";"Elephant"},'Wells Fargo'!$A:$A, H3))</f>
        <v>2517.5</v>
      </c>
      <c r="I6" s="131" cm="1">
        <f t="array" ref="I6">SUM(SUMIFS('Wells Fargo'!$F:$F,'Wells Fargo'!$G:$G,{"Nationwide";"Elephant"},'Wells Fargo'!$A:$A, I3))</f>
        <v>6291.0999999999995</v>
      </c>
      <c r="J6" s="131" cm="1">
        <f t="array" ref="J6">SUM(SUMIFS('Wells Fargo'!$F:$F,'Wells Fargo'!$G:$G,{"Nationwide";"Elephant"},'Wells Fargo'!$A:$A, J3))</f>
        <v>4900.8899999999994</v>
      </c>
      <c r="K6" s="131" cm="1">
        <f t="array" ref="K6">SUM(SUMIFS('Wells Fargo'!$F:$F,'Wells Fargo'!$G:$G,{"Nationwide";"Elephant"},'Wells Fargo'!$A:$A, K3))</f>
        <v>4067.3</v>
      </c>
      <c r="L6" s="131" cm="1">
        <f t="array" ref="L6">SUM(SUMIFS('Wells Fargo'!$F:$F,'Wells Fargo'!$G:$G,{"Nationwide";"Elephant"},'Wells Fargo'!$A:$A, L3))</f>
        <v>4213</v>
      </c>
      <c r="M6" s="131" cm="1">
        <f t="array" ref="M6">SUM(SUMIFS('Wells Fargo'!$F:$F,'Wells Fargo'!$G:$G,{"Nationwide";"Elephant"},'Wells Fargo'!$A:$A, M3))</f>
        <v>3930.2200000000003</v>
      </c>
      <c r="N6" s="131" cm="1">
        <f t="array" ref="N6">SUM(SUMIFS('Wells Fargo'!$F:$F,'Wells Fargo'!$G:$G,{"Nationwide";"Elephant"},'Wells Fargo'!$A:$A, N3))</f>
        <v>1900.87</v>
      </c>
      <c r="O6" s="131" cm="1">
        <f t="array" ref="O6">SUM(SUMIFS('Wells Fargo'!$F:$F,'Wells Fargo'!$G:$G,{"Nationwide";"Elephant"},'Wells Fargo'!$A:$A, O3))</f>
        <v>0</v>
      </c>
      <c r="P6" s="131">
        <f>SUM(Income14[[#This Row],[January]:[December]])</f>
        <v>39344.26</v>
      </c>
      <c r="Q6" s="131"/>
    </row>
    <row r="7" spans="1:19" ht="15.95" customHeight="1" x14ac:dyDescent="0.2">
      <c r="B7" s="144"/>
      <c r="C7" s="130" t="s">
        <v>709</v>
      </c>
      <c r="D7" s="131" cm="1">
        <f t="array" ref="D7">SUM(SUMIFS('Wells Fargo'!$F:$F,'Wells Fargo'!$G:$G, {"Stimulus 1";"Stimulus 2";"Tax Return"},'Wells Fargo'!$A:$A,'PERSONAL BUDGET - WIP'!D$3))</f>
        <v>600</v>
      </c>
      <c r="E7" s="131" cm="1">
        <f t="array" ref="E7">SUM(SUMIFS('Wells Fargo'!$F:$F,'Wells Fargo'!$G:$G, {"Stimulus 1";"Stimulus 2";"Tax Return"},'Wells Fargo'!$A:$A,'PERSONAL BUDGET - WIP'!E3))</f>
        <v>2420</v>
      </c>
      <c r="F7" s="131" cm="1">
        <f t="array" ref="F7">SUM(SUMIFS('Wells Fargo'!$F:$F,'Wells Fargo'!$G:$G, {"Stimulus 1";"Stimulus 2";"Tax Return"},'Wells Fargo'!$A:$A,'PERSONAL BUDGET - WIP'!F3))</f>
        <v>2855</v>
      </c>
      <c r="G7" s="131" cm="1">
        <f t="array" ref="G7">SUM(SUMIFS('Wells Fargo'!$F:$F,'Wells Fargo'!$G:$G, {"Stimulus 1";"Stimulus 2";"Tax Return"},'Wells Fargo'!$A:$A,'PERSONAL BUDGET - WIP'!G3))</f>
        <v>0</v>
      </c>
      <c r="H7" s="131" cm="1">
        <f t="array" ref="H7">SUM(SUMIFS('Wells Fargo'!$F:$F,'Wells Fargo'!$G:$G, {"Stimulus 1";"Stimulus 2";"Tax Return"},'Wells Fargo'!$A:$A,'PERSONAL BUDGET - WIP'!H3))</f>
        <v>0</v>
      </c>
      <c r="I7" s="131" cm="1">
        <f t="array" ref="I7">SUM(SUMIFS('Wells Fargo'!$F:$F,'Wells Fargo'!$G:$G, {"Stimulus 1";"Stimulus 2";"Tax Return"},'Wells Fargo'!$A:$A,'PERSONAL BUDGET - WIP'!I3))</f>
        <v>0</v>
      </c>
      <c r="J7" s="131" cm="1">
        <f t="array" ref="J7">SUM(SUMIFS('Wells Fargo'!$F:$F,'Wells Fargo'!$G:$G, {"Stimulus 1";"Stimulus 2";"Tax Return"},'Wells Fargo'!$A:$A,'PERSONAL BUDGET - WIP'!J3))</f>
        <v>0</v>
      </c>
      <c r="K7" s="131" cm="1">
        <f t="array" ref="K7">SUM(SUMIFS('Wells Fargo'!$F:$F,'Wells Fargo'!$G:$G, {"Stimulus 1";"Stimulus 2";"Tax Return"},'Wells Fargo'!$A:$A,'PERSONAL BUDGET - WIP'!K3))</f>
        <v>0</v>
      </c>
      <c r="L7" s="131" cm="1">
        <f t="array" ref="L7">SUM(SUMIFS('Wells Fargo'!$F:$F,'Wells Fargo'!$G:$G, {"Stimulus 1";"Stimulus 2";"Tax Return"},'Wells Fargo'!$A:$A,'PERSONAL BUDGET - WIP'!L3))</f>
        <v>0</v>
      </c>
      <c r="M7" s="131" cm="1">
        <f t="array" ref="M7">SUM(SUMIFS('Wells Fargo'!$F:$F,'Wells Fargo'!$G:$G, {"Stimulus 1";"Stimulus 2";"Tax Return"},'Wells Fargo'!$A:$A,'PERSONAL BUDGET - WIP'!M3))</f>
        <v>0</v>
      </c>
      <c r="N7" s="131" cm="1">
        <f t="array" ref="N7">SUM(SUMIFS('Wells Fargo'!$F:$F,'Wells Fargo'!$G:$G, {"Stimulus 1";"Stimulus 2";"Tax Return"},'Wells Fargo'!$A:$A,'PERSONAL BUDGET - WIP'!N3))</f>
        <v>0</v>
      </c>
      <c r="O7" s="131" cm="1">
        <f t="array" ref="O7">SUM(SUMIFS('Wells Fargo'!$F:$F,'Wells Fargo'!$G:$G, {"Stimulus 1";"Stimulus 2";"Tax Return"},'Wells Fargo'!$A:$A,'PERSONAL BUDGET - WIP'!O3))</f>
        <v>0</v>
      </c>
      <c r="P7" s="131">
        <f>SUM(Income14[[#This Row],[January]:[December]])</f>
        <v>5875</v>
      </c>
      <c r="Q7" s="132"/>
    </row>
    <row r="8" spans="1:19" ht="15.95" customHeight="1" x14ac:dyDescent="0.2">
      <c r="B8" s="144"/>
      <c r="C8" s="130" t="s">
        <v>712</v>
      </c>
      <c r="D8" s="131" cm="1">
        <f t="array" ref="D8">SUM(SUMIFS('Wells Fargo'!$F:$F,'Wells Fargo'!$G:$G, {"HSA"},'Wells Fargo'!$A:$A,'PERSONAL BUDGET - WIP'!D$3))</f>
        <v>388.47</v>
      </c>
      <c r="E8" s="131" cm="1">
        <f t="array" ref="E8">SUM(SUMIFS('Wells Fargo'!$F:$F,'Wells Fargo'!$G:$G, {"HSA"},'Wells Fargo'!$A:$A,'PERSONAL BUDGET - WIP'!E$3))</f>
        <v>276.95</v>
      </c>
      <c r="F8" s="131" cm="1">
        <f t="array" ref="F8">SUM(SUMIFS('Wells Fargo'!$F:$F,'Wells Fargo'!$G:$G, {"HSA"},'Wells Fargo'!$A:$A,'PERSONAL BUDGET - WIP'!F$3))</f>
        <v>138.47</v>
      </c>
      <c r="G8" s="131" cm="1">
        <f t="array" ref="G8">SUM(SUMIFS('Wells Fargo'!$F:$F,'Wells Fargo'!$G:$G, {"HSA"},'Wells Fargo'!$A:$A,'PERSONAL BUDGET - WIP'!G$3))</f>
        <v>0</v>
      </c>
      <c r="H8" s="131" cm="1">
        <f t="array" ref="H8">SUM(SUMIFS('Wells Fargo'!$F:$F,'Wells Fargo'!$G:$G, {"HSA"},'Wells Fargo'!$A:$A,'PERSONAL BUDGET - WIP'!H$3))</f>
        <v>803.91</v>
      </c>
      <c r="I8" s="131" cm="1">
        <f t="array" ref="I8">SUM(SUMIFS('Wells Fargo'!$F:$F,'Wells Fargo'!$G:$G, {"HSA"},'Wells Fargo'!$A:$A,'PERSONAL BUDGET - WIP'!I$3))</f>
        <v>415.42</v>
      </c>
      <c r="J8" s="131" cm="1">
        <f t="array" ref="J8">SUM(SUMIFS('Wells Fargo'!$F:$F,'Wells Fargo'!$G:$G, {"HSA"},'Wells Fargo'!$A:$A,'PERSONAL BUDGET - WIP'!J$3))</f>
        <v>200</v>
      </c>
      <c r="K8" s="131" cm="1">
        <f t="array" ref="K8">SUM(SUMIFS('Wells Fargo'!$F:$F,'Wells Fargo'!$G:$G, {"HSA"},'Wells Fargo'!$A:$A,'PERSONAL BUDGET - WIP'!K$3))</f>
        <v>0</v>
      </c>
      <c r="L8" s="131" cm="1">
        <f t="array" ref="L8">SUM(SUMIFS('Wells Fargo'!$F:$F,'Wells Fargo'!$G:$G, {"HSA"},'Wells Fargo'!$A:$A,'PERSONAL BUDGET - WIP'!L$3))</f>
        <v>419.93</v>
      </c>
      <c r="M8" s="131" cm="1">
        <f t="array" ref="M8">SUM(SUMIFS('Wells Fargo'!$F:$F,'Wells Fargo'!$G:$G, {"HSA"},'Wells Fargo'!$A:$A,'PERSONAL BUDGET - WIP'!M$3))</f>
        <v>0</v>
      </c>
      <c r="N8" s="131" cm="1">
        <f t="array" ref="N8">SUM(SUMIFS('Wells Fargo'!$F:$F,'Wells Fargo'!$G:$G, {"HSA"},'Wells Fargo'!$A:$A,'PERSONAL BUDGET - WIP'!N$3))</f>
        <v>0</v>
      </c>
      <c r="O8" s="131" cm="1">
        <f t="array" ref="O8">SUM(SUMIFS('Wells Fargo'!$F:$F,'Wells Fargo'!$G:$G, {"HSA"},'Wells Fargo'!$A:$A,'PERSONAL BUDGET - WIP'!O$3))</f>
        <v>0</v>
      </c>
      <c r="P8" s="131">
        <f>SUM(Income14[[#This Row],[January]:[December]])</f>
        <v>2643.15</v>
      </c>
      <c r="Q8" s="131"/>
    </row>
    <row r="9" spans="1:19" ht="21" customHeight="1" x14ac:dyDescent="0.2">
      <c r="B9" s="144"/>
      <c r="C9" s="130" t="s">
        <v>713</v>
      </c>
      <c r="D9" s="131" cm="1">
        <f t="array" ref="D9">SUM(SUMIFS('Wells Fargo'!$F:$F,'Wells Fargo'!$G:$G, {"Principal retirement"},'Wells Fargo'!$A:$A,'PERSONAL BUDGET - WIP'!D$3))</f>
        <v>0</v>
      </c>
      <c r="E9" s="131" cm="1">
        <f t="array" ref="E9">SUM(SUMIFS('Wells Fargo'!$F:$F,'Wells Fargo'!$G:$G, {"Principal retirement"},'Wells Fargo'!$A:$A,'PERSONAL BUDGET - WIP'!E$3))</f>
        <v>0</v>
      </c>
      <c r="F9" s="131" cm="1">
        <f t="array" ref="F9">SUM(SUMIFS('Wells Fargo'!$F:$F,'Wells Fargo'!$G:$G, {"Principal retirement"},'Wells Fargo'!$A:$A,'PERSONAL BUDGET - WIP'!F$3))</f>
        <v>0</v>
      </c>
      <c r="G9" s="131" cm="1">
        <f t="array" ref="G9">SUM(SUMIFS('Wells Fargo'!$F:$F,'Wells Fargo'!$G:$G, {"Principal retirement"},'Wells Fargo'!$A:$A,'PERSONAL BUDGET - WIP'!G$3))</f>
        <v>0</v>
      </c>
      <c r="H9" s="131" cm="1">
        <f t="array" ref="H9">SUM(SUMIFS('Wells Fargo'!$F:$F,'Wells Fargo'!$G:$G, {"Principal retirement"},'Wells Fargo'!$A:$A,'PERSONAL BUDGET - WIP'!H$3))</f>
        <v>0</v>
      </c>
      <c r="I9" s="131" cm="1">
        <f t="array" ref="I9">SUM(SUMIFS('Wells Fargo'!$F:$F,'Wells Fargo'!$G:$G, {"Principal retirement"},'Wells Fargo'!$A:$A,'PERSONAL BUDGET - WIP'!I$3))</f>
        <v>4165.5599999999995</v>
      </c>
      <c r="J9" s="131" cm="1">
        <f t="array" ref="J9">SUM(SUMIFS('Wells Fargo'!$F:$F,'Wells Fargo'!$G:$G, {"Principal retirement"},'Wells Fargo'!$A:$A,'PERSONAL BUDGET - WIP'!J$3))</f>
        <v>0</v>
      </c>
      <c r="K9" s="131" cm="1">
        <f t="array" ref="K9">SUM(SUMIFS('Wells Fargo'!$F:$F,'Wells Fargo'!$G:$G, {"Principal retirement"},'Wells Fargo'!$A:$A,'PERSONAL BUDGET - WIP'!K$3))</f>
        <v>0</v>
      </c>
      <c r="L9" s="131" cm="1">
        <f t="array" ref="L9">SUM(SUMIFS('Wells Fargo'!$F:$F,'Wells Fargo'!$G:$G, {"Principal retirement"},'Wells Fargo'!$A:$A,'PERSONAL BUDGET - WIP'!L$3))</f>
        <v>0</v>
      </c>
      <c r="M9" s="131" cm="1">
        <f t="array" ref="M9">SUM(SUMIFS('Wells Fargo'!$F:$F,'Wells Fargo'!$G:$G, {"Principal retirement"},'Wells Fargo'!$A:$A,'PERSONAL BUDGET - WIP'!M$3))</f>
        <v>0</v>
      </c>
      <c r="N9" s="131" cm="1">
        <f t="array" ref="N9">SUM(SUMIFS('Wells Fargo'!$F:$F,'Wells Fargo'!$G:$G, {"Principal retirement"},'Wells Fargo'!$A:$A,'PERSONAL BUDGET - WIP'!N$3))</f>
        <v>0</v>
      </c>
      <c r="O9" s="131" cm="1">
        <f t="array" ref="O9">SUM(SUMIFS('Wells Fargo'!$F:$F,'Wells Fargo'!$G:$G, {"Principal retirement"},'Wells Fargo'!$A:$A,'PERSONAL BUDGET - WIP'!O$3))</f>
        <v>0</v>
      </c>
      <c r="P9" s="131">
        <f>SUM(Income14[[#This Row],[January]:[December]])</f>
        <v>4165.5599999999995</v>
      </c>
      <c r="Q9" s="131"/>
    </row>
    <row r="10" spans="1:19" ht="24" customHeight="1" thickBot="1" x14ac:dyDescent="0.25">
      <c r="B10" s="144"/>
      <c r="C10" s="171" t="s">
        <v>669</v>
      </c>
      <c r="D10" s="172">
        <f>SUBTOTAL(109,Income14[January])</f>
        <v>3907.76</v>
      </c>
      <c r="E10" s="172">
        <f>SUBTOTAL(109,Income14[February])</f>
        <v>5966.25</v>
      </c>
      <c r="F10" s="172">
        <f>SUBTOTAL(109,Income14[March])</f>
        <v>5910.93</v>
      </c>
      <c r="G10" s="172">
        <f>SUBTOTAL(109,Income14[April])</f>
        <v>2417.33</v>
      </c>
      <c r="H10" s="172">
        <f>SUBTOTAL(109,Income14[May])</f>
        <v>3321.41</v>
      </c>
      <c r="I10" s="172">
        <f>SUBTOTAL(109,Income14[June])</f>
        <v>10872.079999999998</v>
      </c>
      <c r="J10" s="172">
        <f>SUBTOTAL(109,Income14[July])</f>
        <v>5100.8899999999994</v>
      </c>
      <c r="K10" s="172">
        <f>SUBTOTAL(109,Income14[August])</f>
        <v>4067.3</v>
      </c>
      <c r="L10" s="172">
        <f>SUBTOTAL(109,Income14[September])</f>
        <v>4632.93</v>
      </c>
      <c r="M10" s="172">
        <f>SUBTOTAL(109,Income14[October])</f>
        <v>3930.2200000000003</v>
      </c>
      <c r="N10" s="172">
        <f>SUBTOTAL(109,Income14[November])</f>
        <v>1900.87</v>
      </c>
      <c r="O10" s="172">
        <f>SUBTOTAL(109,Income14[December])</f>
        <v>0</v>
      </c>
      <c r="P10" s="172">
        <f>SUBTOTAL(109,Income14[Year])</f>
        <v>52027.97</v>
      </c>
      <c r="Q10" s="172"/>
    </row>
    <row r="11" spans="1:19" s="144" customFormat="1" ht="31.5" customHeight="1" thickTop="1" x14ac:dyDescent="0.2">
      <c r="A11" s="120" t="s">
        <v>670</v>
      </c>
      <c r="B11" s="120"/>
    </row>
    <row r="12" spans="1:19" ht="15.95" customHeight="1" x14ac:dyDescent="0.2">
      <c r="A12" s="120" t="s">
        <v>672</v>
      </c>
      <c r="B12" s="144"/>
      <c r="C12" s="126" t="s">
        <v>671</v>
      </c>
      <c r="D12" s="127" t="s">
        <v>642</v>
      </c>
      <c r="E12" s="127" t="s">
        <v>643</v>
      </c>
      <c r="F12" s="127" t="s">
        <v>644</v>
      </c>
      <c r="G12" s="127" t="s">
        <v>645</v>
      </c>
      <c r="H12" s="127" t="s">
        <v>646</v>
      </c>
      <c r="I12" s="127" t="s">
        <v>647</v>
      </c>
      <c r="J12" s="127" t="s">
        <v>648</v>
      </c>
      <c r="K12" s="127" t="s">
        <v>649</v>
      </c>
      <c r="L12" s="127" t="s">
        <v>650</v>
      </c>
      <c r="M12" s="127" t="s">
        <v>651</v>
      </c>
      <c r="N12" s="127" t="s">
        <v>652</v>
      </c>
      <c r="O12" s="127" t="s">
        <v>653</v>
      </c>
      <c r="P12" s="127" t="s">
        <v>654</v>
      </c>
      <c r="Q12" s="127"/>
    </row>
    <row r="13" spans="1:19" ht="15.95" customHeight="1" x14ac:dyDescent="0.2">
      <c r="B13" s="144"/>
      <c r="C13" s="133" t="s">
        <v>673</v>
      </c>
      <c r="D13" s="129" t="s">
        <v>657</v>
      </c>
      <c r="E13" s="129" t="s">
        <v>658</v>
      </c>
      <c r="F13" s="129" t="s">
        <v>659</v>
      </c>
      <c r="G13" s="129" t="s">
        <v>660</v>
      </c>
      <c r="H13" s="129" t="s">
        <v>521</v>
      </c>
      <c r="I13" s="129" t="s">
        <v>279</v>
      </c>
      <c r="J13" s="129" t="s">
        <v>661</v>
      </c>
      <c r="K13" s="129" t="s">
        <v>662</v>
      </c>
      <c r="L13" s="129" t="s">
        <v>663</v>
      </c>
      <c r="M13" s="129" t="s">
        <v>664</v>
      </c>
      <c r="N13" s="129" t="s">
        <v>665</v>
      </c>
      <c r="O13" s="129" t="s">
        <v>666</v>
      </c>
      <c r="P13" s="129" t="s">
        <v>13</v>
      </c>
      <c r="Q13" s="129" t="s">
        <v>667</v>
      </c>
    </row>
    <row r="14" spans="1:19" ht="21" customHeight="1" x14ac:dyDescent="0.2">
      <c r="A14" s="136"/>
      <c r="B14" s="144"/>
      <c r="C14" s="134" t="s">
        <v>710</v>
      </c>
      <c r="D14" s="135" cm="1">
        <f t="array" ref="D14">SUM(SUMIFS('Wells Fargo'!$F:$F,'Wells Fargo'!$G:$G,{"Amar - Rent";"New Manchester - Rent"},'Wells Fargo'!$A:$A,'PERSONAL BUDGET - WIP'!D3))*-1</f>
        <v>700</v>
      </c>
      <c r="E14" s="135" cm="1">
        <f t="array" ref="E14">SUM(SUMIFS('Wells Fargo'!$F:$F,'Wells Fargo'!$G:$G,{"Amar - Rent";"New Manchester - Rent"},'Wells Fargo'!$A:$A,'PERSONAL BUDGET - WIP'!E3))*-1</f>
        <v>700</v>
      </c>
      <c r="F14" s="135" cm="1">
        <f t="array" ref="F14">SUM(SUMIFS('Wells Fargo'!$F:$F,'Wells Fargo'!$G:$G,{"Amar - Rent";"New Manchester - Rent"},'Wells Fargo'!$A:$A,'PERSONAL BUDGET - WIP'!F3))*-1</f>
        <v>700</v>
      </c>
      <c r="G14" s="135" cm="1">
        <f t="array" ref="G14">SUM(SUMIFS('Wells Fargo'!$F:$F,'Wells Fargo'!$G:$G,{"Amar - Rent";"New Manchester - Rent"},'Wells Fargo'!$A:$A,'PERSONAL BUDGET - WIP'!G3))*-1</f>
        <v>700</v>
      </c>
      <c r="H14" s="135" cm="1">
        <f t="array" ref="H14">SUM(SUMIFS('Wells Fargo'!$F:$F,'Wells Fargo'!$G:$G,{"Amar - Rent";"New Manchester - Rent"},'Wells Fargo'!$A:$A,'PERSONAL BUDGET - WIP'!H3))*-1</f>
        <v>0</v>
      </c>
      <c r="I14" s="135" cm="1">
        <f t="array" ref="I14">SUM(SUMIFS('Wells Fargo'!$F:$F,'Wells Fargo'!$G:$G,{"Amar - Rent";"New Manchester - Rent"},'Wells Fargo'!$A:$A,'PERSONAL BUDGET - WIP'!I3))*-1-807-912.5</f>
        <v>2126.5</v>
      </c>
      <c r="J14" s="135" cm="1">
        <f t="array" ref="J14">SUM(SUMIFS('Wells Fargo'!$F:$F,'Wells Fargo'!$G:$G,{"Amar - Rent";"New Manchester - Rent"},'Wells Fargo'!$A:$A,'PERSONAL BUDGET - WIP'!J3))*-1</f>
        <v>1825</v>
      </c>
      <c r="K14" s="135" cm="1">
        <f t="array" ref="K14">SUM(SUMIFS('Wells Fargo'!$F:$F,'Wells Fargo'!$G:$G,{"Amar - Rent";"New Manchester - Rent"},'Wells Fargo'!$A:$A,'PERSONAL BUDGET - WIP'!K3))*-1 +1380.63</f>
        <v>1728.68</v>
      </c>
      <c r="L14" s="135" cm="1">
        <f t="array" ref="L14">SUM(SUMIFS('Wells Fargo'!$F:$F,'Wells Fargo'!$G:$G,{"Amar - Rent";"New Manchester - Rent"},'Wells Fargo'!$A:$A,'PERSONAL BUDGET - WIP'!L3))*-1</f>
        <v>-436.2</v>
      </c>
      <c r="M14" s="135" cm="1">
        <f t="array" ref="M14">SUM(SUMIFS('Wells Fargo'!$F:$F,'Wells Fargo'!$G:$G,{"Amar - Rent";"New Manchester - Rent"},'Wells Fargo'!$A:$A,'PERSONAL BUDGET - WIP'!M3))*-1</f>
        <v>0</v>
      </c>
      <c r="N14" s="135" cm="1">
        <f t="array" ref="N14">SUM(SUMIFS('Wells Fargo'!$F:$F,'Wells Fargo'!$G:$G,{"Amar - Rent";"New Manchester - Rent"},'Wells Fargo'!$A:$A,'PERSONAL BUDGET - WIP'!N3))*-1</f>
        <v>0</v>
      </c>
      <c r="O14" s="135" cm="1">
        <f t="array" ref="O14">SUM(SUMIFS('Wells Fargo'!$F:$F,'Wells Fargo'!$G:$G,{"Amar - Rent";"New Manchester - Rent"},'Wells Fargo'!$A:$A,'PERSONAL BUDGET - WIP'!O3))*-1</f>
        <v>0</v>
      </c>
      <c r="P14" s="135">
        <f>SUM(Home[[#This Row],[January]:[December]])</f>
        <v>8043.9800000000005</v>
      </c>
      <c r="Q14" s="135"/>
      <c r="S14" s="177">
        <f>P14/$P$6</f>
        <v>0.20445117025965159</v>
      </c>
    </row>
    <row r="15" spans="1:19" ht="24" customHeight="1" thickBot="1" x14ac:dyDescent="0.25">
      <c r="C15" s="173" t="s">
        <v>669</v>
      </c>
      <c r="D15" s="174">
        <f>SUBTOTAL(109,Home[January])</f>
        <v>700</v>
      </c>
      <c r="E15" s="174">
        <f>SUBTOTAL(109,Home[February])</f>
        <v>700</v>
      </c>
      <c r="F15" s="174">
        <f>SUBTOTAL(109,Home[March])</f>
        <v>700</v>
      </c>
      <c r="G15" s="174">
        <f>SUBTOTAL(109,Home[April])</f>
        <v>700</v>
      </c>
      <c r="H15" s="174">
        <f>SUBTOTAL(109,Home[May])</f>
        <v>0</v>
      </c>
      <c r="I15" s="174">
        <f>SUBTOTAL(109,Home[June])</f>
        <v>2126.5</v>
      </c>
      <c r="J15" s="174">
        <f>SUBTOTAL(109,Home[July])</f>
        <v>1825</v>
      </c>
      <c r="K15" s="174">
        <f>SUBTOTAL(109,Home[August])</f>
        <v>1728.68</v>
      </c>
      <c r="L15" s="174">
        <f>SUBTOTAL(109,Home[September])</f>
        <v>-436.2</v>
      </c>
      <c r="M15" s="174">
        <f>SUBTOTAL(109,Home[October])</f>
        <v>0</v>
      </c>
      <c r="N15" s="174">
        <f>SUBTOTAL(109,Home[November])</f>
        <v>0</v>
      </c>
      <c r="O15" s="174">
        <f>SUBTOTAL(109,Home[December])</f>
        <v>0</v>
      </c>
      <c r="P15" s="174">
        <f>SUBTOTAL(109,Home[Year])</f>
        <v>8043.9800000000005</v>
      </c>
      <c r="Q15" s="175"/>
    </row>
    <row r="16" spans="1:19" ht="31.5" customHeight="1" thickTop="1" x14ac:dyDescent="0.2">
      <c r="A16" s="120" t="s">
        <v>674</v>
      </c>
      <c r="B16" s="120" t="s">
        <v>674</v>
      </c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</row>
    <row r="17" spans="1:19" ht="15.95" customHeight="1" x14ac:dyDescent="0.2">
      <c r="B17" s="137"/>
      <c r="C17" s="138" t="s">
        <v>675</v>
      </c>
      <c r="D17" s="139" t="s">
        <v>657</v>
      </c>
      <c r="E17" s="129" t="s">
        <v>658</v>
      </c>
      <c r="F17" s="139" t="s">
        <v>659</v>
      </c>
      <c r="G17" s="129" t="s">
        <v>660</v>
      </c>
      <c r="H17" s="139" t="s">
        <v>521</v>
      </c>
      <c r="I17" s="129" t="s">
        <v>279</v>
      </c>
      <c r="J17" s="139" t="s">
        <v>661</v>
      </c>
      <c r="K17" s="129" t="s">
        <v>662</v>
      </c>
      <c r="L17" s="139" t="s">
        <v>663</v>
      </c>
      <c r="M17" s="129" t="s">
        <v>664</v>
      </c>
      <c r="N17" s="139" t="s">
        <v>665</v>
      </c>
      <c r="O17" s="129" t="s">
        <v>666</v>
      </c>
      <c r="P17" s="139" t="s">
        <v>13</v>
      </c>
      <c r="Q17" s="129" t="s">
        <v>667</v>
      </c>
    </row>
    <row r="18" spans="1:19" ht="15.95" customHeight="1" x14ac:dyDescent="0.2">
      <c r="B18" s="137"/>
      <c r="C18" s="140" t="s">
        <v>90</v>
      </c>
      <c r="D18" s="141">
        <f>SUMIFS(Discover!$F:$F,Discover!$G:$G,"Supermarkets",Discover!$B:$B,'PERSONAL BUDGET - WIP'!D$3)</f>
        <v>138.13999999999999</v>
      </c>
      <c r="E18" s="142">
        <f>SUMIFS(Discover!$F:$F,Discover!$G:$G,"Supermarkets",Discover!$B:$B,'PERSONAL BUDGET - WIP'!E3)</f>
        <v>247.64999999999998</v>
      </c>
      <c r="F18" s="141">
        <f>SUMIFS(Discover!$F:$F,Discover!$G:$G,"Supermarkets",Discover!$B:$B,'PERSONAL BUDGET - WIP'!F3)</f>
        <v>132.85</v>
      </c>
      <c r="G18" s="142">
        <f>SUMIFS(Discover!$F:$F,Discover!$G:$G,"Supermarkets",Discover!$B:$B,'PERSONAL BUDGET - WIP'!G3)</f>
        <v>25.32</v>
      </c>
      <c r="H18" s="141">
        <f>SUMIFS(Discover!$F:$F,Discover!$G:$G,"Supermarkets",Discover!$B:$B,'PERSONAL BUDGET - WIP'!H3)</f>
        <v>321.42</v>
      </c>
      <c r="I18" s="142">
        <f>SUMIFS(Discover!$F:$F,Discover!$G:$G,"Supermarkets",Discover!$B:$B,'PERSONAL BUDGET - WIP'!I3)</f>
        <v>100.64000000000001</v>
      </c>
      <c r="J18" s="141">
        <f>SUMIFS(Discover!$F:$F,Discover!$G:$G,"Supermarkets",Discover!$B:$B,'PERSONAL BUDGET - WIP'!J3)</f>
        <v>328.94</v>
      </c>
      <c r="K18" s="142">
        <f>SUMIFS(Discover!$F:$F,Discover!$G:$G,"Supermarkets",Discover!$B:$B,'PERSONAL BUDGET - WIP'!K3)</f>
        <v>114.91</v>
      </c>
      <c r="L18" s="141">
        <f>SUMIFS(Discover!$F:$F,Discover!$G:$G,"Supermarkets",Discover!$B:$B,'PERSONAL BUDGET - WIP'!L3)</f>
        <v>192.66</v>
      </c>
      <c r="M18" s="142">
        <f>SUMIFS(Discover!$F:$F,Discover!$G:$G,"Supermarkets",Discover!$B:$B,'PERSONAL BUDGET - WIP'!M3)</f>
        <v>218.82</v>
      </c>
      <c r="N18" s="141">
        <f>SUMIFS(Discover!$F:$F,Discover!$G:$G,"Supermarkets",Discover!$B:$B,'PERSONAL BUDGET - WIP'!N3)</f>
        <v>103.39</v>
      </c>
      <c r="O18" s="142">
        <f>SUMIFS(Discover!$F:$F,Discover!$G:$G,"Supermarkets",Discover!$B:$B,'PERSONAL BUDGET - WIP'!O3)</f>
        <v>0</v>
      </c>
      <c r="P18" s="141">
        <f>SUM(Daily[[#This Row],[January]:[December]])</f>
        <v>1924.7400000000002</v>
      </c>
      <c r="Q18" s="143"/>
    </row>
    <row r="19" spans="1:19" ht="21" customHeight="1" x14ac:dyDescent="0.2">
      <c r="B19" s="137"/>
      <c r="C19" s="140" t="s">
        <v>711</v>
      </c>
      <c r="D19" s="141">
        <f>SUMIFS(Discover!$F:$F,Discover!$G:$G,"Restaurants",Discover!$B:$B,'PERSONAL BUDGET - WIP'!D$3)</f>
        <v>117.23</v>
      </c>
      <c r="E19" s="142">
        <f>SUMIFS(Discover!$F:$F,Discover!$G:$G,"Restaurants",Discover!$B:$B,'PERSONAL BUDGET - WIP'!E$3)</f>
        <v>51.96</v>
      </c>
      <c r="F19" s="141">
        <f>SUMIFS(Discover!$F:$F,Discover!$G:$G,"Restaurants",Discover!$B:$B,'PERSONAL BUDGET - WIP'!F$3)</f>
        <v>259.85000000000002</v>
      </c>
      <c r="G19" s="142">
        <f>SUMIFS(Discover!$F:$F,Discover!$G:$G,"Restaurants",Discover!$B:$B,'PERSONAL BUDGET - WIP'!G$3)</f>
        <v>487.13</v>
      </c>
      <c r="H19" s="141">
        <f>SUMIFS(Discover!$F:$F,Discover!$G:$G,"Restaurants",Discover!$B:$B,'PERSONAL BUDGET - WIP'!H$3)</f>
        <v>247.11</v>
      </c>
      <c r="I19" s="142">
        <f>SUMIFS(Discover!$F:$F,Discover!$G:$G,"Restaurants",Discover!$B:$B,'PERSONAL BUDGET - WIP'!I$3)</f>
        <v>472.59</v>
      </c>
      <c r="J19" s="141">
        <f>SUMIFS(Discover!$F:$F,Discover!$G:$G,"Restaurants",Discover!$B:$B,'PERSONAL BUDGET - WIP'!J$3)</f>
        <v>689.57999999999981</v>
      </c>
      <c r="K19" s="142">
        <f>SUMIFS(Discover!$F:$F,Discover!$G:$G,"Restaurants",Discover!$B:$B,'PERSONAL BUDGET - WIP'!K$3)</f>
        <v>1021.4699999999999</v>
      </c>
      <c r="L19" s="141">
        <f>SUMIFS(Discover!$F:$F,Discover!$G:$G,"Restaurants",Discover!$B:$B,'PERSONAL BUDGET - WIP'!L$3)</f>
        <v>1134.5000000000005</v>
      </c>
      <c r="M19" s="142">
        <f>SUMIFS(Discover!$F:$F,Discover!$G:$G,"Restaurants",Discover!$B:$B,'PERSONAL BUDGET - WIP'!M$3)</f>
        <v>465.78000000000003</v>
      </c>
      <c r="N19" s="141">
        <f>SUMIFS(Discover!$F:$F,Discover!$G:$G,"Restaurants",Discover!$B:$B,'PERSONAL BUDGET - WIP'!N$3)</f>
        <v>252.96</v>
      </c>
      <c r="O19" s="142">
        <f>SUMIFS(Discover!$F:$F,Discover!$G:$G,"Restaurants",Discover!$B:$B,'PERSONAL BUDGET - WIP'!O$3)</f>
        <v>0</v>
      </c>
      <c r="P19" s="141">
        <f>SUM(Daily[[#This Row],[January]:[December]])</f>
        <v>5200.16</v>
      </c>
      <c r="Q19" s="142"/>
    </row>
    <row r="20" spans="1:19" ht="20.25" customHeight="1" thickBot="1" x14ac:dyDescent="0.25">
      <c r="C20" s="179" t="s">
        <v>669</v>
      </c>
      <c r="D20" s="180">
        <f>SUBTOTAL(109,Daily[January])</f>
        <v>255.37</v>
      </c>
      <c r="E20" s="181">
        <f>SUBTOTAL(109,Daily[February])</f>
        <v>299.60999999999996</v>
      </c>
      <c r="F20" s="180">
        <f>SUBTOTAL(109,Daily[March])</f>
        <v>392.70000000000005</v>
      </c>
      <c r="G20" s="181">
        <f>SUBTOTAL(109,Daily[April])</f>
        <v>512.45000000000005</v>
      </c>
      <c r="H20" s="180">
        <f>SUBTOTAL(109,Daily[May])</f>
        <v>568.53</v>
      </c>
      <c r="I20" s="181">
        <f>SUBTOTAL(109,Daily[June])</f>
        <v>573.23</v>
      </c>
      <c r="J20" s="180">
        <f>SUBTOTAL(109,Daily[July])</f>
        <v>1018.5199999999998</v>
      </c>
      <c r="K20" s="181">
        <f>SUBTOTAL(109,Daily[August])</f>
        <v>1136.3799999999999</v>
      </c>
      <c r="L20" s="180">
        <f>SUBTOTAL(109,Daily[September])</f>
        <v>1327.1600000000005</v>
      </c>
      <c r="M20" s="181">
        <f>SUBTOTAL(109,Daily[October])</f>
        <v>684.6</v>
      </c>
      <c r="N20" s="180">
        <f>SUBTOTAL(109,Daily[November])</f>
        <v>356.35</v>
      </c>
      <c r="O20" s="181">
        <f>SUBTOTAL(109,Daily[December])</f>
        <v>0</v>
      </c>
      <c r="P20" s="180">
        <f>SUBTOTAL(109,Daily[Year])</f>
        <v>7124.9</v>
      </c>
      <c r="Q20" s="182"/>
      <c r="R20" s="177"/>
      <c r="S20" s="177">
        <f>P20/$P$6</f>
        <v>0.18109121889698776</v>
      </c>
    </row>
    <row r="21" spans="1:19" s="144" customFormat="1" ht="31.5" customHeight="1" thickTop="1" x14ac:dyDescent="0.2">
      <c r="A21" s="120"/>
      <c r="B21" s="120"/>
    </row>
    <row r="22" spans="1:19" ht="15.95" customHeight="1" x14ac:dyDescent="0.2">
      <c r="B22" s="137"/>
      <c r="C22" s="145" t="s">
        <v>633</v>
      </c>
      <c r="D22" s="146" t="s">
        <v>657</v>
      </c>
      <c r="E22" s="129" t="s">
        <v>658</v>
      </c>
      <c r="F22" s="146" t="s">
        <v>659</v>
      </c>
      <c r="G22" s="129" t="s">
        <v>660</v>
      </c>
      <c r="H22" s="146" t="s">
        <v>521</v>
      </c>
      <c r="I22" s="129" t="s">
        <v>279</v>
      </c>
      <c r="J22" s="146" t="s">
        <v>661</v>
      </c>
      <c r="K22" s="129" t="s">
        <v>662</v>
      </c>
      <c r="L22" s="146" t="s">
        <v>663</v>
      </c>
      <c r="M22" s="129" t="s">
        <v>664</v>
      </c>
      <c r="N22" s="146" t="s">
        <v>665</v>
      </c>
      <c r="O22" s="129" t="s">
        <v>666</v>
      </c>
      <c r="P22" s="146" t="s">
        <v>13</v>
      </c>
      <c r="Q22" s="129" t="s">
        <v>667</v>
      </c>
    </row>
    <row r="23" spans="1:19" ht="15.95" customHeight="1" x14ac:dyDescent="0.2">
      <c r="B23" s="137"/>
      <c r="C23" s="147"/>
      <c r="D23" s="141"/>
      <c r="E23" s="148"/>
      <c r="F23" s="141"/>
      <c r="G23" s="148"/>
      <c r="H23" s="141"/>
      <c r="I23" s="148"/>
      <c r="J23" s="141"/>
      <c r="K23" s="148"/>
      <c r="L23" s="141"/>
      <c r="M23" s="148"/>
      <c r="N23" s="141"/>
      <c r="O23" s="148"/>
      <c r="P23" s="141">
        <f>SUM(Transportation[[#This Row],[January]:[December]])</f>
        <v>0</v>
      </c>
      <c r="Q23" s="143"/>
    </row>
    <row r="24" spans="1:19" ht="15.95" customHeight="1" x14ac:dyDescent="0.2">
      <c r="B24" s="137"/>
      <c r="C24" s="147"/>
      <c r="D24" s="141"/>
      <c r="E24" s="148"/>
      <c r="F24" s="141"/>
      <c r="G24" s="148"/>
      <c r="H24" s="141"/>
      <c r="I24" s="148"/>
      <c r="J24" s="141"/>
      <c r="K24" s="148"/>
      <c r="L24" s="141"/>
      <c r="M24" s="148"/>
      <c r="N24" s="141"/>
      <c r="O24" s="148"/>
      <c r="P24" s="141">
        <f>SUM(Transportation[[#This Row],[January]:[December]])</f>
        <v>0</v>
      </c>
      <c r="Q24" s="148"/>
    </row>
    <row r="25" spans="1:19" ht="15.95" customHeight="1" x14ac:dyDescent="0.2">
      <c r="B25" s="137"/>
      <c r="C25" s="147"/>
      <c r="D25" s="141"/>
      <c r="E25" s="148"/>
      <c r="F25" s="141"/>
      <c r="G25" s="148"/>
      <c r="H25" s="141"/>
      <c r="I25" s="148"/>
      <c r="J25" s="141"/>
      <c r="K25" s="148"/>
      <c r="L25" s="141"/>
      <c r="M25" s="148"/>
      <c r="N25" s="141"/>
      <c r="O25" s="148"/>
      <c r="P25" s="141">
        <f>SUM(Transportation[[#This Row],[January]:[December]])</f>
        <v>0</v>
      </c>
      <c r="Q25" s="143"/>
    </row>
    <row r="26" spans="1:19" s="144" customFormat="1" ht="15.95" customHeight="1" x14ac:dyDescent="0.2">
      <c r="A26" s="120"/>
      <c r="B26" s="202"/>
      <c r="C26" s="147" t="s">
        <v>789</v>
      </c>
      <c r="D26" s="141">
        <f>SUMIFS(Discover!$F:$F,Discover!$K:$K,'PERSONAL BUDGET - WIP'!$C$22,Discover!$B:$B,'PERSONAL BUDGET - WIP'!D$3)</f>
        <v>163</v>
      </c>
      <c r="E26" s="148">
        <f>SUMIFS(Discover!$F:$F,Discover!$K:$K,'PERSONAL BUDGET - WIP'!$C$22,Discover!$B:$B,'PERSONAL BUDGET - WIP'!E$3)</f>
        <v>67.47</v>
      </c>
      <c r="F26" s="141">
        <f>SUMIFS(Discover!$F:$F,Discover!$K:$K,'PERSONAL BUDGET - WIP'!$C$22,Discover!$B:$B,'PERSONAL BUDGET - WIP'!F$3)</f>
        <v>245.26999999999998</v>
      </c>
      <c r="G26" s="148">
        <f>SUMIFS(Discover!$F:$F,Discover!$K:$K,'PERSONAL BUDGET - WIP'!$C$22,Discover!$B:$B,'PERSONAL BUDGET - WIP'!G$3)</f>
        <v>199.6</v>
      </c>
      <c r="H26" s="141">
        <f>SUMIFS(Discover!$F:$F,Discover!$K:$K,'PERSONAL BUDGET - WIP'!$C$22,Discover!$B:$B,'PERSONAL BUDGET - WIP'!H$3)</f>
        <v>670.93000000000006</v>
      </c>
      <c r="I26" s="148">
        <f>SUMIFS(Discover!$F:$F,Discover!$K:$K,'PERSONAL BUDGET - WIP'!$C$22,Discover!$B:$B,'PERSONAL BUDGET - WIP'!I$3)</f>
        <v>171.33</v>
      </c>
      <c r="J26" s="141">
        <f>SUMIFS(Discover!$F:$F,Discover!$K:$K,'PERSONAL BUDGET - WIP'!$C$22,Discover!$B:$B,'PERSONAL BUDGET - WIP'!J$3)</f>
        <v>841.57000000000016</v>
      </c>
      <c r="K26" s="148">
        <f>SUMIFS(Discover!$F:$F,Discover!$K:$K,'PERSONAL BUDGET - WIP'!$C$22,Discover!$B:$B,'PERSONAL BUDGET - WIP'!K$3)</f>
        <v>156.70999999999998</v>
      </c>
      <c r="L26" s="141">
        <f>SUMIFS(Discover!$F:$F,Discover!$K:$K,'PERSONAL BUDGET - WIP'!$C$22,Discover!$B:$B,'PERSONAL BUDGET - WIP'!L$3)</f>
        <v>0</v>
      </c>
      <c r="M26" s="148">
        <f>SUMIFS(Discover!$F:$F,Discover!$K:$K,'PERSONAL BUDGET - WIP'!$C$22,Discover!$B:$B,'PERSONAL BUDGET - WIP'!M$3)</f>
        <v>0</v>
      </c>
      <c r="N26" s="141">
        <f>SUMIFS(Discover!$F:$F,Discover!$K:$K,'PERSONAL BUDGET - WIP'!$C$22,Discover!$B:$B,'PERSONAL BUDGET - WIP'!N$3)</f>
        <v>0</v>
      </c>
      <c r="O26" s="148">
        <f>SUMIFS(Discover!$F:$F,Discover!$K:$K,'PERSONAL BUDGET - WIP'!$C$22,Discover!$B:$B,'PERSONAL BUDGET - WIP'!O$3)</f>
        <v>0</v>
      </c>
      <c r="P26" s="141">
        <f>SUM(Transportation[[#This Row],[January]:[December]])</f>
        <v>2515.88</v>
      </c>
      <c r="Q26" s="143"/>
    </row>
    <row r="27" spans="1:19" s="144" customFormat="1" ht="31.5" customHeight="1" thickBot="1" x14ac:dyDescent="0.25">
      <c r="A27" s="120"/>
      <c r="B27" s="120"/>
      <c r="C27" s="179" t="s">
        <v>669</v>
      </c>
      <c r="D27" s="180">
        <f>SUBTOTAL(109,Transportation[January])</f>
        <v>163</v>
      </c>
      <c r="E27" s="181">
        <f>SUBTOTAL(109,Transportation[February])</f>
        <v>67.47</v>
      </c>
      <c r="F27" s="180">
        <f>SUBTOTAL(109,Transportation[March])</f>
        <v>245.26999999999998</v>
      </c>
      <c r="G27" s="181">
        <f>SUBTOTAL(109,Transportation[April])</f>
        <v>199.6</v>
      </c>
      <c r="H27" s="180">
        <f>SUBTOTAL(109,Transportation[May])</f>
        <v>670.93000000000006</v>
      </c>
      <c r="I27" s="181">
        <f>SUBTOTAL(109,Transportation[June])</f>
        <v>171.33</v>
      </c>
      <c r="J27" s="180">
        <f>SUBTOTAL(109,Transportation[July])</f>
        <v>841.57000000000016</v>
      </c>
      <c r="K27" s="181">
        <f>SUBTOTAL(109,Transportation[August])</f>
        <v>156.70999999999998</v>
      </c>
      <c r="L27" s="180">
        <f>SUBTOTAL(109,Transportation[September])</f>
        <v>0</v>
      </c>
      <c r="M27" s="181">
        <f>SUBTOTAL(109,Transportation[October])</f>
        <v>0</v>
      </c>
      <c r="N27" s="180">
        <f>SUBTOTAL(109,Transportation[November])</f>
        <v>0</v>
      </c>
      <c r="O27" s="181">
        <f>SUBTOTAL(109,Transportation[December])</f>
        <v>0</v>
      </c>
      <c r="P27" s="180">
        <f>SUBTOTAL(109,Transportation[Year])</f>
        <v>2515.88</v>
      </c>
      <c r="Q27" s="182"/>
      <c r="S27" s="177">
        <f>P27/$P$6</f>
        <v>6.3945287063475076E-2</v>
      </c>
    </row>
    <row r="28" spans="1:19" ht="15.95" customHeight="1" thickTop="1" x14ac:dyDescent="0.2">
      <c r="B28" s="149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</row>
    <row r="29" spans="1:19" ht="15.95" customHeight="1" x14ac:dyDescent="0.2">
      <c r="A29" s="136"/>
      <c r="B29" s="149"/>
      <c r="C29" s="150" t="s">
        <v>632</v>
      </c>
      <c r="D29" s="151" t="s">
        <v>657</v>
      </c>
      <c r="E29" s="129" t="s">
        <v>658</v>
      </c>
      <c r="F29" s="151" t="s">
        <v>659</v>
      </c>
      <c r="G29" s="129" t="s">
        <v>660</v>
      </c>
      <c r="H29" s="151" t="s">
        <v>521</v>
      </c>
      <c r="I29" s="129" t="s">
        <v>279</v>
      </c>
      <c r="J29" s="151" t="s">
        <v>661</v>
      </c>
      <c r="K29" s="129" t="s">
        <v>662</v>
      </c>
      <c r="L29" s="151" t="s">
        <v>663</v>
      </c>
      <c r="M29" s="129" t="s">
        <v>664</v>
      </c>
      <c r="N29" s="151" t="s">
        <v>665</v>
      </c>
      <c r="O29" s="129" t="s">
        <v>666</v>
      </c>
      <c r="P29" s="151" t="s">
        <v>13</v>
      </c>
      <c r="Q29" s="129" t="s">
        <v>667</v>
      </c>
    </row>
    <row r="30" spans="1:19" ht="15.95" customHeight="1" x14ac:dyDescent="0.2">
      <c r="B30" s="149"/>
      <c r="C30" s="147"/>
      <c r="D30" s="152"/>
      <c r="E30" s="148"/>
      <c r="F30" s="152"/>
      <c r="G30" s="148"/>
      <c r="H30" s="152"/>
      <c r="I30" s="148"/>
      <c r="J30" s="152"/>
      <c r="K30" s="148"/>
      <c r="L30" s="152"/>
      <c r="M30" s="148"/>
      <c r="N30" s="152"/>
      <c r="O30" s="148"/>
      <c r="P30" s="152">
        <f>SUM(Entertainment[[#This Row],[January]:[December]])</f>
        <v>0</v>
      </c>
      <c r="Q30" s="143"/>
    </row>
    <row r="31" spans="1:19" ht="15.95" customHeight="1" x14ac:dyDescent="0.2">
      <c r="B31" s="149"/>
      <c r="C31" s="147"/>
      <c r="D31" s="152"/>
      <c r="E31" s="148"/>
      <c r="F31" s="152"/>
      <c r="G31" s="148"/>
      <c r="H31" s="152"/>
      <c r="I31" s="148"/>
      <c r="J31" s="152"/>
      <c r="K31" s="148"/>
      <c r="L31" s="152"/>
      <c r="M31" s="148"/>
      <c r="N31" s="152"/>
      <c r="O31" s="148"/>
      <c r="P31" s="152">
        <f>SUM(Entertainment[[#This Row],[January]:[December]])</f>
        <v>0</v>
      </c>
      <c r="Q31" s="148"/>
    </row>
    <row r="32" spans="1:19" ht="20.25" customHeight="1" x14ac:dyDescent="0.2">
      <c r="C32" s="147" t="s">
        <v>789</v>
      </c>
      <c r="D32" s="152">
        <f>SUMIFS(Discover!$F:$F,Discover!$K:$K,'PERSONAL BUDGET - WIP'!$C$29,Discover!$B:$B,'PERSONAL BUDGET - WIP'!D$3)</f>
        <v>19.989999999999998</v>
      </c>
      <c r="E32" s="148">
        <f>SUMIFS(Discover!$F:$F,Discover!$K:$K,'PERSONAL BUDGET - WIP'!$C$29,Discover!$B:$B,'PERSONAL BUDGET - WIP'!E$3)</f>
        <v>0</v>
      </c>
      <c r="F32" s="152">
        <f>SUMIFS(Discover!$F:$F,Discover!$K:$K,'PERSONAL BUDGET - WIP'!$C$29,Discover!$B:$B,'PERSONAL BUDGET - WIP'!F$3)</f>
        <v>5</v>
      </c>
      <c r="G32" s="148">
        <f>SUMIFS(Discover!$F:$F,Discover!$K:$K,'PERSONAL BUDGET - WIP'!$C$29,Discover!$B:$B,'PERSONAL BUDGET - WIP'!G$3)</f>
        <v>0</v>
      </c>
      <c r="H32" s="152">
        <f>SUMIFS(Discover!$F:$F,Discover!$K:$K,'PERSONAL BUDGET - WIP'!$C$29,Discover!$B:$B,'PERSONAL BUDGET - WIP'!H$3)</f>
        <v>108.96000000000001</v>
      </c>
      <c r="I32" s="148">
        <f>SUMIFS(Discover!$F:$F,Discover!$K:$K,'PERSONAL BUDGET - WIP'!$C$29,Discover!$B:$B,'PERSONAL BUDGET - WIP'!I$3)</f>
        <v>49.99</v>
      </c>
      <c r="J32" s="152">
        <f>SUMIFS(Discover!$F:$F,Discover!$K:$K,'PERSONAL BUDGET - WIP'!$C$29,Discover!$B:$B,'PERSONAL BUDGET - WIP'!J$3)</f>
        <v>206.32</v>
      </c>
      <c r="K32" s="148">
        <f>SUMIFS(Discover!$F:$F,Discover!$K:$K,'PERSONAL BUDGET - WIP'!$C$29,Discover!$B:$B,'PERSONAL BUDGET - WIP'!K$3)</f>
        <v>248.42</v>
      </c>
      <c r="L32" s="152">
        <f>SUMIFS(Discover!$F:$F,Discover!$K:$K,'PERSONAL BUDGET - WIP'!$C$29,Discover!$B:$B,'PERSONAL BUDGET - WIP'!L$3)</f>
        <v>0</v>
      </c>
      <c r="M32" s="148">
        <f>SUMIFS(Discover!$F:$F,Discover!$K:$K,'PERSONAL BUDGET - WIP'!$C$29,Discover!$B:$B,'PERSONAL BUDGET - WIP'!M$3)</f>
        <v>0</v>
      </c>
      <c r="N32" s="152">
        <f>SUMIFS(Discover!$F:$F,Discover!$K:$K,'PERSONAL BUDGET - WIP'!$C$29,Discover!$B:$B,'PERSONAL BUDGET - WIP'!N$3)</f>
        <v>0</v>
      </c>
      <c r="O32" s="148">
        <f>SUMIFS(Discover!$F:$F,Discover!$K:$K,'PERSONAL BUDGET - WIP'!$C$29,Discover!$B:$B,'PERSONAL BUDGET - WIP'!O$3)</f>
        <v>0</v>
      </c>
      <c r="P32" s="152">
        <f>SUM(Entertainment[[#This Row],[January]:[December]])</f>
        <v>638.67999999999995</v>
      </c>
      <c r="Q32" s="143"/>
    </row>
    <row r="33" spans="1:19" s="144" customFormat="1" ht="31.5" customHeight="1" thickBot="1" x14ac:dyDescent="0.25">
      <c r="A33" s="120"/>
      <c r="B33" s="120"/>
      <c r="C33" s="200" t="s">
        <v>669</v>
      </c>
      <c r="D33" s="201">
        <f>SUBTOTAL(109,Entertainment[January])</f>
        <v>19.989999999999998</v>
      </c>
      <c r="E33" s="181">
        <f>SUBTOTAL(109,Entertainment[February])</f>
        <v>0</v>
      </c>
      <c r="F33" s="201">
        <f>SUBTOTAL(109,Entertainment[March])</f>
        <v>5</v>
      </c>
      <c r="G33" s="181">
        <f>SUBTOTAL(109,Entertainment[April])</f>
        <v>0</v>
      </c>
      <c r="H33" s="201">
        <f>SUBTOTAL(109,Entertainment[May])</f>
        <v>108.96000000000001</v>
      </c>
      <c r="I33" s="181">
        <f>SUBTOTAL(109,Entertainment[June])</f>
        <v>49.99</v>
      </c>
      <c r="J33" s="201">
        <f>SUBTOTAL(109,Entertainment[July])</f>
        <v>206.32</v>
      </c>
      <c r="K33" s="181">
        <f>SUBTOTAL(109,Entertainment[August])</f>
        <v>248.42</v>
      </c>
      <c r="L33" s="201">
        <f>SUBTOTAL(109,Entertainment[September])</f>
        <v>0</v>
      </c>
      <c r="M33" s="181">
        <f>SUBTOTAL(109,Entertainment[October])</f>
        <v>0</v>
      </c>
      <c r="N33" s="201">
        <f>SUBTOTAL(109,Entertainment[November])</f>
        <v>0</v>
      </c>
      <c r="O33" s="181">
        <f>SUBTOTAL(109,Entertainment[December])</f>
        <v>0</v>
      </c>
      <c r="P33" s="201">
        <f>SUBTOTAL(109,Entertainment[Year])</f>
        <v>638.67999999999995</v>
      </c>
      <c r="Q33" s="182"/>
      <c r="S33" s="177">
        <f>P33/$P$6</f>
        <v>1.6233117613598524E-2</v>
      </c>
    </row>
    <row r="34" spans="1:19" ht="15.95" customHeight="1" thickTop="1" x14ac:dyDescent="0.2">
      <c r="B34" s="149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</row>
    <row r="35" spans="1:19" ht="15.95" customHeight="1" x14ac:dyDescent="0.2">
      <c r="B35" s="149"/>
      <c r="C35" s="150" t="s">
        <v>676</v>
      </c>
      <c r="D35" s="151" t="s">
        <v>657</v>
      </c>
      <c r="E35" s="129" t="s">
        <v>658</v>
      </c>
      <c r="F35" s="151" t="s">
        <v>659</v>
      </c>
      <c r="G35" s="129" t="s">
        <v>660</v>
      </c>
      <c r="H35" s="151" t="s">
        <v>521</v>
      </c>
      <c r="I35" s="129" t="s">
        <v>279</v>
      </c>
      <c r="J35" s="151" t="s">
        <v>661</v>
      </c>
      <c r="K35" s="129" t="s">
        <v>662</v>
      </c>
      <c r="L35" s="151" t="s">
        <v>663</v>
      </c>
      <c r="M35" s="129" t="s">
        <v>664</v>
      </c>
      <c r="N35" s="151" t="s">
        <v>665</v>
      </c>
      <c r="O35" s="129" t="s">
        <v>666</v>
      </c>
      <c r="P35" s="151" t="s">
        <v>13</v>
      </c>
      <c r="Q35" s="129" t="s">
        <v>667</v>
      </c>
    </row>
    <row r="36" spans="1:19" ht="15.95" customHeight="1" x14ac:dyDescent="0.2">
      <c r="B36" s="149"/>
      <c r="C36" s="147" t="s">
        <v>677</v>
      </c>
      <c r="D36" s="152"/>
      <c r="E36" s="148"/>
      <c r="F36" s="152"/>
      <c r="G36" s="148"/>
      <c r="H36" s="152"/>
      <c r="I36" s="148"/>
      <c r="J36" s="152"/>
      <c r="K36" s="148"/>
      <c r="L36" s="152"/>
      <c r="M36" s="148"/>
      <c r="N36" s="152"/>
      <c r="O36" s="148"/>
      <c r="P36" s="152">
        <f>SUM(Health[[#This Row],[January]:[December]])</f>
        <v>0</v>
      </c>
      <c r="Q36" s="148"/>
    </row>
    <row r="37" spans="1:19" s="144" customFormat="1" ht="15.95" customHeight="1" x14ac:dyDescent="0.2">
      <c r="A37" s="120"/>
      <c r="B37" s="149"/>
      <c r="C37" s="147" t="s">
        <v>634</v>
      </c>
      <c r="D37" s="152"/>
      <c r="E37" s="148"/>
      <c r="F37" s="152"/>
      <c r="G37" s="148"/>
      <c r="H37" s="152"/>
      <c r="I37" s="148"/>
      <c r="J37" s="152"/>
      <c r="K37" s="148"/>
      <c r="L37" s="152"/>
      <c r="M37" s="148"/>
      <c r="N37" s="152"/>
      <c r="O37" s="148"/>
      <c r="P37" s="152">
        <f>SUM(Health[[#This Row],[January]:[December]])</f>
        <v>0</v>
      </c>
      <c r="Q37" s="143"/>
    </row>
    <row r="38" spans="1:19" ht="15.95" customHeight="1" x14ac:dyDescent="0.2">
      <c r="B38" s="149"/>
      <c r="C38" s="147" t="s">
        <v>678</v>
      </c>
      <c r="D38" s="152"/>
      <c r="E38" s="148"/>
      <c r="F38" s="152"/>
      <c r="G38" s="148"/>
      <c r="H38" s="152"/>
      <c r="I38" s="148"/>
      <c r="J38" s="152"/>
      <c r="K38" s="148"/>
      <c r="L38" s="152"/>
      <c r="M38" s="148"/>
      <c r="N38" s="152"/>
      <c r="O38" s="148"/>
      <c r="P38" s="152">
        <f>SUM(Health[[#This Row],[January]:[December]])</f>
        <v>0</v>
      </c>
      <c r="Q38" s="143"/>
    </row>
    <row r="39" spans="1:19" ht="15.95" customHeight="1" x14ac:dyDescent="0.2">
      <c r="B39" s="149"/>
      <c r="C39" s="153" t="s">
        <v>679</v>
      </c>
      <c r="D39" s="152"/>
      <c r="E39" s="148"/>
      <c r="F39" s="152"/>
      <c r="G39" s="148"/>
      <c r="H39" s="152"/>
      <c r="I39" s="148"/>
      <c r="J39" s="152"/>
      <c r="K39" s="148"/>
      <c r="L39" s="152"/>
      <c r="M39" s="148"/>
      <c r="N39" s="152"/>
      <c r="O39" s="148"/>
      <c r="P39" s="152">
        <f>SUM(Health[[#This Row],[January]:[December]])</f>
        <v>0</v>
      </c>
      <c r="Q39" s="143"/>
    </row>
    <row r="40" spans="1:19" ht="15.95" customHeight="1" x14ac:dyDescent="0.2">
      <c r="B40" s="149"/>
      <c r="C40" s="153" t="s">
        <v>680</v>
      </c>
      <c r="D40" s="152"/>
      <c r="E40" s="148"/>
      <c r="F40" s="152"/>
      <c r="G40" s="148"/>
      <c r="H40" s="152"/>
      <c r="I40" s="148"/>
      <c r="J40" s="152"/>
      <c r="K40" s="148"/>
      <c r="L40" s="152"/>
      <c r="M40" s="148"/>
      <c r="N40" s="152"/>
      <c r="O40" s="148"/>
      <c r="P40" s="152">
        <f>SUM(Health[[#This Row],[January]:[December]])</f>
        <v>0</v>
      </c>
      <c r="Q40" s="148"/>
    </row>
    <row r="41" spans="1:19" ht="21" customHeight="1" x14ac:dyDescent="0.2">
      <c r="B41" s="149"/>
      <c r="C41" s="147" t="s">
        <v>681</v>
      </c>
      <c r="D41" s="152"/>
      <c r="E41" s="148"/>
      <c r="F41" s="152"/>
      <c r="G41" s="148"/>
      <c r="H41" s="152"/>
      <c r="I41" s="148"/>
      <c r="J41" s="152"/>
      <c r="K41" s="148"/>
      <c r="L41" s="152"/>
      <c r="M41" s="148"/>
      <c r="N41" s="152"/>
      <c r="O41" s="148"/>
      <c r="P41" s="152">
        <f>SUM(Health[[#This Row],[January]:[December]])</f>
        <v>0</v>
      </c>
      <c r="Q41" s="143"/>
    </row>
    <row r="42" spans="1:19" ht="20.25" customHeight="1" x14ac:dyDescent="0.2">
      <c r="C42" s="147" t="s">
        <v>789</v>
      </c>
      <c r="D42" s="152">
        <f>SUMIFS(Discover!$F:$F,Discover!$K:$K,'PERSONAL BUDGET - WIP'!$C$35,Discover!$B:$B,'PERSONAL BUDGET - WIP'!D$3)</f>
        <v>70.509999999999991</v>
      </c>
      <c r="E42" s="148">
        <f>SUMIFS(Discover!$F:$F,Discover!$K:$K,'PERSONAL BUDGET - WIP'!$C$35,Discover!$B:$B,'PERSONAL BUDGET - WIP'!E$3)</f>
        <v>10</v>
      </c>
      <c r="F42" s="152">
        <f>SUMIFS(Discover!$F:$F,Discover!$K:$K,'PERSONAL BUDGET - WIP'!$C$35,Discover!$B:$B,'PERSONAL BUDGET - WIP'!F$3)</f>
        <v>120</v>
      </c>
      <c r="G42" s="148">
        <f>SUMIFS(Discover!$F:$F,Discover!$K:$K,'PERSONAL BUDGET - WIP'!$C$35,Discover!$B:$B,'PERSONAL BUDGET - WIP'!G$3)</f>
        <v>0</v>
      </c>
      <c r="H42" s="152">
        <f>SUMIFS(Discover!$F:$F,Discover!$K:$K,'PERSONAL BUDGET - WIP'!$C$35,Discover!$B:$B,'PERSONAL BUDGET - WIP'!H$3)</f>
        <v>0</v>
      </c>
      <c r="I42" s="148">
        <f>SUMIFS(Discover!$F:$F,Discover!$K:$K,'PERSONAL BUDGET - WIP'!$C$35,Discover!$B:$B,'PERSONAL BUDGET - WIP'!I$3)</f>
        <v>0</v>
      </c>
      <c r="J42" s="152">
        <f>SUMIFS(Discover!$F:$F,Discover!$K:$K,'PERSONAL BUDGET - WIP'!$C$35,Discover!$B:$B,'PERSONAL BUDGET - WIP'!J$3)</f>
        <v>36.53</v>
      </c>
      <c r="K42" s="148">
        <f>SUMIFS(Discover!$F:$F,Discover!$K:$K,'PERSONAL BUDGET - WIP'!$C$35,Discover!$B:$B,'PERSONAL BUDGET - WIP'!K$3)</f>
        <v>0</v>
      </c>
      <c r="L42" s="152">
        <f>SUMIFS(Discover!$F:$F,Discover!$K:$K,'PERSONAL BUDGET - WIP'!$C$35,Discover!$B:$B,'PERSONAL BUDGET - WIP'!L$3)</f>
        <v>0</v>
      </c>
      <c r="M42" s="148">
        <f>SUMIFS(Discover!$F:$F,Discover!$K:$K,'PERSONAL BUDGET - WIP'!$C$35,Discover!$B:$B,'PERSONAL BUDGET - WIP'!M$3)</f>
        <v>0</v>
      </c>
      <c r="N42" s="152">
        <f>SUMIFS(Discover!$F:$F,Discover!$K:$K,'PERSONAL BUDGET - WIP'!$C$35,Discover!$B:$B,'PERSONAL BUDGET - WIP'!N$3)</f>
        <v>0</v>
      </c>
      <c r="O42" s="148">
        <f>SUMIFS(Discover!$F:$F,Discover!$K:$K,'PERSONAL BUDGET - WIP'!$C$35,Discover!$B:$B,'PERSONAL BUDGET - WIP'!O$3)</f>
        <v>0</v>
      </c>
      <c r="P42" s="152">
        <f>SUM(Health[[#This Row],[January]:[December]])</f>
        <v>237.04</v>
      </c>
      <c r="Q42" s="148"/>
    </row>
    <row r="43" spans="1:19" s="144" customFormat="1" ht="31.5" customHeight="1" thickBot="1" x14ac:dyDescent="0.25">
      <c r="A43" s="120"/>
      <c r="B43" s="120"/>
      <c r="C43" s="200" t="s">
        <v>669</v>
      </c>
      <c r="D43" s="201">
        <f>SUBTOTAL(109,Health[January])</f>
        <v>70.509999999999991</v>
      </c>
      <c r="E43" s="181">
        <f>SUBTOTAL(109,Health[February])</f>
        <v>10</v>
      </c>
      <c r="F43" s="201">
        <f>SUBTOTAL(109,Health[March])</f>
        <v>120</v>
      </c>
      <c r="G43" s="181">
        <f>SUBTOTAL(109,Health[April])</f>
        <v>0</v>
      </c>
      <c r="H43" s="201">
        <f>SUBTOTAL(109,Health[May])</f>
        <v>0</v>
      </c>
      <c r="I43" s="181">
        <f>SUBTOTAL(109,Health[June])</f>
        <v>0</v>
      </c>
      <c r="J43" s="201">
        <f>SUBTOTAL(109,Health[July])</f>
        <v>36.53</v>
      </c>
      <c r="K43" s="181">
        <f>SUBTOTAL(109,Health[August])</f>
        <v>0</v>
      </c>
      <c r="L43" s="201">
        <f>SUBTOTAL(109,Health[September])</f>
        <v>0</v>
      </c>
      <c r="M43" s="181">
        <f>SUBTOTAL(109,Health[October])</f>
        <v>0</v>
      </c>
      <c r="N43" s="201">
        <f>SUBTOTAL(109,Health[November])</f>
        <v>0</v>
      </c>
      <c r="O43" s="181">
        <f>SUBTOTAL(109,Health[December])</f>
        <v>0</v>
      </c>
      <c r="P43" s="201">
        <f>SUBTOTAL(109,Health[Year])</f>
        <v>237.04</v>
      </c>
      <c r="Q43" s="182"/>
      <c r="S43" s="177">
        <f>P43/$P$6</f>
        <v>6.0247670181114085E-3</v>
      </c>
    </row>
    <row r="44" spans="1:19" ht="15.95" customHeight="1" thickTop="1" x14ac:dyDescent="0.2">
      <c r="B44" s="137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</row>
    <row r="45" spans="1:19" s="144" customFormat="1" ht="15.95" customHeight="1" x14ac:dyDescent="0.2">
      <c r="A45" s="120"/>
      <c r="B45" s="137"/>
      <c r="C45" s="145" t="s">
        <v>682</v>
      </c>
      <c r="D45" s="154" t="s">
        <v>657</v>
      </c>
      <c r="E45" s="129" t="s">
        <v>658</v>
      </c>
      <c r="F45" s="154" t="s">
        <v>659</v>
      </c>
      <c r="G45" s="129" t="s">
        <v>660</v>
      </c>
      <c r="H45" s="154" t="s">
        <v>521</v>
      </c>
      <c r="I45" s="129" t="s">
        <v>279</v>
      </c>
      <c r="J45" s="154" t="s">
        <v>661</v>
      </c>
      <c r="K45" s="129" t="s">
        <v>662</v>
      </c>
      <c r="L45" s="154" t="s">
        <v>663</v>
      </c>
      <c r="M45" s="129" t="s">
        <v>664</v>
      </c>
      <c r="N45" s="154" t="s">
        <v>665</v>
      </c>
      <c r="O45" s="129" t="s">
        <v>666</v>
      </c>
      <c r="P45" s="154" t="s">
        <v>13</v>
      </c>
      <c r="Q45" s="129" t="s">
        <v>667</v>
      </c>
    </row>
    <row r="46" spans="1:19" ht="15.95" customHeight="1" x14ac:dyDescent="0.2">
      <c r="B46" s="137"/>
      <c r="C46" s="155" t="s">
        <v>683</v>
      </c>
      <c r="D46" s="141"/>
      <c r="E46" s="148"/>
      <c r="F46" s="141"/>
      <c r="G46" s="148"/>
      <c r="H46" s="141"/>
      <c r="I46" s="148"/>
      <c r="J46" s="141"/>
      <c r="K46" s="148"/>
      <c r="L46" s="141"/>
      <c r="M46" s="148"/>
      <c r="N46" s="141"/>
      <c r="O46" s="148"/>
      <c r="P46" s="141">
        <f>SUM(Vacations[[#This Row],[January]:[December]])</f>
        <v>0</v>
      </c>
      <c r="Q46" s="148"/>
    </row>
    <row r="47" spans="1:19" ht="15.95" customHeight="1" x14ac:dyDescent="0.2">
      <c r="B47" s="137"/>
      <c r="C47" s="155" t="s">
        <v>684</v>
      </c>
      <c r="D47" s="141"/>
      <c r="E47" s="148"/>
      <c r="F47" s="141"/>
      <c r="G47" s="148"/>
      <c r="H47" s="141"/>
      <c r="I47" s="148"/>
      <c r="J47" s="141"/>
      <c r="K47" s="148"/>
      <c r="L47" s="141"/>
      <c r="M47" s="148"/>
      <c r="N47" s="141"/>
      <c r="O47" s="148"/>
      <c r="P47" s="141">
        <f>SUM(Vacations[[#This Row],[January]:[December]])</f>
        <v>0</v>
      </c>
      <c r="Q47" s="148"/>
    </row>
    <row r="48" spans="1:19" ht="15.95" customHeight="1" x14ac:dyDescent="0.2">
      <c r="B48" s="137"/>
      <c r="C48" s="147" t="s">
        <v>635</v>
      </c>
      <c r="D48" s="141"/>
      <c r="E48" s="148"/>
      <c r="F48" s="141"/>
      <c r="G48" s="148"/>
      <c r="H48" s="141"/>
      <c r="I48" s="148"/>
      <c r="J48" s="141"/>
      <c r="K48" s="148"/>
      <c r="L48" s="141"/>
      <c r="M48" s="148"/>
      <c r="N48" s="141"/>
      <c r="O48" s="148"/>
      <c r="P48" s="141">
        <f>SUM(Vacations[[#This Row],[January]:[December]])</f>
        <v>0</v>
      </c>
      <c r="Q48" s="143"/>
    </row>
    <row r="49" spans="1:19" ht="15.95" customHeight="1" x14ac:dyDescent="0.2">
      <c r="B49" s="137"/>
      <c r="C49" s="147" t="s">
        <v>685</v>
      </c>
      <c r="D49" s="141"/>
      <c r="E49" s="148"/>
      <c r="F49" s="141"/>
      <c r="G49" s="148"/>
      <c r="H49" s="141"/>
      <c r="I49" s="148"/>
      <c r="J49" s="141"/>
      <c r="K49" s="148"/>
      <c r="L49" s="141"/>
      <c r="M49" s="148"/>
      <c r="N49" s="141"/>
      <c r="O49" s="148"/>
      <c r="P49" s="141">
        <f>SUM(Vacations[[#This Row],[January]:[December]])</f>
        <v>0</v>
      </c>
      <c r="Q49" s="148"/>
    </row>
    <row r="50" spans="1:19" ht="21" customHeight="1" x14ac:dyDescent="0.2">
      <c r="B50" s="137"/>
      <c r="C50" s="147" t="s">
        <v>686</v>
      </c>
      <c r="D50" s="141"/>
      <c r="E50" s="148"/>
      <c r="F50" s="141"/>
      <c r="G50" s="148"/>
      <c r="H50" s="141"/>
      <c r="I50" s="148"/>
      <c r="J50" s="141"/>
      <c r="K50" s="148"/>
      <c r="L50" s="141"/>
      <c r="M50" s="148"/>
      <c r="N50" s="141"/>
      <c r="O50" s="148"/>
      <c r="P50" s="141">
        <f>SUM(Vacations[[#This Row],[January]:[December]])</f>
        <v>0</v>
      </c>
      <c r="Q50" s="143"/>
    </row>
    <row r="51" spans="1:19" ht="20.25" customHeight="1" x14ac:dyDescent="0.2">
      <c r="C51" s="147" t="s">
        <v>789</v>
      </c>
      <c r="D51" s="141">
        <f>SUMIFS(Discover!$F:$F,Discover!$K:$K,'PERSONAL BUDGET - WIP'!$C$45,Discover!$B:$B,'PERSONAL BUDGET - WIP'!D$3)</f>
        <v>0</v>
      </c>
      <c r="E51" s="148">
        <f>SUMIFS(Discover!$F:$F,Discover!$K:$K,'PERSONAL BUDGET - WIP'!$C$45,Discover!$B:$B,'PERSONAL BUDGET - WIP'!E$3)</f>
        <v>0</v>
      </c>
      <c r="F51" s="141">
        <f>SUMIFS(Discover!$F:$F,Discover!$K:$K,'PERSONAL BUDGET - WIP'!$C$45,Discover!$B:$B,'PERSONAL BUDGET - WIP'!F$3)</f>
        <v>373.46000000000004</v>
      </c>
      <c r="G51" s="148">
        <f>SUMIFS(Discover!$F:$F,Discover!$K:$K,'PERSONAL BUDGET - WIP'!$C$45,Discover!$B:$B,'PERSONAL BUDGET - WIP'!G$3)</f>
        <v>0</v>
      </c>
      <c r="H51" s="141">
        <f>SUMIFS(Discover!$F:$F,Discover!$K:$K,'PERSONAL BUDGET - WIP'!$C$45,Discover!$B:$B,'PERSONAL BUDGET - WIP'!H$3)</f>
        <v>0</v>
      </c>
      <c r="I51" s="148">
        <f>SUMIFS(Discover!$F:$F,Discover!$K:$K,'PERSONAL BUDGET - WIP'!$C$45,Discover!$B:$B,'PERSONAL BUDGET - WIP'!I$3)</f>
        <v>215.24</v>
      </c>
      <c r="J51" s="141">
        <f>SUMIFS(Discover!$F:$F,Discover!$K:$K,'PERSONAL BUDGET - WIP'!$C$45,Discover!$B:$B,'PERSONAL BUDGET - WIP'!J$3)</f>
        <v>1089.7899999999997</v>
      </c>
      <c r="K51" s="148">
        <f>SUMIFS(Discover!$F:$F,Discover!$K:$K,'PERSONAL BUDGET - WIP'!$C$45,Discover!$B:$B,'PERSONAL BUDGET - WIP'!K$3)</f>
        <v>0</v>
      </c>
      <c r="L51" s="141">
        <f>SUMIFS(Discover!$F:$F,Discover!$K:$K,'PERSONAL BUDGET - WIP'!$C$45,Discover!$B:$B,'PERSONAL BUDGET - WIP'!L$3)</f>
        <v>0</v>
      </c>
      <c r="M51" s="148">
        <f>SUMIFS(Discover!$F:$F,Discover!$K:$K,'PERSONAL BUDGET - WIP'!$C$45,Discover!$B:$B,'PERSONAL BUDGET - WIP'!M$3)</f>
        <v>0</v>
      </c>
      <c r="N51" s="141">
        <f>SUMIFS(Discover!$F:$F,Discover!$K:$K,'PERSONAL BUDGET - WIP'!$C$45,Discover!$B:$B,'PERSONAL BUDGET - WIP'!N$3)</f>
        <v>0</v>
      </c>
      <c r="O51" s="148">
        <f>SUMIFS(Discover!$F:$F,Discover!$K:$K,'PERSONAL BUDGET - WIP'!$C$45,Discover!$B:$B,'PERSONAL BUDGET - WIP'!O$3)</f>
        <v>0</v>
      </c>
      <c r="P51" s="141">
        <f>SUM(Vacations[[#This Row],[January]:[December]])</f>
        <v>1678.4899999999998</v>
      </c>
      <c r="Q51" s="148"/>
    </row>
    <row r="52" spans="1:19" s="144" customFormat="1" ht="31.5" customHeight="1" thickBot="1" x14ac:dyDescent="0.25">
      <c r="A52" s="120"/>
      <c r="B52" s="120"/>
      <c r="C52" s="179" t="s">
        <v>669</v>
      </c>
      <c r="D52" s="180">
        <f>SUBTOTAL(109,Vacations[January])</f>
        <v>0</v>
      </c>
      <c r="E52" s="181">
        <f>SUBTOTAL(109,Vacations[February])</f>
        <v>0</v>
      </c>
      <c r="F52" s="180">
        <f>SUBTOTAL(109,Vacations[March])</f>
        <v>373.46000000000004</v>
      </c>
      <c r="G52" s="181">
        <f>SUBTOTAL(109,Vacations[April])</f>
        <v>0</v>
      </c>
      <c r="H52" s="180">
        <f>SUBTOTAL(109,Vacations[May])</f>
        <v>0</v>
      </c>
      <c r="I52" s="181">
        <f>SUBTOTAL(109,Vacations[June])</f>
        <v>215.24</v>
      </c>
      <c r="J52" s="180">
        <f>SUBTOTAL(109,Vacations[July])</f>
        <v>1089.7899999999997</v>
      </c>
      <c r="K52" s="181">
        <f>SUBTOTAL(109,Vacations[August])</f>
        <v>0</v>
      </c>
      <c r="L52" s="180">
        <f>SUBTOTAL(109,Vacations[September])</f>
        <v>0</v>
      </c>
      <c r="M52" s="181">
        <f>SUBTOTAL(109,Vacations[October])</f>
        <v>0</v>
      </c>
      <c r="N52" s="180">
        <f>SUBTOTAL(109,Vacations[November])</f>
        <v>0</v>
      </c>
      <c r="O52" s="181">
        <f>SUBTOTAL(109,Vacations[December])</f>
        <v>0</v>
      </c>
      <c r="P52" s="180">
        <f>SUBTOTAL(109,Vacations[Year])</f>
        <v>1678.4899999999998</v>
      </c>
      <c r="Q52" s="182"/>
      <c r="S52" s="177">
        <f>P52/$P$6</f>
        <v>4.2661623321928022E-2</v>
      </c>
    </row>
    <row r="53" spans="1:19" ht="15.95" customHeight="1" thickTop="1" x14ac:dyDescent="0.2">
      <c r="B53" s="137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</row>
    <row r="54" spans="1:19" ht="15.95" customHeight="1" x14ac:dyDescent="0.2">
      <c r="B54" s="137"/>
      <c r="C54" s="156" t="s">
        <v>687</v>
      </c>
      <c r="D54" s="157" t="s">
        <v>657</v>
      </c>
      <c r="E54" s="158" t="s">
        <v>658</v>
      </c>
      <c r="F54" s="157" t="s">
        <v>659</v>
      </c>
      <c r="G54" s="158" t="s">
        <v>660</v>
      </c>
      <c r="H54" s="157" t="s">
        <v>521</v>
      </c>
      <c r="I54" s="158" t="s">
        <v>279</v>
      </c>
      <c r="J54" s="157" t="s">
        <v>661</v>
      </c>
      <c r="K54" s="158" t="s">
        <v>662</v>
      </c>
      <c r="L54" s="157" t="s">
        <v>663</v>
      </c>
      <c r="M54" s="158" t="s">
        <v>664</v>
      </c>
      <c r="N54" s="157" t="s">
        <v>665</v>
      </c>
      <c r="O54" s="158" t="s">
        <v>666</v>
      </c>
      <c r="P54" s="157" t="s">
        <v>13</v>
      </c>
      <c r="Q54" s="158" t="s">
        <v>667</v>
      </c>
    </row>
    <row r="55" spans="1:19" ht="15.95" customHeight="1" x14ac:dyDescent="0.2">
      <c r="B55" s="137"/>
      <c r="C55" s="147" t="s">
        <v>688</v>
      </c>
      <c r="D55" s="141"/>
      <c r="E55" s="148"/>
      <c r="F55" s="141"/>
      <c r="G55" s="148"/>
      <c r="H55" s="141"/>
      <c r="I55" s="148"/>
      <c r="J55" s="141"/>
      <c r="K55" s="148"/>
      <c r="L55" s="141"/>
      <c r="M55" s="148"/>
      <c r="N55" s="141"/>
      <c r="O55" s="148"/>
      <c r="P55" s="141">
        <f>SUM(Recreation[[#This Row],[January]:[December]])</f>
        <v>0</v>
      </c>
      <c r="Q55" s="143"/>
    </row>
    <row r="56" spans="1:19" ht="15.95" customHeight="1" x14ac:dyDescent="0.2">
      <c r="B56" s="137"/>
      <c r="C56" s="147" t="s">
        <v>775</v>
      </c>
      <c r="D56" s="141"/>
      <c r="E56" s="148"/>
      <c r="F56" s="141"/>
      <c r="G56" s="148"/>
      <c r="H56" s="141"/>
      <c r="I56" s="148"/>
      <c r="J56" s="141"/>
      <c r="K56" s="148"/>
      <c r="L56" s="141"/>
      <c r="M56" s="148"/>
      <c r="N56" s="141"/>
      <c r="O56" s="148"/>
      <c r="P56" s="141">
        <f>SUM(Recreation[[#This Row],[January]:[December]])</f>
        <v>0</v>
      </c>
      <c r="Q56" s="148"/>
    </row>
    <row r="57" spans="1:19" ht="21" customHeight="1" x14ac:dyDescent="0.2">
      <c r="B57" s="137"/>
      <c r="C57" s="147" t="s">
        <v>689</v>
      </c>
      <c r="D57" s="141"/>
      <c r="E57" s="148"/>
      <c r="F57" s="141"/>
      <c r="G57" s="148"/>
      <c r="H57" s="141"/>
      <c r="I57" s="148"/>
      <c r="J57" s="141"/>
      <c r="K57" s="148"/>
      <c r="L57" s="141"/>
      <c r="M57" s="148"/>
      <c r="N57" s="141"/>
      <c r="O57" s="148"/>
      <c r="P57" s="141">
        <f>SUM(Recreation[[#This Row],[January]:[December]])</f>
        <v>0</v>
      </c>
      <c r="Q57" s="143"/>
    </row>
    <row r="58" spans="1:19" ht="20.25" customHeight="1" x14ac:dyDescent="0.2">
      <c r="C58" s="147" t="s">
        <v>789</v>
      </c>
      <c r="D58" s="141">
        <f>SUMIFS(Discover!$F:$F,Discover!$K:$K,'PERSONAL BUDGET - WIP'!$C$54,Discover!$B:$B,'PERSONAL BUDGET - WIP'!D$3)</f>
        <v>0</v>
      </c>
      <c r="E58" s="148">
        <f>SUMIFS(Discover!$F:$F,Discover!$K:$K,'PERSONAL BUDGET - WIP'!$C$54,Discover!$B:$B,'PERSONAL BUDGET - WIP'!E$3)</f>
        <v>0</v>
      </c>
      <c r="F58" s="141">
        <f>SUMIFS(Discover!$F:$F,Discover!$K:$K,'PERSONAL BUDGET - WIP'!$C$54,Discover!$B:$B,'PERSONAL BUDGET - WIP'!F$3)</f>
        <v>0</v>
      </c>
      <c r="G58" s="148">
        <f>SUMIFS(Discover!$F:$F,Discover!$K:$K,'PERSONAL BUDGET - WIP'!$C$54,Discover!$B:$B,'PERSONAL BUDGET - WIP'!G$3)</f>
        <v>111.08999999999999</v>
      </c>
      <c r="H58" s="141">
        <f>SUMIFS(Discover!$F:$F,Discover!$K:$K,'PERSONAL BUDGET - WIP'!$C$54,Discover!$B:$B,'PERSONAL BUDGET - WIP'!H$3)</f>
        <v>100.47</v>
      </c>
      <c r="I58" s="148">
        <f>SUMIFS(Discover!$F:$F,Discover!$K:$K,'PERSONAL BUDGET - WIP'!$C$54,Discover!$B:$B,'PERSONAL BUDGET - WIP'!I$3)</f>
        <v>143.94999999999999</v>
      </c>
      <c r="J58" s="141">
        <f>SUMIFS(Discover!$F:$F,Discover!$K:$K,'PERSONAL BUDGET - WIP'!$C$54,Discover!$B:$B,'PERSONAL BUDGET - WIP'!J$3)</f>
        <v>110.25</v>
      </c>
      <c r="K58" s="148">
        <f>SUMIFS(Discover!$F:$F,Discover!$K:$K,'PERSONAL BUDGET - WIP'!$C$54,Discover!$B:$B,'PERSONAL BUDGET - WIP'!K$3)</f>
        <v>109.95</v>
      </c>
      <c r="L58" s="141">
        <f>SUMIFS(Discover!$F:$F,Discover!$K:$K,'PERSONAL BUDGET - WIP'!$C$54,Discover!$B:$B,'PERSONAL BUDGET - WIP'!L$3)</f>
        <v>0</v>
      </c>
      <c r="M58" s="148">
        <f>SUMIFS(Discover!$F:$F,Discover!$K:$K,'PERSONAL BUDGET - WIP'!$C$54,Discover!$B:$B,'PERSONAL BUDGET - WIP'!M$3)</f>
        <v>0</v>
      </c>
      <c r="N58" s="141">
        <f>SUMIFS(Discover!$F:$F,Discover!$K:$K,'PERSONAL BUDGET - WIP'!$C$54,Discover!$B:$B,'PERSONAL BUDGET - WIP'!N$3)</f>
        <v>0</v>
      </c>
      <c r="O58" s="148">
        <f>SUMIFS(Discover!$F:$F,Discover!$K:$K,'PERSONAL BUDGET - WIP'!$C$54,Discover!$B:$B,'PERSONAL BUDGET - WIP'!O$3)</f>
        <v>0</v>
      </c>
      <c r="P58" s="141">
        <f>SUM(Recreation[[#This Row],[January]:[December]])</f>
        <v>575.71</v>
      </c>
      <c r="Q58" s="148"/>
    </row>
    <row r="59" spans="1:19" s="144" customFormat="1" ht="31.5" customHeight="1" thickBot="1" x14ac:dyDescent="0.25">
      <c r="A59" s="120"/>
      <c r="B59" s="120"/>
      <c r="C59" s="179" t="s">
        <v>669</v>
      </c>
      <c r="D59" s="180">
        <f>SUBTOTAL(109,Recreation[January])</f>
        <v>0</v>
      </c>
      <c r="E59" s="181">
        <f>SUBTOTAL(109,Recreation[February])</f>
        <v>0</v>
      </c>
      <c r="F59" s="180">
        <f>SUBTOTAL(109,Recreation[March])</f>
        <v>0</v>
      </c>
      <c r="G59" s="181">
        <f>SUBTOTAL(109,Recreation[April])</f>
        <v>111.08999999999999</v>
      </c>
      <c r="H59" s="180">
        <f>SUBTOTAL(109,Recreation[May])</f>
        <v>100.47</v>
      </c>
      <c r="I59" s="181">
        <f>SUBTOTAL(109,Recreation[June])</f>
        <v>143.94999999999999</v>
      </c>
      <c r="J59" s="180">
        <f>SUBTOTAL(109,Recreation[July])</f>
        <v>110.25</v>
      </c>
      <c r="K59" s="181">
        <f>SUBTOTAL(109,Recreation[August])</f>
        <v>109.95</v>
      </c>
      <c r="L59" s="180">
        <f>SUBTOTAL(109,Recreation[September])</f>
        <v>0</v>
      </c>
      <c r="M59" s="181">
        <f>SUBTOTAL(109,Recreation[October])</f>
        <v>0</v>
      </c>
      <c r="N59" s="180">
        <f>SUBTOTAL(109,Recreation[November])</f>
        <v>0</v>
      </c>
      <c r="O59" s="181">
        <f>SUBTOTAL(109,Recreation[December])</f>
        <v>0</v>
      </c>
      <c r="P59" s="180">
        <f>SUBTOTAL(109,Recreation[Year])</f>
        <v>575.71</v>
      </c>
      <c r="Q59" s="182"/>
      <c r="S59" s="177">
        <f>P59/$P$6</f>
        <v>1.4632630020236752E-2</v>
      </c>
    </row>
    <row r="60" spans="1:19" ht="15.95" customHeight="1" thickTop="1" x14ac:dyDescent="0.2"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</row>
    <row r="61" spans="1:19" ht="15.95" customHeight="1" x14ac:dyDescent="0.2">
      <c r="B61" s="149"/>
      <c r="C61" s="159" t="s">
        <v>788</v>
      </c>
      <c r="D61" s="160" t="s">
        <v>657</v>
      </c>
      <c r="E61" s="158" t="s">
        <v>658</v>
      </c>
      <c r="F61" s="160" t="s">
        <v>659</v>
      </c>
      <c r="G61" s="158" t="s">
        <v>660</v>
      </c>
      <c r="H61" s="160" t="s">
        <v>521</v>
      </c>
      <c r="I61" s="158" t="s">
        <v>279</v>
      </c>
      <c r="J61" s="160" t="s">
        <v>661</v>
      </c>
      <c r="K61" s="158" t="s">
        <v>662</v>
      </c>
      <c r="L61" s="160" t="s">
        <v>663</v>
      </c>
      <c r="M61" s="158" t="s">
        <v>664</v>
      </c>
      <c r="N61" s="160" t="s">
        <v>665</v>
      </c>
      <c r="O61" s="158" t="s">
        <v>666</v>
      </c>
      <c r="P61" s="160" t="s">
        <v>13</v>
      </c>
      <c r="Q61" s="158" t="s">
        <v>667</v>
      </c>
    </row>
    <row r="62" spans="1:19" ht="15.95" customHeight="1" x14ac:dyDescent="0.2">
      <c r="B62" s="149"/>
      <c r="C62" s="153" t="s">
        <v>772</v>
      </c>
      <c r="D62" s="152"/>
      <c r="E62" s="148"/>
      <c r="F62" s="152"/>
      <c r="G62" s="148"/>
      <c r="H62" s="152"/>
      <c r="I62" s="148"/>
      <c r="J62" s="152"/>
      <c r="K62" s="148"/>
      <c r="L62" s="152"/>
      <c r="M62" s="148"/>
      <c r="N62" s="152"/>
      <c r="O62" s="148"/>
      <c r="P62" s="152">
        <f>SUM(DuesAndSubscription[[#This Row],[January]:[December]])</f>
        <v>0</v>
      </c>
      <c r="Q62" s="148"/>
    </row>
    <row r="63" spans="1:19" ht="15.95" customHeight="1" x14ac:dyDescent="0.2">
      <c r="B63" s="149"/>
      <c r="C63" s="147" t="s">
        <v>773</v>
      </c>
      <c r="D63" s="152"/>
      <c r="E63" s="148"/>
      <c r="F63" s="152"/>
      <c r="G63" s="148"/>
      <c r="H63" s="152"/>
      <c r="I63" s="148"/>
      <c r="J63" s="152"/>
      <c r="K63" s="148"/>
      <c r="L63" s="152"/>
      <c r="M63" s="148"/>
      <c r="N63" s="152"/>
      <c r="O63" s="148"/>
      <c r="P63" s="152">
        <f>SUM(DuesAndSubscription[[#This Row],[January]:[December]])</f>
        <v>0</v>
      </c>
      <c r="Q63" s="143"/>
    </row>
    <row r="64" spans="1:19" ht="15.95" customHeight="1" x14ac:dyDescent="0.2">
      <c r="B64" s="149"/>
      <c r="C64" s="147" t="s">
        <v>774</v>
      </c>
      <c r="D64" s="152"/>
      <c r="E64" s="148"/>
      <c r="F64" s="152"/>
      <c r="G64" s="148"/>
      <c r="H64" s="152"/>
      <c r="I64" s="148"/>
      <c r="J64" s="152"/>
      <c r="K64" s="148"/>
      <c r="L64" s="152"/>
      <c r="M64" s="148"/>
      <c r="N64" s="152"/>
      <c r="O64" s="148"/>
      <c r="P64" s="152">
        <f>SUM(DuesAndSubscription[[#This Row],[January]:[December]])</f>
        <v>0</v>
      </c>
      <c r="Q64" s="148"/>
    </row>
    <row r="65" spans="1:19" ht="15.95" customHeight="1" x14ac:dyDescent="0.2">
      <c r="B65" s="149"/>
      <c r="C65" s="147" t="s">
        <v>690</v>
      </c>
      <c r="D65" s="152"/>
      <c r="E65" s="148"/>
      <c r="F65" s="152"/>
      <c r="G65" s="148"/>
      <c r="H65" s="152"/>
      <c r="I65" s="148"/>
      <c r="J65" s="152"/>
      <c r="K65" s="148"/>
      <c r="L65" s="152"/>
      <c r="M65" s="148"/>
      <c r="N65" s="152"/>
      <c r="O65" s="148"/>
      <c r="P65" s="152">
        <f>SUM(DuesAndSubscription[[#This Row],[January]:[December]])</f>
        <v>0</v>
      </c>
      <c r="Q65" s="143"/>
    </row>
    <row r="66" spans="1:19" ht="15.95" customHeight="1" x14ac:dyDescent="0.2">
      <c r="B66" s="149"/>
      <c r="C66" s="147" t="s">
        <v>691</v>
      </c>
      <c r="D66" s="152"/>
      <c r="E66" s="148"/>
      <c r="F66" s="152"/>
      <c r="G66" s="148"/>
      <c r="H66" s="152"/>
      <c r="I66" s="148"/>
      <c r="J66" s="152"/>
      <c r="K66" s="148"/>
      <c r="L66" s="152"/>
      <c r="M66" s="148"/>
      <c r="N66" s="152"/>
      <c r="O66" s="148"/>
      <c r="P66" s="152">
        <f>SUM(DuesAndSubscription[[#This Row],[January]:[December]])</f>
        <v>0</v>
      </c>
      <c r="Q66" s="148"/>
    </row>
    <row r="67" spans="1:19" ht="21" customHeight="1" x14ac:dyDescent="0.2">
      <c r="B67" s="149"/>
      <c r="C67" s="147" t="s">
        <v>692</v>
      </c>
      <c r="D67" s="152"/>
      <c r="E67" s="148"/>
      <c r="F67" s="152"/>
      <c r="G67" s="148"/>
      <c r="H67" s="152"/>
      <c r="I67" s="148"/>
      <c r="J67" s="152"/>
      <c r="K67" s="148"/>
      <c r="L67" s="152"/>
      <c r="M67" s="148"/>
      <c r="N67" s="152"/>
      <c r="O67" s="148"/>
      <c r="P67" s="152">
        <f>SUM(DuesAndSubscription[[#This Row],[January]:[December]])</f>
        <v>0</v>
      </c>
      <c r="Q67" s="143"/>
    </row>
    <row r="68" spans="1:19" ht="20.25" customHeight="1" x14ac:dyDescent="0.2">
      <c r="C68" s="147" t="s">
        <v>789</v>
      </c>
      <c r="D68" s="152">
        <f>SUMIFS(Discover!$F:$F,Discover!$K:$K,'PERSONAL BUDGET - WIP'!$C$61,Discover!$B:$B,'PERSONAL BUDGET - WIP'!D$3)</f>
        <v>98.85</v>
      </c>
      <c r="E68" s="148">
        <f>SUMIFS(Discover!$F:$F,Discover!$K:$K,'PERSONAL BUDGET - WIP'!$C$61,Discover!$B:$B,'PERSONAL BUDGET - WIP'!E$3)</f>
        <v>250.90000000000003</v>
      </c>
      <c r="F68" s="152">
        <f>SUMIFS(Discover!$F:$F,Discover!$K:$K,'PERSONAL BUDGET - WIP'!$C$61,Discover!$B:$B,'PERSONAL BUDGET - WIP'!F$3)</f>
        <v>561.85000000000014</v>
      </c>
      <c r="G68" s="148">
        <f>SUMIFS(Discover!$F:$F,Discover!$K:$K,'PERSONAL BUDGET - WIP'!$C$61,Discover!$B:$B,'PERSONAL BUDGET - WIP'!G$3)</f>
        <v>223.48000000000002</v>
      </c>
      <c r="H68" s="152">
        <f>SUMIFS(Discover!$F:$F,Discover!$K:$K,'PERSONAL BUDGET - WIP'!$C$61,Discover!$B:$B,'PERSONAL BUDGET - WIP'!H$3)</f>
        <v>497.40000000000009</v>
      </c>
      <c r="I68" s="148">
        <f>SUMIFS(Discover!$F:$F,Discover!$K:$K,'PERSONAL BUDGET - WIP'!$C$61,Discover!$B:$B,'PERSONAL BUDGET - WIP'!I$3)</f>
        <v>435.14</v>
      </c>
      <c r="J68" s="152">
        <f>SUMIFS(Discover!$F:$F,Discover!$K:$K,'PERSONAL BUDGET - WIP'!$C$61,Discover!$B:$B,'PERSONAL BUDGET - WIP'!J$3)</f>
        <v>224.74</v>
      </c>
      <c r="K68" s="148">
        <f>SUMIFS(Discover!$F:$F,Discover!$K:$K,'PERSONAL BUDGET - WIP'!$C$61,Discover!$B:$B,'PERSONAL BUDGET - WIP'!K$3)</f>
        <v>404.38</v>
      </c>
      <c r="L68" s="152">
        <f>SUMIFS(Discover!$F:$F,Discover!$K:$K,'PERSONAL BUDGET - WIP'!$C$61,Discover!$B:$B,'PERSONAL BUDGET - WIP'!L$3)</f>
        <v>10</v>
      </c>
      <c r="M68" s="148">
        <f>SUMIFS(Discover!$F:$F,Discover!$K:$K,'PERSONAL BUDGET - WIP'!$C$61,Discover!$B:$B,'PERSONAL BUDGET - WIP'!M$3)</f>
        <v>0</v>
      </c>
      <c r="N68" s="152">
        <f>SUMIFS(Discover!$F:$F,Discover!$K:$K,'PERSONAL BUDGET - WIP'!$C$61,Discover!$B:$B,'PERSONAL BUDGET - WIP'!N$3)</f>
        <v>0</v>
      </c>
      <c r="O68" s="148">
        <f>SUMIFS(Discover!$F:$F,Discover!$K:$K,'PERSONAL BUDGET - WIP'!$C$61,Discover!$B:$B,'PERSONAL BUDGET - WIP'!O$3)</f>
        <v>0</v>
      </c>
      <c r="P68" s="152">
        <f>SUM(DuesAndSubscription[[#This Row],[January]:[December]])</f>
        <v>2706.7400000000007</v>
      </c>
      <c r="Q68" s="148"/>
    </row>
    <row r="69" spans="1:19" s="144" customFormat="1" ht="31.5" customHeight="1" thickBot="1" x14ac:dyDescent="0.25">
      <c r="A69" s="120"/>
      <c r="B69" s="120"/>
      <c r="C69" s="200" t="s">
        <v>669</v>
      </c>
      <c r="D69" s="201">
        <f>SUBTOTAL(109,DuesAndSubscription[January])</f>
        <v>98.85</v>
      </c>
      <c r="E69" s="181">
        <f>SUBTOTAL(109,DuesAndSubscription[February])</f>
        <v>250.90000000000003</v>
      </c>
      <c r="F69" s="201">
        <f>SUBTOTAL(109,DuesAndSubscription[March])</f>
        <v>561.85000000000014</v>
      </c>
      <c r="G69" s="181">
        <f>SUBTOTAL(109,DuesAndSubscription[April])</f>
        <v>223.48000000000002</v>
      </c>
      <c r="H69" s="201">
        <f>SUBTOTAL(109,DuesAndSubscription[May])</f>
        <v>497.40000000000009</v>
      </c>
      <c r="I69" s="181">
        <f>SUBTOTAL(109,DuesAndSubscription[June])</f>
        <v>435.14</v>
      </c>
      <c r="J69" s="201">
        <f>SUBTOTAL(109,DuesAndSubscription[July])</f>
        <v>224.74</v>
      </c>
      <c r="K69" s="181">
        <f>SUBTOTAL(109,DuesAndSubscription[August])</f>
        <v>404.38</v>
      </c>
      <c r="L69" s="201">
        <f>SUBTOTAL(109,DuesAndSubscription[September])</f>
        <v>10</v>
      </c>
      <c r="M69" s="181">
        <f>SUBTOTAL(109,DuesAndSubscription[October])</f>
        <v>0</v>
      </c>
      <c r="N69" s="201">
        <f>SUBTOTAL(109,DuesAndSubscription[November])</f>
        <v>0</v>
      </c>
      <c r="O69" s="181">
        <f>SUBTOTAL(109,DuesAndSubscription[December])</f>
        <v>0</v>
      </c>
      <c r="P69" s="201">
        <f>SUBTOTAL(109,DuesAndSubscription[Year])</f>
        <v>2706.7400000000007</v>
      </c>
      <c r="Q69" s="182"/>
      <c r="S69" s="177">
        <f>P69/$P$6</f>
        <v>6.8796312346451574E-2</v>
      </c>
    </row>
    <row r="70" spans="1:19" ht="15.95" customHeight="1" thickTop="1" x14ac:dyDescent="0.2">
      <c r="B70" s="149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</row>
    <row r="71" spans="1:19" ht="15.95" customHeight="1" x14ac:dyDescent="0.2">
      <c r="B71" s="149"/>
      <c r="C71" s="159" t="s">
        <v>693</v>
      </c>
      <c r="D71" s="157" t="s">
        <v>657</v>
      </c>
      <c r="E71" s="158" t="s">
        <v>658</v>
      </c>
      <c r="F71" s="157" t="s">
        <v>659</v>
      </c>
      <c r="G71" s="158" t="s">
        <v>660</v>
      </c>
      <c r="H71" s="157" t="s">
        <v>521</v>
      </c>
      <c r="I71" s="158" t="s">
        <v>279</v>
      </c>
      <c r="J71" s="157" t="s">
        <v>661</v>
      </c>
      <c r="K71" s="158" t="s">
        <v>662</v>
      </c>
      <c r="L71" s="157" t="s">
        <v>663</v>
      </c>
      <c r="M71" s="158" t="s">
        <v>664</v>
      </c>
      <c r="N71" s="157" t="s">
        <v>665</v>
      </c>
      <c r="O71" s="158" t="s">
        <v>666</v>
      </c>
      <c r="P71" s="157" t="s">
        <v>13</v>
      </c>
      <c r="Q71" s="158" t="s">
        <v>667</v>
      </c>
    </row>
    <row r="72" spans="1:19" ht="15.95" customHeight="1" x14ac:dyDescent="0.2">
      <c r="B72" s="149"/>
      <c r="C72" s="147" t="s">
        <v>636</v>
      </c>
      <c r="D72" s="152"/>
      <c r="E72" s="148"/>
      <c r="F72" s="152"/>
      <c r="G72" s="148"/>
      <c r="H72" s="152"/>
      <c r="I72" s="148"/>
      <c r="J72" s="152"/>
      <c r="K72" s="148"/>
      <c r="L72" s="152"/>
      <c r="M72" s="148"/>
      <c r="N72" s="152"/>
      <c r="O72" s="148"/>
      <c r="P72" s="152">
        <f>SUM(Personal[[#This Row],[January]:[December]])</f>
        <v>0</v>
      </c>
      <c r="Q72" s="148"/>
    </row>
    <row r="73" spans="1:19" ht="15.95" customHeight="1" x14ac:dyDescent="0.2">
      <c r="B73" s="149"/>
      <c r="C73" s="147" t="s">
        <v>694</v>
      </c>
      <c r="D73" s="152"/>
      <c r="E73" s="148"/>
      <c r="F73" s="152"/>
      <c r="G73" s="148"/>
      <c r="H73" s="152"/>
      <c r="I73" s="148"/>
      <c r="J73" s="152"/>
      <c r="K73" s="148"/>
      <c r="L73" s="152"/>
      <c r="M73" s="148"/>
      <c r="N73" s="152"/>
      <c r="O73" s="148"/>
      <c r="P73" s="152">
        <f>SUM(Personal[[#This Row],[January]:[December]])</f>
        <v>0</v>
      </c>
      <c r="Q73" s="143"/>
    </row>
    <row r="74" spans="1:19" ht="15.95" customHeight="1" x14ac:dyDescent="0.2">
      <c r="B74" s="149"/>
      <c r="C74" s="147" t="s">
        <v>695</v>
      </c>
      <c r="D74" s="152"/>
      <c r="E74" s="148"/>
      <c r="F74" s="152"/>
      <c r="G74" s="148"/>
      <c r="H74" s="152"/>
      <c r="I74" s="148"/>
      <c r="J74" s="152"/>
      <c r="K74" s="148"/>
      <c r="L74" s="152"/>
      <c r="M74" s="148"/>
      <c r="N74" s="152"/>
      <c r="O74" s="148"/>
      <c r="P74" s="152">
        <f>SUM(Personal[[#This Row],[January]:[December]])</f>
        <v>0</v>
      </c>
      <c r="Q74" s="148"/>
    </row>
    <row r="75" spans="1:19" ht="21" customHeight="1" x14ac:dyDescent="0.2">
      <c r="B75" s="149"/>
      <c r="C75" s="147" t="s">
        <v>696</v>
      </c>
      <c r="D75" s="152"/>
      <c r="E75" s="148"/>
      <c r="F75" s="152"/>
      <c r="G75" s="148"/>
      <c r="H75" s="152"/>
      <c r="I75" s="148"/>
      <c r="J75" s="152"/>
      <c r="K75" s="148"/>
      <c r="L75" s="152"/>
      <c r="M75" s="148"/>
      <c r="N75" s="152"/>
      <c r="O75" s="148"/>
      <c r="P75" s="152">
        <f>SUM(Personal[[#This Row],[January]:[December]])</f>
        <v>0</v>
      </c>
      <c r="Q75" s="143"/>
    </row>
    <row r="76" spans="1:19" ht="20.25" customHeight="1" x14ac:dyDescent="0.2">
      <c r="C76" s="147" t="s">
        <v>789</v>
      </c>
      <c r="D76" s="152">
        <f>SUMIFS(Discover!$F:$F,Discover!$K:$K,'PERSONAL BUDGET - WIP'!$C$71,Discover!$B:$B,'PERSONAL BUDGET - WIP'!D$3)</f>
        <v>357.47</v>
      </c>
      <c r="E76" s="148">
        <f>SUMIFS(Discover!$F:$F,Discover!$K:$K,'PERSONAL BUDGET - WIP'!$C$71,Discover!$B:$B,'PERSONAL BUDGET - WIP'!E$3)</f>
        <v>467.63</v>
      </c>
      <c r="F76" s="152">
        <f>SUMIFS(Discover!$F:$F,Discover!$K:$K,'PERSONAL BUDGET - WIP'!$C$71,Discover!$B:$B,'PERSONAL BUDGET - WIP'!F$3)</f>
        <v>556.41</v>
      </c>
      <c r="G76" s="148">
        <f>SUMIFS(Discover!$F:$F,Discover!$K:$K,'PERSONAL BUDGET - WIP'!$C$71,Discover!$B:$B,'PERSONAL BUDGET - WIP'!G$3)</f>
        <v>435.04</v>
      </c>
      <c r="H76" s="152">
        <f>SUMIFS(Discover!$F:$F,Discover!$K:$K,'PERSONAL BUDGET - WIP'!$C$71,Discover!$B:$B,'PERSONAL BUDGET - WIP'!H$3)</f>
        <v>545.05999999999995</v>
      </c>
      <c r="I76" s="148">
        <f>SUMIFS(Discover!$F:$F,Discover!$K:$K,'PERSONAL BUDGET - WIP'!$C$71,Discover!$B:$B,'PERSONAL BUDGET - WIP'!I$3)</f>
        <v>1491.7799999999997</v>
      </c>
      <c r="J76" s="152">
        <f>SUMIFS(Discover!$F:$F,Discover!$K:$K,'PERSONAL BUDGET - WIP'!$C$71,Discover!$B:$B,'PERSONAL BUDGET - WIP'!J$3)</f>
        <v>956.62</v>
      </c>
      <c r="K76" s="148">
        <f>SUMIFS(Discover!$F:$F,Discover!$K:$K,'PERSONAL BUDGET - WIP'!$C$71,Discover!$B:$B,'PERSONAL BUDGET - WIP'!K$3)</f>
        <v>372.85999999999996</v>
      </c>
      <c r="L76" s="152">
        <f>SUMIFS(Discover!$F:$F,Discover!$K:$K,'PERSONAL BUDGET - WIP'!$C$71,Discover!$B:$B,'PERSONAL BUDGET - WIP'!L$3)</f>
        <v>0</v>
      </c>
      <c r="M76" s="148">
        <f>SUMIFS(Discover!$F:$F,Discover!$K:$K,'PERSONAL BUDGET - WIP'!$C$71,Discover!$B:$B,'PERSONAL BUDGET - WIP'!M$3)</f>
        <v>0</v>
      </c>
      <c r="N76" s="152">
        <f>SUMIFS(Discover!$F:$F,Discover!$K:$K,'PERSONAL BUDGET - WIP'!$C$71,Discover!$B:$B,'PERSONAL BUDGET - WIP'!N$3)</f>
        <v>0</v>
      </c>
      <c r="O76" s="148">
        <f>SUMIFS(Discover!$F:$F,Discover!$K:$K,'PERSONAL BUDGET - WIP'!$C$71,Discover!$B:$B,'PERSONAL BUDGET - WIP'!O$3)</f>
        <v>0</v>
      </c>
      <c r="P76" s="152">
        <f>SUM(Personal[[#This Row],[January]:[December]])</f>
        <v>5182.869999999999</v>
      </c>
      <c r="Q76" s="148"/>
    </row>
    <row r="77" spans="1:19" s="144" customFormat="1" ht="31.5" customHeight="1" thickBot="1" x14ac:dyDescent="0.25">
      <c r="A77" s="120"/>
      <c r="B77" s="120"/>
      <c r="C77" s="200" t="s">
        <v>669</v>
      </c>
      <c r="D77" s="201">
        <f>SUBTOTAL(109,Personal[January])</f>
        <v>357.47</v>
      </c>
      <c r="E77" s="181">
        <f>SUBTOTAL(109,Personal[February])</f>
        <v>467.63</v>
      </c>
      <c r="F77" s="201">
        <f>SUBTOTAL(109,Personal[March])</f>
        <v>556.41</v>
      </c>
      <c r="G77" s="181">
        <f>SUBTOTAL(109,Personal[April])</f>
        <v>435.04</v>
      </c>
      <c r="H77" s="201">
        <f>SUBTOTAL(109,Personal[May])</f>
        <v>545.05999999999995</v>
      </c>
      <c r="I77" s="181">
        <f>SUBTOTAL(109,Personal[June])</f>
        <v>1491.7799999999997</v>
      </c>
      <c r="J77" s="201">
        <f>SUBTOTAL(109,Personal[July])</f>
        <v>956.62</v>
      </c>
      <c r="K77" s="181">
        <f>SUBTOTAL(109,Personal[August])</f>
        <v>372.85999999999996</v>
      </c>
      <c r="L77" s="201">
        <f>SUBTOTAL(109,Personal[September])</f>
        <v>0</v>
      </c>
      <c r="M77" s="181">
        <f>SUBTOTAL(109,Personal[October])</f>
        <v>0</v>
      </c>
      <c r="N77" s="201">
        <f>SUBTOTAL(109,Personal[November])</f>
        <v>0</v>
      </c>
      <c r="O77" s="181">
        <f>SUBTOTAL(109,Personal[December])</f>
        <v>0</v>
      </c>
      <c r="P77" s="201">
        <f>SUBTOTAL(109,Personal[Year])</f>
        <v>5182.869999999999</v>
      </c>
      <c r="Q77" s="182"/>
      <c r="S77" s="177">
        <f>P77/$P$6</f>
        <v>0.1317312868509917</v>
      </c>
    </row>
    <row r="78" spans="1:19" ht="15.95" customHeight="1" thickTop="1" x14ac:dyDescent="0.2">
      <c r="B78" s="137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</row>
    <row r="79" spans="1:19" ht="15.95" customHeight="1" x14ac:dyDescent="0.2">
      <c r="B79" s="137"/>
      <c r="C79" s="156" t="s">
        <v>697</v>
      </c>
      <c r="D79" s="157" t="s">
        <v>657</v>
      </c>
      <c r="E79" s="158" t="s">
        <v>658</v>
      </c>
      <c r="F79" s="157" t="s">
        <v>659</v>
      </c>
      <c r="G79" s="158" t="s">
        <v>660</v>
      </c>
      <c r="H79" s="157" t="s">
        <v>521</v>
      </c>
      <c r="I79" s="158" t="s">
        <v>279</v>
      </c>
      <c r="J79" s="157" t="s">
        <v>661</v>
      </c>
      <c r="K79" s="158" t="s">
        <v>662</v>
      </c>
      <c r="L79" s="157" t="s">
        <v>663</v>
      </c>
      <c r="M79" s="158" t="s">
        <v>664</v>
      </c>
      <c r="N79" s="157" t="s">
        <v>665</v>
      </c>
      <c r="O79" s="158" t="s">
        <v>666</v>
      </c>
      <c r="P79" s="157" t="s">
        <v>13</v>
      </c>
      <c r="Q79" s="158" t="s">
        <v>667</v>
      </c>
    </row>
    <row r="80" spans="1:19" ht="15.95" customHeight="1" x14ac:dyDescent="0.2">
      <c r="B80" s="137"/>
      <c r="C80" s="147" t="s">
        <v>698</v>
      </c>
      <c r="D80" s="141"/>
      <c r="E80" s="148"/>
      <c r="F80" s="141"/>
      <c r="G80" s="148"/>
      <c r="H80" s="141"/>
      <c r="I80" s="148"/>
      <c r="J80" s="141"/>
      <c r="K80" s="148"/>
      <c r="L80" s="141"/>
      <c r="M80" s="148"/>
      <c r="N80" s="141"/>
      <c r="O80" s="148"/>
      <c r="P80" s="141">
        <f>SUM(Financial[[#This Row],[January]:[December]])</f>
        <v>0</v>
      </c>
      <c r="Q80" s="148"/>
    </row>
    <row r="81" spans="1:19" ht="15.95" customHeight="1" x14ac:dyDescent="0.2">
      <c r="B81" s="137"/>
      <c r="C81" s="147" t="s">
        <v>699</v>
      </c>
      <c r="D81" s="141"/>
      <c r="E81" s="148"/>
      <c r="F81" s="141"/>
      <c r="G81" s="148"/>
      <c r="H81" s="141"/>
      <c r="I81" s="148"/>
      <c r="J81" s="141"/>
      <c r="K81" s="148"/>
      <c r="L81" s="141"/>
      <c r="M81" s="148"/>
      <c r="N81" s="141"/>
      <c r="O81" s="148"/>
      <c r="P81" s="141">
        <f>SUM(Financial[[#This Row],[January]:[December]])</f>
        <v>0</v>
      </c>
      <c r="Q81" s="143"/>
    </row>
    <row r="82" spans="1:19" ht="15.95" customHeight="1" x14ac:dyDescent="0.2">
      <c r="B82" s="137"/>
      <c r="C82" s="147" t="s">
        <v>700</v>
      </c>
      <c r="D82" s="141"/>
      <c r="E82" s="148"/>
      <c r="F82" s="141"/>
      <c r="G82" s="148"/>
      <c r="H82" s="141"/>
      <c r="I82" s="148"/>
      <c r="J82" s="141"/>
      <c r="K82" s="148"/>
      <c r="L82" s="141"/>
      <c r="M82" s="148"/>
      <c r="N82" s="141"/>
      <c r="O82" s="148"/>
      <c r="P82" s="141">
        <f>SUM(Financial[[#This Row],[January]:[December]])</f>
        <v>0</v>
      </c>
      <c r="Q82" s="148"/>
    </row>
    <row r="83" spans="1:19" ht="21" customHeight="1" x14ac:dyDescent="0.2">
      <c r="B83" s="137"/>
      <c r="C83" s="147" t="s">
        <v>701</v>
      </c>
      <c r="D83" s="141"/>
      <c r="E83" s="148"/>
      <c r="F83" s="141"/>
      <c r="G83" s="148"/>
      <c r="H83" s="141"/>
      <c r="I83" s="148"/>
      <c r="J83" s="141"/>
      <c r="K83" s="148"/>
      <c r="L83" s="141"/>
      <c r="M83" s="148"/>
      <c r="N83" s="141"/>
      <c r="O83" s="148"/>
      <c r="P83" s="141">
        <f>SUM(Financial[[#This Row],[January]:[December]])</f>
        <v>0</v>
      </c>
      <c r="Q83" s="143"/>
    </row>
    <row r="84" spans="1:19" ht="20.25" customHeight="1" x14ac:dyDescent="0.2">
      <c r="C84" s="147" t="s">
        <v>789</v>
      </c>
      <c r="D84" s="141">
        <f>SUMIFS(Discover!$F:$F,Discover!$K:$K,'PERSONAL BUDGET - WIP'!$C$79,Discover!$B:$B,'PERSONAL BUDGET - WIP'!D$3)</f>
        <v>0</v>
      </c>
      <c r="E84" s="148">
        <f>SUMIFS(Discover!$F:$F,Discover!$K:$K,'PERSONAL BUDGET - WIP'!$C$79,Discover!$B:$B,'PERSONAL BUDGET - WIP'!E$3)</f>
        <v>40.15</v>
      </c>
      <c r="F84" s="141">
        <f>SUMIFS(Discover!$F:$F,Discover!$K:$K,'PERSONAL BUDGET - WIP'!$C$79,Discover!$B:$B,'PERSONAL BUDGET - WIP'!F$3)</f>
        <v>0</v>
      </c>
      <c r="G84" s="148">
        <f>SUMIFS(Discover!$F:$F,Discover!$K:$K,'PERSONAL BUDGET - WIP'!$C$79,Discover!$B:$B,'PERSONAL BUDGET - WIP'!G$3)</f>
        <v>0</v>
      </c>
      <c r="H84" s="141">
        <f>SUMIFS(Discover!$F:$F,Discover!$K:$K,'PERSONAL BUDGET - WIP'!$C$79,Discover!$B:$B,'PERSONAL BUDGET - WIP'!H$3)</f>
        <v>26.35</v>
      </c>
      <c r="I84" s="148">
        <f>SUMIFS(Discover!$F:$F,Discover!$K:$K,'PERSONAL BUDGET - WIP'!$C$79,Discover!$B:$B,'PERSONAL BUDGET - WIP'!I$3)</f>
        <v>194</v>
      </c>
      <c r="J84" s="141">
        <f>SUMIFS(Discover!$F:$F,Discover!$K:$K,'PERSONAL BUDGET - WIP'!$C$79,Discover!$B:$B,'PERSONAL BUDGET - WIP'!J$3)</f>
        <v>0</v>
      </c>
      <c r="K84" s="148">
        <f>SUMIFS(Discover!$F:$F,Discover!$K:$K,'PERSONAL BUDGET - WIP'!$C$79,Discover!$B:$B,'PERSONAL BUDGET - WIP'!K$3)</f>
        <v>50</v>
      </c>
      <c r="L84" s="141">
        <f>SUMIFS(Discover!$F:$F,Discover!$K:$K,'PERSONAL BUDGET - WIP'!$C$79,Discover!$B:$B,'PERSONAL BUDGET - WIP'!L$3)</f>
        <v>0</v>
      </c>
      <c r="M84" s="148">
        <f>SUMIFS(Discover!$F:$F,Discover!$K:$K,'PERSONAL BUDGET - WIP'!$C$79,Discover!$B:$B,'PERSONAL BUDGET - WIP'!M$3)</f>
        <v>0</v>
      </c>
      <c r="N84" s="141">
        <f>SUMIFS(Discover!$F:$F,Discover!$K:$K,'PERSONAL BUDGET - WIP'!$C$79,Discover!$B:$B,'PERSONAL BUDGET - WIP'!N$3)</f>
        <v>0</v>
      </c>
      <c r="O84" s="148">
        <f>SUMIFS(Discover!$F:$F,Discover!$K:$K,'PERSONAL BUDGET - WIP'!$C$79,Discover!$B:$B,'PERSONAL BUDGET - WIP'!O$3)</f>
        <v>0</v>
      </c>
      <c r="P84" s="141">
        <f>SUM(Financial[[#This Row],[January]:[December]])</f>
        <v>310.5</v>
      </c>
      <c r="Q84" s="148"/>
    </row>
    <row r="85" spans="1:19" s="144" customFormat="1" ht="31.5" customHeight="1" thickBot="1" x14ac:dyDescent="0.25">
      <c r="A85" s="120"/>
      <c r="B85" s="120"/>
      <c r="C85" s="179" t="s">
        <v>669</v>
      </c>
      <c r="D85" s="180">
        <f>SUBTOTAL(109,Financial[January])</f>
        <v>0</v>
      </c>
      <c r="E85" s="181">
        <f>SUBTOTAL(109,Financial[February])</f>
        <v>40.15</v>
      </c>
      <c r="F85" s="180">
        <f>SUBTOTAL(109,Financial[March])</f>
        <v>0</v>
      </c>
      <c r="G85" s="181">
        <f>SUBTOTAL(109,Financial[April])</f>
        <v>0</v>
      </c>
      <c r="H85" s="180">
        <f>SUBTOTAL(109,Financial[May])</f>
        <v>26.35</v>
      </c>
      <c r="I85" s="181">
        <f>SUBTOTAL(109,Financial[June])</f>
        <v>194</v>
      </c>
      <c r="J85" s="180">
        <f>SUBTOTAL(109,Financial[July])</f>
        <v>0</v>
      </c>
      <c r="K85" s="181">
        <f>SUBTOTAL(109,Financial[August])</f>
        <v>50</v>
      </c>
      <c r="L85" s="180">
        <f>SUBTOTAL(109,Financial[September])</f>
        <v>0</v>
      </c>
      <c r="M85" s="181">
        <f>SUBTOTAL(109,Financial[October])</f>
        <v>0</v>
      </c>
      <c r="N85" s="180">
        <f>SUBTOTAL(109,Financial[November])</f>
        <v>0</v>
      </c>
      <c r="O85" s="181">
        <f>SUBTOTAL(109,Financial[December])</f>
        <v>0</v>
      </c>
      <c r="P85" s="180">
        <f>SUBTOTAL(109,Financial[Year])</f>
        <v>310.5</v>
      </c>
      <c r="Q85" s="182"/>
      <c r="S85" s="177">
        <f>P85/$P$6</f>
        <v>7.8918754603594012E-3</v>
      </c>
    </row>
    <row r="86" spans="1:19" ht="15.95" customHeight="1" thickTop="1" x14ac:dyDescent="0.2">
      <c r="B86" s="137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</row>
    <row r="87" spans="1:19" ht="15.95" customHeight="1" x14ac:dyDescent="0.2">
      <c r="B87" s="137"/>
      <c r="C87" s="156" t="s">
        <v>702</v>
      </c>
      <c r="D87" s="157" t="s">
        <v>657</v>
      </c>
      <c r="E87" s="129" t="s">
        <v>658</v>
      </c>
      <c r="F87" s="157" t="s">
        <v>659</v>
      </c>
      <c r="G87" s="129" t="s">
        <v>660</v>
      </c>
      <c r="H87" s="157" t="s">
        <v>521</v>
      </c>
      <c r="I87" s="158" t="s">
        <v>279</v>
      </c>
      <c r="J87" s="157" t="s">
        <v>661</v>
      </c>
      <c r="K87" s="158" t="s">
        <v>662</v>
      </c>
      <c r="L87" s="157" t="s">
        <v>663</v>
      </c>
      <c r="M87" s="158" t="s">
        <v>664</v>
      </c>
      <c r="N87" s="157" t="s">
        <v>665</v>
      </c>
      <c r="O87" s="158" t="s">
        <v>666</v>
      </c>
      <c r="P87" s="157" t="s">
        <v>13</v>
      </c>
      <c r="Q87" s="158" t="s">
        <v>667</v>
      </c>
    </row>
    <row r="88" spans="1:19" ht="15.95" customHeight="1" x14ac:dyDescent="0.2">
      <c r="B88" s="137"/>
      <c r="C88" s="161" t="s">
        <v>703</v>
      </c>
      <c r="D88" s="141"/>
      <c r="E88" s="148"/>
      <c r="F88" s="141"/>
      <c r="G88" s="148"/>
      <c r="H88" s="141"/>
      <c r="I88" s="148"/>
      <c r="J88" s="141"/>
      <c r="K88" s="148"/>
      <c r="L88" s="141"/>
      <c r="M88" s="148"/>
      <c r="N88" s="141"/>
      <c r="O88" s="148"/>
      <c r="P88" s="141">
        <f>SUM(Misc[[#This Row],[January]:[December]])</f>
        <v>0</v>
      </c>
      <c r="Q88" s="148"/>
    </row>
    <row r="89" spans="1:19" ht="15.95" customHeight="1" x14ac:dyDescent="0.2">
      <c r="B89" s="137"/>
      <c r="C89" s="161" t="s">
        <v>703</v>
      </c>
      <c r="D89" s="141"/>
      <c r="E89" s="148"/>
      <c r="F89" s="141"/>
      <c r="G89" s="148"/>
      <c r="H89" s="141"/>
      <c r="I89" s="148"/>
      <c r="J89" s="141"/>
      <c r="K89" s="148"/>
      <c r="L89" s="141"/>
      <c r="M89" s="148"/>
      <c r="N89" s="141"/>
      <c r="O89" s="148"/>
      <c r="P89" s="141">
        <f>SUM(Misc[[#This Row],[January]:[December]])</f>
        <v>0</v>
      </c>
      <c r="Q89" s="143"/>
    </row>
    <row r="90" spans="1:19" ht="15.95" customHeight="1" x14ac:dyDescent="0.2">
      <c r="B90" s="137"/>
      <c r="C90" s="161" t="s">
        <v>703</v>
      </c>
      <c r="D90" s="141"/>
      <c r="E90" s="148"/>
      <c r="F90" s="141"/>
      <c r="G90" s="148"/>
      <c r="H90" s="141"/>
      <c r="I90" s="148"/>
      <c r="J90" s="141"/>
      <c r="K90" s="148"/>
      <c r="L90" s="141"/>
      <c r="M90" s="148"/>
      <c r="N90" s="141"/>
      <c r="O90" s="148"/>
      <c r="P90" s="141">
        <f>SUM(Misc[[#This Row],[January]:[December]])</f>
        <v>0</v>
      </c>
      <c r="Q90" s="148"/>
    </row>
    <row r="91" spans="1:19" ht="20.25" customHeight="1" x14ac:dyDescent="0.2">
      <c r="C91" s="147" t="s">
        <v>789</v>
      </c>
      <c r="D91" s="141">
        <f>SUMIFS(Discover!$F:$F,Discover!$K:$K,'PERSONAL BUDGET - WIP'!$C$87,Discover!$B:$B,'PERSONAL BUDGET - WIP'!D$3)</f>
        <v>219.95</v>
      </c>
      <c r="E91" s="148">
        <f>SUMIFS(Discover!$F:$F,Discover!$K:$K,'PERSONAL BUDGET - WIP'!$C$87,Discover!$B:$B,'PERSONAL BUDGET - WIP'!E$3)</f>
        <v>71.260000000000005</v>
      </c>
      <c r="F91" s="141">
        <f>SUMIFS(Discover!$F:$F,Discover!$K:$K,'PERSONAL BUDGET - WIP'!$C$87,Discover!$B:$B,'PERSONAL BUDGET - WIP'!F$3)</f>
        <v>84.95</v>
      </c>
      <c r="G91" s="148">
        <f>SUMIFS(Discover!$F:$F,Discover!$K:$K,'PERSONAL BUDGET - WIP'!$C$87,Discover!$B:$B,'PERSONAL BUDGET - WIP'!G$3)</f>
        <v>36.349999999999994</v>
      </c>
      <c r="H91" s="141">
        <f>SUMIFS(Discover!$F:$F,Discover!$K:$K,'PERSONAL BUDGET - WIP'!$C$87,Discover!$B:$B,'PERSONAL BUDGET - WIP'!H$3)</f>
        <v>300.89999999999998</v>
      </c>
      <c r="I91" s="148">
        <f>SUMIFS(Discover!$F:$F,Discover!$K:$K,'PERSONAL BUDGET - WIP'!$C$87,Discover!$B:$B,'PERSONAL BUDGET - WIP'!I$3)</f>
        <v>0</v>
      </c>
      <c r="J91" s="141">
        <f>SUMIFS(Discover!$F:$F,Discover!$K:$K,'PERSONAL BUDGET - WIP'!$C$87,Discover!$B:$B,'PERSONAL BUDGET - WIP'!J$3)</f>
        <v>0</v>
      </c>
      <c r="K91" s="148">
        <f>SUMIFS(Discover!$F:$F,Discover!$K:$K,'PERSONAL BUDGET - WIP'!$C$87,Discover!$B:$B,'PERSONAL BUDGET - WIP'!K$3)</f>
        <v>26.259999999999998</v>
      </c>
      <c r="L91" s="141">
        <f>SUMIFS(Discover!$F:$F,Discover!$K:$K,'PERSONAL BUDGET - WIP'!$C$87,Discover!$B:$B,'PERSONAL BUDGET - WIP'!L$3)</f>
        <v>0</v>
      </c>
      <c r="M91" s="148">
        <f>SUMIFS(Discover!$F:$F,Discover!$K:$K,'PERSONAL BUDGET - WIP'!$C$87,Discover!$B:$B,'PERSONAL BUDGET - WIP'!M$3)</f>
        <v>0</v>
      </c>
      <c r="N91" s="141">
        <f>SUMIFS(Discover!$F:$F,Discover!$K:$K,'PERSONAL BUDGET - WIP'!$C$87,Discover!$B:$B,'PERSONAL BUDGET - WIP'!N$3)</f>
        <v>0</v>
      </c>
      <c r="O91" s="148">
        <f>SUMIFS(Discover!$F:$F,Discover!$K:$K,'PERSONAL BUDGET - WIP'!$C$87,Discover!$B:$B,'PERSONAL BUDGET - WIP'!O$3)</f>
        <v>0</v>
      </c>
      <c r="P91" s="141">
        <f>SUM(Misc[[#This Row],[January]:[December]])</f>
        <v>739.67</v>
      </c>
      <c r="Q91" s="143"/>
    </row>
    <row r="92" spans="1:19" ht="21" customHeight="1" thickBot="1" x14ac:dyDescent="0.25">
      <c r="A92" s="120" t="s">
        <v>704</v>
      </c>
      <c r="C92" s="179" t="s">
        <v>669</v>
      </c>
      <c r="D92" s="180">
        <f>SUBTOTAL(109,Misc[January])</f>
        <v>219.95</v>
      </c>
      <c r="E92" s="181">
        <f>SUBTOTAL(109,Misc[February])</f>
        <v>71.260000000000005</v>
      </c>
      <c r="F92" s="180">
        <f>SUBTOTAL(109,Misc[March])</f>
        <v>84.95</v>
      </c>
      <c r="G92" s="181">
        <f>SUBTOTAL(109,Misc[April])</f>
        <v>36.349999999999994</v>
      </c>
      <c r="H92" s="180">
        <f>SUBTOTAL(109,Misc[May])</f>
        <v>300.89999999999998</v>
      </c>
      <c r="I92" s="181">
        <f>SUBTOTAL(109,Misc[June])</f>
        <v>0</v>
      </c>
      <c r="J92" s="180">
        <f>SUBTOTAL(109,Misc[July])</f>
        <v>0</v>
      </c>
      <c r="K92" s="181">
        <f>SUBTOTAL(109,Misc[August])</f>
        <v>26.259999999999998</v>
      </c>
      <c r="L92" s="180">
        <f>SUBTOTAL(109,Misc[September])</f>
        <v>0</v>
      </c>
      <c r="M92" s="181">
        <f>SUBTOTAL(109,Misc[October])</f>
        <v>0</v>
      </c>
      <c r="N92" s="180">
        <f>SUBTOTAL(109,Misc[November])</f>
        <v>0</v>
      </c>
      <c r="O92" s="181">
        <f>SUBTOTAL(109,Misc[December])</f>
        <v>0</v>
      </c>
      <c r="P92" s="180">
        <f>SUBTOTAL(109,Misc[Year])</f>
        <v>739.67</v>
      </c>
      <c r="Q92" s="182"/>
      <c r="S92" s="177">
        <f>P92/$P$6</f>
        <v>1.8799946929996904E-2</v>
      </c>
    </row>
    <row r="93" spans="1:19" ht="15.95" customHeight="1" thickTop="1" x14ac:dyDescent="0.2">
      <c r="B93" s="125"/>
      <c r="C93" s="233"/>
      <c r="D93" s="233"/>
      <c r="E93" s="233"/>
      <c r="F93" s="233"/>
      <c r="G93" s="233"/>
      <c r="H93" s="233"/>
      <c r="I93" s="233"/>
      <c r="J93" s="233"/>
      <c r="K93" s="233"/>
      <c r="L93" s="233"/>
      <c r="M93" s="233"/>
      <c r="N93" s="233"/>
      <c r="O93" s="233"/>
      <c r="P93" s="233"/>
      <c r="Q93" s="233"/>
    </row>
    <row r="94" spans="1:19" ht="15.95" customHeight="1" x14ac:dyDescent="0.2">
      <c r="B94" s="125"/>
      <c r="C94" s="162" t="s">
        <v>705</v>
      </c>
      <c r="D94" s="163" t="s">
        <v>642</v>
      </c>
      <c r="E94" s="164" t="s">
        <v>643</v>
      </c>
      <c r="F94" s="163" t="s">
        <v>644</v>
      </c>
      <c r="G94" s="164" t="s">
        <v>645</v>
      </c>
      <c r="H94" s="163" t="s">
        <v>646</v>
      </c>
      <c r="I94" s="164" t="s">
        <v>647</v>
      </c>
      <c r="J94" s="163" t="s">
        <v>648</v>
      </c>
      <c r="K94" s="164" t="s">
        <v>649</v>
      </c>
      <c r="L94" s="163" t="s">
        <v>650</v>
      </c>
      <c r="M94" s="164" t="s">
        <v>651</v>
      </c>
      <c r="N94" s="163" t="s">
        <v>652</v>
      </c>
      <c r="O94" s="164" t="s">
        <v>653</v>
      </c>
      <c r="P94" s="163" t="s">
        <v>654</v>
      </c>
      <c r="Q94" s="165" t="s">
        <v>706</v>
      </c>
    </row>
    <row r="95" spans="1:19" ht="12.75" x14ac:dyDescent="0.2">
      <c r="B95" s="125"/>
      <c r="C95" s="166" t="s">
        <v>707</v>
      </c>
      <c r="D95" s="167">
        <f>SUM(Misc[[#Totals],[January]],Financial[[#Totals],[January]],Personal[[#Totals],[January]],DuesAndSubscription[[#Totals],[January]],Recreation[[#Totals],[January]],Vacations[[#Totals],[January]],Health[[#Totals],[January]],Entertainment[[#Totals],[January]],Transportation[[#Totals],[January]],Daily[[#Totals],[January]],Home[[#Totals],[January]])</f>
        <v>1885.14</v>
      </c>
      <c r="E95" s="168">
        <f>SUM(Misc[[#Totals],[February]],Financial[[#Totals],[February]],Personal[[#Totals],[February]],DuesAndSubscription[[#Totals],[February]],Recreation[[#Totals],[February]],Vacations[[#Totals],[February]],Health[[#Totals],[February]],Entertainment[[#Totals],[February]],Transportation[[#Totals],[February]],Daily[[#Totals],[February]],Home[[#Totals],[February]])</f>
        <v>1907.02</v>
      </c>
      <c r="F95" s="167">
        <f>SUM(Misc[[#Totals],[March]],Financial[[#Totals],[March]],Personal[[#Totals],[March]],DuesAndSubscription[[#Totals],[March]],Recreation[[#Totals],[March]],Vacations[[#Totals],[March]],Health[[#Totals],[March]],Entertainment[[#Totals],[March]],Transportation[[#Totals],[March]],Daily[[#Totals],[March]],Home[[#Totals],[March]])</f>
        <v>3039.6400000000003</v>
      </c>
      <c r="G95" s="168">
        <f>SUM(Misc[[#Totals],[April]],Financial[[#Totals],[April]],Personal[[#Totals],[April]],DuesAndSubscription[[#Totals],[April]],Recreation[[#Totals],[April]],Vacations[[#Totals],[April]],Health[[#Totals],[April]],Entertainment[[#Totals],[April]],Transportation[[#Totals],[April]],Daily[[#Totals],[April]],Home[[#Totals],[April]])</f>
        <v>2218.0100000000002</v>
      </c>
      <c r="H95" s="167">
        <f>SUM(Misc[[#Totals],[May]],Financial[[#Totals],[May]],Personal[[#Totals],[May]],DuesAndSubscription[[#Totals],[May]],Recreation[[#Totals],[May]],Vacations[[#Totals],[May]],Health[[#Totals],[May]],Entertainment[[#Totals],[May]],Transportation[[#Totals],[May]],Daily[[#Totals],[May]],Home[[#Totals],[May]])</f>
        <v>2818.6000000000004</v>
      </c>
      <c r="I95" s="168">
        <f>SUM(Misc[[#Totals],[June]],Financial[[#Totals],[June]],Personal[[#Totals],[June]],DuesAndSubscription[[#Totals],[June]],Recreation[[#Totals],[June]],Vacations[[#Totals],[June]],Health[[#Totals],[June]],Entertainment[[#Totals],[June]],Transportation[[#Totals],[June]],Daily[[#Totals],[June]],Home[[#Totals],[June]])</f>
        <v>5401.16</v>
      </c>
      <c r="J95" s="167">
        <f>SUM(Misc[[#Totals],[July]],Financial[[#Totals],[July]],Personal[[#Totals],[July]],DuesAndSubscription[[#Totals],[July]],Recreation[[#Totals],[July]],Vacations[[#Totals],[July]],Health[[#Totals],[July]],Entertainment[[#Totals],[July]],Transportation[[#Totals],[July]],Daily[[#Totals],[July]],Home[[#Totals],[July]])</f>
        <v>6309.34</v>
      </c>
      <c r="K95" s="168">
        <f>SUM(Misc[[#Totals],[August]],Financial[[#Totals],[August]],Personal[[#Totals],[August]],DuesAndSubscription[[#Totals],[August]],Recreation[[#Totals],[August]],Vacations[[#Totals],[August]],Health[[#Totals],[August]],Entertainment[[#Totals],[August]],Transportation[[#Totals],[August]],Daily[[#Totals],[August]],Home[[#Totals],[August]])</f>
        <v>4233.6400000000003</v>
      </c>
      <c r="L95" s="167">
        <f>SUM(Misc[[#Totals],[September]],Financial[[#Totals],[September]],Personal[[#Totals],[September]],DuesAndSubscription[[#Totals],[September]],Recreation[[#Totals],[September]],Vacations[[#Totals],[September]],Health[[#Totals],[September]],Entertainment[[#Totals],[September]],Transportation[[#Totals],[September]],Daily[[#Totals],[September]],Home[[#Totals],[September]])</f>
        <v>900.96000000000049</v>
      </c>
      <c r="M95" s="168">
        <f>SUM(Misc[[#Totals],[October]],Financial[[#Totals],[October]],Personal[[#Totals],[October]],DuesAndSubscription[[#Totals],[October]],Recreation[[#Totals],[October]],Vacations[[#Totals],[October]],Health[[#Totals],[October]],Entertainment[[#Totals],[October]],Transportation[[#Totals],[October]],Daily[[#Totals],[October]],Home[[#Totals],[October]])</f>
        <v>684.6</v>
      </c>
      <c r="N95" s="167">
        <f>SUM(Misc[[#Totals],[November]],Financial[[#Totals],[November]],Personal[[#Totals],[November]],DuesAndSubscription[[#Totals],[November]],Recreation[[#Totals],[November]],Vacations[[#Totals],[November]],Health[[#Totals],[November]],Entertainment[[#Totals],[November]],Transportation[[#Totals],[November]],Daily[[#Totals],[November]],Home[[#Totals],[November]])</f>
        <v>356.35</v>
      </c>
      <c r="O95" s="168">
        <f>SUM(Misc[[#Totals],[December]],Financial[[#Totals],[December]],Personal[[#Totals],[December]],DuesAndSubscription[[#Totals],[December]],Recreation[[#Totals],[December]],Vacations[[#Totals],[December]],Health[[#Totals],[December]],Entertainment[[#Totals],[December]],Transportation[[#Totals],[December]],Daily[[#Totals],[December]],Home[[#Totals],[December]])</f>
        <v>0</v>
      </c>
      <c r="P95" s="167">
        <f>SUM(Misc[[#Totals],[Year]],Financial[[#Totals],[Year]],Personal[[#Totals],[Year]],DuesAndSubscription[[#Totals],[Year]],Recreation[[#Totals],[Year]],Vacations[[#Totals],[Year]],Health[[#Totals],[Year]],Entertainment[[#Totals],[Year]],Transportation[[#Totals],[Year]],Daily[[#Totals],[Year]],Home[[#Totals],[Year]])</f>
        <v>29754.459999999995</v>
      </c>
      <c r="Q95" s="168"/>
    </row>
    <row r="96" spans="1:19" ht="12.75" x14ac:dyDescent="0.2">
      <c r="B96" s="125"/>
      <c r="C96" s="166" t="s">
        <v>708</v>
      </c>
      <c r="D96" s="167">
        <f>Income14[[#Totals],[January]]-D95</f>
        <v>2022.6200000000001</v>
      </c>
      <c r="E96" s="168">
        <f>Income14[[#Totals],[February]]-E95</f>
        <v>4059.23</v>
      </c>
      <c r="F96" s="167">
        <f>Income14[[#Totals],[March]]-F95</f>
        <v>2871.29</v>
      </c>
      <c r="G96" s="168">
        <f>Income14[[#Totals],[April]]-G95</f>
        <v>199.31999999999971</v>
      </c>
      <c r="H96" s="167">
        <f>Income14[[#Totals],[May]]-H95</f>
        <v>502.80999999999949</v>
      </c>
      <c r="I96" s="168">
        <f>Income14[[#Totals],[June]]-I95</f>
        <v>5470.9199999999983</v>
      </c>
      <c r="J96" s="167">
        <f>Income14[[#Totals],[July]]-J95</f>
        <v>-1208.4500000000007</v>
      </c>
      <c r="K96" s="168">
        <f>Income14[[#Totals],[August]]-K95</f>
        <v>-166.34000000000015</v>
      </c>
      <c r="L96" s="167">
        <f>Income14[[#Totals],[September]]-L95</f>
        <v>3731.97</v>
      </c>
      <c r="M96" s="168">
        <f>Income14[[#Totals],[October]]-M95</f>
        <v>3245.6200000000003</v>
      </c>
      <c r="N96" s="167">
        <f>Income14[[#Totals],[November]]-N95</f>
        <v>1544.52</v>
      </c>
      <c r="O96" s="168">
        <f>Income14[[#Totals],[December]]-O95</f>
        <v>0</v>
      </c>
      <c r="P96" s="167">
        <f>Income14[[#Totals],[Year]]-P95</f>
        <v>22273.510000000006</v>
      </c>
      <c r="Q96" s="168"/>
    </row>
    <row r="97" spans="3:17" ht="30" customHeight="1" x14ac:dyDescent="0.2">
      <c r="C97" s="169"/>
      <c r="D97" s="170"/>
      <c r="E97" s="169"/>
      <c r="F97" s="170"/>
      <c r="G97" s="169"/>
      <c r="H97" s="170"/>
      <c r="I97" s="169"/>
      <c r="J97" s="170"/>
      <c r="K97" s="169"/>
      <c r="L97" s="170"/>
      <c r="M97" s="169"/>
      <c r="N97" s="170"/>
      <c r="O97" s="169"/>
      <c r="P97" s="170"/>
      <c r="Q97" s="169"/>
    </row>
    <row r="98" spans="3:17" ht="30" customHeight="1" x14ac:dyDescent="0.2"/>
    <row r="99" spans="3:17" ht="30" customHeight="1" x14ac:dyDescent="0.2"/>
    <row r="100" spans="3:17" ht="30" customHeight="1" x14ac:dyDescent="0.2"/>
    <row r="101" spans="3:17" ht="30" customHeight="1" x14ac:dyDescent="0.2"/>
    <row r="102" spans="3:17" ht="30" customHeight="1" x14ac:dyDescent="0.2"/>
    <row r="103" spans="3:17" ht="30" customHeight="1" x14ac:dyDescent="0.2"/>
    <row r="104" spans="3:17" ht="30" customHeight="1" x14ac:dyDescent="0.2"/>
    <row r="105" spans="3:17" ht="30" customHeight="1" x14ac:dyDescent="0.2"/>
    <row r="106" spans="3:17" ht="30" customHeight="1" x14ac:dyDescent="0.2"/>
    <row r="107" spans="3:17" ht="30" customHeight="1" x14ac:dyDescent="0.2"/>
    <row r="108" spans="3:17" ht="30" customHeight="1" x14ac:dyDescent="0.2"/>
    <row r="109" spans="3:17" ht="30" hidden="1" customHeight="1" x14ac:dyDescent="0.2"/>
  </sheetData>
  <mergeCells count="3">
    <mergeCell ref="C93:Q93"/>
    <mergeCell ref="B2:D2"/>
    <mergeCell ref="E2:P2"/>
  </mergeCells>
  <conditionalFormatting sqref="D96:P96">
    <cfRule type="cellIs" dxfId="0" priority="1" operator="lessThan">
      <formula>0</formula>
    </cfRule>
  </conditionalFormatting>
  <printOptions horizontalCentered="1"/>
  <pageMargins left="0.4" right="0.4" top="0.4" bottom="0.4" header="0.3" footer="0.3"/>
  <pageSetup scale="72" fitToHeight="0" orientation="landscape" r:id="rId1"/>
  <headerFooter differentFirst="1">
    <oddFooter>Page &amp;P of &amp;N</oddFooter>
  </headerFooter>
  <drawing r:id="rId2"/>
  <tableParts count="13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low="1" xr2:uid="{9CC4A2BC-CFB1-4357-8525-3EDA6C50395A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 - WIP'!D23:O23</xm:f>
              <xm:sqref>Q23</xm:sqref>
            </x14:sparkline>
            <x14:sparkline>
              <xm:f>'PERSONAL BUDGET - WIP'!D24:O24</xm:f>
              <xm:sqref>Q24</xm:sqref>
            </x14:sparkline>
            <x14:sparkline>
              <xm:f>'PERSONAL BUDGET - WIP'!D25:O25</xm:f>
              <xm:sqref>Q25</xm:sqref>
            </x14:sparkline>
            <x14:sparkline>
              <xm:f>'PERSONAL BUDGET - WIP'!D26:O26</xm:f>
              <xm:sqref>Q26</xm:sqref>
            </x14:sparkline>
            <x14:sparkline>
              <xm:f>'PERSONAL BUDGET - WIP'!D27:O27</xm:f>
              <xm:sqref>Q27</xm:sqref>
            </x14:sparkline>
            <x14:sparkline>
              <xm:f>'PERSONAL BUDGET - WIP'!D28:O28</xm:f>
              <xm:sqref>Q28</xm:sqref>
            </x14:sparkline>
          </x14:sparklines>
        </x14:sparklineGroup>
        <x14:sparklineGroup manualMax="0" manualMin="0" displayEmptyCellsAs="gap" high="1" low="1" xr2:uid="{69FBE952-5B7A-4A89-8C86-096DA9827161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 - WIP'!D6:O6</xm:f>
              <xm:sqref>Q6</xm:sqref>
            </x14:sparkline>
            <x14:sparkline>
              <xm:f>'PERSONAL BUDGET - WIP'!D7:O7</xm:f>
              <xm:sqref>Q7</xm:sqref>
            </x14:sparkline>
            <x14:sparkline>
              <xm:f>'PERSONAL BUDGET - WIP'!D8:O8</xm:f>
              <xm:sqref>Q8</xm:sqref>
            </x14:sparkline>
            <x14:sparkline>
              <xm:f>'PERSONAL BUDGET - WIP'!D9:O9</xm:f>
              <xm:sqref>Q9</xm:sqref>
            </x14:sparkline>
            <x14:sparkline>
              <xm:f>'PERSONAL BUDGET - WIP'!D10:O10</xm:f>
              <xm:sqref>Q10</xm:sqref>
            </x14:sparkline>
          </x14:sparklines>
        </x14:sparklineGroup>
        <x14:sparklineGroup manualMax="0" manualMin="0" displayEmptyCellsAs="gap" high="1" low="1" xr2:uid="{712F9051-687A-4502-B55D-A773C397DEBA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 - WIP'!D14:O14</xm:f>
              <xm:sqref>Q14</xm:sqref>
            </x14:sparkline>
          </x14:sparklines>
        </x14:sparklineGroup>
        <x14:sparklineGroup manualMax="0" manualMin="0" displayEmptyCellsAs="gap" high="1" low="1" xr2:uid="{D7F06E2B-13A9-4D04-BE9F-7B5F222D6018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 - WIP'!D88:O88</xm:f>
              <xm:sqref>Q88</xm:sqref>
            </x14:sparkline>
            <x14:sparkline>
              <xm:f>'PERSONAL BUDGET - WIP'!D89:O89</xm:f>
              <xm:sqref>Q89</xm:sqref>
            </x14:sparkline>
            <x14:sparkline>
              <xm:f>'PERSONAL BUDGET - WIP'!D90:O90</xm:f>
              <xm:sqref>Q90</xm:sqref>
            </x14:sparkline>
            <x14:sparkline>
              <xm:f>'PERSONAL BUDGET - WIP'!D91:O91</xm:f>
              <xm:sqref>Q91</xm:sqref>
            </x14:sparkline>
            <x14:sparkline>
              <xm:f>'PERSONAL BUDGET - WIP'!D92:O92</xm:f>
              <xm:sqref>Q92</xm:sqref>
            </x14:sparkline>
          </x14:sparklines>
        </x14:sparklineGroup>
        <x14:sparklineGroup manualMax="0" manualMin="0" displayEmptyCellsAs="gap" high="1" low="1" xr2:uid="{9C576876-6D19-4CAF-9623-EEA60C8B1A01}">
          <x14:colorSeries theme="0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 - WIP'!D95:O95</xm:f>
              <xm:sqref>Q95</xm:sqref>
            </x14:sparkline>
            <x14:sparkline>
              <xm:f>'PERSONAL BUDGET - WIP'!D96:O96</xm:f>
              <xm:sqref>Q96</xm:sqref>
            </x14:sparkline>
          </x14:sparklines>
        </x14:sparklineGroup>
        <x14:sparklineGroup manualMax="0" manualMin="0" displayEmptyCellsAs="gap" high="1" low="1" xr2:uid="{C05307E6-67DB-4801-8CBE-CA5564EAB556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 - WIP'!D80:O80</xm:f>
              <xm:sqref>Q80</xm:sqref>
            </x14:sparkline>
            <x14:sparkline>
              <xm:f>'PERSONAL BUDGET - WIP'!D81:O81</xm:f>
              <xm:sqref>Q81</xm:sqref>
            </x14:sparkline>
            <x14:sparkline>
              <xm:f>'PERSONAL BUDGET - WIP'!D82:O82</xm:f>
              <xm:sqref>Q82</xm:sqref>
            </x14:sparkline>
            <x14:sparkline>
              <xm:f>'PERSONAL BUDGET - WIP'!D83:O83</xm:f>
              <xm:sqref>Q83</xm:sqref>
            </x14:sparkline>
            <x14:sparkline>
              <xm:f>'PERSONAL BUDGET - WIP'!D84:O84</xm:f>
              <xm:sqref>Q84</xm:sqref>
            </x14:sparkline>
            <x14:sparkline>
              <xm:f>'PERSONAL BUDGET - WIP'!D85:O85</xm:f>
              <xm:sqref>Q85</xm:sqref>
            </x14:sparkline>
            <x14:sparkline>
              <xm:f>'PERSONAL BUDGET - WIP'!D86:O86</xm:f>
              <xm:sqref>Q86</xm:sqref>
            </x14:sparkline>
          </x14:sparklines>
        </x14:sparklineGroup>
        <x14:sparklineGroup manualMax="0" manualMin="0" displayEmptyCellsAs="gap" high="1" low="1" xr2:uid="{2913BF34-7CAE-4599-BD61-384604BA7FCC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 - WIP'!D72:O72</xm:f>
              <xm:sqref>Q72</xm:sqref>
            </x14:sparkline>
            <x14:sparkline>
              <xm:f>'PERSONAL BUDGET - WIP'!D73:O73</xm:f>
              <xm:sqref>Q73</xm:sqref>
            </x14:sparkline>
            <x14:sparkline>
              <xm:f>'PERSONAL BUDGET - WIP'!D74:O74</xm:f>
              <xm:sqref>Q74</xm:sqref>
            </x14:sparkline>
            <x14:sparkline>
              <xm:f>'PERSONAL BUDGET - WIP'!D75:O75</xm:f>
              <xm:sqref>Q75</xm:sqref>
            </x14:sparkline>
            <x14:sparkline>
              <xm:f>'PERSONAL BUDGET - WIP'!D76:O76</xm:f>
              <xm:sqref>Q76</xm:sqref>
            </x14:sparkline>
            <x14:sparkline>
              <xm:f>'PERSONAL BUDGET - WIP'!D77:O77</xm:f>
              <xm:sqref>Q77</xm:sqref>
            </x14:sparkline>
            <x14:sparkline>
              <xm:f>'PERSONAL BUDGET - WIP'!D78:O78</xm:f>
              <xm:sqref>Q78</xm:sqref>
            </x14:sparkline>
          </x14:sparklines>
        </x14:sparklineGroup>
        <x14:sparklineGroup manualMax="0" manualMin="0" displayEmptyCellsAs="gap" high="1" low="1" xr2:uid="{456E1131-A136-4685-8F78-498BAF99592E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 - WIP'!D62:O62</xm:f>
              <xm:sqref>Q62</xm:sqref>
            </x14:sparkline>
            <x14:sparkline>
              <xm:f>'PERSONAL BUDGET - WIP'!D63:O63</xm:f>
              <xm:sqref>Q63</xm:sqref>
            </x14:sparkline>
            <x14:sparkline>
              <xm:f>'PERSONAL BUDGET - WIP'!D64:O64</xm:f>
              <xm:sqref>Q64</xm:sqref>
            </x14:sparkline>
            <x14:sparkline>
              <xm:f>'PERSONAL BUDGET - WIP'!D65:O65</xm:f>
              <xm:sqref>Q65</xm:sqref>
            </x14:sparkline>
            <x14:sparkline>
              <xm:f>'PERSONAL BUDGET - WIP'!D66:O66</xm:f>
              <xm:sqref>Q66</xm:sqref>
            </x14:sparkline>
            <x14:sparkline>
              <xm:f>'PERSONAL BUDGET - WIP'!D67:O67</xm:f>
              <xm:sqref>Q67</xm:sqref>
            </x14:sparkline>
            <x14:sparkline>
              <xm:f>'PERSONAL BUDGET - WIP'!D68:O68</xm:f>
              <xm:sqref>Q68</xm:sqref>
            </x14:sparkline>
            <x14:sparkline>
              <xm:f>'PERSONAL BUDGET - WIP'!D69:O69</xm:f>
              <xm:sqref>Q69</xm:sqref>
            </x14:sparkline>
            <x14:sparkline>
              <xm:f>'PERSONAL BUDGET - WIP'!D70:O70</xm:f>
              <xm:sqref>Q70</xm:sqref>
            </x14:sparkline>
          </x14:sparklines>
        </x14:sparklineGroup>
        <x14:sparklineGroup manualMax="0" manualMin="0" displayEmptyCellsAs="gap" high="1" low="1" xr2:uid="{7E09E36C-5D90-4810-9338-A6E07175E1F7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 - WIP'!D55:O55</xm:f>
              <xm:sqref>Q55</xm:sqref>
            </x14:sparkline>
            <x14:sparkline>
              <xm:f>'PERSONAL BUDGET - WIP'!D56:O56</xm:f>
              <xm:sqref>Q56</xm:sqref>
            </x14:sparkline>
            <x14:sparkline>
              <xm:f>'PERSONAL BUDGET - WIP'!D57:O57</xm:f>
              <xm:sqref>Q57</xm:sqref>
            </x14:sparkline>
            <x14:sparkline>
              <xm:f>'PERSONAL BUDGET - WIP'!D58:O58</xm:f>
              <xm:sqref>Q58</xm:sqref>
            </x14:sparkline>
            <x14:sparkline>
              <xm:f>'PERSONAL BUDGET - WIP'!D59:O59</xm:f>
              <xm:sqref>Q59</xm:sqref>
            </x14:sparkline>
            <x14:sparkline>
              <xm:f>'PERSONAL BUDGET - WIP'!D60:O60</xm:f>
              <xm:sqref>Q60</xm:sqref>
            </x14:sparkline>
          </x14:sparklines>
        </x14:sparklineGroup>
        <x14:sparklineGroup manualMax="0" manualMin="0" displayEmptyCellsAs="gap" high="1" low="1" xr2:uid="{2A610772-CBE0-42B2-88ED-89EDEA1620BB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 - WIP'!D46:O46</xm:f>
              <xm:sqref>Q46</xm:sqref>
            </x14:sparkline>
            <x14:sparkline>
              <xm:f>'PERSONAL BUDGET - WIP'!D47:O47</xm:f>
              <xm:sqref>Q47</xm:sqref>
            </x14:sparkline>
            <x14:sparkline>
              <xm:f>'PERSONAL BUDGET - WIP'!D48:O48</xm:f>
              <xm:sqref>Q48</xm:sqref>
            </x14:sparkline>
            <x14:sparkline>
              <xm:f>'PERSONAL BUDGET - WIP'!D49:O49</xm:f>
              <xm:sqref>Q49</xm:sqref>
            </x14:sparkline>
            <x14:sparkline>
              <xm:f>'PERSONAL BUDGET - WIP'!D50:O50</xm:f>
              <xm:sqref>Q50</xm:sqref>
            </x14:sparkline>
            <x14:sparkline>
              <xm:f>'PERSONAL BUDGET - WIP'!D51:O51</xm:f>
              <xm:sqref>Q51</xm:sqref>
            </x14:sparkline>
            <x14:sparkline>
              <xm:f>'PERSONAL BUDGET - WIP'!D52:O52</xm:f>
              <xm:sqref>Q52</xm:sqref>
            </x14:sparkline>
            <x14:sparkline>
              <xm:f>'PERSONAL BUDGET - WIP'!D53:O53</xm:f>
              <xm:sqref>Q53</xm:sqref>
            </x14:sparkline>
          </x14:sparklines>
        </x14:sparklineGroup>
        <x14:sparklineGroup manualMax="0" manualMin="0" displayEmptyCellsAs="gap" high="1" low="1" xr2:uid="{791639B3-69DB-49CA-8524-0123249BCA59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 - WIP'!D36:O36</xm:f>
              <xm:sqref>Q36</xm:sqref>
            </x14:sparkline>
            <x14:sparkline>
              <xm:f>'PERSONAL BUDGET - WIP'!D37:O37</xm:f>
              <xm:sqref>Q37</xm:sqref>
            </x14:sparkline>
            <x14:sparkline>
              <xm:f>'PERSONAL BUDGET - WIP'!D38:O38</xm:f>
              <xm:sqref>Q38</xm:sqref>
            </x14:sparkline>
            <x14:sparkline>
              <xm:f>'PERSONAL BUDGET - WIP'!D39:O39</xm:f>
              <xm:sqref>Q39</xm:sqref>
            </x14:sparkline>
            <x14:sparkline>
              <xm:f>'PERSONAL BUDGET - WIP'!D40:O40</xm:f>
              <xm:sqref>Q40</xm:sqref>
            </x14:sparkline>
            <x14:sparkline>
              <xm:f>'PERSONAL BUDGET - WIP'!D41:O41</xm:f>
              <xm:sqref>Q41</xm:sqref>
            </x14:sparkline>
            <x14:sparkline>
              <xm:f>'PERSONAL BUDGET - WIP'!D42:O42</xm:f>
              <xm:sqref>Q42</xm:sqref>
            </x14:sparkline>
            <x14:sparkline>
              <xm:f>'PERSONAL BUDGET - WIP'!D43:O43</xm:f>
              <xm:sqref>Q43</xm:sqref>
            </x14:sparkline>
            <x14:sparkline>
              <xm:f>'PERSONAL BUDGET - WIP'!D44:O44</xm:f>
              <xm:sqref>Q44</xm:sqref>
            </x14:sparkline>
          </x14:sparklines>
        </x14:sparklineGroup>
        <x14:sparklineGroup manualMax="0" manualMin="0" displayEmptyCellsAs="gap" high="1" low="1" xr2:uid="{B6CF4F40-32A6-47E8-925A-23BAAA56E6E6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 - WIP'!D30:O30</xm:f>
              <xm:sqref>Q30</xm:sqref>
            </x14:sparkline>
            <x14:sparkline>
              <xm:f>'PERSONAL BUDGET - WIP'!D31:O31</xm:f>
              <xm:sqref>Q31</xm:sqref>
            </x14:sparkline>
            <x14:sparkline>
              <xm:f>'PERSONAL BUDGET - WIP'!D32:O32</xm:f>
              <xm:sqref>Q32</xm:sqref>
            </x14:sparkline>
            <x14:sparkline>
              <xm:f>'PERSONAL BUDGET - WIP'!D33:O33</xm:f>
              <xm:sqref>Q33</xm:sqref>
            </x14:sparkline>
            <x14:sparkline>
              <xm:f>'PERSONAL BUDGET - WIP'!D34:O34</xm:f>
              <xm:sqref>Q34</xm:sqref>
            </x14:sparkline>
          </x14:sparklines>
        </x14:sparklineGroup>
        <x14:sparklineGroup manualMax="0" manualMin="0" displayEmptyCellsAs="gap" high="1" low="1" xr2:uid="{27B95DAC-6B55-4688-A29A-D5B5A9927A49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 - WIP'!D18:O18</xm:f>
              <xm:sqref>Q18</xm:sqref>
            </x14:sparkline>
            <x14:sparkline>
              <xm:f>'PERSONAL BUDGET - WIP'!D19:O19</xm:f>
              <xm:sqref>Q19</xm:sqref>
            </x14:sparkline>
            <x14:sparkline>
              <xm:f>'PERSONAL BUDGET - WIP'!D20:O20</xm:f>
              <xm:sqref>Q20</xm:sqref>
            </x14:sparkline>
            <x14:sparkline>
              <xm:f>'PERSONAL BUDGET - WIP'!D21:O21</xm:f>
              <xm:sqref>Q21</xm:sqref>
            </x14:sparkline>
          </x14:sparklines>
        </x14:sparklineGroup>
        <x14:sparklineGroup manualMax="0" manualMin="0" displayEmptyCellsAs="gap" high="1" low="1" xr2:uid="{859FD40D-AF8C-4C29-8E5E-1EDEA2AA8393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 - WIP'!D15:O15</xm:f>
              <xm:sqref>Q15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TM02930058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Wells Fargo</vt:lpstr>
      <vt:lpstr>Discover</vt:lpstr>
      <vt:lpstr>Sheet1</vt:lpstr>
      <vt:lpstr>Subscriptions</vt:lpstr>
      <vt:lpstr>Cash Flow</vt:lpstr>
      <vt:lpstr>Waterfall</vt:lpstr>
      <vt:lpstr>Debts</vt:lpstr>
      <vt:lpstr>Avidia Deposits</vt:lpstr>
      <vt:lpstr>Categories - WIP</vt:lpstr>
      <vt:lpstr>PERSONAL BUDGET - WIP</vt:lpstr>
      <vt:lpstr>Expense_Categories</vt:lpstr>
      <vt:lpstr>Expense_Lookup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Sean</dc:creator>
  <cp:keywords/>
  <cp:lastModifiedBy>Sean Lewis</cp:lastModifiedBy>
  <cp:lastPrinted>2021-01-24T15:55:36Z</cp:lastPrinted>
  <dcterms:created xsi:type="dcterms:W3CDTF">2018-06-25T05:33:20Z</dcterms:created>
  <dcterms:modified xsi:type="dcterms:W3CDTF">2021-12-06T14:42:57Z</dcterms:modified>
  <cp:version/>
</cp:coreProperties>
</file>