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an\Documents\Budget\"/>
    </mc:Choice>
  </mc:AlternateContent>
  <xr:revisionPtr revIDLastSave="0" documentId="13_ncr:1_{774958C0-8B09-486E-8258-912057AED512}" xr6:coauthVersionLast="47" xr6:coauthVersionMax="47" xr10:uidLastSave="{00000000-0000-0000-0000-000000000000}"/>
  <bookViews>
    <workbookView xWindow="-90" yWindow="-90" windowWidth="19380" windowHeight="10530" tabRatio="627" activeTab="3" xr2:uid="{00000000-000D-0000-FFFF-FFFF00000000}"/>
  </bookViews>
  <sheets>
    <sheet name="Wells Fargo" sheetId="16" r:id="rId1"/>
    <sheet name="Discover" sheetId="13" r:id="rId2"/>
    <sheet name="Cash Flow" sheetId="17" r:id="rId3"/>
    <sheet name="Waterfall" sheetId="18" r:id="rId4"/>
    <sheet name="Subscriptions" sheetId="15" r:id="rId5"/>
    <sheet name="Debts" sheetId="19" r:id="rId6"/>
  </sheets>
  <externalReferences>
    <externalReference r:id="rId7"/>
    <externalReference r:id="rId8"/>
  </externalReferences>
  <definedNames>
    <definedName name="_xlnm._FilterDatabase" localSheetId="1" hidden="1">Discover!$A$1:$K$446</definedName>
    <definedName name="_xlnm._FilterDatabase" localSheetId="0" hidden="1">'Wells Fargo'!$A$1:$G$127</definedName>
    <definedName name="allowance">#REF!</definedName>
    <definedName name="AprSun1">DATE(CalendarYear,4,1)-WEEKDAY(DATE(CalendarYear,4,1))</definedName>
    <definedName name="AugSun1">DATE(CalendarYear,8,1)-WEEKDAY(DATE(CalendarYear,8,1))</definedName>
    <definedName name="budget" localSheetId="1">'[1]Pivot (2021)'!$A$2</definedName>
    <definedName name="Budget">#REF!</definedName>
    <definedName name="CalendarYear">[0]!Year1</definedName>
    <definedName name="Categories">[2]!TableAssetAllocation[Category]</definedName>
    <definedName name="DecSun1">DATE(CalendarYear,12,1)-WEEKDAY(DATE(CalendarYear,12,1))</definedName>
    <definedName name="Expense_Lookup">Discover!$P:$Q</definedName>
    <definedName name="FebSun1">DATE(CalendarYear,2,1)-WEEKDAY(DATE(CalendarYear,2,1))</definedName>
    <definedName name="fixed">#REF!</definedName>
    <definedName name="income">#REF!</definedName>
    <definedName name="JanSun1">DATE(CalendarYear,1,1)-WEEKDAY(DATE(CalendarYear,1,1))</definedName>
    <definedName name="JulSun1">DATE(CalendarYear,7,1)-WEEKDAY(DATE(CalendarYear,7,1))</definedName>
    <definedName name="JunSun1">DATE(CalendarYear,6,1)-WEEKDAY(DATE(CalendarYear,6,1))</definedName>
    <definedName name="MarSun1">DATE(CalendarYear,3,1)-WEEKDAY(DATE(CalendarYear,3,1))</definedName>
    <definedName name="MaySun1">DATE(CalendarYear,5,1)-WEEKDAY(DATE(CalendarYear,5,1))</definedName>
    <definedName name="NovSun1">DATE(CalendarYear,11,1)-WEEKDAY(DATE(CalendarYear,11,1))</definedName>
    <definedName name="OctSun1">DATE(CalendarYear,10,1)-WEEKDAY(DATE(CalendarYear,10,1))</definedName>
    <definedName name="Robinhood">#REF!</definedName>
    <definedName name="SepSun1">DATE(CalendarYear,9,1)-WEEKDAY(DATE(CalendarYear,9,1))</definedName>
    <definedName name="StartMonth">#REF!</definedName>
    <definedName name="Tail_Rent">'[1]2021 Income'!#REF!</definedName>
    <definedName name="Title2">#REF!</definedName>
    <definedName name="valdate">#REF!</definedName>
    <definedName name="Year1">VALUE(LEFT(#REF!,4))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9" i="18" l="1"/>
  <c r="G30" i="18"/>
  <c r="G31" i="18"/>
  <c r="N23" i="13"/>
  <c r="N22" i="13"/>
  <c r="N18" i="13"/>
  <c r="N13" i="13"/>
  <c r="N12" i="13"/>
  <c r="N10" i="13"/>
  <c r="N11" i="13"/>
  <c r="N9" i="13"/>
  <c r="N16" i="13"/>
  <c r="N21" i="13"/>
  <c r="N17" i="13"/>
  <c r="N8" i="13"/>
  <c r="AG47" i="17"/>
  <c r="AF47" i="17"/>
  <c r="AE47" i="17"/>
  <c r="AD47" i="17"/>
  <c r="AC47" i="17"/>
  <c r="AB47" i="17"/>
  <c r="AA47" i="17"/>
  <c r="Z47" i="17"/>
  <c r="Y47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C41" i="17"/>
  <c r="D41" i="17"/>
  <c r="E41" i="17"/>
  <c r="F41" i="17"/>
  <c r="G41" i="17"/>
  <c r="H41" i="17"/>
  <c r="I41" i="17"/>
  <c r="J41" i="17"/>
  <c r="C42" i="17"/>
  <c r="D42" i="17"/>
  <c r="E42" i="17"/>
  <c r="F42" i="17"/>
  <c r="G42" i="17"/>
  <c r="H42" i="17"/>
  <c r="I42" i="17"/>
  <c r="J42" i="17"/>
  <c r="C43" i="17"/>
  <c r="D43" i="17"/>
  <c r="E43" i="17"/>
  <c r="F43" i="17"/>
  <c r="G43" i="17"/>
  <c r="H43" i="17"/>
  <c r="I43" i="17"/>
  <c r="J43" i="17"/>
  <c r="C44" i="17"/>
  <c r="D44" i="17"/>
  <c r="E44" i="17"/>
  <c r="F44" i="17"/>
  <c r="G44" i="17"/>
  <c r="H44" i="17"/>
  <c r="I44" i="17"/>
  <c r="J44" i="17"/>
  <c r="C45" i="17"/>
  <c r="D45" i="17"/>
  <c r="E45" i="17"/>
  <c r="F45" i="17"/>
  <c r="G45" i="17"/>
  <c r="H45" i="17"/>
  <c r="I45" i="17"/>
  <c r="J45" i="17"/>
  <c r="C46" i="17"/>
  <c r="D46" i="17"/>
  <c r="E46" i="17"/>
  <c r="F46" i="17"/>
  <c r="G46" i="17"/>
  <c r="H46" i="17"/>
  <c r="I46" i="17"/>
  <c r="J46" i="17"/>
  <c r="B42" i="17"/>
  <c r="B43" i="17" s="1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Y41" i="17"/>
  <c r="Z41" i="17"/>
  <c r="AA41" i="17"/>
  <c r="AB41" i="17"/>
  <c r="AC41" i="17"/>
  <c r="AD41" i="17"/>
  <c r="AE41" i="17"/>
  <c r="AF41" i="17"/>
  <c r="AG41" i="17"/>
  <c r="AH41" i="17"/>
  <c r="AI41" i="17"/>
  <c r="AJ41" i="17"/>
  <c r="AK41" i="17"/>
  <c r="AL41" i="17"/>
  <c r="AM41" i="17"/>
  <c r="AN41" i="17"/>
  <c r="AO41" i="17"/>
  <c r="AP41" i="17"/>
  <c r="D41" i="18" s="1"/>
  <c r="AQ41" i="17"/>
  <c r="AR41" i="17"/>
  <c r="AS41" i="17"/>
  <c r="AT41" i="17"/>
  <c r="AU41" i="17"/>
  <c r="AV41" i="17"/>
  <c r="AW41" i="17"/>
  <c r="AX41" i="17"/>
  <c r="AY41" i="17"/>
  <c r="AZ41" i="17"/>
  <c r="BA41" i="17"/>
  <c r="BB41" i="17"/>
  <c r="BC41" i="17"/>
  <c r="BD41" i="17"/>
  <c r="BE41" i="17"/>
  <c r="BF41" i="17"/>
  <c r="D57" i="18" s="1"/>
  <c r="BG41" i="17"/>
  <c r="BH41" i="17"/>
  <c r="BI41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Y42" i="17"/>
  <c r="Z42" i="17"/>
  <c r="AA42" i="17"/>
  <c r="AB42" i="17"/>
  <c r="AC42" i="17"/>
  <c r="AD42" i="17"/>
  <c r="AE42" i="17"/>
  <c r="AF42" i="17"/>
  <c r="AG42" i="17"/>
  <c r="AH42" i="17"/>
  <c r="AI42" i="17"/>
  <c r="AJ42" i="17"/>
  <c r="AK42" i="17"/>
  <c r="AL42" i="17"/>
  <c r="AM42" i="17"/>
  <c r="AN42" i="17"/>
  <c r="AO42" i="17"/>
  <c r="AP42" i="17"/>
  <c r="AQ42" i="17"/>
  <c r="AR42" i="17"/>
  <c r="AS42" i="17"/>
  <c r="AT42" i="17"/>
  <c r="AU42" i="17"/>
  <c r="AV42" i="17"/>
  <c r="AW42" i="17"/>
  <c r="AX42" i="17"/>
  <c r="AY42" i="17"/>
  <c r="AZ42" i="17"/>
  <c r="BA42" i="17"/>
  <c r="BB42" i="17"/>
  <c r="BC42" i="17"/>
  <c r="BD42" i="17"/>
  <c r="BE42" i="17"/>
  <c r="BF42" i="17"/>
  <c r="BG42" i="17"/>
  <c r="BH42" i="17"/>
  <c r="BI42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Y43" i="17"/>
  <c r="Z43" i="17"/>
  <c r="AA43" i="17"/>
  <c r="AB43" i="17"/>
  <c r="AC43" i="17"/>
  <c r="AD43" i="17"/>
  <c r="AE43" i="17"/>
  <c r="AF43" i="17"/>
  <c r="AG43" i="17"/>
  <c r="AH43" i="17"/>
  <c r="AI43" i="17"/>
  <c r="AJ43" i="17"/>
  <c r="AK43" i="17"/>
  <c r="AL43" i="17"/>
  <c r="AM43" i="17"/>
  <c r="AN43" i="17"/>
  <c r="AO43" i="17"/>
  <c r="AP43" i="17"/>
  <c r="AQ43" i="17"/>
  <c r="AR43" i="17"/>
  <c r="AS43" i="17"/>
  <c r="AT43" i="17"/>
  <c r="AU43" i="17"/>
  <c r="AV43" i="17"/>
  <c r="AW43" i="17"/>
  <c r="AX43" i="17"/>
  <c r="AY43" i="17"/>
  <c r="AZ43" i="17"/>
  <c r="BA43" i="17"/>
  <c r="BB43" i="17"/>
  <c r="BC43" i="17"/>
  <c r="BD43" i="17"/>
  <c r="BE43" i="17"/>
  <c r="BF43" i="17"/>
  <c r="BG43" i="17"/>
  <c r="BH43" i="17"/>
  <c r="BI43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Y44" i="17"/>
  <c r="Z44" i="17"/>
  <c r="AA44" i="17"/>
  <c r="AB44" i="17"/>
  <c r="AC44" i="17"/>
  <c r="AD44" i="17"/>
  <c r="AE44" i="17"/>
  <c r="AF44" i="17"/>
  <c r="AG44" i="17"/>
  <c r="AH44" i="17"/>
  <c r="AI44" i="17"/>
  <c r="AJ44" i="17"/>
  <c r="AK44" i="17"/>
  <c r="AL44" i="17"/>
  <c r="AM44" i="17"/>
  <c r="AN44" i="17"/>
  <c r="AO44" i="17"/>
  <c r="AP44" i="17"/>
  <c r="AQ44" i="17"/>
  <c r="AR44" i="17"/>
  <c r="AS44" i="17"/>
  <c r="AT44" i="17"/>
  <c r="AU44" i="17"/>
  <c r="AV44" i="17"/>
  <c r="AW44" i="17"/>
  <c r="AX44" i="17"/>
  <c r="AY44" i="17"/>
  <c r="AZ44" i="17"/>
  <c r="BA44" i="17"/>
  <c r="BB44" i="17"/>
  <c r="BC44" i="17"/>
  <c r="BD44" i="17"/>
  <c r="BE44" i="17"/>
  <c r="BF44" i="17"/>
  <c r="BG44" i="17"/>
  <c r="BH44" i="17"/>
  <c r="BI44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Y45" i="17"/>
  <c r="Z45" i="17"/>
  <c r="AA45" i="17"/>
  <c r="AB45" i="17"/>
  <c r="AC45" i="17"/>
  <c r="AD45" i="17"/>
  <c r="AE45" i="17"/>
  <c r="AF45" i="17"/>
  <c r="AG45" i="17"/>
  <c r="AH45" i="17"/>
  <c r="AI45" i="17"/>
  <c r="AJ45" i="17"/>
  <c r="AK45" i="17"/>
  <c r="AL45" i="17"/>
  <c r="AM45" i="17"/>
  <c r="AN45" i="17"/>
  <c r="AO45" i="17"/>
  <c r="AP45" i="17"/>
  <c r="AQ45" i="17"/>
  <c r="AR45" i="17"/>
  <c r="AS45" i="17"/>
  <c r="AT45" i="17"/>
  <c r="AU45" i="17"/>
  <c r="AV45" i="17"/>
  <c r="AW45" i="17"/>
  <c r="AX45" i="17"/>
  <c r="AY45" i="17"/>
  <c r="AZ45" i="17"/>
  <c r="BA45" i="17"/>
  <c r="BB45" i="17"/>
  <c r="BC45" i="17"/>
  <c r="BD45" i="17"/>
  <c r="BE45" i="17"/>
  <c r="BF45" i="17"/>
  <c r="BG45" i="17"/>
  <c r="BH45" i="17"/>
  <c r="BI45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Y46" i="17"/>
  <c r="Z46" i="17"/>
  <c r="AA46" i="17"/>
  <c r="AB46" i="17"/>
  <c r="AC46" i="17"/>
  <c r="AD46" i="17"/>
  <c r="AE46" i="17"/>
  <c r="AF46" i="17"/>
  <c r="AG46" i="17"/>
  <c r="AH46" i="17"/>
  <c r="AI46" i="17"/>
  <c r="AJ46" i="17"/>
  <c r="AK46" i="17"/>
  <c r="AL46" i="17"/>
  <c r="AM46" i="17"/>
  <c r="AN46" i="17"/>
  <c r="AO46" i="17"/>
  <c r="AP46" i="17"/>
  <c r="AQ46" i="17"/>
  <c r="AR46" i="17"/>
  <c r="AS46" i="17"/>
  <c r="AT46" i="17"/>
  <c r="AU46" i="17"/>
  <c r="AV46" i="17"/>
  <c r="AW46" i="17"/>
  <c r="AX46" i="17"/>
  <c r="AY46" i="17"/>
  <c r="AZ46" i="17"/>
  <c r="BA46" i="17"/>
  <c r="BB46" i="17"/>
  <c r="BC46" i="17"/>
  <c r="BD46" i="17"/>
  <c r="BE46" i="17"/>
  <c r="BF46" i="17"/>
  <c r="BG46" i="17"/>
  <c r="BH46" i="17"/>
  <c r="BI46" i="17"/>
  <c r="A128" i="16"/>
  <c r="B128" i="16"/>
  <c r="A129" i="16"/>
  <c r="B129" i="16"/>
  <c r="A130" i="16"/>
  <c r="B130" i="16"/>
  <c r="A131" i="16"/>
  <c r="B131" i="16"/>
  <c r="A132" i="16"/>
  <c r="B132" i="16"/>
  <c r="A133" i="16"/>
  <c r="B133" i="16"/>
  <c r="A134" i="16"/>
  <c r="B134" i="16"/>
  <c r="A135" i="16"/>
  <c r="B135" i="16"/>
  <c r="A136" i="16"/>
  <c r="B136" i="16"/>
  <c r="A137" i="16"/>
  <c r="B137" i="16"/>
  <c r="A138" i="16"/>
  <c r="B138" i="16"/>
  <c r="A139" i="16"/>
  <c r="B139" i="16"/>
  <c r="A140" i="16"/>
  <c r="B140" i="16"/>
  <c r="A141" i="16"/>
  <c r="B141" i="16"/>
  <c r="A142" i="16"/>
  <c r="B142" i="16"/>
  <c r="A143" i="16"/>
  <c r="B143" i="16"/>
  <c r="A144" i="16"/>
  <c r="B144" i="16"/>
  <c r="A145" i="16"/>
  <c r="B145" i="16"/>
  <c r="A146" i="16"/>
  <c r="B146" i="16"/>
  <c r="A147" i="16"/>
  <c r="B147" i="16"/>
  <c r="D147" i="16"/>
  <c r="D146" i="16"/>
  <c r="D145" i="16"/>
  <c r="D144" i="16"/>
  <c r="D143" i="16"/>
  <c r="D142" i="16"/>
  <c r="D141" i="16"/>
  <c r="D140" i="16"/>
  <c r="D139" i="16"/>
  <c r="D138" i="16"/>
  <c r="D137" i="16"/>
  <c r="D136" i="16"/>
  <c r="D135" i="16"/>
  <c r="D134" i="16"/>
  <c r="D133" i="16"/>
  <c r="D132" i="16"/>
  <c r="D131" i="16"/>
  <c r="D130" i="16"/>
  <c r="D129" i="16"/>
  <c r="D128" i="16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A364" i="13"/>
  <c r="B364" i="13"/>
  <c r="A365" i="13"/>
  <c r="B365" i="13"/>
  <c r="A366" i="13"/>
  <c r="B366" i="13"/>
  <c r="A367" i="13"/>
  <c r="B367" i="13"/>
  <c r="A368" i="13"/>
  <c r="B368" i="13"/>
  <c r="A369" i="13"/>
  <c r="B369" i="13"/>
  <c r="A370" i="13"/>
  <c r="B370" i="13"/>
  <c r="A371" i="13"/>
  <c r="B371" i="13"/>
  <c r="A372" i="13"/>
  <c r="B372" i="13"/>
  <c r="A373" i="13"/>
  <c r="B373" i="13"/>
  <c r="A374" i="13"/>
  <c r="B374" i="13"/>
  <c r="A375" i="13"/>
  <c r="B375" i="13"/>
  <c r="A376" i="13"/>
  <c r="B376" i="13"/>
  <c r="A377" i="13"/>
  <c r="B377" i="13"/>
  <c r="A378" i="13"/>
  <c r="B378" i="13"/>
  <c r="A379" i="13"/>
  <c r="B379" i="13"/>
  <c r="A380" i="13"/>
  <c r="B380" i="13"/>
  <c r="A381" i="13"/>
  <c r="B381" i="13"/>
  <c r="A382" i="13"/>
  <c r="B382" i="13"/>
  <c r="A383" i="13"/>
  <c r="B383" i="13"/>
  <c r="A384" i="13"/>
  <c r="B384" i="13"/>
  <c r="A385" i="13"/>
  <c r="B385" i="13"/>
  <c r="A386" i="13"/>
  <c r="B386" i="13"/>
  <c r="A387" i="13"/>
  <c r="B387" i="13"/>
  <c r="A388" i="13"/>
  <c r="B388" i="13"/>
  <c r="A389" i="13"/>
  <c r="B389" i="13"/>
  <c r="A390" i="13"/>
  <c r="B390" i="13"/>
  <c r="A391" i="13"/>
  <c r="B391" i="13"/>
  <c r="A392" i="13"/>
  <c r="B392" i="13"/>
  <c r="A393" i="13"/>
  <c r="B393" i="13"/>
  <c r="A394" i="13"/>
  <c r="B394" i="13"/>
  <c r="A395" i="13"/>
  <c r="B395" i="13"/>
  <c r="A396" i="13"/>
  <c r="B396" i="13"/>
  <c r="A397" i="13"/>
  <c r="B397" i="13"/>
  <c r="A398" i="13"/>
  <c r="B398" i="13"/>
  <c r="A399" i="13"/>
  <c r="B399" i="13"/>
  <c r="A400" i="13"/>
  <c r="B400" i="13"/>
  <c r="A401" i="13"/>
  <c r="B401" i="13"/>
  <c r="A402" i="13"/>
  <c r="B402" i="13"/>
  <c r="A403" i="13"/>
  <c r="B403" i="13"/>
  <c r="A404" i="13"/>
  <c r="B404" i="13"/>
  <c r="A405" i="13"/>
  <c r="B405" i="13"/>
  <c r="A406" i="13"/>
  <c r="B406" i="13"/>
  <c r="A407" i="13"/>
  <c r="B407" i="13"/>
  <c r="A408" i="13"/>
  <c r="B408" i="13"/>
  <c r="A409" i="13"/>
  <c r="B409" i="13"/>
  <c r="A410" i="13"/>
  <c r="B410" i="13"/>
  <c r="A411" i="13"/>
  <c r="B411" i="13"/>
  <c r="A412" i="13"/>
  <c r="B412" i="13"/>
  <c r="A413" i="13"/>
  <c r="B413" i="13"/>
  <c r="A414" i="13"/>
  <c r="B414" i="13"/>
  <c r="A415" i="13"/>
  <c r="B415" i="13"/>
  <c r="A416" i="13"/>
  <c r="B416" i="13"/>
  <c r="A417" i="13"/>
  <c r="B417" i="13"/>
  <c r="A418" i="13"/>
  <c r="B418" i="13"/>
  <c r="A419" i="13"/>
  <c r="B419" i="13"/>
  <c r="A420" i="13"/>
  <c r="B420" i="13"/>
  <c r="A421" i="13"/>
  <c r="B421" i="13"/>
  <c r="A422" i="13"/>
  <c r="B422" i="13"/>
  <c r="A423" i="13"/>
  <c r="B423" i="13"/>
  <c r="A424" i="13"/>
  <c r="B424" i="13"/>
  <c r="A425" i="13"/>
  <c r="B425" i="13"/>
  <c r="A426" i="13"/>
  <c r="B426" i="13"/>
  <c r="A427" i="13"/>
  <c r="B427" i="13"/>
  <c r="A428" i="13"/>
  <c r="B428" i="13"/>
  <c r="A429" i="13"/>
  <c r="B429" i="13"/>
  <c r="A430" i="13"/>
  <c r="B430" i="13"/>
  <c r="A431" i="13"/>
  <c r="B431" i="13"/>
  <c r="A432" i="13"/>
  <c r="B432" i="13"/>
  <c r="A433" i="13"/>
  <c r="B433" i="13"/>
  <c r="A434" i="13"/>
  <c r="B434" i="13"/>
  <c r="A435" i="13"/>
  <c r="B435" i="13"/>
  <c r="A436" i="13"/>
  <c r="B436" i="13"/>
  <c r="A437" i="13"/>
  <c r="B437" i="13"/>
  <c r="A438" i="13"/>
  <c r="B438" i="13"/>
  <c r="A439" i="13"/>
  <c r="B439" i="13"/>
  <c r="A440" i="13"/>
  <c r="B440" i="13"/>
  <c r="A441" i="13"/>
  <c r="B441" i="13"/>
  <c r="A442" i="13"/>
  <c r="B442" i="13"/>
  <c r="A443" i="13"/>
  <c r="B443" i="13"/>
  <c r="A444" i="13"/>
  <c r="B444" i="13"/>
  <c r="A445" i="13"/>
  <c r="B445" i="13"/>
  <c r="A446" i="13"/>
  <c r="B446" i="13"/>
  <c r="P5" i="13" a="1"/>
  <c r="P5" i="13" s="1"/>
  <c r="I364" i="13" s="1"/>
  <c r="A4" i="17" a="1"/>
  <c r="A4" i="17" s="1"/>
  <c r="C4" i="17" s="1"/>
  <c r="G28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3" i="18"/>
  <c r="D31" i="18"/>
  <c r="D32" i="18"/>
  <c r="D33" i="18"/>
  <c r="D34" i="18"/>
  <c r="D35" i="18"/>
  <c r="D36" i="18"/>
  <c r="D37" i="18"/>
  <c r="D38" i="18"/>
  <c r="D39" i="18"/>
  <c r="D40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8" i="18"/>
  <c r="D59" i="18"/>
  <c r="D60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2" i="18"/>
  <c r="C48" i="17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2" i="16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2" i="16"/>
  <c r="A333" i="13"/>
  <c r="B333" i="13"/>
  <c r="A334" i="13"/>
  <c r="B334" i="13"/>
  <c r="A335" i="13"/>
  <c r="B335" i="13"/>
  <c r="A336" i="13"/>
  <c r="B336" i="13"/>
  <c r="A337" i="13"/>
  <c r="B337" i="13"/>
  <c r="A338" i="13"/>
  <c r="B338" i="13"/>
  <c r="A339" i="13"/>
  <c r="B339" i="13"/>
  <c r="A340" i="13"/>
  <c r="B340" i="13"/>
  <c r="A341" i="13"/>
  <c r="B341" i="13"/>
  <c r="A342" i="13"/>
  <c r="B342" i="13"/>
  <c r="A343" i="13"/>
  <c r="B343" i="13"/>
  <c r="A344" i="13"/>
  <c r="B344" i="13"/>
  <c r="A345" i="13"/>
  <c r="B345" i="13"/>
  <c r="A346" i="13"/>
  <c r="B346" i="13"/>
  <c r="A347" i="13"/>
  <c r="B347" i="13"/>
  <c r="A348" i="13"/>
  <c r="B348" i="13"/>
  <c r="A349" i="13"/>
  <c r="B349" i="13"/>
  <c r="A350" i="13"/>
  <c r="B350" i="13"/>
  <c r="A351" i="13"/>
  <c r="B351" i="13"/>
  <c r="A352" i="13"/>
  <c r="B352" i="13"/>
  <c r="A353" i="13"/>
  <c r="B353" i="13"/>
  <c r="A354" i="13"/>
  <c r="B354" i="13"/>
  <c r="A355" i="13"/>
  <c r="B355" i="13"/>
  <c r="A356" i="13"/>
  <c r="B356" i="13"/>
  <c r="A357" i="13"/>
  <c r="B357" i="13"/>
  <c r="A358" i="13"/>
  <c r="B358" i="13"/>
  <c r="A359" i="13"/>
  <c r="B359" i="13"/>
  <c r="A360" i="13"/>
  <c r="B360" i="13"/>
  <c r="A361" i="13"/>
  <c r="B361" i="13"/>
  <c r="A362" i="13"/>
  <c r="B362" i="13"/>
  <c r="A363" i="13"/>
  <c r="B363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A2" i="15" a="1"/>
  <c r="A2" i="15" s="1"/>
  <c r="H2" i="15" s="1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56" i="13"/>
  <c r="E248" i="13"/>
  <c r="E249" i="13"/>
  <c r="E250" i="13"/>
  <c r="E251" i="13"/>
  <c r="E252" i="13"/>
  <c r="E253" i="13"/>
  <c r="E254" i="13"/>
  <c r="E247" i="13"/>
  <c r="E255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2" i="13"/>
  <c r="A280" i="13"/>
  <c r="B280" i="13"/>
  <c r="A281" i="13"/>
  <c r="B281" i="13"/>
  <c r="A282" i="13"/>
  <c r="B282" i="13"/>
  <c r="A283" i="13"/>
  <c r="B283" i="13"/>
  <c r="A284" i="13"/>
  <c r="B284" i="13"/>
  <c r="A285" i="13"/>
  <c r="B285" i="13"/>
  <c r="A286" i="13"/>
  <c r="B286" i="13"/>
  <c r="A287" i="13"/>
  <c r="B287" i="13"/>
  <c r="A288" i="13"/>
  <c r="B288" i="13"/>
  <c r="A289" i="13"/>
  <c r="B289" i="13"/>
  <c r="A290" i="13"/>
  <c r="B290" i="13"/>
  <c r="A291" i="13"/>
  <c r="B291" i="13"/>
  <c r="A292" i="13"/>
  <c r="B292" i="13"/>
  <c r="A293" i="13"/>
  <c r="B293" i="13"/>
  <c r="A294" i="13"/>
  <c r="B294" i="13"/>
  <c r="A295" i="13"/>
  <c r="B295" i="13"/>
  <c r="A296" i="13"/>
  <c r="B296" i="13"/>
  <c r="A297" i="13"/>
  <c r="B297" i="13"/>
  <c r="A298" i="13"/>
  <c r="B298" i="13"/>
  <c r="A299" i="13"/>
  <c r="B299" i="13"/>
  <c r="A300" i="13"/>
  <c r="B300" i="13"/>
  <c r="A301" i="13"/>
  <c r="B301" i="13"/>
  <c r="A302" i="13"/>
  <c r="B302" i="13"/>
  <c r="A303" i="13"/>
  <c r="B303" i="13"/>
  <c r="A304" i="13"/>
  <c r="B304" i="13"/>
  <c r="A305" i="13"/>
  <c r="B305" i="13"/>
  <c r="A306" i="13"/>
  <c r="B306" i="13"/>
  <c r="A307" i="13"/>
  <c r="B307" i="13"/>
  <c r="A308" i="13"/>
  <c r="B308" i="13"/>
  <c r="A309" i="13"/>
  <c r="B309" i="13"/>
  <c r="A310" i="13"/>
  <c r="B310" i="13"/>
  <c r="A311" i="13"/>
  <c r="B311" i="13"/>
  <c r="A312" i="13"/>
  <c r="B312" i="13"/>
  <c r="A313" i="13"/>
  <c r="B313" i="13"/>
  <c r="A314" i="13"/>
  <c r="B314" i="13"/>
  <c r="A315" i="13"/>
  <c r="B315" i="13"/>
  <c r="A316" i="13"/>
  <c r="B316" i="13"/>
  <c r="A317" i="13"/>
  <c r="B317" i="13"/>
  <c r="A318" i="13"/>
  <c r="B318" i="13"/>
  <c r="A319" i="13"/>
  <c r="B319" i="13"/>
  <c r="A320" i="13"/>
  <c r="B320" i="13"/>
  <c r="A321" i="13"/>
  <c r="B321" i="13"/>
  <c r="A322" i="13"/>
  <c r="B322" i="13"/>
  <c r="A323" i="13"/>
  <c r="B323" i="13"/>
  <c r="A324" i="13"/>
  <c r="B324" i="13"/>
  <c r="A325" i="13"/>
  <c r="B325" i="13"/>
  <c r="A326" i="13"/>
  <c r="B326" i="13"/>
  <c r="A327" i="13"/>
  <c r="B327" i="13"/>
  <c r="A328" i="13"/>
  <c r="B328" i="13"/>
  <c r="A329" i="13"/>
  <c r="B329" i="13"/>
  <c r="A330" i="13"/>
  <c r="B330" i="13"/>
  <c r="A331" i="13"/>
  <c r="B331" i="13"/>
  <c r="A332" i="13"/>
  <c r="B332" i="13"/>
  <c r="A217" i="13"/>
  <c r="B217" i="13"/>
  <c r="A218" i="13"/>
  <c r="B218" i="13"/>
  <c r="A219" i="13"/>
  <c r="B219" i="13"/>
  <c r="A220" i="13"/>
  <c r="B220" i="13"/>
  <c r="A221" i="13"/>
  <c r="B221" i="13"/>
  <c r="A222" i="13"/>
  <c r="B222" i="13"/>
  <c r="A223" i="13"/>
  <c r="B223" i="13"/>
  <c r="A224" i="13"/>
  <c r="B224" i="13"/>
  <c r="A225" i="13"/>
  <c r="B225" i="13"/>
  <c r="A226" i="13"/>
  <c r="B226" i="13"/>
  <c r="A227" i="13"/>
  <c r="B227" i="13"/>
  <c r="A228" i="13"/>
  <c r="B228" i="13"/>
  <c r="A229" i="13"/>
  <c r="B229" i="13"/>
  <c r="A230" i="13"/>
  <c r="B230" i="13"/>
  <c r="A231" i="13"/>
  <c r="B231" i="13"/>
  <c r="A232" i="13"/>
  <c r="B232" i="13"/>
  <c r="A233" i="13"/>
  <c r="B233" i="13"/>
  <c r="A234" i="13"/>
  <c r="B234" i="13"/>
  <c r="A235" i="13"/>
  <c r="B235" i="13"/>
  <c r="A236" i="13"/>
  <c r="B236" i="13"/>
  <c r="A237" i="13"/>
  <c r="B237" i="13"/>
  <c r="A238" i="13"/>
  <c r="B238" i="13"/>
  <c r="A239" i="13"/>
  <c r="B239" i="13"/>
  <c r="A240" i="13"/>
  <c r="B240" i="13"/>
  <c r="A241" i="13"/>
  <c r="B241" i="13"/>
  <c r="A242" i="13"/>
  <c r="B242" i="13"/>
  <c r="A243" i="13"/>
  <c r="B243" i="13"/>
  <c r="A244" i="13"/>
  <c r="B244" i="13"/>
  <c r="A245" i="13"/>
  <c r="B245" i="13"/>
  <c r="A246" i="13"/>
  <c r="B246" i="13"/>
  <c r="A256" i="13"/>
  <c r="B256" i="13"/>
  <c r="A248" i="13"/>
  <c r="B248" i="13"/>
  <c r="A249" i="13"/>
  <c r="B249" i="13"/>
  <c r="A250" i="13"/>
  <c r="B250" i="13"/>
  <c r="A251" i="13"/>
  <c r="B251" i="13"/>
  <c r="A252" i="13"/>
  <c r="B252" i="13"/>
  <c r="A253" i="13"/>
  <c r="B253" i="13"/>
  <c r="A254" i="13"/>
  <c r="B254" i="13"/>
  <c r="A247" i="13"/>
  <c r="B247" i="13"/>
  <c r="A255" i="13"/>
  <c r="B255" i="13"/>
  <c r="A257" i="13"/>
  <c r="B257" i="13"/>
  <c r="A258" i="13"/>
  <c r="B258" i="13"/>
  <c r="A259" i="13"/>
  <c r="B259" i="13"/>
  <c r="A260" i="13"/>
  <c r="B260" i="13"/>
  <c r="A261" i="13"/>
  <c r="B261" i="13"/>
  <c r="A262" i="13"/>
  <c r="B262" i="13"/>
  <c r="A263" i="13"/>
  <c r="B263" i="13"/>
  <c r="A264" i="13"/>
  <c r="B264" i="13"/>
  <c r="A265" i="13"/>
  <c r="B265" i="13"/>
  <c r="A266" i="13"/>
  <c r="B266" i="13"/>
  <c r="A267" i="13"/>
  <c r="B267" i="13"/>
  <c r="A268" i="13"/>
  <c r="B268" i="13"/>
  <c r="A269" i="13"/>
  <c r="B269" i="13"/>
  <c r="A270" i="13"/>
  <c r="B270" i="13"/>
  <c r="A271" i="13"/>
  <c r="B271" i="13"/>
  <c r="A272" i="13"/>
  <c r="B272" i="13"/>
  <c r="A273" i="13"/>
  <c r="B273" i="13"/>
  <c r="A274" i="13"/>
  <c r="B274" i="13"/>
  <c r="A275" i="13"/>
  <c r="B275" i="13"/>
  <c r="A276" i="13"/>
  <c r="B276" i="13"/>
  <c r="A277" i="13"/>
  <c r="B277" i="13"/>
  <c r="A278" i="13"/>
  <c r="B278" i="13"/>
  <c r="A279" i="13"/>
  <c r="B279" i="13"/>
  <c r="A124" i="13"/>
  <c r="B124" i="13"/>
  <c r="A125" i="13"/>
  <c r="B125" i="13"/>
  <c r="A126" i="13"/>
  <c r="B126" i="13"/>
  <c r="A127" i="13"/>
  <c r="B127" i="13"/>
  <c r="A128" i="13"/>
  <c r="B128" i="13"/>
  <c r="A129" i="13"/>
  <c r="B129" i="13"/>
  <c r="A130" i="13"/>
  <c r="B130" i="13"/>
  <c r="A131" i="13"/>
  <c r="B131" i="13"/>
  <c r="A132" i="13"/>
  <c r="B132" i="13"/>
  <c r="A133" i="13"/>
  <c r="B133" i="13"/>
  <c r="A134" i="13"/>
  <c r="B134" i="13"/>
  <c r="A135" i="13"/>
  <c r="B135" i="13"/>
  <c r="A136" i="13"/>
  <c r="B136" i="13"/>
  <c r="A137" i="13"/>
  <c r="B137" i="13"/>
  <c r="A138" i="13"/>
  <c r="B138" i="13"/>
  <c r="A139" i="13"/>
  <c r="B139" i="13"/>
  <c r="A140" i="13"/>
  <c r="B140" i="13"/>
  <c r="A141" i="13"/>
  <c r="B141" i="13"/>
  <c r="A142" i="13"/>
  <c r="B142" i="13"/>
  <c r="A143" i="13"/>
  <c r="B143" i="13"/>
  <c r="A144" i="13"/>
  <c r="B144" i="13"/>
  <c r="A145" i="13"/>
  <c r="B145" i="13"/>
  <c r="A146" i="13"/>
  <c r="B146" i="13"/>
  <c r="A147" i="13"/>
  <c r="B147" i="13"/>
  <c r="A148" i="13"/>
  <c r="B148" i="13"/>
  <c r="A149" i="13"/>
  <c r="B149" i="13"/>
  <c r="A150" i="13"/>
  <c r="B150" i="13"/>
  <c r="A151" i="13"/>
  <c r="B151" i="13"/>
  <c r="A152" i="13"/>
  <c r="B152" i="13"/>
  <c r="A153" i="13"/>
  <c r="B153" i="13"/>
  <c r="A154" i="13"/>
  <c r="B154" i="13"/>
  <c r="A155" i="13"/>
  <c r="B155" i="13"/>
  <c r="A156" i="13"/>
  <c r="B156" i="13"/>
  <c r="A157" i="13"/>
  <c r="B157" i="13"/>
  <c r="A158" i="13"/>
  <c r="B158" i="13"/>
  <c r="A159" i="13"/>
  <c r="B159" i="13"/>
  <c r="A160" i="13"/>
  <c r="B160" i="13"/>
  <c r="A161" i="13"/>
  <c r="B161" i="13"/>
  <c r="A162" i="13"/>
  <c r="B162" i="13"/>
  <c r="A163" i="13"/>
  <c r="B163" i="13"/>
  <c r="A164" i="13"/>
  <c r="B164" i="13"/>
  <c r="A165" i="13"/>
  <c r="B165" i="13"/>
  <c r="A166" i="13"/>
  <c r="B166" i="13"/>
  <c r="A167" i="13"/>
  <c r="B167" i="13"/>
  <c r="A168" i="13"/>
  <c r="B168" i="13"/>
  <c r="A169" i="13"/>
  <c r="B169" i="13"/>
  <c r="A170" i="13"/>
  <c r="B170" i="13"/>
  <c r="A171" i="13"/>
  <c r="B171" i="13"/>
  <c r="A172" i="13"/>
  <c r="B172" i="13"/>
  <c r="A173" i="13"/>
  <c r="B173" i="13"/>
  <c r="A174" i="13"/>
  <c r="B174" i="13"/>
  <c r="A175" i="13"/>
  <c r="B175" i="13"/>
  <c r="A176" i="13"/>
  <c r="B176" i="13"/>
  <c r="A177" i="13"/>
  <c r="B177" i="13"/>
  <c r="A178" i="13"/>
  <c r="B178" i="13"/>
  <c r="A179" i="13"/>
  <c r="B179" i="13"/>
  <c r="A180" i="13"/>
  <c r="B180" i="13"/>
  <c r="A181" i="13"/>
  <c r="B181" i="13"/>
  <c r="A182" i="13"/>
  <c r="B182" i="13"/>
  <c r="A183" i="13"/>
  <c r="B183" i="13"/>
  <c r="A184" i="13"/>
  <c r="B184" i="13"/>
  <c r="A185" i="13"/>
  <c r="B185" i="13"/>
  <c r="A186" i="13"/>
  <c r="B186" i="13"/>
  <c r="A187" i="13"/>
  <c r="B187" i="13"/>
  <c r="A188" i="13"/>
  <c r="B188" i="13"/>
  <c r="A189" i="13"/>
  <c r="B189" i="13"/>
  <c r="A190" i="13"/>
  <c r="B190" i="13"/>
  <c r="A191" i="13"/>
  <c r="B191" i="13"/>
  <c r="A192" i="13"/>
  <c r="B192" i="13"/>
  <c r="A193" i="13"/>
  <c r="B193" i="13"/>
  <c r="A194" i="13"/>
  <c r="B194" i="13"/>
  <c r="A195" i="13"/>
  <c r="B195" i="13"/>
  <c r="A196" i="13"/>
  <c r="B196" i="13"/>
  <c r="A197" i="13"/>
  <c r="B197" i="13"/>
  <c r="A198" i="13"/>
  <c r="B198" i="13"/>
  <c r="A199" i="13"/>
  <c r="B199" i="13"/>
  <c r="A200" i="13"/>
  <c r="B200" i="13"/>
  <c r="A201" i="13"/>
  <c r="B201" i="13"/>
  <c r="A202" i="13"/>
  <c r="B202" i="13"/>
  <c r="A203" i="13"/>
  <c r="B203" i="13"/>
  <c r="A204" i="13"/>
  <c r="B204" i="13"/>
  <c r="A205" i="13"/>
  <c r="B205" i="13"/>
  <c r="A206" i="13"/>
  <c r="B206" i="13"/>
  <c r="A207" i="13"/>
  <c r="B207" i="13"/>
  <c r="A208" i="13"/>
  <c r="B208" i="13"/>
  <c r="A209" i="13"/>
  <c r="B209" i="13"/>
  <c r="A210" i="13"/>
  <c r="B210" i="13"/>
  <c r="A211" i="13"/>
  <c r="B211" i="13"/>
  <c r="A212" i="13"/>
  <c r="B212" i="13"/>
  <c r="A213" i="13"/>
  <c r="B213" i="13"/>
  <c r="A214" i="13"/>
  <c r="B214" i="13"/>
  <c r="A215" i="13"/>
  <c r="B215" i="13"/>
  <c r="A216" i="13"/>
  <c r="B216" i="13"/>
  <c r="A93" i="13"/>
  <c r="B93" i="13"/>
  <c r="A94" i="13"/>
  <c r="B94" i="13"/>
  <c r="A95" i="13"/>
  <c r="B95" i="13"/>
  <c r="A96" i="13"/>
  <c r="B96" i="13"/>
  <c r="A97" i="13"/>
  <c r="B97" i="13"/>
  <c r="A98" i="13"/>
  <c r="B98" i="13"/>
  <c r="A99" i="13"/>
  <c r="B99" i="13"/>
  <c r="A100" i="13"/>
  <c r="B100" i="13"/>
  <c r="A101" i="13"/>
  <c r="B101" i="13"/>
  <c r="A102" i="13"/>
  <c r="B102" i="13"/>
  <c r="A103" i="13"/>
  <c r="B103" i="13"/>
  <c r="A104" i="13"/>
  <c r="B104" i="13"/>
  <c r="A105" i="13"/>
  <c r="B105" i="13"/>
  <c r="A106" i="13"/>
  <c r="B106" i="13"/>
  <c r="A107" i="13"/>
  <c r="B107" i="13"/>
  <c r="A108" i="13"/>
  <c r="B108" i="13"/>
  <c r="A109" i="13"/>
  <c r="B109" i="13"/>
  <c r="A110" i="13"/>
  <c r="B110" i="13"/>
  <c r="A111" i="13"/>
  <c r="B111" i="13"/>
  <c r="A112" i="13"/>
  <c r="B112" i="13"/>
  <c r="A113" i="13"/>
  <c r="B113" i="13"/>
  <c r="A114" i="13"/>
  <c r="B114" i="13"/>
  <c r="A115" i="13"/>
  <c r="B115" i="13"/>
  <c r="A116" i="13"/>
  <c r="B116" i="13"/>
  <c r="A117" i="13"/>
  <c r="B117" i="13"/>
  <c r="A118" i="13"/>
  <c r="B118" i="13"/>
  <c r="A119" i="13"/>
  <c r="B119" i="13"/>
  <c r="A120" i="13"/>
  <c r="B120" i="13"/>
  <c r="A121" i="13"/>
  <c r="B121" i="13"/>
  <c r="A122" i="13"/>
  <c r="B122" i="13"/>
  <c r="A123" i="13"/>
  <c r="B123" i="13"/>
  <c r="A78" i="13"/>
  <c r="B78" i="13"/>
  <c r="A79" i="13"/>
  <c r="B79" i="13"/>
  <c r="A80" i="13"/>
  <c r="B80" i="13"/>
  <c r="A81" i="13"/>
  <c r="B81" i="13"/>
  <c r="A82" i="13"/>
  <c r="B82" i="13"/>
  <c r="A83" i="13"/>
  <c r="B83" i="13"/>
  <c r="A84" i="13"/>
  <c r="B84" i="13"/>
  <c r="A85" i="13"/>
  <c r="B85" i="13"/>
  <c r="A86" i="13"/>
  <c r="B86" i="13"/>
  <c r="A87" i="13"/>
  <c r="B87" i="13"/>
  <c r="A88" i="13"/>
  <c r="B88" i="13"/>
  <c r="A89" i="13"/>
  <c r="B89" i="13"/>
  <c r="A90" i="13"/>
  <c r="B90" i="13"/>
  <c r="A91" i="13"/>
  <c r="B91" i="13"/>
  <c r="A92" i="13"/>
  <c r="B92" i="13"/>
  <c r="A62" i="13"/>
  <c r="B62" i="13"/>
  <c r="A63" i="13"/>
  <c r="B63" i="13"/>
  <c r="A64" i="13"/>
  <c r="B64" i="13"/>
  <c r="A65" i="13"/>
  <c r="B65" i="13"/>
  <c r="A66" i="13"/>
  <c r="B66" i="13"/>
  <c r="A67" i="13"/>
  <c r="B67" i="13"/>
  <c r="A68" i="13"/>
  <c r="B68" i="13"/>
  <c r="A69" i="13"/>
  <c r="B69" i="13"/>
  <c r="A70" i="13"/>
  <c r="B70" i="13"/>
  <c r="A71" i="13"/>
  <c r="B71" i="13"/>
  <c r="A72" i="13"/>
  <c r="B72" i="13"/>
  <c r="A73" i="13"/>
  <c r="B73" i="13"/>
  <c r="A74" i="13"/>
  <c r="B74" i="13"/>
  <c r="A75" i="13"/>
  <c r="B75" i="13"/>
  <c r="A76" i="13"/>
  <c r="B76" i="13"/>
  <c r="A77" i="13"/>
  <c r="B77" i="13"/>
  <c r="X21" i="13" l="1"/>
  <c r="X20" i="13"/>
  <c r="X19" i="13"/>
  <c r="X18" i="13"/>
  <c r="X17" i="13"/>
  <c r="B44" i="17"/>
  <c r="I394" i="13"/>
  <c r="I378" i="13"/>
  <c r="I441" i="13"/>
  <c r="I425" i="13"/>
  <c r="I409" i="13"/>
  <c r="I393" i="13"/>
  <c r="I377" i="13"/>
  <c r="I440" i="13"/>
  <c r="I424" i="13"/>
  <c r="I408" i="13"/>
  <c r="I392" i="13"/>
  <c r="I376" i="13"/>
  <c r="I439" i="13"/>
  <c r="I423" i="13"/>
  <c r="I407" i="13"/>
  <c r="I391" i="13"/>
  <c r="I375" i="13"/>
  <c r="I410" i="13"/>
  <c r="I438" i="13"/>
  <c r="I422" i="13"/>
  <c r="I406" i="13"/>
  <c r="I390" i="13"/>
  <c r="I374" i="13"/>
  <c r="I437" i="13"/>
  <c r="I421" i="13"/>
  <c r="I405" i="13"/>
  <c r="I389" i="13"/>
  <c r="I373" i="13"/>
  <c r="I436" i="13"/>
  <c r="I420" i="13"/>
  <c r="I404" i="13"/>
  <c r="I388" i="13"/>
  <c r="I372" i="13"/>
  <c r="I435" i="13"/>
  <c r="I419" i="13"/>
  <c r="I403" i="13"/>
  <c r="I387" i="13"/>
  <c r="I371" i="13"/>
  <c r="I442" i="13"/>
  <c r="I434" i="13"/>
  <c r="I418" i="13"/>
  <c r="I402" i="13"/>
  <c r="I386" i="13"/>
  <c r="I370" i="13"/>
  <c r="I426" i="13"/>
  <c r="I433" i="13"/>
  <c r="I417" i="13"/>
  <c r="I401" i="13"/>
  <c r="I385" i="13"/>
  <c r="I369" i="13"/>
  <c r="I432" i="13"/>
  <c r="I416" i="13"/>
  <c r="I400" i="13"/>
  <c r="I384" i="13"/>
  <c r="I368" i="13"/>
  <c r="I431" i="13"/>
  <c r="I415" i="13"/>
  <c r="I399" i="13"/>
  <c r="I383" i="13"/>
  <c r="I367" i="13"/>
  <c r="I446" i="13"/>
  <c r="I430" i="13"/>
  <c r="I414" i="13"/>
  <c r="I398" i="13"/>
  <c r="I382" i="13"/>
  <c r="I366" i="13"/>
  <c r="I445" i="13"/>
  <c r="I429" i="13"/>
  <c r="I413" i="13"/>
  <c r="I397" i="13"/>
  <c r="I381" i="13"/>
  <c r="I365" i="13"/>
  <c r="I444" i="13"/>
  <c r="I428" i="13"/>
  <c r="I412" i="13"/>
  <c r="I396" i="13"/>
  <c r="I380" i="13"/>
  <c r="I443" i="13"/>
  <c r="I427" i="13"/>
  <c r="I411" i="13"/>
  <c r="I395" i="13"/>
  <c r="I379" i="13"/>
  <c r="D4" i="17"/>
  <c r="I37" i="17"/>
  <c r="AN37" i="17"/>
  <c r="BH37" i="17"/>
  <c r="AG38" i="17"/>
  <c r="BA38" i="17"/>
  <c r="U39" i="17"/>
  <c r="AS39" i="17"/>
  <c r="F40" i="17"/>
  <c r="AK40" i="17"/>
  <c r="BB40" i="17"/>
  <c r="J37" i="17"/>
  <c r="AO37" i="17"/>
  <c r="BI37" i="17"/>
  <c r="AH38" i="17"/>
  <c r="BB38" i="17"/>
  <c r="AB39" i="17"/>
  <c r="AT39" i="17"/>
  <c r="G40" i="17"/>
  <c r="AL40" i="17"/>
  <c r="BC40" i="17"/>
  <c r="K37" i="17"/>
  <c r="AQ37" i="17"/>
  <c r="D38" i="17"/>
  <c r="AI38" i="17"/>
  <c r="BC38" i="17"/>
  <c r="AC39" i="17"/>
  <c r="AV39" i="17"/>
  <c r="I40" i="17"/>
  <c r="AM40" i="17"/>
  <c r="BD40" i="17"/>
  <c r="P37" i="17"/>
  <c r="AR37" i="17"/>
  <c r="E38" i="17"/>
  <c r="AJ38" i="17"/>
  <c r="BD38" i="17"/>
  <c r="AD39" i="17"/>
  <c r="AW39" i="17"/>
  <c r="J40" i="17"/>
  <c r="AN40" i="17"/>
  <c r="BF40" i="17"/>
  <c r="U37" i="17"/>
  <c r="AS37" i="17"/>
  <c r="F38" i="17"/>
  <c r="AL38" i="17"/>
  <c r="BF38" i="17"/>
  <c r="AE39" i="17"/>
  <c r="AX39" i="17"/>
  <c r="K40" i="17"/>
  <c r="AO40" i="17"/>
  <c r="BG40" i="17"/>
  <c r="V37" i="17"/>
  <c r="AT37" i="17"/>
  <c r="G38" i="17"/>
  <c r="AM38" i="17"/>
  <c r="BG38" i="17"/>
  <c r="AF39" i="17"/>
  <c r="AY39" i="17"/>
  <c r="P40" i="17"/>
  <c r="AP40" i="17"/>
  <c r="BH40" i="17"/>
  <c r="AB37" i="17"/>
  <c r="AV37" i="17"/>
  <c r="I38" i="17"/>
  <c r="AN38" i="17"/>
  <c r="BH38" i="17"/>
  <c r="AG39" i="17"/>
  <c r="BA39" i="17"/>
  <c r="U40" i="17"/>
  <c r="AQ40" i="17"/>
  <c r="BI40" i="17"/>
  <c r="AC37" i="17"/>
  <c r="AW37" i="17"/>
  <c r="J38" i="17"/>
  <c r="AO38" i="17"/>
  <c r="BI38" i="17"/>
  <c r="AH39" i="17"/>
  <c r="BB39" i="17"/>
  <c r="Z40" i="17"/>
  <c r="AR40" i="17"/>
  <c r="Z37" i="17"/>
  <c r="AD37" i="17"/>
  <c r="AX37" i="17"/>
  <c r="K38" i="17"/>
  <c r="AQ38" i="17"/>
  <c r="D39" i="17"/>
  <c r="AI39" i="17"/>
  <c r="BC39" i="17"/>
  <c r="AB40" i="17"/>
  <c r="AS40" i="17"/>
  <c r="Y37" i="17"/>
  <c r="BA40" i="17"/>
  <c r="AJ40" i="17"/>
  <c r="E40" i="17"/>
  <c r="AR39" i="17"/>
  <c r="P39" i="17"/>
  <c r="AY38" i="17"/>
  <c r="AE38" i="17"/>
  <c r="BG37" i="17"/>
  <c r="AM37" i="17"/>
  <c r="G37" i="17"/>
  <c r="AY40" i="17"/>
  <c r="AI40" i="17"/>
  <c r="D40" i="17"/>
  <c r="AQ39" i="17"/>
  <c r="K39" i="17"/>
  <c r="AX38" i="17"/>
  <c r="AD38" i="17"/>
  <c r="BF37" i="17"/>
  <c r="AL37" i="17"/>
  <c r="F37" i="17"/>
  <c r="AX40" i="17"/>
  <c r="AH40" i="17"/>
  <c r="BI39" i="17"/>
  <c r="AO39" i="17"/>
  <c r="J39" i="17"/>
  <c r="AW38" i="17"/>
  <c r="AC38" i="17"/>
  <c r="BD37" i="17"/>
  <c r="AJ37" i="17"/>
  <c r="E37" i="17"/>
  <c r="AW40" i="17"/>
  <c r="AG40" i="17"/>
  <c r="BH39" i="17"/>
  <c r="AN39" i="17"/>
  <c r="I39" i="17"/>
  <c r="AV38" i="17"/>
  <c r="AB38" i="17"/>
  <c r="BC37" i="17"/>
  <c r="AI37" i="17"/>
  <c r="D37" i="17"/>
  <c r="BE37" i="17"/>
  <c r="AV40" i="17"/>
  <c r="AE40" i="17"/>
  <c r="BG39" i="17"/>
  <c r="AM39" i="17"/>
  <c r="G39" i="17"/>
  <c r="AT38" i="17"/>
  <c r="AA38" i="17"/>
  <c r="BB37" i="17"/>
  <c r="AH37" i="17"/>
  <c r="W40" i="17"/>
  <c r="AU40" i="17"/>
  <c r="AD40" i="17"/>
  <c r="BF39" i="17"/>
  <c r="AL39" i="17"/>
  <c r="F39" i="17"/>
  <c r="AS38" i="17"/>
  <c r="U38" i="17"/>
  <c r="BA37" i="17"/>
  <c r="AG37" i="17"/>
  <c r="X37" i="17"/>
  <c r="AT40" i="17"/>
  <c r="AC40" i="17"/>
  <c r="BD39" i="17"/>
  <c r="AJ39" i="17"/>
  <c r="E39" i="17"/>
  <c r="AR38" i="17"/>
  <c r="P38" i="17"/>
  <c r="AY37" i="17"/>
  <c r="AE37" i="17"/>
  <c r="H2" i="18"/>
  <c r="V40" i="17"/>
  <c r="Q39" i="17"/>
  <c r="L38" i="17"/>
  <c r="W37" i="17"/>
  <c r="AZ40" i="17"/>
  <c r="T40" i="17"/>
  <c r="AU39" i="17"/>
  <c r="O39" i="17"/>
  <c r="AP38" i="17"/>
  <c r="Z38" i="17"/>
  <c r="AK37" i="17"/>
  <c r="S40" i="17"/>
  <c r="C40" i="17"/>
  <c r="N39" i="17"/>
  <c r="BE38" i="17"/>
  <c r="Y38" i="17"/>
  <c r="AZ37" i="17"/>
  <c r="T37" i="17"/>
  <c r="R40" i="17"/>
  <c r="M39" i="17"/>
  <c r="X38" i="17"/>
  <c r="H38" i="17"/>
  <c r="S37" i="17"/>
  <c r="C37" i="17"/>
  <c r="Q40" i="17"/>
  <c r="L39" i="17"/>
  <c r="W38" i="17"/>
  <c r="R37" i="17"/>
  <c r="AF40" i="17"/>
  <c r="AA39" i="17"/>
  <c r="V38" i="17"/>
  <c r="Q37" i="17"/>
  <c r="O40" i="17"/>
  <c r="AP39" i="17"/>
  <c r="Z39" i="17"/>
  <c r="AK38" i="17"/>
  <c r="AF37" i="17"/>
  <c r="N40" i="17"/>
  <c r="BE39" i="17"/>
  <c r="Y39" i="17"/>
  <c r="AZ38" i="17"/>
  <c r="T38" i="17"/>
  <c r="AU37" i="17"/>
  <c r="O37" i="17"/>
  <c r="M40" i="17"/>
  <c r="X39" i="17"/>
  <c r="H39" i="17"/>
  <c r="S38" i="17"/>
  <c r="C38" i="17"/>
  <c r="N37" i="17"/>
  <c r="L40" i="17"/>
  <c r="W39" i="17"/>
  <c r="R38" i="17"/>
  <c r="M37" i="17"/>
  <c r="AA40" i="17"/>
  <c r="V39" i="17"/>
  <c r="Q38" i="17"/>
  <c r="L37" i="17"/>
  <c r="AK39" i="17"/>
  <c r="AF38" i="17"/>
  <c r="AA37" i="17"/>
  <c r="BE40" i="17"/>
  <c r="Y40" i="17"/>
  <c r="AZ39" i="17"/>
  <c r="T39" i="17"/>
  <c r="AU38" i="17"/>
  <c r="O38" i="17"/>
  <c r="AP37" i="17"/>
  <c r="X40" i="17"/>
  <c r="H40" i="17"/>
  <c r="S39" i="17"/>
  <c r="C39" i="17"/>
  <c r="N38" i="17"/>
  <c r="R39" i="17"/>
  <c r="M38" i="17"/>
  <c r="H37" i="17"/>
  <c r="BA10" i="17"/>
  <c r="BB29" i="17"/>
  <c r="AZ4" i="17"/>
  <c r="BA7" i="17"/>
  <c r="BB10" i="17"/>
  <c r="BC13" i="17"/>
  <c r="BD16" i="17"/>
  <c r="AZ20" i="17"/>
  <c r="BA23" i="17"/>
  <c r="BB26" i="17"/>
  <c r="BC29" i="17"/>
  <c r="BD32" i="17"/>
  <c r="AZ36" i="17"/>
  <c r="BF6" i="17"/>
  <c r="BG9" i="17"/>
  <c r="BH12" i="17"/>
  <c r="BI15" i="17"/>
  <c r="BE19" i="17"/>
  <c r="BF22" i="17"/>
  <c r="BG25" i="17"/>
  <c r="BH28" i="17"/>
  <c r="BI31" i="17"/>
  <c r="BE35" i="17"/>
  <c r="BI34" i="17"/>
  <c r="BA4" i="17"/>
  <c r="BB7" i="17"/>
  <c r="BC10" i="17"/>
  <c r="BD13" i="17"/>
  <c r="AZ17" i="17"/>
  <c r="BA20" i="17"/>
  <c r="BB23" i="17"/>
  <c r="BC26" i="17"/>
  <c r="BD29" i="17"/>
  <c r="AZ33" i="17"/>
  <c r="BA36" i="17"/>
  <c r="BG6" i="17"/>
  <c r="BH9" i="17"/>
  <c r="BI12" i="17"/>
  <c r="BE16" i="17"/>
  <c r="BF19" i="17"/>
  <c r="BG22" i="17"/>
  <c r="BH25" i="17"/>
  <c r="BI28" i="17"/>
  <c r="BE32" i="17"/>
  <c r="BF35" i="17"/>
  <c r="BC32" i="17"/>
  <c r="BB4" i="17"/>
  <c r="BC7" i="17"/>
  <c r="BD10" i="17"/>
  <c r="AZ14" i="17"/>
  <c r="BA17" i="17"/>
  <c r="BB20" i="17"/>
  <c r="BC23" i="17"/>
  <c r="BD26" i="17"/>
  <c r="AZ30" i="17"/>
  <c r="BA33" i="17"/>
  <c r="BB36" i="17"/>
  <c r="BH6" i="17"/>
  <c r="BI9" i="17"/>
  <c r="BE13" i="17"/>
  <c r="BF16" i="17"/>
  <c r="BG19" i="17"/>
  <c r="BH22" i="17"/>
  <c r="BI25" i="17"/>
  <c r="BE29" i="17"/>
  <c r="BF32" i="17"/>
  <c r="BG35" i="17"/>
  <c r="BD35" i="17"/>
  <c r="BC4" i="17"/>
  <c r="BD7" i="17"/>
  <c r="AZ11" i="17"/>
  <c r="BA14" i="17"/>
  <c r="BB17" i="17"/>
  <c r="BC20" i="17"/>
  <c r="BD23" i="17"/>
  <c r="AZ27" i="17"/>
  <c r="BA30" i="17"/>
  <c r="BB33" i="17"/>
  <c r="BC36" i="17"/>
  <c r="BI6" i="17"/>
  <c r="BE10" i="17"/>
  <c r="BF13" i="17"/>
  <c r="BG16" i="17"/>
  <c r="BH19" i="17"/>
  <c r="BI22" i="17"/>
  <c r="BE26" i="17"/>
  <c r="BF29" i="17"/>
  <c r="BG32" i="17"/>
  <c r="BH35" i="17"/>
  <c r="BD19" i="17"/>
  <c r="BG28" i="17"/>
  <c r="BD4" i="17"/>
  <c r="AZ8" i="17"/>
  <c r="BA11" i="17"/>
  <c r="BB14" i="17"/>
  <c r="BC17" i="17"/>
  <c r="BD20" i="17"/>
  <c r="AZ24" i="17"/>
  <c r="BA27" i="17"/>
  <c r="BB30" i="17"/>
  <c r="BC33" i="17"/>
  <c r="BD36" i="17"/>
  <c r="BE7" i="17"/>
  <c r="BF10" i="17"/>
  <c r="BG13" i="17"/>
  <c r="BH16" i="17"/>
  <c r="BI19" i="17"/>
  <c r="BE23" i="17"/>
  <c r="BF26" i="17"/>
  <c r="BG29" i="17"/>
  <c r="BH32" i="17"/>
  <c r="BI35" i="17"/>
  <c r="BB13" i="17"/>
  <c r="BH31" i="17"/>
  <c r="AZ5" i="17"/>
  <c r="BA8" i="17"/>
  <c r="BB11" i="17"/>
  <c r="BC14" i="17"/>
  <c r="BD17" i="17"/>
  <c r="AZ21" i="17"/>
  <c r="BA24" i="17"/>
  <c r="BB27" i="17"/>
  <c r="BC30" i="17"/>
  <c r="BD33" i="17"/>
  <c r="BE4" i="17"/>
  <c r="BF7" i="17"/>
  <c r="BG10" i="17"/>
  <c r="BH13" i="17"/>
  <c r="BI16" i="17"/>
  <c r="BE20" i="17"/>
  <c r="BF23" i="17"/>
  <c r="BG26" i="17"/>
  <c r="BH29" i="17"/>
  <c r="BI32" i="17"/>
  <c r="BE36" i="17"/>
  <c r="BE22" i="17"/>
  <c r="BA5" i="17"/>
  <c r="BB8" i="17"/>
  <c r="BC11" i="17"/>
  <c r="BD14" i="17"/>
  <c r="AZ18" i="17"/>
  <c r="BA21" i="17"/>
  <c r="BB24" i="17"/>
  <c r="BC27" i="17"/>
  <c r="BD30" i="17"/>
  <c r="AZ34" i="17"/>
  <c r="BF4" i="17"/>
  <c r="BG7" i="17"/>
  <c r="BH10" i="17"/>
  <c r="BI13" i="17"/>
  <c r="BE17" i="17"/>
  <c r="BF20" i="17"/>
  <c r="BG23" i="17"/>
  <c r="BH26" i="17"/>
  <c r="BI29" i="17"/>
  <c r="BE33" i="17"/>
  <c r="BF36" i="17"/>
  <c r="AZ23" i="17"/>
  <c r="BB5" i="17"/>
  <c r="BC8" i="17"/>
  <c r="BD11" i="17"/>
  <c r="AZ15" i="17"/>
  <c r="BA18" i="17"/>
  <c r="BB21" i="17"/>
  <c r="BC24" i="17"/>
  <c r="BD27" i="17"/>
  <c r="AZ31" i="17"/>
  <c r="BA34" i="17"/>
  <c r="BG4" i="17"/>
  <c r="BH7" i="17"/>
  <c r="BI10" i="17"/>
  <c r="BE14" i="17"/>
  <c r="BF17" i="17"/>
  <c r="BG20" i="17"/>
  <c r="BH23" i="17"/>
  <c r="BI26" i="17"/>
  <c r="BE30" i="17"/>
  <c r="BF33" i="17"/>
  <c r="BG36" i="17"/>
  <c r="BH15" i="17"/>
  <c r="BC5" i="17"/>
  <c r="BD8" i="17"/>
  <c r="AZ12" i="17"/>
  <c r="BA15" i="17"/>
  <c r="BB18" i="17"/>
  <c r="BC21" i="17"/>
  <c r="BD24" i="17"/>
  <c r="AZ28" i="17"/>
  <c r="BA31" i="17"/>
  <c r="BB34" i="17"/>
  <c r="BH4" i="17"/>
  <c r="BI7" i="17"/>
  <c r="BE11" i="17"/>
  <c r="BF14" i="17"/>
  <c r="BG17" i="17"/>
  <c r="BH20" i="17"/>
  <c r="BI23" i="17"/>
  <c r="BE27" i="17"/>
  <c r="BF30" i="17"/>
  <c r="BG33" i="17"/>
  <c r="BH36" i="17"/>
  <c r="BF9" i="17"/>
  <c r="BD5" i="17"/>
  <c r="AZ9" i="17"/>
  <c r="BA12" i="17"/>
  <c r="BB15" i="17"/>
  <c r="BC18" i="17"/>
  <c r="BD21" i="17"/>
  <c r="AZ25" i="17"/>
  <c r="BA28" i="17"/>
  <c r="BB31" i="17"/>
  <c r="BC34" i="17"/>
  <c r="BI4" i="17"/>
  <c r="BE8" i="17"/>
  <c r="BF11" i="17"/>
  <c r="BG14" i="17"/>
  <c r="BH17" i="17"/>
  <c r="BI20" i="17"/>
  <c r="BE24" i="17"/>
  <c r="BF27" i="17"/>
  <c r="BG30" i="17"/>
  <c r="BH33" i="17"/>
  <c r="BI36" i="17"/>
  <c r="BE6" i="17"/>
  <c r="AZ6" i="17"/>
  <c r="BA9" i="17"/>
  <c r="BB12" i="17"/>
  <c r="BC15" i="17"/>
  <c r="BD18" i="17"/>
  <c r="AZ22" i="17"/>
  <c r="BA25" i="17"/>
  <c r="BB28" i="17"/>
  <c r="BC31" i="17"/>
  <c r="BD34" i="17"/>
  <c r="BE5" i="17"/>
  <c r="BF8" i="17"/>
  <c r="BG11" i="17"/>
  <c r="BH14" i="17"/>
  <c r="BI17" i="17"/>
  <c r="BE21" i="17"/>
  <c r="BF24" i="17"/>
  <c r="BG27" i="17"/>
  <c r="BH30" i="17"/>
  <c r="BI33" i="17"/>
  <c r="AZ7" i="17"/>
  <c r="BA26" i="17"/>
  <c r="BG12" i="17"/>
  <c r="BA6" i="17"/>
  <c r="BB9" i="17"/>
  <c r="BC12" i="17"/>
  <c r="BD15" i="17"/>
  <c r="AZ19" i="17"/>
  <c r="BA22" i="17"/>
  <c r="BB25" i="17"/>
  <c r="BC28" i="17"/>
  <c r="BD31" i="17"/>
  <c r="AZ35" i="17"/>
  <c r="BF5" i="17"/>
  <c r="BG8" i="17"/>
  <c r="BH11" i="17"/>
  <c r="BI14" i="17"/>
  <c r="BE18" i="17"/>
  <c r="BF21" i="17"/>
  <c r="BG24" i="17"/>
  <c r="BH27" i="17"/>
  <c r="BI30" i="17"/>
  <c r="BE34" i="17"/>
  <c r="BI18" i="17"/>
  <c r="BB6" i="17"/>
  <c r="BC9" i="17"/>
  <c r="BD12" i="17"/>
  <c r="AZ16" i="17"/>
  <c r="BA19" i="17"/>
  <c r="BB22" i="17"/>
  <c r="BC25" i="17"/>
  <c r="BD28" i="17"/>
  <c r="AZ32" i="17"/>
  <c r="BA35" i="17"/>
  <c r="BG5" i="17"/>
  <c r="BH8" i="17"/>
  <c r="BI11" i="17"/>
  <c r="BE15" i="17"/>
  <c r="BF18" i="17"/>
  <c r="BG21" i="17"/>
  <c r="BH24" i="17"/>
  <c r="BI27" i="17"/>
  <c r="BE31" i="17"/>
  <c r="BF34" i="17"/>
  <c r="BC16" i="17"/>
  <c r="BF25" i="17"/>
  <c r="BC6" i="17"/>
  <c r="BD9" i="17"/>
  <c r="AZ13" i="17"/>
  <c r="BA16" i="17"/>
  <c r="BB19" i="17"/>
  <c r="BC22" i="17"/>
  <c r="BD25" i="17"/>
  <c r="AZ29" i="17"/>
  <c r="BA32" i="17"/>
  <c r="BB35" i="17"/>
  <c r="BH5" i="17"/>
  <c r="BI8" i="17"/>
  <c r="BE12" i="17"/>
  <c r="BF15" i="17"/>
  <c r="BG18" i="17"/>
  <c r="BH21" i="17"/>
  <c r="BI24" i="17"/>
  <c r="BE28" i="17"/>
  <c r="BF31" i="17"/>
  <c r="BG34" i="17"/>
  <c r="BD6" i="17"/>
  <c r="AZ10" i="17"/>
  <c r="BA13" i="17"/>
  <c r="BB16" i="17"/>
  <c r="BC19" i="17"/>
  <c r="BD22" i="17"/>
  <c r="AZ26" i="17"/>
  <c r="BA29" i="17"/>
  <c r="BB32" i="17"/>
  <c r="BC35" i="17"/>
  <c r="BI5" i="17"/>
  <c r="BE9" i="17"/>
  <c r="BF12" i="17"/>
  <c r="BG15" i="17"/>
  <c r="BH18" i="17"/>
  <c r="BI21" i="17"/>
  <c r="BE25" i="17"/>
  <c r="BF28" i="17"/>
  <c r="BG31" i="17"/>
  <c r="BH34" i="17"/>
  <c r="AU5" i="17"/>
  <c r="AV8" i="17"/>
  <c r="AW11" i="17"/>
  <c r="AX14" i="17"/>
  <c r="AY17" i="17"/>
  <c r="AX30" i="17"/>
  <c r="AY33" i="17"/>
  <c r="AV5" i="17"/>
  <c r="AW8" i="17"/>
  <c r="AX11" i="17"/>
  <c r="AY14" i="17"/>
  <c r="AU18" i="17"/>
  <c r="AV21" i="17"/>
  <c r="AW24" i="17"/>
  <c r="AX27" i="17"/>
  <c r="AY30" i="17"/>
  <c r="AU34" i="17"/>
  <c r="AW5" i="17"/>
  <c r="AX8" i="17"/>
  <c r="AY11" i="17"/>
  <c r="AU15" i="17"/>
  <c r="AV18" i="17"/>
  <c r="AW21" i="17"/>
  <c r="AX24" i="17"/>
  <c r="AY27" i="17"/>
  <c r="AU31" i="17"/>
  <c r="AV34" i="17"/>
  <c r="AX5" i="17"/>
  <c r="AY8" i="17"/>
  <c r="AU12" i="17"/>
  <c r="AV15" i="17"/>
  <c r="AW18" i="17"/>
  <c r="AX21" i="17"/>
  <c r="AY24" i="17"/>
  <c r="AU28" i="17"/>
  <c r="AV31" i="17"/>
  <c r="AW34" i="17"/>
  <c r="AY5" i="17"/>
  <c r="AU9" i="17"/>
  <c r="AV12" i="17"/>
  <c r="AW15" i="17"/>
  <c r="AX18" i="17"/>
  <c r="AY21" i="17"/>
  <c r="AU25" i="17"/>
  <c r="AV28" i="17"/>
  <c r="AW31" i="17"/>
  <c r="AX34" i="17"/>
  <c r="AU21" i="17"/>
  <c r="AU6" i="17"/>
  <c r="AV9" i="17"/>
  <c r="AW12" i="17"/>
  <c r="AX15" i="17"/>
  <c r="AY18" i="17"/>
  <c r="AU22" i="17"/>
  <c r="AV25" i="17"/>
  <c r="AW28" i="17"/>
  <c r="AX31" i="17"/>
  <c r="AY34" i="17"/>
  <c r="AW27" i="17"/>
  <c r="AV6" i="17"/>
  <c r="AW9" i="17"/>
  <c r="AX12" i="17"/>
  <c r="AY15" i="17"/>
  <c r="AU19" i="17"/>
  <c r="AV22" i="17"/>
  <c r="AW25" i="17"/>
  <c r="AX28" i="17"/>
  <c r="AY31" i="17"/>
  <c r="AU35" i="17"/>
  <c r="AW6" i="17"/>
  <c r="AX9" i="17"/>
  <c r="AY12" i="17"/>
  <c r="AU16" i="17"/>
  <c r="AV19" i="17"/>
  <c r="AW22" i="17"/>
  <c r="AX25" i="17"/>
  <c r="AY28" i="17"/>
  <c r="AU32" i="17"/>
  <c r="AV35" i="17"/>
  <c r="AV24" i="17"/>
  <c r="AX6" i="17"/>
  <c r="AY9" i="17"/>
  <c r="AU13" i="17"/>
  <c r="AV16" i="17"/>
  <c r="AW19" i="17"/>
  <c r="AX22" i="17"/>
  <c r="AY25" i="17"/>
  <c r="AU29" i="17"/>
  <c r="AV32" i="17"/>
  <c r="AW35" i="17"/>
  <c r="AY6" i="17"/>
  <c r="AU10" i="17"/>
  <c r="AV13" i="17"/>
  <c r="AW16" i="17"/>
  <c r="AX19" i="17"/>
  <c r="AY22" i="17"/>
  <c r="AU26" i="17"/>
  <c r="AV29" i="17"/>
  <c r="AW32" i="17"/>
  <c r="AX35" i="17"/>
  <c r="AU7" i="17"/>
  <c r="AV10" i="17"/>
  <c r="AW13" i="17"/>
  <c r="AX16" i="17"/>
  <c r="AY19" i="17"/>
  <c r="AU23" i="17"/>
  <c r="AV26" i="17"/>
  <c r="AW29" i="17"/>
  <c r="AX32" i="17"/>
  <c r="AY35" i="17"/>
  <c r="AU4" i="17"/>
  <c r="AV7" i="17"/>
  <c r="AW10" i="17"/>
  <c r="AX13" i="17"/>
  <c r="AY16" i="17"/>
  <c r="AU20" i="17"/>
  <c r="AV23" i="17"/>
  <c r="AW26" i="17"/>
  <c r="AX29" i="17"/>
  <c r="AY32" i="17"/>
  <c r="AU36" i="17"/>
  <c r="AV4" i="17"/>
  <c r="AW7" i="17"/>
  <c r="AX10" i="17"/>
  <c r="AY13" i="17"/>
  <c r="AU17" i="17"/>
  <c r="AV20" i="17"/>
  <c r="AW23" i="17"/>
  <c r="AX26" i="17"/>
  <c r="AY29" i="17"/>
  <c r="AU33" i="17"/>
  <c r="AV36" i="17"/>
  <c r="AW4" i="17"/>
  <c r="AX7" i="17"/>
  <c r="AY10" i="17"/>
  <c r="AU14" i="17"/>
  <c r="AV17" i="17"/>
  <c r="AW20" i="17"/>
  <c r="AX23" i="17"/>
  <c r="AY26" i="17"/>
  <c r="AU30" i="17"/>
  <c r="AV33" i="17"/>
  <c r="AW36" i="17"/>
  <c r="AX4" i="17"/>
  <c r="AY7" i="17"/>
  <c r="AU11" i="17"/>
  <c r="AV14" i="17"/>
  <c r="AW17" i="17"/>
  <c r="AX20" i="17"/>
  <c r="AY23" i="17"/>
  <c r="AU27" i="17"/>
  <c r="AV30" i="17"/>
  <c r="AW33" i="17"/>
  <c r="AX36" i="17"/>
  <c r="AY4" i="17"/>
  <c r="AU8" i="17"/>
  <c r="AV11" i="17"/>
  <c r="AW14" i="17"/>
  <c r="AX17" i="17"/>
  <c r="AY20" i="17"/>
  <c r="AU24" i="17"/>
  <c r="AV27" i="17"/>
  <c r="AW30" i="17"/>
  <c r="AX33" i="17"/>
  <c r="AY36" i="17"/>
  <c r="AP8" i="17"/>
  <c r="AQ24" i="17"/>
  <c r="AR8" i="17"/>
  <c r="AS11" i="17"/>
  <c r="AT14" i="17"/>
  <c r="AP18" i="17"/>
  <c r="AQ21" i="17"/>
  <c r="AR24" i="17"/>
  <c r="AS27" i="17"/>
  <c r="AP34" i="17"/>
  <c r="AR11" i="17"/>
  <c r="AQ5" i="17"/>
  <c r="AT30" i="17"/>
  <c r="AR5" i="17"/>
  <c r="AS8" i="17"/>
  <c r="AT11" i="17"/>
  <c r="AP15" i="17"/>
  <c r="AQ18" i="17"/>
  <c r="AR21" i="17"/>
  <c r="AS24" i="17"/>
  <c r="AT27" i="17"/>
  <c r="AP31" i="17"/>
  <c r="AQ34" i="17"/>
  <c r="AQ27" i="17"/>
  <c r="AT17" i="17"/>
  <c r="AS5" i="17"/>
  <c r="AQ31" i="17"/>
  <c r="AT5" i="17"/>
  <c r="AP9" i="17"/>
  <c r="AQ12" i="17"/>
  <c r="AR15" i="17"/>
  <c r="AS18" i="17"/>
  <c r="AT21" i="17"/>
  <c r="AP25" i="17"/>
  <c r="AQ28" i="17"/>
  <c r="AR31" i="17"/>
  <c r="AS34" i="17"/>
  <c r="AR30" i="17"/>
  <c r="AT33" i="17"/>
  <c r="AT8" i="17"/>
  <c r="AP28" i="17"/>
  <c r="AP6" i="17"/>
  <c r="AQ9" i="17"/>
  <c r="AR12" i="17"/>
  <c r="AS15" i="17"/>
  <c r="AT18" i="17"/>
  <c r="AP22" i="17"/>
  <c r="AQ25" i="17"/>
  <c r="AR28" i="17"/>
  <c r="AS31" i="17"/>
  <c r="AT34" i="17"/>
  <c r="AS33" i="17"/>
  <c r="AP21" i="17"/>
  <c r="AQ15" i="17"/>
  <c r="AT24" i="17"/>
  <c r="AQ6" i="17"/>
  <c r="AR9" i="17"/>
  <c r="AS12" i="17"/>
  <c r="AT15" i="17"/>
  <c r="AP19" i="17"/>
  <c r="AQ22" i="17"/>
  <c r="AR25" i="17"/>
  <c r="AS28" i="17"/>
  <c r="AT31" i="17"/>
  <c r="AP35" i="17"/>
  <c r="AR14" i="17"/>
  <c r="AS14" i="17"/>
  <c r="AP12" i="17"/>
  <c r="AS21" i="17"/>
  <c r="AR6" i="17"/>
  <c r="AS9" i="17"/>
  <c r="AT12" i="17"/>
  <c r="AP16" i="17"/>
  <c r="AQ19" i="17"/>
  <c r="AR22" i="17"/>
  <c r="AS25" i="17"/>
  <c r="AT28" i="17"/>
  <c r="AP32" i="17"/>
  <c r="AQ35" i="17"/>
  <c r="AT4" i="17"/>
  <c r="AS30" i="17"/>
  <c r="AR18" i="17"/>
  <c r="AR34" i="17"/>
  <c r="AS6" i="17"/>
  <c r="AT9" i="17"/>
  <c r="AP13" i="17"/>
  <c r="AQ16" i="17"/>
  <c r="AR19" i="17"/>
  <c r="AS22" i="17"/>
  <c r="AT25" i="17"/>
  <c r="AP29" i="17"/>
  <c r="AQ32" i="17"/>
  <c r="AR35" i="17"/>
  <c r="AT6" i="17"/>
  <c r="AP10" i="17"/>
  <c r="AQ13" i="17"/>
  <c r="AR16" i="17"/>
  <c r="AS19" i="17"/>
  <c r="AT22" i="17"/>
  <c r="AP26" i="17"/>
  <c r="AQ29" i="17"/>
  <c r="AR32" i="17"/>
  <c r="AS35" i="17"/>
  <c r="AT20" i="17"/>
  <c r="AR27" i="17"/>
  <c r="AP7" i="17"/>
  <c r="AQ10" i="17"/>
  <c r="AR13" i="17"/>
  <c r="AS16" i="17"/>
  <c r="AT19" i="17"/>
  <c r="AP23" i="17"/>
  <c r="AQ26" i="17"/>
  <c r="AR29" i="17"/>
  <c r="AS32" i="17"/>
  <c r="AT35" i="17"/>
  <c r="AS17" i="17"/>
  <c r="AP4" i="17"/>
  <c r="AQ7" i="17"/>
  <c r="AR10" i="17"/>
  <c r="AS13" i="17"/>
  <c r="AT16" i="17"/>
  <c r="AP20" i="17"/>
  <c r="AQ23" i="17"/>
  <c r="AR26" i="17"/>
  <c r="AS29" i="17"/>
  <c r="AT32" i="17"/>
  <c r="AP36" i="17"/>
  <c r="AT36" i="17"/>
  <c r="AQ4" i="17"/>
  <c r="AR7" i="17"/>
  <c r="AS10" i="17"/>
  <c r="AT13" i="17"/>
  <c r="AP17" i="17"/>
  <c r="AQ20" i="17"/>
  <c r="AR23" i="17"/>
  <c r="AS26" i="17"/>
  <c r="AT29" i="17"/>
  <c r="AP33" i="17"/>
  <c r="AQ36" i="17"/>
  <c r="AQ11" i="17"/>
  <c r="AP5" i="17"/>
  <c r="AR4" i="17"/>
  <c r="AS7" i="17"/>
  <c r="AT10" i="17"/>
  <c r="AP14" i="17"/>
  <c r="AQ17" i="17"/>
  <c r="AR20" i="17"/>
  <c r="AS23" i="17"/>
  <c r="AT26" i="17"/>
  <c r="AP30" i="17"/>
  <c r="AQ33" i="17"/>
  <c r="AR36" i="17"/>
  <c r="AP24" i="17"/>
  <c r="AQ8" i="17"/>
  <c r="AS4" i="17"/>
  <c r="AT7" i="17"/>
  <c r="AP11" i="17"/>
  <c r="AQ14" i="17"/>
  <c r="AR17" i="17"/>
  <c r="AS20" i="17"/>
  <c r="AT23" i="17"/>
  <c r="AP27" i="17"/>
  <c r="AQ30" i="17"/>
  <c r="AR33" i="17"/>
  <c r="AS36" i="17"/>
  <c r="AK5" i="17"/>
  <c r="AL8" i="17"/>
  <c r="AM11" i="17"/>
  <c r="AN14" i="17"/>
  <c r="AO17" i="17"/>
  <c r="AK21" i="17"/>
  <c r="AL24" i="17"/>
  <c r="AM27" i="17"/>
  <c r="AN30" i="17"/>
  <c r="AO33" i="17"/>
  <c r="AM24" i="17"/>
  <c r="AM5" i="17"/>
  <c r="AN8" i="17"/>
  <c r="AO11" i="17"/>
  <c r="AK15" i="17"/>
  <c r="AL18" i="17"/>
  <c r="AM21" i="17"/>
  <c r="AN24" i="17"/>
  <c r="AO27" i="17"/>
  <c r="AK31" i="17"/>
  <c r="AL34" i="17"/>
  <c r="AK18" i="17"/>
  <c r="AN5" i="17"/>
  <c r="AO8" i="17"/>
  <c r="AK12" i="17"/>
  <c r="AL15" i="17"/>
  <c r="AM18" i="17"/>
  <c r="AN21" i="17"/>
  <c r="AO24" i="17"/>
  <c r="AK28" i="17"/>
  <c r="AL31" i="17"/>
  <c r="AM34" i="17"/>
  <c r="AL21" i="17"/>
  <c r="AO5" i="17"/>
  <c r="AK9" i="17"/>
  <c r="AL12" i="17"/>
  <c r="AM15" i="17"/>
  <c r="AN18" i="17"/>
  <c r="AO21" i="17"/>
  <c r="AK25" i="17"/>
  <c r="AL28" i="17"/>
  <c r="AM31" i="17"/>
  <c r="AN34" i="17"/>
  <c r="AO30" i="17"/>
  <c r="AK6" i="17"/>
  <c r="AL9" i="17"/>
  <c r="AM12" i="17"/>
  <c r="AN15" i="17"/>
  <c r="AO18" i="17"/>
  <c r="AK22" i="17"/>
  <c r="AL25" i="17"/>
  <c r="AM28" i="17"/>
  <c r="AN31" i="17"/>
  <c r="AO34" i="17"/>
  <c r="AM8" i="17"/>
  <c r="AN11" i="17"/>
  <c r="AK34" i="17"/>
  <c r="AL6" i="17"/>
  <c r="AM9" i="17"/>
  <c r="AN12" i="17"/>
  <c r="AO15" i="17"/>
  <c r="AK19" i="17"/>
  <c r="AL22" i="17"/>
  <c r="AM25" i="17"/>
  <c r="AN28" i="17"/>
  <c r="AO31" i="17"/>
  <c r="AK35" i="17"/>
  <c r="AO14" i="17"/>
  <c r="AM6" i="17"/>
  <c r="AN9" i="17"/>
  <c r="AO12" i="17"/>
  <c r="AK16" i="17"/>
  <c r="AL19" i="17"/>
  <c r="AM22" i="17"/>
  <c r="AN25" i="17"/>
  <c r="AO28" i="17"/>
  <c r="AK32" i="17"/>
  <c r="AL35" i="17"/>
  <c r="AL5" i="17"/>
  <c r="AN27" i="17"/>
  <c r="AN6" i="17"/>
  <c r="AO9" i="17"/>
  <c r="AK13" i="17"/>
  <c r="AL16" i="17"/>
  <c r="AM19" i="17"/>
  <c r="AN22" i="17"/>
  <c r="AO25" i="17"/>
  <c r="AK29" i="17"/>
  <c r="AL32" i="17"/>
  <c r="AM35" i="17"/>
  <c r="AO6" i="17"/>
  <c r="AK10" i="17"/>
  <c r="AL13" i="17"/>
  <c r="AM16" i="17"/>
  <c r="AN19" i="17"/>
  <c r="AO22" i="17"/>
  <c r="AK26" i="17"/>
  <c r="AL29" i="17"/>
  <c r="AM32" i="17"/>
  <c r="AN35" i="17"/>
  <c r="AK7" i="17"/>
  <c r="AL10" i="17"/>
  <c r="AM13" i="17"/>
  <c r="AN16" i="17"/>
  <c r="AO19" i="17"/>
  <c r="AK23" i="17"/>
  <c r="AL26" i="17"/>
  <c r="AM29" i="17"/>
  <c r="AN32" i="17"/>
  <c r="AO35" i="17"/>
  <c r="AK4" i="17"/>
  <c r="AL7" i="17"/>
  <c r="AM10" i="17"/>
  <c r="AN13" i="17"/>
  <c r="AO16" i="17"/>
  <c r="AK20" i="17"/>
  <c r="AL23" i="17"/>
  <c r="AM26" i="17"/>
  <c r="AN29" i="17"/>
  <c r="AO32" i="17"/>
  <c r="AK36" i="17"/>
  <c r="AL4" i="17"/>
  <c r="AM7" i="17"/>
  <c r="AN10" i="17"/>
  <c r="AO13" i="17"/>
  <c r="AK17" i="17"/>
  <c r="AL20" i="17"/>
  <c r="AM23" i="17"/>
  <c r="AN26" i="17"/>
  <c r="AO29" i="17"/>
  <c r="AK33" i="17"/>
  <c r="AL36" i="17"/>
  <c r="AM4" i="17"/>
  <c r="AN7" i="17"/>
  <c r="AO10" i="17"/>
  <c r="AK14" i="17"/>
  <c r="AL17" i="17"/>
  <c r="AM20" i="17"/>
  <c r="AN23" i="17"/>
  <c r="AO26" i="17"/>
  <c r="AK30" i="17"/>
  <c r="AL33" i="17"/>
  <c r="AM36" i="17"/>
  <c r="AN4" i="17"/>
  <c r="AO7" i="17"/>
  <c r="AK11" i="17"/>
  <c r="AL14" i="17"/>
  <c r="AM17" i="17"/>
  <c r="AN20" i="17"/>
  <c r="AO23" i="17"/>
  <c r="AK27" i="17"/>
  <c r="AL30" i="17"/>
  <c r="AM33" i="17"/>
  <c r="AN36" i="17"/>
  <c r="AO4" i="17"/>
  <c r="AK8" i="17"/>
  <c r="AL11" i="17"/>
  <c r="AM14" i="17"/>
  <c r="AN17" i="17"/>
  <c r="AO20" i="17"/>
  <c r="AK24" i="17"/>
  <c r="AL27" i="17"/>
  <c r="AM30" i="17"/>
  <c r="AN33" i="17"/>
  <c r="AO36" i="17"/>
  <c r="AF5" i="17"/>
  <c r="AG8" i="17"/>
  <c r="AH11" i="17"/>
  <c r="AI14" i="17"/>
  <c r="AJ17" i="17"/>
  <c r="AF21" i="17"/>
  <c r="AG24" i="17"/>
  <c r="AH27" i="17"/>
  <c r="AI30" i="17"/>
  <c r="AJ33" i="17"/>
  <c r="AH24" i="17"/>
  <c r="AJ11" i="17"/>
  <c r="AG34" i="17"/>
  <c r="AI5" i="17"/>
  <c r="AJ8" i="17"/>
  <c r="AF12" i="17"/>
  <c r="AG15" i="17"/>
  <c r="AH18" i="17"/>
  <c r="AI21" i="17"/>
  <c r="AJ24" i="17"/>
  <c r="AF28" i="17"/>
  <c r="AG31" i="17"/>
  <c r="AH34" i="17"/>
  <c r="AJ30" i="17"/>
  <c r="AI8" i="17"/>
  <c r="AF31" i="17"/>
  <c r="AJ5" i="17"/>
  <c r="AF9" i="17"/>
  <c r="AG12" i="17"/>
  <c r="AH15" i="17"/>
  <c r="AI18" i="17"/>
  <c r="AJ21" i="17"/>
  <c r="AF25" i="17"/>
  <c r="AG28" i="17"/>
  <c r="AH31" i="17"/>
  <c r="AI34" i="17"/>
  <c r="AF34" i="17"/>
  <c r="AF15" i="17"/>
  <c r="AJ27" i="17"/>
  <c r="AF6" i="17"/>
  <c r="AG9" i="17"/>
  <c r="AH12" i="17"/>
  <c r="AI15" i="17"/>
  <c r="AJ18" i="17"/>
  <c r="AF22" i="17"/>
  <c r="AG25" i="17"/>
  <c r="AH28" i="17"/>
  <c r="AI31" i="17"/>
  <c r="AJ34" i="17"/>
  <c r="AG21" i="17"/>
  <c r="AI24" i="17"/>
  <c r="AG6" i="17"/>
  <c r="AH9" i="17"/>
  <c r="AI12" i="17"/>
  <c r="AJ15" i="17"/>
  <c r="AF19" i="17"/>
  <c r="AG22" i="17"/>
  <c r="AH25" i="17"/>
  <c r="AI28" i="17"/>
  <c r="AJ31" i="17"/>
  <c r="AF35" i="17"/>
  <c r="AI27" i="17"/>
  <c r="AH5" i="17"/>
  <c r="AH21" i="17"/>
  <c r="AH6" i="17"/>
  <c r="AI9" i="17"/>
  <c r="AJ12" i="17"/>
  <c r="AF16" i="17"/>
  <c r="AG19" i="17"/>
  <c r="AH22" i="17"/>
  <c r="AI25" i="17"/>
  <c r="AJ28" i="17"/>
  <c r="AF32" i="17"/>
  <c r="AG35" i="17"/>
  <c r="AF18" i="17"/>
  <c r="AG18" i="17"/>
  <c r="AI6" i="17"/>
  <c r="AJ9" i="17"/>
  <c r="AF13" i="17"/>
  <c r="AG16" i="17"/>
  <c r="AH19" i="17"/>
  <c r="AI22" i="17"/>
  <c r="AJ25" i="17"/>
  <c r="AF29" i="17"/>
  <c r="AG32" i="17"/>
  <c r="AH35" i="17"/>
  <c r="AJ6" i="17"/>
  <c r="AF10" i="17"/>
  <c r="AG13" i="17"/>
  <c r="AH16" i="17"/>
  <c r="AI19" i="17"/>
  <c r="AJ22" i="17"/>
  <c r="AF26" i="17"/>
  <c r="AG29" i="17"/>
  <c r="AH32" i="17"/>
  <c r="AI35" i="17"/>
  <c r="AF7" i="17"/>
  <c r="AG10" i="17"/>
  <c r="AH13" i="17"/>
  <c r="AI16" i="17"/>
  <c r="AJ19" i="17"/>
  <c r="AF23" i="17"/>
  <c r="AG26" i="17"/>
  <c r="AH29" i="17"/>
  <c r="AI32" i="17"/>
  <c r="AJ35" i="17"/>
  <c r="AI11" i="17"/>
  <c r="AF4" i="17"/>
  <c r="AG7" i="17"/>
  <c r="AH10" i="17"/>
  <c r="AI13" i="17"/>
  <c r="AJ16" i="17"/>
  <c r="AF20" i="17"/>
  <c r="AG23" i="17"/>
  <c r="AH26" i="17"/>
  <c r="AI29" i="17"/>
  <c r="AJ32" i="17"/>
  <c r="AF36" i="17"/>
  <c r="AH8" i="17"/>
  <c r="AG4" i="17"/>
  <c r="AH7" i="17"/>
  <c r="AI10" i="17"/>
  <c r="AJ13" i="17"/>
  <c r="AF17" i="17"/>
  <c r="AG20" i="17"/>
  <c r="AH23" i="17"/>
  <c r="AI26" i="17"/>
  <c r="AJ29" i="17"/>
  <c r="AF33" i="17"/>
  <c r="AG36" i="17"/>
  <c r="AJ14" i="17"/>
  <c r="AH4" i="17"/>
  <c r="AI7" i="17"/>
  <c r="AJ10" i="17"/>
  <c r="AF14" i="17"/>
  <c r="AG17" i="17"/>
  <c r="AH20" i="17"/>
  <c r="AI23" i="17"/>
  <c r="AJ26" i="17"/>
  <c r="AF30" i="17"/>
  <c r="AG33" i="17"/>
  <c r="AH36" i="17"/>
  <c r="AI4" i="17"/>
  <c r="AJ7" i="17"/>
  <c r="AF11" i="17"/>
  <c r="AG14" i="17"/>
  <c r="AH17" i="17"/>
  <c r="AI20" i="17"/>
  <c r="AJ23" i="17"/>
  <c r="AF27" i="17"/>
  <c r="AG30" i="17"/>
  <c r="AH33" i="17"/>
  <c r="AI36" i="17"/>
  <c r="AG5" i="17"/>
  <c r="AJ4" i="17"/>
  <c r="AF8" i="17"/>
  <c r="AG11" i="17"/>
  <c r="AH14" i="17"/>
  <c r="AI17" i="17"/>
  <c r="AJ20" i="17"/>
  <c r="AF24" i="17"/>
  <c r="AG27" i="17"/>
  <c r="AH30" i="17"/>
  <c r="AI33" i="17"/>
  <c r="AJ36" i="17"/>
  <c r="AE17" i="17"/>
  <c r="AA34" i="17"/>
  <c r="AC5" i="17"/>
  <c r="AD8" i="17"/>
  <c r="AE11" i="17"/>
  <c r="AA15" i="17"/>
  <c r="AB18" i="17"/>
  <c r="AC21" i="17"/>
  <c r="AD24" i="17"/>
  <c r="AE27" i="17"/>
  <c r="AA31" i="17"/>
  <c r="AB34" i="17"/>
  <c r="AE33" i="17"/>
  <c r="AC8" i="17"/>
  <c r="AB21" i="17"/>
  <c r="AD5" i="17"/>
  <c r="AE8" i="17"/>
  <c r="AA12" i="17"/>
  <c r="AB15" i="17"/>
  <c r="AC18" i="17"/>
  <c r="AD21" i="17"/>
  <c r="AE24" i="17"/>
  <c r="AA28" i="17"/>
  <c r="AB31" i="17"/>
  <c r="AC34" i="17"/>
  <c r="AC27" i="17"/>
  <c r="AB5" i="17"/>
  <c r="AE14" i="17"/>
  <c r="AE5" i="17"/>
  <c r="AA9" i="17"/>
  <c r="AB12" i="17"/>
  <c r="AC15" i="17"/>
  <c r="AD18" i="17"/>
  <c r="AE21" i="17"/>
  <c r="AA25" i="17"/>
  <c r="AB28" i="17"/>
  <c r="AC31" i="17"/>
  <c r="AD34" i="17"/>
  <c r="AB24" i="17"/>
  <c r="AC24" i="17"/>
  <c r="AA6" i="17"/>
  <c r="AB9" i="17"/>
  <c r="AC12" i="17"/>
  <c r="AD15" i="17"/>
  <c r="AE18" i="17"/>
  <c r="AA22" i="17"/>
  <c r="AB25" i="17"/>
  <c r="AC28" i="17"/>
  <c r="AD31" i="17"/>
  <c r="AE34" i="17"/>
  <c r="AA5" i="17"/>
  <c r="AD11" i="17"/>
  <c r="AD27" i="17"/>
  <c r="AB6" i="17"/>
  <c r="AC9" i="17"/>
  <c r="AD12" i="17"/>
  <c r="AE15" i="17"/>
  <c r="AA19" i="17"/>
  <c r="AB22" i="17"/>
  <c r="AC25" i="17"/>
  <c r="AD28" i="17"/>
  <c r="AE31" i="17"/>
  <c r="AA35" i="17"/>
  <c r="AA21" i="17"/>
  <c r="AA18" i="17"/>
  <c r="AC6" i="17"/>
  <c r="AD9" i="17"/>
  <c r="AE12" i="17"/>
  <c r="AA16" i="17"/>
  <c r="AB19" i="17"/>
  <c r="AC22" i="17"/>
  <c r="AD25" i="17"/>
  <c r="AE28" i="17"/>
  <c r="AA32" i="17"/>
  <c r="AB35" i="17"/>
  <c r="AD30" i="17"/>
  <c r="AE30" i="17"/>
  <c r="AD6" i="17"/>
  <c r="AE9" i="17"/>
  <c r="AA13" i="17"/>
  <c r="AB16" i="17"/>
  <c r="AC19" i="17"/>
  <c r="AD22" i="17"/>
  <c r="AE25" i="17"/>
  <c r="AA29" i="17"/>
  <c r="AB32" i="17"/>
  <c r="AC35" i="17"/>
  <c r="AE6" i="17"/>
  <c r="AA10" i="17"/>
  <c r="AB13" i="17"/>
  <c r="AC16" i="17"/>
  <c r="AD19" i="17"/>
  <c r="AE22" i="17"/>
  <c r="AA26" i="17"/>
  <c r="AB29" i="17"/>
  <c r="AC32" i="17"/>
  <c r="AD35" i="17"/>
  <c r="AD14" i="17"/>
  <c r="AA7" i="17"/>
  <c r="AB10" i="17"/>
  <c r="AC13" i="17"/>
  <c r="AD16" i="17"/>
  <c r="AE19" i="17"/>
  <c r="AA23" i="17"/>
  <c r="AB26" i="17"/>
  <c r="AC29" i="17"/>
  <c r="AD32" i="17"/>
  <c r="AE35" i="17"/>
  <c r="AC11" i="17"/>
  <c r="AA4" i="17"/>
  <c r="AB7" i="17"/>
  <c r="AC10" i="17"/>
  <c r="AD13" i="17"/>
  <c r="AE16" i="17"/>
  <c r="AA20" i="17"/>
  <c r="AB23" i="17"/>
  <c r="AC26" i="17"/>
  <c r="AD29" i="17"/>
  <c r="AE32" i="17"/>
  <c r="AA36" i="17"/>
  <c r="AB4" i="17"/>
  <c r="AC7" i="17"/>
  <c r="AD10" i="17"/>
  <c r="AE13" i="17"/>
  <c r="AA17" i="17"/>
  <c r="AB20" i="17"/>
  <c r="AC23" i="17"/>
  <c r="AD26" i="17"/>
  <c r="AE29" i="17"/>
  <c r="AA33" i="17"/>
  <c r="AB36" i="17"/>
  <c r="AB8" i="17"/>
  <c r="AC4" i="17"/>
  <c r="AD7" i="17"/>
  <c r="AE10" i="17"/>
  <c r="AA14" i="17"/>
  <c r="AB17" i="17"/>
  <c r="AC20" i="17"/>
  <c r="AD23" i="17"/>
  <c r="AE26" i="17"/>
  <c r="AA30" i="17"/>
  <c r="AB33" i="17"/>
  <c r="AC36" i="17"/>
  <c r="AD4" i="17"/>
  <c r="AE7" i="17"/>
  <c r="AA11" i="17"/>
  <c r="AB14" i="17"/>
  <c r="AC17" i="17"/>
  <c r="AD20" i="17"/>
  <c r="AE23" i="17"/>
  <c r="AA27" i="17"/>
  <c r="AB30" i="17"/>
  <c r="AC33" i="17"/>
  <c r="AD36" i="17"/>
  <c r="AE4" i="17"/>
  <c r="AA8" i="17"/>
  <c r="AB11" i="17"/>
  <c r="AC14" i="17"/>
  <c r="AD17" i="17"/>
  <c r="AE20" i="17"/>
  <c r="AA24" i="17"/>
  <c r="AB27" i="17"/>
  <c r="AC30" i="17"/>
  <c r="AD33" i="17"/>
  <c r="AE36" i="17"/>
  <c r="W12" i="17"/>
  <c r="W28" i="17"/>
  <c r="Y34" i="17"/>
  <c r="V6" i="17"/>
  <c r="W9" i="17"/>
  <c r="X12" i="17"/>
  <c r="Y15" i="17"/>
  <c r="V22" i="17"/>
  <c r="W25" i="17"/>
  <c r="X28" i="17"/>
  <c r="Y31" i="17"/>
  <c r="V9" i="17"/>
  <c r="X15" i="17"/>
  <c r="Y18" i="17"/>
  <c r="V25" i="17"/>
  <c r="X31" i="17"/>
  <c r="W6" i="17"/>
  <c r="X9" i="17"/>
  <c r="Y12" i="17"/>
  <c r="V19" i="17"/>
  <c r="W22" i="17"/>
  <c r="X25" i="17"/>
  <c r="Y28" i="17"/>
  <c r="V35" i="17"/>
  <c r="X6" i="17"/>
  <c r="V16" i="17"/>
  <c r="W35" i="17"/>
  <c r="Y6" i="17"/>
  <c r="V13" i="17"/>
  <c r="W16" i="17"/>
  <c r="X19" i="17"/>
  <c r="Y22" i="17"/>
  <c r="V29" i="17"/>
  <c r="W32" i="17"/>
  <c r="X35" i="17"/>
  <c r="Y9" i="17"/>
  <c r="X22" i="17"/>
  <c r="Y25" i="17"/>
  <c r="V32" i="17"/>
  <c r="V10" i="17"/>
  <c r="W13" i="17"/>
  <c r="X16" i="17"/>
  <c r="Y19" i="17"/>
  <c r="V26" i="17"/>
  <c r="W29" i="17"/>
  <c r="X32" i="17"/>
  <c r="Y35" i="17"/>
  <c r="V7" i="17"/>
  <c r="W10" i="17"/>
  <c r="X13" i="17"/>
  <c r="Y16" i="17"/>
  <c r="V23" i="17"/>
  <c r="W26" i="17"/>
  <c r="X29" i="17"/>
  <c r="Y32" i="17"/>
  <c r="V4" i="17"/>
  <c r="W7" i="17"/>
  <c r="X10" i="17"/>
  <c r="Y13" i="17"/>
  <c r="V20" i="17"/>
  <c r="W23" i="17"/>
  <c r="X26" i="17"/>
  <c r="Y29" i="17"/>
  <c r="V36" i="17"/>
  <c r="W4" i="17"/>
  <c r="X7" i="17"/>
  <c r="Y10" i="17"/>
  <c r="V17" i="17"/>
  <c r="W20" i="17"/>
  <c r="X23" i="17"/>
  <c r="Y26" i="17"/>
  <c r="V33" i="17"/>
  <c r="W36" i="17"/>
  <c r="W19" i="17"/>
  <c r="X4" i="17"/>
  <c r="Y7" i="17"/>
  <c r="V14" i="17"/>
  <c r="W17" i="17"/>
  <c r="X20" i="17"/>
  <c r="Y23" i="17"/>
  <c r="V30" i="17"/>
  <c r="W33" i="17"/>
  <c r="X36" i="17"/>
  <c r="Y4" i="17"/>
  <c r="V11" i="17"/>
  <c r="W14" i="17"/>
  <c r="X17" i="17"/>
  <c r="Y20" i="17"/>
  <c r="V27" i="17"/>
  <c r="W30" i="17"/>
  <c r="X33" i="17"/>
  <c r="Y36" i="17"/>
  <c r="Y33" i="17"/>
  <c r="W11" i="17"/>
  <c r="Y17" i="17"/>
  <c r="X30" i="17"/>
  <c r="V5" i="17"/>
  <c r="W8" i="17"/>
  <c r="X11" i="17"/>
  <c r="Y14" i="17"/>
  <c r="V21" i="17"/>
  <c r="W24" i="17"/>
  <c r="X27" i="17"/>
  <c r="Y30" i="17"/>
  <c r="V8" i="17"/>
  <c r="V24" i="17"/>
  <c r="W5" i="17"/>
  <c r="X8" i="17"/>
  <c r="Y11" i="17"/>
  <c r="V18" i="17"/>
  <c r="W21" i="17"/>
  <c r="X24" i="17"/>
  <c r="Y27" i="17"/>
  <c r="V34" i="17"/>
  <c r="X5" i="17"/>
  <c r="Y8" i="17"/>
  <c r="V15" i="17"/>
  <c r="W18" i="17"/>
  <c r="X21" i="17"/>
  <c r="Y24" i="17"/>
  <c r="V31" i="17"/>
  <c r="W34" i="17"/>
  <c r="X14" i="17"/>
  <c r="W27" i="17"/>
  <c r="Y5" i="17"/>
  <c r="V12" i="17"/>
  <c r="W15" i="17"/>
  <c r="X18" i="17"/>
  <c r="Y21" i="17"/>
  <c r="V28" i="17"/>
  <c r="W31" i="17"/>
  <c r="X34" i="17"/>
  <c r="R25" i="17"/>
  <c r="R13" i="17"/>
  <c r="S31" i="17"/>
  <c r="T20" i="17"/>
  <c r="S15" i="17"/>
  <c r="T4" i="17"/>
  <c r="Q11" i="17"/>
  <c r="Q27" i="17"/>
  <c r="R15" i="17"/>
  <c r="T30" i="17"/>
  <c r="S25" i="17"/>
  <c r="T14" i="17"/>
  <c r="S9" i="17"/>
  <c r="Q14" i="17"/>
  <c r="Q30" i="17"/>
  <c r="R26" i="17"/>
  <c r="T29" i="17"/>
  <c r="S24" i="17"/>
  <c r="T13" i="17"/>
  <c r="S8" i="17"/>
  <c r="T19" i="17"/>
  <c r="Q13" i="17"/>
  <c r="S19" i="17"/>
  <c r="Q15" i="17"/>
  <c r="Q31" i="17"/>
  <c r="R27" i="17"/>
  <c r="T34" i="17"/>
  <c r="S29" i="17"/>
  <c r="T18" i="17"/>
  <c r="S13" i="17"/>
  <c r="S14" i="17"/>
  <c r="Q29" i="17"/>
  <c r="T24" i="17"/>
  <c r="Q16" i="17"/>
  <c r="Q32" i="17"/>
  <c r="R28" i="17"/>
  <c r="S34" i="17"/>
  <c r="T23" i="17"/>
  <c r="S18" i="17"/>
  <c r="T7" i="17"/>
  <c r="S35" i="17"/>
  <c r="T8" i="17"/>
  <c r="Q17" i="17"/>
  <c r="Q33" i="17"/>
  <c r="R29" i="17"/>
  <c r="T28" i="17"/>
  <c r="S23" i="17"/>
  <c r="T12" i="17"/>
  <c r="S7" i="17"/>
  <c r="S30" i="17"/>
  <c r="R22" i="17"/>
  <c r="Q18" i="17"/>
  <c r="Q34" i="17"/>
  <c r="R30" i="17"/>
  <c r="T33" i="17"/>
  <c r="S28" i="17"/>
  <c r="T17" i="17"/>
  <c r="S12" i="17"/>
  <c r="Q19" i="17"/>
  <c r="Q35" i="17"/>
  <c r="R31" i="17"/>
  <c r="S33" i="17"/>
  <c r="T22" i="17"/>
  <c r="S17" i="17"/>
  <c r="T6" i="17"/>
  <c r="Q12" i="17"/>
  <c r="Q4" i="17"/>
  <c r="Q20" i="17"/>
  <c r="Q36" i="17"/>
  <c r="T27" i="17"/>
  <c r="S22" i="17"/>
  <c r="T11" i="17"/>
  <c r="S6" i="17"/>
  <c r="Q28" i="17"/>
  <c r="Q5" i="17"/>
  <c r="Q21" i="17"/>
  <c r="R6" i="17"/>
  <c r="T32" i="17"/>
  <c r="S27" i="17"/>
  <c r="T16" i="17"/>
  <c r="S11" i="17"/>
  <c r="R18" i="17"/>
  <c r="Q6" i="17"/>
  <c r="Q22" i="17"/>
  <c r="R10" i="17"/>
  <c r="S32" i="17"/>
  <c r="T21" i="17"/>
  <c r="S16" i="17"/>
  <c r="T5" i="17"/>
  <c r="Q7" i="17"/>
  <c r="Q23" i="17"/>
  <c r="R11" i="17"/>
  <c r="T26" i="17"/>
  <c r="S21" i="17"/>
  <c r="T10" i="17"/>
  <c r="S5" i="17"/>
  <c r="T35" i="17"/>
  <c r="Q8" i="17"/>
  <c r="Q24" i="17"/>
  <c r="R12" i="17"/>
  <c r="T31" i="17"/>
  <c r="S26" i="17"/>
  <c r="T15" i="17"/>
  <c r="S10" i="17"/>
  <c r="Q9" i="17"/>
  <c r="Q25" i="17"/>
  <c r="T36" i="17"/>
  <c r="Q10" i="17"/>
  <c r="Q26" i="17"/>
  <c r="R14" i="17"/>
  <c r="S36" i="17"/>
  <c r="T25" i="17"/>
  <c r="S20" i="17"/>
  <c r="T9" i="17"/>
  <c r="S4" i="17"/>
  <c r="R16" i="17"/>
  <c r="R32" i="17"/>
  <c r="R17" i="17"/>
  <c r="R33" i="17"/>
  <c r="R34" i="17"/>
  <c r="R19" i="17"/>
  <c r="R35" i="17"/>
  <c r="R20" i="17"/>
  <c r="R36" i="17"/>
  <c r="R5" i="17"/>
  <c r="R21" i="17"/>
  <c r="R4" i="17"/>
  <c r="R7" i="17"/>
  <c r="R23" i="17"/>
  <c r="R8" i="17"/>
  <c r="R24" i="17"/>
  <c r="R9" i="17"/>
  <c r="L29" i="17"/>
  <c r="N9" i="17"/>
  <c r="L14" i="17"/>
  <c r="L30" i="17"/>
  <c r="M9" i="17"/>
  <c r="M25" i="17"/>
  <c r="O35" i="17"/>
  <c r="N30" i="17"/>
  <c r="O19" i="17"/>
  <c r="N14" i="17"/>
  <c r="M24" i="17"/>
  <c r="L15" i="17"/>
  <c r="L31" i="17"/>
  <c r="M10" i="17"/>
  <c r="M26" i="17"/>
  <c r="N35" i="17"/>
  <c r="O24" i="17"/>
  <c r="N19" i="17"/>
  <c r="O8" i="17"/>
  <c r="O30" i="17"/>
  <c r="L16" i="17"/>
  <c r="L32" i="17"/>
  <c r="M11" i="17"/>
  <c r="M27" i="17"/>
  <c r="O29" i="17"/>
  <c r="N24" i="17"/>
  <c r="O13" i="17"/>
  <c r="N8" i="17"/>
  <c r="L17" i="17"/>
  <c r="L33" i="17"/>
  <c r="M12" i="17"/>
  <c r="M28" i="17"/>
  <c r="O34" i="17"/>
  <c r="N29" i="17"/>
  <c r="O18" i="17"/>
  <c r="N13" i="17"/>
  <c r="L13" i="17"/>
  <c r="O14" i="17"/>
  <c r="L18" i="17"/>
  <c r="L34" i="17"/>
  <c r="M13" i="17"/>
  <c r="M29" i="17"/>
  <c r="N34" i="17"/>
  <c r="O23" i="17"/>
  <c r="N18" i="17"/>
  <c r="O7" i="17"/>
  <c r="N25" i="17"/>
  <c r="L19" i="17"/>
  <c r="L35" i="17"/>
  <c r="M14" i="17"/>
  <c r="M30" i="17"/>
  <c r="O28" i="17"/>
  <c r="N23" i="17"/>
  <c r="O12" i="17"/>
  <c r="N7" i="17"/>
  <c r="M8" i="17"/>
  <c r="L4" i="17"/>
  <c r="L20" i="17"/>
  <c r="L36" i="17"/>
  <c r="M15" i="17"/>
  <c r="M31" i="17"/>
  <c r="O33" i="17"/>
  <c r="N28" i="17"/>
  <c r="O17" i="17"/>
  <c r="N12" i="17"/>
  <c r="L5" i="17"/>
  <c r="L21" i="17"/>
  <c r="M16" i="17"/>
  <c r="M32" i="17"/>
  <c r="N33" i="17"/>
  <c r="O22" i="17"/>
  <c r="N17" i="17"/>
  <c r="O6" i="17"/>
  <c r="L6" i="17"/>
  <c r="L22" i="17"/>
  <c r="M17" i="17"/>
  <c r="M33" i="17"/>
  <c r="O27" i="17"/>
  <c r="N22" i="17"/>
  <c r="O11" i="17"/>
  <c r="N6" i="17"/>
  <c r="L7" i="17"/>
  <c r="L23" i="17"/>
  <c r="M18" i="17"/>
  <c r="M34" i="17"/>
  <c r="O32" i="17"/>
  <c r="N27" i="17"/>
  <c r="O16" i="17"/>
  <c r="N11" i="17"/>
  <c r="L8" i="17"/>
  <c r="L24" i="17"/>
  <c r="M19" i="17"/>
  <c r="M35" i="17"/>
  <c r="N32" i="17"/>
  <c r="O21" i="17"/>
  <c r="N16" i="17"/>
  <c r="O5" i="17"/>
  <c r="L9" i="17"/>
  <c r="L25" i="17"/>
  <c r="M4" i="17"/>
  <c r="M20" i="17"/>
  <c r="M36" i="17"/>
  <c r="O26" i="17"/>
  <c r="N21" i="17"/>
  <c r="O10" i="17"/>
  <c r="N5" i="17"/>
  <c r="L10" i="17"/>
  <c r="L26" i="17"/>
  <c r="M5" i="17"/>
  <c r="M21" i="17"/>
  <c r="O31" i="17"/>
  <c r="N26" i="17"/>
  <c r="O15" i="17"/>
  <c r="N10" i="17"/>
  <c r="L11" i="17"/>
  <c r="L27" i="17"/>
  <c r="M6" i="17"/>
  <c r="M22" i="17"/>
  <c r="O36" i="17"/>
  <c r="N31" i="17"/>
  <c r="O20" i="17"/>
  <c r="N15" i="17"/>
  <c r="O4" i="17"/>
  <c r="L12" i="17"/>
  <c r="L28" i="17"/>
  <c r="M7" i="17"/>
  <c r="M23" i="17"/>
  <c r="N36" i="17"/>
  <c r="O25" i="17"/>
  <c r="N20" i="17"/>
  <c r="O9" i="17"/>
  <c r="N4" i="17"/>
  <c r="H35" i="17"/>
  <c r="H19" i="17"/>
  <c r="C5" i="17"/>
  <c r="C21" i="17"/>
  <c r="H18" i="17"/>
  <c r="H33" i="17"/>
  <c r="H17" i="17"/>
  <c r="C7" i="17"/>
  <c r="C23" i="17"/>
  <c r="H34" i="17"/>
  <c r="H32" i="17"/>
  <c r="H16" i="17"/>
  <c r="C8" i="17"/>
  <c r="C24" i="17"/>
  <c r="H31" i="17"/>
  <c r="H15" i="17"/>
  <c r="C9" i="17"/>
  <c r="C25" i="17"/>
  <c r="H30" i="17"/>
  <c r="H14" i="17"/>
  <c r="C10" i="17"/>
  <c r="C26" i="17"/>
  <c r="H29" i="17"/>
  <c r="H13" i="17"/>
  <c r="C11" i="17"/>
  <c r="C27" i="17"/>
  <c r="H28" i="17"/>
  <c r="H12" i="17"/>
  <c r="C12" i="17"/>
  <c r="C28" i="17"/>
  <c r="C22" i="17"/>
  <c r="H27" i="17"/>
  <c r="H11" i="17"/>
  <c r="C13" i="17"/>
  <c r="C29" i="17"/>
  <c r="C6" i="17"/>
  <c r="H26" i="17"/>
  <c r="H10" i="17"/>
  <c r="C14" i="17"/>
  <c r="C30" i="17"/>
  <c r="H25" i="17"/>
  <c r="H9" i="17"/>
  <c r="C15" i="17"/>
  <c r="C31" i="17"/>
  <c r="H24" i="17"/>
  <c r="H8" i="17"/>
  <c r="C16" i="17"/>
  <c r="C32" i="17"/>
  <c r="H23" i="17"/>
  <c r="H7" i="17"/>
  <c r="C17" i="17"/>
  <c r="C33" i="17"/>
  <c r="H22" i="17"/>
  <c r="H6" i="17"/>
  <c r="C18" i="17"/>
  <c r="C34" i="17"/>
  <c r="H4" i="17"/>
  <c r="H21" i="17"/>
  <c r="H5" i="17"/>
  <c r="C19" i="17"/>
  <c r="C35" i="17"/>
  <c r="H36" i="17"/>
  <c r="H20" i="17"/>
  <c r="C20" i="17"/>
  <c r="C36" i="17"/>
  <c r="J31" i="17"/>
  <c r="E34" i="17"/>
  <c r="K35" i="17"/>
  <c r="K33" i="17"/>
  <c r="K31" i="17"/>
  <c r="K29" i="17"/>
  <c r="K27" i="17"/>
  <c r="K25" i="17"/>
  <c r="K23" i="17"/>
  <c r="K21" i="17"/>
  <c r="K19" i="17"/>
  <c r="K17" i="17"/>
  <c r="K15" i="17"/>
  <c r="K13" i="17"/>
  <c r="K11" i="17"/>
  <c r="K9" i="17"/>
  <c r="K7" i="17"/>
  <c r="K5" i="17"/>
  <c r="J27" i="17"/>
  <c r="J19" i="17"/>
  <c r="J17" i="17"/>
  <c r="J15" i="17"/>
  <c r="J13" i="17"/>
  <c r="J11" i="17"/>
  <c r="J9" i="17"/>
  <c r="J7" i="17"/>
  <c r="J5" i="17"/>
  <c r="I35" i="17"/>
  <c r="I33" i="17"/>
  <c r="I31" i="17"/>
  <c r="I29" i="17"/>
  <c r="I27" i="17"/>
  <c r="I25" i="17"/>
  <c r="I23" i="17"/>
  <c r="I21" i="17"/>
  <c r="I19" i="17"/>
  <c r="I17" i="17"/>
  <c r="I15" i="17"/>
  <c r="I13" i="17"/>
  <c r="I11" i="17"/>
  <c r="I9" i="17"/>
  <c r="I7" i="17"/>
  <c r="I5" i="17"/>
  <c r="J33" i="17"/>
  <c r="G35" i="17"/>
  <c r="G33" i="17"/>
  <c r="G31" i="17"/>
  <c r="G29" i="17"/>
  <c r="G27" i="17"/>
  <c r="G25" i="17"/>
  <c r="G23" i="17"/>
  <c r="G21" i="17"/>
  <c r="G19" i="17"/>
  <c r="G17" i="17"/>
  <c r="G15" i="17"/>
  <c r="G13" i="17"/>
  <c r="G11" i="17"/>
  <c r="G9" i="17"/>
  <c r="G7" i="17"/>
  <c r="G5" i="17"/>
  <c r="J35" i="17"/>
  <c r="F35" i="17"/>
  <c r="F33" i="17"/>
  <c r="F31" i="17"/>
  <c r="F29" i="17"/>
  <c r="F27" i="17"/>
  <c r="F25" i="17"/>
  <c r="F23" i="17"/>
  <c r="F21" i="17"/>
  <c r="F19" i="17"/>
  <c r="F17" i="17"/>
  <c r="F15" i="17"/>
  <c r="F13" i="17"/>
  <c r="F11" i="17"/>
  <c r="F9" i="17"/>
  <c r="F7" i="17"/>
  <c r="F5" i="17"/>
  <c r="J21" i="17"/>
  <c r="E35" i="17"/>
  <c r="E33" i="17"/>
  <c r="E31" i="17"/>
  <c r="E29" i="17"/>
  <c r="E27" i="17"/>
  <c r="E25" i="17"/>
  <c r="E23" i="17"/>
  <c r="E21" i="17"/>
  <c r="E19" i="17"/>
  <c r="E17" i="17"/>
  <c r="E15" i="17"/>
  <c r="E13" i="17"/>
  <c r="E11" i="17"/>
  <c r="E9" i="17"/>
  <c r="E7" i="17"/>
  <c r="E5" i="17"/>
  <c r="J23" i="17"/>
  <c r="D35" i="17"/>
  <c r="D33" i="17"/>
  <c r="D31" i="17"/>
  <c r="D29" i="17"/>
  <c r="D27" i="17"/>
  <c r="D25" i="17"/>
  <c r="D23" i="17"/>
  <c r="D21" i="17"/>
  <c r="D19" i="17"/>
  <c r="D17" i="17"/>
  <c r="D15" i="17"/>
  <c r="D13" i="17"/>
  <c r="D11" i="17"/>
  <c r="D9" i="17"/>
  <c r="D7" i="17"/>
  <c r="D5" i="17"/>
  <c r="J29" i="17"/>
  <c r="K36" i="17"/>
  <c r="K34" i="17"/>
  <c r="K32" i="17"/>
  <c r="K30" i="17"/>
  <c r="K28" i="17"/>
  <c r="K26" i="17"/>
  <c r="K24" i="17"/>
  <c r="K22" i="17"/>
  <c r="K20" i="17"/>
  <c r="K18" i="17"/>
  <c r="K16" i="17"/>
  <c r="K14" i="17"/>
  <c r="K12" i="17"/>
  <c r="K10" i="17"/>
  <c r="K8" i="17"/>
  <c r="K6" i="17"/>
  <c r="K4" i="17"/>
  <c r="J36" i="17"/>
  <c r="J34" i="17"/>
  <c r="J32" i="17"/>
  <c r="J30" i="17"/>
  <c r="J28" i="17"/>
  <c r="J26" i="17"/>
  <c r="J24" i="17"/>
  <c r="J22" i="17"/>
  <c r="J20" i="17"/>
  <c r="J18" i="17"/>
  <c r="J16" i="17"/>
  <c r="J14" i="17"/>
  <c r="J12" i="17"/>
  <c r="J10" i="17"/>
  <c r="J8" i="17"/>
  <c r="J6" i="17"/>
  <c r="J4" i="17"/>
  <c r="I36" i="17"/>
  <c r="I34" i="17"/>
  <c r="I32" i="17"/>
  <c r="I30" i="17"/>
  <c r="I28" i="17"/>
  <c r="I26" i="17"/>
  <c r="I24" i="17"/>
  <c r="I22" i="17"/>
  <c r="I20" i="17"/>
  <c r="I18" i="17"/>
  <c r="I16" i="17"/>
  <c r="I14" i="17"/>
  <c r="I12" i="17"/>
  <c r="I10" i="17"/>
  <c r="I8" i="17"/>
  <c r="I6" i="17"/>
  <c r="I4" i="17"/>
  <c r="G36" i="17"/>
  <c r="G34" i="17"/>
  <c r="G32" i="17"/>
  <c r="G30" i="17"/>
  <c r="G28" i="17"/>
  <c r="G26" i="17"/>
  <c r="G24" i="17"/>
  <c r="G22" i="17"/>
  <c r="G20" i="17"/>
  <c r="G18" i="17"/>
  <c r="G16" i="17"/>
  <c r="G14" i="17"/>
  <c r="G12" i="17"/>
  <c r="G10" i="17"/>
  <c r="G8" i="17"/>
  <c r="G6" i="17"/>
  <c r="G4" i="17"/>
  <c r="F36" i="17"/>
  <c r="F34" i="17"/>
  <c r="F32" i="17"/>
  <c r="F30" i="17"/>
  <c r="F28" i="17"/>
  <c r="F26" i="17"/>
  <c r="F24" i="17"/>
  <c r="F22" i="17"/>
  <c r="F20" i="17"/>
  <c r="F18" i="17"/>
  <c r="F16" i="17"/>
  <c r="F14" i="17"/>
  <c r="F12" i="17"/>
  <c r="F10" i="17"/>
  <c r="F8" i="17"/>
  <c r="F6" i="17"/>
  <c r="F4" i="17"/>
  <c r="E36" i="17"/>
  <c r="E32" i="17"/>
  <c r="E30" i="17"/>
  <c r="E26" i="17"/>
  <c r="E24" i="17"/>
  <c r="E22" i="17"/>
  <c r="E20" i="17"/>
  <c r="E18" i="17"/>
  <c r="E16" i="17"/>
  <c r="E14" i="17"/>
  <c r="E12" i="17"/>
  <c r="E10" i="17"/>
  <c r="E8" i="17"/>
  <c r="E6" i="17"/>
  <c r="E4" i="17"/>
  <c r="J25" i="17"/>
  <c r="E28" i="17"/>
  <c r="D36" i="17"/>
  <c r="D34" i="17"/>
  <c r="D32" i="17"/>
  <c r="D30" i="17"/>
  <c r="D28" i="17"/>
  <c r="D26" i="17"/>
  <c r="D24" i="17"/>
  <c r="D22" i="17"/>
  <c r="D20" i="17"/>
  <c r="D18" i="17"/>
  <c r="D16" i="17"/>
  <c r="D14" i="17"/>
  <c r="D12" i="17"/>
  <c r="D10" i="17"/>
  <c r="D8" i="17"/>
  <c r="D6" i="17"/>
  <c r="L22" i="15"/>
  <c r="L26" i="15"/>
  <c r="L18" i="15"/>
  <c r="L10" i="15"/>
  <c r="J4" i="15"/>
  <c r="M10" i="15"/>
  <c r="K26" i="15"/>
  <c r="K18" i="15"/>
  <c r="K10" i="15"/>
  <c r="I4" i="15"/>
  <c r="K4" i="15"/>
  <c r="J26" i="15"/>
  <c r="J18" i="15"/>
  <c r="J10" i="15"/>
  <c r="H4" i="15"/>
  <c r="M26" i="15"/>
  <c r="M18" i="15"/>
  <c r="M28" i="15"/>
  <c r="I26" i="15"/>
  <c r="I18" i="15"/>
  <c r="M12" i="15"/>
  <c r="I10" i="15"/>
  <c r="M3" i="15"/>
  <c r="L28" i="15"/>
  <c r="H26" i="15"/>
  <c r="H18" i="15"/>
  <c r="L12" i="15"/>
  <c r="H10" i="15"/>
  <c r="L3" i="15"/>
  <c r="K28" i="15"/>
  <c r="M25" i="15"/>
  <c r="K12" i="15"/>
  <c r="M8" i="15"/>
  <c r="K3" i="15"/>
  <c r="F28" i="15"/>
  <c r="J28" i="15"/>
  <c r="L25" i="15"/>
  <c r="J12" i="15"/>
  <c r="L8" i="15"/>
  <c r="J3" i="15"/>
  <c r="E28" i="15"/>
  <c r="I28" i="15"/>
  <c r="K25" i="15"/>
  <c r="M22" i="15"/>
  <c r="M14" i="15"/>
  <c r="I12" i="15"/>
  <c r="K8" i="15"/>
  <c r="I3" i="15"/>
  <c r="F27" i="15"/>
  <c r="H28" i="15"/>
  <c r="J25" i="15"/>
  <c r="L14" i="15"/>
  <c r="H12" i="15"/>
  <c r="J8" i="15"/>
  <c r="H3" i="15"/>
  <c r="E27" i="15"/>
  <c r="M27" i="15"/>
  <c r="I25" i="15"/>
  <c r="K22" i="15"/>
  <c r="K14" i="15"/>
  <c r="M11" i="15"/>
  <c r="I8" i="15"/>
  <c r="M2" i="15"/>
  <c r="L27" i="15"/>
  <c r="H25" i="15"/>
  <c r="J22" i="15"/>
  <c r="J14" i="15"/>
  <c r="L11" i="15"/>
  <c r="H8" i="15"/>
  <c r="L2" i="15"/>
  <c r="D28" i="15" a="1"/>
  <c r="D28" i="15" s="1"/>
  <c r="K27" i="15"/>
  <c r="I22" i="15"/>
  <c r="I14" i="15"/>
  <c r="K11" i="15"/>
  <c r="K2" i="15"/>
  <c r="D27" i="15" a="1"/>
  <c r="D27" i="15" s="1"/>
  <c r="J27" i="15"/>
  <c r="H22" i="15"/>
  <c r="H14" i="15"/>
  <c r="J11" i="15"/>
  <c r="J2" i="15"/>
  <c r="I27" i="15"/>
  <c r="I11" i="15"/>
  <c r="M4" i="15"/>
  <c r="I2" i="15"/>
  <c r="H27" i="15"/>
  <c r="H11" i="15"/>
  <c r="L4" i="15"/>
  <c r="D16" i="15" a="1"/>
  <c r="D16" i="15" s="1"/>
  <c r="D21" i="15" a="1"/>
  <c r="D21" i="15" s="1"/>
  <c r="D13" i="15" a="1"/>
  <c r="D13" i="15" s="1"/>
  <c r="D12" i="15" a="1"/>
  <c r="D12" i="15" s="1"/>
  <c r="D11" i="15" a="1"/>
  <c r="D11" i="15" s="1"/>
  <c r="F26" i="15"/>
  <c r="D10" i="15" a="1"/>
  <c r="D10" i="15" s="1"/>
  <c r="E26" i="15"/>
  <c r="D14" i="15" a="1"/>
  <c r="D14" i="15" s="1"/>
  <c r="D9" i="15" a="1"/>
  <c r="D9" i="15" s="1"/>
  <c r="D8" i="15" a="1"/>
  <c r="D8" i="15" s="1"/>
  <c r="D26" i="15" a="1"/>
  <c r="D26" i="15" s="1"/>
  <c r="D24" i="15" a="1"/>
  <c r="D24" i="15" s="1"/>
  <c r="D7" i="15" a="1"/>
  <c r="D7" i="15" s="1"/>
  <c r="D23" i="15" a="1"/>
  <c r="D23" i="15" s="1"/>
  <c r="D6" i="15" a="1"/>
  <c r="D6" i="15" s="1"/>
  <c r="D22" i="15" a="1"/>
  <c r="D22" i="15" s="1"/>
  <c r="D5" i="15" a="1"/>
  <c r="D5" i="15" s="1"/>
  <c r="D4" i="15" a="1"/>
  <c r="D4" i="15" s="1"/>
  <c r="D20" i="15" a="1"/>
  <c r="D20" i="15" s="1"/>
  <c r="D3" i="15" a="1"/>
  <c r="D3" i="15" s="1"/>
  <c r="D25" i="15" a="1"/>
  <c r="D25" i="15" s="1"/>
  <c r="D19" i="15" a="1"/>
  <c r="D19" i="15" s="1"/>
  <c r="D18" i="15" a="1"/>
  <c r="D18" i="15" s="1"/>
  <c r="D17" i="15" a="1"/>
  <c r="D17" i="15" s="1"/>
  <c r="D2" i="15" a="1"/>
  <c r="D2" i="15" s="1"/>
  <c r="F25" i="15"/>
  <c r="F23" i="15"/>
  <c r="E25" i="15"/>
  <c r="E23" i="15"/>
  <c r="F24" i="15"/>
  <c r="F22" i="15"/>
  <c r="E24" i="15"/>
  <c r="E22" i="15"/>
  <c r="E6" i="15"/>
  <c r="F9" i="15"/>
  <c r="E5" i="15"/>
  <c r="E20" i="15"/>
  <c r="E4" i="15"/>
  <c r="F7" i="15"/>
  <c r="F8" i="15"/>
  <c r="E19" i="15"/>
  <c r="E3" i="15"/>
  <c r="F6" i="15"/>
  <c r="E18" i="15"/>
  <c r="F21" i="15"/>
  <c r="F5" i="15"/>
  <c r="E21" i="15"/>
  <c r="E17" i="15"/>
  <c r="F20" i="15"/>
  <c r="F4" i="15"/>
  <c r="E16" i="15"/>
  <c r="F19" i="15"/>
  <c r="F3" i="15"/>
  <c r="M9" i="15"/>
  <c r="L9" i="15"/>
  <c r="E14" i="15"/>
  <c r="F17" i="15"/>
  <c r="K9" i="15"/>
  <c r="E13" i="15"/>
  <c r="F16" i="15"/>
  <c r="J9" i="15"/>
  <c r="E15" i="15"/>
  <c r="E12" i="15"/>
  <c r="F15" i="15"/>
  <c r="I9" i="15"/>
  <c r="E11" i="15"/>
  <c r="F14" i="15"/>
  <c r="H9" i="15"/>
  <c r="E10" i="15"/>
  <c r="F13" i="15"/>
  <c r="F18" i="15"/>
  <c r="E9" i="15"/>
  <c r="F12" i="15"/>
  <c r="E8" i="15"/>
  <c r="F11" i="15"/>
  <c r="E7" i="15"/>
  <c r="F10" i="15"/>
  <c r="F2" i="15"/>
  <c r="E2" i="15"/>
  <c r="B45" i="17" l="1"/>
  <c r="B46" i="17" s="1"/>
  <c r="D3" i="18"/>
  <c r="D10" i="18"/>
  <c r="B39" i="17"/>
  <c r="B40" i="17"/>
  <c r="D13" i="18"/>
  <c r="D12" i="18"/>
  <c r="D19" i="18"/>
  <c r="D26" i="18"/>
  <c r="D21" i="18"/>
  <c r="B37" i="17"/>
  <c r="D18" i="18"/>
  <c r="D16" i="18"/>
  <c r="D23" i="18"/>
  <c r="D7" i="18"/>
  <c r="D24" i="18"/>
  <c r="D27" i="18"/>
  <c r="D14" i="18"/>
  <c r="D17" i="18"/>
  <c r="D5" i="18"/>
  <c r="D4" i="18"/>
  <c r="D6" i="18"/>
  <c r="D8" i="18"/>
  <c r="D22" i="18"/>
  <c r="B38" i="17"/>
  <c r="D11" i="18"/>
  <c r="D9" i="18"/>
  <c r="D28" i="18"/>
  <c r="D29" i="18"/>
  <c r="D30" i="18"/>
  <c r="P19" i="17"/>
  <c r="P25" i="17"/>
  <c r="P14" i="17"/>
  <c r="P5" i="17"/>
  <c r="P30" i="17"/>
  <c r="P27" i="17"/>
  <c r="P10" i="17"/>
  <c r="P36" i="17"/>
  <c r="P33" i="17"/>
  <c r="P9" i="17"/>
  <c r="P26" i="17"/>
  <c r="P4" i="17"/>
  <c r="P31" i="17"/>
  <c r="P32" i="17"/>
  <c r="P6" i="17"/>
  <c r="P18" i="17"/>
  <c r="P20" i="17"/>
  <c r="P22" i="17"/>
  <c r="P7" i="17"/>
  <c r="P34" i="17"/>
  <c r="P21" i="17"/>
  <c r="P8" i="17"/>
  <c r="P11" i="17"/>
  <c r="P23" i="17"/>
  <c r="P24" i="17"/>
  <c r="P12" i="17"/>
  <c r="P13" i="17"/>
  <c r="P28" i="17"/>
  <c r="P15" i="17"/>
  <c r="P16" i="17"/>
  <c r="P35" i="17"/>
  <c r="P29" i="17"/>
  <c r="P17" i="17"/>
  <c r="D48" i="17"/>
  <c r="D2" i="18"/>
  <c r="E29" i="15"/>
  <c r="G27" i="15"/>
  <c r="G28" i="15"/>
  <c r="G26" i="15"/>
  <c r="G25" i="15"/>
  <c r="G24" i="15"/>
  <c r="G22" i="15"/>
  <c r="G23" i="15"/>
  <c r="G13" i="15"/>
  <c r="G2" i="15"/>
  <c r="G17" i="15"/>
  <c r="G8" i="15"/>
  <c r="G12" i="15"/>
  <c r="G3" i="15"/>
  <c r="G9" i="15"/>
  <c r="G20" i="15"/>
  <c r="G18" i="15"/>
  <c r="G14" i="15"/>
  <c r="G11" i="15"/>
  <c r="G10" i="15"/>
  <c r="G19" i="15"/>
  <c r="G5" i="15"/>
  <c r="G15" i="15"/>
  <c r="G4" i="15"/>
  <c r="G16" i="15"/>
  <c r="G21" i="15"/>
  <c r="G7" i="15"/>
  <c r="G6" i="15"/>
  <c r="B47" i="17" l="1"/>
  <c r="B48" i="17"/>
  <c r="E48" i="17"/>
  <c r="E4" i="18" s="1"/>
  <c r="E3" i="18"/>
  <c r="K3" i="18" s="1"/>
  <c r="D15" i="18"/>
  <c r="F48" i="17"/>
  <c r="Z33" i="17"/>
  <c r="Z11" i="17"/>
  <c r="Z21" i="17"/>
  <c r="Z24" i="17"/>
  <c r="Z9" i="17"/>
  <c r="Z35" i="17"/>
  <c r="Z13" i="17"/>
  <c r="Z26" i="17"/>
  <c r="Z36" i="17"/>
  <c r="Z22" i="17"/>
  <c r="Z27" i="17"/>
  <c r="Z6" i="17"/>
  <c r="Z12" i="17"/>
  <c r="Z14" i="17"/>
  <c r="Z15" i="17"/>
  <c r="Z25" i="17"/>
  <c r="Z16" i="17"/>
  <c r="Z29" i="17"/>
  <c r="Z18" i="17"/>
  <c r="Z7" i="17"/>
  <c r="Z4" i="17"/>
  <c r="Z17" i="17"/>
  <c r="Z30" i="17"/>
  <c r="Z31" i="17"/>
  <c r="Z32" i="17"/>
  <c r="Z8" i="17"/>
  <c r="Z34" i="17"/>
  <c r="Z19" i="17"/>
  <c r="Z10" i="17"/>
  <c r="Z23" i="17"/>
  <c r="Z20" i="17"/>
  <c r="Z5" i="17"/>
  <c r="Z28" i="17"/>
  <c r="U11" i="17"/>
  <c r="B11" i="17" s="1"/>
  <c r="U20" i="17"/>
  <c r="U14" i="17"/>
  <c r="U23" i="17"/>
  <c r="U24" i="17"/>
  <c r="U13" i="17"/>
  <c r="B13" i="17" s="1"/>
  <c r="U21" i="17"/>
  <c r="U34" i="17"/>
  <c r="U31" i="17"/>
  <c r="B31" i="17" s="1"/>
  <c r="U4" i="17"/>
  <c r="U10" i="17"/>
  <c r="U7" i="17"/>
  <c r="U22" i="17"/>
  <c r="U5" i="17"/>
  <c r="B5" i="17" s="1"/>
  <c r="U18" i="17"/>
  <c r="U32" i="17"/>
  <c r="U15" i="17"/>
  <c r="U33" i="17"/>
  <c r="B33" i="17" s="1"/>
  <c r="U25" i="17"/>
  <c r="B25" i="17" s="1"/>
  <c r="U35" i="17"/>
  <c r="B35" i="17" s="1"/>
  <c r="U6" i="17"/>
  <c r="U9" i="17"/>
  <c r="B9" i="17" s="1"/>
  <c r="U12" i="17"/>
  <c r="U16" i="17"/>
  <c r="B16" i="17" s="1"/>
  <c r="U29" i="17"/>
  <c r="B29" i="17" s="1"/>
  <c r="U17" i="17"/>
  <c r="U19" i="17"/>
  <c r="U26" i="17"/>
  <c r="B26" i="17" s="1"/>
  <c r="U28" i="17"/>
  <c r="U27" i="17"/>
  <c r="U36" i="17"/>
  <c r="U30" i="17"/>
  <c r="B30" i="17" s="1"/>
  <c r="U8" i="17"/>
  <c r="G29" i="15"/>
  <c r="A53" i="13"/>
  <c r="A54" i="13"/>
  <c r="A55" i="13"/>
  <c r="A56" i="13"/>
  <c r="A57" i="13"/>
  <c r="A58" i="13"/>
  <c r="A59" i="13"/>
  <c r="A60" i="13"/>
  <c r="A61" i="13"/>
  <c r="B53" i="13"/>
  <c r="B54" i="13"/>
  <c r="B55" i="13"/>
  <c r="B56" i="13"/>
  <c r="B57" i="13"/>
  <c r="B58" i="13"/>
  <c r="B59" i="13"/>
  <c r="B60" i="13"/>
  <c r="B61" i="13"/>
  <c r="A46" i="13"/>
  <c r="B46" i="13"/>
  <c r="A47" i="13"/>
  <c r="B47" i="13"/>
  <c r="A48" i="13"/>
  <c r="B48" i="13"/>
  <c r="A49" i="13"/>
  <c r="B49" i="13"/>
  <c r="A50" i="13"/>
  <c r="B50" i="13"/>
  <c r="A51" i="13"/>
  <c r="B51" i="13"/>
  <c r="A52" i="13"/>
  <c r="B52" i="13"/>
  <c r="A45" i="13"/>
  <c r="B45" i="13"/>
  <c r="B18" i="17" l="1"/>
  <c r="B36" i="17"/>
  <c r="K4" i="18"/>
  <c r="B19" i="17"/>
  <c r="G48" i="17"/>
  <c r="E5" i="18"/>
  <c r="K5" i="18" s="1"/>
  <c r="B22" i="17"/>
  <c r="I3" i="18"/>
  <c r="H3" i="18" s="1"/>
  <c r="J3" i="18"/>
  <c r="I4" i="18"/>
  <c r="J4" i="18"/>
  <c r="B20" i="17"/>
  <c r="B15" i="17"/>
  <c r="B7" i="17"/>
  <c r="B24" i="17"/>
  <c r="D25" i="18"/>
  <c r="B8" i="17"/>
  <c r="B4" i="17"/>
  <c r="D20" i="18"/>
  <c r="B32" i="17"/>
  <c r="B6" i="17"/>
  <c r="B34" i="17"/>
  <c r="B23" i="17"/>
  <c r="B14" i="17"/>
  <c r="B27" i="17"/>
  <c r="B10" i="17"/>
  <c r="B12" i="17"/>
  <c r="B28" i="17"/>
  <c r="B17" i="17"/>
  <c r="B21" i="17"/>
  <c r="K6" i="15"/>
  <c r="H6" i="15"/>
  <c r="L6" i="15"/>
  <c r="M6" i="15"/>
  <c r="I6" i="15"/>
  <c r="J6" i="15"/>
  <c r="B44" i="13"/>
  <c r="A44" i="13"/>
  <c r="B43" i="13"/>
  <c r="A43" i="13"/>
  <c r="B41" i="13"/>
  <c r="A41" i="13"/>
  <c r="B42" i="13"/>
  <c r="A42" i="13"/>
  <c r="B40" i="13"/>
  <c r="A40" i="13"/>
  <c r="B39" i="13"/>
  <c r="A39" i="13"/>
  <c r="B38" i="13"/>
  <c r="A38" i="13"/>
  <c r="B37" i="13"/>
  <c r="A37" i="13"/>
  <c r="B36" i="13"/>
  <c r="A36" i="13"/>
  <c r="B35" i="13"/>
  <c r="A35" i="13"/>
  <c r="B34" i="13"/>
  <c r="A34" i="13"/>
  <c r="B33" i="13"/>
  <c r="A33" i="13"/>
  <c r="B32" i="13"/>
  <c r="A32" i="13"/>
  <c r="B31" i="13"/>
  <c r="A31" i="13"/>
  <c r="B30" i="13"/>
  <c r="A30" i="13"/>
  <c r="B29" i="13"/>
  <c r="A29" i="13"/>
  <c r="B28" i="13"/>
  <c r="X16" i="13" s="1"/>
  <c r="A28" i="13"/>
  <c r="B27" i="13"/>
  <c r="A27" i="13"/>
  <c r="B26" i="13"/>
  <c r="A26" i="13"/>
  <c r="B25" i="13"/>
  <c r="A25" i="13"/>
  <c r="B24" i="13"/>
  <c r="X15" i="13" s="1"/>
  <c r="A24" i="13"/>
  <c r="B23" i="13"/>
  <c r="X14" i="13" s="1"/>
  <c r="A23" i="13"/>
  <c r="B22" i="13"/>
  <c r="A22" i="13"/>
  <c r="B21" i="13"/>
  <c r="A21" i="13"/>
  <c r="B20" i="13"/>
  <c r="X13" i="13" s="1"/>
  <c r="A20" i="13"/>
  <c r="B19" i="13"/>
  <c r="A19" i="13"/>
  <c r="B18" i="13"/>
  <c r="A18" i="13"/>
  <c r="B17" i="13"/>
  <c r="A17" i="13"/>
  <c r="B16" i="13"/>
  <c r="A16" i="13"/>
  <c r="B15" i="13"/>
  <c r="A15" i="13"/>
  <c r="B14" i="13"/>
  <c r="A14" i="13"/>
  <c r="B13" i="13"/>
  <c r="A13" i="13"/>
  <c r="B12" i="13"/>
  <c r="X12" i="13" s="1"/>
  <c r="A12" i="13"/>
  <c r="B11" i="13"/>
  <c r="A11" i="13"/>
  <c r="B10" i="13"/>
  <c r="X10" i="13" s="1"/>
  <c r="A10" i="13"/>
  <c r="B9" i="13"/>
  <c r="A9" i="13"/>
  <c r="B8" i="13"/>
  <c r="A8" i="13"/>
  <c r="B7" i="13"/>
  <c r="A7" i="13"/>
  <c r="B6" i="13"/>
  <c r="A6" i="13"/>
  <c r="B5" i="13"/>
  <c r="X8" i="13" s="1"/>
  <c r="A5" i="13"/>
  <c r="B4" i="13"/>
  <c r="A4" i="13"/>
  <c r="B3" i="13"/>
  <c r="A3" i="13"/>
  <c r="B2" i="13"/>
  <c r="A2" i="13"/>
  <c r="X6" i="13" l="1"/>
  <c r="X9" i="13"/>
  <c r="X11" i="13"/>
  <c r="X7" i="13"/>
  <c r="I5" i="18"/>
  <c r="J5" i="18"/>
  <c r="H4" i="18"/>
  <c r="H48" i="17"/>
  <c r="E6" i="18"/>
  <c r="K6" i="18" s="1"/>
  <c r="B41" i="17"/>
  <c r="J16" i="15"/>
  <c r="L16" i="15"/>
  <c r="H16" i="15"/>
  <c r="I16" i="15"/>
  <c r="K16" i="15"/>
  <c r="M16" i="15"/>
  <c r="L21" i="15"/>
  <c r="K21" i="15"/>
  <c r="J21" i="15"/>
  <c r="H21" i="15"/>
  <c r="M21" i="15"/>
  <c r="I21" i="15"/>
  <c r="H15" i="15"/>
  <c r="L15" i="15"/>
  <c r="J15" i="15"/>
  <c r="I15" i="15"/>
  <c r="M15" i="15"/>
  <c r="K15" i="15"/>
  <c r="L7" i="15"/>
  <c r="I7" i="15"/>
  <c r="M7" i="15"/>
  <c r="J7" i="15"/>
  <c r="H7" i="15"/>
  <c r="K7" i="15"/>
  <c r="K20" i="15"/>
  <c r="H20" i="15"/>
  <c r="L20" i="15"/>
  <c r="I20" i="15"/>
  <c r="M20" i="15"/>
  <c r="J20" i="15"/>
  <c r="M23" i="15"/>
  <c r="I23" i="15"/>
  <c r="J23" i="15"/>
  <c r="K23" i="15"/>
  <c r="H23" i="15"/>
  <c r="L23" i="15"/>
  <c r="M17" i="15"/>
  <c r="J17" i="15"/>
  <c r="K17" i="15"/>
  <c r="H17" i="15"/>
  <c r="L17" i="15"/>
  <c r="I17" i="15"/>
  <c r="K13" i="15"/>
  <c r="H13" i="15"/>
  <c r="I13" i="15"/>
  <c r="L13" i="15"/>
  <c r="J13" i="15"/>
  <c r="M13" i="15"/>
  <c r="K19" i="15"/>
  <c r="H19" i="15"/>
  <c r="L19" i="15"/>
  <c r="I19" i="15"/>
  <c r="M19" i="15"/>
  <c r="J19" i="15"/>
  <c r="K5" i="15"/>
  <c r="H5" i="15"/>
  <c r="L5" i="15"/>
  <c r="I5" i="15"/>
  <c r="M5" i="15"/>
  <c r="J5" i="15"/>
  <c r="M24" i="15"/>
  <c r="J24" i="15"/>
  <c r="H24" i="15"/>
  <c r="K24" i="15"/>
  <c r="I24" i="15"/>
  <c r="L24" i="15"/>
  <c r="W21" i="13"/>
  <c r="W7" i="13"/>
  <c r="W6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V11" i="13"/>
  <c r="V12" i="13"/>
  <c r="V13" i="13"/>
  <c r="V14" i="13"/>
  <c r="V15" i="13"/>
  <c r="V16" i="13"/>
  <c r="V17" i="13"/>
  <c r="V18" i="13"/>
  <c r="V19" i="13"/>
  <c r="V20" i="13"/>
  <c r="V21" i="13"/>
  <c r="V7" i="13"/>
  <c r="V6" i="13"/>
  <c r="V8" i="13"/>
  <c r="U6" i="13"/>
  <c r="V9" i="13"/>
  <c r="V10" i="13"/>
  <c r="T21" i="13"/>
  <c r="U15" i="13"/>
  <c r="U16" i="13"/>
  <c r="U17" i="13"/>
  <c r="U19" i="13"/>
  <c r="U20" i="13"/>
  <c r="U21" i="13"/>
  <c r="U7" i="13"/>
  <c r="U8" i="13"/>
  <c r="U9" i="13"/>
  <c r="U10" i="13"/>
  <c r="U11" i="13"/>
  <c r="U12" i="13"/>
  <c r="U13" i="13"/>
  <c r="U18" i="13"/>
  <c r="U14" i="13"/>
  <c r="T7" i="13"/>
  <c r="T6" i="13"/>
  <c r="T8" i="13"/>
  <c r="T19" i="13"/>
  <c r="T9" i="13"/>
  <c r="T10" i="13"/>
  <c r="T11" i="13"/>
  <c r="T12" i="13"/>
  <c r="T20" i="13"/>
  <c r="T13" i="13"/>
  <c r="T14" i="13"/>
  <c r="T18" i="13"/>
  <c r="T15" i="13"/>
  <c r="T16" i="13"/>
  <c r="T17" i="13"/>
  <c r="S9" i="13"/>
  <c r="S19" i="13"/>
  <c r="S15" i="13"/>
  <c r="S10" i="13"/>
  <c r="S16" i="13"/>
  <c r="S14" i="13"/>
  <c r="S7" i="13"/>
  <c r="S11" i="13"/>
  <c r="S21" i="13"/>
  <c r="S8" i="13"/>
  <c r="S12" i="13"/>
  <c r="S17" i="13"/>
  <c r="S13" i="13"/>
  <c r="S18" i="13"/>
  <c r="S20" i="13"/>
  <c r="S6" i="13"/>
  <c r="R17" i="13"/>
  <c r="R14" i="13"/>
  <c r="R21" i="13"/>
  <c r="R18" i="13"/>
  <c r="R15" i="13"/>
  <c r="R8" i="13"/>
  <c r="R12" i="13"/>
  <c r="R9" i="13"/>
  <c r="R19" i="13"/>
  <c r="R7" i="13"/>
  <c r="R13" i="13"/>
  <c r="R11" i="13"/>
  <c r="R6" i="13"/>
  <c r="R16" i="13"/>
  <c r="R20" i="13"/>
  <c r="R10" i="13"/>
  <c r="X23" i="13" l="1"/>
  <c r="X22" i="13"/>
  <c r="S23" i="13"/>
  <c r="T23" i="13"/>
  <c r="W23" i="13"/>
  <c r="V23" i="13"/>
  <c r="R23" i="13"/>
  <c r="U23" i="13"/>
  <c r="V22" i="13"/>
  <c r="H5" i="18"/>
  <c r="I6" i="18"/>
  <c r="J6" i="18"/>
  <c r="I48" i="17"/>
  <c r="E7" i="18"/>
  <c r="K7" i="18" s="1"/>
  <c r="K29" i="15"/>
  <c r="J29" i="15"/>
  <c r="M29" i="15"/>
  <c r="I29" i="15"/>
  <c r="L29" i="15"/>
  <c r="H29" i="15"/>
  <c r="I333" i="13"/>
  <c r="I346" i="13"/>
  <c r="I362" i="13"/>
  <c r="I347" i="13"/>
  <c r="I363" i="13"/>
  <c r="I334" i="13"/>
  <c r="I348" i="13"/>
  <c r="I349" i="13"/>
  <c r="I335" i="13"/>
  <c r="I350" i="13"/>
  <c r="I351" i="13"/>
  <c r="I336" i="13"/>
  <c r="I352" i="13"/>
  <c r="I337" i="13"/>
  <c r="I353" i="13"/>
  <c r="I338" i="13"/>
  <c r="I354" i="13"/>
  <c r="I339" i="13"/>
  <c r="I355" i="13"/>
  <c r="I340" i="13"/>
  <c r="I356" i="13"/>
  <c r="I360" i="13"/>
  <c r="I341" i="13"/>
  <c r="I357" i="13"/>
  <c r="I344" i="13"/>
  <c r="I342" i="13"/>
  <c r="I358" i="13"/>
  <c r="I343" i="13"/>
  <c r="I359" i="13"/>
  <c r="I345" i="13"/>
  <c r="I361" i="13"/>
  <c r="I292" i="13"/>
  <c r="I308" i="13"/>
  <c r="I324" i="13"/>
  <c r="I293" i="13"/>
  <c r="I309" i="13"/>
  <c r="I325" i="13"/>
  <c r="I294" i="13"/>
  <c r="I310" i="13"/>
  <c r="I326" i="13"/>
  <c r="I280" i="13"/>
  <c r="I295" i="13"/>
  <c r="I311" i="13"/>
  <c r="I327" i="13"/>
  <c r="I296" i="13"/>
  <c r="I312" i="13"/>
  <c r="I328" i="13"/>
  <c r="I281" i="13"/>
  <c r="I297" i="13"/>
  <c r="I313" i="13"/>
  <c r="I329" i="13"/>
  <c r="I282" i="13"/>
  <c r="I298" i="13"/>
  <c r="I314" i="13"/>
  <c r="I330" i="13"/>
  <c r="I283" i="13"/>
  <c r="I299" i="13"/>
  <c r="I315" i="13"/>
  <c r="I331" i="13"/>
  <c r="I284" i="13"/>
  <c r="I300" i="13"/>
  <c r="I316" i="13"/>
  <c r="I332" i="13"/>
  <c r="I304" i="13"/>
  <c r="I285" i="13"/>
  <c r="I301" i="13"/>
  <c r="I317" i="13"/>
  <c r="I288" i="13"/>
  <c r="I286" i="13"/>
  <c r="I302" i="13"/>
  <c r="I318" i="13"/>
  <c r="I320" i="13"/>
  <c r="I287" i="13"/>
  <c r="I303" i="13"/>
  <c r="I319" i="13"/>
  <c r="I289" i="13"/>
  <c r="I305" i="13"/>
  <c r="I321" i="13"/>
  <c r="I291" i="13"/>
  <c r="I323" i="13"/>
  <c r="I290" i="13"/>
  <c r="I306" i="13"/>
  <c r="I322" i="13"/>
  <c r="I307" i="13"/>
  <c r="W22" i="13"/>
  <c r="I204" i="13"/>
  <c r="I220" i="13"/>
  <c r="I236" i="13"/>
  <c r="I252" i="13"/>
  <c r="I268" i="13"/>
  <c r="I205" i="13"/>
  <c r="I221" i="13"/>
  <c r="I237" i="13"/>
  <c r="I253" i="13"/>
  <c r="I269" i="13"/>
  <c r="I206" i="13"/>
  <c r="I222" i="13"/>
  <c r="I238" i="13"/>
  <c r="I254" i="13"/>
  <c r="I270" i="13"/>
  <c r="I207" i="13"/>
  <c r="I223" i="13"/>
  <c r="I239" i="13"/>
  <c r="I247" i="13"/>
  <c r="I271" i="13"/>
  <c r="I208" i="13"/>
  <c r="I224" i="13"/>
  <c r="I240" i="13"/>
  <c r="I255" i="13"/>
  <c r="I272" i="13"/>
  <c r="I209" i="13"/>
  <c r="I225" i="13"/>
  <c r="I241" i="13"/>
  <c r="I257" i="13"/>
  <c r="I273" i="13"/>
  <c r="I210" i="13"/>
  <c r="I226" i="13"/>
  <c r="I242" i="13"/>
  <c r="I258" i="13"/>
  <c r="I274" i="13"/>
  <c r="I211" i="13"/>
  <c r="I227" i="13"/>
  <c r="I243" i="13"/>
  <c r="I259" i="13"/>
  <c r="I275" i="13"/>
  <c r="I212" i="13"/>
  <c r="I228" i="13"/>
  <c r="I244" i="13"/>
  <c r="I260" i="13"/>
  <c r="I276" i="13"/>
  <c r="I213" i="13"/>
  <c r="I229" i="13"/>
  <c r="I245" i="13"/>
  <c r="I261" i="13"/>
  <c r="I277" i="13"/>
  <c r="I214" i="13"/>
  <c r="I230" i="13"/>
  <c r="I246" i="13"/>
  <c r="I262" i="13"/>
  <c r="I278" i="13"/>
  <c r="I215" i="13"/>
  <c r="I231" i="13"/>
  <c r="I256" i="13"/>
  <c r="I263" i="13"/>
  <c r="I279" i="13"/>
  <c r="I216" i="13"/>
  <c r="I232" i="13"/>
  <c r="I248" i="13"/>
  <c r="I264" i="13"/>
  <c r="I217" i="13"/>
  <c r="I233" i="13"/>
  <c r="I249" i="13"/>
  <c r="I265" i="13"/>
  <c r="I218" i="13"/>
  <c r="I234" i="13"/>
  <c r="I250" i="13"/>
  <c r="I266" i="13"/>
  <c r="I219" i="13"/>
  <c r="I235" i="13"/>
  <c r="I251" i="13"/>
  <c r="I267" i="13"/>
  <c r="T22" i="13"/>
  <c r="U22" i="13"/>
  <c r="R22" i="13"/>
  <c r="S22" i="13"/>
  <c r="I138" i="13"/>
  <c r="I170" i="13"/>
  <c r="I186" i="13"/>
  <c r="I202" i="13"/>
  <c r="I182" i="13"/>
  <c r="I139" i="13"/>
  <c r="I155" i="13"/>
  <c r="I171" i="13"/>
  <c r="I187" i="13"/>
  <c r="I203" i="13"/>
  <c r="I198" i="13"/>
  <c r="I124" i="13"/>
  <c r="I140" i="13"/>
  <c r="I156" i="13"/>
  <c r="I172" i="13"/>
  <c r="I188" i="13"/>
  <c r="I166" i="13"/>
  <c r="I125" i="13"/>
  <c r="I141" i="13"/>
  <c r="I157" i="13"/>
  <c r="I173" i="13"/>
  <c r="I189" i="13"/>
  <c r="I126" i="13"/>
  <c r="I142" i="13"/>
  <c r="I158" i="13"/>
  <c r="I174" i="13"/>
  <c r="I190" i="13"/>
  <c r="I127" i="13"/>
  <c r="I143" i="13"/>
  <c r="I159" i="13"/>
  <c r="I175" i="13"/>
  <c r="I191" i="13"/>
  <c r="I128" i="13"/>
  <c r="I144" i="13"/>
  <c r="I160" i="13"/>
  <c r="I176" i="13"/>
  <c r="I192" i="13"/>
  <c r="I129" i="13"/>
  <c r="I145" i="13"/>
  <c r="I161" i="13"/>
  <c r="I177" i="13"/>
  <c r="I193" i="13"/>
  <c r="I150" i="13"/>
  <c r="I130" i="13"/>
  <c r="I146" i="13"/>
  <c r="I162" i="13"/>
  <c r="I178" i="13"/>
  <c r="I194" i="13"/>
  <c r="I131" i="13"/>
  <c r="I147" i="13"/>
  <c r="I163" i="13"/>
  <c r="I179" i="13"/>
  <c r="I195" i="13"/>
  <c r="I132" i="13"/>
  <c r="I148" i="13"/>
  <c r="I164" i="13"/>
  <c r="I180" i="13"/>
  <c r="I196" i="13"/>
  <c r="I134" i="13"/>
  <c r="I133" i="13"/>
  <c r="I149" i="13"/>
  <c r="I165" i="13"/>
  <c r="I181" i="13"/>
  <c r="I197" i="13"/>
  <c r="I135" i="13"/>
  <c r="I151" i="13"/>
  <c r="I167" i="13"/>
  <c r="I183" i="13"/>
  <c r="I199" i="13"/>
  <c r="I136" i="13"/>
  <c r="I152" i="13"/>
  <c r="I168" i="13"/>
  <c r="I184" i="13"/>
  <c r="I200" i="13"/>
  <c r="I137" i="13"/>
  <c r="I153" i="13"/>
  <c r="I169" i="13"/>
  <c r="I185" i="13"/>
  <c r="I201" i="13"/>
  <c r="I94" i="13"/>
  <c r="I108" i="13"/>
  <c r="I109" i="13"/>
  <c r="I121" i="13"/>
  <c r="I107" i="13"/>
  <c r="I95" i="13"/>
  <c r="I110" i="13"/>
  <c r="I122" i="13"/>
  <c r="I111" i="13"/>
  <c r="I96" i="13"/>
  <c r="I112" i="13"/>
  <c r="I97" i="13"/>
  <c r="I113" i="13"/>
  <c r="I106" i="13"/>
  <c r="I98" i="13"/>
  <c r="I114" i="13"/>
  <c r="I123" i="13"/>
  <c r="I99" i="13"/>
  <c r="I115" i="13"/>
  <c r="I100" i="13"/>
  <c r="I116" i="13"/>
  <c r="I101" i="13"/>
  <c r="I117" i="13"/>
  <c r="I104" i="13"/>
  <c r="I102" i="13"/>
  <c r="I118" i="13"/>
  <c r="I120" i="13"/>
  <c r="I103" i="13"/>
  <c r="I119" i="13"/>
  <c r="I93" i="13"/>
  <c r="I105" i="13"/>
  <c r="I78" i="13"/>
  <c r="I84" i="13"/>
  <c r="I92" i="13"/>
  <c r="I79" i="13"/>
  <c r="I82" i="13"/>
  <c r="I80" i="13"/>
  <c r="I81" i="13"/>
  <c r="I88" i="13"/>
  <c r="I83" i="13"/>
  <c r="I89" i="13"/>
  <c r="I85" i="13"/>
  <c r="I86" i="13"/>
  <c r="I87" i="13"/>
  <c r="I90" i="13"/>
  <c r="I91" i="13"/>
  <c r="I73" i="13"/>
  <c r="I74" i="13"/>
  <c r="I75" i="13"/>
  <c r="I76" i="13"/>
  <c r="I77" i="13"/>
  <c r="I62" i="13"/>
  <c r="I63" i="13"/>
  <c r="I64" i="13"/>
  <c r="I65" i="13"/>
  <c r="I66" i="13"/>
  <c r="I67" i="13"/>
  <c r="I68" i="13"/>
  <c r="I69" i="13"/>
  <c r="I70" i="13"/>
  <c r="I71" i="13"/>
  <c r="I72" i="13"/>
  <c r="I56" i="13"/>
  <c r="I57" i="13"/>
  <c r="I58" i="13"/>
  <c r="I59" i="13"/>
  <c r="I60" i="13"/>
  <c r="I61" i="13"/>
  <c r="I53" i="13"/>
  <c r="I54" i="13"/>
  <c r="I55" i="13"/>
  <c r="I45" i="13"/>
  <c r="I46" i="13"/>
  <c r="I47" i="13"/>
  <c r="I48" i="13"/>
  <c r="I49" i="13"/>
  <c r="I50" i="13"/>
  <c r="I51" i="13"/>
  <c r="I52" i="13"/>
  <c r="I40" i="13"/>
  <c r="I43" i="13"/>
  <c r="I42" i="13"/>
  <c r="I41" i="13"/>
  <c r="I44" i="13"/>
  <c r="I33" i="13"/>
  <c r="I34" i="13"/>
  <c r="I35" i="13"/>
  <c r="I31" i="13"/>
  <c r="I11" i="13"/>
  <c r="I5" i="13"/>
  <c r="I27" i="13"/>
  <c r="I7" i="13"/>
  <c r="I3" i="13"/>
  <c r="I39" i="13"/>
  <c r="I36" i="13"/>
  <c r="I32" i="13"/>
  <c r="I28" i="13"/>
  <c r="I24" i="13"/>
  <c r="I14" i="13"/>
  <c r="I8" i="13"/>
  <c r="I23" i="13"/>
  <c r="I10" i="13"/>
  <c r="I6" i="13"/>
  <c r="I29" i="13"/>
  <c r="I18" i="13"/>
  <c r="I17" i="13"/>
  <c r="I20" i="13"/>
  <c r="I13" i="13"/>
  <c r="I16" i="13"/>
  <c r="I19" i="13"/>
  <c r="I4" i="13"/>
  <c r="I30" i="13"/>
  <c r="I26" i="13"/>
  <c r="I22" i="13"/>
  <c r="I38" i="13"/>
  <c r="I25" i="13"/>
  <c r="I2" i="13"/>
  <c r="I9" i="13"/>
  <c r="I12" i="13"/>
  <c r="I15" i="13"/>
  <c r="I37" i="13"/>
  <c r="I21" i="13"/>
  <c r="H6" i="18" l="1"/>
  <c r="I7" i="18"/>
  <c r="H7" i="18" s="1"/>
  <c r="J7" i="18"/>
  <c r="J48" i="17"/>
  <c r="E8" i="18"/>
  <c r="K8" i="18" s="1"/>
  <c r="N5" i="13"/>
  <c r="N4" i="13"/>
  <c r="I8" i="18" l="1"/>
  <c r="H8" i="18" s="1"/>
  <c r="J8" i="18"/>
  <c r="K48" i="17"/>
  <c r="E9" i="18"/>
  <c r="K9" i="18" s="1"/>
  <c r="N6" i="13"/>
  <c r="I9" i="18" l="1"/>
  <c r="H9" i="18" s="1"/>
  <c r="J9" i="18"/>
  <c r="L48" i="17"/>
  <c r="E10" i="18"/>
  <c r="K10" i="18" s="1"/>
  <c r="I10" i="18" l="1"/>
  <c r="H10" i="18" s="1"/>
  <c r="J10" i="18"/>
  <c r="M48" i="17"/>
  <c r="E11" i="18"/>
  <c r="K11" i="18" s="1"/>
  <c r="I11" i="18" l="1"/>
  <c r="H11" i="18" s="1"/>
  <c r="J11" i="18"/>
  <c r="N48" i="17"/>
  <c r="E12" i="18"/>
  <c r="K12" i="18" s="1"/>
  <c r="I12" i="18" l="1"/>
  <c r="H12" i="18" s="1"/>
  <c r="J12" i="18"/>
  <c r="O48" i="17"/>
  <c r="E13" i="18"/>
  <c r="K13" i="18" s="1"/>
  <c r="I13" i="18" l="1"/>
  <c r="H13" i="18" s="1"/>
  <c r="J13" i="18"/>
  <c r="E14" i="18"/>
  <c r="K14" i="18" s="1"/>
  <c r="P48" i="17"/>
  <c r="Q48" i="17" l="1"/>
  <c r="E15" i="18"/>
  <c r="K15" i="18" s="1"/>
  <c r="I14" i="18"/>
  <c r="H14" i="18" s="1"/>
  <c r="J14" i="18"/>
  <c r="R48" i="17" l="1"/>
  <c r="E16" i="18"/>
  <c r="K16" i="18" s="1"/>
  <c r="I15" i="18"/>
  <c r="H15" i="18" s="1"/>
  <c r="J15" i="18"/>
  <c r="S48" i="17" l="1"/>
  <c r="E17" i="18"/>
  <c r="K17" i="18" s="1"/>
  <c r="I16" i="18"/>
  <c r="H16" i="18" s="1"/>
  <c r="J16" i="18"/>
  <c r="T48" i="17" l="1"/>
  <c r="E18" i="18"/>
  <c r="K18" i="18" s="1"/>
  <c r="I17" i="18"/>
  <c r="H17" i="18" s="1"/>
  <c r="J17" i="18"/>
  <c r="I18" i="18" l="1"/>
  <c r="H18" i="18" s="1"/>
  <c r="J18" i="18"/>
  <c r="U48" i="17"/>
  <c r="E19" i="18"/>
  <c r="K19" i="18" s="1"/>
  <c r="I19" i="18" l="1"/>
  <c r="H19" i="18" s="1"/>
  <c r="J19" i="18"/>
  <c r="V48" i="17"/>
  <c r="E20" i="18"/>
  <c r="K20" i="18" s="1"/>
  <c r="J3" i="13"/>
  <c r="J4" i="13" s="1"/>
  <c r="J5" i="13" s="1"/>
  <c r="J6" i="13" s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J41" i="13" s="1"/>
  <c r="J42" i="13" s="1"/>
  <c r="J43" i="13" s="1"/>
  <c r="J44" i="13" s="1"/>
  <c r="J45" i="13" s="1"/>
  <c r="J46" i="13" s="1"/>
  <c r="J47" i="13" s="1"/>
  <c r="J48" i="13" s="1"/>
  <c r="J49" i="13" s="1"/>
  <c r="J50" i="13" s="1"/>
  <c r="J51" i="13" s="1"/>
  <c r="J52" i="13" s="1"/>
  <c r="J53" i="13" s="1"/>
  <c r="J54" i="13" s="1"/>
  <c r="J55" i="13" s="1"/>
  <c r="J56" i="13" s="1"/>
  <c r="J57" i="13" s="1"/>
  <c r="J58" i="13" s="1"/>
  <c r="J59" i="13" s="1"/>
  <c r="J60" i="13" s="1"/>
  <c r="J61" i="13" s="1"/>
  <c r="J62" i="13" s="1"/>
  <c r="J63" i="13" s="1"/>
  <c r="J64" i="13" s="1"/>
  <c r="J65" i="13" s="1"/>
  <c r="J66" i="13" s="1"/>
  <c r="J67" i="13" s="1"/>
  <c r="J68" i="13" s="1"/>
  <c r="J69" i="13" s="1"/>
  <c r="J70" i="13" s="1"/>
  <c r="J71" i="13" s="1"/>
  <c r="J72" i="13" s="1"/>
  <c r="J73" i="13" s="1"/>
  <c r="J74" i="13" s="1"/>
  <c r="J75" i="13" s="1"/>
  <c r="J76" i="13" s="1"/>
  <c r="J77" i="13" s="1"/>
  <c r="J78" i="13" s="1"/>
  <c r="J79" i="13" s="1"/>
  <c r="J80" i="13" s="1"/>
  <c r="J81" i="13" s="1"/>
  <c r="J82" i="13" s="1"/>
  <c r="J83" i="13" s="1"/>
  <c r="J84" i="13" s="1"/>
  <c r="J85" i="13" s="1"/>
  <c r="J86" i="13" s="1"/>
  <c r="J87" i="13" s="1"/>
  <c r="J88" i="13" s="1"/>
  <c r="J89" i="13" s="1"/>
  <c r="J90" i="13" s="1"/>
  <c r="J91" i="13" s="1"/>
  <c r="J92" i="13" s="1"/>
  <c r="J93" i="13" s="1"/>
  <c r="J94" i="13" s="1"/>
  <c r="J95" i="13" s="1"/>
  <c r="J96" i="13" s="1"/>
  <c r="J97" i="13" s="1"/>
  <c r="J98" i="13" s="1"/>
  <c r="J99" i="13" s="1"/>
  <c r="J100" i="13" s="1"/>
  <c r="J101" i="13" s="1"/>
  <c r="J102" i="13" s="1"/>
  <c r="J103" i="13" s="1"/>
  <c r="J104" i="13" s="1"/>
  <c r="J105" i="13" s="1"/>
  <c r="J106" i="13" s="1"/>
  <c r="J107" i="13" s="1"/>
  <c r="J108" i="13" s="1"/>
  <c r="J109" i="13" s="1"/>
  <c r="J110" i="13" s="1"/>
  <c r="J111" i="13" s="1"/>
  <c r="J112" i="13" s="1"/>
  <c r="J113" i="13" s="1"/>
  <c r="J114" i="13" s="1"/>
  <c r="J115" i="13" s="1"/>
  <c r="J116" i="13" s="1"/>
  <c r="J117" i="13" s="1"/>
  <c r="J118" i="13" s="1"/>
  <c r="J119" i="13" s="1"/>
  <c r="J120" i="13" s="1"/>
  <c r="J121" i="13" s="1"/>
  <c r="J122" i="13" s="1"/>
  <c r="J123" i="13" s="1"/>
  <c r="J124" i="13" s="1"/>
  <c r="J125" i="13" s="1"/>
  <c r="J126" i="13" s="1"/>
  <c r="J127" i="13" s="1"/>
  <c r="J128" i="13" s="1"/>
  <c r="J129" i="13" s="1"/>
  <c r="J130" i="13" s="1"/>
  <c r="J131" i="13" s="1"/>
  <c r="J132" i="13" s="1"/>
  <c r="J133" i="13" s="1"/>
  <c r="J134" i="13" s="1"/>
  <c r="J135" i="13" s="1"/>
  <c r="J136" i="13" s="1"/>
  <c r="J137" i="13" s="1"/>
  <c r="J138" i="13" s="1"/>
  <c r="J139" i="13" s="1"/>
  <c r="J140" i="13" s="1"/>
  <c r="J141" i="13" s="1"/>
  <c r="J142" i="13" s="1"/>
  <c r="J143" i="13" s="1"/>
  <c r="J144" i="13" s="1"/>
  <c r="J145" i="13" s="1"/>
  <c r="J146" i="13" s="1"/>
  <c r="J147" i="13" s="1"/>
  <c r="J148" i="13" s="1"/>
  <c r="J149" i="13" s="1"/>
  <c r="J150" i="13" s="1"/>
  <c r="J151" i="13" s="1"/>
  <c r="J152" i="13" s="1"/>
  <c r="J153" i="13" s="1"/>
  <c r="J154" i="13" s="1"/>
  <c r="J155" i="13" s="1"/>
  <c r="J156" i="13" s="1"/>
  <c r="J157" i="13" s="1"/>
  <c r="J158" i="13" s="1"/>
  <c r="J159" i="13" s="1"/>
  <c r="J160" i="13" s="1"/>
  <c r="J161" i="13" s="1"/>
  <c r="J162" i="13" s="1"/>
  <c r="J163" i="13" s="1"/>
  <c r="J164" i="13" s="1"/>
  <c r="J165" i="13" s="1"/>
  <c r="J166" i="13" s="1"/>
  <c r="J167" i="13" s="1"/>
  <c r="J168" i="13" s="1"/>
  <c r="J169" i="13" s="1"/>
  <c r="J170" i="13" s="1"/>
  <c r="J171" i="13" s="1"/>
  <c r="J172" i="13" s="1"/>
  <c r="J173" i="13" s="1"/>
  <c r="J174" i="13" s="1"/>
  <c r="J175" i="13" s="1"/>
  <c r="J176" i="13" s="1"/>
  <c r="J177" i="13" s="1"/>
  <c r="J178" i="13" s="1"/>
  <c r="J179" i="13" s="1"/>
  <c r="J180" i="13" s="1"/>
  <c r="J181" i="13" s="1"/>
  <c r="J182" i="13" s="1"/>
  <c r="J183" i="13" s="1"/>
  <c r="J184" i="13" s="1"/>
  <c r="J185" i="13" s="1"/>
  <c r="J186" i="13" s="1"/>
  <c r="J187" i="13" s="1"/>
  <c r="J188" i="13" s="1"/>
  <c r="J189" i="13" s="1"/>
  <c r="J190" i="13" s="1"/>
  <c r="J191" i="13" s="1"/>
  <c r="J192" i="13" s="1"/>
  <c r="J193" i="13" s="1"/>
  <c r="J194" i="13" s="1"/>
  <c r="J195" i="13" s="1"/>
  <c r="J196" i="13" s="1"/>
  <c r="J197" i="13" s="1"/>
  <c r="J198" i="13" s="1"/>
  <c r="J199" i="13" s="1"/>
  <c r="J200" i="13" s="1"/>
  <c r="J201" i="13" s="1"/>
  <c r="J202" i="13" s="1"/>
  <c r="J203" i="13" s="1"/>
  <c r="J204" i="13" s="1"/>
  <c r="J205" i="13" s="1"/>
  <c r="J206" i="13" s="1"/>
  <c r="J207" i="13" s="1"/>
  <c r="J208" i="13" s="1"/>
  <c r="J209" i="13" s="1"/>
  <c r="J210" i="13" s="1"/>
  <c r="J211" i="13" s="1"/>
  <c r="J212" i="13" s="1"/>
  <c r="J213" i="13" s="1"/>
  <c r="J214" i="13" s="1"/>
  <c r="J215" i="13" s="1"/>
  <c r="J216" i="13" s="1"/>
  <c r="J217" i="13" s="1"/>
  <c r="J218" i="13" s="1"/>
  <c r="J219" i="13" s="1"/>
  <c r="J220" i="13" s="1"/>
  <c r="J221" i="13" s="1"/>
  <c r="J222" i="13" s="1"/>
  <c r="J223" i="13" s="1"/>
  <c r="J224" i="13" s="1"/>
  <c r="J225" i="13" s="1"/>
  <c r="J226" i="13" s="1"/>
  <c r="J227" i="13" s="1"/>
  <c r="J228" i="13" s="1"/>
  <c r="J229" i="13" s="1"/>
  <c r="J230" i="13" s="1"/>
  <c r="J231" i="13" s="1"/>
  <c r="J232" i="13" s="1"/>
  <c r="J233" i="13" s="1"/>
  <c r="J234" i="13" s="1"/>
  <c r="J235" i="13" s="1"/>
  <c r="J236" i="13" s="1"/>
  <c r="J237" i="13" s="1"/>
  <c r="J238" i="13" s="1"/>
  <c r="J239" i="13" s="1"/>
  <c r="J240" i="13" s="1"/>
  <c r="J241" i="13" s="1"/>
  <c r="J242" i="13" s="1"/>
  <c r="J243" i="13" s="1"/>
  <c r="J244" i="13" s="1"/>
  <c r="J245" i="13" s="1"/>
  <c r="J246" i="13" s="1"/>
  <c r="J247" i="13" s="1"/>
  <c r="J248" i="13" s="1"/>
  <c r="J249" i="13" s="1"/>
  <c r="J250" i="13" s="1"/>
  <c r="J251" i="13" s="1"/>
  <c r="J252" i="13" s="1"/>
  <c r="J253" i="13" s="1"/>
  <c r="J254" i="13" s="1"/>
  <c r="J255" i="13" s="1"/>
  <c r="J256" i="13" s="1"/>
  <c r="J257" i="13" s="1"/>
  <c r="J258" i="13" s="1"/>
  <c r="J259" i="13" s="1"/>
  <c r="J260" i="13" s="1"/>
  <c r="J261" i="13" s="1"/>
  <c r="J262" i="13" s="1"/>
  <c r="J263" i="13" s="1"/>
  <c r="J264" i="13" s="1"/>
  <c r="J265" i="13" s="1"/>
  <c r="J266" i="13" s="1"/>
  <c r="J267" i="13" s="1"/>
  <c r="J268" i="13" s="1"/>
  <c r="J269" i="13" s="1"/>
  <c r="J270" i="13" s="1"/>
  <c r="J271" i="13" s="1"/>
  <c r="J272" i="13" s="1"/>
  <c r="J273" i="13" s="1"/>
  <c r="J274" i="13" s="1"/>
  <c r="J275" i="13" s="1"/>
  <c r="J276" i="13" s="1"/>
  <c r="J277" i="13" s="1"/>
  <c r="J278" i="13" s="1"/>
  <c r="J279" i="13" s="1"/>
  <c r="J280" i="13" s="1"/>
  <c r="J281" i="13" s="1"/>
  <c r="J282" i="13" s="1"/>
  <c r="J283" i="13" s="1"/>
  <c r="J284" i="13" s="1"/>
  <c r="J285" i="13" s="1"/>
  <c r="J286" i="13" s="1"/>
  <c r="J287" i="13" s="1"/>
  <c r="J288" i="13" s="1"/>
  <c r="J289" i="13" s="1"/>
  <c r="J290" i="13" s="1"/>
  <c r="J291" i="13" s="1"/>
  <c r="J292" i="13" s="1"/>
  <c r="J293" i="13" s="1"/>
  <c r="J294" i="13" s="1"/>
  <c r="J295" i="13" s="1"/>
  <c r="J296" i="13" s="1"/>
  <c r="J297" i="13" s="1"/>
  <c r="J298" i="13" s="1"/>
  <c r="J299" i="13" s="1"/>
  <c r="J300" i="13" s="1"/>
  <c r="J301" i="13" s="1"/>
  <c r="J302" i="13" s="1"/>
  <c r="J303" i="13" s="1"/>
  <c r="J304" i="13" s="1"/>
  <c r="J305" i="13" s="1"/>
  <c r="J306" i="13" s="1"/>
  <c r="J307" i="13" s="1"/>
  <c r="J308" i="13" s="1"/>
  <c r="J309" i="13" s="1"/>
  <c r="J310" i="13" s="1"/>
  <c r="J311" i="13" s="1"/>
  <c r="J312" i="13" s="1"/>
  <c r="J313" i="13" s="1"/>
  <c r="J314" i="13" s="1"/>
  <c r="J315" i="13" s="1"/>
  <c r="J316" i="13" s="1"/>
  <c r="J317" i="13" s="1"/>
  <c r="J318" i="13" s="1"/>
  <c r="J319" i="13" s="1"/>
  <c r="J320" i="13" s="1"/>
  <c r="J321" i="13" s="1"/>
  <c r="J322" i="13" s="1"/>
  <c r="J323" i="13" s="1"/>
  <c r="J324" i="13" s="1"/>
  <c r="J325" i="13" s="1"/>
  <c r="J326" i="13" s="1"/>
  <c r="J327" i="13" s="1"/>
  <c r="J328" i="13" s="1"/>
  <c r="J329" i="13" s="1"/>
  <c r="J330" i="13" s="1"/>
  <c r="J331" i="13" s="1"/>
  <c r="J332" i="13" s="1"/>
  <c r="J333" i="13" s="1"/>
  <c r="J334" i="13" s="1"/>
  <c r="J335" i="13" s="1"/>
  <c r="J336" i="13" s="1"/>
  <c r="J337" i="13" s="1"/>
  <c r="J338" i="13" s="1"/>
  <c r="J339" i="13" s="1"/>
  <c r="J340" i="13" s="1"/>
  <c r="J341" i="13" s="1"/>
  <c r="J342" i="13" s="1"/>
  <c r="J343" i="13" s="1"/>
  <c r="J344" i="13" s="1"/>
  <c r="J345" i="13" s="1"/>
  <c r="J346" i="13" s="1"/>
  <c r="J347" i="13" s="1"/>
  <c r="J348" i="13" s="1"/>
  <c r="J349" i="13" s="1"/>
  <c r="J350" i="13" s="1"/>
  <c r="J351" i="13" s="1"/>
  <c r="J352" i="13" s="1"/>
  <c r="J353" i="13" s="1"/>
  <c r="J354" i="13" s="1"/>
  <c r="J355" i="13" s="1"/>
  <c r="J356" i="13" s="1"/>
  <c r="J357" i="13" s="1"/>
  <c r="J358" i="13" s="1"/>
  <c r="J359" i="13" s="1"/>
  <c r="J360" i="13" s="1"/>
  <c r="J361" i="13" s="1"/>
  <c r="J362" i="13" s="1"/>
  <c r="J363" i="13" s="1"/>
  <c r="J364" i="13" s="1"/>
  <c r="J365" i="13" s="1"/>
  <c r="J366" i="13" s="1"/>
  <c r="J367" i="13" s="1"/>
  <c r="J368" i="13" s="1"/>
  <c r="J369" i="13" s="1"/>
  <c r="J370" i="13" s="1"/>
  <c r="J371" i="13" s="1"/>
  <c r="J372" i="13" s="1"/>
  <c r="J373" i="13" s="1"/>
  <c r="J374" i="13" s="1"/>
  <c r="J375" i="13" s="1"/>
  <c r="J376" i="13" s="1"/>
  <c r="J377" i="13" s="1"/>
  <c r="J378" i="13" s="1"/>
  <c r="J379" i="13" s="1"/>
  <c r="J380" i="13" s="1"/>
  <c r="J381" i="13" s="1"/>
  <c r="J382" i="13" s="1"/>
  <c r="J383" i="13" s="1"/>
  <c r="J384" i="13" s="1"/>
  <c r="J385" i="13" s="1"/>
  <c r="J386" i="13" s="1"/>
  <c r="J387" i="13" s="1"/>
  <c r="J388" i="13" s="1"/>
  <c r="J389" i="13" s="1"/>
  <c r="J390" i="13" s="1"/>
  <c r="J391" i="13" s="1"/>
  <c r="J392" i="13" s="1"/>
  <c r="J393" i="13" s="1"/>
  <c r="J394" i="13" s="1"/>
  <c r="J395" i="13" s="1"/>
  <c r="J396" i="13" s="1"/>
  <c r="J397" i="13" s="1"/>
  <c r="J398" i="13" s="1"/>
  <c r="J399" i="13" s="1"/>
  <c r="J400" i="13" s="1"/>
  <c r="J401" i="13" s="1"/>
  <c r="J402" i="13" s="1"/>
  <c r="J403" i="13" s="1"/>
  <c r="J404" i="13" s="1"/>
  <c r="J405" i="13" s="1"/>
  <c r="J406" i="13" s="1"/>
  <c r="J407" i="13" s="1"/>
  <c r="J408" i="13" s="1"/>
  <c r="J409" i="13" s="1"/>
  <c r="J410" i="13" s="1"/>
  <c r="J411" i="13" s="1"/>
  <c r="J412" i="13" s="1"/>
  <c r="J413" i="13" s="1"/>
  <c r="J414" i="13" s="1"/>
  <c r="J415" i="13" s="1"/>
  <c r="J416" i="13" s="1"/>
  <c r="J417" i="13" s="1"/>
  <c r="J418" i="13" s="1"/>
  <c r="J419" i="13" s="1"/>
  <c r="J420" i="13" s="1"/>
  <c r="J421" i="13" s="1"/>
  <c r="J422" i="13" s="1"/>
  <c r="J423" i="13" s="1"/>
  <c r="J424" i="13" s="1"/>
  <c r="J425" i="13" s="1"/>
  <c r="J426" i="13" s="1"/>
  <c r="J427" i="13" s="1"/>
  <c r="J428" i="13" s="1"/>
  <c r="J429" i="13" s="1"/>
  <c r="J430" i="13" s="1"/>
  <c r="J431" i="13" s="1"/>
  <c r="J432" i="13" s="1"/>
  <c r="J433" i="13" s="1"/>
  <c r="J434" i="13" s="1"/>
  <c r="J435" i="13" s="1"/>
  <c r="J436" i="13" s="1"/>
  <c r="J437" i="13" s="1"/>
  <c r="J438" i="13" s="1"/>
  <c r="J439" i="13" s="1"/>
  <c r="J440" i="13" s="1"/>
  <c r="J441" i="13" s="1"/>
  <c r="J442" i="13" s="1"/>
  <c r="J443" i="13" s="1"/>
  <c r="J444" i="13" s="1"/>
  <c r="J445" i="13" s="1"/>
  <c r="J446" i="13" s="1"/>
  <c r="W48" i="17" l="1"/>
  <c r="E21" i="18"/>
  <c r="K21" i="18" s="1"/>
  <c r="I20" i="18"/>
  <c r="H20" i="18" s="1"/>
  <c r="J20" i="18"/>
  <c r="X48" i="17" l="1"/>
  <c r="E22" i="18"/>
  <c r="K22" i="18" s="1"/>
  <c r="I21" i="18"/>
  <c r="H21" i="18" s="1"/>
  <c r="J21" i="18"/>
  <c r="I22" i="18" l="1"/>
  <c r="H22" i="18" s="1"/>
  <c r="J22" i="18"/>
  <c r="Y48" i="17"/>
  <c r="E23" i="18"/>
  <c r="K23" i="18" s="1"/>
  <c r="I23" i="18" l="1"/>
  <c r="H23" i="18" s="1"/>
  <c r="J23" i="18"/>
  <c r="E24" i="18"/>
  <c r="K24" i="18" s="1"/>
  <c r="Z48" i="17"/>
  <c r="AA48" i="17" l="1"/>
  <c r="E25" i="18"/>
  <c r="K25" i="18" s="1"/>
  <c r="I24" i="18"/>
  <c r="H24" i="18" s="1"/>
  <c r="J24" i="18"/>
  <c r="I25" i="18" l="1"/>
  <c r="H25" i="18" s="1"/>
  <c r="J25" i="18"/>
  <c r="AB48" i="17"/>
  <c r="E26" i="18"/>
  <c r="K26" i="18" s="1"/>
  <c r="I26" i="18" l="1"/>
  <c r="H26" i="18" s="1"/>
  <c r="J26" i="18"/>
  <c r="AC48" i="17"/>
  <c r="E27" i="18"/>
  <c r="K27" i="18" s="1"/>
  <c r="E28" i="18" l="1"/>
  <c r="K28" i="18" s="1"/>
  <c r="AD48" i="17"/>
  <c r="I27" i="18"/>
  <c r="H27" i="18" s="1"/>
  <c r="J27" i="18"/>
  <c r="AE48" i="17" l="1"/>
  <c r="E29" i="18"/>
  <c r="K29" i="18" s="1"/>
  <c r="J28" i="18"/>
  <c r="I28" i="18"/>
  <c r="H28" i="18" s="1"/>
  <c r="E30" i="18"/>
  <c r="K30" i="18" s="1"/>
  <c r="AF48" i="17"/>
  <c r="J30" i="18" l="1"/>
  <c r="I30" i="18"/>
  <c r="J29" i="18"/>
  <c r="I29" i="18"/>
  <c r="H29" i="18" s="1"/>
  <c r="H30" i="18" s="1"/>
  <c r="AG48" i="17"/>
  <c r="E32" i="18" s="1"/>
  <c r="E31" i="18"/>
  <c r="K31" i="18" s="1"/>
  <c r="J31" i="18" l="1"/>
  <c r="I31" i="18"/>
  <c r="H31" i="18" s="1"/>
  <c r="K32" i="18"/>
  <c r="J32" i="18" l="1"/>
  <c r="I32" i="18"/>
  <c r="H32" i="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<sst xmlns="http://schemas.openxmlformats.org/spreadsheetml/2006/main" count="1681" uniqueCount="634">
  <si>
    <t>Description</t>
  </si>
  <si>
    <t>Amount</t>
  </si>
  <si>
    <t>Jan</t>
  </si>
  <si>
    <t>Income</t>
  </si>
  <si>
    <t>Monthly</t>
  </si>
  <si>
    <t>Weekly</t>
  </si>
  <si>
    <t>Spotify</t>
  </si>
  <si>
    <t>Netflix</t>
  </si>
  <si>
    <t>State Farm</t>
  </si>
  <si>
    <t>Crunchyroll</t>
  </si>
  <si>
    <t>Elephant</t>
  </si>
  <si>
    <t>Stimulus 1</t>
  </si>
  <si>
    <t>Stimulus 2</t>
  </si>
  <si>
    <t>Year</t>
  </si>
  <si>
    <t>Month</t>
  </si>
  <si>
    <t>Trans. date</t>
  </si>
  <si>
    <t>Post date</t>
  </si>
  <si>
    <t>Category</t>
  </si>
  <si>
    <t>Expense Type</t>
  </si>
  <si>
    <t>Cumulative</t>
  </si>
  <si>
    <t>Association</t>
  </si>
  <si>
    <t>INTERNET PAYMENT - THANK YOU</t>
  </si>
  <si>
    <t>Payments and Credits</t>
  </si>
  <si>
    <t>WAWA 697 STAFFORD VA</t>
  </si>
  <si>
    <t>Gasoline</t>
  </si>
  <si>
    <t>SPOTIFY P12D96D434 8777781161 NY</t>
  </si>
  <si>
    <t>APP</t>
  </si>
  <si>
    <t>Variable</t>
  </si>
  <si>
    <t>NETFLIX.COM NETFLIX.COM CA44115296471</t>
  </si>
  <si>
    <t>Fixed</t>
  </si>
  <si>
    <t>MYFICO COM 8003194433 GA</t>
  </si>
  <si>
    <t>Payment</t>
  </si>
  <si>
    <t>STATE FARM INSURANCE 800-956-6310 IL</t>
  </si>
  <si>
    <t>STEAMPOWERED.COM 425-952-2985 WA</t>
  </si>
  <si>
    <t>Neir Automata</t>
  </si>
  <si>
    <t>Jayelin</t>
  </si>
  <si>
    <t>LIVECAREER.COM 800652843 866-933-7587 PR</t>
  </si>
  <si>
    <t>Shevon</t>
  </si>
  <si>
    <t>RIVER RUN SHORT PUMP HENRICO VA</t>
  </si>
  <si>
    <t>THE MARKET @ 25TH RICHMOND VA</t>
  </si>
  <si>
    <t>AMERICA'S BEST WINGS HENRICO VA</t>
  </si>
  <si>
    <t>Restaurants</t>
  </si>
  <si>
    <t>GO DRAGON ASIAN GRILL RICHMOND VA</t>
  </si>
  <si>
    <t>CVS/PHARMACY #01988 RICHMOND VA</t>
  </si>
  <si>
    <t>LABCORP PSCC 2 800-845-6167 NC202101072171244</t>
  </si>
  <si>
    <t>Medical Services</t>
  </si>
  <si>
    <t>Doctor</t>
  </si>
  <si>
    <t>BINGO BEER CO - GAMES PE RICHMOND VA</t>
  </si>
  <si>
    <t>Akhil</t>
  </si>
  <si>
    <t>WALMART SC 07032 HENRICO VA</t>
  </si>
  <si>
    <t>APPLE.COM/BILL 866-712-7753 CAAPPLE PAY ENDING IN 4775MMW3T9K9KMA0</t>
  </si>
  <si>
    <t>FEDEX 782422707980 800-4633339 TN</t>
  </si>
  <si>
    <t>Services</t>
  </si>
  <si>
    <t>Darron</t>
  </si>
  <si>
    <t>FEDEX 782422725203 800-4633339 TN</t>
  </si>
  <si>
    <t>CASH APP*SHEVON LEW 415-375-3176 CA</t>
  </si>
  <si>
    <t>Family</t>
  </si>
  <si>
    <t>PAYPAL *ETCHEDACTUA 402-935-7733 CA</t>
  </si>
  <si>
    <t>FAMILY DOLLAR #5701 RICHMOND VA</t>
  </si>
  <si>
    <t>PAYPAL *VIZMEDIALLC 888-221-1161 CA</t>
  </si>
  <si>
    <t>EXXONMOBIL RICHMOND VA</t>
  </si>
  <si>
    <t>CASHBACK BONUS REDEMPTION PYMT/STMT CRDT</t>
  </si>
  <si>
    <t>Awards and Rebate Credits</t>
  </si>
  <si>
    <t>MCDONALD'S F17579 RICHMOND VA</t>
  </si>
  <si>
    <t>WALGREENS #3860 RICHMOND VA</t>
  </si>
  <si>
    <t>Draino</t>
  </si>
  <si>
    <t>Study</t>
  </si>
  <si>
    <t>AMZN MKTP US*0H4DK7EL3 AMZN.COM/BILLWA72J9EGRQCDU</t>
  </si>
  <si>
    <t>Merchandise</t>
  </si>
  <si>
    <t>Webcam</t>
  </si>
  <si>
    <t>SP * ILF, LLC 8888044453 TX</t>
  </si>
  <si>
    <t>Vincent</t>
  </si>
  <si>
    <t>Kaiya</t>
  </si>
  <si>
    <t>Griddle</t>
  </si>
  <si>
    <t>NETFLIX.COM NETFLIX.COM CA44925167830</t>
  </si>
  <si>
    <t>SPOTIFY P1343F2886 8777781161 NY</t>
  </si>
  <si>
    <t>PAYPAL *DAYNEINVEST 888-221-1161 CA</t>
  </si>
  <si>
    <t>Masks</t>
  </si>
  <si>
    <t>DIRECTPAY FULL BALANCESEE DETAILS OF YOUR NEXT DIRECTPAY BELOW</t>
  </si>
  <si>
    <t>CHIPOTLE 1975 RICHMOND VA</t>
  </si>
  <si>
    <t>KINGSISLE *PIRATE101 512-623-5983 TX00099RS900000000000000</t>
  </si>
  <si>
    <t>PP*PP ROKU FOR CRUNCHYR 402-935-7733 CA</t>
  </si>
  <si>
    <t>BEDBATH&amp;BEYOND GLEN ALLEN VA</t>
  </si>
  <si>
    <t>CITYPARKING INC 804-344-3353 VAAPPLE PAY ENDING IN 4775</t>
  </si>
  <si>
    <t>TST* 521 BISCUITS &amp; WAFF RICHMOND VAAPPLE PAY ENDING IN 4775</t>
  </si>
  <si>
    <t>WHOLEFDS WBS#10598 RICHMOND VA</t>
  </si>
  <si>
    <t>PUBLIX #1588 RICHMOND VA</t>
  </si>
  <si>
    <t>ABC*CRUNCH FITNESS 888-827-9262 VAABC*CRUNCH FITNESS</t>
  </si>
  <si>
    <t>DC CHARBROILED CHICKEN RICHMOND VA</t>
  </si>
  <si>
    <t>Travel/ Entertainment</t>
  </si>
  <si>
    <t>Supermarkets</t>
  </si>
  <si>
    <t>Education</t>
  </si>
  <si>
    <t>Don</t>
  </si>
  <si>
    <t>Credit Karma</t>
  </si>
  <si>
    <t>Webull</t>
  </si>
  <si>
    <t>APPLE.COM/BILL 866-712-7753 CAAPPLE PAY ENDING IN 4775MMW42NJ145A0</t>
  </si>
  <si>
    <t>BIRD APP 8662052442 CA</t>
  </si>
  <si>
    <t>APPLE.COM/BILL 866-712-7753 CAAPPLE PAY ENDING IN 4775MMW43JVXWTA0</t>
  </si>
  <si>
    <t>TARGET RICHMOND VA</t>
  </si>
  <si>
    <t>PUPATELLA 2 RICHMOND VA</t>
  </si>
  <si>
    <t>T-MOBILE PAYMENTS 800-937-8997 WAAPPLE PAY ENDING IN 4775T-MOBILE PAYMENTS</t>
  </si>
  <si>
    <t>WWW.WOLFRAMALPHA.COM 8009653726 IL</t>
  </si>
  <si>
    <t>KINGSISLE *PIRATE101 512-623-5983 TX0009CTVV00000000000000</t>
  </si>
  <si>
    <t>SUNOCO 0113723100 RICHMOND VA</t>
  </si>
  <si>
    <t>PAYPAL *WEBULL TECH 402-935-7733 CA</t>
  </si>
  <si>
    <t>COACHING ACTUARIES 8324128532 IA</t>
  </si>
  <si>
    <t>Pants</t>
  </si>
  <si>
    <t>Study tool</t>
  </si>
  <si>
    <t>Adapt</t>
  </si>
  <si>
    <t>IRS</t>
  </si>
  <si>
    <t>DISNEYPLUS 888-905-7888 CADISNEYPLUS</t>
  </si>
  <si>
    <t>APPLE.COM/BILL 866-712-7753 CAAPPLE PAY ENDING IN 4775MMW4751VM2A0</t>
  </si>
  <si>
    <t>PAYPAL *COUPLECENTS 402-935-7733 CA</t>
  </si>
  <si>
    <t>SHEETZ 267200026724498 WOODFORD VA</t>
  </si>
  <si>
    <t>TACO BELL #28942 DUMFRIES VA</t>
  </si>
  <si>
    <t>WWW.CVS.COM 800-746-7287 RI</t>
  </si>
  <si>
    <t>BP#2027845NINE MILE BP RICHMOND VA</t>
  </si>
  <si>
    <t>DEL SAUCE, LLC 8043821332 VA</t>
  </si>
  <si>
    <t>DEPARTMENT MOTOR VEHICLE RICHMOND VA</t>
  </si>
  <si>
    <t>Government Services</t>
  </si>
  <si>
    <t>NETFLIX.COM NETFLIX.COM CA45851809183</t>
  </si>
  <si>
    <t>SPOTIFY P13AFFEFC5 8777781161 NY</t>
  </si>
  <si>
    <t>PAYPAL *INTERACTIVE 402-935-7733 CA</t>
  </si>
  <si>
    <t>MELLOW MUSHROOM RICHMOND VA00637R</t>
  </si>
  <si>
    <t>PP*GOOGLE GOOGLE YOUTUB 402-935-7733 CA</t>
  </si>
  <si>
    <t>PP*GOOGLE YOUTUBE SUBSC 402-935-7733 CA</t>
  </si>
  <si>
    <t>PP*GOOGLE GOOGLE YOUTUB 4029357733 CA</t>
  </si>
  <si>
    <t>PP*GOOGLE YOUTUBE SUBSC 4029357733 CA</t>
  </si>
  <si>
    <t>BOTTOMS UP PIZZA RICHMOND VA</t>
  </si>
  <si>
    <t>TAKE 5 #232 RICHMOND VA</t>
  </si>
  <si>
    <t>Automotive</t>
  </si>
  <si>
    <t>WALMART SC 03885 RICHMOND VA</t>
  </si>
  <si>
    <t>FIREHOUSE SUBS 0302 QSR ALEXANDRIA VA</t>
  </si>
  <si>
    <t>LYFT *RIDE WED 1PM 855-865-9553 CA</t>
  </si>
  <si>
    <t>LYFT *RIDE WED 3PM 855-865-9553 CA</t>
  </si>
  <si>
    <t>IFM Seminar</t>
  </si>
  <si>
    <t>Oil Change</t>
  </si>
  <si>
    <t>Test Day</t>
  </si>
  <si>
    <t>Registration</t>
  </si>
  <si>
    <t>MCDONALD'S F20505 FALLS CHURCH VA</t>
  </si>
  <si>
    <t>MICRO CENTER FAIRFAX FAIRFAX VA</t>
  </si>
  <si>
    <t>PAYPAL *STEAM GAMES 402-935-7733 CA</t>
  </si>
  <si>
    <t>WALMART SC 03626 WINSTON SALEMNC</t>
  </si>
  <si>
    <t>APPLE.COM/BILL 111-111-1111 CAAPPLE PAY ENDING IN 4775</t>
  </si>
  <si>
    <t>PANDA EXPRESS #2551 GLEN ALLEN VA</t>
  </si>
  <si>
    <t>SHEETZ 245300024539498 WINSTON SALEMNC</t>
  </si>
  <si>
    <t>AMTRAK MOBILE 202-906-3000 DCAPPLE PAY ENDING IN 4775</t>
  </si>
  <si>
    <t>HARDEES 2401 SOUTH HILL VA</t>
  </si>
  <si>
    <t>APPLE.COM/BILL 866-712-7753 CAAPPLE PAY ENDING IN 4775MMW4FQTX7LA0</t>
  </si>
  <si>
    <t>EXXONMOBIL DINWIDDIE VA</t>
  </si>
  <si>
    <t>PAYPAL *FUBOTV 402-935-7733 CA</t>
  </si>
  <si>
    <t>FERSGUIDE, LLC GLEN ALLEN VA</t>
  </si>
  <si>
    <t>ALDI 80007 RICHMOND VA</t>
  </si>
  <si>
    <t>SKRIMP SHACK HENRICO VA</t>
  </si>
  <si>
    <t>AMTRAK NRTHEAST CAFE Q12 WASHINGTON DC</t>
  </si>
  <si>
    <t>MTA*NYCT PAYGO NEW YORK NYAPPLE PAY ENDING IN 4775004478427258</t>
  </si>
  <si>
    <t>MTA*NYCT PAYGO NEW YORK NYAPPLE PAY ENDING IN 4775004478446331</t>
  </si>
  <si>
    <t>MTA*NYCT PAYGO NEW YORK NYAPPLE PAY ENDING IN 4775004478908990</t>
  </si>
  <si>
    <t>DUANE READE #16555 NEW YORK NY</t>
  </si>
  <si>
    <t>KINGSISLE *PIRATE101 512-623-5983 TX0009FR6Y00000000000000</t>
  </si>
  <si>
    <t>MTA*NYCT PAYGO NEW YORK NYAPPLE PAY ENDING IN 4775004486762590</t>
  </si>
  <si>
    <t>NEW YORK KIMCHI NEW YORK NY</t>
  </si>
  <si>
    <t>DUANE READE #14112 NEW YORK NY</t>
  </si>
  <si>
    <t>FIVE GUYS-NY #1111 NEW YORK NY</t>
  </si>
  <si>
    <t>WARBY PARKER 8884927297 NY</t>
  </si>
  <si>
    <t>APPLE.COM/BILL 866-712-7753 CAAPPLE PAY ENDING IN 4775MMW4J0NDZNA0</t>
  </si>
  <si>
    <t>CHAMPS - 14244 NEW YORK NY</t>
  </si>
  <si>
    <t>MTA*NYCT PAYGO NEW YORK NYAPPLE PAY ENDING IN 4775004491147262</t>
  </si>
  <si>
    <t>MTA*NYCT PAYGO NEW YORK NYAPPLE PAY ENDING IN 4775004491797327</t>
  </si>
  <si>
    <t>DUANE READE #14524 NEW YORK NY</t>
  </si>
  <si>
    <t>MTA*NYCT PAYGO NEW YORK NYAPPLE PAY ENDING IN 4775004494678624</t>
  </si>
  <si>
    <t>MTA*NYCT PAYGO NEW YORK NYAPPLE PAY ENDING IN 4775004494700645</t>
  </si>
  <si>
    <t>SQ *WAFELS &amp; DINGES NEW YORK CITYNY0001152921509981711005</t>
  </si>
  <si>
    <t>ABC*CRUNCH FITNESS 804-447-5129 VAABC*CRUNCH FITNESS</t>
  </si>
  <si>
    <t>GONG CHA TIMES SQ. NEW YORK NY</t>
  </si>
  <si>
    <t>DELI 48 NEW YORK NY</t>
  </si>
  <si>
    <t>NETFLIX.COM NETFLIX.COM CA46704475985</t>
  </si>
  <si>
    <t>SPOTIFY P142A61A27 8777781161 NY</t>
  </si>
  <si>
    <t>COLPARK LOC 989 WASHINGTON DC</t>
  </si>
  <si>
    <t>MARATHON PETRO269977 BOWLING GREENVA</t>
  </si>
  <si>
    <t>MCDONALD'S F33384 RUTHER GLEN VA</t>
  </si>
  <si>
    <t>PAYPAL *HULU 402-935-7733 CA</t>
  </si>
  <si>
    <t>UBER EATS 866-576-1039 CA</t>
  </si>
  <si>
    <t>MCDONALD'S F19030 RICHMOND VA</t>
  </si>
  <si>
    <t>AMERICAN FAMILY FIT SHOR RICHMOND VA</t>
  </si>
  <si>
    <t>JIMMY JOHNS - 1131 GLEN ALLEN VA</t>
  </si>
  <si>
    <t>AMER FAM FIT VA CTR COMM GLEN ALLEN VA</t>
  </si>
  <si>
    <t>CVS/PHARMACY #02169 GLEN ALLEN VAAPPLE PAY ENDING IN 4775</t>
  </si>
  <si>
    <t>DOMINION CAR WASH LABURN RICHMOND VA</t>
  </si>
  <si>
    <t>SHEETZ 028600002865498 ASHLAND VA</t>
  </si>
  <si>
    <t>AMOCO#2026664ASHLAND AMO ASHLAND VA</t>
  </si>
  <si>
    <t>COR MOBILE APP METER FEE RICHMOND VA</t>
  </si>
  <si>
    <t>JIMMY JOHNS - 3133 RICHMOND VA</t>
  </si>
  <si>
    <t>PUBLIC STORAGE 25452 800-567-0759 VA191644431</t>
  </si>
  <si>
    <t>THE HOME DEPOT #4624 MECHANICSVILLVA</t>
  </si>
  <si>
    <t>Home Improvement</t>
  </si>
  <si>
    <t>EZPASSVA AUTO REPLENISH 877-7627824 VA</t>
  </si>
  <si>
    <t>STELLA S GROCERY RICHMOND VA</t>
  </si>
  <si>
    <t>AMER FAM FIT MECHANICSVI MECHANICSVILLVA</t>
  </si>
  <si>
    <t>APPLE.COM/BILL 866-712-7753 CAAPPLE PAY ENDING IN 4775MMW4QS111YA0</t>
  </si>
  <si>
    <t>KROGER FUEL #3510 MECHANICSVILLVA</t>
  </si>
  <si>
    <t>TACO BELL 16635 MECHANICSVLLEVA</t>
  </si>
  <si>
    <t>U HAUL STORE 0082427 RICHMOND VA</t>
  </si>
  <si>
    <t>AMER FAM FIT MIDLOTHIAN MIDLOTHIAN VA</t>
  </si>
  <si>
    <t>JIMMY JOHNS - 1740 -ECOM RICHMOND VAAPPLE PAY ENDING IN 4775</t>
  </si>
  <si>
    <t>PUBLIC STORAGE 25452 800-567-0759 VA191751307</t>
  </si>
  <si>
    <t>New York</t>
  </si>
  <si>
    <t>Eye Exam</t>
  </si>
  <si>
    <t>Shelley</t>
  </si>
  <si>
    <t>Danny</t>
  </si>
  <si>
    <t>Dad</t>
  </si>
  <si>
    <t>HEALING SPA MIDLOTHIAN VA</t>
  </si>
  <si>
    <t>SP * COWAYMEGA 3235568457 CA</t>
  </si>
  <si>
    <t>KINGSISLE *PIRATE101 512-623-5983 TX0009IVY200000000000000</t>
  </si>
  <si>
    <t>BONCHON - MECHANICSVILLE MECHANICSVILLVA</t>
  </si>
  <si>
    <t>LOWE'S OF MECHANICSVILLE MECHANICSVILLVA</t>
  </si>
  <si>
    <t>SQ *CAPITOL WAFFLE SHO RICHMOND VA0002305843013922528704</t>
  </si>
  <si>
    <t>SQ *CAPITOL WAFFLE SHO RICHMOND VA0002305843013922494745</t>
  </si>
  <si>
    <t>MCDONALD'S F22474 GLEN ALLEN VA</t>
  </si>
  <si>
    <t>7-ELEVEN 32603 GLEN ALLEN VA</t>
  </si>
  <si>
    <t>CVS/PHARMACY #01994 RICHMOND VA</t>
  </si>
  <si>
    <t>JIMMY JOHNS - 1740 -ECOM RICHMOND VA</t>
  </si>
  <si>
    <t>ORGANIC KRUSH - HENRICO HENRICO VA</t>
  </si>
  <si>
    <t>JIMMY JOHNS - 1300 RICHMOND VA</t>
  </si>
  <si>
    <t>NETFLIX.COM NETFLIX.COM CA47498177451</t>
  </si>
  <si>
    <t>SPOTIFY P14A04BDA5 8777781161 NY</t>
  </si>
  <si>
    <t>SQ *NARWHALS ROLLED IC RICHMOND VA0002305843013952806198</t>
  </si>
  <si>
    <t>TAN A SUPERMARKET RICHMOND VA</t>
  </si>
  <si>
    <t>ALDI 80004 RICHMOND VA</t>
  </si>
  <si>
    <t>UST*USTA MEMBERSHIP 800-990-8782 NYUST*USTA MEMBERSHIP</t>
  </si>
  <si>
    <t>FANDANGO 866-857-5191 CAAPPLE PAY ENDING IN 4775</t>
  </si>
  <si>
    <t>FANDANGO 8668575191 CAAPPLE PAY ENDING IN 4775</t>
  </si>
  <si>
    <t>4510 AMC RICHMOND 10 MIDLOTHIAN VA</t>
  </si>
  <si>
    <t>PUBLIC STORAGE 25452 800-567-0759 VA192732028</t>
  </si>
  <si>
    <t>ALDI 71070 SILVER SPRINGMD</t>
  </si>
  <si>
    <t>BANNERS HALLMARK 54 FREDERICKSBRGVA</t>
  </si>
  <si>
    <t>BARNES &amp; NOBLE #2093 BOWIE MD</t>
  </si>
  <si>
    <t>APPLE.COM/BILL 866-712-7753 CAAPPLE PAY ENDING IN 4775MMW516ZZ2YA0</t>
  </si>
  <si>
    <t>SQUARE ENIX 310-846-0345 CASQUARE ENIX</t>
  </si>
  <si>
    <t>TACO BELL 18147 RICHMOND VA</t>
  </si>
  <si>
    <t>DRIVE SHACK RICHMOND GOOCHLAND VA01437R</t>
  </si>
  <si>
    <t>JASON'S DELI VRS 037 RICHMOND VA</t>
  </si>
  <si>
    <t>OFFICE DEPOT #2340 RICHMOND VA</t>
  </si>
  <si>
    <t>TOMMYS EXP CW - VA12 RICHMOND VA</t>
  </si>
  <si>
    <t>SQ *HARK VINEYARDS EARLYSVILLE VA0002305843014011115031</t>
  </si>
  <si>
    <t>APPLE.COM/BILL 866-712-7753 CAAPPLE PAY ENDING IN 4775MMW52X7F7KA0</t>
  </si>
  <si>
    <t>BODOS BAGELS CHARLOTTESVILVA</t>
  </si>
  <si>
    <t>Mom Birthday</t>
  </si>
  <si>
    <t>Ahkil</t>
  </si>
  <si>
    <t xml:space="preserve">Lamenate Vaccine </t>
  </si>
  <si>
    <t>Sarah Birthday</t>
  </si>
  <si>
    <t>LOWE'S OF E. RICHMOND, V HENRICO VA</t>
  </si>
  <si>
    <t>ADVANCE AUTO PARTS #2330 RICHMOND VA</t>
  </si>
  <si>
    <t>JCPENNEY 1140 RICHMOND VA</t>
  </si>
  <si>
    <t>Department Stores</t>
  </si>
  <si>
    <t>THE HOME DEPOT #4632 RICHMOND VA</t>
  </si>
  <si>
    <t>GIANT 0135 SILVER SPRINGMD02039R</t>
  </si>
  <si>
    <t>JIMMY T'S SOFT SERVE DUMFRIES VA</t>
  </si>
  <si>
    <t>SUNOCO 0545097800 DUMFRIES VA</t>
  </si>
  <si>
    <t>GUITAR CENTER #845 RICHMOND VA</t>
  </si>
  <si>
    <t>MUSIC &amp; ARTS 82 RICHMOND VA</t>
  </si>
  <si>
    <t>JIMMY JOHNS - 1741 -ECOM RICHMOND VAAPPLE PAY ENDING IN 4775</t>
  </si>
  <si>
    <t>APPLE.COM/BILL 866-712-7753 CAAPPLE PAY ENDING IN 4775MMW54D041SA0</t>
  </si>
  <si>
    <t>TARGET GLEN ALLEN VA</t>
  </si>
  <si>
    <t>USPS PO 1049480240 WASHINGTON DC</t>
  </si>
  <si>
    <t>CARROLLS AUTO SERVICE RICHMOND VA</t>
  </si>
  <si>
    <t>LYFT *1 RIDE 05-27 855-865-9553 CA</t>
  </si>
  <si>
    <t>WALMART SC 05941 WASHINGTON DC</t>
  </si>
  <si>
    <t>LYFT *1 RIDE 05-28 855-865-9553 CA</t>
  </si>
  <si>
    <t>ALDI 80022 RICHMOND VA</t>
  </si>
  <si>
    <t>APPLE.COM/BILL 866-712-7753 CAAPPLE PAY ENDING IN 4775MMW5727QLFA0</t>
  </si>
  <si>
    <t>SHEETZ 035000003509498 RICHMOND VA</t>
  </si>
  <si>
    <t>U HAUL STORE 0082427 804-3584978 VA</t>
  </si>
  <si>
    <t>NETFLIX.COM NETFLIX.COM CA48401860935</t>
  </si>
  <si>
    <t>SPOTIFY P154F38ABC 8777781161 NY</t>
  </si>
  <si>
    <t>GO MART #94 ROANOKE VA</t>
  </si>
  <si>
    <t>KRYSTAL AND SAAGAR 202-531-7527 DC</t>
  </si>
  <si>
    <t>PAYPAL *SHOWTIMEPPV 402-935-7733 CA</t>
  </si>
  <si>
    <t>PUBLIC STORAGE 25452 800-567-0759 VA194430343</t>
  </si>
  <si>
    <t>TEXAS ROADHOUSE #2518 ROANOKE VA</t>
  </si>
  <si>
    <t>June</t>
  </si>
  <si>
    <t>Movie Theater Canceled</t>
  </si>
  <si>
    <t>USTA</t>
  </si>
  <si>
    <t xml:space="preserve">Final Fantasy </t>
  </si>
  <si>
    <t>Manga</t>
  </si>
  <si>
    <t xml:space="preserve">Washer Pan 2116 </t>
  </si>
  <si>
    <t>Strings</t>
  </si>
  <si>
    <t xml:space="preserve">Tuning Machine </t>
  </si>
  <si>
    <t>AC Fix(leak)</t>
  </si>
  <si>
    <t>Logan Paul vs. Mayweather</t>
  </si>
  <si>
    <t>Devin Heath</t>
  </si>
  <si>
    <t>Massage</t>
  </si>
  <si>
    <t>Car Wash</t>
  </si>
  <si>
    <t>Credit Score</t>
  </si>
  <si>
    <t>HBO</t>
  </si>
  <si>
    <t>T-Mobile</t>
  </si>
  <si>
    <t>Couple Cents</t>
  </si>
  <si>
    <t>Disney</t>
  </si>
  <si>
    <t>Youtube TV</t>
  </si>
  <si>
    <t>Hulu</t>
  </si>
  <si>
    <t>News</t>
  </si>
  <si>
    <t>Storage</t>
  </si>
  <si>
    <t>Name</t>
  </si>
  <si>
    <t>Total Paid</t>
  </si>
  <si>
    <t>#</t>
  </si>
  <si>
    <t>Avg. Paid</t>
  </si>
  <si>
    <t>Feb</t>
  </si>
  <si>
    <t>Mar</t>
  </si>
  <si>
    <t>Apr</t>
  </si>
  <si>
    <t xml:space="preserve">May </t>
  </si>
  <si>
    <t>Bloomberg</t>
  </si>
  <si>
    <t>GuitarTuna</t>
  </si>
  <si>
    <t>Roadtrippers</t>
  </si>
  <si>
    <t>Catan Gold</t>
  </si>
  <si>
    <t>Finimize</t>
  </si>
  <si>
    <t>Sub Type</t>
  </si>
  <si>
    <t>One time</t>
  </si>
  <si>
    <t>Cancelled?</t>
  </si>
  <si>
    <t>Yes</t>
  </si>
  <si>
    <t>No</t>
  </si>
  <si>
    <t>Annual</t>
  </si>
  <si>
    <t>1 Year</t>
  </si>
  <si>
    <t>1 Month</t>
  </si>
  <si>
    <t>Crunch Fitness</t>
  </si>
  <si>
    <t>Family Fitness</t>
  </si>
  <si>
    <t xml:space="preserve"> No</t>
  </si>
  <si>
    <t>6-Months</t>
  </si>
  <si>
    <t xml:space="preserve">July </t>
  </si>
  <si>
    <t>Oct</t>
  </si>
  <si>
    <t>Aug</t>
  </si>
  <si>
    <t>Sep</t>
  </si>
  <si>
    <t>Nov</t>
  </si>
  <si>
    <t>Dec</t>
  </si>
  <si>
    <t>Day</t>
  </si>
  <si>
    <t>Air Purifier</t>
  </si>
  <si>
    <t>Demon Slayer</t>
  </si>
  <si>
    <t>U HAUL STORE 0082429 804-2310332 VA</t>
  </si>
  <si>
    <t>PANERA BREAD #601639 P RICHMOND VA00521R</t>
  </si>
  <si>
    <t>USPS CHANGE OF ADDRESS 800-238-3150 TN</t>
  </si>
  <si>
    <t>LYFT *2 RIDES 06-05 855-865-9553 CA</t>
  </si>
  <si>
    <t>BEDBATH&amp;BEYOND RICHMOND VA</t>
  </si>
  <si>
    <t>CCBILL.COM 888-5969279 AZ</t>
  </si>
  <si>
    <t>ONLYFANS.COM 8886880458 IL</t>
  </si>
  <si>
    <t>CAVA GRILL SWIFT CREEK MIDLOTHIAN VA</t>
  </si>
  <si>
    <t>STARBUCKS STORE 07780 MIDLOTHIAN VA1546AE60A1ED694528</t>
  </si>
  <si>
    <t>APPLE.COM/BILL 866-712-7753 CAAPPLE PAY ENDING IN 4775MMW5BD0T2NA0</t>
  </si>
  <si>
    <t>JIMMY JOHNS - 3133 - E RICHMOND VAAPPLE PAY ENDING IN 4775</t>
  </si>
  <si>
    <t>PAYPAL *BARNESNOBLE 402-935-7733 CA</t>
  </si>
  <si>
    <t>YCC STORE 00646 RICHMOND VA</t>
  </si>
  <si>
    <t>BARNES &amp; NOBLE #2065 GLEN ALLEN VA</t>
  </si>
  <si>
    <t>OFFICEMAX/DEPOT 6605 GLEN ALLEN VA</t>
  </si>
  <si>
    <t>MCDONALD'S F5392 RICHMOND VA</t>
  </si>
  <si>
    <t>WAWA 8600 RICHMOND VA</t>
  </si>
  <si>
    <t>USPS PO BOXES ONLINE 800-344-7779 DC</t>
  </si>
  <si>
    <t>VERIZON*ONETIMEPAY VERIZON.COM FL534324653566429670001</t>
  </si>
  <si>
    <t>moving</t>
  </si>
  <si>
    <t>Naked Statistics</t>
  </si>
  <si>
    <t>Printing</t>
  </si>
  <si>
    <t>Wolfram</t>
  </si>
  <si>
    <t>Verizon Internet</t>
  </si>
  <si>
    <t>DISCOVER E-PAYMENT 210101 4732 LEWIS SEAN</t>
  </si>
  <si>
    <t>IRS TREAS 310 XXTAXEIP2 010421 XXXXXXXXXX00908 LEWIS, SEAN</t>
  </si>
  <si>
    <t>DISCOVER E-PAYMENT 210115 4732 LEWIS SEAN</t>
  </si>
  <si>
    <t>Elephant Ins PAYROLL 210113 2087 Lewis Sean</t>
  </si>
  <si>
    <t>VENMO PAYMENT 5101219782 SEAN LEWIS</t>
  </si>
  <si>
    <t>VENMO PAYMENT 5101208453 SEAN LEWIS</t>
  </si>
  <si>
    <t>VENMO CASHOUT 5117912825 SEAN LEWIS</t>
  </si>
  <si>
    <t>PURCHASE AUTHORIZED ON 01/20 CASH APP* 8774174551 CA S461020486646597 CARD 6634</t>
  </si>
  <si>
    <t>PURCHASE AUTHORIZED ON 01/21 SOCIETY OF ACTUARI 847-706-3620 IL S581021446560343 CARD 6634</t>
  </si>
  <si>
    <t>MONEY TRANSFER AUTHORIZED ON 01/26 FROM Sean Lewis VA S00581026542833832 CARD 6634</t>
  </si>
  <si>
    <t>ROBINHOOD Funds 210127 XXXXX4480 Sean Lewis</t>
  </si>
  <si>
    <t>ATM CHECK DEPOSIT ON 01/28 3201 WEST CARY ST RICHMOND VA 0005841 ATM ID 0255N CARD 6634</t>
  </si>
  <si>
    <t>VENMO PAYMENT 5176119364 SEAN LEWIS</t>
  </si>
  <si>
    <t>VENMO PAYMENT 5176123809 SEAN LEWIS</t>
  </si>
  <si>
    <t>Elephant Ins PAYROLL 210127 2087 Lewis Sean</t>
  </si>
  <si>
    <t>Credit Karma Transfer 210202 1416312297 Sean Lewis</t>
  </si>
  <si>
    <t>PURCHASE AUTHORIZED ON 02/02 CVS/PHARMACY #01 01988--3 RICHMOND VA P00381033853505879 CARD 6634</t>
  </si>
  <si>
    <t>RTP from VENMO on 02/02 Ref#20210202021000021P1BRJPM00020016153</t>
  </si>
  <si>
    <t>BEST BUY PAYMENT 210202 140344289448116 SEAN LEWIS</t>
  </si>
  <si>
    <t>PURCHASE AUTHORIZED ON 02/02 CASH APP*DON 8774174551 CA S381033547779628 CARD 6634</t>
  </si>
  <si>
    <t>ROBINHOOD Funds 210203 XXXXX4480 Sean Lewis</t>
  </si>
  <si>
    <t>ROBINHOOD Funds 210205 XXXXX4480 Sean Lewis</t>
  </si>
  <si>
    <t>AVIDIA BANK SETL 210208 0268 LEWIS,SEAN</t>
  </si>
  <si>
    <t>DISCOVER E-PAYMENT 210212 4732 LEWIS SEAN</t>
  </si>
  <si>
    <t>VENMO PAYMENT 5259216200 SEAN LEWIS</t>
  </si>
  <si>
    <t>ROBINHOOD Funds 210211 XXXXX4480 Sean Lewis</t>
  </si>
  <si>
    <t>Elephant Ins PAYROLL 210210 2087 Lewis Sean</t>
  </si>
  <si>
    <t>VENMO PAYMENT 5280886625 SEAN LEWIS</t>
  </si>
  <si>
    <t>TD AMERITRADE ACH IN a9KLOZ6PGB LEWIS SEAN</t>
  </si>
  <si>
    <t>ROBINHOOD Funds 210212 XXXXX4480 Sean Lewis</t>
  </si>
  <si>
    <t>MONEY TRANSFER AUTHORIZED ON 02/16 FROM Sean Lewis VA S00301047447217307 CARD 6634</t>
  </si>
  <si>
    <t>ROBINHOOD Funds 210216 XXXXX4480 Sean Lewis</t>
  </si>
  <si>
    <t>WEBULL FINANCIAL ACH Feb 17 20210213000010 SEAN LEWIS</t>
  </si>
  <si>
    <t>ROBINHOOD Funds 210218 XXXXX4480 Sean Lewis</t>
  </si>
  <si>
    <t>AVIDIA BANK SETL 210218 0268 LEWIS,SEAN</t>
  </si>
  <si>
    <t>VENMO PAYMENT 5302514749 SEAN LEWIS</t>
  </si>
  <si>
    <t>GasBuddy GasBuddy IVRVONZYL Sean Lewis</t>
  </si>
  <si>
    <t>GasBuddy GasBuddy IPZ5LNW76</t>
  </si>
  <si>
    <t>DISCOVER E-PAYMENT 210226 4732 LEWIS SEAN</t>
  </si>
  <si>
    <t>VENMO PAYMENT 5336662518 SEAN LEWIS</t>
  </si>
  <si>
    <t>IRS TREAS 310 TAX REF 022621 XXXXXXXXXX00908 LEWIS, SEAN</t>
  </si>
  <si>
    <t>Elephant Ins PAYROLL 210224 2087 Lewis Sean</t>
  </si>
  <si>
    <t>ROBINHOOD Funds 210226 XXXXX4480 Sean Lewis</t>
  </si>
  <si>
    <t>PURCHASE AUTHORIZED ON 02/27 CASH APP*JAYELIN L 8774174551 CA S381058504895158 CARD 6634</t>
  </si>
  <si>
    <t>ROBINHOOD Funds 210301 XXXXX4480 Sean Lewis</t>
  </si>
  <si>
    <t>AVIDIA BANK SETL 210303 0268 LEWIS,SEAN</t>
  </si>
  <si>
    <t>VENMO PAYMENT 5408451261 SEAN LEWIS</t>
  </si>
  <si>
    <t>VA DEPT TAXATION VASTTAXRFD 210302 XXXXX0268 LEWIS, SEAN E</t>
  </si>
  <si>
    <t>ROBINHOOD Funds 210309 XXXXX4480 Sean Lewis</t>
  </si>
  <si>
    <t>MONEY TRANSFER AUTHORIZED ON 03/09 FROM Sean Lewis VA S00581069083988444 CARD 6634</t>
  </si>
  <si>
    <t>DISCOVER E-PAYMENT 210312 4732 LEWIS SEAN</t>
  </si>
  <si>
    <t>Elephant Ins PAYROLL 210310 2087 Lewis Sean</t>
  </si>
  <si>
    <t>GasBuddy GasBuddy IJPBP8EB4 Sean Lewis</t>
  </si>
  <si>
    <t>DISCOVER E-PAYMENT 210317 4732 LEWIS SEAN</t>
  </si>
  <si>
    <t>VENMO PAYMENT 5451331842 SEAN LEWIS</t>
  </si>
  <si>
    <t>VENMO PAYMENT 5451317717 SEAN LEWIS</t>
  </si>
  <si>
    <t>TRANSFER TO LEWIS SHARON ON 03/17 REF #PP0B2WNZKY XXXXXXXXX5267</t>
  </si>
  <si>
    <t>TRANSFER FROM LEWIS SHARON ON 03/17 REF # PP0B2WLCG2 THANK YOU</t>
  </si>
  <si>
    <t>IRS TREAS 310 TAXEIP3 031721 XXXXXXXXXX00908 LEWIS, SEAN</t>
  </si>
  <si>
    <t>DISCOVER E-PAYMENT 210319 4732 LEWIS SEAN</t>
  </si>
  <si>
    <t>VENMO PAYMENT 5493001064 SEAN LEWIS</t>
  </si>
  <si>
    <t>VENMO PAYMENT 5492993326 SEAN LEWIS</t>
  </si>
  <si>
    <t>VENMO PAYMENT 5492999612 SEAN LEWIS</t>
  </si>
  <si>
    <t>DISCOVER E-PAYMENT 210326 4732 LEWIS SEAN</t>
  </si>
  <si>
    <t>Elephant Ins PAYROLL 210324 2087 Lewis Sean</t>
  </si>
  <si>
    <t>VENMO PAYMENT 5513431756 SEAN LEWIS</t>
  </si>
  <si>
    <t>DISCOVER E-PAYMENT 210331 4732 LEWIS SEAN</t>
  </si>
  <si>
    <t>PURCHASE AUTHORIZED ON 03/31 CASH APP*SHEVON LE 8774174551 CA S461091061277016 CARD 6634</t>
  </si>
  <si>
    <t>DISCOVER E-PAYMENT 210409 7328 LEWIS SEAN</t>
  </si>
  <si>
    <t>Elephant Ins PAYROLL 210407 2087 Lewis Sean</t>
  </si>
  <si>
    <t>VENMO PAYMENT 210411 1013109381403 SEAN LEWIS</t>
  </si>
  <si>
    <t>VENMO PAYMENT 5603366206 SEAN LEWIS</t>
  </si>
  <si>
    <t>PURCHASE AUTHORIZED ON 04/11 CASH APP*ENGAGETM 8774174551 CA S301101447514096 CARD 6634</t>
  </si>
  <si>
    <t>VENMO CASHOUT 5643580806 SEAN LEWIS</t>
  </si>
  <si>
    <t>MOBILE DEPOSIT : REF NUMBER :816170847728</t>
  </si>
  <si>
    <t>MONEY TRANSFER AUTHORIZED ON 04/20 FROM Sean Lewis VA S00581110491401484 CARD 6634</t>
  </si>
  <si>
    <t>VENMO PAYMENT 210423 1013303271012 SEAN LEWIS</t>
  </si>
  <si>
    <t>PURCHASE AUTHORIZED ON 04/22 DICK'S SPORTING GO GLEN ALLEN VA S581112824030519 CARD 6634</t>
  </si>
  <si>
    <t>Elephant Ins PAYROLL 210421 2087 Lewis Sean</t>
  </si>
  <si>
    <t>PURCHASE AUTHORIZED ON 04/29 CASH APP*ENGAGETM 8774174551 CA S381119860065157 CARD 6634</t>
  </si>
  <si>
    <t>VENMO PAYMENT 210501 1013448453372 SEAN LEWIS</t>
  </si>
  <si>
    <t>DISCOVER E-PAYMENT 210505 7328 LEWIS SEAN</t>
  </si>
  <si>
    <t>New Manchester F WEB PMTS 050621 GVVCH7 Sean Lewis</t>
  </si>
  <si>
    <t>New Manchester F WEB PMTS 050621 FVVCH7 Sean Lewis</t>
  </si>
  <si>
    <t>Elephant Ins PAYROLL 210505 2087 Lewis Sean</t>
  </si>
  <si>
    <t>AVIDIA BANK SETL 210506 0268 LEWIS,SEAN</t>
  </si>
  <si>
    <t>VENMO PAYMENT 210509 1013594268300 SEAN LEWIS</t>
  </si>
  <si>
    <t>VENMO PAYMENT 210509 1013594265412 SEAN LEWIS</t>
  </si>
  <si>
    <t>GasBuddy GasBuddy INXG6RPA2 Sean Lewis</t>
  </si>
  <si>
    <t>VENMO CASHOUT 210512 1013636035269 SEAN LEWIS</t>
  </si>
  <si>
    <t>GasBuddy GasBuddy I4YX455B2 Sean Lewis</t>
  </si>
  <si>
    <t>MONEY TRANSFER AUTHORIZED ON 05/14 FROM Sean Lewis VA S00301134489786999 CARD 6634</t>
  </si>
  <si>
    <t>VENMO PAYMENT 210516 1013705922037 SEAN LEWIS</t>
  </si>
  <si>
    <t>VENMO PAYMENT 210520 1013774874982 SEAN LEWIS</t>
  </si>
  <si>
    <t>VENMO PAYMENT 210521 1013794906708 SEAN LEWIS</t>
  </si>
  <si>
    <t>Elephant Ins PAYROLL 210519 2087 Lewis Sean</t>
  </si>
  <si>
    <t>DISCOVER E-PAYMENT 210524 7328 LEWIS SEAN</t>
  </si>
  <si>
    <t>PURCHASE AUTHORIZED ON 05/22 CASH APP*TIFFANY C 877-417-4551 VA S461142688303673 CARD 6634</t>
  </si>
  <si>
    <t>PURCHASE AUTHORIZED ON 05/21 CASH APP*NATHANIEL 877-417-4551 VA S381142092873712 CARD 6634</t>
  </si>
  <si>
    <t>PURCHASE AUTHORIZED ON 05/21 CASH APP*DON LEWIS 8774174551 CA S301141585777326 CARD 6634</t>
  </si>
  <si>
    <t>RTP from VENMO on 05/24 Ref#20210524021000021P1BRJPM00600023015</t>
  </si>
  <si>
    <t>VENMO PAYMENT 210525 1013853531322 SEAN LEWIS</t>
  </si>
  <si>
    <t>PURCHASE AUTHORIZED ON 05/27 CASH APP*SHEVON LE 8774174551 CA S581147379994016 CARD 6634</t>
  </si>
  <si>
    <t>PURCHASE AUTHORIZED ON 05/28 CASH APP*CYANFACE 8774174551 CA S301148695866281 CARD 6634</t>
  </si>
  <si>
    <t>ROBINHOOD Funds 210528 XXXXX4480 Sean Lewis</t>
  </si>
  <si>
    <t>VENMO PAYMENT 210604 1014026879340 SEAN LEWIS</t>
  </si>
  <si>
    <t>PURCHASE BANK CHECK OR DRAFT</t>
  </si>
  <si>
    <t>Elephant Ins PAYROLL 210602 2087 Lewis Sean</t>
  </si>
  <si>
    <t>DISCOVER E-PAYMENT 210605 7328 LEWIS SEAN</t>
  </si>
  <si>
    <t>VENMO PAYMENT 210606 1014064415325 SEAN LEWIS</t>
  </si>
  <si>
    <t>VENMO PAYMENT 210606 1014064878246 SEAN LEWIS</t>
  </si>
  <si>
    <t>ATM WITHDRAWAL AUTHORIZED ON 06/05 4489 S. LABURNUM AVE Richmond VA 0001688 ATM ID 0147S CARD 6634</t>
  </si>
  <si>
    <t>MONEY TRANSFER AUTHORIZED ON 06/06 FROM Sean Lewis VA S00581157718112874 CARD 6634</t>
  </si>
  <si>
    <t>PURCHASE AUTHORIZED ON 06/08 THE MARKET at 2 RICHMOND VA P00000000573633522 CARD 6634</t>
  </si>
  <si>
    <t>AVIDIA BANK SETL 210607 0268 LEWIS,SEAN</t>
  </si>
  <si>
    <t>ROBINHOOD Funds 210608 XXXXX4480 Sean Lewis</t>
  </si>
  <si>
    <t>VENMO PAYMENT 210611 1014149204390 SEAN LEWIS</t>
  </si>
  <si>
    <t>ATM WITHDRAWAL AUTHORIZED ON 06/12 9811 BROOK RD GLEN ALLEN VA 0006419 ATM ID 0092S CARD 6634</t>
  </si>
  <si>
    <t>DOMINION ENERGY BILLPAY 210616 DOMINION ENERGY SEAN LEWIS</t>
  </si>
  <si>
    <t>Nationwide PAYROLL 01 HRP0007397914 Sean Lewis</t>
  </si>
  <si>
    <t>Date</t>
  </si>
  <si>
    <t>Tax Return</t>
  </si>
  <si>
    <t>VENMO</t>
  </si>
  <si>
    <t>PURCHASE</t>
  </si>
  <si>
    <t>MONEY</t>
  </si>
  <si>
    <t>ROBINHOOD</t>
  </si>
  <si>
    <t>ATM</t>
  </si>
  <si>
    <t>Credit</t>
  </si>
  <si>
    <t>RTP</t>
  </si>
  <si>
    <t>BEST</t>
  </si>
  <si>
    <t>AVIDIA</t>
  </si>
  <si>
    <t>DISCOVER</t>
  </si>
  <si>
    <t>TD</t>
  </si>
  <si>
    <t>HSA</t>
  </si>
  <si>
    <t>GasBuddy</t>
  </si>
  <si>
    <t>TRANSFER</t>
  </si>
  <si>
    <t>VA</t>
  </si>
  <si>
    <t>WEBULL</t>
  </si>
  <si>
    <t>MOBILE</t>
  </si>
  <si>
    <t>New</t>
  </si>
  <si>
    <t>DOMINION</t>
  </si>
  <si>
    <t>Nationwide</t>
  </si>
  <si>
    <t>Description2</t>
  </si>
  <si>
    <t>Investment</t>
  </si>
  <si>
    <t>Gas</t>
  </si>
  <si>
    <t>Utility</t>
  </si>
  <si>
    <t>Amar - Electric</t>
  </si>
  <si>
    <t>Amar - Rent</t>
  </si>
  <si>
    <t>Amar - Water</t>
  </si>
  <si>
    <t>Mom</t>
  </si>
  <si>
    <t>Dorry</t>
  </si>
  <si>
    <t>Venmo Cash Out</t>
  </si>
  <si>
    <t>Divita</t>
  </si>
  <si>
    <t>Jon Li</t>
  </si>
  <si>
    <t>New Manchester - Rent</t>
  </si>
  <si>
    <t>Luminality Event</t>
  </si>
  <si>
    <t>Cairo</t>
  </si>
  <si>
    <t>Nate</t>
  </si>
  <si>
    <t>Stranger</t>
  </si>
  <si>
    <t>New Manchester - Fee</t>
  </si>
  <si>
    <t>New Manchester Deposit</t>
  </si>
  <si>
    <t>Garbage Removal</t>
  </si>
  <si>
    <t>May</t>
  </si>
  <si>
    <t>Jun</t>
  </si>
  <si>
    <t>Jul</t>
  </si>
  <si>
    <t>Begin Balance</t>
  </si>
  <si>
    <t>SOA</t>
  </si>
  <si>
    <t>Purchase</t>
  </si>
  <si>
    <t>Decrease</t>
  </si>
  <si>
    <t>Increase</t>
  </si>
  <si>
    <t>Movement</t>
  </si>
  <si>
    <t>Balance</t>
  </si>
  <si>
    <t>Opening Balance</t>
  </si>
  <si>
    <t>Closing Balance</t>
  </si>
  <si>
    <t>Primary</t>
  </si>
  <si>
    <t>Monthly Spending -&gt;</t>
  </si>
  <si>
    <t xml:space="preserve">Vincent </t>
  </si>
  <si>
    <t>OFFICEMAX/DEPOT 6814 RICHMOND VA</t>
  </si>
  <si>
    <t>CHICK-FIL-A #01519 RICHMOND VA</t>
  </si>
  <si>
    <t>OFFICEMAX/DEPOT 6379 GLEN ALLEN VA</t>
  </si>
  <si>
    <t>SHELL 57545614109 ASHLAND VA</t>
  </si>
  <si>
    <t>AMZN MKTP US*2179P2TF2 AMZN.COM/BILLWA3IX858WRMJZ</t>
  </si>
  <si>
    <t>BP#9613308TA JESSUP JESSUP MD</t>
  </si>
  <si>
    <t>MCDONALD'S F34934 WOODBRIDGE VA</t>
  </si>
  <si>
    <t>PAYPAL *JEREMYBUSTI 402-935-7733 CA</t>
  </si>
  <si>
    <t>TST* TWO GUYS GRILL &amp; PU BALTIMORE MD</t>
  </si>
  <si>
    <t>PAYPAL *DATACAMPINC 402-935-7733 CA</t>
  </si>
  <si>
    <t>TST* NEW YORK DELI - RVA RICHMOND VA</t>
  </si>
  <si>
    <t>KROGER #511 RICHMOND VA</t>
  </si>
  <si>
    <t>MIKE BLENDZ BARBERSHOP S RICHMOND VA</t>
  </si>
  <si>
    <t>AMZN MKTP US*297321LH1 AMZN.COM/BILLWA3MPRYLB2NN5</t>
  </si>
  <si>
    <t>MCDONALD'S F12090 RUTHER GLEN VA</t>
  </si>
  <si>
    <t>DUNKIN DONUTSBALTIMORE BALTIMORE MD</t>
  </si>
  <si>
    <t>MTA*NYCT PAYGO NEW YORK NYAPPLE PAY ENDING IN 4775004808741327</t>
  </si>
  <si>
    <t>MTA*NYCT PAYGO NEW YORK NYAPPLE PAY ENDING IN 4775004809017067</t>
  </si>
  <si>
    <t>AMZN MKTP US AMZN.COM/BILLWA2MQ7IDW39QZ</t>
  </si>
  <si>
    <t>CITY FRESH MARKET PLACE BROOKLYN NY</t>
  </si>
  <si>
    <t>MTA*NYCT PAYGO NEW YORK NYAPPLE PAY ENDING IN 4775004817537904</t>
  </si>
  <si>
    <t>MTA*NYCT PAYGO NEW YORK NYAPPLE PAY ENDING IN 4775004817997612</t>
  </si>
  <si>
    <t>SUNAC FOOD MARKET BROOKLYN NY</t>
  </si>
  <si>
    <t>ELECTRONICS R US BROOKLYN NY</t>
  </si>
  <si>
    <t>LYFT *BIKE RIDE 855-865-9553 CA</t>
  </si>
  <si>
    <t>MTA*NYCT PAYGO NEW YORK NYAPPLE PAY ENDING IN 4775004823531741</t>
  </si>
  <si>
    <t>TST* SWEET CHICK - WILLI BROOKLYN NY</t>
  </si>
  <si>
    <t>AMZN MKTP US AMZN.COM/BILLWA2227OABZAZA</t>
  </si>
  <si>
    <t>MTA*NYCT PAYGO NEW YORK NYAPPLE PAY ENDING IN 4775004843628637</t>
  </si>
  <si>
    <t>MTA*NYCT PAYGO NEW YORK NYAPPLE PAY ENDING IN 4775004843763722</t>
  </si>
  <si>
    <t>PREMIER FOOD FRESH MARKE BROOKLYN NY</t>
  </si>
  <si>
    <t>FRESH VEGETABLES FISH BROOKLYN NY</t>
  </si>
  <si>
    <t>WALGREENS #11141 BROOKLYN NY</t>
  </si>
  <si>
    <t>NETFLIX.COM NETFLIX.COM CA49280925342</t>
  </si>
  <si>
    <t>PAYPAL *AIRBNB HM2YDHF 402-935-7733 CA</t>
  </si>
  <si>
    <t>SPOTIFY P15CAB3ACD 8777781161 NY</t>
  </si>
  <si>
    <t>TST* SARAGHINA - HALSEY BROOKLYN NY</t>
  </si>
  <si>
    <t>UQ ATLANTIC TERM US004 BROOKLYN NY</t>
  </si>
  <si>
    <t>APPLEBEES 761976726491 BROOKLYN NY</t>
  </si>
  <si>
    <t>BERGEN BAGEL BROOKLYN NY</t>
  </si>
  <si>
    <t>EAST 7TH DELI &amp; CAFE COR NEW YORK NY</t>
  </si>
  <si>
    <t>KRYSTAL AND SAAGAR 2025317527 DC</t>
  </si>
  <si>
    <t>MTA*METROCARD MACHINE NEW YORK NY059144048022</t>
  </si>
  <si>
    <t>MTA*NYCT PAYGO NEW YORK NYAPPLE PAY ENDING IN 4775004854746794</t>
  </si>
  <si>
    <t>MTA*NYCT PAYGO NEW YORK NYAPPLE PAY ENDING IN 4775004855082912</t>
  </si>
  <si>
    <t>ROCKY DELI GROCERY BROOKLYN NY</t>
  </si>
  <si>
    <t>LYFT *2 RIDES 07-01 855-865-9553 CA</t>
  </si>
  <si>
    <t>MTA*NYCT PAYGO NEW YORK NYAPPLE PAY ENDING IN 4775004855640466</t>
  </si>
  <si>
    <t>MTA*NYCT PAYGO NEW YORK NYAPPLE PAY ENDING IN 4775004855768197</t>
  </si>
  <si>
    <t>MTA*NYCT PAYGO NEW YORK NYAPPLE PAY ENDING IN 4775004855826340</t>
  </si>
  <si>
    <t>MTA*NYCT PAYGO NEW YORK NYAPPLE PAY ENDING IN 4775004855828321</t>
  </si>
  <si>
    <t>MTA*NYCT PAYGO NEW YORK NYAPPLE PAY ENDING IN 4775004855861608</t>
  </si>
  <si>
    <t>MTA*NYCT PAYGO RECOVER 718-330-1234 NY004855731688</t>
  </si>
  <si>
    <t>LYFT *2 RIDES 07-03 855-865-9553 CA</t>
  </si>
  <si>
    <t>MILO S YARD RIDGEWOOD NY</t>
  </si>
  <si>
    <t>MTA*NYCT PAYGO NEW YORK NYAPPLE PAY ENDING IN 4775004856158957</t>
  </si>
  <si>
    <t>MTA*NYCT PAYGO NEW YORK NYAPPLE PAY ENDING IN 4775004856160189</t>
  </si>
  <si>
    <t>MTA*NYCT PAYGO NEW YORK NYAPPLE PAY ENDING IN 4775004856197783</t>
  </si>
  <si>
    <t>MTA*NYCT PAYGO NEW YORK NYAPPLE PAY ENDING IN 4775004856225234</t>
  </si>
  <si>
    <t>SQ *ELSEWHERE BROOKLYN NY0002305843014238696256</t>
  </si>
  <si>
    <t>MCDONALD'S F10428 STAFFORD VA</t>
  </si>
  <si>
    <t>SAFEWAY FUEL2616 FAIRFAX VA</t>
  </si>
  <si>
    <t>UBER TRIP 866-576-1039 CA</t>
  </si>
  <si>
    <t>THE MENS WEARHOUSE #3533 GLEN ALLEN VA</t>
  </si>
  <si>
    <t>LYFT *2 RIDES 07-07 855-865-9553 CA</t>
  </si>
  <si>
    <t>Arizona</t>
  </si>
  <si>
    <t>Headshot</t>
  </si>
  <si>
    <t>Hair Cut</t>
  </si>
  <si>
    <t>Brooklyn</t>
  </si>
  <si>
    <t>Fathers Day</t>
  </si>
  <si>
    <t>PRINCIPAL TRUST DR CR 210617 PACT#179541394 SEAN LEWIS</t>
  </si>
  <si>
    <t>Elephant Ins PAYROLL 210616 2087 Lewis Sean</t>
  </si>
  <si>
    <t>VENMO PAYMENT 210620 1014291472980 SEAN LEWIS</t>
  </si>
  <si>
    <t>VENMO PAYMENT 210620 1014291497592 SEAN LEWIS</t>
  </si>
  <si>
    <t>DISCOVER E-PAYMENT 210623 7328 LEWIS SEAN</t>
  </si>
  <si>
    <t>PURCHASE AUTHORIZED ON 06/22 STITCH FIX STYLIN 844-386-3850 CA S581173332274659 CARD 6634</t>
  </si>
  <si>
    <t>PRINCIPAL TRUST DR CR 210622 PACT#180033360 Sean Lewis</t>
  </si>
  <si>
    <t>PURCHASE AUTHORIZED ON 06/23 TST* TIO PABLO TAQ RICHMOND VA S461175013934521 CARD 6634</t>
  </si>
  <si>
    <t>New Manchester F WEB PMTS 063021 M7CVM7 Sean Lewis</t>
  </si>
  <si>
    <t>DISCOVER E-PAYMENT 210701 7328 LEWIS SEAN</t>
  </si>
  <si>
    <t>Nationwide PAYROLL 01 HRP0007447918 Sean Lewis</t>
  </si>
  <si>
    <t>DISCOVER E-PAYMENT 210705 7328 LEWIS SEAN</t>
  </si>
  <si>
    <t>VENMO PAYMENT 210706 1014559681035 SEAN LEWIS</t>
  </si>
  <si>
    <t>DISCOVER E-PAYMENT 210704 7328 LEWIS SEAN</t>
  </si>
  <si>
    <t>PURCHASE AUTHORIZED ON 07/05 KROGER #5 901 LOMBARDY RICHMOND VA P00000000172824506 CARD 6634</t>
  </si>
  <si>
    <t>PURCHASE AUTHORIZED ON 07/05 ALDI 80007 RICHMOND VA P00301187031820504 CARD 6634</t>
  </si>
  <si>
    <t>PURCHASE AUTHORIZED ON 07/02 SQ *THE SUMMIT BAR New York NY S461184164563315 CARD 6634</t>
  </si>
  <si>
    <t>VENMO CASHOUT 210703 1014514779086 SEAN LEWIS</t>
  </si>
  <si>
    <t>BEST BUY PAYMENT 210706 150477321232633 SEAN LEWIS</t>
  </si>
  <si>
    <t>PURCHASE AUTHORIZED ON 07/06 PHO QUE HUONG NUMB GLEN ALLEN VA S381187824546148 CARD 6634</t>
  </si>
  <si>
    <t>Principal retirement</t>
  </si>
  <si>
    <t>Matt Bozz</t>
  </si>
  <si>
    <t>Anush Rohani Shukla</t>
  </si>
  <si>
    <t>Vincent - Rent + Brooklyn</t>
  </si>
  <si>
    <t>Resteraunt</t>
  </si>
  <si>
    <t>Moving</t>
  </si>
  <si>
    <t>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</si>
</sst>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_(&quot;$&quot;* #,##0_);_(&quot;$&quot;* \(#,##0\);_(&quot;$&quot;* &quot;-&quot;??_);_(@_)"/>
  </numFmts>
  <fonts count="37" x14ac:knownFonts="1">
    <font>
      <sz val="8"/>
      <color theme="1" tint="0.1499679555650502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9"/>
      <color theme="1" tint="0.34998626667073579"/>
      <name val="Bookman Old Style"/>
      <family val="1"/>
      <scheme val="major"/>
    </font>
    <font>
      <sz val="8"/>
      <color theme="1" tint="0.14996795556505021"/>
      <name val="Arial"/>
      <family val="2"/>
      <scheme val="minor"/>
    </font>
    <font>
      <sz val="28"/>
      <color theme="3" tint="0.39994506668294322"/>
      <name val="Bookman Old Style"/>
      <family val="1"/>
      <scheme val="major"/>
    </font>
    <font>
      <sz val="8"/>
      <color theme="1" tint="0.499984740745262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9"/>
      <color theme="1"/>
      <name val="Arial"/>
      <family val="2"/>
      <scheme val="minor"/>
    </font>
    <font>
      <sz val="18"/>
      <color theme="3"/>
      <name val="Bookman Old Style"/>
      <family val="2"/>
      <scheme val="major"/>
    </font>
    <font>
      <b/>
      <sz val="11"/>
      <color theme="3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FA7D0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sz val="10"/>
      <color theme="1"/>
      <name val="Arial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73">
    <xf numFmtId="0" fontId="0" fillId="0" borderId="0">
      <alignment vertical="center"/>
    </xf>
    <xf numFmtId="0" fontId="18" fillId="0" borderId="0" applyNumberFormat="0" applyFill="0" applyBorder="0" applyAlignment="0" applyProtection="0"/>
    <xf numFmtId="0" fontId="16" fillId="0" borderId="0" applyNumberFormat="0" applyFill="0" applyBorder="0" applyProtection="0">
      <alignment horizontal="right"/>
    </xf>
    <xf numFmtId="0" fontId="19" fillId="0" borderId="0" applyNumberFormat="0" applyFill="0" applyBorder="0" applyAlignment="0" applyProtection="0"/>
    <xf numFmtId="0" fontId="20" fillId="2" borderId="0" applyNumberFormat="0" applyBorder="0" applyAlignment="0" applyProtection="0"/>
    <xf numFmtId="0" fontId="21" fillId="3" borderId="1" applyNumberFormat="0" applyAlignment="0" applyProtection="0"/>
    <xf numFmtId="0" fontId="22" fillId="4" borderId="2" applyNumberFormat="0" applyAlignment="0" applyProtection="0"/>
    <xf numFmtId="0" fontId="23" fillId="4" borderId="1" applyNumberFormat="0" applyAlignment="0" applyProtection="0"/>
    <xf numFmtId="0" fontId="24" fillId="5" borderId="3" applyNumberFormat="0" applyAlignment="0" applyProtection="0"/>
    <xf numFmtId="0" fontId="26" fillId="7" borderId="0" applyNumberFormat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9" borderId="0" applyNumberFormat="0" applyBorder="0" applyAlignment="0" applyProtection="0"/>
    <xf numFmtId="0" fontId="31" fillId="0" borderId="6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5" fillId="0" borderId="7" applyNumberFormat="0" applyFill="0" applyAlignment="0" applyProtection="0"/>
    <xf numFmtId="0" fontId="15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5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5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5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5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5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0" borderId="0"/>
    <xf numFmtId="0" fontId="34" fillId="0" borderId="8" applyNumberFormat="0" applyFill="0" applyAlignment="0" applyProtection="0"/>
    <xf numFmtId="0" fontId="35" fillId="0" borderId="9" applyNumberFormat="0" applyFill="0" applyAlignment="0" applyProtection="0"/>
    <xf numFmtId="0" fontId="29" fillId="0" borderId="10" applyNumberFormat="0" applyFill="0" applyAlignment="0" applyProtection="0"/>
    <xf numFmtId="0" fontId="11" fillId="6" borderId="4" applyNumberFormat="0" applyFont="0" applyAlignment="0" applyProtection="0"/>
    <xf numFmtId="44" fontId="17" fillId="0" borderId="0" applyFont="0" applyFill="0" applyBorder="0" applyAlignment="0" applyProtection="0"/>
    <xf numFmtId="0" fontId="9" fillId="0" borderId="0"/>
    <xf numFmtId="0" fontId="9" fillId="6" borderId="4" applyNumberFormat="0" applyFont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9" fontId="9" fillId="0" borderId="0" applyFont="0" applyFill="0" applyBorder="0" applyAlignment="0" applyProtection="0"/>
    <xf numFmtId="0" fontId="8" fillId="0" borderId="0"/>
    <xf numFmtId="0" fontId="8" fillId="6" borderId="4" applyNumberFormat="0" applyFont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7" fillId="0" borderId="0"/>
    <xf numFmtId="0" fontId="7" fillId="6" borderId="4" applyNumberFormat="0" applyFont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6" fillId="0" borderId="0"/>
    <xf numFmtId="0" fontId="6" fillId="6" borderId="4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5" fillId="0" borderId="0"/>
    <xf numFmtId="0" fontId="5" fillId="6" borderId="4" applyNumberFormat="0" applyFont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3" fillId="0" borderId="0"/>
    <xf numFmtId="0" fontId="3" fillId="6" borderId="4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43" fontId="17" fillId="0" borderId="0" applyFont="0" applyFill="0" applyBorder="0" applyAlignment="0" applyProtection="0"/>
    <xf numFmtId="0" fontId="2" fillId="0" borderId="0"/>
  </cellStyleXfs>
  <cellXfs count="13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" fontId="25" fillId="0" borderId="5" xfId="10" applyNumberFormat="1" applyFont="1" applyBorder="1" applyAlignment="1">
      <alignment horizontal="center" wrapText="1"/>
    </xf>
    <xf numFmtId="0" fontId="25" fillId="0" borderId="5" xfId="11" applyFont="1" applyBorder="1" applyAlignment="1">
      <alignment horizontal="center" wrapText="1"/>
    </xf>
    <xf numFmtId="0" fontId="13" fillId="0" borderId="0" xfId="11"/>
    <xf numFmtId="1" fontId="0" fillId="0" borderId="5" xfId="10" applyNumberFormat="1" applyFont="1" applyBorder="1" applyAlignment="1">
      <alignment horizontal="center" wrapText="1"/>
    </xf>
    <xf numFmtId="0" fontId="13" fillId="0" borderId="5" xfId="11" applyBorder="1" applyAlignment="1">
      <alignment horizontal="center" wrapText="1"/>
    </xf>
    <xf numFmtId="164" fontId="13" fillId="0" borderId="5" xfId="11" applyNumberFormat="1" applyBorder="1" applyAlignment="1">
      <alignment horizontal="center" wrapText="1"/>
    </xf>
    <xf numFmtId="164" fontId="13" fillId="0" borderId="0" xfId="11" applyNumberFormat="1"/>
    <xf numFmtId="0" fontId="24" fillId="5" borderId="3" xfId="8"/>
    <xf numFmtId="0" fontId="21" fillId="3" borderId="1" xfId="5"/>
    <xf numFmtId="0" fontId="22" fillId="4" borderId="2" xfId="6"/>
    <xf numFmtId="0" fontId="27" fillId="0" borderId="5" xfId="11" applyFont="1" applyBorder="1" applyAlignment="1">
      <alignment horizontal="center" wrapText="1"/>
    </xf>
    <xf numFmtId="1" fontId="0" fillId="0" borderId="0" xfId="10" applyNumberFormat="1" applyFont="1" applyAlignment="1">
      <alignment horizontal="center"/>
    </xf>
    <xf numFmtId="0" fontId="13" fillId="0" borderId="0" xfId="11" applyAlignment="1">
      <alignment horizontal="center"/>
    </xf>
    <xf numFmtId="0" fontId="12" fillId="0" borderId="5" xfId="11" applyFont="1" applyBorder="1" applyAlignment="1">
      <alignment horizontal="center" wrapText="1"/>
    </xf>
    <xf numFmtId="164" fontId="25" fillId="0" borderId="5" xfId="11" applyNumberFormat="1" applyFont="1" applyBorder="1" applyAlignment="1">
      <alignment horizontal="center" wrapText="1"/>
    </xf>
    <xf numFmtId="164" fontId="13" fillId="0" borderId="0" xfId="11" applyNumberFormat="1" applyAlignment="1">
      <alignment horizontal="center"/>
    </xf>
    <xf numFmtId="164" fontId="13" fillId="8" borderId="5" xfId="11" applyNumberFormat="1" applyFill="1" applyBorder="1" applyAlignment="1">
      <alignment horizontal="center" wrapText="1"/>
    </xf>
    <xf numFmtId="0" fontId="11" fillId="0" borderId="5" xfId="11" applyFont="1" applyBorder="1" applyAlignment="1">
      <alignment horizontal="center" wrapText="1"/>
    </xf>
    <xf numFmtId="0" fontId="10" fillId="0" borderId="5" xfId="11" applyFont="1" applyBorder="1" applyAlignment="1">
      <alignment horizontal="center" wrapText="1"/>
    </xf>
    <xf numFmtId="1" fontId="0" fillId="0" borderId="5" xfId="10" applyNumberFormat="1" applyFont="1" applyFill="1" applyBorder="1" applyAlignment="1">
      <alignment horizontal="center" wrapText="1"/>
    </xf>
    <xf numFmtId="0" fontId="13" fillId="0" borderId="5" xfId="11" applyFill="1" applyBorder="1" applyAlignment="1">
      <alignment horizontal="center" wrapText="1"/>
    </xf>
    <xf numFmtId="0" fontId="14" fillId="0" borderId="5" xfId="11" applyFont="1" applyFill="1" applyBorder="1" applyAlignment="1">
      <alignment horizontal="center" wrapText="1"/>
    </xf>
    <xf numFmtId="0" fontId="12" fillId="0" borderId="5" xfId="11" applyFont="1" applyFill="1" applyBorder="1" applyAlignment="1">
      <alignment horizontal="center" wrapText="1"/>
    </xf>
    <xf numFmtId="0" fontId="10" fillId="0" borderId="5" xfId="11" applyFont="1" applyFill="1" applyBorder="1" applyAlignment="1">
      <alignment horizontal="center" wrapText="1"/>
    </xf>
    <xf numFmtId="164" fontId="13" fillId="0" borderId="5" xfId="11" applyNumberFormat="1" applyFill="1" applyBorder="1" applyAlignment="1">
      <alignment horizontal="center" wrapText="1"/>
    </xf>
    <xf numFmtId="0" fontId="14" fillId="0" borderId="5" xfId="11" applyFont="1" applyBorder="1" applyAlignment="1">
      <alignment horizontal="center" wrapText="1"/>
    </xf>
    <xf numFmtId="0" fontId="8" fillId="0" borderId="5" xfId="11" applyFont="1" applyFill="1" applyBorder="1" applyAlignment="1">
      <alignment horizontal="center" wrapText="1"/>
    </xf>
    <xf numFmtId="0" fontId="7" fillId="0" borderId="5" xfId="11" applyFont="1" applyBorder="1" applyAlignment="1">
      <alignment horizontal="center" wrapText="1"/>
    </xf>
    <xf numFmtId="164" fontId="13" fillId="0" borderId="12" xfId="11" applyNumberFormat="1" applyBorder="1" applyAlignment="1">
      <alignment horizontal="center" wrapText="1"/>
    </xf>
    <xf numFmtId="1" fontId="0" fillId="0" borderId="12" xfId="10" applyNumberFormat="1" applyFont="1" applyFill="1" applyBorder="1" applyAlignment="1">
      <alignment horizontal="center" wrapText="1"/>
    </xf>
    <xf numFmtId="0" fontId="11" fillId="0" borderId="11" xfId="11" applyFont="1" applyBorder="1" applyAlignment="1">
      <alignment horizontal="center" wrapText="1"/>
    </xf>
    <xf numFmtId="0" fontId="13" fillId="0" borderId="14" xfId="11" applyBorder="1" applyAlignment="1">
      <alignment horizontal="center" wrapText="1"/>
    </xf>
    <xf numFmtId="0" fontId="13" fillId="0" borderId="11" xfId="11" applyBorder="1" applyAlignment="1">
      <alignment horizontal="center" wrapText="1"/>
    </xf>
    <xf numFmtId="0" fontId="13" fillId="0" borderId="12" xfId="11" applyBorder="1" applyAlignment="1">
      <alignment horizontal="center" wrapText="1"/>
    </xf>
    <xf numFmtId="1" fontId="0" fillId="0" borderId="12" xfId="10" applyNumberFormat="1" applyFont="1" applyBorder="1" applyAlignment="1">
      <alignment horizontal="center" wrapText="1"/>
    </xf>
    <xf numFmtId="1" fontId="0" fillId="0" borderId="14" xfId="10" applyNumberFormat="1" applyFont="1" applyBorder="1" applyAlignment="1">
      <alignment horizontal="center" wrapText="1"/>
    </xf>
    <xf numFmtId="164" fontId="13" fillId="0" borderId="11" xfId="11" applyNumberFormat="1" applyBorder="1" applyAlignment="1">
      <alignment horizontal="center" wrapText="1"/>
    </xf>
    <xf numFmtId="0" fontId="10" fillId="0" borderId="11" xfId="11" applyFont="1" applyBorder="1" applyAlignment="1">
      <alignment horizontal="center" wrapText="1"/>
    </xf>
    <xf numFmtId="1" fontId="0" fillId="0" borderId="11" xfId="10" applyNumberFormat="1" applyFont="1" applyBorder="1" applyAlignment="1">
      <alignment horizontal="center" wrapText="1"/>
    </xf>
    <xf numFmtId="0" fontId="6" fillId="0" borderId="17" xfId="11" applyFont="1" applyBorder="1" applyAlignment="1">
      <alignment horizontal="center" wrapText="1"/>
    </xf>
    <xf numFmtId="0" fontId="10" fillId="0" borderId="17" xfId="11" applyFont="1" applyFill="1" applyBorder="1" applyAlignment="1">
      <alignment horizontal="center" wrapText="1"/>
    </xf>
    <xf numFmtId="1" fontId="0" fillId="0" borderId="11" xfId="10" applyNumberFormat="1" applyFont="1" applyFill="1" applyBorder="1" applyAlignment="1">
      <alignment horizontal="center" wrapText="1"/>
    </xf>
    <xf numFmtId="1" fontId="0" fillId="0" borderId="13" xfId="10" applyNumberFormat="1" applyFont="1" applyFill="1" applyBorder="1" applyAlignment="1">
      <alignment horizontal="center" wrapText="1"/>
    </xf>
    <xf numFmtId="0" fontId="6" fillId="0" borderId="5" xfId="11" applyFont="1" applyBorder="1" applyAlignment="1">
      <alignment horizontal="center" wrapText="1"/>
    </xf>
    <xf numFmtId="1" fontId="0" fillId="0" borderId="19" xfId="10" applyNumberFormat="1" applyFont="1" applyBorder="1" applyAlignment="1">
      <alignment horizontal="center" wrapText="1"/>
    </xf>
    <xf numFmtId="1" fontId="0" fillId="0" borderId="16" xfId="10" applyNumberFormat="1" applyFont="1" applyFill="1" applyBorder="1" applyAlignment="1">
      <alignment horizontal="center" wrapText="1"/>
    </xf>
    <xf numFmtId="0" fontId="10" fillId="0" borderId="20" xfId="11" applyFont="1" applyBorder="1" applyAlignment="1">
      <alignment horizontal="center" wrapText="1"/>
    </xf>
    <xf numFmtId="1" fontId="0" fillId="0" borderId="18" xfId="10" applyNumberFormat="1" applyFont="1" applyFill="1" applyBorder="1" applyAlignment="1">
      <alignment horizontal="center" wrapText="1"/>
    </xf>
    <xf numFmtId="0" fontId="10" fillId="0" borderId="19" xfId="11" applyFont="1" applyBorder="1" applyAlignment="1">
      <alignment horizontal="center" wrapText="1"/>
    </xf>
    <xf numFmtId="0" fontId="7" fillId="0" borderId="17" xfId="11" applyFont="1" applyBorder="1" applyAlignment="1">
      <alignment horizontal="center" wrapText="1"/>
    </xf>
    <xf numFmtId="0" fontId="10" fillId="0" borderId="14" xfId="11" applyFont="1" applyBorder="1" applyAlignment="1">
      <alignment horizontal="center" wrapText="1"/>
    </xf>
    <xf numFmtId="164" fontId="13" fillId="0" borderId="19" xfId="11" applyNumberFormat="1" applyBorder="1" applyAlignment="1">
      <alignment horizontal="center" wrapText="1"/>
    </xf>
    <xf numFmtId="0" fontId="9" fillId="0" borderId="17" xfId="11" applyFont="1" applyBorder="1" applyAlignment="1">
      <alignment horizontal="center" wrapText="1"/>
    </xf>
    <xf numFmtId="164" fontId="13" fillId="0" borderId="14" xfId="11" applyNumberFormat="1" applyBorder="1" applyAlignment="1">
      <alignment horizontal="center" wrapText="1"/>
    </xf>
    <xf numFmtId="0" fontId="13" fillId="0" borderId="19" xfId="11" applyBorder="1" applyAlignment="1">
      <alignment horizontal="center" wrapText="1"/>
    </xf>
    <xf numFmtId="0" fontId="10" fillId="0" borderId="17" xfId="11" applyFont="1" applyBorder="1" applyAlignment="1">
      <alignment horizontal="center" wrapText="1"/>
    </xf>
    <xf numFmtId="164" fontId="13" fillId="34" borderId="0" xfId="11" applyNumberFormat="1" applyFill="1"/>
    <xf numFmtId="14" fontId="13" fillId="36" borderId="5" xfId="11" applyNumberFormat="1" applyFill="1" applyBorder="1" applyAlignment="1">
      <alignment horizontal="center" wrapText="1"/>
    </xf>
    <xf numFmtId="14" fontId="13" fillId="35" borderId="5" xfId="11" applyNumberFormat="1" applyFill="1" applyBorder="1" applyAlignment="1">
      <alignment horizontal="center" wrapText="1"/>
    </xf>
    <xf numFmtId="14" fontId="13" fillId="36" borderId="12" xfId="11" applyNumberFormat="1" applyFill="1" applyBorder="1" applyAlignment="1">
      <alignment horizontal="center" wrapText="1"/>
    </xf>
    <xf numFmtId="14" fontId="13" fillId="35" borderId="14" xfId="11" applyNumberFormat="1" applyFill="1" applyBorder="1" applyAlignment="1">
      <alignment horizontal="center" wrapText="1"/>
    </xf>
    <xf numFmtId="0" fontId="5" fillId="0" borderId="5" xfId="11" applyFont="1" applyBorder="1" applyAlignment="1">
      <alignment horizontal="center" wrapText="1"/>
    </xf>
    <xf numFmtId="0" fontId="5" fillId="0" borderId="12" xfId="11" applyFont="1" applyBorder="1" applyAlignment="1">
      <alignment horizontal="center" wrapText="1"/>
    </xf>
    <xf numFmtId="0" fontId="5" fillId="0" borderId="0" xfId="11" applyFont="1"/>
    <xf numFmtId="14" fontId="13" fillId="37" borderId="19" xfId="11" applyNumberFormat="1" applyFill="1" applyBorder="1" applyAlignment="1">
      <alignment horizontal="center" wrapText="1"/>
    </xf>
    <xf numFmtId="14" fontId="13" fillId="37" borderId="5" xfId="11" applyNumberFormat="1" applyFill="1" applyBorder="1" applyAlignment="1">
      <alignment horizontal="center" wrapText="1"/>
    </xf>
    <xf numFmtId="14" fontId="13" fillId="37" borderId="14" xfId="11" applyNumberFormat="1" applyFill="1" applyBorder="1" applyAlignment="1">
      <alignment horizontal="center" wrapText="1"/>
    </xf>
    <xf numFmtId="0" fontId="6" fillId="0" borderId="20" xfId="11" applyFont="1" applyBorder="1" applyAlignment="1">
      <alignment horizontal="center" wrapText="1"/>
    </xf>
    <xf numFmtId="14" fontId="13" fillId="35" borderId="19" xfId="11" applyNumberFormat="1" applyFill="1" applyBorder="1" applyAlignment="1">
      <alignment horizontal="center" wrapText="1"/>
    </xf>
    <xf numFmtId="0" fontId="5" fillId="0" borderId="17" xfId="11" applyFont="1" applyBorder="1" applyAlignment="1">
      <alignment horizontal="center" wrapText="1"/>
    </xf>
    <xf numFmtId="14" fontId="13" fillId="38" borderId="5" xfId="11" applyNumberFormat="1" applyFill="1" applyBorder="1" applyAlignment="1">
      <alignment horizontal="center" wrapText="1"/>
    </xf>
    <xf numFmtId="14" fontId="13" fillId="38" borderId="11" xfId="11" applyNumberFormat="1" applyFill="1" applyBorder="1" applyAlignment="1">
      <alignment horizontal="center" wrapText="1"/>
    </xf>
    <xf numFmtId="14" fontId="13" fillId="39" borderId="5" xfId="11" applyNumberFormat="1" applyFill="1" applyBorder="1" applyAlignment="1">
      <alignment horizontal="center" wrapText="1"/>
    </xf>
    <xf numFmtId="0" fontId="4" fillId="0" borderId="5" xfId="11" applyFont="1" applyBorder="1" applyAlignment="1">
      <alignment horizontal="center" wrapText="1"/>
    </xf>
    <xf numFmtId="44" fontId="0" fillId="0" borderId="0" xfId="48" applyFont="1" applyAlignment="1">
      <alignment vertical="center"/>
    </xf>
    <xf numFmtId="0" fontId="4" fillId="0" borderId="5" xfId="11" applyFont="1" applyFill="1" applyBorder="1" applyAlignment="1">
      <alignment horizontal="center" wrapText="1"/>
    </xf>
    <xf numFmtId="0" fontId="3" fillId="0" borderId="0" xfId="11" applyFont="1"/>
    <xf numFmtId="0" fontId="3" fillId="0" borderId="12" xfId="11" applyFont="1" applyBorder="1" applyAlignment="1">
      <alignment horizontal="center" wrapText="1"/>
    </xf>
    <xf numFmtId="0" fontId="3" fillId="0" borderId="15" xfId="11" applyFont="1" applyBorder="1" applyAlignment="1">
      <alignment horizontal="center" wrapText="1"/>
    </xf>
    <xf numFmtId="0" fontId="0" fillId="0" borderId="0" xfId="0" applyNumberFormat="1">
      <alignment vertical="center"/>
    </xf>
    <xf numFmtId="0" fontId="3" fillId="0" borderId="5" xfId="11" applyFont="1" applyFill="1" applyBorder="1" applyAlignment="1">
      <alignment horizontal="center" wrapText="1"/>
    </xf>
    <xf numFmtId="0" fontId="3" fillId="0" borderId="17" xfId="11" applyFont="1" applyBorder="1" applyAlignment="1">
      <alignment horizontal="center" wrapText="1"/>
    </xf>
    <xf numFmtId="0" fontId="3" fillId="0" borderId="5" xfId="11" applyFont="1" applyBorder="1" applyAlignment="1">
      <alignment horizontal="center" wrapText="1"/>
    </xf>
    <xf numFmtId="0" fontId="3" fillId="0" borderId="14" xfId="11" applyFont="1" applyBorder="1" applyAlignment="1">
      <alignment horizontal="center" wrapText="1"/>
    </xf>
    <xf numFmtId="14" fontId="13" fillId="40" borderId="5" xfId="11" applyNumberFormat="1" applyFill="1" applyBorder="1" applyAlignment="1">
      <alignment horizontal="center" wrapText="1"/>
    </xf>
    <xf numFmtId="1" fontId="0" fillId="0" borderId="0" xfId="48" applyNumberFormat="1" applyFont="1" applyAlignment="1">
      <alignment vertical="center"/>
    </xf>
    <xf numFmtId="0" fontId="0" fillId="0" borderId="0" xfId="0" applyNumberFormat="1" applyAlignment="1">
      <alignment horizontal="center" vertical="center"/>
    </xf>
    <xf numFmtId="44" fontId="0" fillId="0" borderId="0" xfId="0" applyNumberFormat="1">
      <alignment vertical="center"/>
    </xf>
    <xf numFmtId="44" fontId="0" fillId="40" borderId="0" xfId="48" applyFont="1" applyFill="1" applyAlignment="1">
      <alignment vertical="center"/>
    </xf>
    <xf numFmtId="1" fontId="0" fillId="40" borderId="0" xfId="48" applyNumberFormat="1" applyFont="1" applyFill="1" applyAlignment="1">
      <alignment vertical="center"/>
    </xf>
    <xf numFmtId="0" fontId="2" fillId="0" borderId="5" xfId="11" applyFont="1" applyBorder="1" applyAlignment="1">
      <alignment horizontal="center" wrapText="1"/>
    </xf>
    <xf numFmtId="0" fontId="2" fillId="0" borderId="17" xfId="11" applyFont="1" applyBorder="1" applyAlignment="1">
      <alignment horizontal="center" wrapText="1"/>
    </xf>
    <xf numFmtId="0" fontId="25" fillId="0" borderId="5" xfId="11" applyFont="1" applyBorder="1" applyAlignment="1">
      <alignment horizontal="left" wrapText="1"/>
    </xf>
    <xf numFmtId="0" fontId="13" fillId="0" borderId="5" xfId="11" applyFill="1" applyBorder="1" applyAlignment="1">
      <alignment horizontal="left" wrapText="1"/>
    </xf>
    <xf numFmtId="0" fontId="13" fillId="0" borderId="5" xfId="11" applyFill="1" applyBorder="1" applyAlignment="1">
      <alignment horizontal="left"/>
    </xf>
    <xf numFmtId="0" fontId="12" fillId="0" borderId="5" xfId="11" applyFont="1" applyFill="1" applyBorder="1" applyAlignment="1">
      <alignment horizontal="left" wrapText="1"/>
    </xf>
    <xf numFmtId="0" fontId="13" fillId="0" borderId="5" xfId="11" applyBorder="1" applyAlignment="1">
      <alignment horizontal="left" wrapText="1"/>
    </xf>
    <xf numFmtId="0" fontId="13" fillId="0" borderId="11" xfId="11" applyBorder="1" applyAlignment="1">
      <alignment horizontal="left" wrapText="1"/>
    </xf>
    <xf numFmtId="0" fontId="13" fillId="0" borderId="14" xfId="11" applyBorder="1" applyAlignment="1">
      <alignment horizontal="left" wrapText="1"/>
    </xf>
    <xf numFmtId="0" fontId="36" fillId="0" borderId="5" xfId="11" applyFont="1" applyBorder="1" applyAlignment="1">
      <alignment horizontal="left" wrapText="1"/>
    </xf>
    <xf numFmtId="0" fontId="13" fillId="0" borderId="19" xfId="11" applyBorder="1" applyAlignment="1">
      <alignment horizontal="left" wrapText="1"/>
    </xf>
    <xf numFmtId="0" fontId="27" fillId="0" borderId="5" xfId="11" applyFont="1" applyBorder="1" applyAlignment="1">
      <alignment horizontal="left" wrapText="1"/>
    </xf>
    <xf numFmtId="0" fontId="13" fillId="0" borderId="12" xfId="11" applyBorder="1" applyAlignment="1">
      <alignment horizontal="left" wrapText="1"/>
    </xf>
    <xf numFmtId="0" fontId="13" fillId="0" borderId="0" xfId="11" applyAlignment="1">
      <alignment horizontal="left"/>
    </xf>
    <xf numFmtId="0" fontId="2" fillId="0" borderId="0" xfId="172"/>
    <xf numFmtId="14" fontId="2" fillId="0" borderId="0" xfId="172" applyNumberFormat="1"/>
    <xf numFmtId="44" fontId="2" fillId="0" borderId="0" xfId="48" applyNumberFormat="1" applyFont="1"/>
    <xf numFmtId="16" fontId="2" fillId="0" borderId="0" xfId="172" applyNumberFormat="1"/>
    <xf numFmtId="44" fontId="22" fillId="4" borderId="2" xfId="6" applyNumberFormat="1" applyAlignment="1">
      <alignment vertical="center"/>
    </xf>
    <xf numFmtId="0" fontId="0" fillId="34" borderId="0" xfId="0" applyFill="1">
      <alignment vertical="center"/>
    </xf>
    <xf numFmtId="166" fontId="0" fillId="0" borderId="0" xfId="48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6" fontId="0" fillId="0" borderId="0" xfId="0" applyNumberFormat="1">
      <alignment vertical="center"/>
    </xf>
    <xf numFmtId="164" fontId="13" fillId="0" borderId="21" xfId="11" applyNumberFormat="1" applyBorder="1"/>
    <xf numFmtId="0" fontId="2" fillId="0" borderId="0" xfId="11" applyFont="1" applyAlignment="1">
      <alignment horizontal="right"/>
    </xf>
    <xf numFmtId="165" fontId="0" fillId="0" borderId="0" xfId="171" applyNumberFormat="1" applyFont="1" applyAlignment="1">
      <alignment vertical="center"/>
    </xf>
    <xf numFmtId="0" fontId="7" fillId="20" borderId="0" xfId="100" applyAlignment="1">
      <alignment horizontal="center" vertical="center"/>
    </xf>
    <xf numFmtId="0" fontId="6" fillId="15" borderId="0" xfId="116" applyAlignment="1">
      <alignment horizontal="center" vertical="center"/>
    </xf>
    <xf numFmtId="0" fontId="5" fillId="15" borderId="0" xfId="136" applyAlignment="1">
      <alignment horizontal="center" vertical="center"/>
    </xf>
    <xf numFmtId="0" fontId="9" fillId="27" borderId="0" xfId="64" applyAlignment="1">
      <alignment horizontal="center" vertical="center"/>
    </xf>
    <xf numFmtId="0" fontId="6" fillId="31" borderId="0" xfId="128" applyAlignment="1">
      <alignment horizontal="center" vertical="center"/>
    </xf>
    <xf numFmtId="0" fontId="3" fillId="16" borderId="0" xfId="157" applyAlignment="1">
      <alignment horizontal="center" vertical="center"/>
    </xf>
    <xf numFmtId="0" fontId="11" fillId="27" borderId="0" xfId="36" applyAlignment="1">
      <alignment horizontal="center" vertical="center"/>
    </xf>
    <xf numFmtId="0" fontId="7" fillId="19" borderId="0" xfId="99" applyAlignment="1">
      <alignment horizontal="center" vertical="center"/>
    </xf>
    <xf numFmtId="0" fontId="8" fillId="11" borderId="0" xfId="73" applyAlignment="1">
      <alignment horizontal="center" vertical="center"/>
    </xf>
    <xf numFmtId="0" fontId="3" fillId="19" borderId="0" xfId="159" applyAlignment="1">
      <alignment horizontal="center" vertical="center"/>
    </xf>
    <xf numFmtId="14" fontId="13" fillId="41" borderId="5" xfId="11" applyNumberFormat="1" applyFill="1" applyBorder="1" applyAlignment="1">
      <alignment horizontal="center" wrapText="1"/>
    </xf>
    <xf numFmtId="0" fontId="1" fillId="0" borderId="5" xfId="11" applyFont="1" applyBorder="1" applyAlignment="1">
      <alignment horizontal="center" wrapText="1"/>
    </xf>
    <xf numFmtId="0" fontId="1" fillId="0" borderId="0" xfId="11" applyFont="1"/>
    <xf numFmtId="0" fontId="1" fillId="0" borderId="0" xfId="172" applyFont="1"/>
    <xf numFmtId="0" fontId="1" fillId="0" borderId="17" xfId="11" applyFont="1" applyBorder="1" applyAlignment="1">
      <alignment horizontal="center" wrapText="1"/>
    </xf>
  </cellXfs>
  <cellStyles count="173">
    <cellStyle name="20% - Accent1" xfId="20" builtinId="30" customBuiltin="1"/>
    <cellStyle name="20% - Accent1 2" xfId="51" xr:uid="{AC6CF916-620F-472E-B597-581DA2C11C5A}"/>
    <cellStyle name="20% - Accent1 3" xfId="73" xr:uid="{899B7280-6870-4246-9AEA-9718DF678D43}"/>
    <cellStyle name="20% - Accent1 4" xfId="93" xr:uid="{9EFB17A3-B717-436A-8A88-71EA9F0A0682}"/>
    <cellStyle name="20% - Accent1 5" xfId="113" xr:uid="{A4ADEC1D-5570-4C5C-BCE6-B408B914ADA3}"/>
    <cellStyle name="20% - Accent1 6" xfId="133" xr:uid="{2E68E0E6-43DA-40F9-8476-1878E50FEA53}"/>
    <cellStyle name="20% - Accent1 7" xfId="153" xr:uid="{3656ED6D-B43F-48CF-AADD-F64B6285E562}"/>
    <cellStyle name="20% - Accent2" xfId="24" builtinId="34" customBuiltin="1"/>
    <cellStyle name="20% - Accent2 2" xfId="55" xr:uid="{908BFAED-B094-434A-982B-C6F74F2BBD85}"/>
    <cellStyle name="20% - Accent2 3" xfId="76" xr:uid="{BE449164-AEFB-4DB3-B9D0-07E5E03A05DD}"/>
    <cellStyle name="20% - Accent2 4" xfId="96" xr:uid="{E3F87273-3E34-4E87-9F1D-AB143AE678AB}"/>
    <cellStyle name="20% - Accent2 5" xfId="116" xr:uid="{FD31BDC0-52C5-404C-B5F9-AA6DB24BB6BE}"/>
    <cellStyle name="20% - Accent2 6" xfId="136" xr:uid="{BC6C944E-1394-448F-9719-F9C06E02FC02}"/>
    <cellStyle name="20% - Accent2 7" xfId="156" xr:uid="{6B454BA1-156D-4976-8BBD-9F1862DE95D8}"/>
    <cellStyle name="20% - Accent3" xfId="28" builtinId="38" customBuiltin="1"/>
    <cellStyle name="20% - Accent3 2" xfId="58" xr:uid="{9BE4FF85-01A9-47A3-B28C-136C5E670130}"/>
    <cellStyle name="20% - Accent3 3" xfId="79" xr:uid="{BD2A59A5-AA96-4820-B60F-FF9796B2264E}"/>
    <cellStyle name="20% - Accent3 4" xfId="99" xr:uid="{8CA36E65-FDFD-4BDB-9E92-E952BFD1C8BA}"/>
    <cellStyle name="20% - Accent3 5" xfId="119" xr:uid="{B2BD22B7-ABDC-4E70-B09E-4C1CBADCBB1D}"/>
    <cellStyle name="20% - Accent3 6" xfId="139" xr:uid="{A5F8A438-C01F-4D10-83EA-90622EBC0897}"/>
    <cellStyle name="20% - Accent3 7" xfId="159" xr:uid="{2347EF05-52BC-4B2E-95F6-A1E4025D40C5}"/>
    <cellStyle name="20% - Accent4" xfId="32" builtinId="42" customBuiltin="1"/>
    <cellStyle name="20% - Accent4 2" xfId="61" xr:uid="{2E197B17-0ABA-437A-AB57-E278DFE29AF8}"/>
    <cellStyle name="20% - Accent4 3" xfId="82" xr:uid="{F8062830-8CCA-486C-9D2B-356CAA158189}"/>
    <cellStyle name="20% - Accent4 4" xfId="102" xr:uid="{60780B65-5161-43AB-A39B-538629A33320}"/>
    <cellStyle name="20% - Accent4 5" xfId="122" xr:uid="{7BFE5C4E-75FB-47EE-AAED-14BEDD32FCD9}"/>
    <cellStyle name="20% - Accent4 6" xfId="142" xr:uid="{B4168C98-D079-43B3-A6A4-ADB1E1938361}"/>
    <cellStyle name="20% - Accent4 7" xfId="162" xr:uid="{E51C8B50-D2FF-466C-8951-E1A25AA0E34B}"/>
    <cellStyle name="20% - Accent5" xfId="36" builtinId="46" customBuiltin="1"/>
    <cellStyle name="20% - Accent5 2" xfId="64" xr:uid="{1A466EAF-C575-4B1B-8898-3CAC73FE2E04}"/>
    <cellStyle name="20% - Accent5 3" xfId="85" xr:uid="{46490DB8-D81B-4DC5-8A04-7C836F883749}"/>
    <cellStyle name="20% - Accent5 4" xfId="105" xr:uid="{B5752BB1-8F74-45FF-AB71-DB48DDD84FC7}"/>
    <cellStyle name="20% - Accent5 5" xfId="125" xr:uid="{96E426E4-95EF-4A3C-A49B-2D09555302A7}"/>
    <cellStyle name="20% - Accent5 6" xfId="145" xr:uid="{942325EF-7DA1-4B2A-B19B-4383BD993248}"/>
    <cellStyle name="20% - Accent5 7" xfId="165" xr:uid="{CB9D6AD5-269B-441C-8C42-C8BE6B7E7587}"/>
    <cellStyle name="20% - Accent6" xfId="40" builtinId="50" customBuiltin="1"/>
    <cellStyle name="20% - Accent6 2" xfId="67" xr:uid="{6AD081FE-C6BD-40F4-B9E4-8BBF757660FC}"/>
    <cellStyle name="20% - Accent6 3" xfId="88" xr:uid="{0FEED311-67C7-44A4-8B1B-C0F32D9DE93F}"/>
    <cellStyle name="20% - Accent6 4" xfId="108" xr:uid="{D8E93473-C691-4E79-A457-D2969BD92A26}"/>
    <cellStyle name="20% - Accent6 5" xfId="128" xr:uid="{616B3D09-B165-4C54-BE4C-001826D238A9}"/>
    <cellStyle name="20% - Accent6 6" xfId="148" xr:uid="{3A2DBDB8-AF42-4B98-BB89-952C2700223E}"/>
    <cellStyle name="20% - Accent6 7" xfId="168" xr:uid="{6F14017C-C95F-44EA-B9E0-EA046242E1D7}"/>
    <cellStyle name="40% - Accent1" xfId="21" builtinId="31" customBuiltin="1"/>
    <cellStyle name="40% - Accent1 2" xfId="52" xr:uid="{AF7B3029-DCCA-4B95-A923-4E5AA4A1E1AC}"/>
    <cellStyle name="40% - Accent1 3" xfId="74" xr:uid="{9D9B73FF-23C0-4838-8726-6B9D9CEBB8F8}"/>
    <cellStyle name="40% - Accent1 4" xfId="94" xr:uid="{73057112-C1B3-4B5A-A2DA-480CF0F62E0B}"/>
    <cellStyle name="40% - Accent1 5" xfId="114" xr:uid="{45CDC783-7C1D-4336-87F2-FA42F03AB8D5}"/>
    <cellStyle name="40% - Accent1 6" xfId="134" xr:uid="{9EF722FD-4507-4C5C-A263-FE9F5A0F1BFB}"/>
    <cellStyle name="40% - Accent1 7" xfId="154" xr:uid="{5D114AE0-D8EC-4D43-8CD2-540B36882F1D}"/>
    <cellStyle name="40% - Accent2" xfId="25" builtinId="35" customBuiltin="1"/>
    <cellStyle name="40% - Accent2 2" xfId="56" xr:uid="{C45F47B7-6B92-4C99-8F66-FF7DE2C38E98}"/>
    <cellStyle name="40% - Accent2 3" xfId="77" xr:uid="{FA261651-80E9-43B4-8543-86F5D718FA1A}"/>
    <cellStyle name="40% - Accent2 4" xfId="97" xr:uid="{2FCC5F3C-48E2-45AF-99C5-9F48C40C5202}"/>
    <cellStyle name="40% - Accent2 5" xfId="117" xr:uid="{F8D1001A-F7F7-4D7A-A9B7-FEA7F34DDCFB}"/>
    <cellStyle name="40% - Accent2 6" xfId="137" xr:uid="{698C383F-0C68-421E-A973-CE9FC69D05F8}"/>
    <cellStyle name="40% - Accent2 7" xfId="157" xr:uid="{5B47FAE6-C57E-429F-9FEC-0A3C2F413FEF}"/>
    <cellStyle name="40% - Accent3" xfId="29" builtinId="39" customBuiltin="1"/>
    <cellStyle name="40% - Accent3 2" xfId="59" xr:uid="{7C2CAC3C-CC7F-4686-871C-469C00CEFDB4}"/>
    <cellStyle name="40% - Accent3 3" xfId="80" xr:uid="{5129EF76-52AD-4FDF-A202-E4EDAFF01D8A}"/>
    <cellStyle name="40% - Accent3 4" xfId="100" xr:uid="{A5123FBF-0B00-4EAA-9834-1FC46D1374C3}"/>
    <cellStyle name="40% - Accent3 5" xfId="120" xr:uid="{98CE651E-A680-4CEF-B5B2-8AAF695EE852}"/>
    <cellStyle name="40% - Accent3 6" xfId="140" xr:uid="{C750557D-F0BA-4865-AA98-72B4E27264FC}"/>
    <cellStyle name="40% - Accent3 7" xfId="160" xr:uid="{267B3191-6FC6-473A-98F7-8DC9640E8959}"/>
    <cellStyle name="40% - Accent4" xfId="33" builtinId="43" customBuiltin="1"/>
    <cellStyle name="40% - Accent4 2" xfId="62" xr:uid="{B59BB32B-2002-4891-9DE1-E7ED852F41BC}"/>
    <cellStyle name="40% - Accent4 3" xfId="83" xr:uid="{5C6E4F91-17FC-4476-B32D-2F320B60D284}"/>
    <cellStyle name="40% - Accent4 4" xfId="103" xr:uid="{E88D761F-90EA-4B9B-AD1A-655442376840}"/>
    <cellStyle name="40% - Accent4 5" xfId="123" xr:uid="{705264C0-5477-49C3-BC06-4C32B472CBBE}"/>
    <cellStyle name="40% - Accent4 6" xfId="143" xr:uid="{5A2DEBE2-A9EF-4FFC-9AB7-0DBAFE0FA968}"/>
    <cellStyle name="40% - Accent4 7" xfId="163" xr:uid="{9F80276D-A81F-4243-B275-72523AD48B7F}"/>
    <cellStyle name="40% - Accent5" xfId="37" builtinId="47" customBuiltin="1"/>
    <cellStyle name="40% - Accent5 2" xfId="65" xr:uid="{EA7C06BE-56A8-4E6F-A6D7-5F29DDD6F27F}"/>
    <cellStyle name="40% - Accent5 3" xfId="86" xr:uid="{C0127231-50F5-440B-9FED-66560D22A821}"/>
    <cellStyle name="40% - Accent5 4" xfId="106" xr:uid="{1266D9A7-810C-43D2-B781-E0487F4B0AE1}"/>
    <cellStyle name="40% - Accent5 5" xfId="126" xr:uid="{C86CF618-0026-413D-BF44-38375BD54637}"/>
    <cellStyle name="40% - Accent5 6" xfId="146" xr:uid="{48C22F90-1DFD-424D-93FA-75E58C2E7F36}"/>
    <cellStyle name="40% - Accent5 7" xfId="166" xr:uid="{1A7381CC-9D71-422A-8C22-3BA31C8A011D}"/>
    <cellStyle name="40% - Accent6" xfId="41" builtinId="51" customBuiltin="1"/>
    <cellStyle name="40% - Accent6 2" xfId="68" xr:uid="{A3ED663F-1F1F-4E28-83C6-C66B651C0E79}"/>
    <cellStyle name="40% - Accent6 3" xfId="89" xr:uid="{A3AD89DA-153C-419C-A97D-74885F11FC69}"/>
    <cellStyle name="40% - Accent6 4" xfId="109" xr:uid="{B769039C-195A-407E-AA12-A0B7F8A23C42}"/>
    <cellStyle name="40% - Accent6 5" xfId="129" xr:uid="{93AE3FA1-D23E-4ED1-9CA8-8B64E7BE5190}"/>
    <cellStyle name="40% - Accent6 6" xfId="149" xr:uid="{96EDA0AD-5CAE-4BFA-977B-C00150129F61}"/>
    <cellStyle name="40% - Accent6 7" xfId="169" xr:uid="{98F21D6B-DA7D-4359-A33B-D496D3C06B44}"/>
    <cellStyle name="60% - Accent1" xfId="22" builtinId="32" customBuiltin="1"/>
    <cellStyle name="60% - Accent1 2" xfId="53" xr:uid="{DCCA6CCB-4A99-43DE-901B-161B96B9EAFF}"/>
    <cellStyle name="60% - Accent1 3" xfId="75" xr:uid="{D6D47A00-FF45-4761-A2A0-325F9DBDF79C}"/>
    <cellStyle name="60% - Accent1 4" xfId="95" xr:uid="{3BFAC32F-A4C0-4838-97BA-2ADA10302216}"/>
    <cellStyle name="60% - Accent1 5" xfId="115" xr:uid="{C58DF6E1-4B6F-48EE-B0C8-610456B6D71E}"/>
    <cellStyle name="60% - Accent1 6" xfId="135" xr:uid="{0424330E-DD2A-4C76-A711-9957F7CFADED}"/>
    <cellStyle name="60% - Accent1 7" xfId="155" xr:uid="{9945D8B9-063B-4DCF-906E-D688E6C91171}"/>
    <cellStyle name="60% - Accent2" xfId="26" builtinId="36" customBuiltin="1"/>
    <cellStyle name="60% - Accent2 2" xfId="57" xr:uid="{843F2FDD-86F7-44B4-9366-3317DDF00459}"/>
    <cellStyle name="60% - Accent2 3" xfId="78" xr:uid="{E844A53F-EB56-4919-8193-6DF30792A318}"/>
    <cellStyle name="60% - Accent2 4" xfId="98" xr:uid="{5C7CA6DA-0925-4E54-BA2D-C373EED45D7D}"/>
    <cellStyle name="60% - Accent2 5" xfId="118" xr:uid="{15FA2C83-32B9-458A-AC94-E94A22EDAC6F}"/>
    <cellStyle name="60% - Accent2 6" xfId="138" xr:uid="{B4CCE942-3FF2-4510-9227-8F0357710CAA}"/>
    <cellStyle name="60% - Accent2 7" xfId="158" xr:uid="{2A54AFA9-3B0F-4A20-8459-29E34341B03A}"/>
    <cellStyle name="60% - Accent3" xfId="30" builtinId="40" customBuiltin="1"/>
    <cellStyle name="60% - Accent3 2" xfId="60" xr:uid="{AF1F8B5E-212D-4C88-8121-2E1528943C0E}"/>
    <cellStyle name="60% - Accent3 3" xfId="81" xr:uid="{A3BCAFDC-6AA0-47A0-A9D0-FF8741DE22E6}"/>
    <cellStyle name="60% - Accent3 4" xfId="101" xr:uid="{7EE28083-695A-4AC4-90CA-73BD3F6EAA9E}"/>
    <cellStyle name="60% - Accent3 5" xfId="121" xr:uid="{0B37BFA1-442D-4963-8921-B0A7346B9C3B}"/>
    <cellStyle name="60% - Accent3 6" xfId="141" xr:uid="{BE6138D1-2ADE-4D57-BB8D-214530FCE4B6}"/>
    <cellStyle name="60% - Accent3 7" xfId="161" xr:uid="{04E9D97D-3F26-4EAA-BBF8-E1EBFC33AF29}"/>
    <cellStyle name="60% - Accent4" xfId="34" builtinId="44" customBuiltin="1"/>
    <cellStyle name="60% - Accent4 2" xfId="63" xr:uid="{EBAB2174-263F-4C54-8F11-A81DC7B64C61}"/>
    <cellStyle name="60% - Accent4 3" xfId="84" xr:uid="{748DF4FE-3366-4BF4-9372-9BB0A6EF2A7E}"/>
    <cellStyle name="60% - Accent4 4" xfId="104" xr:uid="{9B448454-4DFD-4835-AD55-AA22C759F4CD}"/>
    <cellStyle name="60% - Accent4 5" xfId="124" xr:uid="{35303BFE-A63C-46D4-8E1F-8E83048E1AEC}"/>
    <cellStyle name="60% - Accent4 6" xfId="144" xr:uid="{F86A7F01-54B8-457C-B188-922B24004D98}"/>
    <cellStyle name="60% - Accent4 7" xfId="164" xr:uid="{D19A782C-509E-402E-8D19-AD8A254E17BE}"/>
    <cellStyle name="60% - Accent5" xfId="38" builtinId="48" customBuiltin="1"/>
    <cellStyle name="60% - Accent5 2" xfId="66" xr:uid="{95A9E3C4-4DA7-4EEB-BA41-93813FEF6EE1}"/>
    <cellStyle name="60% - Accent5 3" xfId="87" xr:uid="{548BF717-036E-479E-B7C8-7F3B9CB70A5E}"/>
    <cellStyle name="60% - Accent5 4" xfId="107" xr:uid="{254CC87F-7FE3-4707-BBE0-3564EBE604A6}"/>
    <cellStyle name="60% - Accent5 5" xfId="127" xr:uid="{A6EAE11A-1904-4E47-A007-7118B66B4A2B}"/>
    <cellStyle name="60% - Accent5 6" xfId="147" xr:uid="{89EF0F53-4714-4B39-9365-89D44230679F}"/>
    <cellStyle name="60% - Accent5 7" xfId="167" xr:uid="{BCE2D801-B917-422D-A469-189B585D787E}"/>
    <cellStyle name="60% - Accent6" xfId="42" builtinId="52" customBuiltin="1"/>
    <cellStyle name="60% - Accent6 2" xfId="69" xr:uid="{A6DD0017-5039-44E6-A33A-6062B1ED12CF}"/>
    <cellStyle name="60% - Accent6 3" xfId="90" xr:uid="{CF9F8510-2C92-4390-A947-C66630356FEF}"/>
    <cellStyle name="60% - Accent6 4" xfId="110" xr:uid="{4C62FF5D-B21C-4744-99D2-8C16221ED6D0}"/>
    <cellStyle name="60% - Accent6 5" xfId="130" xr:uid="{9BB2FF64-61DD-42C4-911E-749807E93BE1}"/>
    <cellStyle name="60% - Accent6 6" xfId="150" xr:uid="{39693420-6131-4FF5-BCE9-D656D06FA9B5}"/>
    <cellStyle name="60% - Accent6 7" xfId="170" xr:uid="{3314F88E-3F96-4E3B-9295-F663E704C0B1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14" builtinId="27" customBuiltin="1"/>
    <cellStyle name="Calculation" xfId="7" builtinId="22" customBuiltin="1"/>
    <cellStyle name="Check Cell" xfId="8" builtinId="23" customBuiltin="1"/>
    <cellStyle name="Comma" xfId="171" builtinId="3"/>
    <cellStyle name="Comma 2" xfId="10" xr:uid="{5B94BC65-F29F-414D-B2B0-8ABE0DBB7FEB}"/>
    <cellStyle name="Comma 3" xfId="54" xr:uid="{080F6ACA-71F4-4B6E-B4DC-F28896B8DD07}"/>
    <cellStyle name="Currency" xfId="48" builtinId="4"/>
    <cellStyle name="Explanatory Text" xfId="17" builtinId="53" customBuiltin="1"/>
    <cellStyle name="Good" xfId="9" builtinId="26" customBuiltin="1"/>
    <cellStyle name="Heading 1" xfId="1" builtinId="16" customBuiltin="1"/>
    <cellStyle name="Heading 1 2" xfId="44" xr:uid="{515CC21B-0CF8-4B75-A919-C060C2497E38}"/>
    <cellStyle name="Heading 2" xfId="2" builtinId="17" customBuiltin="1"/>
    <cellStyle name="Heading 2 2" xfId="45" xr:uid="{F1CDA043-163B-43A7-B98D-5B4EC59BDDE5}"/>
    <cellStyle name="Heading 3" xfId="3" builtinId="18" customBuiltin="1"/>
    <cellStyle name="Heading 3 2" xfId="46" xr:uid="{DAAEC63F-5742-4F7A-98E0-D0A336011079}"/>
    <cellStyle name="Heading 4" xfId="13" builtinId="19" customBuiltin="1"/>
    <cellStyle name="Input" xfId="5" builtinId="20" customBuiltin="1"/>
    <cellStyle name="Linked Cell" xfId="15" builtinId="24" customBuiltin="1"/>
    <cellStyle name="Neutral" xfId="4" builtinId="28" customBuiltin="1"/>
    <cellStyle name="Normal" xfId="0" builtinId="0" customBuiltin="1"/>
    <cellStyle name="Normal 10" xfId="172" xr:uid="{AB66C06B-49A8-4460-B990-4A5F5113B636}"/>
    <cellStyle name="Normal 2" xfId="11" xr:uid="{8201BFBE-54DF-4A30-9C3E-C29D9584BA34}"/>
    <cellStyle name="Normal 3" xfId="43" xr:uid="{9AED5316-76FE-4E65-AFEE-BFA576D59AA3}"/>
    <cellStyle name="Normal 4" xfId="49" xr:uid="{E24268A9-CA9C-4BD2-8663-7B81B3A9032A}"/>
    <cellStyle name="Normal 5" xfId="71" xr:uid="{38AAC85E-7665-43B1-8915-2BD542D05844}"/>
    <cellStyle name="Normal 6" xfId="91" xr:uid="{D72D0690-6727-4277-9C8E-93BC6B3FFBB4}"/>
    <cellStyle name="Normal 7" xfId="111" xr:uid="{E753199F-A225-4FB8-9E73-7F10D8CC5110}"/>
    <cellStyle name="Normal 8" xfId="131" xr:uid="{2577F91C-793A-4C35-AC7B-0273CCAB22E8}"/>
    <cellStyle name="Normal 9" xfId="151" xr:uid="{CCC8F6A8-EA4C-4E51-9502-815C27BD38C8}"/>
    <cellStyle name="Note 2" xfId="47" xr:uid="{F47DFAB6-0B71-47A5-9A05-D11D6B98B308}"/>
    <cellStyle name="Note 3" xfId="50" xr:uid="{2981C335-7BE4-41A3-85FC-6A71C14A8063}"/>
    <cellStyle name="Note 4" xfId="72" xr:uid="{9CA48D43-8C97-4384-88C6-F09F74DA4507}"/>
    <cellStyle name="Note 5" xfId="92" xr:uid="{3B83FDD3-1657-4E6D-925E-B76ECE21AEB2}"/>
    <cellStyle name="Note 6" xfId="112" xr:uid="{66425E75-28AB-4CBA-95A2-67394A4DF630}"/>
    <cellStyle name="Note 7" xfId="132" xr:uid="{7AF16084-3217-48F9-AD0B-69B96727814F}"/>
    <cellStyle name="Note 8" xfId="152" xr:uid="{7487F50D-27E8-45DC-854E-036BEFF0EFD4}"/>
    <cellStyle name="Output" xfId="6" builtinId="21" customBuiltin="1"/>
    <cellStyle name="Percent 2" xfId="70" xr:uid="{83308561-B7BD-4D39-A45D-1FEDB2984E2E}"/>
    <cellStyle name="Title" xfId="12" builtinId="15" customBuiltin="1"/>
    <cellStyle name="Total" xfId="18" builtinId="25" customBuiltin="1"/>
    <cellStyle name="Warning Text" xfId="16" builtinId="11" customBuiltin="1"/>
  </cellStyles>
  <dxfs count="5">
    <dxf>
      <font>
        <color rgb="FFFF0000"/>
      </font>
    </dxf>
    <dxf>
      <fill>
        <patternFill patternType="solid">
          <fgColor theme="2" tint="0.59996337778862885"/>
          <bgColor theme="0" tint="-4.9989318521683403E-2"/>
        </patternFill>
      </fill>
    </dxf>
    <dxf>
      <fill>
        <patternFill patternType="solid">
          <fgColor theme="2" tint="0.79995117038483843"/>
          <bgColor theme="2"/>
        </patternFill>
      </fill>
    </dxf>
    <dxf>
      <font>
        <b/>
        <i val="0"/>
        <color theme="2"/>
      </font>
      <fill>
        <patternFill>
          <bgColor theme="6" tint="-0.499984740745262"/>
        </patternFill>
      </fill>
      <border>
        <top style="thick">
          <color theme="0"/>
        </top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/>
        <bottom style="thick">
          <color theme="6" tint="-0.499984740745262"/>
        </bottom>
        <vertical/>
        <horizontal/>
      </border>
    </dxf>
  </dxfs>
  <tableStyles count="1" defaultTableStyle="TableStyleMedium2" defaultPivotStyle="PivotStyleLight16">
    <tableStyle name="Investment Tracker Table" pivot="0" count="4" xr9:uid="{585CC81A-2C5B-4FC9-A185-E5BE884EAE18}">
      <tableStyleElement type="wholeTable" dxfId="4"/>
      <tableStyleElement type="headerRow" dxfId="3"/>
      <tableStyleElement type="firstRowStripe" dxfId="2"/>
      <tableStyleElement type="secondRowStripe" dxfId="1"/>
    </tableStyle>
  </tableStyles>
  <colors>
    <mruColors>
      <color rgb="FF00CC99"/>
      <color rgb="FFFF3300"/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Waterfall</a:t>
            </a:r>
            <a:r>
              <a:rPr lang="en-US" baseline="0"/>
              <a:t> of Cashflow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91885972405961"/>
          <c:y val="9.2439384280370962E-2"/>
          <c:w val="0.8702826281866658"/>
          <c:h val="0.65356165348731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Waterfall!$H$1</c:f>
              <c:strCache>
                <c:ptCount val="1"/>
                <c:pt idx="0">
                  <c:v>Balance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18D-4E30-A022-B3EF54AF20B3}"/>
              </c:ext>
            </c:extLst>
          </c:dPt>
          <c:dPt>
            <c:idx val="27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18D-4E30-A022-B3EF54AF20B3}"/>
              </c:ext>
            </c:extLst>
          </c:dPt>
          <c:dPt>
            <c:idx val="3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0A-49CF-80F4-C66B417F3BE9}"/>
              </c:ext>
            </c:extLst>
          </c:dPt>
          <c:cat>
            <c:strRef>
              <c:f>Waterfall!$G$2:$G$32</c:f>
              <c:strCache>
                <c:ptCount val="31"/>
                <c:pt idx="0">
                  <c:v>Opening Balance</c:v>
                </c:pt>
                <c:pt idx="1">
                  <c:v>1/8/2021</c:v>
                </c:pt>
                <c:pt idx="2">
                  <c:v>1/15/2021</c:v>
                </c:pt>
                <c:pt idx="3">
                  <c:v>1/22/2021</c:v>
                </c:pt>
                <c:pt idx="4">
                  <c:v>1/31/2021</c:v>
                </c:pt>
                <c:pt idx="5">
                  <c:v>2/5/2021</c:v>
                </c:pt>
                <c:pt idx="6">
                  <c:v>2/12/2021</c:v>
                </c:pt>
                <c:pt idx="7">
                  <c:v>2/19/2021</c:v>
                </c:pt>
                <c:pt idx="8">
                  <c:v>2/28/2021</c:v>
                </c:pt>
                <c:pt idx="9">
                  <c:v>3/5/2021</c:v>
                </c:pt>
                <c:pt idx="10">
                  <c:v>3/12/2021</c:v>
                </c:pt>
                <c:pt idx="11">
                  <c:v>3/19/2021</c:v>
                </c:pt>
                <c:pt idx="12">
                  <c:v>3/26/2021</c:v>
                </c:pt>
                <c:pt idx="13">
                  <c:v>3/31/2021</c:v>
                </c:pt>
                <c:pt idx="14">
                  <c:v>4/2/2021</c:v>
                </c:pt>
                <c:pt idx="15">
                  <c:v>4/9/2021</c:v>
                </c:pt>
                <c:pt idx="16">
                  <c:v>4/16/2021</c:v>
                </c:pt>
                <c:pt idx="17">
                  <c:v>4/23/2021</c:v>
                </c:pt>
                <c:pt idx="18">
                  <c:v>4/30/2021</c:v>
                </c:pt>
                <c:pt idx="19">
                  <c:v>5/7/2021</c:v>
                </c:pt>
                <c:pt idx="20">
                  <c:v>5/14/2021</c:v>
                </c:pt>
                <c:pt idx="21">
                  <c:v>5/21/2021</c:v>
                </c:pt>
                <c:pt idx="22">
                  <c:v>5/28/2021</c:v>
                </c:pt>
                <c:pt idx="23">
                  <c:v>5/31/2021</c:v>
                </c:pt>
                <c:pt idx="24">
                  <c:v>6/4/2021</c:v>
                </c:pt>
                <c:pt idx="25">
                  <c:v>6/11/2021</c:v>
                </c:pt>
                <c:pt idx="26">
                  <c:v>6/18/2021</c:v>
                </c:pt>
                <c:pt idx="27">
                  <c:v>6/25/2021</c:v>
                </c:pt>
                <c:pt idx="28">
                  <c:v>6/30/2021</c:v>
                </c:pt>
                <c:pt idx="29">
                  <c:v>7/2/2021</c:v>
                </c:pt>
                <c:pt idx="30">
                  <c:v>Closing Balance</c:v>
                </c:pt>
              </c:strCache>
            </c:strRef>
          </c:cat>
          <c:val>
            <c:numRef>
              <c:f>Waterfall!$H$2:$H$32</c:f>
              <c:numCache>
                <c:formatCode>_("$"* #,##0_);_("$"* \(#,##0\);_("$"* "-"??_);_(@_)</c:formatCode>
                <c:ptCount val="31"/>
                <c:pt idx="0">
                  <c:v>167.58</c:v>
                </c:pt>
                <c:pt idx="1">
                  <c:v>67.580000000000013</c:v>
                </c:pt>
                <c:pt idx="2">
                  <c:v>67.580000000000013</c:v>
                </c:pt>
                <c:pt idx="3">
                  <c:v>70.020000000000095</c:v>
                </c:pt>
                <c:pt idx="4">
                  <c:v>70.020000000000095</c:v>
                </c:pt>
                <c:pt idx="5">
                  <c:v>144.67000000000019</c:v>
                </c:pt>
                <c:pt idx="6">
                  <c:v>144.67000000000019</c:v>
                </c:pt>
                <c:pt idx="7">
                  <c:v>265.14000000000044</c:v>
                </c:pt>
                <c:pt idx="8">
                  <c:v>265.14000000000044</c:v>
                </c:pt>
                <c:pt idx="9">
                  <c:v>331.39000000000078</c:v>
                </c:pt>
                <c:pt idx="10">
                  <c:v>331.39000000000078</c:v>
                </c:pt>
                <c:pt idx="11">
                  <c:v>563.0000000000008</c:v>
                </c:pt>
                <c:pt idx="12">
                  <c:v>2076.1200000000008</c:v>
                </c:pt>
                <c:pt idx="13">
                  <c:v>2676.9800000000005</c:v>
                </c:pt>
                <c:pt idx="14">
                  <c:v>2276.9800000000005</c:v>
                </c:pt>
                <c:pt idx="15">
                  <c:v>2276.9800000000005</c:v>
                </c:pt>
                <c:pt idx="16">
                  <c:v>2581.2600000000007</c:v>
                </c:pt>
                <c:pt idx="17">
                  <c:v>2581.2600000000007</c:v>
                </c:pt>
                <c:pt idx="18">
                  <c:v>3264.1700000000005</c:v>
                </c:pt>
                <c:pt idx="19">
                  <c:v>3264.1700000000005</c:v>
                </c:pt>
                <c:pt idx="20">
                  <c:v>3338.1800000000003</c:v>
                </c:pt>
                <c:pt idx="21">
                  <c:v>3338.1800000000003</c:v>
                </c:pt>
                <c:pt idx="22">
                  <c:v>2864.2000000000003</c:v>
                </c:pt>
                <c:pt idx="23">
                  <c:v>2864.2000000000003</c:v>
                </c:pt>
                <c:pt idx="24">
                  <c:v>2864.2000000000003</c:v>
                </c:pt>
                <c:pt idx="25">
                  <c:v>2786.21</c:v>
                </c:pt>
                <c:pt idx="26">
                  <c:v>2786.21</c:v>
                </c:pt>
                <c:pt idx="27">
                  <c:v>6533.6800000000012</c:v>
                </c:pt>
                <c:pt idx="28">
                  <c:v>4729.3400000000011</c:v>
                </c:pt>
                <c:pt idx="29">
                  <c:v>4729.3400000000011</c:v>
                </c:pt>
                <c:pt idx="30">
                  <c:v>3853.650000000001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D-4E30-A022-B3EF54AF20B3}"/>
            </c:ext>
          </c:extLst>
        </c:ser>
        <c:ser>
          <c:idx val="1"/>
          <c:order val="1"/>
          <c:tx>
            <c:strRef>
              <c:f>Waterfall!$I$1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Waterfall!$G$2:$G$32</c:f>
              <c:strCache>
                <c:ptCount val="31"/>
                <c:pt idx="0">
                  <c:v>Opening Balance</c:v>
                </c:pt>
                <c:pt idx="1">
                  <c:v>1/8/2021</c:v>
                </c:pt>
                <c:pt idx="2">
                  <c:v>1/15/2021</c:v>
                </c:pt>
                <c:pt idx="3">
                  <c:v>1/22/2021</c:v>
                </c:pt>
                <c:pt idx="4">
                  <c:v>1/31/2021</c:v>
                </c:pt>
                <c:pt idx="5">
                  <c:v>2/5/2021</c:v>
                </c:pt>
                <c:pt idx="6">
                  <c:v>2/12/2021</c:v>
                </c:pt>
                <c:pt idx="7">
                  <c:v>2/19/2021</c:v>
                </c:pt>
                <c:pt idx="8">
                  <c:v>2/28/2021</c:v>
                </c:pt>
                <c:pt idx="9">
                  <c:v>3/5/2021</c:v>
                </c:pt>
                <c:pt idx="10">
                  <c:v>3/12/2021</c:v>
                </c:pt>
                <c:pt idx="11">
                  <c:v>3/19/2021</c:v>
                </c:pt>
                <c:pt idx="12">
                  <c:v>3/26/2021</c:v>
                </c:pt>
                <c:pt idx="13">
                  <c:v>3/31/2021</c:v>
                </c:pt>
                <c:pt idx="14">
                  <c:v>4/2/2021</c:v>
                </c:pt>
                <c:pt idx="15">
                  <c:v>4/9/2021</c:v>
                </c:pt>
                <c:pt idx="16">
                  <c:v>4/16/2021</c:v>
                </c:pt>
                <c:pt idx="17">
                  <c:v>4/23/2021</c:v>
                </c:pt>
                <c:pt idx="18">
                  <c:v>4/30/2021</c:v>
                </c:pt>
                <c:pt idx="19">
                  <c:v>5/7/2021</c:v>
                </c:pt>
                <c:pt idx="20">
                  <c:v>5/14/2021</c:v>
                </c:pt>
                <c:pt idx="21">
                  <c:v>5/21/2021</c:v>
                </c:pt>
                <c:pt idx="22">
                  <c:v>5/28/2021</c:v>
                </c:pt>
                <c:pt idx="23">
                  <c:v>5/31/2021</c:v>
                </c:pt>
                <c:pt idx="24">
                  <c:v>6/4/2021</c:v>
                </c:pt>
                <c:pt idx="25">
                  <c:v>6/11/2021</c:v>
                </c:pt>
                <c:pt idx="26">
                  <c:v>6/18/2021</c:v>
                </c:pt>
                <c:pt idx="27">
                  <c:v>6/25/2021</c:v>
                </c:pt>
                <c:pt idx="28">
                  <c:v>6/30/2021</c:v>
                </c:pt>
                <c:pt idx="29">
                  <c:v>7/2/2021</c:v>
                </c:pt>
                <c:pt idx="30">
                  <c:v>Closing Balance</c:v>
                </c:pt>
              </c:strCache>
            </c:strRef>
          </c:cat>
          <c:val>
            <c:numRef>
              <c:f>Waterfall!$I$2:$I$32</c:f>
              <c:numCache>
                <c:formatCode>_("$"* #,##0_);_("$"* \(#,##0\);_("$"* "-"??_);_(@_)</c:formatCode>
                <c:ptCount val="31"/>
                <c:pt idx="1">
                  <c:v>100</c:v>
                </c:pt>
                <c:pt idx="2">
                  <c:v>0</c:v>
                </c:pt>
                <c:pt idx="3">
                  <c:v>727.98</c:v>
                </c:pt>
                <c:pt idx="4">
                  <c:v>0</c:v>
                </c:pt>
                <c:pt idx="5">
                  <c:v>350.31000000000006</c:v>
                </c:pt>
                <c:pt idx="6">
                  <c:v>0</c:v>
                </c:pt>
                <c:pt idx="7">
                  <c:v>612.29</c:v>
                </c:pt>
                <c:pt idx="8">
                  <c:v>0</c:v>
                </c:pt>
                <c:pt idx="9">
                  <c:v>2261.5299999999997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485.0300000000002</c:v>
                </c:pt>
                <c:pt idx="14">
                  <c:v>400</c:v>
                </c:pt>
                <c:pt idx="15">
                  <c:v>0</c:v>
                </c:pt>
                <c:pt idx="16">
                  <c:v>488.52</c:v>
                </c:pt>
                <c:pt idx="17">
                  <c:v>0</c:v>
                </c:pt>
                <c:pt idx="18">
                  <c:v>50</c:v>
                </c:pt>
                <c:pt idx="19">
                  <c:v>0</c:v>
                </c:pt>
                <c:pt idx="20">
                  <c:v>50.320000000000164</c:v>
                </c:pt>
                <c:pt idx="21">
                  <c:v>0</c:v>
                </c:pt>
                <c:pt idx="22">
                  <c:v>1171.96</c:v>
                </c:pt>
                <c:pt idx="23">
                  <c:v>0</c:v>
                </c:pt>
                <c:pt idx="24">
                  <c:v>0</c:v>
                </c:pt>
                <c:pt idx="25">
                  <c:v>592.84000000000015</c:v>
                </c:pt>
                <c:pt idx="26">
                  <c:v>0</c:v>
                </c:pt>
                <c:pt idx="27">
                  <c:v>5102.6099999999997</c:v>
                </c:pt>
                <c:pt idx="28">
                  <c:v>1804.3400000000001</c:v>
                </c:pt>
                <c:pt idx="29">
                  <c:v>0</c:v>
                </c:pt>
                <c:pt idx="30">
                  <c:v>1587.35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8D-4E30-A022-B3EF54AF20B3}"/>
            </c:ext>
          </c:extLst>
        </c:ser>
        <c:ser>
          <c:idx val="2"/>
          <c:order val="2"/>
          <c:tx>
            <c:strRef>
              <c:f>Waterfall!$J$1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Waterfall!$G$2:$G$32</c:f>
              <c:strCache>
                <c:ptCount val="31"/>
                <c:pt idx="0">
                  <c:v>Opening Balance</c:v>
                </c:pt>
                <c:pt idx="1">
                  <c:v>1/8/2021</c:v>
                </c:pt>
                <c:pt idx="2">
                  <c:v>1/15/2021</c:v>
                </c:pt>
                <c:pt idx="3">
                  <c:v>1/22/2021</c:v>
                </c:pt>
                <c:pt idx="4">
                  <c:v>1/31/2021</c:v>
                </c:pt>
                <c:pt idx="5">
                  <c:v>2/5/2021</c:v>
                </c:pt>
                <c:pt idx="6">
                  <c:v>2/12/2021</c:v>
                </c:pt>
                <c:pt idx="7">
                  <c:v>2/19/2021</c:v>
                </c:pt>
                <c:pt idx="8">
                  <c:v>2/28/2021</c:v>
                </c:pt>
                <c:pt idx="9">
                  <c:v>3/5/2021</c:v>
                </c:pt>
                <c:pt idx="10">
                  <c:v>3/12/2021</c:v>
                </c:pt>
                <c:pt idx="11">
                  <c:v>3/19/2021</c:v>
                </c:pt>
                <c:pt idx="12">
                  <c:v>3/26/2021</c:v>
                </c:pt>
                <c:pt idx="13">
                  <c:v>3/31/2021</c:v>
                </c:pt>
                <c:pt idx="14">
                  <c:v>4/2/2021</c:v>
                </c:pt>
                <c:pt idx="15">
                  <c:v>4/9/2021</c:v>
                </c:pt>
                <c:pt idx="16">
                  <c:v>4/16/2021</c:v>
                </c:pt>
                <c:pt idx="17">
                  <c:v>4/23/2021</c:v>
                </c:pt>
                <c:pt idx="18">
                  <c:v>4/30/2021</c:v>
                </c:pt>
                <c:pt idx="19">
                  <c:v>5/7/2021</c:v>
                </c:pt>
                <c:pt idx="20">
                  <c:v>5/14/2021</c:v>
                </c:pt>
                <c:pt idx="21">
                  <c:v>5/21/2021</c:v>
                </c:pt>
                <c:pt idx="22">
                  <c:v>5/28/2021</c:v>
                </c:pt>
                <c:pt idx="23">
                  <c:v>5/31/2021</c:v>
                </c:pt>
                <c:pt idx="24">
                  <c:v>6/4/2021</c:v>
                </c:pt>
                <c:pt idx="25">
                  <c:v>6/11/2021</c:v>
                </c:pt>
                <c:pt idx="26">
                  <c:v>6/18/2021</c:v>
                </c:pt>
                <c:pt idx="27">
                  <c:v>6/25/2021</c:v>
                </c:pt>
                <c:pt idx="28">
                  <c:v>6/30/2021</c:v>
                </c:pt>
                <c:pt idx="29">
                  <c:v>7/2/2021</c:v>
                </c:pt>
                <c:pt idx="30">
                  <c:v>Closing Balance</c:v>
                </c:pt>
              </c:strCache>
            </c:strRef>
          </c:cat>
          <c:val>
            <c:numRef>
              <c:f>Waterfall!$J$2:$J$32</c:f>
              <c:numCache>
                <c:formatCode>_("$"* #,##0_);_("$"* \(#,##0\);_("$"* "-"??_);_(@_)</c:formatCode>
                <c:ptCount val="31"/>
                <c:pt idx="1">
                  <c:v>0</c:v>
                </c:pt>
                <c:pt idx="2">
                  <c:v>730.42000000000007</c:v>
                </c:pt>
                <c:pt idx="3">
                  <c:v>0</c:v>
                </c:pt>
                <c:pt idx="4">
                  <c:v>424.96000000000015</c:v>
                </c:pt>
                <c:pt idx="5">
                  <c:v>0</c:v>
                </c:pt>
                <c:pt idx="6">
                  <c:v>732.76000000000022</c:v>
                </c:pt>
                <c:pt idx="7">
                  <c:v>0</c:v>
                </c:pt>
                <c:pt idx="8">
                  <c:v>2327.7800000000002</c:v>
                </c:pt>
                <c:pt idx="9">
                  <c:v>0</c:v>
                </c:pt>
                <c:pt idx="10">
                  <c:v>231.61</c:v>
                </c:pt>
                <c:pt idx="11">
                  <c:v>1513.12</c:v>
                </c:pt>
                <c:pt idx="12">
                  <c:v>1085.8899999999999</c:v>
                </c:pt>
                <c:pt idx="13">
                  <c:v>0</c:v>
                </c:pt>
                <c:pt idx="14">
                  <c:v>0</c:v>
                </c:pt>
                <c:pt idx="15">
                  <c:v>792.80000000000018</c:v>
                </c:pt>
                <c:pt idx="16">
                  <c:v>0</c:v>
                </c:pt>
                <c:pt idx="17">
                  <c:v>732.90999999999985</c:v>
                </c:pt>
                <c:pt idx="18">
                  <c:v>0</c:v>
                </c:pt>
                <c:pt idx="19">
                  <c:v>124.32999999999993</c:v>
                </c:pt>
                <c:pt idx="20">
                  <c:v>0</c:v>
                </c:pt>
                <c:pt idx="21">
                  <c:v>697.98</c:v>
                </c:pt>
                <c:pt idx="22">
                  <c:v>0</c:v>
                </c:pt>
                <c:pt idx="23">
                  <c:v>0</c:v>
                </c:pt>
                <c:pt idx="24">
                  <c:v>514.84999999999991</c:v>
                </c:pt>
                <c:pt idx="25">
                  <c:v>0</c:v>
                </c:pt>
                <c:pt idx="26">
                  <c:v>8850.0800000000017</c:v>
                </c:pt>
                <c:pt idx="27">
                  <c:v>0</c:v>
                </c:pt>
                <c:pt idx="28">
                  <c:v>0</c:v>
                </c:pt>
                <c:pt idx="29">
                  <c:v>711.65999999999985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8D-4E30-A022-B3EF54AF2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621799759"/>
        <c:axId val="1621800175"/>
      </c:barChart>
      <c:catAx>
        <c:axId val="162179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800175"/>
        <c:crosses val="autoZero"/>
        <c:auto val="1"/>
        <c:lblAlgn val="ctr"/>
        <c:lblOffset val="100"/>
        <c:noMultiLvlLbl val="0"/>
      </c:catAx>
      <c:valAx>
        <c:axId val="162180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799759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220980</xdr:colOff>
      <xdr:row>4</xdr:row>
      <xdr:rowOff>32384</xdr:rowOff>
    </xdr:from>
    <xdr:to>
      <xdr:col>30</xdr:col>
      <xdr:colOff>349250</xdr:colOff>
      <xdr:row>48</xdr:row>
      <xdr:rowOff>108857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7F81AA-2EA9-4489-B10D-7B43696C1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</xdr:colOff>
      <xdr:row>1</xdr:row>
      <xdr:rowOff>31549</xdr:rowOff>
    </xdr:from>
    <xdr:to>
      <xdr:col>21</xdr:col>
      <xdr:colOff>106707</xdr:colOff>
      <xdr:row>24</xdr:row>
      <xdr:rowOff>90241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4C468-1FD3-4291-829C-BBF25A33F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5540" y="161089"/>
          <a:ext cx="4762527" cy="3038112"/>
        </a:xfrm>
        <a:prstGeom prst="rect">
          <a:avLst/>
        </a:prstGeom>
      </xdr:spPr>
    </xdr:pic>
    <xdr:clientData/>
  </xdr:twoCellAnchor>
  <xdr:twoCellAnchor editAs="oneCell">
    <xdr:from>
      <xdr:col>2</xdr:col>
      <xdr:colOff>160612</xdr:colOff>
      <xdr:row>0</xdr:row>
      <xdr:rowOff>125729</xdr:rowOff>
    </xdr:from>
    <xdr:to>
      <xdr:col>11</xdr:col>
      <xdr:colOff>3840</xdr:colOff>
      <xdr:row>17</xdr:row>
      <xdr:rowOff>75304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A6AE68-EB33-46E3-A8CA-3EE3D88E8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932" y="125729"/>
          <a:ext cx="4506668" cy="21517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an/Documents/Yearly_Breakdow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an/Documents/Investment%20tracke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0"/>
      <sheetName val="2021 Income"/>
      <sheetName val="Pivot (2021)"/>
      <sheetName val="At-A-Glance"/>
      <sheetName val="Monthly_View"/>
      <sheetName val="Monthly_View b"/>
      <sheetName val="Statement"/>
    </sheetNames>
    <sheetDataSet>
      <sheetData sheetId="0"/>
      <sheetData sheetId="1"/>
      <sheetData sheetId="2">
        <row r="2">
          <cell r="A2">
            <v>800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Portfolio"/>
      <sheetName val="Asset Allocation"/>
      <sheetName val="Investment tracker1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radeshow">
  <a:themeElements>
    <a:clrScheme name="Expense Calendar">
      <a:dk1>
        <a:srgbClr val="000000"/>
      </a:dk1>
      <a:lt1>
        <a:srgbClr val="FFFFFF"/>
      </a:lt1>
      <a:dk2>
        <a:srgbClr val="635C50"/>
      </a:dk2>
      <a:lt2>
        <a:srgbClr val="E8E7E5"/>
      </a:lt2>
      <a:accent1>
        <a:srgbClr val="84C183"/>
      </a:accent1>
      <a:accent2>
        <a:srgbClr val="F4D647"/>
      </a:accent2>
      <a:accent3>
        <a:srgbClr val="82CECC"/>
      </a:accent3>
      <a:accent4>
        <a:srgbClr val="FFAD2E"/>
      </a:accent4>
      <a:accent5>
        <a:srgbClr val="E67342"/>
      </a:accent5>
      <a:accent6>
        <a:srgbClr val="B580A1"/>
      </a:accent6>
      <a:hlink>
        <a:srgbClr val="82CECC"/>
      </a:hlink>
      <a:folHlink>
        <a:srgbClr val="B580A1"/>
      </a:folHlink>
    </a:clrScheme>
    <a:fontScheme name="Expense Calendar">
      <a:majorFont>
        <a:latin typeface="Bookman Old Style"/>
        <a:ea typeface=""/>
        <a:cs typeface=""/>
      </a:majorFont>
      <a:minorFont>
        <a:latin typeface="Arial"/>
        <a:ea typeface=""/>
        <a:cs typeface=""/>
      </a:minorFont>
    </a:fontScheme>
    <a:fmtScheme name="Tradeshow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300000"/>
              </a:schemeClr>
            </a:gs>
            <a:gs pos="35000">
              <a:schemeClr val="phClr">
                <a:tint val="45000"/>
                <a:satMod val="300000"/>
              </a:schemeClr>
            </a:gs>
            <a:gs pos="69000">
              <a:schemeClr val="phClr">
                <a:tint val="45000"/>
                <a:satMod val="350000"/>
              </a:schemeClr>
            </a:gs>
            <a:gs pos="100000">
              <a:schemeClr val="phClr">
                <a:tint val="60000"/>
                <a:satMod val="350000"/>
              </a:schemeClr>
            </a:gs>
          </a:gsLst>
          <a:path path="circle">
            <a:fillToRect l="50000" t="50000" r="100000" b="100000"/>
          </a:path>
        </a:gradFill>
        <a:gradFill rotWithShape="1">
          <a:gsLst>
            <a:gs pos="0">
              <a:schemeClr val="phClr">
                <a:shade val="47500"/>
                <a:satMod val="137000"/>
              </a:schemeClr>
            </a:gs>
            <a:gs pos="55000">
              <a:schemeClr val="phClr">
                <a:shade val="69000"/>
                <a:satMod val="137000"/>
              </a:schemeClr>
            </a:gs>
            <a:gs pos="100000">
              <a:schemeClr val="phClr">
                <a:shade val="98000"/>
                <a:satMod val="137000"/>
              </a:schemeClr>
            </a:gs>
          </a:gsLst>
          <a:lin ang="162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38475" cap="flat" cmpd="sng" algn="ctr">
          <a:solidFill>
            <a:schemeClr val="phClr"/>
          </a:solidFill>
          <a:prstDash val="solid"/>
        </a:ln>
        <a:ln w="5485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4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>
              <a:rot lat="0" lon="0" rev="3600000"/>
            </a:lightRig>
          </a:scene3d>
          <a:sp3d contourW="31750" prstMaterial="flat">
            <a:bevelT w="127000" h="254000" prst="angle"/>
            <a:contourClr>
              <a:schemeClr val="phClr">
                <a:shade val="2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20000">
              <a:schemeClr val="phClr">
                <a:tint val="80000"/>
                <a:lumMod val="100000"/>
              </a:schemeClr>
            </a:gs>
            <a:gs pos="100000">
              <a:schemeClr val="phClr">
                <a:tint val="100000"/>
                <a:lumMod val="80000"/>
              </a:schemeClr>
            </a:gs>
          </a:gsLst>
          <a:path path="circle">
            <a:fillToRect l="50000" t="20000" r="100000" b="100000"/>
          </a:path>
        </a:gradFill>
        <a:gradFill rotWithShape="1">
          <a:gsLst>
            <a:gs pos="0">
              <a:schemeClr val="phClr">
                <a:tint val="100000"/>
                <a:lumMod val="100000"/>
              </a:schemeClr>
            </a:gs>
            <a:gs pos="100000">
              <a:schemeClr val="phClr">
                <a:shade val="100000"/>
                <a:lumMod val="60000"/>
              </a:schemeClr>
            </a:gs>
          </a:gsLst>
          <a:path path="circle">
            <a:fillToRect l="50000" t="20000" r="100000" b="10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EAD7-88F2-46FC-803D-C310896A282C}">
  <sheetPr>
    <tabColor rgb="FFFFC000"/>
  </sheetPr>
  <dimension ref="A1:M147"/>
  <sheetViews>
    <sheetView topLeftCell="A121" zoomScale="55" zoomScaleNormal="55" workbookViewId="0">
      <selection activeCell="F150" sqref="F150"/>
    </sheetView>
  </sheetViews>
  <sheetFormatPr defaultColWidth="9.0546875" defaultRowHeight="14.25" x14ac:dyDescent="0.65"/>
  <cols>
    <col min="1" max="2" width="9.0546875" style="107"/>
    <col min="3" max="3" width="12.109375" style="107" bestFit="1" customWidth="1"/>
    <col min="4" max="4" width="16.33203125" style="107" bestFit="1" customWidth="1"/>
    <col min="5" max="5" width="141.38671875" style="107" bestFit="1" customWidth="1"/>
    <col min="6" max="6" width="14.609375" style="107" bestFit="1" customWidth="1"/>
    <col min="7" max="7" width="28.609375" style="107" bestFit="1" customWidth="1"/>
    <col min="8" max="8" width="8.88671875" customWidth="1"/>
    <col min="9" max="16384" width="9.0546875" style="107"/>
  </cols>
  <sheetData>
    <row r="1" spans="1:12" x14ac:dyDescent="0.65">
      <c r="A1" s="107" t="s">
        <v>14</v>
      </c>
      <c r="B1" s="107" t="s">
        <v>333</v>
      </c>
      <c r="C1" s="107" t="s">
        <v>480</v>
      </c>
      <c r="D1" s="107" t="s">
        <v>502</v>
      </c>
      <c r="E1" s="107" t="s">
        <v>0</v>
      </c>
      <c r="F1" s="107" t="s">
        <v>1</v>
      </c>
      <c r="G1" s="107" t="s">
        <v>534</v>
      </c>
      <c r="H1" s="107"/>
    </row>
    <row r="2" spans="1:12" x14ac:dyDescent="0.65">
      <c r="A2" s="107">
        <f>MONTH(C2)</f>
        <v>1</v>
      </c>
      <c r="B2" s="107">
        <f>DAY(C2)</f>
        <v>4</v>
      </c>
      <c r="C2" s="108">
        <v>44200</v>
      </c>
      <c r="D2" s="107" t="s">
        <v>491</v>
      </c>
      <c r="E2" s="107" t="s">
        <v>360</v>
      </c>
      <c r="F2" s="109">
        <v>-700</v>
      </c>
      <c r="G2" s="107" t="s">
        <v>487</v>
      </c>
      <c r="H2" s="107"/>
    </row>
    <row r="3" spans="1:12" x14ac:dyDescent="0.65">
      <c r="A3" s="107">
        <f t="shared" ref="A3:A66" si="0">MONTH(C3)</f>
        <v>1</v>
      </c>
      <c r="B3" s="107">
        <f t="shared" ref="B3:B66" si="1">DAY(C3)</f>
        <v>4</v>
      </c>
      <c r="C3" s="108">
        <v>44200</v>
      </c>
      <c r="D3" s="107" t="s">
        <v>109</v>
      </c>
      <c r="E3" s="107" t="s">
        <v>361</v>
      </c>
      <c r="F3" s="109">
        <v>600</v>
      </c>
      <c r="G3" s="107" t="s">
        <v>11</v>
      </c>
      <c r="H3" s="107"/>
    </row>
    <row r="4" spans="1:12" x14ac:dyDescent="0.65">
      <c r="A4" s="107">
        <f t="shared" si="0"/>
        <v>1</v>
      </c>
      <c r="B4" s="107">
        <f t="shared" si="1"/>
        <v>15</v>
      </c>
      <c r="C4" s="108">
        <v>44211</v>
      </c>
      <c r="D4" s="107" t="s">
        <v>491</v>
      </c>
      <c r="E4" s="107" t="s">
        <v>362</v>
      </c>
      <c r="F4" s="109">
        <v>-729.23</v>
      </c>
      <c r="G4" s="107" t="s">
        <v>487</v>
      </c>
      <c r="H4" s="107"/>
    </row>
    <row r="5" spans="1:12" x14ac:dyDescent="0.65">
      <c r="A5" s="107">
        <f t="shared" si="0"/>
        <v>1</v>
      </c>
      <c r="B5" s="107">
        <f t="shared" si="1"/>
        <v>15</v>
      </c>
      <c r="C5" s="108">
        <v>44211</v>
      </c>
      <c r="D5" s="107" t="s">
        <v>10</v>
      </c>
      <c r="E5" s="107" t="s">
        <v>363</v>
      </c>
      <c r="F5" s="109">
        <v>1459.65</v>
      </c>
      <c r="G5" s="107" t="s">
        <v>10</v>
      </c>
      <c r="H5" s="107"/>
    </row>
    <row r="6" spans="1:12" x14ac:dyDescent="0.65">
      <c r="A6" s="107">
        <f t="shared" si="0"/>
        <v>1</v>
      </c>
      <c r="B6" s="107">
        <f t="shared" si="1"/>
        <v>19</v>
      </c>
      <c r="C6" s="108">
        <v>44215</v>
      </c>
      <c r="D6" s="107" t="s">
        <v>482</v>
      </c>
      <c r="E6" s="107" t="s">
        <v>364</v>
      </c>
      <c r="F6" s="109">
        <v>-569.12</v>
      </c>
      <c r="G6" s="107" t="s">
        <v>71</v>
      </c>
      <c r="H6" s="107"/>
    </row>
    <row r="7" spans="1:12" x14ac:dyDescent="0.65">
      <c r="A7" s="107">
        <f t="shared" si="0"/>
        <v>1</v>
      </c>
      <c r="B7" s="107">
        <f t="shared" si="1"/>
        <v>19</v>
      </c>
      <c r="C7" s="108">
        <v>44215</v>
      </c>
      <c r="D7" s="107" t="s">
        <v>482</v>
      </c>
      <c r="E7" s="107" t="s">
        <v>365</v>
      </c>
      <c r="F7" s="109">
        <v>-78.86</v>
      </c>
      <c r="G7" s="107" t="s">
        <v>506</v>
      </c>
      <c r="H7" s="107"/>
    </row>
    <row r="8" spans="1:12" x14ac:dyDescent="0.65">
      <c r="A8" s="107">
        <f t="shared" si="0"/>
        <v>1</v>
      </c>
      <c r="B8" s="107">
        <f t="shared" si="1"/>
        <v>19</v>
      </c>
      <c r="C8" s="108">
        <v>44215</v>
      </c>
      <c r="D8" s="107" t="s">
        <v>482</v>
      </c>
      <c r="E8" s="107" t="s">
        <v>366</v>
      </c>
      <c r="F8" s="109">
        <v>150</v>
      </c>
      <c r="G8" s="107" t="s">
        <v>511</v>
      </c>
      <c r="H8" s="107"/>
    </row>
    <row r="9" spans="1:12" x14ac:dyDescent="0.65">
      <c r="A9" s="107">
        <f t="shared" si="0"/>
        <v>1</v>
      </c>
      <c r="B9" s="107">
        <f t="shared" si="1"/>
        <v>21</v>
      </c>
      <c r="C9" s="108">
        <v>44217</v>
      </c>
      <c r="D9" s="107" t="s">
        <v>483</v>
      </c>
      <c r="E9" s="107" t="s">
        <v>367</v>
      </c>
      <c r="F9" s="109">
        <v>-155</v>
      </c>
      <c r="G9" s="107" t="s">
        <v>516</v>
      </c>
      <c r="H9" s="107"/>
      <c r="K9" s="110"/>
    </row>
    <row r="10" spans="1:12" x14ac:dyDescent="0.65">
      <c r="A10" s="107">
        <f t="shared" si="0"/>
        <v>1</v>
      </c>
      <c r="B10" s="107">
        <f t="shared" si="1"/>
        <v>22</v>
      </c>
      <c r="C10" s="108">
        <v>44218</v>
      </c>
      <c r="D10" s="107" t="s">
        <v>483</v>
      </c>
      <c r="E10" s="107" t="s">
        <v>368</v>
      </c>
      <c r="F10" s="109">
        <v>-75</v>
      </c>
      <c r="G10" s="107" t="s">
        <v>526</v>
      </c>
      <c r="H10" s="107"/>
      <c r="K10" s="110"/>
    </row>
    <row r="11" spans="1:12" x14ac:dyDescent="0.65">
      <c r="A11" s="107">
        <f t="shared" si="0"/>
        <v>1</v>
      </c>
      <c r="B11" s="107">
        <f t="shared" si="1"/>
        <v>26</v>
      </c>
      <c r="C11" s="108">
        <v>44222</v>
      </c>
      <c r="D11" s="107" t="s">
        <v>484</v>
      </c>
      <c r="E11" s="107" t="s">
        <v>369</v>
      </c>
      <c r="F11" s="109">
        <v>155</v>
      </c>
      <c r="G11" s="107" t="s">
        <v>516</v>
      </c>
      <c r="H11" s="107"/>
      <c r="L11" s="110"/>
    </row>
    <row r="12" spans="1:12" x14ac:dyDescent="0.65">
      <c r="A12" s="107">
        <f t="shared" si="0"/>
        <v>1</v>
      </c>
      <c r="B12" s="107">
        <f t="shared" si="1"/>
        <v>28</v>
      </c>
      <c r="C12" s="108">
        <v>44224</v>
      </c>
      <c r="D12" s="107" t="s">
        <v>485</v>
      </c>
      <c r="E12" s="107" t="s">
        <v>370</v>
      </c>
      <c r="F12" s="109">
        <v>-100</v>
      </c>
      <c r="G12" s="107" t="s">
        <v>503</v>
      </c>
      <c r="H12" s="107"/>
    </row>
    <row r="13" spans="1:12" x14ac:dyDescent="0.65">
      <c r="A13" s="107">
        <f t="shared" si="0"/>
        <v>1</v>
      </c>
      <c r="B13" s="107">
        <f t="shared" si="1"/>
        <v>28</v>
      </c>
      <c r="C13" s="108">
        <v>44224</v>
      </c>
      <c r="D13" s="107" t="s">
        <v>485</v>
      </c>
      <c r="E13" s="107" t="s">
        <v>370</v>
      </c>
      <c r="F13" s="109">
        <v>-50</v>
      </c>
      <c r="G13" s="107" t="s">
        <v>503</v>
      </c>
      <c r="H13" s="107"/>
    </row>
    <row r="14" spans="1:12" x14ac:dyDescent="0.65">
      <c r="A14" s="107">
        <f t="shared" si="0"/>
        <v>1</v>
      </c>
      <c r="B14" s="107">
        <f t="shared" si="1"/>
        <v>28</v>
      </c>
      <c r="C14" s="108">
        <v>44224</v>
      </c>
      <c r="D14" s="107" t="s">
        <v>486</v>
      </c>
      <c r="E14" s="107" t="s">
        <v>371</v>
      </c>
      <c r="F14" s="109">
        <v>388.47</v>
      </c>
      <c r="G14" s="107" t="s">
        <v>493</v>
      </c>
      <c r="H14" s="107"/>
      <c r="L14" s="110"/>
    </row>
    <row r="15" spans="1:12" x14ac:dyDescent="0.65">
      <c r="A15" s="107">
        <f t="shared" si="0"/>
        <v>1</v>
      </c>
      <c r="B15" s="107">
        <f t="shared" si="1"/>
        <v>29</v>
      </c>
      <c r="C15" s="108">
        <v>44225</v>
      </c>
      <c r="D15" s="107" t="s">
        <v>482</v>
      </c>
      <c r="E15" s="107" t="s">
        <v>372</v>
      </c>
      <c r="F15" s="109">
        <v>-728.15</v>
      </c>
      <c r="G15" s="107" t="s">
        <v>71</v>
      </c>
      <c r="H15" s="107"/>
    </row>
    <row r="16" spans="1:12" x14ac:dyDescent="0.65">
      <c r="A16" s="107">
        <f t="shared" si="0"/>
        <v>1</v>
      </c>
      <c r="B16" s="107">
        <f t="shared" si="1"/>
        <v>29</v>
      </c>
      <c r="C16" s="108">
        <v>44225</v>
      </c>
      <c r="D16" s="107" t="s">
        <v>482</v>
      </c>
      <c r="E16" s="107" t="s">
        <v>373</v>
      </c>
      <c r="F16" s="109">
        <v>-700</v>
      </c>
      <c r="G16" s="107" t="s">
        <v>507</v>
      </c>
      <c r="H16" s="107"/>
    </row>
    <row r="17" spans="1:12" x14ac:dyDescent="0.65">
      <c r="A17" s="107">
        <f t="shared" si="0"/>
        <v>1</v>
      </c>
      <c r="B17" s="107">
        <f t="shared" si="1"/>
        <v>29</v>
      </c>
      <c r="C17" s="108">
        <v>44225</v>
      </c>
      <c r="D17" s="107" t="s">
        <v>10</v>
      </c>
      <c r="E17" s="107" t="s">
        <v>374</v>
      </c>
      <c r="F17" s="109">
        <v>1459.64</v>
      </c>
      <c r="G17" s="107" t="s">
        <v>10</v>
      </c>
      <c r="H17" s="107"/>
    </row>
    <row r="18" spans="1:12" x14ac:dyDescent="0.65">
      <c r="A18" s="107">
        <f t="shared" si="0"/>
        <v>2</v>
      </c>
      <c r="B18" s="107">
        <f t="shared" si="1"/>
        <v>2</v>
      </c>
      <c r="C18" s="108">
        <v>44229</v>
      </c>
      <c r="D18" s="107" t="s">
        <v>487</v>
      </c>
      <c r="E18" s="107" t="s">
        <v>375</v>
      </c>
      <c r="F18" s="109">
        <v>-1</v>
      </c>
      <c r="G18" s="107" t="s">
        <v>93</v>
      </c>
      <c r="H18" s="107"/>
    </row>
    <row r="19" spans="1:12" x14ac:dyDescent="0.65">
      <c r="A19" s="107">
        <f t="shared" si="0"/>
        <v>2</v>
      </c>
      <c r="B19" s="107">
        <f t="shared" si="1"/>
        <v>2</v>
      </c>
      <c r="C19" s="108">
        <v>44229</v>
      </c>
      <c r="D19" s="107" t="s">
        <v>483</v>
      </c>
      <c r="E19" s="107" t="s">
        <v>376</v>
      </c>
      <c r="F19" s="109">
        <v>-36.840000000000003</v>
      </c>
      <c r="G19" s="107" t="s">
        <v>527</v>
      </c>
      <c r="H19" s="107"/>
      <c r="K19" s="110"/>
    </row>
    <row r="20" spans="1:12" x14ac:dyDescent="0.65">
      <c r="A20" s="107">
        <f t="shared" si="0"/>
        <v>2</v>
      </c>
      <c r="B20" s="107">
        <f t="shared" si="1"/>
        <v>2</v>
      </c>
      <c r="C20" s="108">
        <v>44229</v>
      </c>
      <c r="D20" s="107" t="s">
        <v>488</v>
      </c>
      <c r="E20" s="107" t="s">
        <v>377</v>
      </c>
      <c r="F20" s="109">
        <v>495</v>
      </c>
      <c r="G20" s="107" t="s">
        <v>71</v>
      </c>
      <c r="H20" s="107"/>
      <c r="L20" s="110"/>
    </row>
    <row r="21" spans="1:12" x14ac:dyDescent="0.65">
      <c r="A21" s="107">
        <f t="shared" si="0"/>
        <v>2</v>
      </c>
      <c r="B21" s="107">
        <f t="shared" si="1"/>
        <v>3</v>
      </c>
      <c r="C21" s="108">
        <v>44230</v>
      </c>
      <c r="D21" s="107" t="s">
        <v>489</v>
      </c>
      <c r="E21" s="107" t="s">
        <v>378</v>
      </c>
      <c r="F21" s="109">
        <v>-157.47</v>
      </c>
      <c r="G21" s="107" t="s">
        <v>487</v>
      </c>
      <c r="H21" s="107"/>
    </row>
    <row r="22" spans="1:12" x14ac:dyDescent="0.65">
      <c r="A22" s="107">
        <f t="shared" si="0"/>
        <v>2</v>
      </c>
      <c r="B22" s="107">
        <f t="shared" si="1"/>
        <v>3</v>
      </c>
      <c r="C22" s="108">
        <v>44230</v>
      </c>
      <c r="D22" s="107" t="s">
        <v>483</v>
      </c>
      <c r="E22" s="107" t="s">
        <v>379</v>
      </c>
      <c r="F22" s="109">
        <v>-600</v>
      </c>
      <c r="G22" s="107" t="s">
        <v>92</v>
      </c>
      <c r="H22" s="107"/>
      <c r="K22" s="110"/>
    </row>
    <row r="23" spans="1:12" x14ac:dyDescent="0.65">
      <c r="A23" s="107">
        <f t="shared" si="0"/>
        <v>2</v>
      </c>
      <c r="B23" s="107">
        <f t="shared" si="1"/>
        <v>4</v>
      </c>
      <c r="C23" s="108">
        <v>44231</v>
      </c>
      <c r="D23" s="107" t="s">
        <v>485</v>
      </c>
      <c r="E23" s="107" t="s">
        <v>380</v>
      </c>
      <c r="F23" s="109">
        <v>-50</v>
      </c>
      <c r="G23" s="107" t="s">
        <v>503</v>
      </c>
      <c r="H23" s="107"/>
    </row>
    <row r="24" spans="1:12" x14ac:dyDescent="0.65">
      <c r="A24" s="107">
        <f t="shared" si="0"/>
        <v>2</v>
      </c>
      <c r="B24" s="107">
        <f t="shared" si="1"/>
        <v>8</v>
      </c>
      <c r="C24" s="108">
        <v>44235</v>
      </c>
      <c r="D24" s="107" t="s">
        <v>485</v>
      </c>
      <c r="E24" s="107" t="s">
        <v>381</v>
      </c>
      <c r="F24" s="109">
        <v>-40</v>
      </c>
      <c r="G24" s="107" t="s">
        <v>503</v>
      </c>
      <c r="H24" s="107"/>
    </row>
    <row r="25" spans="1:12" x14ac:dyDescent="0.65">
      <c r="A25" s="107">
        <f t="shared" si="0"/>
        <v>2</v>
      </c>
      <c r="B25" s="107">
        <f t="shared" si="1"/>
        <v>8</v>
      </c>
      <c r="C25" s="108">
        <v>44235</v>
      </c>
      <c r="D25" s="107" t="s">
        <v>485</v>
      </c>
      <c r="E25" s="107" t="s">
        <v>381</v>
      </c>
      <c r="F25" s="109">
        <v>-10</v>
      </c>
      <c r="G25" s="107" t="s">
        <v>503</v>
      </c>
      <c r="H25" s="107"/>
    </row>
    <row r="26" spans="1:12" x14ac:dyDescent="0.65">
      <c r="A26" s="107">
        <f t="shared" si="0"/>
        <v>2</v>
      </c>
      <c r="B26" s="107">
        <f t="shared" si="1"/>
        <v>9</v>
      </c>
      <c r="C26" s="108">
        <v>44236</v>
      </c>
      <c r="D26" s="107" t="s">
        <v>490</v>
      </c>
      <c r="E26" s="107" t="s">
        <v>382</v>
      </c>
      <c r="F26" s="109">
        <v>138.47999999999999</v>
      </c>
      <c r="G26" s="107" t="s">
        <v>493</v>
      </c>
      <c r="H26" s="107"/>
    </row>
    <row r="27" spans="1:12" x14ac:dyDescent="0.65">
      <c r="A27" s="107">
        <f t="shared" si="0"/>
        <v>2</v>
      </c>
      <c r="B27" s="107">
        <f t="shared" si="1"/>
        <v>12</v>
      </c>
      <c r="C27" s="108">
        <v>44239</v>
      </c>
      <c r="D27" s="107" t="s">
        <v>491</v>
      </c>
      <c r="E27" s="107" t="s">
        <v>383</v>
      </c>
      <c r="F27" s="109">
        <v>-715.37</v>
      </c>
      <c r="G27" s="107" t="s">
        <v>487</v>
      </c>
      <c r="H27" s="107"/>
    </row>
    <row r="28" spans="1:12" x14ac:dyDescent="0.65">
      <c r="A28" s="107">
        <f t="shared" si="0"/>
        <v>2</v>
      </c>
      <c r="B28" s="107">
        <f t="shared" si="1"/>
        <v>12</v>
      </c>
      <c r="C28" s="108">
        <v>44239</v>
      </c>
      <c r="D28" s="107" t="s">
        <v>482</v>
      </c>
      <c r="E28" s="107" t="s">
        <v>384</v>
      </c>
      <c r="F28" s="109">
        <v>-350</v>
      </c>
      <c r="G28" s="107" t="s">
        <v>71</v>
      </c>
      <c r="H28" s="107"/>
    </row>
    <row r="29" spans="1:12" x14ac:dyDescent="0.65">
      <c r="A29" s="107">
        <f t="shared" si="0"/>
        <v>2</v>
      </c>
      <c r="B29" s="107">
        <f t="shared" si="1"/>
        <v>12</v>
      </c>
      <c r="C29" s="108">
        <v>44239</v>
      </c>
      <c r="D29" s="107" t="s">
        <v>485</v>
      </c>
      <c r="E29" s="107" t="s">
        <v>385</v>
      </c>
      <c r="F29" s="109">
        <v>-100</v>
      </c>
      <c r="G29" s="107" t="s">
        <v>503</v>
      </c>
      <c r="H29" s="107"/>
    </row>
    <row r="30" spans="1:12" x14ac:dyDescent="0.65">
      <c r="A30" s="107">
        <f t="shared" si="0"/>
        <v>2</v>
      </c>
      <c r="B30" s="107">
        <f t="shared" si="1"/>
        <v>12</v>
      </c>
      <c r="C30" s="108">
        <v>44239</v>
      </c>
      <c r="D30" s="107" t="s">
        <v>10</v>
      </c>
      <c r="E30" s="107" t="s">
        <v>386</v>
      </c>
      <c r="F30" s="109">
        <v>1809.65</v>
      </c>
      <c r="G30" s="107" t="s">
        <v>10</v>
      </c>
      <c r="H30" s="107"/>
    </row>
    <row r="31" spans="1:12" x14ac:dyDescent="0.65">
      <c r="A31" s="107">
        <f t="shared" si="0"/>
        <v>2</v>
      </c>
      <c r="B31" s="107">
        <f t="shared" si="1"/>
        <v>16</v>
      </c>
      <c r="C31" s="108">
        <v>44243</v>
      </c>
      <c r="D31" s="107" t="s">
        <v>482</v>
      </c>
      <c r="E31" s="107" t="s">
        <v>387</v>
      </c>
      <c r="F31" s="109">
        <v>-500</v>
      </c>
      <c r="G31" s="107" t="s">
        <v>71</v>
      </c>
      <c r="H31" s="107"/>
    </row>
    <row r="32" spans="1:12" x14ac:dyDescent="0.65">
      <c r="A32" s="107">
        <f t="shared" si="0"/>
        <v>2</v>
      </c>
      <c r="B32" s="107">
        <f t="shared" si="1"/>
        <v>16</v>
      </c>
      <c r="C32" s="108">
        <v>44243</v>
      </c>
      <c r="D32" s="107" t="s">
        <v>492</v>
      </c>
      <c r="E32" s="107" t="s">
        <v>388</v>
      </c>
      <c r="F32" s="109">
        <v>-100</v>
      </c>
      <c r="G32" s="107" t="s">
        <v>503</v>
      </c>
      <c r="H32" s="107"/>
    </row>
    <row r="33" spans="1:12" x14ac:dyDescent="0.65">
      <c r="A33" s="107">
        <f t="shared" si="0"/>
        <v>2</v>
      </c>
      <c r="B33" s="107">
        <f t="shared" si="1"/>
        <v>16</v>
      </c>
      <c r="C33" s="108">
        <v>44243</v>
      </c>
      <c r="D33" s="107" t="s">
        <v>485</v>
      </c>
      <c r="E33" s="107" t="s">
        <v>389</v>
      </c>
      <c r="F33" s="109">
        <v>-100</v>
      </c>
      <c r="G33" s="107" t="s">
        <v>503</v>
      </c>
      <c r="H33" s="107"/>
    </row>
    <row r="34" spans="1:12" x14ac:dyDescent="0.65">
      <c r="A34" s="107">
        <f t="shared" si="0"/>
        <v>2</v>
      </c>
      <c r="B34" s="107">
        <f t="shared" si="1"/>
        <v>16</v>
      </c>
      <c r="C34" s="108">
        <v>44243</v>
      </c>
      <c r="D34" s="107" t="s">
        <v>484</v>
      </c>
      <c r="E34" s="107" t="s">
        <v>390</v>
      </c>
      <c r="F34" s="109">
        <v>492.5</v>
      </c>
      <c r="G34" s="107" t="s">
        <v>92</v>
      </c>
      <c r="H34" s="107"/>
      <c r="L34" s="110"/>
    </row>
    <row r="35" spans="1:12" x14ac:dyDescent="0.65">
      <c r="A35" s="107">
        <f t="shared" si="0"/>
        <v>2</v>
      </c>
      <c r="B35" s="107">
        <f t="shared" si="1"/>
        <v>17</v>
      </c>
      <c r="C35" s="108">
        <v>44244</v>
      </c>
      <c r="D35" s="107" t="s">
        <v>485</v>
      </c>
      <c r="E35" s="107" t="s">
        <v>391</v>
      </c>
      <c r="F35" s="109">
        <v>-300</v>
      </c>
      <c r="G35" s="107" t="s">
        <v>503</v>
      </c>
      <c r="H35" s="107"/>
    </row>
    <row r="36" spans="1:12" x14ac:dyDescent="0.65">
      <c r="A36" s="107">
        <f t="shared" si="0"/>
        <v>2</v>
      </c>
      <c r="B36" s="107">
        <f t="shared" si="1"/>
        <v>17</v>
      </c>
      <c r="C36" s="108">
        <v>44244</v>
      </c>
      <c r="D36" s="107" t="s">
        <v>485</v>
      </c>
      <c r="E36" s="107" t="s">
        <v>391</v>
      </c>
      <c r="F36" s="109">
        <v>-150</v>
      </c>
      <c r="G36" s="107" t="s">
        <v>503</v>
      </c>
      <c r="H36" s="107"/>
    </row>
    <row r="37" spans="1:12" x14ac:dyDescent="0.65">
      <c r="A37" s="107">
        <f t="shared" si="0"/>
        <v>2</v>
      </c>
      <c r="B37" s="107">
        <f t="shared" si="1"/>
        <v>17</v>
      </c>
      <c r="C37" s="108">
        <v>44244</v>
      </c>
      <c r="D37" s="107" t="s">
        <v>485</v>
      </c>
      <c r="E37" s="107" t="s">
        <v>391</v>
      </c>
      <c r="F37" s="109">
        <v>-50</v>
      </c>
      <c r="G37" s="107" t="s">
        <v>503</v>
      </c>
      <c r="H37" s="107"/>
    </row>
    <row r="38" spans="1:12" x14ac:dyDescent="0.65">
      <c r="A38" s="107">
        <f t="shared" si="0"/>
        <v>2</v>
      </c>
      <c r="B38" s="107">
        <f t="shared" si="1"/>
        <v>17</v>
      </c>
      <c r="C38" s="108">
        <v>44244</v>
      </c>
      <c r="D38" s="107" t="s">
        <v>497</v>
      </c>
      <c r="E38" s="107" t="s">
        <v>392</v>
      </c>
      <c r="F38" s="109">
        <v>56.74</v>
      </c>
      <c r="G38" s="107" t="s">
        <v>503</v>
      </c>
      <c r="H38" s="107"/>
    </row>
    <row r="39" spans="1:12" x14ac:dyDescent="0.65">
      <c r="A39" s="107">
        <f t="shared" si="0"/>
        <v>2</v>
      </c>
      <c r="B39" s="107">
        <f t="shared" si="1"/>
        <v>19</v>
      </c>
      <c r="C39" s="108">
        <v>44246</v>
      </c>
      <c r="D39" s="107" t="s">
        <v>485</v>
      </c>
      <c r="E39" s="107" t="s">
        <v>393</v>
      </c>
      <c r="F39" s="109">
        <v>-100</v>
      </c>
      <c r="G39" s="107" t="s">
        <v>503</v>
      </c>
      <c r="H39" s="107"/>
    </row>
    <row r="40" spans="1:12" x14ac:dyDescent="0.65">
      <c r="A40" s="107">
        <f t="shared" si="0"/>
        <v>2</v>
      </c>
      <c r="B40" s="107">
        <f t="shared" si="1"/>
        <v>19</v>
      </c>
      <c r="C40" s="108">
        <v>44246</v>
      </c>
      <c r="D40" s="107" t="s">
        <v>490</v>
      </c>
      <c r="E40" s="107" t="s">
        <v>394</v>
      </c>
      <c r="F40" s="109">
        <v>138.47</v>
      </c>
      <c r="G40" s="107" t="s">
        <v>493</v>
      </c>
      <c r="H40" s="107"/>
    </row>
    <row r="41" spans="1:12" x14ac:dyDescent="0.65">
      <c r="A41" s="107">
        <f t="shared" si="0"/>
        <v>2</v>
      </c>
      <c r="B41" s="107">
        <f t="shared" si="1"/>
        <v>22</v>
      </c>
      <c r="C41" s="108">
        <v>44249</v>
      </c>
      <c r="D41" s="107" t="s">
        <v>482</v>
      </c>
      <c r="E41" s="107" t="s">
        <v>395</v>
      </c>
      <c r="F41" s="109">
        <v>-81.319999999999993</v>
      </c>
      <c r="G41" s="107" t="s">
        <v>506</v>
      </c>
      <c r="H41" s="107"/>
    </row>
    <row r="42" spans="1:12" x14ac:dyDescent="0.65">
      <c r="A42" s="107">
        <f t="shared" si="0"/>
        <v>2</v>
      </c>
      <c r="B42" s="107">
        <f t="shared" si="1"/>
        <v>23</v>
      </c>
      <c r="C42" s="108">
        <v>44250</v>
      </c>
      <c r="D42" s="107" t="s">
        <v>494</v>
      </c>
      <c r="E42" s="107" t="s">
        <v>396</v>
      </c>
      <c r="F42" s="109">
        <v>-0.01</v>
      </c>
      <c r="G42" s="107" t="s">
        <v>504</v>
      </c>
      <c r="H42" s="107"/>
    </row>
    <row r="43" spans="1:12" x14ac:dyDescent="0.65">
      <c r="A43" s="107">
        <f t="shared" si="0"/>
        <v>2</v>
      </c>
      <c r="B43" s="107">
        <f t="shared" si="1"/>
        <v>23</v>
      </c>
      <c r="C43" s="108">
        <v>44250</v>
      </c>
      <c r="D43" s="107" t="s">
        <v>494</v>
      </c>
      <c r="E43" s="107" t="s">
        <v>397</v>
      </c>
      <c r="F43" s="109">
        <v>0.01</v>
      </c>
      <c r="G43" s="107" t="s">
        <v>504</v>
      </c>
      <c r="H43" s="107"/>
    </row>
    <row r="44" spans="1:12" x14ac:dyDescent="0.65">
      <c r="A44" s="107">
        <f t="shared" si="0"/>
        <v>2</v>
      </c>
      <c r="B44" s="107">
        <f t="shared" si="1"/>
        <v>26</v>
      </c>
      <c r="C44" s="108">
        <v>44253</v>
      </c>
      <c r="D44" s="107" t="s">
        <v>491</v>
      </c>
      <c r="E44" s="107" t="s">
        <v>398</v>
      </c>
      <c r="F44" s="109">
        <v>-770.55</v>
      </c>
      <c r="G44" s="107" t="s">
        <v>487</v>
      </c>
      <c r="H44" s="107"/>
    </row>
    <row r="45" spans="1:12" x14ac:dyDescent="0.65">
      <c r="A45" s="107">
        <f t="shared" si="0"/>
        <v>2</v>
      </c>
      <c r="B45" s="107">
        <f t="shared" si="1"/>
        <v>26</v>
      </c>
      <c r="C45" s="108">
        <v>44253</v>
      </c>
      <c r="D45" s="107" t="s">
        <v>482</v>
      </c>
      <c r="E45" s="107" t="s">
        <v>399</v>
      </c>
      <c r="F45" s="109">
        <v>-700</v>
      </c>
      <c r="G45" s="107" t="s">
        <v>507</v>
      </c>
      <c r="H45" s="107"/>
    </row>
    <row r="46" spans="1:12" x14ac:dyDescent="0.65">
      <c r="A46" s="107">
        <f t="shared" si="0"/>
        <v>2</v>
      </c>
      <c r="B46" s="107">
        <f t="shared" si="1"/>
        <v>26</v>
      </c>
      <c r="C46" s="108">
        <v>44253</v>
      </c>
      <c r="D46" s="107" t="s">
        <v>109</v>
      </c>
      <c r="E46" s="107" t="s">
        <v>400</v>
      </c>
      <c r="F46" s="109">
        <v>2420</v>
      </c>
      <c r="G46" s="107" t="s">
        <v>481</v>
      </c>
      <c r="H46" s="107"/>
    </row>
    <row r="47" spans="1:12" x14ac:dyDescent="0.65">
      <c r="A47" s="107">
        <f t="shared" si="0"/>
        <v>2</v>
      </c>
      <c r="B47" s="107">
        <f t="shared" si="1"/>
        <v>26</v>
      </c>
      <c r="C47" s="108">
        <v>44253</v>
      </c>
      <c r="D47" s="107" t="s">
        <v>10</v>
      </c>
      <c r="E47" s="107" t="s">
        <v>401</v>
      </c>
      <c r="F47" s="109">
        <v>1459.65</v>
      </c>
      <c r="G47" s="107" t="s">
        <v>10</v>
      </c>
      <c r="H47" s="107"/>
    </row>
    <row r="48" spans="1:12" x14ac:dyDescent="0.65">
      <c r="A48" s="107">
        <f t="shared" si="0"/>
        <v>3</v>
      </c>
      <c r="B48" s="107">
        <f t="shared" si="1"/>
        <v>1</v>
      </c>
      <c r="C48" s="108">
        <v>44256</v>
      </c>
      <c r="D48" s="107" t="s">
        <v>485</v>
      </c>
      <c r="E48" s="107" t="s">
        <v>402</v>
      </c>
      <c r="F48" s="109">
        <v>-200</v>
      </c>
      <c r="G48" s="107" t="s">
        <v>503</v>
      </c>
      <c r="H48" s="107"/>
    </row>
    <row r="49" spans="1:13" x14ac:dyDescent="0.65">
      <c r="A49" s="107">
        <f t="shared" si="0"/>
        <v>3</v>
      </c>
      <c r="B49" s="107">
        <f t="shared" si="1"/>
        <v>1</v>
      </c>
      <c r="C49" s="108">
        <v>44256</v>
      </c>
      <c r="D49" s="107" t="s">
        <v>485</v>
      </c>
      <c r="E49" s="107" t="s">
        <v>402</v>
      </c>
      <c r="F49" s="109">
        <v>-200</v>
      </c>
      <c r="G49" s="107" t="s">
        <v>503</v>
      </c>
      <c r="H49" s="107"/>
    </row>
    <row r="50" spans="1:13" x14ac:dyDescent="0.65">
      <c r="A50" s="107">
        <f t="shared" si="0"/>
        <v>3</v>
      </c>
      <c r="B50" s="107">
        <f t="shared" si="1"/>
        <v>1</v>
      </c>
      <c r="C50" s="108">
        <v>44256</v>
      </c>
      <c r="D50" s="107" t="s">
        <v>483</v>
      </c>
      <c r="E50" s="107" t="s">
        <v>403</v>
      </c>
      <c r="F50" s="109">
        <v>-500</v>
      </c>
      <c r="G50" s="107" t="s">
        <v>35</v>
      </c>
      <c r="H50" s="107"/>
      <c r="K50" s="110"/>
    </row>
    <row r="51" spans="1:13" x14ac:dyDescent="0.65">
      <c r="A51" s="107">
        <f t="shared" si="0"/>
        <v>3</v>
      </c>
      <c r="B51" s="107">
        <f t="shared" si="1"/>
        <v>2</v>
      </c>
      <c r="C51" s="108">
        <v>44257</v>
      </c>
      <c r="D51" s="107" t="s">
        <v>485</v>
      </c>
      <c r="E51" s="107" t="s">
        <v>404</v>
      </c>
      <c r="F51" s="109">
        <v>-1000</v>
      </c>
      <c r="G51" s="107" t="s">
        <v>503</v>
      </c>
      <c r="H51" s="107"/>
    </row>
    <row r="52" spans="1:13" x14ac:dyDescent="0.65">
      <c r="A52" s="107">
        <f t="shared" si="0"/>
        <v>3</v>
      </c>
      <c r="B52" s="107">
        <f t="shared" si="1"/>
        <v>2</v>
      </c>
      <c r="C52" s="108">
        <v>44257</v>
      </c>
      <c r="D52" s="107" t="s">
        <v>485</v>
      </c>
      <c r="E52" s="107" t="s">
        <v>404</v>
      </c>
      <c r="F52" s="109">
        <v>-500</v>
      </c>
      <c r="G52" s="107" t="s">
        <v>503</v>
      </c>
      <c r="H52" s="107"/>
    </row>
    <row r="53" spans="1:13" x14ac:dyDescent="0.65">
      <c r="A53" s="107">
        <f t="shared" si="0"/>
        <v>3</v>
      </c>
      <c r="B53" s="107">
        <f t="shared" si="1"/>
        <v>4</v>
      </c>
      <c r="C53" s="108">
        <v>44259</v>
      </c>
      <c r="D53" s="107" t="s">
        <v>490</v>
      </c>
      <c r="E53" s="107" t="s">
        <v>405</v>
      </c>
      <c r="F53" s="109">
        <v>138.47</v>
      </c>
      <c r="G53" s="107" t="s">
        <v>493</v>
      </c>
      <c r="H53" s="107"/>
    </row>
    <row r="54" spans="1:13" x14ac:dyDescent="0.65">
      <c r="A54" s="107">
        <f t="shared" si="0"/>
        <v>3</v>
      </c>
      <c r="B54" s="107">
        <f t="shared" si="1"/>
        <v>9</v>
      </c>
      <c r="C54" s="108">
        <v>44264</v>
      </c>
      <c r="D54" s="107" t="s">
        <v>482</v>
      </c>
      <c r="E54" s="107" t="s">
        <v>406</v>
      </c>
      <c r="F54" s="109">
        <v>-150</v>
      </c>
      <c r="G54" s="107" t="s">
        <v>508</v>
      </c>
      <c r="H54" s="107"/>
    </row>
    <row r="55" spans="1:13" x14ac:dyDescent="0.65">
      <c r="A55" s="107">
        <f t="shared" si="0"/>
        <v>3</v>
      </c>
      <c r="B55" s="107">
        <f t="shared" si="1"/>
        <v>9</v>
      </c>
      <c r="C55" s="108">
        <v>44264</v>
      </c>
      <c r="D55" s="107" t="s">
        <v>496</v>
      </c>
      <c r="E55" s="107" t="s">
        <v>407</v>
      </c>
      <c r="F55" s="109">
        <v>55</v>
      </c>
      <c r="G55" s="107" t="s">
        <v>481</v>
      </c>
      <c r="H55" s="107"/>
    </row>
    <row r="56" spans="1:13" x14ac:dyDescent="0.65">
      <c r="A56" s="107">
        <f t="shared" si="0"/>
        <v>3</v>
      </c>
      <c r="B56" s="107">
        <f t="shared" si="1"/>
        <v>10</v>
      </c>
      <c r="C56" s="108">
        <v>44265</v>
      </c>
      <c r="D56" s="107" t="s">
        <v>485</v>
      </c>
      <c r="E56" s="107" t="s">
        <v>408</v>
      </c>
      <c r="F56" s="109">
        <v>-200</v>
      </c>
      <c r="G56" s="107" t="s">
        <v>503</v>
      </c>
      <c r="H56" s="107"/>
    </row>
    <row r="57" spans="1:13" x14ac:dyDescent="0.65">
      <c r="A57" s="107">
        <f t="shared" si="0"/>
        <v>3</v>
      </c>
      <c r="B57" s="107">
        <f t="shared" si="1"/>
        <v>10</v>
      </c>
      <c r="C57" s="108">
        <v>44265</v>
      </c>
      <c r="D57" s="107" t="s">
        <v>484</v>
      </c>
      <c r="E57" s="107" t="s">
        <v>409</v>
      </c>
      <c r="F57" s="109">
        <v>227.35</v>
      </c>
      <c r="G57" s="107" t="s">
        <v>35</v>
      </c>
      <c r="H57" s="107"/>
      <c r="L57" s="110"/>
    </row>
    <row r="58" spans="1:13" x14ac:dyDescent="0.65">
      <c r="A58" s="107">
        <f t="shared" si="0"/>
        <v>3</v>
      </c>
      <c r="B58" s="107">
        <f t="shared" si="1"/>
        <v>12</v>
      </c>
      <c r="C58" s="108">
        <v>44267</v>
      </c>
      <c r="D58" s="107" t="s">
        <v>491</v>
      </c>
      <c r="E58" s="107" t="s">
        <v>410</v>
      </c>
      <c r="F58" s="109">
        <v>-1160.3800000000001</v>
      </c>
      <c r="G58" s="107" t="s">
        <v>487</v>
      </c>
      <c r="H58" s="107"/>
    </row>
    <row r="59" spans="1:13" x14ac:dyDescent="0.65">
      <c r="A59" s="107">
        <f t="shared" si="0"/>
        <v>3</v>
      </c>
      <c r="B59" s="107">
        <f t="shared" si="1"/>
        <v>12</v>
      </c>
      <c r="C59" s="108">
        <v>44267</v>
      </c>
      <c r="D59" s="107" t="s">
        <v>10</v>
      </c>
      <c r="E59" s="107" t="s">
        <v>411</v>
      </c>
      <c r="F59" s="109">
        <v>1459.64</v>
      </c>
      <c r="G59" s="107" t="s">
        <v>10</v>
      </c>
      <c r="H59" s="107"/>
    </row>
    <row r="60" spans="1:13" x14ac:dyDescent="0.65">
      <c r="A60" s="107">
        <f t="shared" si="0"/>
        <v>3</v>
      </c>
      <c r="B60" s="107">
        <f t="shared" si="1"/>
        <v>16</v>
      </c>
      <c r="C60" s="108">
        <v>44271</v>
      </c>
      <c r="D60" s="107" t="s">
        <v>494</v>
      </c>
      <c r="E60" s="107" t="s">
        <v>412</v>
      </c>
      <c r="F60" s="109">
        <v>-25.57</v>
      </c>
      <c r="G60" s="107" t="s">
        <v>504</v>
      </c>
      <c r="H60" s="107"/>
    </row>
    <row r="61" spans="1:13" x14ac:dyDescent="0.65">
      <c r="A61" s="107">
        <f t="shared" si="0"/>
        <v>3</v>
      </c>
      <c r="B61" s="107">
        <f t="shared" si="1"/>
        <v>17</v>
      </c>
      <c r="C61" s="108">
        <v>44272</v>
      </c>
      <c r="D61" s="107" t="s">
        <v>491</v>
      </c>
      <c r="E61" s="107" t="s">
        <v>413</v>
      </c>
      <c r="F61" s="109">
        <v>-471.27</v>
      </c>
      <c r="G61" s="107" t="s">
        <v>487</v>
      </c>
      <c r="H61" s="107"/>
    </row>
    <row r="62" spans="1:13" x14ac:dyDescent="0.65">
      <c r="A62" s="107">
        <f t="shared" si="0"/>
        <v>3</v>
      </c>
      <c r="B62" s="107">
        <f t="shared" si="1"/>
        <v>17</v>
      </c>
      <c r="C62" s="108">
        <v>44272</v>
      </c>
      <c r="D62" s="107" t="s">
        <v>482</v>
      </c>
      <c r="E62" s="107" t="s">
        <v>414</v>
      </c>
      <c r="F62" s="109">
        <v>-700</v>
      </c>
      <c r="G62" s="107" t="s">
        <v>507</v>
      </c>
      <c r="H62" s="107"/>
    </row>
    <row r="63" spans="1:13" x14ac:dyDescent="0.65">
      <c r="A63" s="107">
        <f t="shared" si="0"/>
        <v>3</v>
      </c>
      <c r="B63" s="107">
        <f t="shared" si="1"/>
        <v>17</v>
      </c>
      <c r="C63" s="108">
        <v>44272</v>
      </c>
      <c r="D63" s="107" t="s">
        <v>482</v>
      </c>
      <c r="E63" s="107" t="s">
        <v>415</v>
      </c>
      <c r="F63" s="109">
        <v>-39.700000000000003</v>
      </c>
      <c r="G63" s="107" t="s">
        <v>506</v>
      </c>
      <c r="H63" s="107"/>
    </row>
    <row r="64" spans="1:13" x14ac:dyDescent="0.65">
      <c r="A64" s="107">
        <f t="shared" si="0"/>
        <v>3</v>
      </c>
      <c r="B64" s="107">
        <f t="shared" si="1"/>
        <v>17</v>
      </c>
      <c r="C64" s="108">
        <v>44272</v>
      </c>
      <c r="D64" s="107" t="s">
        <v>495</v>
      </c>
      <c r="E64" s="107" t="s">
        <v>416</v>
      </c>
      <c r="F64" s="109">
        <v>-1000</v>
      </c>
      <c r="G64" s="107" t="s">
        <v>509</v>
      </c>
      <c r="H64" s="107"/>
      <c r="M64" s="110"/>
    </row>
    <row r="65" spans="1:13" x14ac:dyDescent="0.65">
      <c r="A65" s="107">
        <f t="shared" si="0"/>
        <v>3</v>
      </c>
      <c r="B65" s="107">
        <f t="shared" si="1"/>
        <v>17</v>
      </c>
      <c r="C65" s="108">
        <v>44272</v>
      </c>
      <c r="D65" s="107" t="s">
        <v>495</v>
      </c>
      <c r="E65" s="107" t="s">
        <v>417</v>
      </c>
      <c r="F65" s="109">
        <v>1000</v>
      </c>
      <c r="G65" s="107" t="s">
        <v>509</v>
      </c>
      <c r="H65" s="107"/>
      <c r="M65" s="110"/>
    </row>
    <row r="66" spans="1:13" x14ac:dyDescent="0.65">
      <c r="A66" s="107">
        <f t="shared" si="0"/>
        <v>3</v>
      </c>
      <c r="B66" s="107">
        <f t="shared" si="1"/>
        <v>17</v>
      </c>
      <c r="C66" s="108">
        <v>44272</v>
      </c>
      <c r="D66" s="107" t="s">
        <v>109</v>
      </c>
      <c r="E66" s="107" t="s">
        <v>418</v>
      </c>
      <c r="F66" s="109">
        <v>2800</v>
      </c>
      <c r="G66" s="107" t="s">
        <v>12</v>
      </c>
      <c r="H66" s="107"/>
    </row>
    <row r="67" spans="1:13" x14ac:dyDescent="0.65">
      <c r="A67" s="107">
        <f t="shared" ref="A67:A127" si="2">MONTH(C67)</f>
        <v>3</v>
      </c>
      <c r="B67" s="107">
        <f t="shared" ref="B67:B127" si="3">DAY(C67)</f>
        <v>19</v>
      </c>
      <c r="C67" s="108">
        <v>44274</v>
      </c>
      <c r="D67" s="107" t="s">
        <v>491</v>
      </c>
      <c r="E67" s="107" t="s">
        <v>419</v>
      </c>
      <c r="F67" s="109">
        <v>-50.34</v>
      </c>
      <c r="G67" s="107" t="s">
        <v>487</v>
      </c>
      <c r="H67" s="107"/>
    </row>
    <row r="68" spans="1:13" x14ac:dyDescent="0.65">
      <c r="A68" s="107">
        <f t="shared" si="2"/>
        <v>3</v>
      </c>
      <c r="B68" s="107">
        <f t="shared" si="3"/>
        <v>23</v>
      </c>
      <c r="C68" s="108">
        <v>44278</v>
      </c>
      <c r="D68" s="107" t="s">
        <v>482</v>
      </c>
      <c r="E68" s="107" t="s">
        <v>420</v>
      </c>
      <c r="F68" s="109">
        <v>-59</v>
      </c>
      <c r="G68" s="107" t="s">
        <v>71</v>
      </c>
      <c r="H68" s="107"/>
    </row>
    <row r="69" spans="1:13" x14ac:dyDescent="0.65">
      <c r="A69" s="107">
        <f t="shared" si="2"/>
        <v>3</v>
      </c>
      <c r="B69" s="107">
        <f t="shared" si="3"/>
        <v>23</v>
      </c>
      <c r="C69" s="108">
        <v>44278</v>
      </c>
      <c r="D69" s="107" t="s">
        <v>482</v>
      </c>
      <c r="E69" s="107" t="s">
        <v>421</v>
      </c>
      <c r="F69" s="109">
        <v>-40</v>
      </c>
      <c r="G69" s="107" t="s">
        <v>208</v>
      </c>
      <c r="H69" s="107"/>
    </row>
    <row r="70" spans="1:13" x14ac:dyDescent="0.65">
      <c r="A70" s="107">
        <f t="shared" si="2"/>
        <v>3</v>
      </c>
      <c r="B70" s="107">
        <f t="shared" si="3"/>
        <v>23</v>
      </c>
      <c r="C70" s="108">
        <v>44278</v>
      </c>
      <c r="D70" s="107" t="s">
        <v>482</v>
      </c>
      <c r="E70" s="107" t="s">
        <v>422</v>
      </c>
      <c r="F70" s="109">
        <v>-8.33</v>
      </c>
      <c r="G70" s="107" t="s">
        <v>208</v>
      </c>
      <c r="H70" s="107"/>
    </row>
    <row r="71" spans="1:13" x14ac:dyDescent="0.65">
      <c r="A71" s="107">
        <f t="shared" si="2"/>
        <v>3</v>
      </c>
      <c r="B71" s="107">
        <f t="shared" si="3"/>
        <v>26</v>
      </c>
      <c r="C71" s="108">
        <v>44281</v>
      </c>
      <c r="D71" s="107" t="s">
        <v>491</v>
      </c>
      <c r="E71" s="107" t="s">
        <v>423</v>
      </c>
      <c r="F71" s="109">
        <v>-264.60000000000002</v>
      </c>
      <c r="G71" s="107" t="s">
        <v>487</v>
      </c>
      <c r="H71" s="107"/>
    </row>
    <row r="72" spans="1:13" x14ac:dyDescent="0.65">
      <c r="A72" s="107">
        <f t="shared" si="2"/>
        <v>3</v>
      </c>
      <c r="B72" s="107">
        <f t="shared" si="3"/>
        <v>26</v>
      </c>
      <c r="C72" s="108">
        <v>44281</v>
      </c>
      <c r="D72" s="107" t="s">
        <v>10</v>
      </c>
      <c r="E72" s="107" t="s">
        <v>424</v>
      </c>
      <c r="F72" s="109">
        <v>1457.82</v>
      </c>
      <c r="G72" s="107" t="s">
        <v>10</v>
      </c>
      <c r="H72" s="107"/>
    </row>
    <row r="73" spans="1:13" x14ac:dyDescent="0.65">
      <c r="A73" s="107">
        <f t="shared" si="2"/>
        <v>3</v>
      </c>
      <c r="B73" s="107">
        <f t="shared" si="3"/>
        <v>29</v>
      </c>
      <c r="C73" s="108">
        <v>44284</v>
      </c>
      <c r="D73" s="107" t="s">
        <v>482</v>
      </c>
      <c r="E73" s="107" t="s">
        <v>425</v>
      </c>
      <c r="F73" s="109">
        <v>-20</v>
      </c>
      <c r="G73" s="107" t="s">
        <v>209</v>
      </c>
      <c r="H73" s="107"/>
    </row>
    <row r="74" spans="1:13" x14ac:dyDescent="0.65">
      <c r="A74" s="107">
        <f t="shared" si="2"/>
        <v>3</v>
      </c>
      <c r="B74" s="107">
        <f t="shared" si="3"/>
        <v>31</v>
      </c>
      <c r="C74" s="108">
        <v>44286</v>
      </c>
      <c r="D74" s="107" t="s">
        <v>491</v>
      </c>
      <c r="E74" s="107" t="s">
        <v>426</v>
      </c>
      <c r="F74" s="109">
        <v>-465.03</v>
      </c>
      <c r="G74" s="107" t="s">
        <v>487</v>
      </c>
      <c r="H74" s="107"/>
    </row>
    <row r="75" spans="1:13" x14ac:dyDescent="0.65">
      <c r="A75" s="107">
        <f t="shared" si="2"/>
        <v>4</v>
      </c>
      <c r="B75" s="107">
        <f t="shared" si="3"/>
        <v>1</v>
      </c>
      <c r="C75" s="108">
        <v>44287</v>
      </c>
      <c r="D75" s="107" t="s">
        <v>483</v>
      </c>
      <c r="E75" s="107" t="s">
        <v>427</v>
      </c>
      <c r="F75" s="109">
        <v>-400</v>
      </c>
      <c r="G75" s="107" t="s">
        <v>37</v>
      </c>
      <c r="H75" s="107"/>
      <c r="K75" s="110"/>
    </row>
    <row r="76" spans="1:13" x14ac:dyDescent="0.65">
      <c r="A76" s="107">
        <f t="shared" si="2"/>
        <v>4</v>
      </c>
      <c r="B76" s="107">
        <f t="shared" si="3"/>
        <v>9</v>
      </c>
      <c r="C76" s="108">
        <v>44295</v>
      </c>
      <c r="D76" s="107" t="s">
        <v>491</v>
      </c>
      <c r="E76" s="107" t="s">
        <v>428</v>
      </c>
      <c r="F76" s="109">
        <v>-450.02</v>
      </c>
      <c r="G76" s="107" t="s">
        <v>487</v>
      </c>
      <c r="H76" s="107"/>
    </row>
    <row r="77" spans="1:13" x14ac:dyDescent="0.65">
      <c r="A77" s="107">
        <f t="shared" si="2"/>
        <v>4</v>
      </c>
      <c r="B77" s="107">
        <f t="shared" si="3"/>
        <v>9</v>
      </c>
      <c r="C77" s="108">
        <v>44295</v>
      </c>
      <c r="D77" s="107" t="s">
        <v>10</v>
      </c>
      <c r="E77" s="107" t="s">
        <v>429</v>
      </c>
      <c r="F77" s="109">
        <v>1242.82</v>
      </c>
      <c r="G77" s="107" t="s">
        <v>10</v>
      </c>
      <c r="H77" s="107"/>
    </row>
    <row r="78" spans="1:13" x14ac:dyDescent="0.65">
      <c r="A78" s="107">
        <f t="shared" si="2"/>
        <v>4</v>
      </c>
      <c r="B78" s="107">
        <f t="shared" si="3"/>
        <v>12</v>
      </c>
      <c r="C78" s="108">
        <v>44298</v>
      </c>
      <c r="D78" s="107" t="s">
        <v>482</v>
      </c>
      <c r="E78" s="107" t="s">
        <v>430</v>
      </c>
      <c r="F78" s="109">
        <v>-138.52000000000001</v>
      </c>
      <c r="G78" s="107" t="s">
        <v>506</v>
      </c>
      <c r="H78" s="107"/>
    </row>
    <row r="79" spans="1:13" x14ac:dyDescent="0.65">
      <c r="A79" s="107">
        <f t="shared" si="2"/>
        <v>4</v>
      </c>
      <c r="B79" s="107">
        <f t="shared" si="3"/>
        <v>12</v>
      </c>
      <c r="C79" s="108">
        <v>44298</v>
      </c>
      <c r="D79" s="107" t="s">
        <v>482</v>
      </c>
      <c r="E79" s="107" t="s">
        <v>431</v>
      </c>
      <c r="F79" s="109">
        <v>-100</v>
      </c>
      <c r="G79" s="107" t="s">
        <v>508</v>
      </c>
      <c r="H79" s="107"/>
    </row>
    <row r="80" spans="1:13" x14ac:dyDescent="0.65">
      <c r="A80" s="107">
        <f t="shared" si="2"/>
        <v>4</v>
      </c>
      <c r="B80" s="107">
        <f t="shared" si="3"/>
        <v>12</v>
      </c>
      <c r="C80" s="108">
        <v>44298</v>
      </c>
      <c r="D80" s="107" t="s">
        <v>483</v>
      </c>
      <c r="E80" s="107" t="s">
        <v>432</v>
      </c>
      <c r="F80" s="109">
        <v>-250</v>
      </c>
      <c r="G80" s="107" t="s">
        <v>510</v>
      </c>
      <c r="H80" s="107"/>
      <c r="K80" s="110"/>
    </row>
    <row r="81" spans="1:12" x14ac:dyDescent="0.65">
      <c r="A81" s="107">
        <f t="shared" si="2"/>
        <v>4</v>
      </c>
      <c r="B81" s="107">
        <f t="shared" si="3"/>
        <v>19</v>
      </c>
      <c r="C81" s="108">
        <v>44305</v>
      </c>
      <c r="D81" s="107" t="s">
        <v>482</v>
      </c>
      <c r="E81" s="107" t="s">
        <v>433</v>
      </c>
      <c r="F81" s="109">
        <v>50</v>
      </c>
      <c r="G81" s="107" t="s">
        <v>511</v>
      </c>
      <c r="H81" s="107"/>
    </row>
    <row r="82" spans="1:12" x14ac:dyDescent="0.65">
      <c r="A82" s="107">
        <f t="shared" si="2"/>
        <v>4</v>
      </c>
      <c r="B82" s="107">
        <f t="shared" si="3"/>
        <v>19</v>
      </c>
      <c r="C82" s="108">
        <v>44305</v>
      </c>
      <c r="D82" s="107" t="s">
        <v>498</v>
      </c>
      <c r="E82" s="107" t="s">
        <v>434</v>
      </c>
      <c r="F82" s="109">
        <v>30</v>
      </c>
      <c r="G82" s="107" t="s">
        <v>3</v>
      </c>
      <c r="H82" s="107"/>
    </row>
    <row r="83" spans="1:12" x14ac:dyDescent="0.65">
      <c r="A83" s="107">
        <f t="shared" si="2"/>
        <v>4</v>
      </c>
      <c r="B83" s="107">
        <f t="shared" si="3"/>
        <v>20</v>
      </c>
      <c r="C83" s="108">
        <v>44306</v>
      </c>
      <c r="D83" s="107" t="s">
        <v>484</v>
      </c>
      <c r="E83" s="107" t="s">
        <v>435</v>
      </c>
      <c r="F83" s="109">
        <v>189</v>
      </c>
      <c r="G83" s="107" t="s">
        <v>35</v>
      </c>
      <c r="H83" s="107"/>
      <c r="L83" s="110"/>
    </row>
    <row r="84" spans="1:12" x14ac:dyDescent="0.65">
      <c r="A84" s="107">
        <f t="shared" si="2"/>
        <v>4</v>
      </c>
      <c r="B84" s="107">
        <f t="shared" si="3"/>
        <v>23</v>
      </c>
      <c r="C84" s="108">
        <v>44309</v>
      </c>
      <c r="D84" s="107" t="s">
        <v>482</v>
      </c>
      <c r="E84" s="107" t="s">
        <v>436</v>
      </c>
      <c r="F84" s="109">
        <v>-700</v>
      </c>
      <c r="G84" s="107" t="s">
        <v>507</v>
      </c>
      <c r="H84" s="107"/>
    </row>
    <row r="85" spans="1:12" x14ac:dyDescent="0.65">
      <c r="A85" s="107">
        <f t="shared" si="2"/>
        <v>4</v>
      </c>
      <c r="B85" s="107">
        <f t="shared" si="3"/>
        <v>23</v>
      </c>
      <c r="C85" s="108">
        <v>44309</v>
      </c>
      <c r="D85" s="107" t="s">
        <v>483</v>
      </c>
      <c r="E85" s="107" t="s">
        <v>437</v>
      </c>
      <c r="F85" s="109">
        <v>-10.6</v>
      </c>
      <c r="G85" s="107" t="s">
        <v>527</v>
      </c>
      <c r="H85" s="107"/>
      <c r="K85" s="110"/>
    </row>
    <row r="86" spans="1:12" x14ac:dyDescent="0.65">
      <c r="A86" s="107">
        <f t="shared" si="2"/>
        <v>4</v>
      </c>
      <c r="B86" s="107">
        <f t="shared" si="3"/>
        <v>23</v>
      </c>
      <c r="C86" s="108">
        <v>44309</v>
      </c>
      <c r="D86" s="107" t="s">
        <v>10</v>
      </c>
      <c r="E86" s="107" t="s">
        <v>438</v>
      </c>
      <c r="F86" s="109">
        <v>1174.51</v>
      </c>
      <c r="G86" s="107" t="s">
        <v>10</v>
      </c>
      <c r="H86" s="107"/>
    </row>
    <row r="87" spans="1:12" x14ac:dyDescent="0.65">
      <c r="A87" s="107">
        <f t="shared" si="2"/>
        <v>4</v>
      </c>
      <c r="B87" s="107">
        <f t="shared" si="3"/>
        <v>30</v>
      </c>
      <c r="C87" s="108">
        <v>44316</v>
      </c>
      <c r="D87" s="107" t="s">
        <v>483</v>
      </c>
      <c r="E87" s="107" t="s">
        <v>439</v>
      </c>
      <c r="F87" s="109">
        <v>-50</v>
      </c>
      <c r="G87" s="107" t="s">
        <v>510</v>
      </c>
      <c r="H87" s="107"/>
      <c r="K87" s="110"/>
    </row>
    <row r="88" spans="1:12" x14ac:dyDescent="0.65">
      <c r="A88" s="107">
        <f t="shared" si="2"/>
        <v>5</v>
      </c>
      <c r="B88" s="107">
        <f t="shared" si="3"/>
        <v>3</v>
      </c>
      <c r="C88" s="108">
        <v>44319</v>
      </c>
      <c r="D88" s="107" t="s">
        <v>482</v>
      </c>
      <c r="E88" s="107" t="s">
        <v>440</v>
      </c>
      <c r="F88" s="109">
        <v>-50</v>
      </c>
      <c r="G88" s="107" t="s">
        <v>512</v>
      </c>
      <c r="H88" s="107"/>
    </row>
    <row r="89" spans="1:12" x14ac:dyDescent="0.65">
      <c r="A89" s="107">
        <f t="shared" si="2"/>
        <v>5</v>
      </c>
      <c r="B89" s="107">
        <f t="shared" si="3"/>
        <v>5</v>
      </c>
      <c r="C89" s="108">
        <v>44321</v>
      </c>
      <c r="D89" s="107" t="s">
        <v>491</v>
      </c>
      <c r="E89" s="107" t="s">
        <v>441</v>
      </c>
      <c r="F89" s="109">
        <v>-1404.1</v>
      </c>
      <c r="G89" s="107" t="s">
        <v>487</v>
      </c>
      <c r="H89" s="107"/>
    </row>
    <row r="90" spans="1:12" x14ac:dyDescent="0.65">
      <c r="A90" s="107">
        <f t="shared" si="2"/>
        <v>5</v>
      </c>
      <c r="B90" s="107">
        <f t="shared" si="3"/>
        <v>6</v>
      </c>
      <c r="C90" s="108">
        <v>44322</v>
      </c>
      <c r="D90" s="107" t="s">
        <v>499</v>
      </c>
      <c r="E90" s="107" t="s">
        <v>442</v>
      </c>
      <c r="F90" s="109">
        <v>-200</v>
      </c>
      <c r="G90" s="107" t="s">
        <v>519</v>
      </c>
      <c r="H90" s="107"/>
    </row>
    <row r="91" spans="1:12" x14ac:dyDescent="0.65">
      <c r="A91" s="107">
        <f t="shared" si="2"/>
        <v>5</v>
      </c>
      <c r="B91" s="107">
        <f t="shared" si="3"/>
        <v>6</v>
      </c>
      <c r="C91" s="108">
        <v>44322</v>
      </c>
      <c r="D91" s="107" t="s">
        <v>499</v>
      </c>
      <c r="E91" s="107" t="s">
        <v>443</v>
      </c>
      <c r="F91" s="109">
        <v>-200</v>
      </c>
      <c r="G91" s="107" t="s">
        <v>520</v>
      </c>
      <c r="H91" s="107"/>
    </row>
    <row r="92" spans="1:12" x14ac:dyDescent="0.65">
      <c r="A92" s="107">
        <f t="shared" si="2"/>
        <v>5</v>
      </c>
      <c r="B92" s="107">
        <f t="shared" si="3"/>
        <v>7</v>
      </c>
      <c r="C92" s="108">
        <v>44323</v>
      </c>
      <c r="D92" s="107" t="s">
        <v>10</v>
      </c>
      <c r="E92" s="107" t="s">
        <v>444</v>
      </c>
      <c r="F92" s="109">
        <v>1174.52</v>
      </c>
      <c r="G92" s="107" t="s">
        <v>10</v>
      </c>
      <c r="H92" s="107"/>
    </row>
    <row r="93" spans="1:12" x14ac:dyDescent="0.65">
      <c r="A93" s="107">
        <f t="shared" si="2"/>
        <v>5</v>
      </c>
      <c r="B93" s="107">
        <f t="shared" si="3"/>
        <v>7</v>
      </c>
      <c r="C93" s="108">
        <v>44323</v>
      </c>
      <c r="D93" s="107" t="s">
        <v>490</v>
      </c>
      <c r="E93" s="107" t="s">
        <v>445</v>
      </c>
      <c r="F93" s="109">
        <v>803.91</v>
      </c>
      <c r="G93" s="107" t="s">
        <v>493</v>
      </c>
      <c r="H93" s="107"/>
    </row>
    <row r="94" spans="1:12" x14ac:dyDescent="0.65">
      <c r="A94" s="107">
        <f t="shared" si="2"/>
        <v>5</v>
      </c>
      <c r="B94" s="107">
        <f t="shared" si="3"/>
        <v>10</v>
      </c>
      <c r="C94" s="108">
        <v>44326</v>
      </c>
      <c r="D94" s="107" t="s">
        <v>482</v>
      </c>
      <c r="E94" s="107" t="s">
        <v>446</v>
      </c>
      <c r="F94" s="109">
        <v>-150</v>
      </c>
      <c r="G94" s="107" t="s">
        <v>508</v>
      </c>
      <c r="H94" s="107"/>
    </row>
    <row r="95" spans="1:12" x14ac:dyDescent="0.65">
      <c r="A95" s="107">
        <f t="shared" si="2"/>
        <v>5</v>
      </c>
      <c r="B95" s="107">
        <f t="shared" si="3"/>
        <v>10</v>
      </c>
      <c r="C95" s="108">
        <v>44326</v>
      </c>
      <c r="D95" s="107" t="s">
        <v>482</v>
      </c>
      <c r="E95" s="107" t="s">
        <v>447</v>
      </c>
      <c r="F95" s="109">
        <v>-136.13999999999999</v>
      </c>
      <c r="G95" s="107" t="s">
        <v>506</v>
      </c>
      <c r="H95" s="107"/>
    </row>
    <row r="96" spans="1:12" x14ac:dyDescent="0.65">
      <c r="A96" s="107">
        <f t="shared" si="2"/>
        <v>5</v>
      </c>
      <c r="B96" s="107">
        <f t="shared" si="3"/>
        <v>11</v>
      </c>
      <c r="C96" s="108">
        <v>44327</v>
      </c>
      <c r="D96" s="107" t="s">
        <v>494</v>
      </c>
      <c r="E96" s="107" t="s">
        <v>448</v>
      </c>
      <c r="F96" s="109">
        <v>-28.93</v>
      </c>
      <c r="G96" s="107" t="s">
        <v>504</v>
      </c>
      <c r="H96" s="107"/>
    </row>
    <row r="97" spans="1:12" x14ac:dyDescent="0.65">
      <c r="A97" s="107">
        <f t="shared" si="2"/>
        <v>5</v>
      </c>
      <c r="B97" s="107">
        <f t="shared" si="3"/>
        <v>12</v>
      </c>
      <c r="C97" s="108">
        <v>44328</v>
      </c>
      <c r="D97" s="107" t="s">
        <v>482</v>
      </c>
      <c r="E97" s="107" t="s">
        <v>449</v>
      </c>
      <c r="F97" s="109">
        <v>150</v>
      </c>
      <c r="G97" s="107" t="s">
        <v>511</v>
      </c>
      <c r="H97" s="107"/>
    </row>
    <row r="98" spans="1:12" x14ac:dyDescent="0.65">
      <c r="A98" s="107">
        <f t="shared" si="2"/>
        <v>5</v>
      </c>
      <c r="B98" s="107">
        <f t="shared" si="3"/>
        <v>14</v>
      </c>
      <c r="C98" s="108">
        <v>44330</v>
      </c>
      <c r="D98" s="107" t="s">
        <v>494</v>
      </c>
      <c r="E98" s="107" t="s">
        <v>450</v>
      </c>
      <c r="F98" s="109">
        <v>-21.39</v>
      </c>
      <c r="G98" s="107" t="s">
        <v>504</v>
      </c>
      <c r="H98" s="107"/>
    </row>
    <row r="99" spans="1:12" x14ac:dyDescent="0.65">
      <c r="A99" s="107">
        <f t="shared" si="2"/>
        <v>5</v>
      </c>
      <c r="B99" s="107">
        <f t="shared" si="3"/>
        <v>14</v>
      </c>
      <c r="C99" s="108">
        <v>44330</v>
      </c>
      <c r="D99" s="107" t="s">
        <v>484</v>
      </c>
      <c r="E99" s="107" t="s">
        <v>451</v>
      </c>
      <c r="F99" s="109">
        <v>136.13999999999999</v>
      </c>
      <c r="G99" s="107" t="s">
        <v>35</v>
      </c>
      <c r="H99" s="107"/>
      <c r="L99" s="110"/>
    </row>
    <row r="100" spans="1:12" x14ac:dyDescent="0.65">
      <c r="A100" s="107">
        <f t="shared" si="2"/>
        <v>5</v>
      </c>
      <c r="B100" s="107">
        <f t="shared" si="3"/>
        <v>17</v>
      </c>
      <c r="C100" s="108">
        <v>44333</v>
      </c>
      <c r="D100" s="107" t="s">
        <v>482</v>
      </c>
      <c r="E100" s="107" t="s">
        <v>452</v>
      </c>
      <c r="F100" s="109">
        <v>-220</v>
      </c>
      <c r="G100" s="107" t="s">
        <v>71</v>
      </c>
      <c r="H100" s="107"/>
    </row>
    <row r="101" spans="1:12" x14ac:dyDescent="0.65">
      <c r="A101" s="107">
        <f t="shared" si="2"/>
        <v>5</v>
      </c>
      <c r="B101" s="107">
        <f t="shared" si="3"/>
        <v>20</v>
      </c>
      <c r="C101" s="108">
        <v>44336</v>
      </c>
      <c r="D101" s="107" t="s">
        <v>482</v>
      </c>
      <c r="E101" s="107" t="s">
        <v>453</v>
      </c>
      <c r="F101" s="109">
        <v>-85</v>
      </c>
      <c r="G101" s="107" t="s">
        <v>71</v>
      </c>
      <c r="H101" s="107"/>
    </row>
    <row r="102" spans="1:12" x14ac:dyDescent="0.65">
      <c r="A102" s="107">
        <f t="shared" si="2"/>
        <v>5</v>
      </c>
      <c r="B102" s="107">
        <f t="shared" si="3"/>
        <v>21</v>
      </c>
      <c r="C102" s="108">
        <v>44337</v>
      </c>
      <c r="D102" s="107" t="s">
        <v>482</v>
      </c>
      <c r="E102" s="107" t="s">
        <v>454</v>
      </c>
      <c r="F102" s="109">
        <v>-340</v>
      </c>
      <c r="G102" s="107" t="s">
        <v>513</v>
      </c>
      <c r="H102" s="107"/>
    </row>
    <row r="103" spans="1:12" x14ac:dyDescent="0.65">
      <c r="A103" s="107">
        <f t="shared" si="2"/>
        <v>5</v>
      </c>
      <c r="B103" s="107">
        <f t="shared" si="3"/>
        <v>21</v>
      </c>
      <c r="C103" s="108">
        <v>44337</v>
      </c>
      <c r="D103" s="107" t="s">
        <v>10</v>
      </c>
      <c r="E103" s="107" t="s">
        <v>455</v>
      </c>
      <c r="F103" s="109">
        <v>1342.98</v>
      </c>
      <c r="G103" s="107" t="s">
        <v>10</v>
      </c>
      <c r="H103" s="107"/>
    </row>
    <row r="104" spans="1:12" x14ac:dyDescent="0.65">
      <c r="A104" s="107">
        <f t="shared" si="2"/>
        <v>5</v>
      </c>
      <c r="B104" s="107">
        <f t="shared" si="3"/>
        <v>24</v>
      </c>
      <c r="C104" s="108">
        <v>44340</v>
      </c>
      <c r="D104" s="107" t="s">
        <v>491</v>
      </c>
      <c r="E104" s="107" t="s">
        <v>456</v>
      </c>
      <c r="F104" s="109">
        <v>-1412.32</v>
      </c>
      <c r="G104" s="107" t="s">
        <v>487</v>
      </c>
      <c r="H104" s="107"/>
    </row>
    <row r="105" spans="1:12" x14ac:dyDescent="0.65">
      <c r="A105" s="107">
        <f t="shared" si="2"/>
        <v>5</v>
      </c>
      <c r="B105" s="107">
        <f t="shared" si="3"/>
        <v>24</v>
      </c>
      <c r="C105" s="108">
        <v>44340</v>
      </c>
      <c r="D105" s="107" t="s">
        <v>483</v>
      </c>
      <c r="E105" s="107" t="s">
        <v>457</v>
      </c>
      <c r="F105" s="109">
        <v>-50</v>
      </c>
      <c r="G105" s="107" t="s">
        <v>518</v>
      </c>
      <c r="H105" s="107"/>
      <c r="K105" s="110"/>
    </row>
    <row r="106" spans="1:12" x14ac:dyDescent="0.65">
      <c r="A106" s="107">
        <f t="shared" si="2"/>
        <v>5</v>
      </c>
      <c r="B106" s="107">
        <f t="shared" si="3"/>
        <v>24</v>
      </c>
      <c r="C106" s="108">
        <v>44340</v>
      </c>
      <c r="D106" s="107" t="s">
        <v>483</v>
      </c>
      <c r="E106" s="107" t="s">
        <v>458</v>
      </c>
      <c r="F106" s="109">
        <v>-50</v>
      </c>
      <c r="G106" s="107" t="s">
        <v>517</v>
      </c>
      <c r="H106" s="107"/>
      <c r="K106" s="110"/>
    </row>
    <row r="107" spans="1:12" x14ac:dyDescent="0.65">
      <c r="A107" s="107">
        <f t="shared" si="2"/>
        <v>5</v>
      </c>
      <c r="B107" s="107">
        <f t="shared" si="3"/>
        <v>24</v>
      </c>
      <c r="C107" s="108">
        <v>44340</v>
      </c>
      <c r="D107" s="107" t="s">
        <v>483</v>
      </c>
      <c r="E107" s="107" t="s">
        <v>459</v>
      </c>
      <c r="F107" s="109">
        <v>-120</v>
      </c>
      <c r="G107" s="107" t="s">
        <v>92</v>
      </c>
      <c r="H107" s="107"/>
      <c r="K107" s="110"/>
    </row>
    <row r="108" spans="1:12" x14ac:dyDescent="0.65">
      <c r="A108" s="107">
        <f t="shared" si="2"/>
        <v>5</v>
      </c>
      <c r="B108" s="107">
        <f t="shared" si="3"/>
        <v>24</v>
      </c>
      <c r="C108" s="108">
        <v>44340</v>
      </c>
      <c r="D108" s="107" t="s">
        <v>488</v>
      </c>
      <c r="E108" s="107" t="s">
        <v>460</v>
      </c>
      <c r="F108" s="109">
        <v>815.63</v>
      </c>
      <c r="G108" s="107" t="s">
        <v>71</v>
      </c>
      <c r="H108" s="107"/>
      <c r="L108" s="110"/>
    </row>
    <row r="109" spans="1:12" x14ac:dyDescent="0.65">
      <c r="A109" s="107">
        <f t="shared" si="2"/>
        <v>5</v>
      </c>
      <c r="B109" s="107">
        <f t="shared" si="3"/>
        <v>25</v>
      </c>
      <c r="C109" s="108">
        <v>44341</v>
      </c>
      <c r="D109" s="107" t="s">
        <v>482</v>
      </c>
      <c r="E109" s="107" t="s">
        <v>461</v>
      </c>
      <c r="F109" s="109">
        <v>-215.27</v>
      </c>
      <c r="G109" s="107" t="s">
        <v>71</v>
      </c>
      <c r="H109" s="107"/>
    </row>
    <row r="110" spans="1:12" x14ac:dyDescent="0.65">
      <c r="A110" s="107">
        <f t="shared" si="2"/>
        <v>5</v>
      </c>
      <c r="B110" s="107">
        <f t="shared" si="3"/>
        <v>28</v>
      </c>
      <c r="C110" s="108">
        <v>44344</v>
      </c>
      <c r="D110" s="107" t="s">
        <v>483</v>
      </c>
      <c r="E110" s="107" t="s">
        <v>462</v>
      </c>
      <c r="F110" s="109">
        <v>-140</v>
      </c>
      <c r="G110" s="107" t="s">
        <v>37</v>
      </c>
      <c r="H110" s="107"/>
      <c r="K110" s="110"/>
    </row>
    <row r="111" spans="1:12" x14ac:dyDescent="0.65">
      <c r="A111" s="107">
        <f t="shared" si="2"/>
        <v>6</v>
      </c>
      <c r="B111" s="107">
        <f t="shared" si="3"/>
        <v>1</v>
      </c>
      <c r="C111" s="108">
        <v>44348</v>
      </c>
      <c r="D111" s="107" t="s">
        <v>483</v>
      </c>
      <c r="E111" s="107" t="s">
        <v>463</v>
      </c>
      <c r="F111" s="109">
        <v>-500</v>
      </c>
      <c r="G111" s="107" t="s">
        <v>35</v>
      </c>
      <c r="H111" s="107"/>
      <c r="K111" s="110"/>
    </row>
    <row r="112" spans="1:12" x14ac:dyDescent="0.65">
      <c r="A112" s="107">
        <f t="shared" si="2"/>
        <v>6</v>
      </c>
      <c r="B112" s="107">
        <f t="shared" si="3"/>
        <v>1</v>
      </c>
      <c r="C112" s="108">
        <v>44348</v>
      </c>
      <c r="D112" s="107" t="s">
        <v>485</v>
      </c>
      <c r="E112" s="107" t="s">
        <v>464</v>
      </c>
      <c r="F112" s="109">
        <v>2000</v>
      </c>
      <c r="G112" s="107" t="s">
        <v>503</v>
      </c>
      <c r="H112" s="107"/>
    </row>
    <row r="113" spans="1:12" x14ac:dyDescent="0.65">
      <c r="A113" s="107">
        <f t="shared" si="2"/>
        <v>6</v>
      </c>
      <c r="B113" s="107">
        <f t="shared" si="3"/>
        <v>4</v>
      </c>
      <c r="C113" s="108">
        <v>44351</v>
      </c>
      <c r="D113" s="107" t="s">
        <v>482</v>
      </c>
      <c r="E113" s="107" t="s">
        <v>465</v>
      </c>
      <c r="F113" s="109">
        <v>-118</v>
      </c>
      <c r="G113" s="107" t="s">
        <v>506</v>
      </c>
      <c r="H113" s="107"/>
    </row>
    <row r="114" spans="1:12" x14ac:dyDescent="0.65">
      <c r="A114" s="107">
        <f t="shared" si="2"/>
        <v>6</v>
      </c>
      <c r="B114" s="107">
        <f t="shared" si="3"/>
        <v>4</v>
      </c>
      <c r="C114" s="108">
        <v>44351</v>
      </c>
      <c r="D114" s="107" t="s">
        <v>483</v>
      </c>
      <c r="E114" s="107" t="s">
        <v>466</v>
      </c>
      <c r="F114" s="109">
        <v>-2041.66</v>
      </c>
      <c r="G114" s="107" t="s">
        <v>514</v>
      </c>
      <c r="H114" s="107"/>
    </row>
    <row r="115" spans="1:12" x14ac:dyDescent="0.65">
      <c r="A115" s="107">
        <f t="shared" si="2"/>
        <v>6</v>
      </c>
      <c r="B115" s="107">
        <f t="shared" si="3"/>
        <v>4</v>
      </c>
      <c r="C115" s="108">
        <v>44351</v>
      </c>
      <c r="D115" s="107" t="s">
        <v>10</v>
      </c>
      <c r="E115" s="107" t="s">
        <v>467</v>
      </c>
      <c r="F115" s="109">
        <v>1174.51</v>
      </c>
      <c r="G115" s="107" t="s">
        <v>10</v>
      </c>
      <c r="H115" s="107"/>
    </row>
    <row r="116" spans="1:12" x14ac:dyDescent="0.65">
      <c r="A116" s="107">
        <f t="shared" si="2"/>
        <v>6</v>
      </c>
      <c r="B116" s="107">
        <f t="shared" si="3"/>
        <v>7</v>
      </c>
      <c r="C116" s="108">
        <v>44354</v>
      </c>
      <c r="D116" s="107" t="s">
        <v>491</v>
      </c>
      <c r="E116" s="107" t="s">
        <v>468</v>
      </c>
      <c r="F116" s="109">
        <v>-1368.32</v>
      </c>
      <c r="G116" s="107" t="s">
        <v>487</v>
      </c>
      <c r="H116" s="107"/>
    </row>
    <row r="117" spans="1:12" x14ac:dyDescent="0.65">
      <c r="A117" s="107">
        <f t="shared" si="2"/>
        <v>6</v>
      </c>
      <c r="B117" s="107">
        <f t="shared" si="3"/>
        <v>7</v>
      </c>
      <c r="C117" s="108">
        <v>44354</v>
      </c>
      <c r="D117" s="107" t="s">
        <v>482</v>
      </c>
      <c r="E117" s="107" t="s">
        <v>469</v>
      </c>
      <c r="F117" s="109">
        <v>-564.69000000000005</v>
      </c>
      <c r="G117" s="132" t="s">
        <v>605</v>
      </c>
      <c r="H117" s="107"/>
    </row>
    <row r="118" spans="1:12" x14ac:dyDescent="0.65">
      <c r="A118" s="107">
        <f t="shared" si="2"/>
        <v>6</v>
      </c>
      <c r="B118" s="107">
        <f t="shared" si="3"/>
        <v>7</v>
      </c>
      <c r="C118" s="108">
        <v>44354</v>
      </c>
      <c r="D118" s="107" t="s">
        <v>482</v>
      </c>
      <c r="E118" s="107" t="s">
        <v>470</v>
      </c>
      <c r="F118" s="109">
        <v>-70.58</v>
      </c>
      <c r="G118" s="132" t="s">
        <v>605</v>
      </c>
      <c r="H118" s="107"/>
    </row>
    <row r="119" spans="1:12" x14ac:dyDescent="0.65">
      <c r="A119" s="107">
        <f t="shared" si="2"/>
        <v>6</v>
      </c>
      <c r="B119" s="107">
        <f t="shared" si="3"/>
        <v>7</v>
      </c>
      <c r="C119" s="108">
        <v>44354</v>
      </c>
      <c r="D119" s="107" t="s">
        <v>486</v>
      </c>
      <c r="E119" s="107" t="s">
        <v>471</v>
      </c>
      <c r="F119" s="109">
        <v>-200</v>
      </c>
      <c r="G119" s="107" t="s">
        <v>521</v>
      </c>
      <c r="H119" s="107"/>
      <c r="L119" s="110"/>
    </row>
    <row r="120" spans="1:12" x14ac:dyDescent="0.65">
      <c r="A120" s="107">
        <f t="shared" si="2"/>
        <v>6</v>
      </c>
      <c r="B120" s="107">
        <f t="shared" si="3"/>
        <v>7</v>
      </c>
      <c r="C120" s="108">
        <v>44354</v>
      </c>
      <c r="D120" s="107" t="s">
        <v>484</v>
      </c>
      <c r="E120" s="107" t="s">
        <v>472</v>
      </c>
      <c r="F120" s="109">
        <v>128.05000000000001</v>
      </c>
      <c r="G120" s="107" t="s">
        <v>37</v>
      </c>
      <c r="H120" s="107"/>
      <c r="L120" s="110"/>
    </row>
    <row r="121" spans="1:12" x14ac:dyDescent="0.65">
      <c r="A121" s="107">
        <f t="shared" si="2"/>
        <v>6</v>
      </c>
      <c r="B121" s="107">
        <f t="shared" si="3"/>
        <v>8</v>
      </c>
      <c r="C121" s="108">
        <v>44355</v>
      </c>
      <c r="D121" s="107" t="s">
        <v>483</v>
      </c>
      <c r="E121" s="107" t="s">
        <v>473</v>
      </c>
      <c r="F121" s="109">
        <v>-12.17</v>
      </c>
      <c r="G121" s="107" t="s">
        <v>527</v>
      </c>
      <c r="H121" s="107"/>
      <c r="K121" s="110"/>
    </row>
    <row r="122" spans="1:12" x14ac:dyDescent="0.65">
      <c r="A122" s="107">
        <f t="shared" si="2"/>
        <v>6</v>
      </c>
      <c r="B122" s="107">
        <f t="shared" si="3"/>
        <v>8</v>
      </c>
      <c r="C122" s="108">
        <v>44355</v>
      </c>
      <c r="D122" s="107" t="s">
        <v>490</v>
      </c>
      <c r="E122" s="107" t="s">
        <v>474</v>
      </c>
      <c r="F122" s="109">
        <v>415.42</v>
      </c>
      <c r="G122" s="107" t="s">
        <v>493</v>
      </c>
      <c r="H122" s="107"/>
    </row>
    <row r="123" spans="1:12" x14ac:dyDescent="0.65">
      <c r="A123" s="107">
        <f t="shared" si="2"/>
        <v>6</v>
      </c>
      <c r="B123" s="107">
        <f t="shared" si="3"/>
        <v>9</v>
      </c>
      <c r="C123" s="108">
        <v>44356</v>
      </c>
      <c r="D123" s="107" t="s">
        <v>485</v>
      </c>
      <c r="E123" s="107" t="s">
        <v>475</v>
      </c>
      <c r="F123" s="109">
        <v>1158.2</v>
      </c>
      <c r="G123" s="107" t="s">
        <v>503</v>
      </c>
      <c r="H123" s="107"/>
    </row>
    <row r="124" spans="1:12" x14ac:dyDescent="0.65">
      <c r="A124" s="107">
        <f t="shared" si="2"/>
        <v>6</v>
      </c>
      <c r="B124" s="107">
        <f t="shared" si="3"/>
        <v>11</v>
      </c>
      <c r="C124" s="108">
        <v>44358</v>
      </c>
      <c r="D124" s="107" t="s">
        <v>482</v>
      </c>
      <c r="E124" s="107" t="s">
        <v>476</v>
      </c>
      <c r="F124" s="109">
        <v>-78.75</v>
      </c>
      <c r="G124" s="107" t="s">
        <v>515</v>
      </c>
      <c r="H124" s="107"/>
    </row>
    <row r="125" spans="1:12" x14ac:dyDescent="0.65">
      <c r="A125" s="107">
        <f t="shared" si="2"/>
        <v>6</v>
      </c>
      <c r="B125" s="107">
        <f t="shared" si="3"/>
        <v>14</v>
      </c>
      <c r="C125" s="108">
        <v>44361</v>
      </c>
      <c r="D125" s="107" t="s">
        <v>486</v>
      </c>
      <c r="E125" s="107" t="s">
        <v>477</v>
      </c>
      <c r="F125" s="109">
        <v>-200</v>
      </c>
      <c r="G125" s="107" t="s">
        <v>517</v>
      </c>
      <c r="H125" s="107"/>
      <c r="L125" s="110"/>
    </row>
    <row r="126" spans="1:12" x14ac:dyDescent="0.65">
      <c r="A126" s="107">
        <f t="shared" si="2"/>
        <v>6</v>
      </c>
      <c r="B126" s="107">
        <f t="shared" si="3"/>
        <v>16</v>
      </c>
      <c r="C126" s="108">
        <v>44363</v>
      </c>
      <c r="D126" s="107" t="s">
        <v>500</v>
      </c>
      <c r="E126" s="107" t="s">
        <v>478</v>
      </c>
      <c r="F126" s="109">
        <v>-33.61</v>
      </c>
      <c r="G126" s="107" t="s">
        <v>505</v>
      </c>
      <c r="H126" s="107"/>
    </row>
    <row r="127" spans="1:12" x14ac:dyDescent="0.65">
      <c r="A127" s="107">
        <f t="shared" si="2"/>
        <v>6</v>
      </c>
      <c r="B127" s="107">
        <f t="shared" si="3"/>
        <v>17</v>
      </c>
      <c r="C127" s="108">
        <v>44364</v>
      </c>
      <c r="D127" s="107" t="s">
        <v>501</v>
      </c>
      <c r="E127" s="107" t="s">
        <v>479</v>
      </c>
      <c r="F127" s="109">
        <v>4436.57</v>
      </c>
      <c r="G127" s="107" t="s">
        <v>501</v>
      </c>
      <c r="H127" s="107"/>
    </row>
    <row r="128" spans="1:12" x14ac:dyDescent="0.65">
      <c r="A128" s="107">
        <f t="shared" ref="A128:A147" si="4">MONTH(C128)</f>
        <v>6</v>
      </c>
      <c r="B128" s="107">
        <f t="shared" ref="B128:B147" si="5">DAY(C128)</f>
        <v>18</v>
      </c>
      <c r="C128" s="108">
        <v>44365</v>
      </c>
      <c r="D128" s="107" t="str">
        <f>LEFT(E128, FIND(" ",E128)-1)</f>
        <v>PRINCIPAL</v>
      </c>
      <c r="E128" s="107" t="s">
        <v>607</v>
      </c>
      <c r="F128" s="109">
        <v>3967.1</v>
      </c>
      <c r="G128" s="132" t="s">
        <v>627</v>
      </c>
      <c r="H128" s="107"/>
    </row>
    <row r="129" spans="1:8" x14ac:dyDescent="0.65">
      <c r="A129" s="107">
        <f t="shared" si="4"/>
        <v>6</v>
      </c>
      <c r="B129" s="107">
        <f t="shared" si="5"/>
        <v>18</v>
      </c>
      <c r="C129" s="108">
        <v>44365</v>
      </c>
      <c r="D129" s="107" t="str">
        <f t="shared" ref="D129:D147" si="6">LEFT(E129, FIND(" ",E129)-1)</f>
        <v>Elephant</v>
      </c>
      <c r="E129" s="107" t="s">
        <v>608</v>
      </c>
      <c r="F129" s="109">
        <v>680.02</v>
      </c>
      <c r="G129" s="132" t="s">
        <v>10</v>
      </c>
      <c r="H129" s="107"/>
    </row>
    <row r="130" spans="1:8" x14ac:dyDescent="0.65">
      <c r="A130" s="107">
        <f t="shared" si="4"/>
        <v>6</v>
      </c>
      <c r="B130" s="107">
        <f t="shared" si="5"/>
        <v>21</v>
      </c>
      <c r="C130" s="108">
        <v>44368</v>
      </c>
      <c r="D130" s="107" t="str">
        <f t="shared" si="6"/>
        <v>VENMO</v>
      </c>
      <c r="E130" s="107" t="s">
        <v>609</v>
      </c>
      <c r="F130" s="109">
        <v>-2738.5</v>
      </c>
      <c r="G130" s="132" t="s">
        <v>628</v>
      </c>
      <c r="H130" s="107"/>
    </row>
    <row r="131" spans="1:8" x14ac:dyDescent="0.65">
      <c r="A131" s="107">
        <f t="shared" si="4"/>
        <v>6</v>
      </c>
      <c r="B131" s="107">
        <f t="shared" si="5"/>
        <v>21</v>
      </c>
      <c r="C131" s="108">
        <v>44368</v>
      </c>
      <c r="D131" s="107" t="str">
        <f t="shared" si="6"/>
        <v>VENMO</v>
      </c>
      <c r="E131" s="107" t="s">
        <v>610</v>
      </c>
      <c r="F131" s="109">
        <v>-615</v>
      </c>
      <c r="G131" s="132" t="s">
        <v>629</v>
      </c>
      <c r="H131" s="107"/>
    </row>
    <row r="132" spans="1:8" x14ac:dyDescent="0.65">
      <c r="A132" s="107">
        <f t="shared" si="4"/>
        <v>6</v>
      </c>
      <c r="B132" s="107">
        <f t="shared" si="5"/>
        <v>23</v>
      </c>
      <c r="C132" s="108">
        <v>44370</v>
      </c>
      <c r="D132" s="107" t="str">
        <f t="shared" si="6"/>
        <v>DISCOVER</v>
      </c>
      <c r="E132" s="107" t="s">
        <v>611</v>
      </c>
      <c r="F132" s="109">
        <v>-1869</v>
      </c>
      <c r="G132" s="132" t="s">
        <v>487</v>
      </c>
      <c r="H132" s="107"/>
    </row>
    <row r="133" spans="1:8" x14ac:dyDescent="0.65">
      <c r="A133" s="107">
        <f t="shared" si="4"/>
        <v>6</v>
      </c>
      <c r="B133" s="107">
        <f t="shared" si="5"/>
        <v>23</v>
      </c>
      <c r="C133" s="108">
        <v>44370</v>
      </c>
      <c r="D133" s="107" t="str">
        <f t="shared" si="6"/>
        <v>PURCHASE</v>
      </c>
      <c r="E133" s="107" t="s">
        <v>612</v>
      </c>
      <c r="F133" s="109">
        <v>-20</v>
      </c>
      <c r="G133" s="132" t="s">
        <v>603</v>
      </c>
      <c r="H133" s="107"/>
    </row>
    <row r="134" spans="1:8" x14ac:dyDescent="0.65">
      <c r="A134" s="107">
        <f t="shared" si="4"/>
        <v>6</v>
      </c>
      <c r="B134" s="107">
        <f t="shared" si="5"/>
        <v>23</v>
      </c>
      <c r="C134" s="108">
        <v>44370</v>
      </c>
      <c r="D134" s="107" t="str">
        <f t="shared" si="6"/>
        <v>PRINCIPAL</v>
      </c>
      <c r="E134" s="107" t="s">
        <v>613</v>
      </c>
      <c r="F134" s="109">
        <v>198.46</v>
      </c>
      <c r="G134" s="132" t="s">
        <v>627</v>
      </c>
      <c r="H134" s="107"/>
    </row>
    <row r="135" spans="1:8" x14ac:dyDescent="0.65">
      <c r="A135" s="107">
        <f t="shared" si="4"/>
        <v>6</v>
      </c>
      <c r="B135" s="107">
        <f t="shared" si="5"/>
        <v>25</v>
      </c>
      <c r="C135" s="108">
        <v>44372</v>
      </c>
      <c r="D135" s="107" t="str">
        <f t="shared" si="6"/>
        <v>PURCHASE</v>
      </c>
      <c r="E135" s="107" t="s">
        <v>614</v>
      </c>
      <c r="F135" s="109">
        <v>-58.57</v>
      </c>
      <c r="G135" s="132" t="s">
        <v>631</v>
      </c>
      <c r="H135" s="107"/>
    </row>
    <row r="136" spans="1:8" x14ac:dyDescent="0.65">
      <c r="A136" s="107">
        <f t="shared" si="4"/>
        <v>6</v>
      </c>
      <c r="B136" s="107">
        <f t="shared" si="5"/>
        <v>30</v>
      </c>
      <c r="C136" s="108">
        <v>44377</v>
      </c>
      <c r="D136" s="107" t="str">
        <f t="shared" si="6"/>
        <v>New</v>
      </c>
      <c r="E136" s="107" t="s">
        <v>615</v>
      </c>
      <c r="F136" s="109">
        <v>-1804.34</v>
      </c>
      <c r="G136" s="107" t="s">
        <v>514</v>
      </c>
      <c r="H136" s="107"/>
    </row>
    <row r="137" spans="1:8" x14ac:dyDescent="0.65">
      <c r="A137" s="107">
        <f t="shared" si="4"/>
        <v>7</v>
      </c>
      <c r="B137" s="107">
        <f t="shared" si="5"/>
        <v>1</v>
      </c>
      <c r="C137" s="108">
        <v>44378</v>
      </c>
      <c r="D137" s="107" t="str">
        <f t="shared" si="6"/>
        <v>DISCOVER</v>
      </c>
      <c r="E137" s="107" t="s">
        <v>616</v>
      </c>
      <c r="F137" s="109">
        <v>-871.96</v>
      </c>
      <c r="G137" s="132" t="s">
        <v>487</v>
      </c>
      <c r="H137" s="107"/>
    </row>
    <row r="138" spans="1:8" x14ac:dyDescent="0.65">
      <c r="A138" s="107">
        <f t="shared" si="4"/>
        <v>7</v>
      </c>
      <c r="B138" s="107">
        <f t="shared" si="5"/>
        <v>1</v>
      </c>
      <c r="C138" s="108">
        <v>44378</v>
      </c>
      <c r="D138" s="107" t="str">
        <f t="shared" si="6"/>
        <v>Nationwide</v>
      </c>
      <c r="E138" s="107" t="s">
        <v>617</v>
      </c>
      <c r="F138" s="109">
        <v>1583.62</v>
      </c>
      <c r="G138" s="132" t="s">
        <v>501</v>
      </c>
      <c r="H138" s="107"/>
    </row>
    <row r="139" spans="1:8" x14ac:dyDescent="0.65">
      <c r="A139" s="107">
        <f t="shared" si="4"/>
        <v>7</v>
      </c>
      <c r="B139" s="107">
        <f t="shared" si="5"/>
        <v>6</v>
      </c>
      <c r="C139" s="108">
        <v>44383</v>
      </c>
      <c r="D139" s="107" t="str">
        <f t="shared" si="6"/>
        <v>DISCOVER</v>
      </c>
      <c r="E139" s="107" t="s">
        <v>618</v>
      </c>
      <c r="F139" s="109">
        <v>-367.73</v>
      </c>
      <c r="G139" s="132" t="s">
        <v>487</v>
      </c>
      <c r="H139" s="107"/>
    </row>
    <row r="140" spans="1:8" x14ac:dyDescent="0.65">
      <c r="A140" s="107">
        <f t="shared" si="4"/>
        <v>7</v>
      </c>
      <c r="B140" s="107">
        <f t="shared" si="5"/>
        <v>6</v>
      </c>
      <c r="C140" s="108">
        <v>44383</v>
      </c>
      <c r="D140" s="107" t="str">
        <f t="shared" si="6"/>
        <v>VENMO</v>
      </c>
      <c r="E140" s="107" t="s">
        <v>619</v>
      </c>
      <c r="F140" s="109">
        <v>-32</v>
      </c>
      <c r="G140" s="132" t="s">
        <v>605</v>
      </c>
      <c r="H140" s="107"/>
    </row>
    <row r="141" spans="1:8" x14ac:dyDescent="0.65">
      <c r="A141" s="107">
        <f t="shared" si="4"/>
        <v>7</v>
      </c>
      <c r="B141" s="107">
        <f t="shared" si="5"/>
        <v>6</v>
      </c>
      <c r="C141" s="108">
        <v>44383</v>
      </c>
      <c r="D141" s="107" t="str">
        <f t="shared" si="6"/>
        <v>DISCOVER</v>
      </c>
      <c r="E141" s="107" t="s">
        <v>620</v>
      </c>
      <c r="F141" s="109">
        <v>-1854.26</v>
      </c>
      <c r="G141" s="132" t="s">
        <v>487</v>
      </c>
      <c r="H141" s="107"/>
    </row>
    <row r="142" spans="1:8" x14ac:dyDescent="0.65">
      <c r="A142" s="107">
        <f t="shared" si="4"/>
        <v>7</v>
      </c>
      <c r="B142" s="107">
        <f t="shared" si="5"/>
        <v>6</v>
      </c>
      <c r="C142" s="108">
        <v>44383</v>
      </c>
      <c r="D142" s="107" t="str">
        <f t="shared" si="6"/>
        <v>PURCHASE</v>
      </c>
      <c r="E142" s="107" t="s">
        <v>621</v>
      </c>
      <c r="F142" s="109">
        <v>-35.700000000000003</v>
      </c>
      <c r="G142" s="132" t="s">
        <v>605</v>
      </c>
      <c r="H142" s="107"/>
    </row>
    <row r="143" spans="1:8" x14ac:dyDescent="0.65">
      <c r="A143" s="107">
        <f t="shared" si="4"/>
        <v>7</v>
      </c>
      <c r="B143" s="107">
        <f t="shared" si="5"/>
        <v>6</v>
      </c>
      <c r="C143" s="108">
        <v>44383</v>
      </c>
      <c r="D143" s="107" t="str">
        <f t="shared" si="6"/>
        <v>PURCHASE</v>
      </c>
      <c r="E143" s="107" t="s">
        <v>622</v>
      </c>
      <c r="F143" s="109">
        <v>-26.66</v>
      </c>
      <c r="G143" s="132" t="s">
        <v>605</v>
      </c>
      <c r="H143" s="107"/>
    </row>
    <row r="144" spans="1:8" x14ac:dyDescent="0.65">
      <c r="A144" s="107">
        <f t="shared" si="4"/>
        <v>7</v>
      </c>
      <c r="B144" s="107">
        <f t="shared" si="5"/>
        <v>6</v>
      </c>
      <c r="C144" s="108">
        <v>44383</v>
      </c>
      <c r="D144" s="107" t="str">
        <f t="shared" si="6"/>
        <v>PURCHASE</v>
      </c>
      <c r="E144" s="107" t="s">
        <v>623</v>
      </c>
      <c r="F144" s="109">
        <v>-222.5</v>
      </c>
      <c r="G144" s="132" t="s">
        <v>605</v>
      </c>
      <c r="H144" s="107"/>
    </row>
    <row r="145" spans="1:8" x14ac:dyDescent="0.65">
      <c r="A145" s="107">
        <f t="shared" si="4"/>
        <v>7</v>
      </c>
      <c r="B145" s="107">
        <f t="shared" si="5"/>
        <v>6</v>
      </c>
      <c r="C145" s="108">
        <v>44383</v>
      </c>
      <c r="D145" s="107" t="str">
        <f t="shared" si="6"/>
        <v>VENMO</v>
      </c>
      <c r="E145" s="107" t="s">
        <v>624</v>
      </c>
      <c r="F145" s="109">
        <v>1076.8800000000001</v>
      </c>
      <c r="G145" s="132" t="s">
        <v>630</v>
      </c>
      <c r="H145" s="107"/>
    </row>
    <row r="146" spans="1:8" x14ac:dyDescent="0.65">
      <c r="A146" s="107">
        <f t="shared" si="4"/>
        <v>7</v>
      </c>
      <c r="B146" s="107">
        <f t="shared" si="5"/>
        <v>7</v>
      </c>
      <c r="C146" s="108">
        <v>44384</v>
      </c>
      <c r="D146" s="107" t="str">
        <f t="shared" si="6"/>
        <v>BEST</v>
      </c>
      <c r="E146" s="107" t="s">
        <v>625</v>
      </c>
      <c r="F146" s="109">
        <v>-95.38</v>
      </c>
      <c r="G146" s="132" t="s">
        <v>487</v>
      </c>
      <c r="H146" s="107"/>
    </row>
    <row r="147" spans="1:8" x14ac:dyDescent="0.65">
      <c r="A147" s="107">
        <f t="shared" si="4"/>
        <v>7</v>
      </c>
      <c r="B147" s="107">
        <f t="shared" si="5"/>
        <v>7</v>
      </c>
      <c r="C147" s="108">
        <v>44384</v>
      </c>
      <c r="D147" s="107" t="str">
        <f t="shared" si="6"/>
        <v>PURCHASE</v>
      </c>
      <c r="E147" s="107" t="s">
        <v>626</v>
      </c>
      <c r="F147" s="109">
        <v>-30</v>
      </c>
      <c r="G147" s="132" t="s">
        <v>631</v>
      </c>
      <c r="H147" s="107"/>
    </row>
  </sheetData>
  <autoFilter ref="A1:G127" xr:uid="{960FEAD7-88F2-46FC-803D-C310896A282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96C8-7254-425B-861C-3AE606D68153}">
  <sheetPr>
    <tabColor rgb="FFFFC000"/>
  </sheetPr>
  <dimension ref="A1:AC446"/>
  <sheetViews>
    <sheetView topLeftCell="G7" zoomScale="70" zoomScaleNormal="70" workbookViewId="0">
      <selection activeCell="O12" sqref="O12"/>
    </sheetView>
  </sheetViews>
  <sheetFormatPr defaultColWidth="9.33203125" defaultRowHeight="14.25" x14ac:dyDescent="0.65"/>
  <cols>
    <col min="1" max="2" width="9.33203125" style="14"/>
    <col min="3" max="3" width="12.44140625" style="15" bestFit="1" customWidth="1"/>
    <col min="4" max="4" width="17.6640625" style="15" bestFit="1" customWidth="1"/>
    <col min="5" max="5" width="17.6640625" customWidth="1"/>
    <col min="6" max="6" width="103.6640625" style="106" customWidth="1"/>
    <col min="7" max="7" width="15.33203125" style="18" bestFit="1" customWidth="1"/>
    <col min="8" max="8" width="26" style="15" bestFit="1" customWidth="1"/>
    <col min="9" max="9" width="15.44140625" style="15" bestFit="1" customWidth="1"/>
    <col min="10" max="10" width="15.44140625" style="18" bestFit="1" customWidth="1"/>
    <col min="11" max="11" width="32.38671875" style="15" customWidth="1"/>
    <col min="12" max="12" width="9.33203125" style="5"/>
    <col min="13" max="13" width="11.44140625" style="5" bestFit="1" customWidth="1"/>
    <col min="14" max="14" width="13.609375" style="5" bestFit="1" customWidth="1"/>
    <col min="15" max="15" width="9.33203125" style="5"/>
    <col min="16" max="16" width="29.33203125" style="5" bestFit="1" customWidth="1"/>
    <col min="17" max="17" width="12" style="5" bestFit="1" customWidth="1"/>
    <col min="18" max="29" width="15.71875" style="5" customWidth="1"/>
    <col min="30" max="16384" width="9.33203125" style="5"/>
  </cols>
  <sheetData>
    <row r="1" spans="1:29" ht="20.2" customHeight="1" x14ac:dyDescent="0.7">
      <c r="A1" s="3" t="s">
        <v>13</v>
      </c>
      <c r="B1" s="3" t="s">
        <v>14</v>
      </c>
      <c r="C1" s="4" t="s">
        <v>15</v>
      </c>
      <c r="D1" s="4" t="s">
        <v>16</v>
      </c>
      <c r="F1" s="95" t="s">
        <v>0</v>
      </c>
      <c r="G1" s="17" t="s">
        <v>1</v>
      </c>
      <c r="H1" s="4" t="s">
        <v>17</v>
      </c>
      <c r="I1" s="4" t="s">
        <v>18</v>
      </c>
      <c r="J1" s="17" t="s">
        <v>19</v>
      </c>
      <c r="K1" s="4" t="s">
        <v>20</v>
      </c>
    </row>
    <row r="2" spans="1:29" ht="20.2" customHeight="1" x14ac:dyDescent="0.65">
      <c r="A2" s="22">
        <f t="shared" ref="A2" si="0">YEAR(C2)</f>
        <v>2021</v>
      </c>
      <c r="B2" s="22">
        <f t="shared" ref="B2" si="1">MONTH(C2)</f>
        <v>1</v>
      </c>
      <c r="C2" s="73">
        <v>44197</v>
      </c>
      <c r="D2" s="73">
        <v>44197</v>
      </c>
      <c r="E2" t="str">
        <f t="shared" ref="E2:E65" si="2">LEFT(F2,5)</f>
        <v>INTER</v>
      </c>
      <c r="F2" s="96" t="s">
        <v>21</v>
      </c>
      <c r="G2" s="27">
        <v>-700</v>
      </c>
      <c r="H2" s="23" t="s">
        <v>22</v>
      </c>
      <c r="I2" s="7" t="str">
        <f t="shared" ref="I2" si="3">VLOOKUP(H2,Expense_Lookup,2,0)</f>
        <v>Payment</v>
      </c>
      <c r="J2" s="19">
        <v>728.15</v>
      </c>
      <c r="K2" s="7"/>
    </row>
    <row r="3" spans="1:29" ht="20.2" customHeight="1" x14ac:dyDescent="0.65">
      <c r="A3" s="22">
        <f t="shared" ref="A3:A66" si="4">YEAR(C3)</f>
        <v>2021</v>
      </c>
      <c r="B3" s="22">
        <f t="shared" ref="B3:B66" si="5">MONTH(C3)</f>
        <v>1</v>
      </c>
      <c r="C3" s="73">
        <v>44197</v>
      </c>
      <c r="D3" s="73">
        <v>44199</v>
      </c>
      <c r="E3" t="str">
        <f t="shared" si="2"/>
        <v>NETFL</v>
      </c>
      <c r="F3" s="96" t="s">
        <v>28</v>
      </c>
      <c r="G3" s="27">
        <v>13.99</v>
      </c>
      <c r="H3" s="26" t="s">
        <v>26</v>
      </c>
      <c r="I3" s="7" t="str">
        <f t="shared" ref="I3:I34" si="6">VLOOKUP(H3,Expense_Lookup,2,0)</f>
        <v>Fixed</v>
      </c>
      <c r="J3" s="8">
        <f>J2+G3</f>
        <v>742.14</v>
      </c>
      <c r="K3" s="85" t="s">
        <v>7</v>
      </c>
    </row>
    <row r="4" spans="1:29" ht="20.2" customHeight="1" thickBot="1" x14ac:dyDescent="0.8">
      <c r="A4" s="22">
        <f t="shared" si="4"/>
        <v>2021</v>
      </c>
      <c r="B4" s="22">
        <f t="shared" si="5"/>
        <v>1</v>
      </c>
      <c r="C4" s="73">
        <v>44197</v>
      </c>
      <c r="D4" s="73">
        <v>44199</v>
      </c>
      <c r="E4" t="str">
        <f t="shared" si="2"/>
        <v>SPOTI</v>
      </c>
      <c r="F4" s="96" t="s">
        <v>25</v>
      </c>
      <c r="G4" s="27">
        <v>9.99</v>
      </c>
      <c r="H4" s="26" t="s">
        <v>26</v>
      </c>
      <c r="I4" s="7" t="str">
        <f t="shared" si="6"/>
        <v>Fixed</v>
      </c>
      <c r="J4" s="8">
        <f t="shared" ref="J4:J67" si="7">J3+G4</f>
        <v>752.13</v>
      </c>
      <c r="K4" s="85" t="s">
        <v>6</v>
      </c>
      <c r="M4" s="5" t="s">
        <v>27</v>
      </c>
      <c r="N4" s="9">
        <f>SUMIFS(G:G,I:I,M4)</f>
        <v>12045.17</v>
      </c>
      <c r="R4" s="2" t="s">
        <v>2</v>
      </c>
      <c r="S4" s="2" t="s">
        <v>306</v>
      </c>
      <c r="T4" s="2" t="s">
        <v>307</v>
      </c>
      <c r="U4" s="2" t="s">
        <v>308</v>
      </c>
      <c r="V4" s="2" t="s">
        <v>309</v>
      </c>
      <c r="W4" s="2" t="s">
        <v>280</v>
      </c>
      <c r="X4" s="89" t="s">
        <v>327</v>
      </c>
      <c r="Y4" s="89" t="s">
        <v>329</v>
      </c>
      <c r="Z4" s="89" t="s">
        <v>330</v>
      </c>
      <c r="AA4" s="89" t="s">
        <v>328</v>
      </c>
      <c r="AB4" s="89" t="s">
        <v>331</v>
      </c>
      <c r="AC4" s="89" t="s">
        <v>332</v>
      </c>
    </row>
    <row r="5" spans="1:29" ht="20.2" customHeight="1" thickTop="1" thickBot="1" x14ac:dyDescent="0.85">
      <c r="A5" s="22">
        <f t="shared" si="4"/>
        <v>2021</v>
      </c>
      <c r="B5" s="22">
        <f t="shared" si="5"/>
        <v>1</v>
      </c>
      <c r="C5" s="73">
        <v>44197</v>
      </c>
      <c r="D5" s="73">
        <v>44199</v>
      </c>
      <c r="E5" t="str">
        <f t="shared" si="2"/>
        <v xml:space="preserve">WAWA </v>
      </c>
      <c r="F5" s="96" t="s">
        <v>23</v>
      </c>
      <c r="G5" s="27">
        <v>18.87</v>
      </c>
      <c r="H5" s="23" t="s">
        <v>24</v>
      </c>
      <c r="I5" s="7" t="str">
        <f t="shared" si="6"/>
        <v>Variable</v>
      </c>
      <c r="J5" s="8">
        <f t="shared" si="7"/>
        <v>771</v>
      </c>
      <c r="K5" s="7"/>
      <c r="M5" s="5" t="s">
        <v>29</v>
      </c>
      <c r="N5" s="9">
        <f>SUMIFS(G:G,I:I,M5)</f>
        <v>3270.2199999999993</v>
      </c>
      <c r="P5" s="10" t="str" cm="1">
        <f t="array" ref="P5:P21">_xlfn.UNIQUE(_xlfn._xlws.FILTER(H:H,(H:H&lt;&gt;0) ))</f>
        <v>Category</v>
      </c>
      <c r="Q5" s="12"/>
      <c r="R5" s="9"/>
    </row>
    <row r="6" spans="1:29" ht="20.2" customHeight="1" thickTop="1" x14ac:dyDescent="0.7">
      <c r="A6" s="22">
        <f t="shared" si="4"/>
        <v>2021</v>
      </c>
      <c r="B6" s="22">
        <f t="shared" si="5"/>
        <v>1</v>
      </c>
      <c r="C6" s="73">
        <v>44201</v>
      </c>
      <c r="D6" s="73">
        <v>44201</v>
      </c>
      <c r="E6" t="str">
        <f t="shared" si="2"/>
        <v>MYFIC</v>
      </c>
      <c r="F6" s="96" t="s">
        <v>30</v>
      </c>
      <c r="G6" s="27">
        <v>39.950000000000003</v>
      </c>
      <c r="H6" s="26" t="s">
        <v>26</v>
      </c>
      <c r="I6" s="7" t="str">
        <f t="shared" si="6"/>
        <v>Fixed</v>
      </c>
      <c r="J6" s="8">
        <f t="shared" si="7"/>
        <v>810.95</v>
      </c>
      <c r="K6" s="85" t="s">
        <v>293</v>
      </c>
      <c r="N6" s="9">
        <f>SUM(N4:N5)</f>
        <v>15315.39</v>
      </c>
      <c r="P6" s="11" t="str">
        <v>Payments and Credits</v>
      </c>
      <c r="Q6" s="12" t="s">
        <v>31</v>
      </c>
      <c r="R6" s="9">
        <f t="shared" ref="R6:R21" si="8">SUMIFS(G:G,H:H,P6,$B:$B,1)</f>
        <v>-2157.38</v>
      </c>
      <c r="S6" s="9">
        <f>SUMIFS(G:G,H:H,P6,$B:$B,2)</f>
        <v>-2256.4700000000003</v>
      </c>
      <c r="T6" s="9">
        <f>SUMIFS(G:G,H:H,P6,$B:$B,3)</f>
        <v>-2413.62</v>
      </c>
      <c r="U6" s="9">
        <f>SUMIFS($G:$G,$H:$H,$P6,$B:$B,4)</f>
        <v>-471.07</v>
      </c>
      <c r="V6" s="9">
        <f t="shared" ref="V6:V21" si="9">SUMIFS($G:$G,$H:$H,$P6,$B:$B,5)</f>
        <v>-2855.16</v>
      </c>
      <c r="W6" s="9">
        <f t="shared" ref="W6:X21" si="10">SUMIFS($G:$G,$H:$H,$P6,$B:$B,6)</f>
        <v>-3297.83</v>
      </c>
      <c r="X6" s="9">
        <f>SUMIFS($G:$G,$H:$H,$P6,$B:$B,7)</f>
        <v>-3414.44</v>
      </c>
    </row>
    <row r="7" spans="1:29" ht="20.2" customHeight="1" x14ac:dyDescent="0.7">
      <c r="A7" s="22">
        <f t="shared" si="4"/>
        <v>2021</v>
      </c>
      <c r="B7" s="22">
        <f t="shared" si="5"/>
        <v>1</v>
      </c>
      <c r="C7" s="73">
        <v>44201</v>
      </c>
      <c r="D7" s="73">
        <v>44201</v>
      </c>
      <c r="E7" t="str">
        <f t="shared" si="2"/>
        <v>STATE</v>
      </c>
      <c r="F7" s="96" t="s">
        <v>32</v>
      </c>
      <c r="G7" s="27">
        <v>91.78</v>
      </c>
      <c r="H7" s="26" t="s">
        <v>26</v>
      </c>
      <c r="I7" s="7" t="str">
        <f t="shared" si="6"/>
        <v>Fixed</v>
      </c>
      <c r="J7" s="8">
        <f t="shared" si="7"/>
        <v>902.73</v>
      </c>
      <c r="K7" s="85" t="s">
        <v>8</v>
      </c>
      <c r="M7" s="131" t="s">
        <v>56</v>
      </c>
      <c r="P7" s="11" t="str">
        <v>APP</v>
      </c>
      <c r="Q7" s="12" t="s">
        <v>29</v>
      </c>
      <c r="R7" s="9">
        <f t="shared" si="8"/>
        <v>225.53</v>
      </c>
      <c r="S7" s="9">
        <f t="shared" ref="S7:S21" si="11">SUMIFS(G:G,H:H,P7,$B:$B,2)</f>
        <v>260.85000000000002</v>
      </c>
      <c r="T7" s="9">
        <f t="shared" ref="T7:T21" si="12">SUMIFS(G:G,H:H,P7,$B:$B,3)</f>
        <v>493.82000000000005</v>
      </c>
      <c r="U7" s="9">
        <f t="shared" ref="U7:U21" si="13">SUMIFS(G:G,H:H,P7,$B:$B,4)</f>
        <v>318.38</v>
      </c>
      <c r="V7" s="9">
        <f t="shared" si="9"/>
        <v>506.1</v>
      </c>
      <c r="W7" s="9">
        <f t="shared" si="10"/>
        <v>579.08999999999992</v>
      </c>
      <c r="X7" s="9">
        <f t="shared" ref="X7:X22" si="14">SUMIFS($G:$G,$H:$H,$P7,$B:$B,7)</f>
        <v>138.88</v>
      </c>
    </row>
    <row r="8" spans="1:29" ht="20.2" customHeight="1" x14ac:dyDescent="0.7">
      <c r="A8" s="22">
        <f t="shared" si="4"/>
        <v>2021</v>
      </c>
      <c r="B8" s="22">
        <f t="shared" si="5"/>
        <v>1</v>
      </c>
      <c r="C8" s="73">
        <v>44201</v>
      </c>
      <c r="D8" s="73">
        <v>44201</v>
      </c>
      <c r="E8" t="str">
        <f t="shared" si="2"/>
        <v>STEAM</v>
      </c>
      <c r="F8" s="96" t="s">
        <v>33</v>
      </c>
      <c r="G8" s="27">
        <v>19.989999999999998</v>
      </c>
      <c r="H8" s="29" t="s">
        <v>68</v>
      </c>
      <c r="I8" s="7" t="str">
        <f t="shared" si="6"/>
        <v>Variable</v>
      </c>
      <c r="J8" s="8">
        <f t="shared" si="7"/>
        <v>922.72</v>
      </c>
      <c r="K8" s="13" t="s">
        <v>34</v>
      </c>
      <c r="M8" s="5" t="s">
        <v>35</v>
      </c>
      <c r="N8" s="9">
        <f>SUMIFS(G:G,K:K,M8)+SUMIFS('Cash Flow'!$B:$B,'Cash Flow'!$A:$A,Discover!M8)*-1</f>
        <v>700.3599999999999</v>
      </c>
      <c r="P8" s="11" t="str">
        <v>Gasoline</v>
      </c>
      <c r="Q8" s="12" t="s">
        <v>27</v>
      </c>
      <c r="R8" s="9">
        <f t="shared" si="8"/>
        <v>67.87</v>
      </c>
      <c r="S8" s="9">
        <f t="shared" si="11"/>
        <v>67.47</v>
      </c>
      <c r="T8" s="9">
        <f t="shared" si="12"/>
        <v>80.06</v>
      </c>
      <c r="U8" s="9">
        <f t="shared" si="13"/>
        <v>125.95</v>
      </c>
      <c r="V8" s="9">
        <f t="shared" si="9"/>
        <v>115.16</v>
      </c>
      <c r="W8" s="9">
        <f t="shared" si="10"/>
        <v>104.56</v>
      </c>
      <c r="X8" s="9">
        <f t="shared" si="14"/>
        <v>32.33</v>
      </c>
    </row>
    <row r="9" spans="1:29" ht="20.2" customHeight="1" x14ac:dyDescent="0.7">
      <c r="A9" s="22">
        <f t="shared" si="4"/>
        <v>2021</v>
      </c>
      <c r="B9" s="22">
        <f t="shared" si="5"/>
        <v>1</v>
      </c>
      <c r="C9" s="73">
        <v>44202</v>
      </c>
      <c r="D9" s="73">
        <v>44202</v>
      </c>
      <c r="E9" t="str">
        <f t="shared" si="2"/>
        <v>LIVEC</v>
      </c>
      <c r="F9" s="96" t="s">
        <v>36</v>
      </c>
      <c r="G9" s="27">
        <v>24.95</v>
      </c>
      <c r="H9" s="26" t="s">
        <v>26</v>
      </c>
      <c r="I9" s="7" t="str">
        <f t="shared" si="6"/>
        <v>Fixed</v>
      </c>
      <c r="J9" s="8">
        <f t="shared" si="7"/>
        <v>947.67000000000007</v>
      </c>
      <c r="K9" s="85" t="s">
        <v>35</v>
      </c>
      <c r="M9" s="5" t="s">
        <v>37</v>
      </c>
      <c r="N9" s="9">
        <f>SUMIFS(G:G,K:K,M9)+SUMIFS('Cash Flow'!$B:$B,'Cash Flow'!$A:$A,Discover!M9)*-1</f>
        <v>514.95000000000005</v>
      </c>
      <c r="P9" s="11" t="str">
        <v>Merchandise</v>
      </c>
      <c r="Q9" s="12" t="s">
        <v>27</v>
      </c>
      <c r="R9" s="9">
        <f t="shared" si="8"/>
        <v>447.39</v>
      </c>
      <c r="S9" s="9">
        <f t="shared" si="11"/>
        <v>291.35000000000002</v>
      </c>
      <c r="T9" s="9">
        <f t="shared" si="12"/>
        <v>427.63999999999993</v>
      </c>
      <c r="U9" s="9">
        <f t="shared" si="13"/>
        <v>360.76000000000005</v>
      </c>
      <c r="V9" s="9">
        <f t="shared" si="9"/>
        <v>645.9899999999999</v>
      </c>
      <c r="W9" s="9">
        <f t="shared" si="10"/>
        <v>1136.8900000000001</v>
      </c>
      <c r="X9" s="9">
        <f t="shared" si="14"/>
        <v>742.08</v>
      </c>
    </row>
    <row r="10" spans="1:29" ht="20.2" customHeight="1" x14ac:dyDescent="0.7">
      <c r="A10" s="22">
        <f t="shared" si="4"/>
        <v>2021</v>
      </c>
      <c r="B10" s="22">
        <f t="shared" si="5"/>
        <v>1</v>
      </c>
      <c r="C10" s="73">
        <v>44202</v>
      </c>
      <c r="D10" s="73">
        <v>44202</v>
      </c>
      <c r="E10" t="str">
        <f t="shared" si="2"/>
        <v>RIVER</v>
      </c>
      <c r="F10" s="96" t="s">
        <v>38</v>
      </c>
      <c r="G10" s="27">
        <v>30</v>
      </c>
      <c r="H10" s="23" t="s">
        <v>45</v>
      </c>
      <c r="I10" s="7" t="str">
        <f t="shared" si="6"/>
        <v>Variable</v>
      </c>
      <c r="J10" s="8">
        <f t="shared" si="7"/>
        <v>977.67000000000007</v>
      </c>
      <c r="K10" s="7"/>
      <c r="M10" s="131" t="s">
        <v>92</v>
      </c>
      <c r="N10" s="9">
        <f>SUMIFS(G:G,K:K,M10)+SUMIFS('Cash Flow'!$B:$B,'Cash Flow'!$A:$A,Discover!M10)*-1</f>
        <v>227.5</v>
      </c>
      <c r="P10" s="11" t="str">
        <v>Medical Services</v>
      </c>
      <c r="Q10" s="12" t="s">
        <v>27</v>
      </c>
      <c r="R10" s="9">
        <f t="shared" si="8"/>
        <v>70.509999999999991</v>
      </c>
      <c r="S10" s="9">
        <f t="shared" si="11"/>
        <v>0</v>
      </c>
      <c r="T10" s="9">
        <f t="shared" si="12"/>
        <v>0</v>
      </c>
      <c r="U10" s="9">
        <f t="shared" si="13"/>
        <v>0</v>
      </c>
      <c r="V10" s="9">
        <f t="shared" si="9"/>
        <v>0</v>
      </c>
      <c r="W10" s="9">
        <f t="shared" si="10"/>
        <v>0</v>
      </c>
      <c r="X10" s="9">
        <f t="shared" si="14"/>
        <v>0</v>
      </c>
    </row>
    <row r="11" spans="1:29" ht="20.2" customHeight="1" x14ac:dyDescent="0.7">
      <c r="A11" s="22">
        <f t="shared" si="4"/>
        <v>2021</v>
      </c>
      <c r="B11" s="22">
        <f t="shared" si="5"/>
        <v>1</v>
      </c>
      <c r="C11" s="73">
        <v>44202</v>
      </c>
      <c r="D11" s="73">
        <v>44202</v>
      </c>
      <c r="E11" t="str">
        <f t="shared" si="2"/>
        <v>THE M</v>
      </c>
      <c r="F11" s="96" t="s">
        <v>39</v>
      </c>
      <c r="G11" s="27">
        <v>24.24</v>
      </c>
      <c r="H11" s="23" t="s">
        <v>90</v>
      </c>
      <c r="I11" s="7" t="str">
        <f t="shared" si="6"/>
        <v>Variable</v>
      </c>
      <c r="J11" s="8">
        <f t="shared" si="7"/>
        <v>1001.9100000000001</v>
      </c>
      <c r="K11" s="7"/>
      <c r="M11" s="131" t="s">
        <v>510</v>
      </c>
      <c r="N11" s="9">
        <f>SUMIFS(G:G,K:K,M11)+SUMIFS('Cash Flow'!$B:$B,'Cash Flow'!$A:$A,Discover!M11)*-1</f>
        <v>355</v>
      </c>
      <c r="P11" s="11" t="str">
        <v>Supermarkets</v>
      </c>
      <c r="Q11" s="12" t="s">
        <v>27</v>
      </c>
      <c r="R11" s="9">
        <f t="shared" si="8"/>
        <v>145.55999999999997</v>
      </c>
      <c r="S11" s="9">
        <f t="shared" si="11"/>
        <v>247.64999999999998</v>
      </c>
      <c r="T11" s="9">
        <f t="shared" si="12"/>
        <v>132.85</v>
      </c>
      <c r="U11" s="9">
        <f t="shared" si="13"/>
        <v>25.32</v>
      </c>
      <c r="V11" s="9">
        <f t="shared" si="9"/>
        <v>321.42</v>
      </c>
      <c r="W11" s="9">
        <f t="shared" si="10"/>
        <v>100.64000000000001</v>
      </c>
      <c r="X11" s="9">
        <f t="shared" si="14"/>
        <v>15.6</v>
      </c>
    </row>
    <row r="12" spans="1:29" ht="20.2" customHeight="1" x14ac:dyDescent="0.7">
      <c r="A12" s="22">
        <f t="shared" si="4"/>
        <v>2021</v>
      </c>
      <c r="B12" s="22">
        <f t="shared" si="5"/>
        <v>1</v>
      </c>
      <c r="C12" s="73">
        <v>44203</v>
      </c>
      <c r="D12" s="73">
        <v>44203</v>
      </c>
      <c r="E12" t="str">
        <f t="shared" si="2"/>
        <v>AMERI</v>
      </c>
      <c r="F12" s="96" t="s">
        <v>40</v>
      </c>
      <c r="G12" s="27">
        <v>12.09</v>
      </c>
      <c r="H12" s="23" t="s">
        <v>41</v>
      </c>
      <c r="I12" s="7" t="str">
        <f t="shared" si="6"/>
        <v>Variable</v>
      </c>
      <c r="J12" s="8">
        <f t="shared" si="7"/>
        <v>1014.0000000000001</v>
      </c>
      <c r="K12" s="7"/>
      <c r="M12" s="131" t="s">
        <v>516</v>
      </c>
      <c r="N12" s="9">
        <f>SUMIFS(G:G,K:K,M12)+SUMIFS('Cash Flow'!$B:$B,'Cash Flow'!$A:$A,Discover!M12)*-1</f>
        <v>0</v>
      </c>
      <c r="P12" s="11" t="str">
        <v>Restaurants</v>
      </c>
      <c r="Q12" s="12" t="s">
        <v>27</v>
      </c>
      <c r="R12" s="9">
        <f t="shared" si="8"/>
        <v>131.44</v>
      </c>
      <c r="S12" s="9">
        <f t="shared" si="11"/>
        <v>69.550000000000011</v>
      </c>
      <c r="T12" s="9">
        <f t="shared" si="12"/>
        <v>314.84999999999991</v>
      </c>
      <c r="U12" s="9">
        <f t="shared" si="13"/>
        <v>487.13</v>
      </c>
      <c r="V12" s="9">
        <f t="shared" si="9"/>
        <v>247.11</v>
      </c>
      <c r="W12" s="9">
        <f t="shared" si="10"/>
        <v>472.59</v>
      </c>
      <c r="X12" s="9">
        <f t="shared" si="14"/>
        <v>354.17999999999995</v>
      </c>
    </row>
    <row r="13" spans="1:29" ht="20.2" customHeight="1" x14ac:dyDescent="0.7">
      <c r="A13" s="22">
        <f t="shared" si="4"/>
        <v>2021</v>
      </c>
      <c r="B13" s="22">
        <f t="shared" si="5"/>
        <v>1</v>
      </c>
      <c r="C13" s="73">
        <v>44203</v>
      </c>
      <c r="D13" s="73">
        <v>44203</v>
      </c>
      <c r="E13" t="str">
        <f t="shared" si="2"/>
        <v>GO DR</v>
      </c>
      <c r="F13" s="96" t="s">
        <v>42</v>
      </c>
      <c r="G13" s="27">
        <v>44</v>
      </c>
      <c r="H13" s="23" t="s">
        <v>41</v>
      </c>
      <c r="I13" s="7" t="str">
        <f t="shared" si="6"/>
        <v>Variable</v>
      </c>
      <c r="J13" s="8">
        <f t="shared" si="7"/>
        <v>1058</v>
      </c>
      <c r="K13" s="7"/>
      <c r="N13" s="9">
        <f>SUM(N8:N12)</f>
        <v>1797.81</v>
      </c>
      <c r="P13" s="11" t="str">
        <v>Services</v>
      </c>
      <c r="Q13" s="12" t="s">
        <v>27</v>
      </c>
      <c r="R13" s="9">
        <f t="shared" si="8"/>
        <v>29.270000000000003</v>
      </c>
      <c r="S13" s="9">
        <f t="shared" si="11"/>
        <v>0</v>
      </c>
      <c r="T13" s="9">
        <f t="shared" si="12"/>
        <v>565.98</v>
      </c>
      <c r="U13" s="9">
        <f t="shared" si="13"/>
        <v>98</v>
      </c>
      <c r="V13" s="9">
        <f t="shared" si="9"/>
        <v>87.75</v>
      </c>
      <c r="W13" s="9">
        <f t="shared" si="10"/>
        <v>213.84</v>
      </c>
      <c r="X13" s="9">
        <f t="shared" si="14"/>
        <v>1380.63</v>
      </c>
    </row>
    <row r="14" spans="1:29" ht="20.2" customHeight="1" x14ac:dyDescent="0.7">
      <c r="A14" s="22">
        <f t="shared" si="4"/>
        <v>2021</v>
      </c>
      <c r="B14" s="22">
        <f t="shared" si="5"/>
        <v>1</v>
      </c>
      <c r="C14" s="73">
        <v>44203</v>
      </c>
      <c r="D14" s="73">
        <v>44203</v>
      </c>
      <c r="E14" t="str">
        <f t="shared" si="2"/>
        <v>THE M</v>
      </c>
      <c r="F14" s="96" t="s">
        <v>39</v>
      </c>
      <c r="G14" s="27">
        <v>14.52</v>
      </c>
      <c r="H14" s="23" t="s">
        <v>90</v>
      </c>
      <c r="I14" s="7" t="str">
        <f t="shared" si="6"/>
        <v>Variable</v>
      </c>
      <c r="J14" s="8">
        <f t="shared" si="7"/>
        <v>1072.52</v>
      </c>
      <c r="K14" s="7"/>
      <c r="P14" s="11" t="str">
        <v>Family</v>
      </c>
      <c r="Q14" s="12" t="s">
        <v>27</v>
      </c>
      <c r="R14" s="9">
        <f t="shared" si="8"/>
        <v>103</v>
      </c>
      <c r="S14" s="9">
        <f t="shared" si="11"/>
        <v>0</v>
      </c>
      <c r="T14" s="9">
        <f t="shared" si="12"/>
        <v>0</v>
      </c>
      <c r="U14" s="9">
        <f t="shared" si="13"/>
        <v>0</v>
      </c>
      <c r="V14" s="9">
        <f t="shared" si="9"/>
        <v>0</v>
      </c>
      <c r="W14" s="9">
        <f t="shared" si="10"/>
        <v>0</v>
      </c>
      <c r="X14" s="9">
        <f t="shared" si="14"/>
        <v>0</v>
      </c>
    </row>
    <row r="15" spans="1:29" ht="20.2" customHeight="1" x14ac:dyDescent="0.7">
      <c r="A15" s="22">
        <f t="shared" si="4"/>
        <v>2021</v>
      </c>
      <c r="B15" s="22">
        <f t="shared" si="5"/>
        <v>1</v>
      </c>
      <c r="C15" s="73">
        <v>44204</v>
      </c>
      <c r="D15" s="73">
        <v>44204</v>
      </c>
      <c r="E15" t="str">
        <f t="shared" si="2"/>
        <v>CVS/P</v>
      </c>
      <c r="F15" s="96" t="s">
        <v>43</v>
      </c>
      <c r="G15" s="27">
        <v>3.37</v>
      </c>
      <c r="H15" s="23" t="s">
        <v>68</v>
      </c>
      <c r="I15" s="7" t="str">
        <f t="shared" si="6"/>
        <v>Variable</v>
      </c>
      <c r="J15" s="8">
        <f t="shared" si="7"/>
        <v>1075.8899999999999</v>
      </c>
      <c r="K15" s="7" t="s">
        <v>35</v>
      </c>
      <c r="M15" s="131" t="s">
        <v>633</v>
      </c>
      <c r="P15" s="11" t="str">
        <v>Education</v>
      </c>
      <c r="Q15" s="12" t="s">
        <v>27</v>
      </c>
      <c r="R15" s="9">
        <f t="shared" si="8"/>
        <v>49</v>
      </c>
      <c r="S15" s="9">
        <f t="shared" si="11"/>
        <v>215</v>
      </c>
      <c r="T15" s="9">
        <f t="shared" si="12"/>
        <v>0</v>
      </c>
      <c r="U15" s="9">
        <f t="shared" si="13"/>
        <v>0</v>
      </c>
      <c r="V15" s="9">
        <f t="shared" si="9"/>
        <v>0</v>
      </c>
      <c r="W15" s="9">
        <f t="shared" si="10"/>
        <v>199</v>
      </c>
      <c r="X15" s="9">
        <f t="shared" si="14"/>
        <v>0</v>
      </c>
    </row>
    <row r="16" spans="1:29" ht="20.2" customHeight="1" x14ac:dyDescent="0.7">
      <c r="A16" s="22">
        <f t="shared" si="4"/>
        <v>2021</v>
      </c>
      <c r="B16" s="22">
        <f t="shared" si="5"/>
        <v>1</v>
      </c>
      <c r="C16" s="73">
        <v>44204</v>
      </c>
      <c r="D16" s="73">
        <v>44204</v>
      </c>
      <c r="E16" t="str">
        <f t="shared" si="2"/>
        <v>LABCO</v>
      </c>
      <c r="F16" s="96" t="s">
        <v>44</v>
      </c>
      <c r="G16" s="27">
        <v>40.51</v>
      </c>
      <c r="H16" s="23" t="s">
        <v>45</v>
      </c>
      <c r="I16" s="7" t="str">
        <f t="shared" si="6"/>
        <v>Variable</v>
      </c>
      <c r="J16" s="8">
        <f t="shared" si="7"/>
        <v>1116.3999999999999</v>
      </c>
      <c r="K16" s="7" t="s">
        <v>46</v>
      </c>
      <c r="M16" s="66" t="s">
        <v>206</v>
      </c>
      <c r="N16" s="9">
        <f>SUMIFS(G:G,K:K,M16)+SUMIFS('Cash Flow'!$B:$B,'Cash Flow'!$A:$A,Discover!M16)*-1</f>
        <v>373.46000000000004</v>
      </c>
      <c r="P16" s="11" t="str">
        <v>Awards and Rebate Credits</v>
      </c>
      <c r="Q16" s="12" t="s">
        <v>31</v>
      </c>
      <c r="R16" s="9">
        <f t="shared" si="8"/>
        <v>-22.18</v>
      </c>
      <c r="S16" s="9">
        <f t="shared" si="11"/>
        <v>-14</v>
      </c>
      <c r="T16" s="9">
        <f t="shared" si="12"/>
        <v>-14.05</v>
      </c>
      <c r="U16" s="9">
        <f t="shared" si="13"/>
        <v>0</v>
      </c>
      <c r="V16" s="9">
        <f t="shared" si="9"/>
        <v>0</v>
      </c>
      <c r="W16" s="9">
        <f t="shared" si="10"/>
        <v>0</v>
      </c>
      <c r="X16" s="9">
        <f t="shared" si="14"/>
        <v>0</v>
      </c>
    </row>
    <row r="17" spans="1:24" ht="20.2" customHeight="1" x14ac:dyDescent="0.7">
      <c r="A17" s="22">
        <f t="shared" si="4"/>
        <v>2021</v>
      </c>
      <c r="B17" s="22">
        <f t="shared" si="5"/>
        <v>1</v>
      </c>
      <c r="C17" s="73">
        <v>44205</v>
      </c>
      <c r="D17" s="73">
        <v>44205</v>
      </c>
      <c r="E17" t="str">
        <f t="shared" si="2"/>
        <v>BINGO</v>
      </c>
      <c r="F17" s="96" t="s">
        <v>47</v>
      </c>
      <c r="G17" s="27">
        <v>30</v>
      </c>
      <c r="H17" s="26" t="s">
        <v>41</v>
      </c>
      <c r="I17" s="7" t="str">
        <f t="shared" si="6"/>
        <v>Variable</v>
      </c>
      <c r="J17" s="8">
        <f t="shared" si="7"/>
        <v>1146.3999999999999</v>
      </c>
      <c r="K17" s="7" t="s">
        <v>48</v>
      </c>
      <c r="M17" s="131" t="s">
        <v>605</v>
      </c>
      <c r="N17" s="9">
        <f>SUMIFS(G:G,K:K,M17)+SUMIFS('Cash Flow'!$B:$B,'Cash Flow'!$A:$A,Discover!M17)*-1</f>
        <v>1983.8</v>
      </c>
      <c r="P17" s="11" t="str">
        <v>Travel/ Entertainment</v>
      </c>
      <c r="Q17" s="12" t="s">
        <v>27</v>
      </c>
      <c r="R17" s="9">
        <f t="shared" si="8"/>
        <v>0</v>
      </c>
      <c r="S17" s="9">
        <f t="shared" si="11"/>
        <v>15</v>
      </c>
      <c r="T17" s="9">
        <f t="shared" si="12"/>
        <v>101.04</v>
      </c>
      <c r="U17" s="9">
        <f t="shared" si="13"/>
        <v>4.24</v>
      </c>
      <c r="V17" s="9">
        <f t="shared" si="9"/>
        <v>360.04999999999995</v>
      </c>
      <c r="W17" s="9">
        <f t="shared" si="10"/>
        <v>179.76999999999998</v>
      </c>
      <c r="X17" s="9">
        <f t="shared" si="14"/>
        <v>399.77</v>
      </c>
    </row>
    <row r="18" spans="1:24" ht="20.2" customHeight="1" x14ac:dyDescent="0.7">
      <c r="A18" s="22">
        <f t="shared" si="4"/>
        <v>2021</v>
      </c>
      <c r="B18" s="22">
        <f t="shared" si="5"/>
        <v>1</v>
      </c>
      <c r="C18" s="73">
        <v>44205</v>
      </c>
      <c r="D18" s="73">
        <v>44205</v>
      </c>
      <c r="E18" t="str">
        <f t="shared" si="2"/>
        <v>WALMA</v>
      </c>
      <c r="F18" s="96" t="s">
        <v>49</v>
      </c>
      <c r="G18" s="27">
        <v>37.5</v>
      </c>
      <c r="H18" s="23" t="s">
        <v>68</v>
      </c>
      <c r="I18" s="7" t="str">
        <f t="shared" si="6"/>
        <v>Variable</v>
      </c>
      <c r="J18" s="8">
        <f t="shared" si="7"/>
        <v>1183.8999999999999</v>
      </c>
      <c r="K18" s="7"/>
      <c r="N18" s="9">
        <f>SUM(N16:N17)</f>
        <v>2357.2600000000002</v>
      </c>
      <c r="P18" s="11" t="str">
        <v>Government Services</v>
      </c>
      <c r="Q18" s="12" t="s">
        <v>29</v>
      </c>
      <c r="R18" s="9">
        <f t="shared" si="8"/>
        <v>0</v>
      </c>
      <c r="S18" s="9">
        <f t="shared" si="11"/>
        <v>40.15</v>
      </c>
      <c r="T18" s="9">
        <f t="shared" si="12"/>
        <v>0</v>
      </c>
      <c r="U18" s="9">
        <f t="shared" si="13"/>
        <v>0</v>
      </c>
      <c r="V18" s="9">
        <f t="shared" si="9"/>
        <v>26.35</v>
      </c>
      <c r="W18" s="9">
        <f t="shared" si="10"/>
        <v>195.05</v>
      </c>
      <c r="X18" s="9">
        <f t="shared" si="14"/>
        <v>0</v>
      </c>
    </row>
    <row r="19" spans="1:24" ht="20.2" customHeight="1" x14ac:dyDescent="0.7">
      <c r="A19" s="22">
        <f t="shared" si="4"/>
        <v>2021</v>
      </c>
      <c r="B19" s="22">
        <f t="shared" si="5"/>
        <v>1</v>
      </c>
      <c r="C19" s="73">
        <v>44206</v>
      </c>
      <c r="D19" s="73">
        <v>44206</v>
      </c>
      <c r="E19" t="str">
        <f t="shared" si="2"/>
        <v>APPLE</v>
      </c>
      <c r="F19" s="97" t="s">
        <v>50</v>
      </c>
      <c r="G19" s="27">
        <v>14.99</v>
      </c>
      <c r="H19" s="26" t="s">
        <v>26</v>
      </c>
      <c r="I19" s="7" t="str">
        <f t="shared" si="6"/>
        <v>Fixed</v>
      </c>
      <c r="J19" s="8">
        <f t="shared" si="7"/>
        <v>1198.8899999999999</v>
      </c>
      <c r="K19" s="85" t="s">
        <v>294</v>
      </c>
      <c r="P19" s="11" t="str">
        <v>Automotive</v>
      </c>
      <c r="Q19" s="12" t="s">
        <v>29</v>
      </c>
      <c r="R19" s="9">
        <f t="shared" si="8"/>
        <v>0</v>
      </c>
      <c r="S19" s="9">
        <f t="shared" si="11"/>
        <v>0</v>
      </c>
      <c r="T19" s="9">
        <f t="shared" si="12"/>
        <v>86.17</v>
      </c>
      <c r="U19" s="9">
        <f t="shared" si="13"/>
        <v>5.65</v>
      </c>
      <c r="V19" s="9">
        <f t="shared" si="9"/>
        <v>401.19</v>
      </c>
      <c r="W19" s="9">
        <f t="shared" si="10"/>
        <v>0</v>
      </c>
      <c r="X19" s="9">
        <f t="shared" si="14"/>
        <v>0</v>
      </c>
    </row>
    <row r="20" spans="1:24" ht="20.2" customHeight="1" x14ac:dyDescent="0.7">
      <c r="A20" s="22">
        <f t="shared" si="4"/>
        <v>2021</v>
      </c>
      <c r="B20" s="22">
        <f t="shared" si="5"/>
        <v>1</v>
      </c>
      <c r="C20" s="73">
        <v>44206</v>
      </c>
      <c r="D20" s="73">
        <v>44206</v>
      </c>
      <c r="E20" t="str">
        <f t="shared" si="2"/>
        <v>FEDEX</v>
      </c>
      <c r="F20" s="96" t="s">
        <v>51</v>
      </c>
      <c r="G20" s="27">
        <v>14.47</v>
      </c>
      <c r="H20" s="23" t="s">
        <v>52</v>
      </c>
      <c r="I20" s="7" t="str">
        <f t="shared" si="6"/>
        <v>Variable</v>
      </c>
      <c r="J20" s="8">
        <f t="shared" si="7"/>
        <v>1213.3599999999999</v>
      </c>
      <c r="K20" s="7" t="s">
        <v>53</v>
      </c>
      <c r="M20" s="131" t="s">
        <v>632</v>
      </c>
      <c r="P20" s="11" t="str">
        <v>Home Improvement</v>
      </c>
      <c r="Q20" s="12" t="s">
        <v>27</v>
      </c>
      <c r="R20" s="9">
        <f t="shared" si="8"/>
        <v>0</v>
      </c>
      <c r="S20" s="9">
        <f t="shared" si="11"/>
        <v>0</v>
      </c>
      <c r="T20" s="9">
        <f t="shared" si="12"/>
        <v>0</v>
      </c>
      <c r="U20" s="9">
        <f t="shared" si="13"/>
        <v>92.58</v>
      </c>
      <c r="V20" s="9">
        <f t="shared" si="9"/>
        <v>54.37</v>
      </c>
      <c r="W20" s="9">
        <f t="shared" si="10"/>
        <v>23.13</v>
      </c>
      <c r="X20" s="9">
        <f t="shared" si="14"/>
        <v>0</v>
      </c>
    </row>
    <row r="21" spans="1:24" ht="20.2" customHeight="1" x14ac:dyDescent="0.7">
      <c r="A21" s="22">
        <f t="shared" si="4"/>
        <v>2021</v>
      </c>
      <c r="B21" s="22">
        <f t="shared" si="5"/>
        <v>1</v>
      </c>
      <c r="C21" s="73">
        <v>44206</v>
      </c>
      <c r="D21" s="73">
        <v>44206</v>
      </c>
      <c r="E21" t="str">
        <f t="shared" si="2"/>
        <v>FEDEX</v>
      </c>
      <c r="F21" s="96" t="s">
        <v>54</v>
      </c>
      <c r="G21" s="27">
        <v>11.45</v>
      </c>
      <c r="H21" s="23" t="s">
        <v>52</v>
      </c>
      <c r="I21" s="7" t="str">
        <f t="shared" si="6"/>
        <v>Variable</v>
      </c>
      <c r="J21" s="8">
        <f t="shared" si="7"/>
        <v>1224.81</v>
      </c>
      <c r="K21" s="7" t="s">
        <v>53</v>
      </c>
      <c r="M21" s="79" t="s">
        <v>301</v>
      </c>
      <c r="N21" s="9">
        <f>SUMIFS(G:G,K:K,M21)+SUMIFS('Cash Flow'!$B:$B,'Cash Flow'!$A:$A,Discover!M21)*-1</f>
        <v>396.27</v>
      </c>
      <c r="P21" s="11" t="str">
        <v>Department Stores</v>
      </c>
      <c r="Q21" s="12" t="s">
        <v>27</v>
      </c>
      <c r="R21" s="9">
        <f t="shared" si="8"/>
        <v>0</v>
      </c>
      <c r="S21" s="9">
        <f t="shared" si="11"/>
        <v>0</v>
      </c>
      <c r="T21" s="9">
        <f t="shared" si="12"/>
        <v>0</v>
      </c>
      <c r="U21" s="9">
        <f t="shared" si="13"/>
        <v>0</v>
      </c>
      <c r="V21" s="9">
        <f t="shared" si="9"/>
        <v>91.85</v>
      </c>
      <c r="W21" s="9">
        <f t="shared" si="10"/>
        <v>0</v>
      </c>
      <c r="X21" s="9">
        <f t="shared" si="14"/>
        <v>0</v>
      </c>
    </row>
    <row r="22" spans="1:24" ht="20.2" customHeight="1" thickBot="1" x14ac:dyDescent="0.8">
      <c r="A22" s="22">
        <f t="shared" si="4"/>
        <v>2021</v>
      </c>
      <c r="B22" s="22">
        <f t="shared" si="5"/>
        <v>1</v>
      </c>
      <c r="C22" s="73">
        <v>44206</v>
      </c>
      <c r="D22" s="73">
        <v>44206</v>
      </c>
      <c r="E22" t="str">
        <f t="shared" si="2"/>
        <v>WALMA</v>
      </c>
      <c r="F22" s="96" t="s">
        <v>49</v>
      </c>
      <c r="G22" s="27">
        <v>74.16</v>
      </c>
      <c r="H22" s="23" t="s">
        <v>68</v>
      </c>
      <c r="I22" s="7" t="str">
        <f t="shared" si="6"/>
        <v>Variable</v>
      </c>
      <c r="J22" s="8">
        <f t="shared" si="7"/>
        <v>1298.97</v>
      </c>
      <c r="K22" s="7"/>
      <c r="M22" s="131" t="s">
        <v>602</v>
      </c>
      <c r="N22" s="9">
        <f>SUMIFS(G:G,K:K,M22)+SUMIFS('Cash Flow'!$B:$B,'Cash Flow'!$A:$A,Discover!M22)*-1</f>
        <v>1380.63</v>
      </c>
      <c r="R22" s="9">
        <f t="shared" ref="R22:X22" si="15">SUM(R6:R21)</f>
        <v>-909.99000000000012</v>
      </c>
      <c r="S22" s="9">
        <f t="shared" si="15"/>
        <v>-1063.45</v>
      </c>
      <c r="T22" s="9">
        <f t="shared" si="15"/>
        <v>-225.26000000000005</v>
      </c>
      <c r="U22" s="59">
        <f t="shared" si="15"/>
        <v>1046.94</v>
      </c>
      <c r="V22" s="59">
        <f t="shared" si="15"/>
        <v>2.179999999999751</v>
      </c>
      <c r="W22" s="59">
        <f t="shared" si="15"/>
        <v>-93.269999999999698</v>
      </c>
      <c r="X22" s="59">
        <f t="shared" si="15"/>
        <v>-350.97000000000025</v>
      </c>
    </row>
    <row r="23" spans="1:24" ht="20.2" customHeight="1" thickBot="1" x14ac:dyDescent="0.8">
      <c r="A23" s="22">
        <f t="shared" si="4"/>
        <v>2021</v>
      </c>
      <c r="B23" s="22">
        <f t="shared" si="5"/>
        <v>1</v>
      </c>
      <c r="C23" s="73">
        <v>44207</v>
      </c>
      <c r="D23" s="73">
        <v>44207</v>
      </c>
      <c r="E23" t="str">
        <f t="shared" si="2"/>
        <v xml:space="preserve">CASH </v>
      </c>
      <c r="F23" s="96" t="s">
        <v>55</v>
      </c>
      <c r="G23" s="27">
        <v>103</v>
      </c>
      <c r="H23" s="26" t="s">
        <v>56</v>
      </c>
      <c r="I23" s="7" t="str">
        <f t="shared" si="6"/>
        <v>Variable</v>
      </c>
      <c r="J23" s="8">
        <f t="shared" si="7"/>
        <v>1401.97</v>
      </c>
      <c r="K23" s="7" t="s">
        <v>37</v>
      </c>
      <c r="N23" s="9">
        <f>SUM(N21:N22)</f>
        <v>1776.9</v>
      </c>
      <c r="Q23" s="117" t="s">
        <v>535</v>
      </c>
      <c r="R23" s="116">
        <f>SUM(R7:R15,R17:R21)</f>
        <v>1269.57</v>
      </c>
      <c r="S23" s="116">
        <f t="shared" ref="S23:W23" si="16">SUM(S7:S15,S17:S21)</f>
        <v>1207.0200000000002</v>
      </c>
      <c r="T23" s="116">
        <f t="shared" si="16"/>
        <v>2202.41</v>
      </c>
      <c r="U23" s="116">
        <f t="shared" si="16"/>
        <v>1518.01</v>
      </c>
      <c r="V23" s="116">
        <f t="shared" si="16"/>
        <v>2857.3399999999997</v>
      </c>
      <c r="W23" s="116">
        <f t="shared" si="16"/>
        <v>3204.5600000000004</v>
      </c>
      <c r="X23" s="116">
        <f t="shared" ref="X23" si="17">SUM(X7:X15,X17:X21)</f>
        <v>3063.47</v>
      </c>
    </row>
    <row r="24" spans="1:24" ht="20.2" customHeight="1" x14ac:dyDescent="0.65">
      <c r="A24" s="22">
        <f t="shared" si="4"/>
        <v>2021</v>
      </c>
      <c r="B24" s="22">
        <f t="shared" si="5"/>
        <v>1</v>
      </c>
      <c r="C24" s="73">
        <v>44207</v>
      </c>
      <c r="D24" s="73">
        <v>44207</v>
      </c>
      <c r="E24" t="str">
        <f t="shared" si="2"/>
        <v>PAYPA</v>
      </c>
      <c r="F24" s="96" t="s">
        <v>57</v>
      </c>
      <c r="G24" s="27">
        <v>49</v>
      </c>
      <c r="H24" s="23" t="s">
        <v>91</v>
      </c>
      <c r="I24" s="7" t="str">
        <f t="shared" si="6"/>
        <v>Variable</v>
      </c>
      <c r="J24" s="8">
        <f t="shared" si="7"/>
        <v>1450.97</v>
      </c>
      <c r="K24" s="7"/>
    </row>
    <row r="25" spans="1:24" ht="20.2" customHeight="1" x14ac:dyDescent="0.65">
      <c r="A25" s="22">
        <f t="shared" si="4"/>
        <v>2021</v>
      </c>
      <c r="B25" s="22">
        <f t="shared" si="5"/>
        <v>1</v>
      </c>
      <c r="C25" s="73">
        <v>44208</v>
      </c>
      <c r="D25" s="73">
        <v>44208</v>
      </c>
      <c r="E25" t="str">
        <f t="shared" si="2"/>
        <v>EXXON</v>
      </c>
      <c r="F25" s="96" t="s">
        <v>60</v>
      </c>
      <c r="G25" s="27">
        <v>23.27</v>
      </c>
      <c r="H25" s="23" t="s">
        <v>24</v>
      </c>
      <c r="I25" s="7" t="str">
        <f t="shared" si="6"/>
        <v>Variable</v>
      </c>
      <c r="J25" s="8">
        <f t="shared" si="7"/>
        <v>1474.24</v>
      </c>
      <c r="K25" s="7"/>
    </row>
    <row r="26" spans="1:24" ht="20.2" customHeight="1" x14ac:dyDescent="0.65">
      <c r="A26" s="22">
        <f t="shared" si="4"/>
        <v>2021</v>
      </c>
      <c r="B26" s="22">
        <f t="shared" si="5"/>
        <v>1</v>
      </c>
      <c r="C26" s="73">
        <v>44208</v>
      </c>
      <c r="D26" s="73">
        <v>44208</v>
      </c>
      <c r="E26" t="str">
        <f t="shared" si="2"/>
        <v>FAMIL</v>
      </c>
      <c r="F26" s="96" t="s">
        <v>58</v>
      </c>
      <c r="G26" s="27">
        <v>3.33</v>
      </c>
      <c r="H26" s="23" t="s">
        <v>68</v>
      </c>
      <c r="I26" s="7" t="str">
        <f t="shared" si="6"/>
        <v>Variable</v>
      </c>
      <c r="J26" s="8">
        <f t="shared" si="7"/>
        <v>1477.57</v>
      </c>
      <c r="K26" s="21" t="s">
        <v>35</v>
      </c>
    </row>
    <row r="27" spans="1:24" ht="20.2" customHeight="1" x14ac:dyDescent="0.65">
      <c r="A27" s="22">
        <f t="shared" si="4"/>
        <v>2021</v>
      </c>
      <c r="B27" s="22">
        <f t="shared" si="5"/>
        <v>1</v>
      </c>
      <c r="C27" s="73">
        <v>44208</v>
      </c>
      <c r="D27" s="73">
        <v>44208</v>
      </c>
      <c r="E27" t="str">
        <f t="shared" si="2"/>
        <v>PAYPA</v>
      </c>
      <c r="F27" s="96" t="s">
        <v>59</v>
      </c>
      <c r="G27" s="27">
        <v>1.99</v>
      </c>
      <c r="H27" s="83" t="s">
        <v>26</v>
      </c>
      <c r="I27" s="7" t="str">
        <f t="shared" si="6"/>
        <v>Fixed</v>
      </c>
      <c r="J27" s="8">
        <f t="shared" si="7"/>
        <v>1479.56</v>
      </c>
      <c r="K27" s="85" t="s">
        <v>284</v>
      </c>
    </row>
    <row r="28" spans="1:24" ht="20.2" customHeight="1" x14ac:dyDescent="0.65">
      <c r="A28" s="22">
        <f t="shared" si="4"/>
        <v>2021</v>
      </c>
      <c r="B28" s="22">
        <f t="shared" si="5"/>
        <v>1</v>
      </c>
      <c r="C28" s="73">
        <v>44211</v>
      </c>
      <c r="D28" s="73">
        <v>44211</v>
      </c>
      <c r="E28" t="str">
        <f t="shared" si="2"/>
        <v>CASHB</v>
      </c>
      <c r="F28" s="96" t="s">
        <v>61</v>
      </c>
      <c r="G28" s="27">
        <v>-22.18</v>
      </c>
      <c r="H28" s="24" t="s">
        <v>62</v>
      </c>
      <c r="I28" s="7" t="str">
        <f t="shared" si="6"/>
        <v>Payment</v>
      </c>
      <c r="J28" s="8">
        <f t="shared" si="7"/>
        <v>1457.3799999999999</v>
      </c>
      <c r="K28" s="7"/>
    </row>
    <row r="29" spans="1:24" ht="20.2" customHeight="1" x14ac:dyDescent="0.65">
      <c r="A29" s="22">
        <f t="shared" si="4"/>
        <v>2021</v>
      </c>
      <c r="B29" s="22">
        <f t="shared" si="5"/>
        <v>1</v>
      </c>
      <c r="C29" s="73">
        <v>44211</v>
      </c>
      <c r="D29" s="73">
        <v>44211</v>
      </c>
      <c r="E29" t="str">
        <f t="shared" si="2"/>
        <v>DIREC</v>
      </c>
      <c r="F29" s="96" t="s">
        <v>78</v>
      </c>
      <c r="G29" s="27">
        <v>-728.15</v>
      </c>
      <c r="H29" s="23" t="s">
        <v>22</v>
      </c>
      <c r="I29" s="7" t="str">
        <f t="shared" si="6"/>
        <v>Payment</v>
      </c>
      <c r="J29" s="8">
        <f t="shared" si="7"/>
        <v>729.2299999999999</v>
      </c>
      <c r="K29" s="7"/>
    </row>
    <row r="30" spans="1:24" ht="20.2" customHeight="1" x14ac:dyDescent="0.65">
      <c r="A30" s="22">
        <f t="shared" si="4"/>
        <v>2021</v>
      </c>
      <c r="B30" s="22">
        <f t="shared" si="5"/>
        <v>1</v>
      </c>
      <c r="C30" s="73">
        <v>44211</v>
      </c>
      <c r="D30" s="73">
        <v>44211</v>
      </c>
      <c r="E30" t="str">
        <f t="shared" si="2"/>
        <v>INTER</v>
      </c>
      <c r="F30" s="96" t="s">
        <v>21</v>
      </c>
      <c r="G30" s="27">
        <v>-729.23</v>
      </c>
      <c r="H30" s="23" t="s">
        <v>22</v>
      </c>
      <c r="I30" s="7" t="str">
        <f t="shared" si="6"/>
        <v>Payment</v>
      </c>
      <c r="J30" s="8">
        <f t="shared" si="7"/>
        <v>0</v>
      </c>
      <c r="K30" s="7"/>
    </row>
    <row r="31" spans="1:24" ht="20.2" customHeight="1" x14ac:dyDescent="0.65">
      <c r="A31" s="22">
        <f t="shared" si="4"/>
        <v>2021</v>
      </c>
      <c r="B31" s="22">
        <f t="shared" si="5"/>
        <v>1</v>
      </c>
      <c r="C31" s="73">
        <v>44211</v>
      </c>
      <c r="D31" s="73">
        <v>44211</v>
      </c>
      <c r="E31" t="str">
        <f t="shared" si="2"/>
        <v>MCDON</v>
      </c>
      <c r="F31" s="96" t="s">
        <v>63</v>
      </c>
      <c r="G31" s="27">
        <v>4.32</v>
      </c>
      <c r="H31" s="23" t="s">
        <v>41</v>
      </c>
      <c r="I31" s="7" t="str">
        <f t="shared" si="6"/>
        <v>Variable</v>
      </c>
      <c r="J31" s="8">
        <f t="shared" si="7"/>
        <v>4.32</v>
      </c>
      <c r="K31" s="7" t="s">
        <v>35</v>
      </c>
    </row>
    <row r="32" spans="1:24" ht="20.2" customHeight="1" x14ac:dyDescent="0.65">
      <c r="A32" s="22">
        <f t="shared" si="4"/>
        <v>2021</v>
      </c>
      <c r="B32" s="22">
        <f t="shared" si="5"/>
        <v>1</v>
      </c>
      <c r="C32" s="73">
        <v>44211</v>
      </c>
      <c r="D32" s="73">
        <v>44211</v>
      </c>
      <c r="E32" t="str">
        <f t="shared" si="2"/>
        <v>WALGR</v>
      </c>
      <c r="F32" s="96" t="s">
        <v>64</v>
      </c>
      <c r="G32" s="27">
        <v>21.19</v>
      </c>
      <c r="H32" s="23" t="s">
        <v>68</v>
      </c>
      <c r="I32" s="7" t="str">
        <f t="shared" si="6"/>
        <v>Variable</v>
      </c>
      <c r="J32" s="8">
        <f t="shared" si="7"/>
        <v>25.51</v>
      </c>
      <c r="K32" s="7" t="s">
        <v>65</v>
      </c>
    </row>
    <row r="33" spans="1:11" ht="20.2" customHeight="1" x14ac:dyDescent="0.65">
      <c r="A33" s="22">
        <f t="shared" si="4"/>
        <v>2021</v>
      </c>
      <c r="B33" s="22">
        <f t="shared" si="5"/>
        <v>1</v>
      </c>
      <c r="C33" s="73">
        <v>44211</v>
      </c>
      <c r="D33" s="73">
        <v>44211</v>
      </c>
      <c r="E33" t="str">
        <f t="shared" si="2"/>
        <v>WALMA</v>
      </c>
      <c r="F33" s="96" t="s">
        <v>49</v>
      </c>
      <c r="G33" s="27">
        <v>19.399999999999999</v>
      </c>
      <c r="H33" s="23" t="s">
        <v>68</v>
      </c>
      <c r="I33" s="7" t="str">
        <f t="shared" si="6"/>
        <v>Variable</v>
      </c>
      <c r="J33" s="8">
        <f t="shared" si="7"/>
        <v>44.91</v>
      </c>
      <c r="K33" s="7" t="s">
        <v>66</v>
      </c>
    </row>
    <row r="34" spans="1:11" ht="20.2" customHeight="1" x14ac:dyDescent="0.65">
      <c r="A34" s="22">
        <f t="shared" si="4"/>
        <v>2021</v>
      </c>
      <c r="B34" s="22">
        <f t="shared" si="5"/>
        <v>1</v>
      </c>
      <c r="C34" s="73">
        <v>44212</v>
      </c>
      <c r="D34" s="73">
        <v>44212</v>
      </c>
      <c r="E34" t="str">
        <f t="shared" si="2"/>
        <v xml:space="preserve">AMZN </v>
      </c>
      <c r="F34" s="96" t="s">
        <v>67</v>
      </c>
      <c r="G34" s="27">
        <v>58.29</v>
      </c>
      <c r="H34" s="23" t="s">
        <v>68</v>
      </c>
      <c r="I34" s="7" t="str">
        <f t="shared" si="6"/>
        <v>Variable</v>
      </c>
      <c r="J34" s="8">
        <f t="shared" si="7"/>
        <v>103.19999999999999</v>
      </c>
      <c r="K34" s="7" t="s">
        <v>69</v>
      </c>
    </row>
    <row r="35" spans="1:11" ht="20.2" customHeight="1" x14ac:dyDescent="0.65">
      <c r="A35" s="22">
        <f t="shared" si="4"/>
        <v>2021</v>
      </c>
      <c r="B35" s="22">
        <f t="shared" si="5"/>
        <v>1</v>
      </c>
      <c r="C35" s="73">
        <v>44215</v>
      </c>
      <c r="D35" s="73">
        <v>44215</v>
      </c>
      <c r="E35" t="str">
        <f t="shared" si="2"/>
        <v>CHIPO</v>
      </c>
      <c r="F35" s="96" t="s">
        <v>79</v>
      </c>
      <c r="G35" s="27">
        <v>8.23</v>
      </c>
      <c r="H35" s="23" t="s">
        <v>41</v>
      </c>
      <c r="I35" s="7" t="str">
        <f t="shared" ref="I35:I66" si="18">VLOOKUP(H35,Expense_Lookup,2,0)</f>
        <v>Variable</v>
      </c>
      <c r="J35" s="8">
        <f t="shared" si="7"/>
        <v>111.42999999999999</v>
      </c>
      <c r="K35" s="7"/>
    </row>
    <row r="36" spans="1:11" ht="20.2" customHeight="1" x14ac:dyDescent="0.65">
      <c r="A36" s="22">
        <f t="shared" si="4"/>
        <v>2021</v>
      </c>
      <c r="B36" s="22">
        <f t="shared" si="5"/>
        <v>1</v>
      </c>
      <c r="C36" s="73">
        <v>44215</v>
      </c>
      <c r="D36" s="73">
        <v>44215</v>
      </c>
      <c r="E36" t="str">
        <f t="shared" si="2"/>
        <v>CVS/P</v>
      </c>
      <c r="F36" s="96" t="s">
        <v>43</v>
      </c>
      <c r="G36" s="27">
        <v>2.86</v>
      </c>
      <c r="H36" s="23" t="s">
        <v>68</v>
      </c>
      <c r="I36" s="7" t="str">
        <f t="shared" si="18"/>
        <v>Variable</v>
      </c>
      <c r="J36" s="8">
        <f t="shared" si="7"/>
        <v>114.28999999999999</v>
      </c>
      <c r="K36" s="7" t="s">
        <v>35</v>
      </c>
    </row>
    <row r="37" spans="1:11" ht="20.2" customHeight="1" x14ac:dyDescent="0.65">
      <c r="A37" s="22">
        <f t="shared" si="4"/>
        <v>2021</v>
      </c>
      <c r="B37" s="22">
        <f t="shared" si="5"/>
        <v>1</v>
      </c>
      <c r="C37" s="73">
        <v>44215</v>
      </c>
      <c r="D37" s="73">
        <v>44215</v>
      </c>
      <c r="E37" t="str">
        <f t="shared" si="2"/>
        <v xml:space="preserve">SP * </v>
      </c>
      <c r="F37" s="96" t="s">
        <v>70</v>
      </c>
      <c r="G37" s="27">
        <v>99.9</v>
      </c>
      <c r="H37" s="23" t="s">
        <v>68</v>
      </c>
      <c r="I37" s="7" t="str">
        <f t="shared" si="18"/>
        <v>Variable</v>
      </c>
      <c r="J37" s="8">
        <f t="shared" si="7"/>
        <v>214.19</v>
      </c>
      <c r="K37" s="7"/>
    </row>
    <row r="38" spans="1:11" ht="20.2" customHeight="1" x14ac:dyDescent="0.65">
      <c r="A38" s="22">
        <f t="shared" si="4"/>
        <v>2021</v>
      </c>
      <c r="B38" s="22">
        <f t="shared" si="5"/>
        <v>1</v>
      </c>
      <c r="C38" s="73">
        <v>44216</v>
      </c>
      <c r="D38" s="73">
        <v>44216</v>
      </c>
      <c r="E38" t="str">
        <f t="shared" si="2"/>
        <v>THE M</v>
      </c>
      <c r="F38" s="96" t="s">
        <v>39</v>
      </c>
      <c r="G38" s="27">
        <v>15.15</v>
      </c>
      <c r="H38" s="23" t="s">
        <v>90</v>
      </c>
      <c r="I38" s="7" t="str">
        <f t="shared" si="18"/>
        <v>Variable</v>
      </c>
      <c r="J38" s="8">
        <f t="shared" si="7"/>
        <v>229.34</v>
      </c>
      <c r="K38" s="7"/>
    </row>
    <row r="39" spans="1:11" ht="20.2" customHeight="1" x14ac:dyDescent="0.65">
      <c r="A39" s="22">
        <f t="shared" si="4"/>
        <v>2021</v>
      </c>
      <c r="B39" s="22">
        <f t="shared" si="5"/>
        <v>1</v>
      </c>
      <c r="C39" s="73">
        <v>44217</v>
      </c>
      <c r="D39" s="73">
        <v>44217</v>
      </c>
      <c r="E39" t="str">
        <f t="shared" si="2"/>
        <v>KINGS</v>
      </c>
      <c r="F39" s="96" t="s">
        <v>80</v>
      </c>
      <c r="G39" s="27">
        <v>9.9499999999999993</v>
      </c>
      <c r="H39" s="78" t="s">
        <v>26</v>
      </c>
      <c r="I39" s="7" t="str">
        <f t="shared" si="18"/>
        <v>Fixed</v>
      </c>
      <c r="J39" s="8">
        <f t="shared" si="7"/>
        <v>239.29</v>
      </c>
      <c r="K39" s="7" t="s">
        <v>35</v>
      </c>
    </row>
    <row r="40" spans="1:11" ht="20.25" customHeight="1" x14ac:dyDescent="0.65">
      <c r="A40" s="22">
        <f t="shared" si="4"/>
        <v>2021</v>
      </c>
      <c r="B40" s="22">
        <f t="shared" si="5"/>
        <v>1</v>
      </c>
      <c r="C40" s="73">
        <v>44217</v>
      </c>
      <c r="D40" s="73">
        <v>44217</v>
      </c>
      <c r="E40" t="str">
        <f t="shared" si="2"/>
        <v>PP*PP</v>
      </c>
      <c r="F40" s="96" t="s">
        <v>81</v>
      </c>
      <c r="G40" s="27">
        <v>7.99</v>
      </c>
      <c r="H40" s="26" t="s">
        <v>26</v>
      </c>
      <c r="I40" s="7" t="str">
        <f t="shared" si="18"/>
        <v>Fixed</v>
      </c>
      <c r="J40" s="8">
        <f t="shared" si="7"/>
        <v>247.28</v>
      </c>
      <c r="K40" s="85" t="s">
        <v>9</v>
      </c>
    </row>
    <row r="41" spans="1:11" ht="20.2" customHeight="1" x14ac:dyDescent="0.65">
      <c r="A41" s="22">
        <f t="shared" si="4"/>
        <v>2021</v>
      </c>
      <c r="B41" s="22">
        <f t="shared" si="5"/>
        <v>1</v>
      </c>
      <c r="C41" s="73">
        <v>44218</v>
      </c>
      <c r="D41" s="73">
        <v>44218</v>
      </c>
      <c r="E41" t="str">
        <f t="shared" si="2"/>
        <v>THE M</v>
      </c>
      <c r="F41" s="96" t="s">
        <v>39</v>
      </c>
      <c r="G41" s="27">
        <v>15.61</v>
      </c>
      <c r="H41" s="23" t="s">
        <v>90</v>
      </c>
      <c r="I41" s="7" t="str">
        <f t="shared" si="18"/>
        <v>Variable</v>
      </c>
      <c r="J41" s="8">
        <f t="shared" si="7"/>
        <v>262.89</v>
      </c>
      <c r="K41" s="7"/>
    </row>
    <row r="42" spans="1:11" ht="20.2" customHeight="1" x14ac:dyDescent="0.65">
      <c r="A42" s="22">
        <f t="shared" si="4"/>
        <v>2021</v>
      </c>
      <c r="B42" s="22">
        <f t="shared" si="5"/>
        <v>1</v>
      </c>
      <c r="C42" s="73">
        <v>44219</v>
      </c>
      <c r="D42" s="73">
        <v>44219</v>
      </c>
      <c r="E42" t="str">
        <f t="shared" si="2"/>
        <v>BEDBA</v>
      </c>
      <c r="F42" s="96" t="s">
        <v>82</v>
      </c>
      <c r="G42" s="27">
        <v>84.43</v>
      </c>
      <c r="H42" s="23" t="s">
        <v>68</v>
      </c>
      <c r="I42" s="7" t="str">
        <f t="shared" si="18"/>
        <v>Variable</v>
      </c>
      <c r="J42" s="8">
        <f t="shared" si="7"/>
        <v>347.32</v>
      </c>
      <c r="K42" s="21" t="s">
        <v>73</v>
      </c>
    </row>
    <row r="43" spans="1:11" ht="20.2" customHeight="1" x14ac:dyDescent="0.65">
      <c r="A43" s="22">
        <f t="shared" si="4"/>
        <v>2021</v>
      </c>
      <c r="B43" s="22">
        <f t="shared" si="5"/>
        <v>1</v>
      </c>
      <c r="C43" s="73">
        <v>44219</v>
      </c>
      <c r="D43" s="73">
        <v>44219</v>
      </c>
      <c r="E43" t="str">
        <f t="shared" si="2"/>
        <v>CITYP</v>
      </c>
      <c r="F43" s="96" t="s">
        <v>83</v>
      </c>
      <c r="G43" s="27">
        <v>3.35</v>
      </c>
      <c r="H43" s="23" t="s">
        <v>52</v>
      </c>
      <c r="I43" s="7" t="str">
        <f t="shared" si="18"/>
        <v>Variable</v>
      </c>
      <c r="J43" s="8">
        <f t="shared" si="7"/>
        <v>350.67</v>
      </c>
      <c r="K43" s="21" t="s">
        <v>48</v>
      </c>
    </row>
    <row r="44" spans="1:11" ht="20.2" customHeight="1" x14ac:dyDescent="0.65">
      <c r="A44" s="22">
        <f t="shared" si="4"/>
        <v>2021</v>
      </c>
      <c r="B44" s="22">
        <f t="shared" si="5"/>
        <v>1</v>
      </c>
      <c r="C44" s="73">
        <v>44219</v>
      </c>
      <c r="D44" s="73">
        <v>44219</v>
      </c>
      <c r="E44" t="str">
        <f t="shared" si="2"/>
        <v xml:space="preserve">TST* </v>
      </c>
      <c r="F44" s="96" t="s">
        <v>84</v>
      </c>
      <c r="G44" s="27">
        <v>14.68</v>
      </c>
      <c r="H44" s="23" t="s">
        <v>41</v>
      </c>
      <c r="I44" s="7" t="str">
        <f t="shared" si="18"/>
        <v>Variable</v>
      </c>
      <c r="J44" s="8">
        <f t="shared" si="7"/>
        <v>365.35</v>
      </c>
      <c r="K44" s="21" t="s">
        <v>72</v>
      </c>
    </row>
    <row r="45" spans="1:11" ht="20.2" customHeight="1" x14ac:dyDescent="0.65">
      <c r="A45" s="22">
        <f t="shared" si="4"/>
        <v>2021</v>
      </c>
      <c r="B45" s="22">
        <f t="shared" si="5"/>
        <v>1</v>
      </c>
      <c r="C45" s="73">
        <v>44221</v>
      </c>
      <c r="D45" s="73">
        <v>44221</v>
      </c>
      <c r="E45" t="str">
        <f t="shared" si="2"/>
        <v>EXXON</v>
      </c>
      <c r="F45" s="98" t="s">
        <v>60</v>
      </c>
      <c r="G45" s="27">
        <v>2.76</v>
      </c>
      <c r="H45" s="25" t="s">
        <v>24</v>
      </c>
      <c r="I45" s="7" t="str">
        <f t="shared" si="18"/>
        <v>Variable</v>
      </c>
      <c r="J45" s="8">
        <f t="shared" si="7"/>
        <v>368.11</v>
      </c>
      <c r="K45" s="7"/>
    </row>
    <row r="46" spans="1:11" ht="20.2" customHeight="1" x14ac:dyDescent="0.65">
      <c r="A46" s="22">
        <f t="shared" si="4"/>
        <v>2021</v>
      </c>
      <c r="B46" s="22">
        <f t="shared" si="5"/>
        <v>1</v>
      </c>
      <c r="C46" s="73">
        <v>44221</v>
      </c>
      <c r="D46" s="73">
        <v>44221</v>
      </c>
      <c r="E46" t="str">
        <f t="shared" si="2"/>
        <v>EXXON</v>
      </c>
      <c r="F46" s="98" t="s">
        <v>60</v>
      </c>
      <c r="G46" s="27">
        <v>22.97</v>
      </c>
      <c r="H46" s="25" t="s">
        <v>24</v>
      </c>
      <c r="I46" s="7" t="str">
        <f t="shared" si="18"/>
        <v>Variable</v>
      </c>
      <c r="J46" s="8">
        <f t="shared" si="7"/>
        <v>391.08000000000004</v>
      </c>
      <c r="K46" s="7"/>
    </row>
    <row r="47" spans="1:11" x14ac:dyDescent="0.65">
      <c r="A47" s="22">
        <f t="shared" si="4"/>
        <v>2021</v>
      </c>
      <c r="B47" s="22">
        <f t="shared" si="5"/>
        <v>1</v>
      </c>
      <c r="C47" s="73">
        <v>44222</v>
      </c>
      <c r="D47" s="73">
        <v>44222</v>
      </c>
      <c r="E47" t="str">
        <f t="shared" si="2"/>
        <v>CHIPO</v>
      </c>
      <c r="F47" s="96" t="s">
        <v>79</v>
      </c>
      <c r="G47" s="27">
        <v>8.23</v>
      </c>
      <c r="H47" s="25" t="s">
        <v>41</v>
      </c>
      <c r="I47" s="7" t="str">
        <f t="shared" si="18"/>
        <v>Variable</v>
      </c>
      <c r="J47" s="8">
        <f t="shared" si="7"/>
        <v>399.31000000000006</v>
      </c>
      <c r="K47" s="7"/>
    </row>
    <row r="48" spans="1:11" x14ac:dyDescent="0.65">
      <c r="A48" s="22">
        <f t="shared" si="4"/>
        <v>2021</v>
      </c>
      <c r="B48" s="22">
        <f t="shared" si="5"/>
        <v>1</v>
      </c>
      <c r="C48" s="73">
        <v>44222</v>
      </c>
      <c r="D48" s="73">
        <v>44222</v>
      </c>
      <c r="E48" t="str">
        <f t="shared" si="2"/>
        <v>WHOLE</v>
      </c>
      <c r="F48" s="96" t="s">
        <v>85</v>
      </c>
      <c r="G48" s="27">
        <v>63.87</v>
      </c>
      <c r="H48" s="25" t="s">
        <v>90</v>
      </c>
      <c r="I48" s="7" t="str">
        <f t="shared" si="18"/>
        <v>Variable</v>
      </c>
      <c r="J48" s="8">
        <f t="shared" si="7"/>
        <v>463.18000000000006</v>
      </c>
      <c r="K48" s="7"/>
    </row>
    <row r="49" spans="1:11" x14ac:dyDescent="0.65">
      <c r="A49" s="22">
        <f t="shared" si="4"/>
        <v>2021</v>
      </c>
      <c r="B49" s="22">
        <f t="shared" si="5"/>
        <v>1</v>
      </c>
      <c r="C49" s="73">
        <v>44223</v>
      </c>
      <c r="D49" s="73">
        <v>44223</v>
      </c>
      <c r="E49" t="str">
        <f t="shared" si="2"/>
        <v>CVS/P</v>
      </c>
      <c r="F49" s="96" t="s">
        <v>43</v>
      </c>
      <c r="G49" s="27">
        <v>1.51</v>
      </c>
      <c r="H49" s="25" t="s">
        <v>68</v>
      </c>
      <c r="I49" s="7" t="str">
        <f t="shared" si="18"/>
        <v>Variable</v>
      </c>
      <c r="J49" s="8">
        <f t="shared" si="7"/>
        <v>464.69000000000005</v>
      </c>
      <c r="K49" s="7" t="s">
        <v>35</v>
      </c>
    </row>
    <row r="50" spans="1:11" x14ac:dyDescent="0.65">
      <c r="A50" s="22">
        <f t="shared" si="4"/>
        <v>2021</v>
      </c>
      <c r="B50" s="22">
        <f t="shared" si="5"/>
        <v>1</v>
      </c>
      <c r="C50" s="73">
        <v>44223</v>
      </c>
      <c r="D50" s="73">
        <v>44223</v>
      </c>
      <c r="E50" t="str">
        <f t="shared" si="2"/>
        <v>CVS/P</v>
      </c>
      <c r="F50" s="96" t="s">
        <v>43</v>
      </c>
      <c r="G50" s="27">
        <v>2.2400000000000002</v>
      </c>
      <c r="H50" s="25" t="s">
        <v>68</v>
      </c>
      <c r="I50" s="7" t="str">
        <f t="shared" si="18"/>
        <v>Variable</v>
      </c>
      <c r="J50" s="8">
        <f t="shared" si="7"/>
        <v>466.93000000000006</v>
      </c>
      <c r="K50" s="21" t="s">
        <v>35</v>
      </c>
    </row>
    <row r="51" spans="1:11" x14ac:dyDescent="0.65">
      <c r="A51" s="22">
        <f t="shared" si="4"/>
        <v>2021</v>
      </c>
      <c r="B51" s="22">
        <f t="shared" si="5"/>
        <v>1</v>
      </c>
      <c r="C51" s="73">
        <v>44223</v>
      </c>
      <c r="D51" s="73">
        <v>44223</v>
      </c>
      <c r="E51" t="str">
        <f t="shared" si="2"/>
        <v>PUBLI</v>
      </c>
      <c r="F51" s="96" t="s">
        <v>86</v>
      </c>
      <c r="G51" s="27">
        <v>4.75</v>
      </c>
      <c r="H51" s="25" t="s">
        <v>90</v>
      </c>
      <c r="I51" s="7" t="str">
        <f t="shared" si="18"/>
        <v>Variable</v>
      </c>
      <c r="J51" s="8">
        <f t="shared" si="7"/>
        <v>471.68000000000006</v>
      </c>
      <c r="K51" s="7"/>
    </row>
    <row r="52" spans="1:11" x14ac:dyDescent="0.65">
      <c r="A52" s="22">
        <f t="shared" si="4"/>
        <v>2021</v>
      </c>
      <c r="B52" s="22">
        <f t="shared" si="5"/>
        <v>1</v>
      </c>
      <c r="C52" s="73">
        <v>44224</v>
      </c>
      <c r="D52" s="73">
        <v>44224</v>
      </c>
      <c r="E52" t="str">
        <f t="shared" si="2"/>
        <v>ABC*C</v>
      </c>
      <c r="F52" s="96" t="s">
        <v>87</v>
      </c>
      <c r="G52" s="27">
        <v>9.9499999999999993</v>
      </c>
      <c r="H52" s="26" t="s">
        <v>26</v>
      </c>
      <c r="I52" s="7" t="str">
        <f t="shared" si="18"/>
        <v>Fixed</v>
      </c>
      <c r="J52" s="8">
        <f t="shared" si="7"/>
        <v>481.63000000000005</v>
      </c>
      <c r="K52" s="85" t="s">
        <v>323</v>
      </c>
    </row>
    <row r="53" spans="1:11" x14ac:dyDescent="0.65">
      <c r="A53" s="22">
        <f t="shared" si="4"/>
        <v>2021</v>
      </c>
      <c r="B53" s="6">
        <f t="shared" si="5"/>
        <v>1</v>
      </c>
      <c r="C53" s="73">
        <v>44226</v>
      </c>
      <c r="D53" s="73">
        <v>44226</v>
      </c>
      <c r="E53" t="str">
        <f t="shared" si="2"/>
        <v>THE M</v>
      </c>
      <c r="F53" s="99" t="s">
        <v>39</v>
      </c>
      <c r="G53" s="8">
        <v>7.42</v>
      </c>
      <c r="H53" s="20" t="s">
        <v>90</v>
      </c>
      <c r="I53" s="7" t="str">
        <f t="shared" si="18"/>
        <v>Variable</v>
      </c>
      <c r="J53" s="8">
        <f t="shared" si="7"/>
        <v>489.05000000000007</v>
      </c>
      <c r="K53" s="20" t="s">
        <v>35</v>
      </c>
    </row>
    <row r="54" spans="1:11" x14ac:dyDescent="0.65">
      <c r="A54" s="22">
        <f t="shared" si="4"/>
        <v>2021</v>
      </c>
      <c r="B54" s="6">
        <f t="shared" si="5"/>
        <v>1</v>
      </c>
      <c r="C54" s="73">
        <v>44227</v>
      </c>
      <c r="D54" s="73">
        <v>44227</v>
      </c>
      <c r="E54" t="str">
        <f t="shared" si="2"/>
        <v>DC CH</v>
      </c>
      <c r="F54" s="99" t="s">
        <v>88</v>
      </c>
      <c r="G54" s="8">
        <v>9.89</v>
      </c>
      <c r="H54" s="16" t="s">
        <v>41</v>
      </c>
      <c r="I54" s="7" t="str">
        <f t="shared" si="18"/>
        <v>Variable</v>
      </c>
      <c r="J54" s="8">
        <f t="shared" si="7"/>
        <v>498.94000000000005</v>
      </c>
      <c r="K54" s="21" t="s">
        <v>35</v>
      </c>
    </row>
    <row r="55" spans="1:11" ht="15" thickBot="1" x14ac:dyDescent="0.8">
      <c r="A55" s="44">
        <f t="shared" si="4"/>
        <v>2021</v>
      </c>
      <c r="B55" s="41">
        <f t="shared" si="5"/>
        <v>1</v>
      </c>
      <c r="C55" s="74">
        <v>44227</v>
      </c>
      <c r="D55" s="74">
        <v>44227</v>
      </c>
      <c r="E55" t="str">
        <f t="shared" si="2"/>
        <v>WALMA</v>
      </c>
      <c r="F55" s="100" t="s">
        <v>49</v>
      </c>
      <c r="G55" s="39">
        <v>19.22</v>
      </c>
      <c r="H55" s="33" t="s">
        <v>68</v>
      </c>
      <c r="I55" s="35" t="str">
        <f t="shared" si="18"/>
        <v>Variable</v>
      </c>
      <c r="J55" s="8">
        <f t="shared" si="7"/>
        <v>518.16000000000008</v>
      </c>
      <c r="K55" s="40"/>
    </row>
    <row r="56" spans="1:11" x14ac:dyDescent="0.65">
      <c r="A56" s="45">
        <f t="shared" si="4"/>
        <v>2021</v>
      </c>
      <c r="B56" s="38">
        <f t="shared" si="5"/>
        <v>2</v>
      </c>
      <c r="C56" s="69">
        <v>44228</v>
      </c>
      <c r="D56" s="69">
        <v>44228</v>
      </c>
      <c r="E56" t="str">
        <f t="shared" si="2"/>
        <v>NETFL</v>
      </c>
      <c r="F56" s="101" t="s">
        <v>74</v>
      </c>
      <c r="G56" s="56">
        <v>13.99</v>
      </c>
      <c r="H56" s="53" t="s">
        <v>26</v>
      </c>
      <c r="I56" s="34" t="str">
        <f t="shared" si="18"/>
        <v>Fixed</v>
      </c>
      <c r="J56" s="8">
        <f t="shared" si="7"/>
        <v>532.15000000000009</v>
      </c>
      <c r="K56" s="81" t="s">
        <v>7</v>
      </c>
    </row>
    <row r="57" spans="1:11" x14ac:dyDescent="0.65">
      <c r="A57" s="48">
        <f t="shared" si="4"/>
        <v>2021</v>
      </c>
      <c r="B57" s="22">
        <f t="shared" si="5"/>
        <v>2</v>
      </c>
      <c r="C57" s="68">
        <v>44228</v>
      </c>
      <c r="D57" s="68">
        <v>44228</v>
      </c>
      <c r="E57" t="str">
        <f t="shared" si="2"/>
        <v>SPOTI</v>
      </c>
      <c r="F57" s="96" t="s">
        <v>75</v>
      </c>
      <c r="G57" s="27">
        <v>9.99</v>
      </c>
      <c r="H57" s="26" t="s">
        <v>26</v>
      </c>
      <c r="I57" s="7" t="str">
        <f t="shared" si="18"/>
        <v>Fixed</v>
      </c>
      <c r="J57" s="8">
        <f t="shared" si="7"/>
        <v>542.1400000000001</v>
      </c>
      <c r="K57" s="84" t="s">
        <v>6</v>
      </c>
    </row>
    <row r="58" spans="1:11" x14ac:dyDescent="0.65">
      <c r="A58" s="48">
        <f t="shared" si="4"/>
        <v>2021</v>
      </c>
      <c r="B58" s="22">
        <f t="shared" si="5"/>
        <v>2</v>
      </c>
      <c r="C58" s="68">
        <v>44228</v>
      </c>
      <c r="D58" s="68">
        <v>44230</v>
      </c>
      <c r="E58" t="str">
        <f t="shared" si="2"/>
        <v>CVS/P</v>
      </c>
      <c r="F58" s="96" t="s">
        <v>43</v>
      </c>
      <c r="G58" s="27">
        <v>15.92</v>
      </c>
      <c r="H58" s="25" t="s">
        <v>68</v>
      </c>
      <c r="I58" s="23" t="str">
        <f t="shared" si="18"/>
        <v>Variable</v>
      </c>
      <c r="J58" s="8">
        <f t="shared" si="7"/>
        <v>558.06000000000006</v>
      </c>
      <c r="K58" s="43" t="s">
        <v>35</v>
      </c>
    </row>
    <row r="59" spans="1:11" x14ac:dyDescent="0.65">
      <c r="A59" s="48">
        <f t="shared" si="4"/>
        <v>2021</v>
      </c>
      <c r="B59" s="6">
        <f t="shared" si="5"/>
        <v>2</v>
      </c>
      <c r="C59" s="68">
        <v>44229</v>
      </c>
      <c r="D59" s="68">
        <v>44230</v>
      </c>
      <c r="E59" t="str">
        <f t="shared" si="2"/>
        <v>CVS/P</v>
      </c>
      <c r="F59" s="99" t="s">
        <v>43</v>
      </c>
      <c r="G59" s="8">
        <v>37.01</v>
      </c>
      <c r="H59" s="20" t="s">
        <v>68</v>
      </c>
      <c r="I59" s="7" t="str">
        <f t="shared" si="18"/>
        <v>Variable</v>
      </c>
      <c r="J59" s="8">
        <f t="shared" si="7"/>
        <v>595.07000000000005</v>
      </c>
      <c r="K59" s="58"/>
    </row>
    <row r="60" spans="1:11" x14ac:dyDescent="0.65">
      <c r="A60" s="48">
        <f t="shared" si="4"/>
        <v>2021</v>
      </c>
      <c r="B60" s="6">
        <f t="shared" si="5"/>
        <v>2</v>
      </c>
      <c r="C60" s="68">
        <v>44229</v>
      </c>
      <c r="D60" s="68">
        <v>44230</v>
      </c>
      <c r="E60" t="str">
        <f t="shared" si="2"/>
        <v>PAYPA</v>
      </c>
      <c r="F60" s="99" t="s">
        <v>76</v>
      </c>
      <c r="G60" s="8">
        <v>10</v>
      </c>
      <c r="H60" s="20" t="s">
        <v>68</v>
      </c>
      <c r="I60" s="7" t="str">
        <f t="shared" si="18"/>
        <v>Variable</v>
      </c>
      <c r="J60" s="8">
        <f t="shared" si="7"/>
        <v>605.07000000000005</v>
      </c>
      <c r="K60" s="58" t="s">
        <v>77</v>
      </c>
    </row>
    <row r="61" spans="1:11" x14ac:dyDescent="0.65">
      <c r="A61" s="48">
        <f t="shared" si="4"/>
        <v>2021</v>
      </c>
      <c r="B61" s="6">
        <f t="shared" si="5"/>
        <v>2</v>
      </c>
      <c r="C61" s="68">
        <v>44230</v>
      </c>
      <c r="D61" s="68">
        <v>44230</v>
      </c>
      <c r="E61" t="str">
        <f t="shared" si="2"/>
        <v>STATE</v>
      </c>
      <c r="F61" s="99" t="s">
        <v>32</v>
      </c>
      <c r="G61" s="8">
        <v>91.78</v>
      </c>
      <c r="H61" s="21" t="s">
        <v>26</v>
      </c>
      <c r="I61" s="7" t="str">
        <f t="shared" si="18"/>
        <v>Fixed</v>
      </c>
      <c r="J61" s="8">
        <f t="shared" si="7"/>
        <v>696.85</v>
      </c>
      <c r="K61" s="84" t="s">
        <v>8</v>
      </c>
    </row>
    <row r="62" spans="1:11" x14ac:dyDescent="0.65">
      <c r="A62" s="48">
        <f t="shared" si="4"/>
        <v>2021</v>
      </c>
      <c r="B62" s="6">
        <f t="shared" si="5"/>
        <v>2</v>
      </c>
      <c r="C62" s="68">
        <v>44230</v>
      </c>
      <c r="D62" s="68">
        <v>44230</v>
      </c>
      <c r="E62" t="str">
        <f t="shared" si="2"/>
        <v>THE M</v>
      </c>
      <c r="F62" s="99" t="s">
        <v>39</v>
      </c>
      <c r="G62" s="8">
        <v>15.09</v>
      </c>
      <c r="H62" s="21" t="s">
        <v>90</v>
      </c>
      <c r="I62" s="7" t="str">
        <f t="shared" si="18"/>
        <v>Variable</v>
      </c>
      <c r="J62" s="8">
        <f t="shared" si="7"/>
        <v>711.94</v>
      </c>
      <c r="K62" s="58"/>
    </row>
    <row r="63" spans="1:11" x14ac:dyDescent="0.65">
      <c r="A63" s="48">
        <f t="shared" si="4"/>
        <v>2021</v>
      </c>
      <c r="B63" s="6">
        <f t="shared" si="5"/>
        <v>2</v>
      </c>
      <c r="C63" s="68">
        <v>44232</v>
      </c>
      <c r="D63" s="68">
        <v>44232</v>
      </c>
      <c r="E63" t="str">
        <f t="shared" si="2"/>
        <v>CVS/P</v>
      </c>
      <c r="F63" s="99" t="s">
        <v>43</v>
      </c>
      <c r="G63" s="8">
        <v>1.63</v>
      </c>
      <c r="H63" s="21" t="s">
        <v>68</v>
      </c>
      <c r="I63" s="7" t="str">
        <f t="shared" si="18"/>
        <v>Variable</v>
      </c>
      <c r="J63" s="8">
        <f t="shared" si="7"/>
        <v>713.57</v>
      </c>
      <c r="K63" s="55" t="s">
        <v>35</v>
      </c>
    </row>
    <row r="64" spans="1:11" x14ac:dyDescent="0.65">
      <c r="A64" s="48">
        <f t="shared" si="4"/>
        <v>2021</v>
      </c>
      <c r="B64" s="6">
        <f t="shared" si="5"/>
        <v>2</v>
      </c>
      <c r="C64" s="68">
        <v>44232</v>
      </c>
      <c r="D64" s="68">
        <v>44232</v>
      </c>
      <c r="E64" t="str">
        <f t="shared" si="2"/>
        <v>CVS/P</v>
      </c>
      <c r="F64" s="99" t="s">
        <v>43</v>
      </c>
      <c r="G64" s="8">
        <v>2.4500000000000002</v>
      </c>
      <c r="H64" s="21" t="s">
        <v>68</v>
      </c>
      <c r="I64" s="7" t="str">
        <f t="shared" si="18"/>
        <v>Variable</v>
      </c>
      <c r="J64" s="8">
        <f t="shared" si="7"/>
        <v>716.0200000000001</v>
      </c>
      <c r="K64" s="55" t="s">
        <v>35</v>
      </c>
    </row>
    <row r="65" spans="1:11" x14ac:dyDescent="0.65">
      <c r="A65" s="48">
        <f t="shared" si="4"/>
        <v>2021</v>
      </c>
      <c r="B65" s="6">
        <f t="shared" si="5"/>
        <v>2</v>
      </c>
      <c r="C65" s="68">
        <v>44234</v>
      </c>
      <c r="D65" s="68">
        <v>44234</v>
      </c>
      <c r="E65" t="str">
        <f t="shared" si="2"/>
        <v>CHIPO</v>
      </c>
      <c r="F65" s="99" t="s">
        <v>79</v>
      </c>
      <c r="G65" s="8">
        <v>9.36</v>
      </c>
      <c r="H65" s="21" t="s">
        <v>41</v>
      </c>
      <c r="I65" s="7" t="str">
        <f t="shared" si="18"/>
        <v>Variable</v>
      </c>
      <c r="J65" s="8">
        <f t="shared" si="7"/>
        <v>725.38000000000011</v>
      </c>
      <c r="K65" s="55" t="s">
        <v>35</v>
      </c>
    </row>
    <row r="66" spans="1:11" x14ac:dyDescent="0.65">
      <c r="A66" s="48">
        <f t="shared" si="4"/>
        <v>2021</v>
      </c>
      <c r="B66" s="6">
        <f t="shared" si="5"/>
        <v>2</v>
      </c>
      <c r="C66" s="68">
        <v>44237</v>
      </c>
      <c r="D66" s="68">
        <v>44237</v>
      </c>
      <c r="E66" t="str">
        <f t="shared" ref="E66:E129" si="19">LEFT(F66,5)</f>
        <v>APPLE</v>
      </c>
      <c r="F66" s="99" t="s">
        <v>95</v>
      </c>
      <c r="G66" s="8">
        <v>3.99</v>
      </c>
      <c r="H66" s="21" t="s">
        <v>68</v>
      </c>
      <c r="I66" s="7" t="str">
        <f t="shared" si="18"/>
        <v>Variable</v>
      </c>
      <c r="J66" s="8">
        <f t="shared" si="7"/>
        <v>729.37000000000012</v>
      </c>
      <c r="K66" s="55" t="s">
        <v>35</v>
      </c>
    </row>
    <row r="67" spans="1:11" x14ac:dyDescent="0.65">
      <c r="A67" s="48">
        <f t="shared" ref="A67:A130" si="20">YEAR(C67)</f>
        <v>2021</v>
      </c>
      <c r="B67" s="6">
        <f t="shared" ref="B67:B130" si="21">MONTH(C67)</f>
        <v>2</v>
      </c>
      <c r="C67" s="68">
        <v>44237</v>
      </c>
      <c r="D67" s="68">
        <v>44237</v>
      </c>
      <c r="E67" t="str">
        <f t="shared" si="19"/>
        <v>CVS/P</v>
      </c>
      <c r="F67" s="99" t="s">
        <v>43</v>
      </c>
      <c r="G67" s="8">
        <v>4.7300000000000004</v>
      </c>
      <c r="H67" s="21" t="s">
        <v>68</v>
      </c>
      <c r="I67" s="7" t="str">
        <f t="shared" ref="I67:I98" si="22">VLOOKUP(H67,Expense_Lookup,2,0)</f>
        <v>Variable</v>
      </c>
      <c r="J67" s="8">
        <f t="shared" si="7"/>
        <v>734.10000000000014</v>
      </c>
      <c r="K67" s="55" t="s">
        <v>35</v>
      </c>
    </row>
    <row r="68" spans="1:11" x14ac:dyDescent="0.65">
      <c r="A68" s="48">
        <f t="shared" si="20"/>
        <v>2021</v>
      </c>
      <c r="B68" s="6">
        <f t="shared" si="21"/>
        <v>2</v>
      </c>
      <c r="C68" s="68">
        <v>44238</v>
      </c>
      <c r="D68" s="68">
        <v>44238</v>
      </c>
      <c r="E68" t="str">
        <f t="shared" si="19"/>
        <v xml:space="preserve">BIRD </v>
      </c>
      <c r="F68" s="99" t="s">
        <v>96</v>
      </c>
      <c r="G68" s="8">
        <v>5</v>
      </c>
      <c r="H68" s="21" t="s">
        <v>89</v>
      </c>
      <c r="I68" s="7" t="str">
        <f t="shared" si="22"/>
        <v>Variable</v>
      </c>
      <c r="J68" s="8">
        <f t="shared" ref="J68:J131" si="23">J67+G68</f>
        <v>739.10000000000014</v>
      </c>
      <c r="K68" s="55" t="s">
        <v>35</v>
      </c>
    </row>
    <row r="69" spans="1:11" x14ac:dyDescent="0.65">
      <c r="A69" s="48">
        <f t="shared" si="20"/>
        <v>2021</v>
      </c>
      <c r="B69" s="6">
        <f t="shared" si="21"/>
        <v>2</v>
      </c>
      <c r="C69" s="68">
        <v>44238</v>
      </c>
      <c r="D69" s="68">
        <v>44238</v>
      </c>
      <c r="E69" t="str">
        <f t="shared" si="19"/>
        <v xml:space="preserve">BIRD </v>
      </c>
      <c r="F69" s="99" t="s">
        <v>96</v>
      </c>
      <c r="G69" s="8">
        <v>5</v>
      </c>
      <c r="H69" s="21" t="s">
        <v>89</v>
      </c>
      <c r="I69" s="7" t="str">
        <f t="shared" si="22"/>
        <v>Variable</v>
      </c>
      <c r="J69" s="8">
        <f t="shared" si="23"/>
        <v>744.10000000000014</v>
      </c>
      <c r="K69" s="55" t="s">
        <v>35</v>
      </c>
    </row>
    <row r="70" spans="1:11" x14ac:dyDescent="0.65">
      <c r="A70" s="48">
        <f t="shared" si="20"/>
        <v>2021</v>
      </c>
      <c r="B70" s="6">
        <f t="shared" si="21"/>
        <v>2</v>
      </c>
      <c r="C70" s="68">
        <v>44238</v>
      </c>
      <c r="D70" s="68">
        <v>44238</v>
      </c>
      <c r="E70" t="str">
        <f t="shared" si="19"/>
        <v xml:space="preserve">BIRD </v>
      </c>
      <c r="F70" s="99" t="s">
        <v>96</v>
      </c>
      <c r="G70" s="8">
        <v>5</v>
      </c>
      <c r="H70" s="21" t="s">
        <v>89</v>
      </c>
      <c r="I70" s="7" t="str">
        <f t="shared" si="22"/>
        <v>Variable</v>
      </c>
      <c r="J70" s="8">
        <f t="shared" si="23"/>
        <v>749.10000000000014</v>
      </c>
      <c r="K70" s="55" t="s">
        <v>35</v>
      </c>
    </row>
    <row r="71" spans="1:11" x14ac:dyDescent="0.65">
      <c r="A71" s="48">
        <f t="shared" si="20"/>
        <v>2021</v>
      </c>
      <c r="B71" s="6">
        <f t="shared" si="21"/>
        <v>2</v>
      </c>
      <c r="C71" s="68">
        <v>44239</v>
      </c>
      <c r="D71" s="68">
        <v>44239</v>
      </c>
      <c r="E71" t="str">
        <f t="shared" si="19"/>
        <v>CASHB</v>
      </c>
      <c r="F71" s="99" t="s">
        <v>61</v>
      </c>
      <c r="G71" s="8">
        <v>-14</v>
      </c>
      <c r="H71" s="28" t="s">
        <v>62</v>
      </c>
      <c r="I71" s="7" t="str">
        <f t="shared" si="22"/>
        <v>Payment</v>
      </c>
      <c r="J71" s="8">
        <f t="shared" si="23"/>
        <v>735.10000000000014</v>
      </c>
      <c r="K71" s="58"/>
    </row>
    <row r="72" spans="1:11" x14ac:dyDescent="0.65">
      <c r="A72" s="48">
        <f t="shared" si="20"/>
        <v>2021</v>
      </c>
      <c r="B72" s="6">
        <f t="shared" si="21"/>
        <v>2</v>
      </c>
      <c r="C72" s="68">
        <v>44239</v>
      </c>
      <c r="D72" s="68">
        <v>44239</v>
      </c>
      <c r="E72" t="str">
        <f t="shared" si="19"/>
        <v>INTER</v>
      </c>
      <c r="F72" s="99" t="s">
        <v>21</v>
      </c>
      <c r="G72" s="8">
        <v>-715.37</v>
      </c>
      <c r="H72" s="21" t="s">
        <v>22</v>
      </c>
      <c r="I72" s="7" t="str">
        <f t="shared" si="22"/>
        <v>Payment</v>
      </c>
      <c r="J72" s="8">
        <f t="shared" si="23"/>
        <v>19.730000000000132</v>
      </c>
      <c r="K72" s="58"/>
    </row>
    <row r="73" spans="1:11" x14ac:dyDescent="0.65">
      <c r="A73" s="48">
        <f t="shared" si="20"/>
        <v>2021</v>
      </c>
      <c r="B73" s="6">
        <f t="shared" si="21"/>
        <v>2</v>
      </c>
      <c r="C73" s="68">
        <v>44239</v>
      </c>
      <c r="D73" s="68">
        <v>44239</v>
      </c>
      <c r="E73" t="str">
        <f t="shared" si="19"/>
        <v>PAYPA</v>
      </c>
      <c r="F73" s="99" t="s">
        <v>59</v>
      </c>
      <c r="G73" s="8">
        <v>1.99</v>
      </c>
      <c r="H73" s="21" t="s">
        <v>26</v>
      </c>
      <c r="I73" s="7" t="str">
        <f t="shared" si="22"/>
        <v>Fixed</v>
      </c>
      <c r="J73" s="8">
        <f t="shared" si="23"/>
        <v>21.72000000000013</v>
      </c>
      <c r="K73" s="84" t="s">
        <v>284</v>
      </c>
    </row>
    <row r="74" spans="1:11" x14ac:dyDescent="0.65">
      <c r="A74" s="48">
        <f t="shared" si="20"/>
        <v>2021</v>
      </c>
      <c r="B74" s="6">
        <f t="shared" si="21"/>
        <v>2</v>
      </c>
      <c r="C74" s="68">
        <v>44241</v>
      </c>
      <c r="D74" s="68">
        <v>44241</v>
      </c>
      <c r="E74" t="str">
        <f t="shared" si="19"/>
        <v>APPLE</v>
      </c>
      <c r="F74" s="99" t="s">
        <v>97</v>
      </c>
      <c r="G74" s="8">
        <v>14.99</v>
      </c>
      <c r="H74" s="21" t="s">
        <v>26</v>
      </c>
      <c r="I74" s="7" t="str">
        <f t="shared" si="22"/>
        <v>Fixed</v>
      </c>
      <c r="J74" s="8">
        <f t="shared" si="23"/>
        <v>36.710000000000129</v>
      </c>
      <c r="K74" s="84" t="s">
        <v>294</v>
      </c>
    </row>
    <row r="75" spans="1:11" x14ac:dyDescent="0.65">
      <c r="A75" s="48">
        <f t="shared" si="20"/>
        <v>2021</v>
      </c>
      <c r="B75" s="6">
        <f t="shared" si="21"/>
        <v>2</v>
      </c>
      <c r="C75" s="68">
        <v>44241</v>
      </c>
      <c r="D75" s="68">
        <v>44241</v>
      </c>
      <c r="E75" t="str">
        <f t="shared" si="19"/>
        <v>THE M</v>
      </c>
      <c r="F75" s="99" t="s">
        <v>39</v>
      </c>
      <c r="G75" s="8">
        <v>7.88</v>
      </c>
      <c r="H75" s="21" t="s">
        <v>90</v>
      </c>
      <c r="I75" s="7" t="str">
        <f t="shared" si="22"/>
        <v>Variable</v>
      </c>
      <c r="J75" s="8">
        <f t="shared" si="23"/>
        <v>44.590000000000131</v>
      </c>
      <c r="K75" s="58"/>
    </row>
    <row r="76" spans="1:11" x14ac:dyDescent="0.65">
      <c r="A76" s="48">
        <f t="shared" si="20"/>
        <v>2021</v>
      </c>
      <c r="B76" s="6">
        <f t="shared" si="21"/>
        <v>2</v>
      </c>
      <c r="C76" s="68">
        <v>44241</v>
      </c>
      <c r="D76" s="68">
        <v>44241</v>
      </c>
      <c r="E76" t="str">
        <f t="shared" si="19"/>
        <v>WALMA</v>
      </c>
      <c r="F76" s="99" t="s">
        <v>49</v>
      </c>
      <c r="G76" s="8">
        <v>48.58</v>
      </c>
      <c r="H76" s="21" t="s">
        <v>68</v>
      </c>
      <c r="I76" s="7" t="str">
        <f t="shared" si="22"/>
        <v>Variable</v>
      </c>
      <c r="J76" s="8">
        <f t="shared" si="23"/>
        <v>93.17000000000013</v>
      </c>
      <c r="K76" s="58"/>
    </row>
    <row r="77" spans="1:11" x14ac:dyDescent="0.65">
      <c r="A77" s="48">
        <f t="shared" si="20"/>
        <v>2021</v>
      </c>
      <c r="B77" s="6">
        <f t="shared" si="21"/>
        <v>2</v>
      </c>
      <c r="C77" s="68">
        <v>44244</v>
      </c>
      <c r="D77" s="68">
        <v>44244</v>
      </c>
      <c r="E77" t="str">
        <f t="shared" si="19"/>
        <v>TARGE</v>
      </c>
      <c r="F77" s="99" t="s">
        <v>98</v>
      </c>
      <c r="G77" s="8">
        <v>76.3</v>
      </c>
      <c r="H77" s="21" t="s">
        <v>68</v>
      </c>
      <c r="I77" s="7" t="str">
        <f t="shared" si="22"/>
        <v>Variable</v>
      </c>
      <c r="J77" s="8">
        <f t="shared" si="23"/>
        <v>169.47000000000014</v>
      </c>
      <c r="K77" s="52" t="s">
        <v>106</v>
      </c>
    </row>
    <row r="78" spans="1:11" x14ac:dyDescent="0.65">
      <c r="A78" s="48">
        <f t="shared" si="20"/>
        <v>2021</v>
      </c>
      <c r="B78" s="6">
        <f t="shared" si="21"/>
        <v>2</v>
      </c>
      <c r="C78" s="68">
        <v>44246</v>
      </c>
      <c r="D78" s="68">
        <v>44246</v>
      </c>
      <c r="E78" t="str">
        <f t="shared" si="19"/>
        <v>PUPAT</v>
      </c>
      <c r="F78" s="99" t="s">
        <v>99</v>
      </c>
      <c r="G78" s="8">
        <v>40.42</v>
      </c>
      <c r="H78" s="21" t="s">
        <v>41</v>
      </c>
      <c r="I78" s="7" t="str">
        <f t="shared" si="22"/>
        <v>Variable</v>
      </c>
      <c r="J78" s="8">
        <f t="shared" si="23"/>
        <v>209.89000000000016</v>
      </c>
      <c r="K78" s="58"/>
    </row>
    <row r="79" spans="1:11" x14ac:dyDescent="0.65">
      <c r="A79" s="48">
        <f t="shared" si="20"/>
        <v>2021</v>
      </c>
      <c r="B79" s="6">
        <f t="shared" si="21"/>
        <v>2</v>
      </c>
      <c r="C79" s="68">
        <v>44247</v>
      </c>
      <c r="D79" s="68">
        <v>44247</v>
      </c>
      <c r="E79" t="str">
        <f t="shared" si="19"/>
        <v>PUBLI</v>
      </c>
      <c r="F79" s="99" t="s">
        <v>86</v>
      </c>
      <c r="G79" s="8">
        <v>135.35</v>
      </c>
      <c r="H79" s="21" t="s">
        <v>90</v>
      </c>
      <c r="I79" s="7" t="str">
        <f t="shared" si="22"/>
        <v>Variable</v>
      </c>
      <c r="J79" s="8">
        <f t="shared" si="23"/>
        <v>345.24000000000012</v>
      </c>
      <c r="K79" s="58"/>
    </row>
    <row r="80" spans="1:11" ht="15.75" customHeight="1" x14ac:dyDescent="0.65">
      <c r="A80" s="48">
        <f t="shared" si="20"/>
        <v>2021</v>
      </c>
      <c r="B80" s="6">
        <f t="shared" si="21"/>
        <v>2</v>
      </c>
      <c r="C80" s="68">
        <v>44247</v>
      </c>
      <c r="D80" s="68">
        <v>44247</v>
      </c>
      <c r="E80" t="str">
        <f t="shared" si="19"/>
        <v>T-MOB</v>
      </c>
      <c r="F80" s="102" t="s">
        <v>100</v>
      </c>
      <c r="G80" s="8">
        <v>86.25</v>
      </c>
      <c r="H80" s="30" t="s">
        <v>26</v>
      </c>
      <c r="I80" s="7" t="str">
        <f t="shared" si="22"/>
        <v>Fixed</v>
      </c>
      <c r="J80" s="8">
        <f t="shared" si="23"/>
        <v>431.49000000000012</v>
      </c>
      <c r="K80" s="84" t="s">
        <v>295</v>
      </c>
    </row>
    <row r="81" spans="1:11" x14ac:dyDescent="0.65">
      <c r="A81" s="48">
        <f t="shared" si="20"/>
        <v>2021</v>
      </c>
      <c r="B81" s="6">
        <f t="shared" si="21"/>
        <v>2</v>
      </c>
      <c r="C81" s="68">
        <v>44247</v>
      </c>
      <c r="D81" s="68">
        <v>44247</v>
      </c>
      <c r="E81" t="str">
        <f t="shared" si="19"/>
        <v>THE M</v>
      </c>
      <c r="F81" s="99" t="s">
        <v>39</v>
      </c>
      <c r="G81" s="8">
        <v>10.64</v>
      </c>
      <c r="H81" s="21" t="s">
        <v>90</v>
      </c>
      <c r="I81" s="7" t="str">
        <f t="shared" si="22"/>
        <v>Variable</v>
      </c>
      <c r="J81" s="8">
        <f t="shared" si="23"/>
        <v>442.13000000000011</v>
      </c>
      <c r="K81" s="58"/>
    </row>
    <row r="82" spans="1:11" x14ac:dyDescent="0.65">
      <c r="A82" s="48">
        <f t="shared" si="20"/>
        <v>2021</v>
      </c>
      <c r="B82" s="6">
        <f t="shared" si="21"/>
        <v>2</v>
      </c>
      <c r="C82" s="68">
        <v>44247</v>
      </c>
      <c r="D82" s="68">
        <v>44247</v>
      </c>
      <c r="E82" t="str">
        <f t="shared" si="19"/>
        <v>WWW.W</v>
      </c>
      <c r="F82" s="99" t="s">
        <v>101</v>
      </c>
      <c r="G82" s="8">
        <v>6.99</v>
      </c>
      <c r="H82" s="21" t="s">
        <v>68</v>
      </c>
      <c r="I82" s="7" t="str">
        <f t="shared" si="22"/>
        <v>Variable</v>
      </c>
      <c r="J82" s="8">
        <f t="shared" si="23"/>
        <v>449.12000000000012</v>
      </c>
      <c r="K82" s="52" t="s">
        <v>107</v>
      </c>
    </row>
    <row r="83" spans="1:11" x14ac:dyDescent="0.65">
      <c r="A83" s="48">
        <f t="shared" si="20"/>
        <v>2021</v>
      </c>
      <c r="B83" s="6">
        <f t="shared" si="21"/>
        <v>2</v>
      </c>
      <c r="C83" s="68">
        <v>44248</v>
      </c>
      <c r="D83" s="68">
        <v>44248</v>
      </c>
      <c r="E83" t="str">
        <f t="shared" si="19"/>
        <v>CHIPO</v>
      </c>
      <c r="F83" s="99" t="s">
        <v>79</v>
      </c>
      <c r="G83" s="8">
        <v>8.23</v>
      </c>
      <c r="H83" s="21" t="s">
        <v>41</v>
      </c>
      <c r="I83" s="7" t="str">
        <f t="shared" si="22"/>
        <v>Variable</v>
      </c>
      <c r="J83" s="8">
        <f t="shared" si="23"/>
        <v>457.35000000000014</v>
      </c>
      <c r="K83" s="52" t="s">
        <v>35</v>
      </c>
    </row>
    <row r="84" spans="1:11" x14ac:dyDescent="0.65">
      <c r="A84" s="48">
        <f t="shared" si="20"/>
        <v>2021</v>
      </c>
      <c r="B84" s="6">
        <f t="shared" si="21"/>
        <v>2</v>
      </c>
      <c r="C84" s="68">
        <v>44248</v>
      </c>
      <c r="D84" s="68">
        <v>44248</v>
      </c>
      <c r="E84" t="str">
        <f t="shared" si="19"/>
        <v>KINGS</v>
      </c>
      <c r="F84" s="99" t="s">
        <v>102</v>
      </c>
      <c r="G84" s="8">
        <v>9.9499999999999993</v>
      </c>
      <c r="H84" s="76" t="s">
        <v>26</v>
      </c>
      <c r="I84" s="7" t="str">
        <f t="shared" si="22"/>
        <v>Fixed</v>
      </c>
      <c r="J84" s="8">
        <f t="shared" si="23"/>
        <v>467.30000000000013</v>
      </c>
      <c r="K84" s="52" t="s">
        <v>35</v>
      </c>
    </row>
    <row r="85" spans="1:11" x14ac:dyDescent="0.65">
      <c r="A85" s="48">
        <f t="shared" si="20"/>
        <v>2021</v>
      </c>
      <c r="B85" s="6">
        <f t="shared" si="21"/>
        <v>2</v>
      </c>
      <c r="C85" s="68">
        <v>44248</v>
      </c>
      <c r="D85" s="68">
        <v>44248</v>
      </c>
      <c r="E85" t="str">
        <f t="shared" si="19"/>
        <v>PP*PP</v>
      </c>
      <c r="F85" s="99" t="s">
        <v>81</v>
      </c>
      <c r="G85" s="8">
        <v>7.99</v>
      </c>
      <c r="H85" s="30" t="s">
        <v>26</v>
      </c>
      <c r="I85" s="7" t="str">
        <f t="shared" si="22"/>
        <v>Fixed</v>
      </c>
      <c r="J85" s="8">
        <f t="shared" si="23"/>
        <v>475.29000000000013</v>
      </c>
      <c r="K85" s="84" t="s">
        <v>9</v>
      </c>
    </row>
    <row r="86" spans="1:11" x14ac:dyDescent="0.65">
      <c r="A86" s="48">
        <f t="shared" si="20"/>
        <v>2021</v>
      </c>
      <c r="B86" s="6">
        <f t="shared" si="21"/>
        <v>2</v>
      </c>
      <c r="C86" s="68">
        <v>44248</v>
      </c>
      <c r="D86" s="68">
        <v>44248</v>
      </c>
      <c r="E86" t="str">
        <f t="shared" si="19"/>
        <v>SUNOC</v>
      </c>
      <c r="F86" s="99" t="s">
        <v>103</v>
      </c>
      <c r="G86" s="8">
        <v>25.35</v>
      </c>
      <c r="H86" s="21" t="s">
        <v>24</v>
      </c>
      <c r="I86" s="7" t="str">
        <f t="shared" si="22"/>
        <v>Variable</v>
      </c>
      <c r="J86" s="8">
        <f t="shared" si="23"/>
        <v>500.64000000000016</v>
      </c>
      <c r="K86" s="58"/>
    </row>
    <row r="87" spans="1:11" x14ac:dyDescent="0.65">
      <c r="A87" s="48">
        <f t="shared" si="20"/>
        <v>2021</v>
      </c>
      <c r="B87" s="6">
        <f t="shared" si="21"/>
        <v>2</v>
      </c>
      <c r="C87" s="68">
        <v>44248</v>
      </c>
      <c r="D87" s="68">
        <v>44248</v>
      </c>
      <c r="E87" t="str">
        <f t="shared" si="19"/>
        <v>WALMA</v>
      </c>
      <c r="F87" s="99" t="s">
        <v>49</v>
      </c>
      <c r="G87" s="8">
        <v>11.64</v>
      </c>
      <c r="H87" s="21" t="s">
        <v>68</v>
      </c>
      <c r="I87" s="7" t="str">
        <f t="shared" si="22"/>
        <v>Variable</v>
      </c>
      <c r="J87" s="8">
        <f t="shared" si="23"/>
        <v>512.2800000000002</v>
      </c>
      <c r="K87" s="58"/>
    </row>
    <row r="88" spans="1:11" x14ac:dyDescent="0.65">
      <c r="A88" s="48">
        <f t="shared" si="20"/>
        <v>2021</v>
      </c>
      <c r="B88" s="6">
        <f t="shared" si="21"/>
        <v>2</v>
      </c>
      <c r="C88" s="68">
        <v>44248</v>
      </c>
      <c r="D88" s="68">
        <v>44248</v>
      </c>
      <c r="E88" t="str">
        <f t="shared" si="19"/>
        <v>WALMA</v>
      </c>
      <c r="F88" s="99" t="s">
        <v>49</v>
      </c>
      <c r="G88" s="8">
        <v>20.14</v>
      </c>
      <c r="H88" s="21" t="s">
        <v>68</v>
      </c>
      <c r="I88" s="7" t="str">
        <f t="shared" si="22"/>
        <v>Variable</v>
      </c>
      <c r="J88" s="8">
        <f t="shared" si="23"/>
        <v>532.42000000000019</v>
      </c>
      <c r="K88" s="58"/>
    </row>
    <row r="89" spans="1:11" x14ac:dyDescent="0.65">
      <c r="A89" s="48">
        <f t="shared" si="20"/>
        <v>2021</v>
      </c>
      <c r="B89" s="6">
        <f t="shared" si="21"/>
        <v>2</v>
      </c>
      <c r="C89" s="68">
        <v>44248</v>
      </c>
      <c r="D89" s="68">
        <v>44248</v>
      </c>
      <c r="E89" t="str">
        <f t="shared" si="19"/>
        <v>WALMA</v>
      </c>
      <c r="F89" s="99" t="s">
        <v>49</v>
      </c>
      <c r="G89" s="8">
        <v>21.14</v>
      </c>
      <c r="H89" s="21" t="s">
        <v>68</v>
      </c>
      <c r="I89" s="7" t="str">
        <f t="shared" si="22"/>
        <v>Variable</v>
      </c>
      <c r="J89" s="8">
        <f t="shared" si="23"/>
        <v>553.56000000000017</v>
      </c>
      <c r="K89" s="58"/>
    </row>
    <row r="90" spans="1:11" x14ac:dyDescent="0.65">
      <c r="A90" s="48">
        <f t="shared" si="20"/>
        <v>2021</v>
      </c>
      <c r="B90" s="6">
        <f t="shared" si="21"/>
        <v>2</v>
      </c>
      <c r="C90" s="68">
        <v>44250</v>
      </c>
      <c r="D90" s="68">
        <v>44250</v>
      </c>
      <c r="E90" t="str">
        <f t="shared" si="19"/>
        <v>PAYPA</v>
      </c>
      <c r="F90" s="99" t="s">
        <v>104</v>
      </c>
      <c r="G90" s="8">
        <v>1.99</v>
      </c>
      <c r="H90" s="30" t="s">
        <v>26</v>
      </c>
      <c r="I90" s="7" t="str">
        <f t="shared" si="22"/>
        <v>Fixed</v>
      </c>
      <c r="J90" s="8">
        <f t="shared" si="23"/>
        <v>555.55000000000018</v>
      </c>
      <c r="K90" s="84" t="s">
        <v>94</v>
      </c>
    </row>
    <row r="91" spans="1:11" x14ac:dyDescent="0.65">
      <c r="A91" s="48">
        <f t="shared" si="20"/>
        <v>2021</v>
      </c>
      <c r="B91" s="6">
        <f t="shared" si="21"/>
        <v>2</v>
      </c>
      <c r="C91" s="68">
        <v>44251</v>
      </c>
      <c r="D91" s="68">
        <v>44251</v>
      </c>
      <c r="E91" t="str">
        <f t="shared" si="19"/>
        <v>COACH</v>
      </c>
      <c r="F91" s="99" t="s">
        <v>105</v>
      </c>
      <c r="G91" s="8">
        <v>215</v>
      </c>
      <c r="H91" s="21" t="s">
        <v>91</v>
      </c>
      <c r="I91" s="7" t="str">
        <f t="shared" si="22"/>
        <v>Variable</v>
      </c>
      <c r="J91" s="8">
        <f t="shared" si="23"/>
        <v>770.55000000000018</v>
      </c>
      <c r="K91" s="52" t="s">
        <v>108</v>
      </c>
    </row>
    <row r="92" spans="1:11" x14ac:dyDescent="0.65">
      <c r="A92" s="48">
        <f t="shared" si="20"/>
        <v>2021</v>
      </c>
      <c r="B92" s="6">
        <f t="shared" si="21"/>
        <v>2</v>
      </c>
      <c r="C92" s="68">
        <v>44253</v>
      </c>
      <c r="D92" s="68">
        <v>44253</v>
      </c>
      <c r="E92" t="str">
        <f t="shared" si="19"/>
        <v>INTER</v>
      </c>
      <c r="F92" s="99" t="s">
        <v>21</v>
      </c>
      <c r="G92" s="8">
        <v>-770.55</v>
      </c>
      <c r="H92" s="21" t="s">
        <v>22</v>
      </c>
      <c r="I92" s="7" t="str">
        <f t="shared" si="22"/>
        <v>Payment</v>
      </c>
      <c r="J92" s="8">
        <f t="shared" si="23"/>
        <v>0</v>
      </c>
      <c r="K92" s="58"/>
    </row>
    <row r="93" spans="1:11" x14ac:dyDescent="0.65">
      <c r="A93" s="48">
        <f t="shared" si="20"/>
        <v>2021</v>
      </c>
      <c r="B93" s="6">
        <f t="shared" si="21"/>
        <v>2</v>
      </c>
      <c r="C93" s="68">
        <v>44253</v>
      </c>
      <c r="D93" s="68">
        <v>44253</v>
      </c>
      <c r="E93" t="str">
        <f t="shared" si="19"/>
        <v>DISNE</v>
      </c>
      <c r="F93" s="99" t="s">
        <v>110</v>
      </c>
      <c r="G93" s="8">
        <v>6.99</v>
      </c>
      <c r="H93" s="21" t="s">
        <v>68</v>
      </c>
      <c r="I93" s="7" t="str">
        <f t="shared" si="22"/>
        <v>Variable</v>
      </c>
      <c r="J93" s="8">
        <f t="shared" si="23"/>
        <v>6.99</v>
      </c>
      <c r="K93" s="58"/>
    </row>
    <row r="94" spans="1:11" x14ac:dyDescent="0.65">
      <c r="A94" s="48">
        <f t="shared" si="20"/>
        <v>2021</v>
      </c>
      <c r="B94" s="6">
        <f t="shared" si="21"/>
        <v>2</v>
      </c>
      <c r="C94" s="68">
        <v>44253</v>
      </c>
      <c r="D94" s="68">
        <v>44253</v>
      </c>
      <c r="E94" t="str">
        <f t="shared" si="19"/>
        <v>INTER</v>
      </c>
      <c r="F94" s="99" t="s">
        <v>21</v>
      </c>
      <c r="G94" s="8">
        <v>-770.55</v>
      </c>
      <c r="H94" s="21" t="s">
        <v>22</v>
      </c>
      <c r="I94" s="7" t="str">
        <f t="shared" si="22"/>
        <v>Payment</v>
      </c>
      <c r="J94" s="8">
        <f t="shared" si="23"/>
        <v>-763.56</v>
      </c>
      <c r="K94" s="58"/>
    </row>
    <row r="95" spans="1:11" x14ac:dyDescent="0.65">
      <c r="A95" s="48">
        <f t="shared" si="20"/>
        <v>2021</v>
      </c>
      <c r="B95" s="6">
        <f t="shared" si="21"/>
        <v>2</v>
      </c>
      <c r="C95" s="68">
        <v>44253</v>
      </c>
      <c r="D95" s="68">
        <v>44253</v>
      </c>
      <c r="E95" t="str">
        <f t="shared" si="19"/>
        <v>WALMA</v>
      </c>
      <c r="F95" s="99" t="s">
        <v>49</v>
      </c>
      <c r="G95" s="8">
        <v>13.67</v>
      </c>
      <c r="H95" s="21" t="s">
        <v>68</v>
      </c>
      <c r="I95" s="7" t="str">
        <f t="shared" si="22"/>
        <v>Variable</v>
      </c>
      <c r="J95" s="8">
        <f t="shared" si="23"/>
        <v>-749.89</v>
      </c>
      <c r="K95" s="58"/>
    </row>
    <row r="96" spans="1:11" x14ac:dyDescent="0.65">
      <c r="A96" s="48">
        <f t="shared" si="20"/>
        <v>2021</v>
      </c>
      <c r="B96" s="6">
        <f t="shared" si="21"/>
        <v>2</v>
      </c>
      <c r="C96" s="68">
        <v>44254</v>
      </c>
      <c r="D96" s="68">
        <v>44254</v>
      </c>
      <c r="E96" t="str">
        <f t="shared" si="19"/>
        <v>APPLE</v>
      </c>
      <c r="F96" s="99" t="s">
        <v>111</v>
      </c>
      <c r="G96" s="8">
        <v>1.99</v>
      </c>
      <c r="H96" s="46" t="s">
        <v>26</v>
      </c>
      <c r="I96" s="7" t="str">
        <f t="shared" si="22"/>
        <v>Fixed</v>
      </c>
      <c r="J96" s="8">
        <f t="shared" si="23"/>
        <v>-747.9</v>
      </c>
      <c r="K96" s="84" t="s">
        <v>284</v>
      </c>
    </row>
    <row r="97" spans="1:11" x14ac:dyDescent="0.65">
      <c r="A97" s="48">
        <f t="shared" si="20"/>
        <v>2021</v>
      </c>
      <c r="B97" s="6">
        <f t="shared" si="21"/>
        <v>2</v>
      </c>
      <c r="C97" s="68">
        <v>44254</v>
      </c>
      <c r="D97" s="68">
        <v>44254</v>
      </c>
      <c r="E97" t="str">
        <f t="shared" si="19"/>
        <v>PAYPA</v>
      </c>
      <c r="F97" s="99" t="s">
        <v>112</v>
      </c>
      <c r="G97" s="8">
        <v>9.99</v>
      </c>
      <c r="H97" s="46" t="s">
        <v>26</v>
      </c>
      <c r="I97" s="7" t="str">
        <f t="shared" si="22"/>
        <v>Fixed</v>
      </c>
      <c r="J97" s="8">
        <f t="shared" si="23"/>
        <v>-737.91</v>
      </c>
      <c r="K97" s="84" t="s">
        <v>296</v>
      </c>
    </row>
    <row r="98" spans="1:11" x14ac:dyDescent="0.65">
      <c r="A98" s="48">
        <f t="shared" si="20"/>
        <v>2021</v>
      </c>
      <c r="B98" s="6">
        <f t="shared" si="21"/>
        <v>2</v>
      </c>
      <c r="C98" s="68">
        <v>44254</v>
      </c>
      <c r="D98" s="68">
        <v>44254</v>
      </c>
      <c r="E98" t="str">
        <f t="shared" si="19"/>
        <v>SHEET</v>
      </c>
      <c r="F98" s="99" t="s">
        <v>113</v>
      </c>
      <c r="G98" s="8">
        <v>16.239999999999998</v>
      </c>
      <c r="H98" s="21" t="s">
        <v>24</v>
      </c>
      <c r="I98" s="7" t="str">
        <f t="shared" si="22"/>
        <v>Variable</v>
      </c>
      <c r="J98" s="8">
        <f t="shared" si="23"/>
        <v>-721.67</v>
      </c>
      <c r="K98" s="58"/>
    </row>
    <row r="99" spans="1:11" x14ac:dyDescent="0.65">
      <c r="A99" s="48">
        <f t="shared" si="20"/>
        <v>2021</v>
      </c>
      <c r="B99" s="6">
        <f t="shared" si="21"/>
        <v>2</v>
      </c>
      <c r="C99" s="68">
        <v>44254</v>
      </c>
      <c r="D99" s="68">
        <v>44254</v>
      </c>
      <c r="E99" t="str">
        <f t="shared" si="19"/>
        <v xml:space="preserve">TACO </v>
      </c>
      <c r="F99" s="99" t="s">
        <v>114</v>
      </c>
      <c r="G99" s="8">
        <v>11.54</v>
      </c>
      <c r="H99" s="21" t="s">
        <v>41</v>
      </c>
      <c r="I99" s="7" t="str">
        <f t="shared" ref="I99:I130" si="24">VLOOKUP(H99,Expense_Lookup,2,0)</f>
        <v>Variable</v>
      </c>
      <c r="J99" s="8">
        <f t="shared" si="23"/>
        <v>-710.13</v>
      </c>
      <c r="K99" s="58"/>
    </row>
    <row r="100" spans="1:11" x14ac:dyDescent="0.65">
      <c r="A100" s="48">
        <f t="shared" si="20"/>
        <v>2021</v>
      </c>
      <c r="B100" s="6">
        <f t="shared" si="21"/>
        <v>2</v>
      </c>
      <c r="C100" s="68">
        <v>44254</v>
      </c>
      <c r="D100" s="68">
        <v>44254</v>
      </c>
      <c r="E100" t="str">
        <f t="shared" si="19"/>
        <v>WWW.C</v>
      </c>
      <c r="F100" s="99" t="s">
        <v>115</v>
      </c>
      <c r="G100" s="8">
        <v>5</v>
      </c>
      <c r="H100" s="21" t="s">
        <v>68</v>
      </c>
      <c r="I100" s="7" t="str">
        <f t="shared" si="24"/>
        <v>Variable</v>
      </c>
      <c r="J100" s="8">
        <f t="shared" si="23"/>
        <v>-705.13</v>
      </c>
      <c r="K100" s="58"/>
    </row>
    <row r="101" spans="1:11" x14ac:dyDescent="0.65">
      <c r="A101" s="48">
        <f t="shared" si="20"/>
        <v>2021</v>
      </c>
      <c r="B101" s="6">
        <f t="shared" si="21"/>
        <v>2</v>
      </c>
      <c r="C101" s="68">
        <v>44255</v>
      </c>
      <c r="D101" s="68">
        <v>44255</v>
      </c>
      <c r="E101" t="str">
        <f t="shared" si="19"/>
        <v>ABC*C</v>
      </c>
      <c r="F101" s="99" t="s">
        <v>87</v>
      </c>
      <c r="G101" s="8">
        <v>9.9499999999999993</v>
      </c>
      <c r="H101" s="46" t="s">
        <v>26</v>
      </c>
      <c r="I101" s="7" t="str">
        <f t="shared" si="24"/>
        <v>Fixed</v>
      </c>
      <c r="J101" s="8">
        <f t="shared" si="23"/>
        <v>-695.18</v>
      </c>
      <c r="K101" s="84" t="s">
        <v>323</v>
      </c>
    </row>
    <row r="102" spans="1:11" x14ac:dyDescent="0.65">
      <c r="A102" s="48">
        <f t="shared" si="20"/>
        <v>2021</v>
      </c>
      <c r="B102" s="6">
        <f t="shared" si="21"/>
        <v>2</v>
      </c>
      <c r="C102" s="68">
        <v>44255</v>
      </c>
      <c r="D102" s="68">
        <v>44255</v>
      </c>
      <c r="E102" t="str">
        <f t="shared" si="19"/>
        <v>BP#20</v>
      </c>
      <c r="F102" s="99" t="s">
        <v>116</v>
      </c>
      <c r="G102" s="8">
        <v>25.88</v>
      </c>
      <c r="H102" s="21" t="s">
        <v>24</v>
      </c>
      <c r="I102" s="7" t="str">
        <f t="shared" si="24"/>
        <v>Variable</v>
      </c>
      <c r="J102" s="8">
        <f t="shared" si="23"/>
        <v>-669.3</v>
      </c>
      <c r="K102" s="58"/>
    </row>
    <row r="103" spans="1:11" x14ac:dyDescent="0.65">
      <c r="A103" s="48">
        <f t="shared" si="20"/>
        <v>2021</v>
      </c>
      <c r="B103" s="6">
        <f t="shared" si="21"/>
        <v>2</v>
      </c>
      <c r="C103" s="68">
        <v>44255</v>
      </c>
      <c r="D103" s="68">
        <v>44255</v>
      </c>
      <c r="E103" t="str">
        <f t="shared" si="19"/>
        <v>DEL S</v>
      </c>
      <c r="F103" s="99" t="s">
        <v>117</v>
      </c>
      <c r="G103" s="8">
        <v>78.69</v>
      </c>
      <c r="H103" s="21" t="s">
        <v>90</v>
      </c>
      <c r="I103" s="7" t="str">
        <f t="shared" si="24"/>
        <v>Variable</v>
      </c>
      <c r="J103" s="8">
        <f t="shared" si="23"/>
        <v>-590.6099999999999</v>
      </c>
      <c r="K103" s="58"/>
    </row>
    <row r="104" spans="1:11" x14ac:dyDescent="0.65">
      <c r="A104" s="48">
        <f t="shared" si="20"/>
        <v>2021</v>
      </c>
      <c r="B104" s="6">
        <f t="shared" si="21"/>
        <v>2</v>
      </c>
      <c r="C104" s="68">
        <v>44255</v>
      </c>
      <c r="D104" s="68">
        <v>44255</v>
      </c>
      <c r="E104" t="str">
        <f t="shared" si="19"/>
        <v>DEPAR</v>
      </c>
      <c r="F104" s="99" t="s">
        <v>118</v>
      </c>
      <c r="G104" s="8">
        <v>40.15</v>
      </c>
      <c r="H104" s="21" t="s">
        <v>119</v>
      </c>
      <c r="I104" s="7" t="str">
        <f t="shared" si="24"/>
        <v>Fixed</v>
      </c>
      <c r="J104" s="8">
        <f t="shared" si="23"/>
        <v>-550.45999999999992</v>
      </c>
      <c r="K104" s="42" t="s">
        <v>138</v>
      </c>
    </row>
    <row r="105" spans="1:11" ht="15" thickBot="1" x14ac:dyDescent="0.8">
      <c r="A105" s="50">
        <f t="shared" si="20"/>
        <v>2021</v>
      </c>
      <c r="B105" s="47">
        <f t="shared" si="21"/>
        <v>2</v>
      </c>
      <c r="C105" s="67">
        <v>44255</v>
      </c>
      <c r="D105" s="67">
        <v>44255</v>
      </c>
      <c r="E105" t="str">
        <f t="shared" si="19"/>
        <v>WALMA</v>
      </c>
      <c r="F105" s="103" t="s">
        <v>49</v>
      </c>
      <c r="G105" s="54">
        <v>5.17</v>
      </c>
      <c r="H105" s="51" t="s">
        <v>68</v>
      </c>
      <c r="I105" s="57" t="str">
        <f t="shared" si="24"/>
        <v>Variable</v>
      </c>
      <c r="J105" s="8">
        <f t="shared" si="23"/>
        <v>-545.29</v>
      </c>
      <c r="K105" s="49"/>
    </row>
    <row r="106" spans="1:11" x14ac:dyDescent="0.65">
      <c r="A106" s="45">
        <f t="shared" si="20"/>
        <v>2021</v>
      </c>
      <c r="B106" s="38">
        <f t="shared" si="21"/>
        <v>3</v>
      </c>
      <c r="C106" s="63">
        <v>44256</v>
      </c>
      <c r="D106" s="63">
        <v>44256</v>
      </c>
      <c r="E106" t="str">
        <f t="shared" si="19"/>
        <v>DISNE</v>
      </c>
      <c r="F106" s="101" t="s">
        <v>110</v>
      </c>
      <c r="G106" s="56">
        <v>69.989999999999995</v>
      </c>
      <c r="H106" s="86" t="s">
        <v>26</v>
      </c>
      <c r="I106" s="34" t="str">
        <f t="shared" si="24"/>
        <v>Fixed</v>
      </c>
      <c r="J106" s="8">
        <f t="shared" si="23"/>
        <v>-475.29999999999995</v>
      </c>
      <c r="K106" s="81" t="s">
        <v>297</v>
      </c>
    </row>
    <row r="107" spans="1:11" x14ac:dyDescent="0.65">
      <c r="A107" s="48">
        <f t="shared" si="20"/>
        <v>2021</v>
      </c>
      <c r="B107" s="6">
        <f t="shared" si="21"/>
        <v>3</v>
      </c>
      <c r="C107" s="61">
        <v>44256</v>
      </c>
      <c r="D107" s="61">
        <v>44256</v>
      </c>
      <c r="E107" t="str">
        <f t="shared" si="19"/>
        <v>NETFL</v>
      </c>
      <c r="F107" s="99" t="s">
        <v>120</v>
      </c>
      <c r="G107" s="8">
        <v>13.99</v>
      </c>
      <c r="H107" s="46" t="s">
        <v>26</v>
      </c>
      <c r="I107" s="7" t="str">
        <f t="shared" si="24"/>
        <v>Fixed</v>
      </c>
      <c r="J107" s="8">
        <f t="shared" si="23"/>
        <v>-461.30999999999995</v>
      </c>
      <c r="K107" s="84" t="s">
        <v>7</v>
      </c>
    </row>
    <row r="108" spans="1:11" x14ac:dyDescent="0.65">
      <c r="A108" s="48">
        <f t="shared" si="20"/>
        <v>2021</v>
      </c>
      <c r="B108" s="6">
        <f t="shared" si="21"/>
        <v>3</v>
      </c>
      <c r="C108" s="61">
        <v>44257</v>
      </c>
      <c r="D108" s="61">
        <v>44258</v>
      </c>
      <c r="E108" t="str">
        <f t="shared" si="19"/>
        <v>SPOTI</v>
      </c>
      <c r="F108" s="99" t="s">
        <v>121</v>
      </c>
      <c r="G108" s="8">
        <v>9.99</v>
      </c>
      <c r="H108" s="85" t="s">
        <v>26</v>
      </c>
      <c r="I108" s="7" t="str">
        <f t="shared" si="24"/>
        <v>Fixed</v>
      </c>
      <c r="J108" s="8">
        <f t="shared" si="23"/>
        <v>-451.31999999999994</v>
      </c>
      <c r="K108" s="84" t="s">
        <v>6</v>
      </c>
    </row>
    <row r="109" spans="1:11" x14ac:dyDescent="0.65">
      <c r="A109" s="48">
        <f t="shared" si="20"/>
        <v>2021</v>
      </c>
      <c r="B109" s="6">
        <f t="shared" si="21"/>
        <v>3</v>
      </c>
      <c r="C109" s="61">
        <v>44259</v>
      </c>
      <c r="D109" s="61">
        <v>44259</v>
      </c>
      <c r="E109" t="str">
        <f t="shared" si="19"/>
        <v>STATE</v>
      </c>
      <c r="F109" s="99" t="s">
        <v>32</v>
      </c>
      <c r="G109" s="8">
        <v>91.78</v>
      </c>
      <c r="H109" s="46" t="s">
        <v>26</v>
      </c>
      <c r="I109" s="7" t="str">
        <f t="shared" si="24"/>
        <v>Fixed</v>
      </c>
      <c r="J109" s="8">
        <f t="shared" si="23"/>
        <v>-359.53999999999996</v>
      </c>
      <c r="K109" s="84" t="s">
        <v>8</v>
      </c>
    </row>
    <row r="110" spans="1:11" x14ac:dyDescent="0.65">
      <c r="A110" s="48">
        <f t="shared" si="20"/>
        <v>2021</v>
      </c>
      <c r="B110" s="6">
        <f t="shared" si="21"/>
        <v>3</v>
      </c>
      <c r="C110" s="61">
        <v>44260</v>
      </c>
      <c r="D110" s="61">
        <v>44260</v>
      </c>
      <c r="E110" t="str">
        <f t="shared" si="19"/>
        <v>PAYPA</v>
      </c>
      <c r="F110" s="99" t="s">
        <v>122</v>
      </c>
      <c r="G110" s="8">
        <v>350</v>
      </c>
      <c r="H110" s="21" t="s">
        <v>52</v>
      </c>
      <c r="I110" s="7" t="str">
        <f t="shared" si="24"/>
        <v>Variable</v>
      </c>
      <c r="J110" s="8">
        <f t="shared" si="23"/>
        <v>-9.5399999999999636</v>
      </c>
      <c r="K110" s="42" t="s">
        <v>135</v>
      </c>
    </row>
    <row r="111" spans="1:11" x14ac:dyDescent="0.65">
      <c r="A111" s="48">
        <f t="shared" si="20"/>
        <v>2021</v>
      </c>
      <c r="B111" s="6">
        <f t="shared" si="21"/>
        <v>3</v>
      </c>
      <c r="C111" s="61">
        <v>44261</v>
      </c>
      <c r="D111" s="61">
        <v>44261</v>
      </c>
      <c r="E111" t="str">
        <f t="shared" si="19"/>
        <v>MELLO</v>
      </c>
      <c r="F111" s="99" t="s">
        <v>123</v>
      </c>
      <c r="G111" s="8">
        <v>70</v>
      </c>
      <c r="H111" s="21" t="s">
        <v>41</v>
      </c>
      <c r="I111" s="7" t="str">
        <f t="shared" si="24"/>
        <v>Variable</v>
      </c>
      <c r="J111" s="8">
        <f t="shared" si="23"/>
        <v>60.460000000000036</v>
      </c>
      <c r="K111" s="58"/>
    </row>
    <row r="112" spans="1:11" x14ac:dyDescent="0.65">
      <c r="A112" s="48">
        <f t="shared" si="20"/>
        <v>2021</v>
      </c>
      <c r="B112" s="6">
        <f t="shared" si="21"/>
        <v>3</v>
      </c>
      <c r="C112" s="61">
        <v>44262</v>
      </c>
      <c r="D112" s="61">
        <v>44262</v>
      </c>
      <c r="E112" t="str">
        <f t="shared" si="19"/>
        <v>PP*GO</v>
      </c>
      <c r="F112" s="99" t="s">
        <v>124</v>
      </c>
      <c r="G112" s="8">
        <v>1</v>
      </c>
      <c r="H112" s="21" t="s">
        <v>68</v>
      </c>
      <c r="I112" s="7" t="str">
        <f t="shared" si="24"/>
        <v>Variable</v>
      </c>
      <c r="J112" s="8">
        <f t="shared" si="23"/>
        <v>61.460000000000036</v>
      </c>
      <c r="K112" s="58"/>
    </row>
    <row r="113" spans="1:11" x14ac:dyDescent="0.65">
      <c r="A113" s="48">
        <f t="shared" si="20"/>
        <v>2021</v>
      </c>
      <c r="B113" s="6">
        <f t="shared" si="21"/>
        <v>3</v>
      </c>
      <c r="C113" s="61">
        <v>44262</v>
      </c>
      <c r="D113" s="61">
        <v>44262</v>
      </c>
      <c r="E113" t="str">
        <f t="shared" si="19"/>
        <v>PP*GO</v>
      </c>
      <c r="F113" s="99" t="s">
        <v>125</v>
      </c>
      <c r="G113" s="8">
        <v>1</v>
      </c>
      <c r="H113" s="21" t="s">
        <v>68</v>
      </c>
      <c r="I113" s="7" t="str">
        <f t="shared" si="24"/>
        <v>Variable</v>
      </c>
      <c r="J113" s="8">
        <f t="shared" si="23"/>
        <v>62.460000000000036</v>
      </c>
      <c r="K113" s="58"/>
    </row>
    <row r="114" spans="1:11" x14ac:dyDescent="0.65">
      <c r="A114" s="48">
        <f t="shared" si="20"/>
        <v>2021</v>
      </c>
      <c r="B114" s="6">
        <f t="shared" si="21"/>
        <v>3</v>
      </c>
      <c r="C114" s="61">
        <v>44262</v>
      </c>
      <c r="D114" s="61">
        <v>44262</v>
      </c>
      <c r="E114" t="str">
        <f t="shared" si="19"/>
        <v>WALMA</v>
      </c>
      <c r="F114" s="99" t="s">
        <v>49</v>
      </c>
      <c r="G114" s="8">
        <v>90.38</v>
      </c>
      <c r="H114" s="21" t="s">
        <v>68</v>
      </c>
      <c r="I114" s="7" t="str">
        <f t="shared" si="24"/>
        <v>Variable</v>
      </c>
      <c r="J114" s="8">
        <f t="shared" si="23"/>
        <v>152.84000000000003</v>
      </c>
      <c r="K114" s="58"/>
    </row>
    <row r="115" spans="1:11" x14ac:dyDescent="0.65">
      <c r="A115" s="48">
        <f t="shared" si="20"/>
        <v>2021</v>
      </c>
      <c r="B115" s="6">
        <f t="shared" si="21"/>
        <v>3</v>
      </c>
      <c r="C115" s="61">
        <v>44262</v>
      </c>
      <c r="D115" s="61">
        <v>44263</v>
      </c>
      <c r="E115" t="str">
        <f t="shared" si="19"/>
        <v>PP*GO</v>
      </c>
      <c r="F115" s="99" t="s">
        <v>126</v>
      </c>
      <c r="G115" s="8">
        <v>-1</v>
      </c>
      <c r="H115" s="21" t="s">
        <v>22</v>
      </c>
      <c r="I115" s="7" t="str">
        <f t="shared" si="24"/>
        <v>Payment</v>
      </c>
      <c r="J115" s="8">
        <f t="shared" si="23"/>
        <v>151.84000000000003</v>
      </c>
      <c r="K115" s="58"/>
    </row>
    <row r="116" spans="1:11" x14ac:dyDescent="0.65">
      <c r="A116" s="48">
        <f t="shared" si="20"/>
        <v>2021</v>
      </c>
      <c r="B116" s="6">
        <f t="shared" si="21"/>
        <v>3</v>
      </c>
      <c r="C116" s="61">
        <v>44262</v>
      </c>
      <c r="D116" s="61">
        <v>44263</v>
      </c>
      <c r="E116" t="str">
        <f t="shared" si="19"/>
        <v>PP*GO</v>
      </c>
      <c r="F116" s="99" t="s">
        <v>127</v>
      </c>
      <c r="G116" s="8">
        <v>-1</v>
      </c>
      <c r="H116" s="21" t="s">
        <v>22</v>
      </c>
      <c r="I116" s="7" t="str">
        <f t="shared" si="24"/>
        <v>Payment</v>
      </c>
      <c r="J116" s="8">
        <f t="shared" si="23"/>
        <v>150.84000000000003</v>
      </c>
      <c r="K116" s="58"/>
    </row>
    <row r="117" spans="1:11" x14ac:dyDescent="0.65">
      <c r="A117" s="48">
        <f t="shared" si="20"/>
        <v>2021</v>
      </c>
      <c r="B117" s="6">
        <f t="shared" si="21"/>
        <v>3</v>
      </c>
      <c r="C117" s="61">
        <v>44263</v>
      </c>
      <c r="D117" s="61">
        <v>44263</v>
      </c>
      <c r="E117" t="str">
        <f t="shared" si="19"/>
        <v>BOTTO</v>
      </c>
      <c r="F117" s="99" t="s">
        <v>128</v>
      </c>
      <c r="G117" s="8">
        <v>55</v>
      </c>
      <c r="H117" s="21" t="s">
        <v>41</v>
      </c>
      <c r="I117" s="7" t="str">
        <f t="shared" si="24"/>
        <v>Variable</v>
      </c>
      <c r="J117" s="8">
        <f t="shared" si="23"/>
        <v>205.84000000000003</v>
      </c>
      <c r="K117" s="133" t="s">
        <v>510</v>
      </c>
    </row>
    <row r="118" spans="1:11" x14ac:dyDescent="0.65">
      <c r="A118" s="48">
        <f t="shared" si="20"/>
        <v>2021</v>
      </c>
      <c r="B118" s="6">
        <f t="shared" si="21"/>
        <v>3</v>
      </c>
      <c r="C118" s="61">
        <v>44264</v>
      </c>
      <c r="D118" s="61">
        <v>44264</v>
      </c>
      <c r="E118" t="str">
        <f t="shared" si="19"/>
        <v xml:space="preserve">TAKE </v>
      </c>
      <c r="F118" s="99" t="s">
        <v>129</v>
      </c>
      <c r="G118" s="8">
        <v>86.17</v>
      </c>
      <c r="H118" s="21" t="s">
        <v>130</v>
      </c>
      <c r="I118" s="7" t="str">
        <f t="shared" si="24"/>
        <v>Fixed</v>
      </c>
      <c r="J118" s="8">
        <f t="shared" si="23"/>
        <v>292.01000000000005</v>
      </c>
      <c r="K118" s="42" t="s">
        <v>136</v>
      </c>
    </row>
    <row r="119" spans="1:11" x14ac:dyDescent="0.65">
      <c r="A119" s="48">
        <f t="shared" si="20"/>
        <v>2021</v>
      </c>
      <c r="B119" s="6">
        <f t="shared" si="21"/>
        <v>3</v>
      </c>
      <c r="C119" s="61">
        <v>44264</v>
      </c>
      <c r="D119" s="61">
        <v>44264</v>
      </c>
      <c r="E119" t="str">
        <f t="shared" si="19"/>
        <v>WALMA</v>
      </c>
      <c r="F119" s="99" t="s">
        <v>131</v>
      </c>
      <c r="G119" s="8">
        <v>18.34</v>
      </c>
      <c r="H119" s="21" t="s">
        <v>68</v>
      </c>
      <c r="I119" s="7" t="str">
        <f t="shared" si="24"/>
        <v>Variable</v>
      </c>
      <c r="J119" s="8">
        <f t="shared" si="23"/>
        <v>310.35000000000002</v>
      </c>
      <c r="K119" s="58"/>
    </row>
    <row r="120" spans="1:11" x14ac:dyDescent="0.65">
      <c r="A120" s="48">
        <f t="shared" si="20"/>
        <v>2021</v>
      </c>
      <c r="B120" s="6">
        <f t="shared" si="21"/>
        <v>3</v>
      </c>
      <c r="C120" s="61">
        <v>44264</v>
      </c>
      <c r="D120" s="61">
        <v>44264</v>
      </c>
      <c r="E120" t="str">
        <f t="shared" si="19"/>
        <v>WALMA</v>
      </c>
      <c r="F120" s="99" t="s">
        <v>49</v>
      </c>
      <c r="G120" s="8">
        <v>3.99</v>
      </c>
      <c r="H120" s="21" t="s">
        <v>68</v>
      </c>
      <c r="I120" s="7" t="str">
        <f t="shared" si="24"/>
        <v>Variable</v>
      </c>
      <c r="J120" s="8">
        <f t="shared" si="23"/>
        <v>314.34000000000003</v>
      </c>
      <c r="K120" s="58"/>
    </row>
    <row r="121" spans="1:11" x14ac:dyDescent="0.65">
      <c r="A121" s="48">
        <f t="shared" si="20"/>
        <v>2021</v>
      </c>
      <c r="B121" s="6">
        <f t="shared" si="21"/>
        <v>3</v>
      </c>
      <c r="C121" s="61">
        <v>44265</v>
      </c>
      <c r="D121" s="61">
        <v>44265</v>
      </c>
      <c r="E121" t="str">
        <f t="shared" si="19"/>
        <v>FIREH</v>
      </c>
      <c r="F121" s="99" t="s">
        <v>132</v>
      </c>
      <c r="G121" s="8">
        <v>13.45</v>
      </c>
      <c r="H121" s="21" t="s">
        <v>41</v>
      </c>
      <c r="I121" s="7" t="str">
        <f t="shared" si="24"/>
        <v>Variable</v>
      </c>
      <c r="J121" s="8">
        <f t="shared" si="23"/>
        <v>327.79</v>
      </c>
      <c r="K121" s="42" t="s">
        <v>137</v>
      </c>
    </row>
    <row r="122" spans="1:11" x14ac:dyDescent="0.65">
      <c r="A122" s="48">
        <f t="shared" si="20"/>
        <v>2021</v>
      </c>
      <c r="B122" s="6">
        <f t="shared" si="21"/>
        <v>3</v>
      </c>
      <c r="C122" s="61">
        <v>44265</v>
      </c>
      <c r="D122" s="61">
        <v>44265</v>
      </c>
      <c r="E122" t="str">
        <f t="shared" si="19"/>
        <v xml:space="preserve">LYFT </v>
      </c>
      <c r="F122" s="99" t="s">
        <v>133</v>
      </c>
      <c r="G122" s="8">
        <v>28.3</v>
      </c>
      <c r="H122" s="21" t="s">
        <v>89</v>
      </c>
      <c r="I122" s="7" t="str">
        <f t="shared" si="24"/>
        <v>Variable</v>
      </c>
      <c r="J122" s="8">
        <f t="shared" si="23"/>
        <v>356.09000000000003</v>
      </c>
      <c r="K122" s="42" t="s">
        <v>137</v>
      </c>
    </row>
    <row r="123" spans="1:11" x14ac:dyDescent="0.65">
      <c r="A123" s="48">
        <f t="shared" si="20"/>
        <v>2021</v>
      </c>
      <c r="B123" s="6">
        <f t="shared" si="21"/>
        <v>3</v>
      </c>
      <c r="C123" s="61">
        <v>44265</v>
      </c>
      <c r="D123" s="61">
        <v>44265</v>
      </c>
      <c r="E123" t="str">
        <f t="shared" si="19"/>
        <v xml:space="preserve">LYFT </v>
      </c>
      <c r="F123" s="99" t="s">
        <v>134</v>
      </c>
      <c r="G123" s="8">
        <v>33.74</v>
      </c>
      <c r="H123" s="21" t="s">
        <v>89</v>
      </c>
      <c r="I123" s="7" t="str">
        <f t="shared" si="24"/>
        <v>Variable</v>
      </c>
      <c r="J123" s="8">
        <f t="shared" si="23"/>
        <v>389.83000000000004</v>
      </c>
      <c r="K123" s="42" t="s">
        <v>137</v>
      </c>
    </row>
    <row r="124" spans="1:11" x14ac:dyDescent="0.65">
      <c r="A124" s="48">
        <f t="shared" si="20"/>
        <v>2021</v>
      </c>
      <c r="B124" s="6">
        <f t="shared" si="21"/>
        <v>3</v>
      </c>
      <c r="C124" s="61">
        <v>44265</v>
      </c>
      <c r="D124" s="61">
        <v>44265</v>
      </c>
      <c r="E124" t="str">
        <f t="shared" si="19"/>
        <v>MCDON</v>
      </c>
      <c r="F124" s="99" t="s">
        <v>139</v>
      </c>
      <c r="G124" s="8">
        <v>9.19</v>
      </c>
      <c r="H124" s="21" t="s">
        <v>41</v>
      </c>
      <c r="I124" s="7" t="str">
        <f t="shared" si="24"/>
        <v>Variable</v>
      </c>
      <c r="J124" s="8">
        <f t="shared" si="23"/>
        <v>399.02000000000004</v>
      </c>
      <c r="K124" s="42"/>
    </row>
    <row r="125" spans="1:11" x14ac:dyDescent="0.65">
      <c r="A125" s="48">
        <f t="shared" si="20"/>
        <v>2021</v>
      </c>
      <c r="B125" s="6">
        <f t="shared" si="21"/>
        <v>3</v>
      </c>
      <c r="C125" s="61">
        <v>44265</v>
      </c>
      <c r="D125" s="61">
        <v>44265</v>
      </c>
      <c r="E125" t="str">
        <f t="shared" si="19"/>
        <v>MICRO</v>
      </c>
      <c r="F125" s="99" t="s">
        <v>140</v>
      </c>
      <c r="G125" s="8">
        <v>21.18</v>
      </c>
      <c r="H125" s="21" t="s">
        <v>68</v>
      </c>
      <c r="I125" s="7" t="str">
        <f t="shared" si="24"/>
        <v>Variable</v>
      </c>
      <c r="J125" s="8">
        <f t="shared" si="23"/>
        <v>420.20000000000005</v>
      </c>
      <c r="K125" s="42"/>
    </row>
    <row r="126" spans="1:11" x14ac:dyDescent="0.65">
      <c r="A126" s="48">
        <f t="shared" si="20"/>
        <v>2021</v>
      </c>
      <c r="B126" s="6">
        <f t="shared" si="21"/>
        <v>3</v>
      </c>
      <c r="C126" s="61">
        <v>44265</v>
      </c>
      <c r="D126" s="61">
        <v>44265</v>
      </c>
      <c r="E126" t="str">
        <f t="shared" si="19"/>
        <v>MICRO</v>
      </c>
      <c r="F126" s="99" t="s">
        <v>140</v>
      </c>
      <c r="G126" s="8">
        <v>37.07</v>
      </c>
      <c r="H126" s="21" t="s">
        <v>68</v>
      </c>
      <c r="I126" s="7" t="str">
        <f t="shared" si="24"/>
        <v>Variable</v>
      </c>
      <c r="J126" s="8">
        <f t="shared" si="23"/>
        <v>457.27000000000004</v>
      </c>
      <c r="K126" s="42"/>
    </row>
    <row r="127" spans="1:11" x14ac:dyDescent="0.65">
      <c r="A127" s="48">
        <f t="shared" si="20"/>
        <v>2021</v>
      </c>
      <c r="B127" s="6">
        <f t="shared" si="21"/>
        <v>3</v>
      </c>
      <c r="C127" s="61">
        <v>44265</v>
      </c>
      <c r="D127" s="61">
        <v>44265</v>
      </c>
      <c r="E127" t="str">
        <f t="shared" si="19"/>
        <v>PAYPA</v>
      </c>
      <c r="F127" s="99" t="s">
        <v>141</v>
      </c>
      <c r="G127" s="8">
        <v>19.79</v>
      </c>
      <c r="H127" s="21" t="s">
        <v>68</v>
      </c>
      <c r="I127" s="7" t="str">
        <f t="shared" si="24"/>
        <v>Variable</v>
      </c>
      <c r="J127" s="8">
        <f t="shared" si="23"/>
        <v>477.06000000000006</v>
      </c>
      <c r="K127" s="42"/>
    </row>
    <row r="128" spans="1:11" x14ac:dyDescent="0.65">
      <c r="A128" s="48">
        <f t="shared" si="20"/>
        <v>2021</v>
      </c>
      <c r="B128" s="6">
        <f t="shared" si="21"/>
        <v>3</v>
      </c>
      <c r="C128" s="61">
        <v>44266</v>
      </c>
      <c r="D128" s="61">
        <v>44266</v>
      </c>
      <c r="E128" t="str">
        <f t="shared" si="19"/>
        <v>EXXON</v>
      </c>
      <c r="F128" s="99" t="s">
        <v>60</v>
      </c>
      <c r="G128" s="8">
        <v>26.45</v>
      </c>
      <c r="H128" s="21" t="s">
        <v>24</v>
      </c>
      <c r="I128" s="7" t="str">
        <f t="shared" si="24"/>
        <v>Variable</v>
      </c>
      <c r="J128" s="8">
        <f t="shared" si="23"/>
        <v>503.51000000000005</v>
      </c>
      <c r="K128" s="42"/>
    </row>
    <row r="129" spans="1:11" x14ac:dyDescent="0.65">
      <c r="A129" s="48">
        <f t="shared" si="20"/>
        <v>2021</v>
      </c>
      <c r="B129" s="6">
        <f t="shared" si="21"/>
        <v>3</v>
      </c>
      <c r="C129" s="61">
        <v>44266</v>
      </c>
      <c r="D129" s="61">
        <v>44266</v>
      </c>
      <c r="E129" t="str">
        <f t="shared" si="19"/>
        <v>WALMA</v>
      </c>
      <c r="F129" s="99" t="s">
        <v>142</v>
      </c>
      <c r="G129" s="8">
        <v>15.66</v>
      </c>
      <c r="H129" s="21" t="s">
        <v>68</v>
      </c>
      <c r="I129" s="7" t="str">
        <f t="shared" si="24"/>
        <v>Variable</v>
      </c>
      <c r="J129" s="8">
        <f t="shared" si="23"/>
        <v>519.17000000000007</v>
      </c>
      <c r="K129" s="42"/>
    </row>
    <row r="130" spans="1:11" x14ac:dyDescent="0.65">
      <c r="A130" s="48">
        <f t="shared" si="20"/>
        <v>2021</v>
      </c>
      <c r="B130" s="6">
        <f t="shared" si="21"/>
        <v>3</v>
      </c>
      <c r="C130" s="61">
        <v>44267</v>
      </c>
      <c r="D130" s="61">
        <v>44267</v>
      </c>
      <c r="E130" t="str">
        <f t="shared" ref="E130:E193" si="25">LEFT(F130,5)</f>
        <v>APPLE</v>
      </c>
      <c r="F130" s="99" t="s">
        <v>143</v>
      </c>
      <c r="G130" s="8">
        <v>14.99</v>
      </c>
      <c r="H130" s="85" t="s">
        <v>26</v>
      </c>
      <c r="I130" s="7" t="str">
        <f t="shared" si="24"/>
        <v>Fixed</v>
      </c>
      <c r="J130" s="8">
        <f t="shared" si="23"/>
        <v>534.16000000000008</v>
      </c>
      <c r="K130" s="84" t="s">
        <v>294</v>
      </c>
    </row>
    <row r="131" spans="1:11" x14ac:dyDescent="0.65">
      <c r="A131" s="48">
        <f t="shared" ref="A131:A194" si="26">YEAR(C131)</f>
        <v>2021</v>
      </c>
      <c r="B131" s="6">
        <f t="shared" ref="B131:B194" si="27">MONTH(C131)</f>
        <v>3</v>
      </c>
      <c r="C131" s="61">
        <v>44267</v>
      </c>
      <c r="D131" s="61">
        <v>44267</v>
      </c>
      <c r="E131" t="str">
        <f t="shared" si="25"/>
        <v>INTER</v>
      </c>
      <c r="F131" s="99" t="s">
        <v>21</v>
      </c>
      <c r="G131" s="8">
        <v>-1160.3800000000001</v>
      </c>
      <c r="H131" s="21" t="s">
        <v>22</v>
      </c>
      <c r="I131" s="7" t="str">
        <f t="shared" ref="I131:I162" si="28">VLOOKUP(H131,Expense_Lookup,2,0)</f>
        <v>Payment</v>
      </c>
      <c r="J131" s="8">
        <f t="shared" si="23"/>
        <v>-626.22</v>
      </c>
      <c r="K131" s="42"/>
    </row>
    <row r="132" spans="1:11" x14ac:dyDescent="0.65">
      <c r="A132" s="48">
        <f t="shared" si="26"/>
        <v>2021</v>
      </c>
      <c r="B132" s="6">
        <f t="shared" si="27"/>
        <v>3</v>
      </c>
      <c r="C132" s="61">
        <v>44267</v>
      </c>
      <c r="D132" s="61">
        <v>44267</v>
      </c>
      <c r="E132" t="str">
        <f t="shared" si="25"/>
        <v>PANDA</v>
      </c>
      <c r="F132" s="99" t="s">
        <v>144</v>
      </c>
      <c r="G132" s="8">
        <v>11</v>
      </c>
      <c r="H132" s="21" t="s">
        <v>41</v>
      </c>
      <c r="I132" s="7" t="str">
        <f t="shared" si="28"/>
        <v>Variable</v>
      </c>
      <c r="J132" s="8">
        <f t="shared" ref="J132:J195" si="29">J131+G132</f>
        <v>-615.22</v>
      </c>
      <c r="K132" s="42"/>
    </row>
    <row r="133" spans="1:11" x14ac:dyDescent="0.65">
      <c r="A133" s="48">
        <f t="shared" si="26"/>
        <v>2021</v>
      </c>
      <c r="B133" s="6">
        <f t="shared" si="27"/>
        <v>3</v>
      </c>
      <c r="C133" s="61">
        <v>44267</v>
      </c>
      <c r="D133" s="61">
        <v>44267</v>
      </c>
      <c r="E133" t="str">
        <f t="shared" si="25"/>
        <v>PAYPA</v>
      </c>
      <c r="F133" s="99" t="s">
        <v>59</v>
      </c>
      <c r="G133" s="8">
        <v>1.99</v>
      </c>
      <c r="H133" s="64" t="s">
        <v>26</v>
      </c>
      <c r="I133" s="7" t="str">
        <f t="shared" si="28"/>
        <v>Fixed</v>
      </c>
      <c r="J133" s="8">
        <f t="shared" si="29"/>
        <v>-613.23</v>
      </c>
      <c r="K133" s="84" t="s">
        <v>284</v>
      </c>
    </row>
    <row r="134" spans="1:11" x14ac:dyDescent="0.65">
      <c r="A134" s="48">
        <f t="shared" si="26"/>
        <v>2021</v>
      </c>
      <c r="B134" s="6">
        <f t="shared" si="27"/>
        <v>3</v>
      </c>
      <c r="C134" s="61">
        <v>44267</v>
      </c>
      <c r="D134" s="61">
        <v>44267</v>
      </c>
      <c r="E134" t="str">
        <f t="shared" si="25"/>
        <v>SHEET</v>
      </c>
      <c r="F134" s="99" t="s">
        <v>145</v>
      </c>
      <c r="G134" s="8">
        <v>19.989999999999998</v>
      </c>
      <c r="H134" s="21" t="s">
        <v>24</v>
      </c>
      <c r="I134" s="7" t="str">
        <f t="shared" si="28"/>
        <v>Variable</v>
      </c>
      <c r="J134" s="8">
        <f t="shared" si="29"/>
        <v>-593.24</v>
      </c>
      <c r="K134" s="42"/>
    </row>
    <row r="135" spans="1:11" x14ac:dyDescent="0.65">
      <c r="A135" s="48">
        <f t="shared" si="26"/>
        <v>2021</v>
      </c>
      <c r="B135" s="6">
        <f t="shared" si="27"/>
        <v>3</v>
      </c>
      <c r="C135" s="61">
        <v>44268</v>
      </c>
      <c r="D135" s="61">
        <v>44268</v>
      </c>
      <c r="E135" t="str">
        <f t="shared" si="25"/>
        <v>AMTRA</v>
      </c>
      <c r="F135" s="99" t="s">
        <v>146</v>
      </c>
      <c r="G135" s="8">
        <v>17</v>
      </c>
      <c r="H135" s="21" t="s">
        <v>89</v>
      </c>
      <c r="I135" s="7" t="str">
        <f t="shared" si="28"/>
        <v>Variable</v>
      </c>
      <c r="J135" s="8">
        <f t="shared" si="29"/>
        <v>-576.24</v>
      </c>
      <c r="K135" s="42"/>
    </row>
    <row r="136" spans="1:11" x14ac:dyDescent="0.65">
      <c r="A136" s="48">
        <f t="shared" si="26"/>
        <v>2021</v>
      </c>
      <c r="B136" s="6">
        <f t="shared" si="27"/>
        <v>3</v>
      </c>
      <c r="C136" s="61">
        <v>44268</v>
      </c>
      <c r="D136" s="61">
        <v>44268</v>
      </c>
      <c r="E136" t="str">
        <f t="shared" si="25"/>
        <v>HARDE</v>
      </c>
      <c r="F136" s="99" t="s">
        <v>147</v>
      </c>
      <c r="G136" s="8">
        <v>10.17</v>
      </c>
      <c r="H136" s="21" t="s">
        <v>41</v>
      </c>
      <c r="I136" s="7" t="str">
        <f t="shared" si="28"/>
        <v>Variable</v>
      </c>
      <c r="J136" s="8">
        <f t="shared" si="29"/>
        <v>-566.07000000000005</v>
      </c>
      <c r="K136" s="42"/>
    </row>
    <row r="137" spans="1:11" x14ac:dyDescent="0.65">
      <c r="A137" s="48">
        <f t="shared" si="26"/>
        <v>2021</v>
      </c>
      <c r="B137" s="6">
        <f t="shared" si="27"/>
        <v>3</v>
      </c>
      <c r="C137" s="61">
        <v>44268</v>
      </c>
      <c r="D137" s="61">
        <v>44268</v>
      </c>
      <c r="E137" t="str">
        <f t="shared" si="25"/>
        <v>PAYPA</v>
      </c>
      <c r="F137" s="99" t="s">
        <v>141</v>
      </c>
      <c r="G137" s="8">
        <v>5</v>
      </c>
      <c r="H137" s="21" t="s">
        <v>68</v>
      </c>
      <c r="I137" s="7" t="str">
        <f t="shared" si="28"/>
        <v>Variable</v>
      </c>
      <c r="J137" s="8">
        <f t="shared" si="29"/>
        <v>-561.07000000000005</v>
      </c>
      <c r="K137" s="84"/>
    </row>
    <row r="138" spans="1:11" x14ac:dyDescent="0.65">
      <c r="A138" s="48">
        <f t="shared" si="26"/>
        <v>2021</v>
      </c>
      <c r="B138" s="6">
        <f t="shared" si="27"/>
        <v>3</v>
      </c>
      <c r="C138" s="61">
        <v>44269</v>
      </c>
      <c r="D138" s="61">
        <v>44269</v>
      </c>
      <c r="E138" t="str">
        <f t="shared" si="25"/>
        <v>APPLE</v>
      </c>
      <c r="F138" s="99" t="s">
        <v>148</v>
      </c>
      <c r="G138" s="8">
        <v>79.989999999999995</v>
      </c>
      <c r="H138" s="85" t="s">
        <v>26</v>
      </c>
      <c r="I138" s="7" t="str">
        <f t="shared" si="28"/>
        <v>Fixed</v>
      </c>
      <c r="J138" s="8">
        <f t="shared" si="29"/>
        <v>-481.08000000000004</v>
      </c>
      <c r="K138" s="84" t="s">
        <v>314</v>
      </c>
    </row>
    <row r="139" spans="1:11" x14ac:dyDescent="0.65">
      <c r="A139" s="48">
        <f t="shared" si="26"/>
        <v>2021</v>
      </c>
      <c r="B139" s="6">
        <f t="shared" si="27"/>
        <v>3</v>
      </c>
      <c r="C139" s="61">
        <v>44269</v>
      </c>
      <c r="D139" s="61">
        <v>44269</v>
      </c>
      <c r="E139" t="str">
        <f t="shared" si="25"/>
        <v>EXXON</v>
      </c>
      <c r="F139" s="99" t="s">
        <v>149</v>
      </c>
      <c r="G139" s="8">
        <v>7.54</v>
      </c>
      <c r="H139" s="21" t="s">
        <v>24</v>
      </c>
      <c r="I139" s="7" t="str">
        <f t="shared" si="28"/>
        <v>Variable</v>
      </c>
      <c r="J139" s="8">
        <f t="shared" si="29"/>
        <v>-473.54</v>
      </c>
      <c r="K139" s="42"/>
    </row>
    <row r="140" spans="1:11" x14ac:dyDescent="0.65">
      <c r="A140" s="48">
        <f t="shared" si="26"/>
        <v>2021</v>
      </c>
      <c r="B140" s="6">
        <f t="shared" si="27"/>
        <v>3</v>
      </c>
      <c r="C140" s="61">
        <v>44269</v>
      </c>
      <c r="D140" s="61">
        <v>44269</v>
      </c>
      <c r="E140" t="str">
        <f t="shared" si="25"/>
        <v>EXXON</v>
      </c>
      <c r="F140" s="99" t="s">
        <v>149</v>
      </c>
      <c r="G140" s="8">
        <v>26.08</v>
      </c>
      <c r="H140" s="21" t="s">
        <v>24</v>
      </c>
      <c r="I140" s="7" t="str">
        <f t="shared" si="28"/>
        <v>Variable</v>
      </c>
      <c r="J140" s="8">
        <f t="shared" si="29"/>
        <v>-447.46000000000004</v>
      </c>
      <c r="K140" s="42"/>
    </row>
    <row r="141" spans="1:11" x14ac:dyDescent="0.65">
      <c r="A141" s="48">
        <f t="shared" si="26"/>
        <v>2021</v>
      </c>
      <c r="B141" s="6">
        <f t="shared" si="27"/>
        <v>3</v>
      </c>
      <c r="C141" s="61">
        <v>44269</v>
      </c>
      <c r="D141" s="61">
        <v>44269</v>
      </c>
      <c r="E141" t="str">
        <f t="shared" si="25"/>
        <v>PAYPA</v>
      </c>
      <c r="F141" s="99" t="s">
        <v>150</v>
      </c>
      <c r="G141" s="8">
        <v>75.98</v>
      </c>
      <c r="H141" s="21" t="s">
        <v>52</v>
      </c>
      <c r="I141" s="7" t="str">
        <f t="shared" si="28"/>
        <v>Variable</v>
      </c>
      <c r="J141" s="8">
        <f t="shared" si="29"/>
        <v>-371.48</v>
      </c>
      <c r="K141" s="42"/>
    </row>
    <row r="142" spans="1:11" x14ac:dyDescent="0.65">
      <c r="A142" s="48">
        <f t="shared" si="26"/>
        <v>2021</v>
      </c>
      <c r="B142" s="6">
        <f t="shared" si="27"/>
        <v>3</v>
      </c>
      <c r="C142" s="61">
        <v>44269</v>
      </c>
      <c r="D142" s="61">
        <v>44269</v>
      </c>
      <c r="E142" t="str">
        <f t="shared" si="25"/>
        <v>T-MOB</v>
      </c>
      <c r="F142" s="104" t="s">
        <v>100</v>
      </c>
      <c r="G142" s="8">
        <v>86.25</v>
      </c>
      <c r="H142" s="64" t="s">
        <v>26</v>
      </c>
      <c r="I142" s="7" t="str">
        <f t="shared" si="28"/>
        <v>Fixed</v>
      </c>
      <c r="J142" s="8">
        <f t="shared" si="29"/>
        <v>-285.23</v>
      </c>
      <c r="K142" s="84" t="s">
        <v>295</v>
      </c>
    </row>
    <row r="143" spans="1:11" x14ac:dyDescent="0.65">
      <c r="A143" s="48">
        <f t="shared" si="26"/>
        <v>2021</v>
      </c>
      <c r="B143" s="6">
        <f t="shared" si="27"/>
        <v>3</v>
      </c>
      <c r="C143" s="61">
        <v>44270</v>
      </c>
      <c r="D143" s="61">
        <v>44270</v>
      </c>
      <c r="E143" t="str">
        <f t="shared" si="25"/>
        <v>FERSG</v>
      </c>
      <c r="F143" s="99" t="s">
        <v>151</v>
      </c>
      <c r="G143" s="8">
        <v>20</v>
      </c>
      <c r="H143" s="21" t="s">
        <v>52</v>
      </c>
      <c r="I143" s="7" t="str">
        <f t="shared" si="28"/>
        <v>Variable</v>
      </c>
      <c r="J143" s="8">
        <f t="shared" si="29"/>
        <v>-265.23</v>
      </c>
      <c r="K143" s="72" t="s">
        <v>210</v>
      </c>
    </row>
    <row r="144" spans="1:11" x14ac:dyDescent="0.65">
      <c r="A144" s="48">
        <f t="shared" si="26"/>
        <v>2021</v>
      </c>
      <c r="B144" s="6">
        <f t="shared" si="27"/>
        <v>3</v>
      </c>
      <c r="C144" s="61">
        <v>44271</v>
      </c>
      <c r="D144" s="61">
        <v>44271</v>
      </c>
      <c r="E144" t="str">
        <f t="shared" si="25"/>
        <v xml:space="preserve">ALDI </v>
      </c>
      <c r="F144" s="99" t="s">
        <v>152</v>
      </c>
      <c r="G144" s="8">
        <v>30.34</v>
      </c>
      <c r="H144" s="21" t="s">
        <v>90</v>
      </c>
      <c r="I144" s="7" t="str">
        <f t="shared" si="28"/>
        <v>Variable</v>
      </c>
      <c r="J144" s="8">
        <f t="shared" si="29"/>
        <v>-234.89000000000001</v>
      </c>
      <c r="K144" s="42"/>
    </row>
    <row r="145" spans="1:11" ht="28.5" x14ac:dyDescent="0.65">
      <c r="A145" s="48">
        <f t="shared" si="26"/>
        <v>2021</v>
      </c>
      <c r="B145" s="6">
        <f t="shared" si="27"/>
        <v>3</v>
      </c>
      <c r="C145" s="61">
        <v>44272</v>
      </c>
      <c r="D145" s="61">
        <v>44272</v>
      </c>
      <c r="E145" t="str">
        <f t="shared" si="25"/>
        <v>CASHB</v>
      </c>
      <c r="F145" s="99" t="s">
        <v>61</v>
      </c>
      <c r="G145" s="8">
        <v>-14.05</v>
      </c>
      <c r="H145" s="21" t="s">
        <v>62</v>
      </c>
      <c r="I145" s="7" t="str">
        <f t="shared" si="28"/>
        <v>Payment</v>
      </c>
      <c r="J145" s="8">
        <f t="shared" si="29"/>
        <v>-248.94000000000003</v>
      </c>
      <c r="K145" s="42"/>
    </row>
    <row r="146" spans="1:11" x14ac:dyDescent="0.65">
      <c r="A146" s="48">
        <f t="shared" si="26"/>
        <v>2021</v>
      </c>
      <c r="B146" s="6">
        <f t="shared" si="27"/>
        <v>3</v>
      </c>
      <c r="C146" s="61">
        <v>44272</v>
      </c>
      <c r="D146" s="61">
        <v>44272</v>
      </c>
      <c r="E146" t="str">
        <f t="shared" si="25"/>
        <v>INTER</v>
      </c>
      <c r="F146" s="99" t="s">
        <v>21</v>
      </c>
      <c r="G146" s="8">
        <v>-471.27</v>
      </c>
      <c r="H146" s="21" t="s">
        <v>22</v>
      </c>
      <c r="I146" s="7" t="str">
        <f t="shared" si="28"/>
        <v>Payment</v>
      </c>
      <c r="J146" s="8">
        <f t="shared" si="29"/>
        <v>-720.21</v>
      </c>
      <c r="K146" s="42"/>
    </row>
    <row r="147" spans="1:11" x14ac:dyDescent="0.65">
      <c r="A147" s="48">
        <f t="shared" si="26"/>
        <v>2021</v>
      </c>
      <c r="B147" s="6">
        <f t="shared" si="27"/>
        <v>3</v>
      </c>
      <c r="C147" s="61">
        <v>44274</v>
      </c>
      <c r="D147" s="61">
        <v>44274</v>
      </c>
      <c r="E147" t="str">
        <f t="shared" si="25"/>
        <v>INTER</v>
      </c>
      <c r="F147" s="99" t="s">
        <v>21</v>
      </c>
      <c r="G147" s="8">
        <v>-50.34</v>
      </c>
      <c r="H147" s="21" t="s">
        <v>22</v>
      </c>
      <c r="I147" s="7" t="str">
        <f t="shared" si="28"/>
        <v>Payment</v>
      </c>
      <c r="J147" s="8">
        <f t="shared" si="29"/>
        <v>-770.55000000000007</v>
      </c>
      <c r="K147" s="42"/>
    </row>
    <row r="148" spans="1:11" x14ac:dyDescent="0.65">
      <c r="A148" s="48">
        <f t="shared" si="26"/>
        <v>2021</v>
      </c>
      <c r="B148" s="6">
        <f t="shared" si="27"/>
        <v>3</v>
      </c>
      <c r="C148" s="61">
        <v>44274</v>
      </c>
      <c r="D148" s="61">
        <v>44274</v>
      </c>
      <c r="E148" t="str">
        <f t="shared" si="25"/>
        <v>SKRIM</v>
      </c>
      <c r="F148" s="99" t="s">
        <v>153</v>
      </c>
      <c r="G148" s="8">
        <v>24.75</v>
      </c>
      <c r="H148" s="21" t="s">
        <v>41</v>
      </c>
      <c r="I148" s="7" t="str">
        <f t="shared" si="28"/>
        <v>Variable</v>
      </c>
      <c r="J148" s="8">
        <f t="shared" si="29"/>
        <v>-745.80000000000007</v>
      </c>
      <c r="K148" s="42"/>
    </row>
    <row r="149" spans="1:11" x14ac:dyDescent="0.65">
      <c r="A149" s="48">
        <f t="shared" si="26"/>
        <v>2021</v>
      </c>
      <c r="B149" s="6">
        <f t="shared" si="27"/>
        <v>3</v>
      </c>
      <c r="C149" s="61">
        <v>44274</v>
      </c>
      <c r="D149" s="61">
        <v>44274</v>
      </c>
      <c r="E149" t="str">
        <f t="shared" si="25"/>
        <v>WHOLE</v>
      </c>
      <c r="F149" s="99" t="s">
        <v>85</v>
      </c>
      <c r="G149" s="8">
        <v>86.57</v>
      </c>
      <c r="H149" s="21" t="s">
        <v>90</v>
      </c>
      <c r="I149" s="7" t="str">
        <f t="shared" si="28"/>
        <v>Variable</v>
      </c>
      <c r="J149" s="8">
        <f t="shared" si="29"/>
        <v>-659.23</v>
      </c>
      <c r="K149" s="42"/>
    </row>
    <row r="150" spans="1:11" x14ac:dyDescent="0.65">
      <c r="A150" s="48">
        <f t="shared" si="26"/>
        <v>2021</v>
      </c>
      <c r="B150" s="6">
        <f t="shared" si="27"/>
        <v>3</v>
      </c>
      <c r="C150" s="61">
        <v>44275</v>
      </c>
      <c r="D150" s="61">
        <v>44275</v>
      </c>
      <c r="E150" t="str">
        <f t="shared" si="25"/>
        <v>AMTRA</v>
      </c>
      <c r="F150" s="99" t="s">
        <v>154</v>
      </c>
      <c r="G150" s="8">
        <v>10.5</v>
      </c>
      <c r="H150" s="21" t="s">
        <v>41</v>
      </c>
      <c r="I150" s="7" t="str">
        <f t="shared" si="28"/>
        <v>Variable</v>
      </c>
      <c r="J150" s="8">
        <f t="shared" si="29"/>
        <v>-648.73</v>
      </c>
      <c r="K150" s="72" t="s">
        <v>206</v>
      </c>
    </row>
    <row r="151" spans="1:11" x14ac:dyDescent="0.65">
      <c r="A151" s="48">
        <f t="shared" si="26"/>
        <v>2021</v>
      </c>
      <c r="B151" s="6">
        <f t="shared" si="27"/>
        <v>3</v>
      </c>
      <c r="C151" s="61">
        <v>44275</v>
      </c>
      <c r="D151" s="61">
        <v>44275</v>
      </c>
      <c r="E151" t="str">
        <f t="shared" si="25"/>
        <v>MTA*N</v>
      </c>
      <c r="F151" s="99" t="s">
        <v>155</v>
      </c>
      <c r="G151" s="8">
        <v>2.75</v>
      </c>
      <c r="H151" s="21" t="s">
        <v>89</v>
      </c>
      <c r="I151" s="7" t="str">
        <f t="shared" si="28"/>
        <v>Variable</v>
      </c>
      <c r="J151" s="8">
        <f t="shared" si="29"/>
        <v>-645.98</v>
      </c>
      <c r="K151" s="72" t="s">
        <v>206</v>
      </c>
    </row>
    <row r="152" spans="1:11" x14ac:dyDescent="0.65">
      <c r="A152" s="48">
        <f t="shared" si="26"/>
        <v>2021</v>
      </c>
      <c r="B152" s="6">
        <f t="shared" si="27"/>
        <v>3</v>
      </c>
      <c r="C152" s="61">
        <v>44275</v>
      </c>
      <c r="D152" s="61">
        <v>44275</v>
      </c>
      <c r="E152" t="str">
        <f t="shared" si="25"/>
        <v>MTA*N</v>
      </c>
      <c r="F152" s="99" t="s">
        <v>156</v>
      </c>
      <c r="G152" s="8">
        <v>2.75</v>
      </c>
      <c r="H152" s="21" t="s">
        <v>89</v>
      </c>
      <c r="I152" s="7" t="str">
        <f t="shared" si="28"/>
        <v>Variable</v>
      </c>
      <c r="J152" s="8">
        <f t="shared" si="29"/>
        <v>-643.23</v>
      </c>
      <c r="K152" s="72" t="s">
        <v>206</v>
      </c>
    </row>
    <row r="153" spans="1:11" x14ac:dyDescent="0.65">
      <c r="A153" s="48">
        <f t="shared" si="26"/>
        <v>2021</v>
      </c>
      <c r="B153" s="6">
        <f t="shared" si="27"/>
        <v>3</v>
      </c>
      <c r="C153" s="61">
        <v>44275</v>
      </c>
      <c r="D153" s="61">
        <v>44275</v>
      </c>
      <c r="E153" t="str">
        <f t="shared" si="25"/>
        <v>MTA*N</v>
      </c>
      <c r="F153" s="99" t="s">
        <v>157</v>
      </c>
      <c r="G153" s="8">
        <v>2.75</v>
      </c>
      <c r="H153" s="21" t="s">
        <v>89</v>
      </c>
      <c r="I153" s="7" t="str">
        <f t="shared" si="28"/>
        <v>Variable</v>
      </c>
      <c r="J153" s="8">
        <f t="shared" si="29"/>
        <v>-640.48</v>
      </c>
      <c r="K153" s="72" t="s">
        <v>206</v>
      </c>
    </row>
    <row r="154" spans="1:11" x14ac:dyDescent="0.65">
      <c r="A154" s="48">
        <f t="shared" si="26"/>
        <v>2021</v>
      </c>
      <c r="B154" s="6">
        <f t="shared" si="27"/>
        <v>3</v>
      </c>
      <c r="C154" s="61">
        <v>44275</v>
      </c>
      <c r="D154" s="61">
        <v>44275</v>
      </c>
      <c r="E154" t="str">
        <f t="shared" si="25"/>
        <v>WWW.W</v>
      </c>
      <c r="F154" s="99" t="s">
        <v>101</v>
      </c>
      <c r="G154" s="8">
        <v>6.99</v>
      </c>
      <c r="H154" s="93" t="s">
        <v>26</v>
      </c>
      <c r="I154" s="93" t="s">
        <v>26</v>
      </c>
      <c r="J154" s="8">
        <f t="shared" si="29"/>
        <v>-633.49</v>
      </c>
      <c r="K154" s="94" t="s">
        <v>358</v>
      </c>
    </row>
    <row r="155" spans="1:11" x14ac:dyDescent="0.65">
      <c r="A155" s="48">
        <f t="shared" si="26"/>
        <v>2021</v>
      </c>
      <c r="B155" s="6">
        <f t="shared" si="27"/>
        <v>3</v>
      </c>
      <c r="C155" s="61">
        <v>44276</v>
      </c>
      <c r="D155" s="61">
        <v>44276</v>
      </c>
      <c r="E155" t="str">
        <f t="shared" si="25"/>
        <v>DUANE</v>
      </c>
      <c r="F155" s="99" t="s">
        <v>158</v>
      </c>
      <c r="G155" s="8">
        <v>27.76</v>
      </c>
      <c r="H155" s="21" t="s">
        <v>68</v>
      </c>
      <c r="I155" s="7" t="str">
        <f t="shared" ref="I155:I218" si="30">VLOOKUP(H155,Expense_Lookup,2,0)</f>
        <v>Variable</v>
      </c>
      <c r="J155" s="8">
        <f t="shared" si="29"/>
        <v>-605.73</v>
      </c>
      <c r="K155" s="72" t="s">
        <v>206</v>
      </c>
    </row>
    <row r="156" spans="1:11" x14ac:dyDescent="0.65">
      <c r="A156" s="48">
        <f t="shared" si="26"/>
        <v>2021</v>
      </c>
      <c r="B156" s="6">
        <f t="shared" si="27"/>
        <v>3</v>
      </c>
      <c r="C156" s="61">
        <v>44276</v>
      </c>
      <c r="D156" s="61">
        <v>44276</v>
      </c>
      <c r="E156" t="str">
        <f t="shared" si="25"/>
        <v>KINGS</v>
      </c>
      <c r="F156" s="99" t="s">
        <v>159</v>
      </c>
      <c r="G156" s="8">
        <v>9.9499999999999993</v>
      </c>
      <c r="H156" s="64" t="s">
        <v>26</v>
      </c>
      <c r="I156" s="7" t="str">
        <f t="shared" si="30"/>
        <v>Fixed</v>
      </c>
      <c r="J156" s="8">
        <f t="shared" si="29"/>
        <v>-595.78</v>
      </c>
      <c r="K156" s="72" t="s">
        <v>35</v>
      </c>
    </row>
    <row r="157" spans="1:11" x14ac:dyDescent="0.65">
      <c r="A157" s="48">
        <f t="shared" si="26"/>
        <v>2021</v>
      </c>
      <c r="B157" s="6">
        <f t="shared" si="27"/>
        <v>3</v>
      </c>
      <c r="C157" s="61">
        <v>44276</v>
      </c>
      <c r="D157" s="61">
        <v>44276</v>
      </c>
      <c r="E157" t="str">
        <f t="shared" si="25"/>
        <v>PP*GO</v>
      </c>
      <c r="F157" s="99" t="s">
        <v>124</v>
      </c>
      <c r="G157" s="8">
        <v>64.989999999999995</v>
      </c>
      <c r="H157" s="64" t="s">
        <v>26</v>
      </c>
      <c r="I157" s="7" t="str">
        <f t="shared" si="30"/>
        <v>Fixed</v>
      </c>
      <c r="J157" s="8">
        <f t="shared" si="29"/>
        <v>-530.79</v>
      </c>
      <c r="K157" s="84" t="s">
        <v>298</v>
      </c>
    </row>
    <row r="158" spans="1:11" x14ac:dyDescent="0.65">
      <c r="A158" s="48">
        <f t="shared" si="26"/>
        <v>2021</v>
      </c>
      <c r="B158" s="6">
        <f t="shared" si="27"/>
        <v>3</v>
      </c>
      <c r="C158" s="61">
        <v>44276</v>
      </c>
      <c r="D158" s="61">
        <v>44276</v>
      </c>
      <c r="E158" t="str">
        <f t="shared" si="25"/>
        <v>PP*PP</v>
      </c>
      <c r="F158" s="99" t="s">
        <v>81</v>
      </c>
      <c r="G158" s="8">
        <v>7.99</v>
      </c>
      <c r="H158" s="64" t="s">
        <v>26</v>
      </c>
      <c r="I158" s="7" t="str">
        <f t="shared" si="30"/>
        <v>Fixed</v>
      </c>
      <c r="J158" s="8">
        <f t="shared" si="29"/>
        <v>-522.79999999999995</v>
      </c>
      <c r="K158" s="84" t="s">
        <v>9</v>
      </c>
    </row>
    <row r="159" spans="1:11" x14ac:dyDescent="0.65">
      <c r="A159" s="48">
        <f t="shared" si="26"/>
        <v>2021</v>
      </c>
      <c r="B159" s="6">
        <f t="shared" si="27"/>
        <v>3</v>
      </c>
      <c r="C159" s="61">
        <v>44278</v>
      </c>
      <c r="D159" s="61">
        <v>44278</v>
      </c>
      <c r="E159" t="str">
        <f t="shared" si="25"/>
        <v>MTA*N</v>
      </c>
      <c r="F159" s="99" t="s">
        <v>160</v>
      </c>
      <c r="G159" s="8">
        <v>2.75</v>
      </c>
      <c r="H159" s="21" t="s">
        <v>89</v>
      </c>
      <c r="I159" s="7" t="str">
        <f t="shared" si="30"/>
        <v>Variable</v>
      </c>
      <c r="J159" s="8">
        <f t="shared" si="29"/>
        <v>-520.04999999999995</v>
      </c>
      <c r="K159" s="72" t="s">
        <v>206</v>
      </c>
    </row>
    <row r="160" spans="1:11" x14ac:dyDescent="0.65">
      <c r="A160" s="48">
        <f t="shared" si="26"/>
        <v>2021</v>
      </c>
      <c r="B160" s="6">
        <f t="shared" si="27"/>
        <v>3</v>
      </c>
      <c r="C160" s="61">
        <v>44278</v>
      </c>
      <c r="D160" s="61">
        <v>44278</v>
      </c>
      <c r="E160" t="str">
        <f t="shared" si="25"/>
        <v>NEW Y</v>
      </c>
      <c r="F160" s="99" t="s">
        <v>161</v>
      </c>
      <c r="G160" s="8">
        <v>14.1</v>
      </c>
      <c r="H160" s="21" t="s">
        <v>41</v>
      </c>
      <c r="I160" s="7" t="str">
        <f t="shared" si="30"/>
        <v>Variable</v>
      </c>
      <c r="J160" s="8">
        <f t="shared" si="29"/>
        <v>-505.94999999999993</v>
      </c>
      <c r="K160" s="72" t="s">
        <v>206</v>
      </c>
    </row>
    <row r="161" spans="1:11" x14ac:dyDescent="0.65">
      <c r="A161" s="48">
        <f t="shared" si="26"/>
        <v>2021</v>
      </c>
      <c r="B161" s="6">
        <f t="shared" si="27"/>
        <v>3</v>
      </c>
      <c r="C161" s="61">
        <v>44280</v>
      </c>
      <c r="D161" s="61">
        <v>44280</v>
      </c>
      <c r="E161" t="str">
        <f t="shared" si="25"/>
        <v>DUANE</v>
      </c>
      <c r="F161" s="99" t="s">
        <v>162</v>
      </c>
      <c r="G161" s="8">
        <v>16.940000000000001</v>
      </c>
      <c r="H161" s="21" t="s">
        <v>68</v>
      </c>
      <c r="I161" s="7" t="str">
        <f t="shared" si="30"/>
        <v>Variable</v>
      </c>
      <c r="J161" s="8">
        <f t="shared" si="29"/>
        <v>-489.00999999999993</v>
      </c>
      <c r="K161" s="72" t="s">
        <v>206</v>
      </c>
    </row>
    <row r="162" spans="1:11" x14ac:dyDescent="0.65">
      <c r="A162" s="48">
        <f t="shared" si="26"/>
        <v>2021</v>
      </c>
      <c r="B162" s="6">
        <f t="shared" si="27"/>
        <v>3</v>
      </c>
      <c r="C162" s="61">
        <v>44280</v>
      </c>
      <c r="D162" s="61">
        <v>44280</v>
      </c>
      <c r="E162" t="str">
        <f t="shared" si="25"/>
        <v xml:space="preserve">FIVE </v>
      </c>
      <c r="F162" s="99" t="s">
        <v>163</v>
      </c>
      <c r="G162" s="8">
        <v>16.690000000000001</v>
      </c>
      <c r="H162" s="21" t="s">
        <v>41</v>
      </c>
      <c r="I162" s="7" t="str">
        <f t="shared" si="30"/>
        <v>Variable</v>
      </c>
      <c r="J162" s="8">
        <f t="shared" si="29"/>
        <v>-472.31999999999994</v>
      </c>
      <c r="K162" s="72" t="s">
        <v>206</v>
      </c>
    </row>
    <row r="163" spans="1:11" x14ac:dyDescent="0.65">
      <c r="A163" s="48">
        <f t="shared" si="26"/>
        <v>2021</v>
      </c>
      <c r="B163" s="6">
        <f t="shared" si="27"/>
        <v>3</v>
      </c>
      <c r="C163" s="61">
        <v>44280</v>
      </c>
      <c r="D163" s="61">
        <v>44280</v>
      </c>
      <c r="E163" t="str">
        <f t="shared" si="25"/>
        <v>WARBY</v>
      </c>
      <c r="F163" s="99" t="s">
        <v>164</v>
      </c>
      <c r="G163" s="8">
        <v>120</v>
      </c>
      <c r="H163" s="85" t="s">
        <v>52</v>
      </c>
      <c r="I163" s="7" t="str">
        <f t="shared" si="30"/>
        <v>Variable</v>
      </c>
      <c r="J163" s="8">
        <f t="shared" si="29"/>
        <v>-352.31999999999994</v>
      </c>
      <c r="K163" s="72" t="s">
        <v>207</v>
      </c>
    </row>
    <row r="164" spans="1:11" x14ac:dyDescent="0.65">
      <c r="A164" s="48">
        <f t="shared" si="26"/>
        <v>2021</v>
      </c>
      <c r="B164" s="6">
        <f t="shared" si="27"/>
        <v>3</v>
      </c>
      <c r="C164" s="61">
        <v>44281</v>
      </c>
      <c r="D164" s="61">
        <v>44281</v>
      </c>
      <c r="E164" t="str">
        <f t="shared" si="25"/>
        <v>APPLE</v>
      </c>
      <c r="F164" s="99" t="s">
        <v>165</v>
      </c>
      <c r="G164" s="8">
        <v>14.99</v>
      </c>
      <c r="H164" s="64" t="s">
        <v>26</v>
      </c>
      <c r="I164" s="7" t="str">
        <f t="shared" si="30"/>
        <v>Fixed</v>
      </c>
      <c r="J164" s="8">
        <f t="shared" si="29"/>
        <v>-337.32999999999993</v>
      </c>
      <c r="K164" s="84" t="s">
        <v>313</v>
      </c>
    </row>
    <row r="165" spans="1:11" x14ac:dyDescent="0.65">
      <c r="A165" s="48">
        <f t="shared" si="26"/>
        <v>2021</v>
      </c>
      <c r="B165" s="6">
        <f t="shared" si="27"/>
        <v>3</v>
      </c>
      <c r="C165" s="61">
        <v>44281</v>
      </c>
      <c r="D165" s="61">
        <v>44281</v>
      </c>
      <c r="E165" t="str">
        <f t="shared" si="25"/>
        <v>CHAMP</v>
      </c>
      <c r="F165" s="99" t="s">
        <v>166</v>
      </c>
      <c r="G165" s="8">
        <v>141.59</v>
      </c>
      <c r="H165" s="21" t="s">
        <v>68</v>
      </c>
      <c r="I165" s="7" t="str">
        <f t="shared" si="30"/>
        <v>Variable</v>
      </c>
      <c r="J165" s="8">
        <f t="shared" si="29"/>
        <v>-195.73999999999992</v>
      </c>
      <c r="K165" s="72" t="s">
        <v>206</v>
      </c>
    </row>
    <row r="166" spans="1:11" x14ac:dyDescent="0.65">
      <c r="A166" s="48">
        <f t="shared" si="26"/>
        <v>2021</v>
      </c>
      <c r="B166" s="6">
        <f t="shared" si="27"/>
        <v>3</v>
      </c>
      <c r="C166" s="61">
        <v>44281</v>
      </c>
      <c r="D166" s="61">
        <v>44281</v>
      </c>
      <c r="E166" t="str">
        <f t="shared" si="25"/>
        <v>INTER</v>
      </c>
      <c r="F166" s="99" t="s">
        <v>21</v>
      </c>
      <c r="G166" s="8">
        <v>-264.60000000000002</v>
      </c>
      <c r="H166" s="21" t="s">
        <v>22</v>
      </c>
      <c r="I166" s="7" t="str">
        <f t="shared" si="30"/>
        <v>Payment</v>
      </c>
      <c r="J166" s="8">
        <f t="shared" si="29"/>
        <v>-460.33999999999992</v>
      </c>
      <c r="K166" s="42"/>
    </row>
    <row r="167" spans="1:11" x14ac:dyDescent="0.65">
      <c r="A167" s="48">
        <f t="shared" si="26"/>
        <v>2021</v>
      </c>
      <c r="B167" s="6">
        <f t="shared" si="27"/>
        <v>3</v>
      </c>
      <c r="C167" s="61">
        <v>44281</v>
      </c>
      <c r="D167" s="61">
        <v>44281</v>
      </c>
      <c r="E167" t="str">
        <f t="shared" si="25"/>
        <v>MTA*N</v>
      </c>
      <c r="F167" s="99" t="s">
        <v>167</v>
      </c>
      <c r="G167" s="8">
        <v>2.75</v>
      </c>
      <c r="H167" s="21" t="s">
        <v>89</v>
      </c>
      <c r="I167" s="7" t="str">
        <f t="shared" si="30"/>
        <v>Variable</v>
      </c>
      <c r="J167" s="8">
        <f t="shared" si="29"/>
        <v>-457.58999999999992</v>
      </c>
      <c r="K167" s="72" t="s">
        <v>206</v>
      </c>
    </row>
    <row r="168" spans="1:11" x14ac:dyDescent="0.65">
      <c r="A168" s="48">
        <f t="shared" si="26"/>
        <v>2021</v>
      </c>
      <c r="B168" s="6">
        <f t="shared" si="27"/>
        <v>3</v>
      </c>
      <c r="C168" s="61">
        <v>44281</v>
      </c>
      <c r="D168" s="61">
        <v>44281</v>
      </c>
      <c r="E168" t="str">
        <f t="shared" si="25"/>
        <v>MTA*N</v>
      </c>
      <c r="F168" s="99" t="s">
        <v>168</v>
      </c>
      <c r="G168" s="8">
        <v>2.75</v>
      </c>
      <c r="H168" s="21" t="s">
        <v>89</v>
      </c>
      <c r="I168" s="7" t="str">
        <f t="shared" si="30"/>
        <v>Variable</v>
      </c>
      <c r="J168" s="8">
        <f t="shared" si="29"/>
        <v>-454.83999999999992</v>
      </c>
      <c r="K168" s="72" t="s">
        <v>206</v>
      </c>
    </row>
    <row r="169" spans="1:11" x14ac:dyDescent="0.65">
      <c r="A169" s="48">
        <f t="shared" si="26"/>
        <v>2021</v>
      </c>
      <c r="B169" s="6">
        <f t="shared" si="27"/>
        <v>3</v>
      </c>
      <c r="C169" s="61">
        <v>44282</v>
      </c>
      <c r="D169" s="61">
        <v>44282</v>
      </c>
      <c r="E169" t="str">
        <f t="shared" si="25"/>
        <v>DUANE</v>
      </c>
      <c r="F169" s="99" t="s">
        <v>169</v>
      </c>
      <c r="G169" s="8">
        <v>22.94</v>
      </c>
      <c r="H169" s="21" t="s">
        <v>68</v>
      </c>
      <c r="I169" s="7" t="str">
        <f t="shared" si="30"/>
        <v>Variable</v>
      </c>
      <c r="J169" s="8">
        <f t="shared" si="29"/>
        <v>-431.89999999999992</v>
      </c>
      <c r="K169" s="72" t="s">
        <v>206</v>
      </c>
    </row>
    <row r="170" spans="1:11" x14ac:dyDescent="0.65">
      <c r="A170" s="48">
        <f t="shared" si="26"/>
        <v>2021</v>
      </c>
      <c r="B170" s="6">
        <f t="shared" si="27"/>
        <v>3</v>
      </c>
      <c r="C170" s="61">
        <v>44282</v>
      </c>
      <c r="D170" s="61">
        <v>44282</v>
      </c>
      <c r="E170" t="str">
        <f t="shared" si="25"/>
        <v>MTA*N</v>
      </c>
      <c r="F170" s="99" t="s">
        <v>170</v>
      </c>
      <c r="G170" s="8">
        <v>2.75</v>
      </c>
      <c r="H170" s="21" t="s">
        <v>89</v>
      </c>
      <c r="I170" s="7" t="str">
        <f t="shared" si="30"/>
        <v>Variable</v>
      </c>
      <c r="J170" s="8">
        <f t="shared" si="29"/>
        <v>-429.14999999999992</v>
      </c>
      <c r="K170" s="72" t="s">
        <v>206</v>
      </c>
    </row>
    <row r="171" spans="1:11" x14ac:dyDescent="0.65">
      <c r="A171" s="48">
        <f t="shared" si="26"/>
        <v>2021</v>
      </c>
      <c r="B171" s="6">
        <f t="shared" si="27"/>
        <v>3</v>
      </c>
      <c r="C171" s="61">
        <v>44282</v>
      </c>
      <c r="D171" s="61">
        <v>44282</v>
      </c>
      <c r="E171" t="str">
        <f t="shared" si="25"/>
        <v>MTA*N</v>
      </c>
      <c r="F171" s="99" t="s">
        <v>171</v>
      </c>
      <c r="G171" s="8">
        <v>2.75</v>
      </c>
      <c r="H171" s="21" t="s">
        <v>89</v>
      </c>
      <c r="I171" s="7" t="str">
        <f t="shared" si="30"/>
        <v>Variable</v>
      </c>
      <c r="J171" s="8">
        <f t="shared" si="29"/>
        <v>-426.39999999999992</v>
      </c>
      <c r="K171" s="72" t="s">
        <v>206</v>
      </c>
    </row>
    <row r="172" spans="1:11" x14ac:dyDescent="0.65">
      <c r="A172" s="48">
        <f t="shared" si="26"/>
        <v>2021</v>
      </c>
      <c r="B172" s="6">
        <f t="shared" si="27"/>
        <v>3</v>
      </c>
      <c r="C172" s="61">
        <v>44282</v>
      </c>
      <c r="D172" s="61">
        <v>44282</v>
      </c>
      <c r="E172" t="str">
        <f t="shared" si="25"/>
        <v>PAYPA</v>
      </c>
      <c r="F172" s="99" t="s">
        <v>112</v>
      </c>
      <c r="G172" s="8">
        <v>9.99</v>
      </c>
      <c r="H172" s="64" t="s">
        <v>26</v>
      </c>
      <c r="I172" s="7" t="str">
        <f t="shared" si="30"/>
        <v>Fixed</v>
      </c>
      <c r="J172" s="8">
        <f t="shared" si="29"/>
        <v>-416.40999999999991</v>
      </c>
      <c r="K172" s="84" t="s">
        <v>296</v>
      </c>
    </row>
    <row r="173" spans="1:11" x14ac:dyDescent="0.65">
      <c r="A173" s="48">
        <f t="shared" si="26"/>
        <v>2021</v>
      </c>
      <c r="B173" s="6">
        <f t="shared" si="27"/>
        <v>3</v>
      </c>
      <c r="C173" s="61">
        <v>44282</v>
      </c>
      <c r="D173" s="61">
        <v>44282</v>
      </c>
      <c r="E173" t="str">
        <f t="shared" si="25"/>
        <v>SQ *W</v>
      </c>
      <c r="F173" s="99" t="s">
        <v>172</v>
      </c>
      <c r="G173" s="8">
        <v>15.94</v>
      </c>
      <c r="H173" s="21" t="s">
        <v>90</v>
      </c>
      <c r="I173" s="7" t="str">
        <f t="shared" si="30"/>
        <v>Variable</v>
      </c>
      <c r="J173" s="8">
        <f t="shared" si="29"/>
        <v>-400.46999999999991</v>
      </c>
      <c r="K173" s="72" t="s">
        <v>206</v>
      </c>
    </row>
    <row r="174" spans="1:11" x14ac:dyDescent="0.65">
      <c r="A174" s="48">
        <f t="shared" si="26"/>
        <v>2021</v>
      </c>
      <c r="B174" s="6">
        <f t="shared" si="27"/>
        <v>3</v>
      </c>
      <c r="C174" s="61">
        <v>44282</v>
      </c>
      <c r="D174" s="61">
        <v>44282</v>
      </c>
      <c r="E174" t="str">
        <f t="shared" si="25"/>
        <v>WWW.C</v>
      </c>
      <c r="F174" s="99" t="s">
        <v>115</v>
      </c>
      <c r="G174" s="8">
        <v>5</v>
      </c>
      <c r="H174" s="21" t="s">
        <v>68</v>
      </c>
      <c r="I174" s="7" t="str">
        <f t="shared" si="30"/>
        <v>Variable</v>
      </c>
      <c r="J174" s="8">
        <f t="shared" si="29"/>
        <v>-395.46999999999991</v>
      </c>
      <c r="K174" s="72" t="s">
        <v>206</v>
      </c>
    </row>
    <row r="175" spans="1:11" x14ac:dyDescent="0.65">
      <c r="A175" s="48">
        <f t="shared" si="26"/>
        <v>2021</v>
      </c>
      <c r="B175" s="6">
        <f t="shared" si="27"/>
        <v>3</v>
      </c>
      <c r="C175" s="61">
        <v>44283</v>
      </c>
      <c r="D175" s="61">
        <v>44283</v>
      </c>
      <c r="E175" t="str">
        <f t="shared" si="25"/>
        <v>ABC*C</v>
      </c>
      <c r="F175" s="99" t="s">
        <v>173</v>
      </c>
      <c r="G175" s="8">
        <v>9.9499999999999993</v>
      </c>
      <c r="H175" s="64" t="s">
        <v>26</v>
      </c>
      <c r="I175" s="7" t="str">
        <f t="shared" si="30"/>
        <v>Fixed</v>
      </c>
      <c r="J175" s="8">
        <f t="shared" si="29"/>
        <v>-385.51999999999992</v>
      </c>
      <c r="K175" s="84" t="s">
        <v>323</v>
      </c>
    </row>
    <row r="176" spans="1:11" x14ac:dyDescent="0.65">
      <c r="A176" s="48">
        <f t="shared" si="26"/>
        <v>2021</v>
      </c>
      <c r="B176" s="6">
        <f t="shared" si="27"/>
        <v>3</v>
      </c>
      <c r="C176" s="61">
        <v>44283</v>
      </c>
      <c r="D176" s="61">
        <v>44283</v>
      </c>
      <c r="E176" t="str">
        <f t="shared" si="25"/>
        <v xml:space="preserve">GONG </v>
      </c>
      <c r="F176" s="99" t="s">
        <v>174</v>
      </c>
      <c r="G176" s="8">
        <v>8.1300000000000008</v>
      </c>
      <c r="H176" s="21" t="s">
        <v>41</v>
      </c>
      <c r="I176" s="7" t="str">
        <f t="shared" si="30"/>
        <v>Variable</v>
      </c>
      <c r="J176" s="8">
        <f t="shared" si="29"/>
        <v>-377.38999999999993</v>
      </c>
      <c r="K176" s="72" t="s">
        <v>206</v>
      </c>
    </row>
    <row r="177" spans="1:11" x14ac:dyDescent="0.65">
      <c r="A177" s="48">
        <f t="shared" si="26"/>
        <v>2021</v>
      </c>
      <c r="B177" s="6">
        <f t="shared" si="27"/>
        <v>3</v>
      </c>
      <c r="C177" s="61">
        <v>44284</v>
      </c>
      <c r="D177" s="61">
        <v>44284</v>
      </c>
      <c r="E177" t="str">
        <f t="shared" si="25"/>
        <v xml:space="preserve">DELI </v>
      </c>
      <c r="F177" s="99" t="s">
        <v>175</v>
      </c>
      <c r="G177" s="8">
        <v>23.65</v>
      </c>
      <c r="H177" s="21" t="s">
        <v>41</v>
      </c>
      <c r="I177" s="7" t="str">
        <f t="shared" si="30"/>
        <v>Variable</v>
      </c>
      <c r="J177" s="8">
        <f t="shared" si="29"/>
        <v>-353.73999999999995</v>
      </c>
      <c r="K177" s="72" t="s">
        <v>206</v>
      </c>
    </row>
    <row r="178" spans="1:11" x14ac:dyDescent="0.65">
      <c r="A178" s="48">
        <f t="shared" si="26"/>
        <v>2021</v>
      </c>
      <c r="B178" s="6">
        <f t="shared" si="27"/>
        <v>3</v>
      </c>
      <c r="C178" s="61">
        <v>44284</v>
      </c>
      <c r="D178" s="61">
        <v>44284</v>
      </c>
      <c r="E178" t="str">
        <f t="shared" si="25"/>
        <v xml:space="preserve">DELI </v>
      </c>
      <c r="F178" s="99" t="s">
        <v>175</v>
      </c>
      <c r="G178" s="8">
        <v>48.22</v>
      </c>
      <c r="H178" s="21" t="s">
        <v>41</v>
      </c>
      <c r="I178" s="7" t="str">
        <f t="shared" si="30"/>
        <v>Variable</v>
      </c>
      <c r="J178" s="8">
        <f t="shared" si="29"/>
        <v>-305.52</v>
      </c>
      <c r="K178" s="72" t="s">
        <v>206</v>
      </c>
    </row>
    <row r="179" spans="1:11" ht="15" thickBot="1" x14ac:dyDescent="0.8">
      <c r="A179" s="50">
        <f t="shared" si="26"/>
        <v>2021</v>
      </c>
      <c r="B179" s="47">
        <f t="shared" si="27"/>
        <v>3</v>
      </c>
      <c r="C179" s="71">
        <v>44286</v>
      </c>
      <c r="D179" s="71">
        <v>44286</v>
      </c>
      <c r="E179" t="str">
        <f t="shared" si="25"/>
        <v>INTER</v>
      </c>
      <c r="F179" s="103" t="s">
        <v>21</v>
      </c>
      <c r="G179" s="54">
        <v>-465.03</v>
      </c>
      <c r="H179" s="51" t="s">
        <v>22</v>
      </c>
      <c r="I179" s="57" t="str">
        <f t="shared" si="30"/>
        <v>Payment</v>
      </c>
      <c r="J179" s="8">
        <f t="shared" si="29"/>
        <v>-770.55</v>
      </c>
      <c r="K179" s="70"/>
    </row>
    <row r="180" spans="1:11" x14ac:dyDescent="0.65">
      <c r="A180" s="32">
        <f t="shared" si="26"/>
        <v>2021</v>
      </c>
      <c r="B180" s="37">
        <f t="shared" si="27"/>
        <v>4</v>
      </c>
      <c r="C180" s="62">
        <v>44287</v>
      </c>
      <c r="D180" s="62">
        <v>44287</v>
      </c>
      <c r="E180" t="str">
        <f t="shared" si="25"/>
        <v>NETFL</v>
      </c>
      <c r="F180" s="105" t="s">
        <v>176</v>
      </c>
      <c r="G180" s="31">
        <v>14.83</v>
      </c>
      <c r="H180" s="65" t="s">
        <v>26</v>
      </c>
      <c r="I180" s="36" t="str">
        <f t="shared" si="30"/>
        <v>Fixed</v>
      </c>
      <c r="J180" s="8">
        <f t="shared" si="29"/>
        <v>-755.71999999999991</v>
      </c>
      <c r="K180" s="80" t="s">
        <v>7</v>
      </c>
    </row>
    <row r="181" spans="1:11" x14ac:dyDescent="0.65">
      <c r="A181" s="22">
        <f t="shared" si="26"/>
        <v>2021</v>
      </c>
      <c r="B181" s="6">
        <f t="shared" si="27"/>
        <v>4</v>
      </c>
      <c r="C181" s="60">
        <v>44287</v>
      </c>
      <c r="D181" s="60">
        <v>44287</v>
      </c>
      <c r="E181" t="str">
        <f t="shared" si="25"/>
        <v>SPOTI</v>
      </c>
      <c r="F181" s="99" t="s">
        <v>177</v>
      </c>
      <c r="G181" s="8">
        <v>9.99</v>
      </c>
      <c r="H181" s="64" t="s">
        <v>26</v>
      </c>
      <c r="I181" s="7" t="str">
        <f t="shared" si="30"/>
        <v>Fixed</v>
      </c>
      <c r="J181" s="8">
        <f t="shared" si="29"/>
        <v>-745.7299999999999</v>
      </c>
      <c r="K181" s="85" t="s">
        <v>6</v>
      </c>
    </row>
    <row r="182" spans="1:11" x14ac:dyDescent="0.65">
      <c r="A182" s="22">
        <f t="shared" si="26"/>
        <v>2021</v>
      </c>
      <c r="B182" s="6">
        <f t="shared" si="27"/>
        <v>4</v>
      </c>
      <c r="C182" s="60">
        <v>44288</v>
      </c>
      <c r="D182" s="60">
        <v>44289</v>
      </c>
      <c r="E182" t="str">
        <f t="shared" si="25"/>
        <v>PAYPA</v>
      </c>
      <c r="F182" s="99" t="s">
        <v>104</v>
      </c>
      <c r="G182" s="8">
        <v>1.99</v>
      </c>
      <c r="H182" s="64" t="s">
        <v>26</v>
      </c>
      <c r="I182" s="7" t="str">
        <f t="shared" si="30"/>
        <v>Fixed</v>
      </c>
      <c r="J182" s="8">
        <f t="shared" si="29"/>
        <v>-743.7399999999999</v>
      </c>
      <c r="K182" s="85" t="s">
        <v>94</v>
      </c>
    </row>
    <row r="183" spans="1:11" x14ac:dyDescent="0.65">
      <c r="A183" s="22">
        <f t="shared" si="26"/>
        <v>2021</v>
      </c>
      <c r="B183" s="6">
        <f t="shared" si="27"/>
        <v>4</v>
      </c>
      <c r="C183" s="60">
        <v>44289</v>
      </c>
      <c r="D183" s="60">
        <v>44289</v>
      </c>
      <c r="E183" t="str">
        <f t="shared" si="25"/>
        <v>COLPA</v>
      </c>
      <c r="F183" s="99" t="s">
        <v>178</v>
      </c>
      <c r="G183" s="8">
        <v>15</v>
      </c>
      <c r="H183" s="21" t="s">
        <v>52</v>
      </c>
      <c r="I183" s="7" t="str">
        <f t="shared" si="30"/>
        <v>Variable</v>
      </c>
      <c r="J183" s="8">
        <f t="shared" si="29"/>
        <v>-728.7399999999999</v>
      </c>
      <c r="K183" s="46"/>
    </row>
    <row r="184" spans="1:11" x14ac:dyDescent="0.65">
      <c r="A184" s="22">
        <f t="shared" si="26"/>
        <v>2021</v>
      </c>
      <c r="B184" s="6">
        <f t="shared" si="27"/>
        <v>4</v>
      </c>
      <c r="C184" s="60">
        <v>44289</v>
      </c>
      <c r="D184" s="60">
        <v>44289</v>
      </c>
      <c r="E184" t="str">
        <f t="shared" si="25"/>
        <v>MARAT</v>
      </c>
      <c r="F184" s="99" t="s">
        <v>179</v>
      </c>
      <c r="G184" s="8">
        <v>20.66</v>
      </c>
      <c r="H184" s="21" t="s">
        <v>24</v>
      </c>
      <c r="I184" s="7" t="str">
        <f t="shared" si="30"/>
        <v>Variable</v>
      </c>
      <c r="J184" s="8">
        <f t="shared" si="29"/>
        <v>-708.07999999999993</v>
      </c>
      <c r="K184" s="46"/>
    </row>
    <row r="185" spans="1:11" x14ac:dyDescent="0.65">
      <c r="A185" s="22">
        <f t="shared" si="26"/>
        <v>2021</v>
      </c>
      <c r="B185" s="6">
        <f t="shared" si="27"/>
        <v>4</v>
      </c>
      <c r="C185" s="60">
        <v>44289</v>
      </c>
      <c r="D185" s="60">
        <v>44289</v>
      </c>
      <c r="E185" t="str">
        <f t="shared" si="25"/>
        <v>MCDON</v>
      </c>
      <c r="F185" s="99" t="s">
        <v>180</v>
      </c>
      <c r="G185" s="8">
        <v>17.43</v>
      </c>
      <c r="H185" s="21" t="s">
        <v>41</v>
      </c>
      <c r="I185" s="7" t="str">
        <f t="shared" si="30"/>
        <v>Variable</v>
      </c>
      <c r="J185" s="8">
        <f t="shared" si="29"/>
        <v>-690.65</v>
      </c>
      <c r="K185" s="46"/>
    </row>
    <row r="186" spans="1:11" x14ac:dyDescent="0.65">
      <c r="A186" s="22">
        <f t="shared" si="26"/>
        <v>2021</v>
      </c>
      <c r="B186" s="6">
        <f t="shared" si="27"/>
        <v>4</v>
      </c>
      <c r="C186" s="60">
        <v>44289</v>
      </c>
      <c r="D186" s="60">
        <v>44289</v>
      </c>
      <c r="E186" t="str">
        <f t="shared" si="25"/>
        <v>STATE</v>
      </c>
      <c r="F186" s="99" t="s">
        <v>32</v>
      </c>
      <c r="G186" s="8">
        <v>91.78</v>
      </c>
      <c r="H186" s="64" t="s">
        <v>26</v>
      </c>
      <c r="I186" s="7" t="str">
        <f t="shared" si="30"/>
        <v>Fixed</v>
      </c>
      <c r="J186" s="8">
        <f t="shared" si="29"/>
        <v>-598.87</v>
      </c>
      <c r="K186" s="85" t="s">
        <v>8</v>
      </c>
    </row>
    <row r="187" spans="1:11" x14ac:dyDescent="0.65">
      <c r="A187" s="22">
        <f t="shared" si="26"/>
        <v>2021</v>
      </c>
      <c r="B187" s="6">
        <f t="shared" si="27"/>
        <v>4</v>
      </c>
      <c r="C187" s="60">
        <v>44290</v>
      </c>
      <c r="D187" s="60">
        <v>44290</v>
      </c>
      <c r="E187" t="str">
        <f t="shared" si="25"/>
        <v>PAYPA</v>
      </c>
      <c r="F187" s="99" t="s">
        <v>181</v>
      </c>
      <c r="G187" s="8">
        <v>0.99</v>
      </c>
      <c r="H187" s="64" t="s">
        <v>26</v>
      </c>
      <c r="I187" s="7" t="str">
        <f t="shared" si="30"/>
        <v>Fixed</v>
      </c>
      <c r="J187" s="8">
        <f t="shared" si="29"/>
        <v>-597.88</v>
      </c>
      <c r="K187" s="85" t="s">
        <v>299</v>
      </c>
    </row>
    <row r="188" spans="1:11" x14ac:dyDescent="0.65">
      <c r="A188" s="22">
        <f t="shared" si="26"/>
        <v>2021</v>
      </c>
      <c r="B188" s="6">
        <f t="shared" si="27"/>
        <v>4</v>
      </c>
      <c r="C188" s="60">
        <v>44290</v>
      </c>
      <c r="D188" s="60">
        <v>44290</v>
      </c>
      <c r="E188" t="str">
        <f t="shared" si="25"/>
        <v xml:space="preserve">UBER </v>
      </c>
      <c r="F188" s="99" t="s">
        <v>182</v>
      </c>
      <c r="G188" s="8">
        <v>169.85</v>
      </c>
      <c r="H188" s="21" t="s">
        <v>41</v>
      </c>
      <c r="I188" s="7" t="str">
        <f t="shared" si="30"/>
        <v>Variable</v>
      </c>
      <c r="J188" s="8">
        <f t="shared" si="29"/>
        <v>-428.03</v>
      </c>
      <c r="K188" s="46"/>
    </row>
    <row r="189" spans="1:11" x14ac:dyDescent="0.65">
      <c r="A189" s="22">
        <f t="shared" si="26"/>
        <v>2021</v>
      </c>
      <c r="B189" s="6">
        <f t="shared" si="27"/>
        <v>4</v>
      </c>
      <c r="C189" s="60">
        <v>44291</v>
      </c>
      <c r="D189" s="60">
        <v>44291</v>
      </c>
      <c r="E189" t="str">
        <f t="shared" si="25"/>
        <v>MCDON</v>
      </c>
      <c r="F189" s="99" t="s">
        <v>183</v>
      </c>
      <c r="G189" s="8">
        <v>10.88</v>
      </c>
      <c r="H189" s="21" t="s">
        <v>41</v>
      </c>
      <c r="I189" s="7" t="str">
        <f t="shared" si="30"/>
        <v>Variable</v>
      </c>
      <c r="J189" s="8">
        <f t="shared" si="29"/>
        <v>-417.15</v>
      </c>
      <c r="K189" s="46"/>
    </row>
    <row r="190" spans="1:11" x14ac:dyDescent="0.65">
      <c r="A190" s="22">
        <f t="shared" si="26"/>
        <v>2021</v>
      </c>
      <c r="B190" s="6">
        <f t="shared" si="27"/>
        <v>4</v>
      </c>
      <c r="C190" s="60">
        <v>44293</v>
      </c>
      <c r="D190" s="60">
        <v>44293</v>
      </c>
      <c r="E190" t="str">
        <f t="shared" si="25"/>
        <v>AMERI</v>
      </c>
      <c r="F190" s="99" t="s">
        <v>184</v>
      </c>
      <c r="G190" s="8">
        <v>4.24</v>
      </c>
      <c r="H190" s="64" t="s">
        <v>68</v>
      </c>
      <c r="I190" s="7" t="str">
        <f t="shared" si="30"/>
        <v>Variable</v>
      </c>
      <c r="J190" s="8">
        <f t="shared" si="29"/>
        <v>-412.90999999999997</v>
      </c>
      <c r="K190" s="46"/>
    </row>
    <row r="191" spans="1:11" x14ac:dyDescent="0.65">
      <c r="A191" s="22">
        <f t="shared" si="26"/>
        <v>2021</v>
      </c>
      <c r="B191" s="6">
        <f t="shared" si="27"/>
        <v>4</v>
      </c>
      <c r="C191" s="60">
        <v>44293</v>
      </c>
      <c r="D191" s="60">
        <v>44293</v>
      </c>
      <c r="E191" t="str">
        <f t="shared" si="25"/>
        <v>AMERI</v>
      </c>
      <c r="F191" s="99" t="s">
        <v>184</v>
      </c>
      <c r="G191" s="8">
        <v>84.95</v>
      </c>
      <c r="H191" s="64" t="s">
        <v>26</v>
      </c>
      <c r="I191" s="7" t="str">
        <f t="shared" si="30"/>
        <v>Fixed</v>
      </c>
      <c r="J191" s="8">
        <f t="shared" si="29"/>
        <v>-327.96</v>
      </c>
      <c r="K191" s="85" t="s">
        <v>324</v>
      </c>
    </row>
    <row r="192" spans="1:11" x14ac:dyDescent="0.65">
      <c r="A192" s="22">
        <f t="shared" si="26"/>
        <v>2021</v>
      </c>
      <c r="B192" s="6">
        <f t="shared" si="27"/>
        <v>4</v>
      </c>
      <c r="C192" s="60">
        <v>44293</v>
      </c>
      <c r="D192" s="60">
        <v>44293</v>
      </c>
      <c r="E192" t="str">
        <f t="shared" si="25"/>
        <v>JIMMY</v>
      </c>
      <c r="F192" s="99" t="s">
        <v>185</v>
      </c>
      <c r="G192" s="8">
        <v>7.43</v>
      </c>
      <c r="H192" s="21" t="s">
        <v>41</v>
      </c>
      <c r="I192" s="7" t="str">
        <f t="shared" si="30"/>
        <v>Variable</v>
      </c>
      <c r="J192" s="8">
        <f t="shared" si="29"/>
        <v>-320.52999999999997</v>
      </c>
      <c r="K192" s="46"/>
    </row>
    <row r="193" spans="1:11" x14ac:dyDescent="0.65">
      <c r="A193" s="22">
        <f t="shared" si="26"/>
        <v>2021</v>
      </c>
      <c r="B193" s="6">
        <f t="shared" si="27"/>
        <v>4</v>
      </c>
      <c r="C193" s="60">
        <v>44294</v>
      </c>
      <c r="D193" s="60">
        <v>44294</v>
      </c>
      <c r="E193" t="str">
        <f t="shared" si="25"/>
        <v xml:space="preserve">AMER </v>
      </c>
      <c r="F193" s="99" t="s">
        <v>186</v>
      </c>
      <c r="G193" s="8">
        <v>4.24</v>
      </c>
      <c r="H193" s="64" t="s">
        <v>68</v>
      </c>
      <c r="I193" s="7" t="str">
        <f t="shared" si="30"/>
        <v>Variable</v>
      </c>
      <c r="J193" s="8">
        <f t="shared" si="29"/>
        <v>-316.28999999999996</v>
      </c>
      <c r="K193" s="46"/>
    </row>
    <row r="194" spans="1:11" x14ac:dyDescent="0.65">
      <c r="A194" s="22">
        <f t="shared" si="26"/>
        <v>2021</v>
      </c>
      <c r="B194" s="6">
        <f t="shared" si="27"/>
        <v>4</v>
      </c>
      <c r="C194" s="60">
        <v>44295</v>
      </c>
      <c r="D194" s="60">
        <v>44295</v>
      </c>
      <c r="E194" t="str">
        <f t="shared" ref="E194:E257" si="31">LEFT(F194,5)</f>
        <v>CVS/P</v>
      </c>
      <c r="F194" s="99" t="s">
        <v>187</v>
      </c>
      <c r="G194" s="8">
        <v>117.8</v>
      </c>
      <c r="H194" s="21" t="s">
        <v>68</v>
      </c>
      <c r="I194" s="7" t="str">
        <f t="shared" si="30"/>
        <v>Variable</v>
      </c>
      <c r="J194" s="8">
        <f t="shared" si="29"/>
        <v>-198.48999999999995</v>
      </c>
      <c r="K194" s="46"/>
    </row>
    <row r="195" spans="1:11" x14ac:dyDescent="0.65">
      <c r="A195" s="22">
        <f t="shared" ref="A195:A258" si="32">YEAR(C195)</f>
        <v>2021</v>
      </c>
      <c r="B195" s="6">
        <f t="shared" ref="B195:B258" si="33">MONTH(C195)</f>
        <v>4</v>
      </c>
      <c r="C195" s="60">
        <v>44295</v>
      </c>
      <c r="D195" s="60">
        <v>44295</v>
      </c>
      <c r="E195" t="str">
        <f t="shared" si="31"/>
        <v>INTER</v>
      </c>
      <c r="F195" s="99" t="s">
        <v>21</v>
      </c>
      <c r="G195" s="8">
        <v>-450.02</v>
      </c>
      <c r="H195" s="21" t="s">
        <v>22</v>
      </c>
      <c r="I195" s="7" t="str">
        <f t="shared" si="30"/>
        <v>Payment</v>
      </c>
      <c r="J195" s="8">
        <f t="shared" si="29"/>
        <v>-648.51</v>
      </c>
      <c r="K195" s="46"/>
    </row>
    <row r="196" spans="1:11" x14ac:dyDescent="0.65">
      <c r="A196" s="22">
        <f t="shared" si="32"/>
        <v>2021</v>
      </c>
      <c r="B196" s="6">
        <f t="shared" si="33"/>
        <v>4</v>
      </c>
      <c r="C196" s="60">
        <v>44296</v>
      </c>
      <c r="D196" s="60">
        <v>44296</v>
      </c>
      <c r="E196" t="str">
        <f t="shared" si="31"/>
        <v>COLPA</v>
      </c>
      <c r="F196" s="99" t="s">
        <v>178</v>
      </c>
      <c r="G196" s="8">
        <v>15</v>
      </c>
      <c r="H196" s="21" t="s">
        <v>52</v>
      </c>
      <c r="I196" s="7" t="str">
        <f t="shared" si="30"/>
        <v>Variable</v>
      </c>
      <c r="J196" s="8">
        <f t="shared" ref="J196:J259" si="34">J195+G196</f>
        <v>-633.51</v>
      </c>
      <c r="K196" s="46"/>
    </row>
    <row r="197" spans="1:11" x14ac:dyDescent="0.65">
      <c r="A197" s="22">
        <f t="shared" si="32"/>
        <v>2021</v>
      </c>
      <c r="B197" s="6">
        <f t="shared" si="33"/>
        <v>4</v>
      </c>
      <c r="C197" s="60">
        <v>44296</v>
      </c>
      <c r="D197" s="60">
        <v>44296</v>
      </c>
      <c r="E197" t="str">
        <f t="shared" si="31"/>
        <v>DOMIN</v>
      </c>
      <c r="F197" s="99" t="s">
        <v>188</v>
      </c>
      <c r="G197" s="8">
        <v>5.65</v>
      </c>
      <c r="H197" s="21" t="s">
        <v>130</v>
      </c>
      <c r="I197" s="7" t="str">
        <f t="shared" si="30"/>
        <v>Fixed</v>
      </c>
      <c r="J197" s="8">
        <f t="shared" si="34"/>
        <v>-627.86</v>
      </c>
      <c r="K197" s="46"/>
    </row>
    <row r="198" spans="1:11" x14ac:dyDescent="0.65">
      <c r="A198" s="22">
        <f t="shared" si="32"/>
        <v>2021</v>
      </c>
      <c r="B198" s="6">
        <f t="shared" si="33"/>
        <v>4</v>
      </c>
      <c r="C198" s="60">
        <v>44296</v>
      </c>
      <c r="D198" s="60">
        <v>44296</v>
      </c>
      <c r="E198" t="str">
        <f t="shared" si="31"/>
        <v>SHEET</v>
      </c>
      <c r="F198" s="99" t="s">
        <v>189</v>
      </c>
      <c r="G198" s="8">
        <v>4.5</v>
      </c>
      <c r="H198" s="21" t="s">
        <v>24</v>
      </c>
      <c r="I198" s="7" t="str">
        <f t="shared" si="30"/>
        <v>Variable</v>
      </c>
      <c r="J198" s="8">
        <f t="shared" si="34"/>
        <v>-623.36</v>
      </c>
      <c r="K198" s="46"/>
    </row>
    <row r="199" spans="1:11" x14ac:dyDescent="0.65">
      <c r="A199" s="22">
        <f t="shared" si="32"/>
        <v>2021</v>
      </c>
      <c r="B199" s="6">
        <f t="shared" si="33"/>
        <v>4</v>
      </c>
      <c r="C199" s="60">
        <v>44296</v>
      </c>
      <c r="D199" s="60">
        <v>44296</v>
      </c>
      <c r="E199" t="str">
        <f t="shared" si="31"/>
        <v>SHEET</v>
      </c>
      <c r="F199" s="99" t="s">
        <v>189</v>
      </c>
      <c r="G199" s="8">
        <v>5.66</v>
      </c>
      <c r="H199" s="21" t="s">
        <v>24</v>
      </c>
      <c r="I199" s="7" t="str">
        <f t="shared" si="30"/>
        <v>Variable</v>
      </c>
      <c r="J199" s="8">
        <f t="shared" si="34"/>
        <v>-617.70000000000005</v>
      </c>
      <c r="K199" s="46"/>
    </row>
    <row r="200" spans="1:11" x14ac:dyDescent="0.65">
      <c r="A200" s="22">
        <f t="shared" si="32"/>
        <v>2021</v>
      </c>
      <c r="B200" s="6">
        <f t="shared" si="33"/>
        <v>4</v>
      </c>
      <c r="C200" s="60">
        <v>44297</v>
      </c>
      <c r="D200" s="60">
        <v>44297</v>
      </c>
      <c r="E200" t="str">
        <f t="shared" si="31"/>
        <v>AMOCO</v>
      </c>
      <c r="F200" s="99" t="s">
        <v>190</v>
      </c>
      <c r="G200" s="8">
        <v>16.37</v>
      </c>
      <c r="H200" s="21" t="s">
        <v>24</v>
      </c>
      <c r="I200" s="7" t="str">
        <f t="shared" si="30"/>
        <v>Variable</v>
      </c>
      <c r="J200" s="8">
        <f t="shared" si="34"/>
        <v>-601.33000000000004</v>
      </c>
      <c r="K200" s="46"/>
    </row>
    <row r="201" spans="1:11" x14ac:dyDescent="0.65">
      <c r="A201" s="22">
        <f t="shared" si="32"/>
        <v>2021</v>
      </c>
      <c r="B201" s="6">
        <f t="shared" si="33"/>
        <v>4</v>
      </c>
      <c r="C201" s="60">
        <v>44298</v>
      </c>
      <c r="D201" s="60">
        <v>44298</v>
      </c>
      <c r="E201" t="str">
        <f t="shared" si="31"/>
        <v>COR M</v>
      </c>
      <c r="F201" s="99" t="s">
        <v>191</v>
      </c>
      <c r="G201" s="8">
        <v>3</v>
      </c>
      <c r="H201" s="21" t="s">
        <v>52</v>
      </c>
      <c r="I201" s="7" t="str">
        <f t="shared" si="30"/>
        <v>Variable</v>
      </c>
      <c r="J201" s="8">
        <f t="shared" si="34"/>
        <v>-598.33000000000004</v>
      </c>
      <c r="K201" s="46"/>
    </row>
    <row r="202" spans="1:11" x14ac:dyDescent="0.65">
      <c r="A202" s="22">
        <f t="shared" si="32"/>
        <v>2021</v>
      </c>
      <c r="B202" s="6">
        <f t="shared" si="33"/>
        <v>4</v>
      </c>
      <c r="C202" s="60">
        <v>44298</v>
      </c>
      <c r="D202" s="60">
        <v>44298</v>
      </c>
      <c r="E202" t="str">
        <f t="shared" si="31"/>
        <v>JIMMY</v>
      </c>
      <c r="F202" s="99" t="s">
        <v>192</v>
      </c>
      <c r="G202" s="8">
        <v>9.3000000000000007</v>
      </c>
      <c r="H202" s="21" t="s">
        <v>41</v>
      </c>
      <c r="I202" s="7" t="str">
        <f t="shared" si="30"/>
        <v>Variable</v>
      </c>
      <c r="J202" s="8">
        <f t="shared" si="34"/>
        <v>-589.03000000000009</v>
      </c>
      <c r="K202" s="46"/>
    </row>
    <row r="203" spans="1:11" x14ac:dyDescent="0.65">
      <c r="A203" s="22">
        <f t="shared" si="32"/>
        <v>2021</v>
      </c>
      <c r="B203" s="6">
        <f t="shared" si="33"/>
        <v>4</v>
      </c>
      <c r="C203" s="60">
        <v>44298</v>
      </c>
      <c r="D203" s="60">
        <v>44298</v>
      </c>
      <c r="E203" t="str">
        <f t="shared" si="31"/>
        <v>PAYPA</v>
      </c>
      <c r="F203" s="99" t="s">
        <v>59</v>
      </c>
      <c r="G203" s="8">
        <v>1.99</v>
      </c>
      <c r="H203" s="85" t="s">
        <v>26</v>
      </c>
      <c r="I203" s="7" t="str">
        <f t="shared" si="30"/>
        <v>Fixed</v>
      </c>
      <c r="J203" s="8">
        <f t="shared" si="34"/>
        <v>-587.04000000000008</v>
      </c>
      <c r="K203" s="85" t="s">
        <v>284</v>
      </c>
    </row>
    <row r="204" spans="1:11" x14ac:dyDescent="0.65">
      <c r="A204" s="22">
        <f t="shared" si="32"/>
        <v>2021</v>
      </c>
      <c r="B204" s="6">
        <f t="shared" si="33"/>
        <v>4</v>
      </c>
      <c r="C204" s="60">
        <v>44298</v>
      </c>
      <c r="D204" s="60">
        <v>44298</v>
      </c>
      <c r="E204" t="str">
        <f t="shared" si="31"/>
        <v>PUBLI</v>
      </c>
      <c r="F204" s="99" t="s">
        <v>193</v>
      </c>
      <c r="G204" s="8">
        <v>61.05</v>
      </c>
      <c r="H204" s="64" t="s">
        <v>26</v>
      </c>
      <c r="I204" s="7" t="str">
        <f t="shared" si="30"/>
        <v>Fixed</v>
      </c>
      <c r="J204" s="8">
        <f t="shared" si="34"/>
        <v>-525.99000000000012</v>
      </c>
      <c r="K204" s="85" t="s">
        <v>301</v>
      </c>
    </row>
    <row r="205" spans="1:11" x14ac:dyDescent="0.65">
      <c r="A205" s="22">
        <f t="shared" si="32"/>
        <v>2021</v>
      </c>
      <c r="B205" s="6">
        <f t="shared" si="33"/>
        <v>4</v>
      </c>
      <c r="C205" s="60">
        <v>44298</v>
      </c>
      <c r="D205" s="60">
        <v>44298</v>
      </c>
      <c r="E205" t="str">
        <f t="shared" si="31"/>
        <v>THE H</v>
      </c>
      <c r="F205" s="99" t="s">
        <v>194</v>
      </c>
      <c r="G205" s="8">
        <v>7.91</v>
      </c>
      <c r="H205" s="21" t="s">
        <v>195</v>
      </c>
      <c r="I205" s="7" t="str">
        <f t="shared" si="30"/>
        <v>Variable</v>
      </c>
      <c r="J205" s="8">
        <f t="shared" si="34"/>
        <v>-518.08000000000015</v>
      </c>
      <c r="K205" s="46"/>
    </row>
    <row r="206" spans="1:11" x14ac:dyDescent="0.65">
      <c r="A206" s="22">
        <f t="shared" si="32"/>
        <v>2021</v>
      </c>
      <c r="B206" s="6">
        <f t="shared" si="33"/>
        <v>4</v>
      </c>
      <c r="C206" s="60">
        <v>44299</v>
      </c>
      <c r="D206" s="60">
        <v>44299</v>
      </c>
      <c r="E206" t="str">
        <f t="shared" si="31"/>
        <v>EZPAS</v>
      </c>
      <c r="F206" s="99" t="s">
        <v>196</v>
      </c>
      <c r="G206" s="8">
        <v>35</v>
      </c>
      <c r="H206" s="85" t="s">
        <v>52</v>
      </c>
      <c r="I206" s="7" t="str">
        <f t="shared" si="30"/>
        <v>Variable</v>
      </c>
      <c r="J206" s="8">
        <f t="shared" si="34"/>
        <v>-483.08000000000015</v>
      </c>
      <c r="K206" s="85" t="s">
        <v>301</v>
      </c>
    </row>
    <row r="207" spans="1:11" x14ac:dyDescent="0.65">
      <c r="A207" s="22">
        <f t="shared" si="32"/>
        <v>2021</v>
      </c>
      <c r="B207" s="6">
        <f t="shared" si="33"/>
        <v>4</v>
      </c>
      <c r="C207" s="60">
        <v>44299</v>
      </c>
      <c r="D207" s="60">
        <v>44299</v>
      </c>
      <c r="E207" t="str">
        <f t="shared" si="31"/>
        <v>STELL</v>
      </c>
      <c r="F207" s="99" t="s">
        <v>197</v>
      </c>
      <c r="G207" s="8">
        <v>4.4000000000000004</v>
      </c>
      <c r="H207" s="21" t="s">
        <v>90</v>
      </c>
      <c r="I207" s="7" t="str">
        <f t="shared" si="30"/>
        <v>Variable</v>
      </c>
      <c r="J207" s="8">
        <f t="shared" si="34"/>
        <v>-478.68000000000018</v>
      </c>
      <c r="K207" s="46"/>
    </row>
    <row r="208" spans="1:11" x14ac:dyDescent="0.65">
      <c r="A208" s="22">
        <f t="shared" si="32"/>
        <v>2021</v>
      </c>
      <c r="B208" s="6">
        <f t="shared" si="33"/>
        <v>4</v>
      </c>
      <c r="C208" s="60">
        <v>44300</v>
      </c>
      <c r="D208" s="60">
        <v>44300</v>
      </c>
      <c r="E208" t="str">
        <f t="shared" si="31"/>
        <v xml:space="preserve">AMER </v>
      </c>
      <c r="F208" s="99" t="s">
        <v>198</v>
      </c>
      <c r="G208" s="8">
        <v>7.67</v>
      </c>
      <c r="H208" s="21" t="s">
        <v>68</v>
      </c>
      <c r="I208" s="7" t="str">
        <f t="shared" si="30"/>
        <v>Variable</v>
      </c>
      <c r="J208" s="8">
        <f t="shared" si="34"/>
        <v>-471.01000000000016</v>
      </c>
      <c r="K208" s="46"/>
    </row>
    <row r="209" spans="1:11" x14ac:dyDescent="0.65">
      <c r="A209" s="22">
        <f t="shared" si="32"/>
        <v>2021</v>
      </c>
      <c r="B209" s="6">
        <f t="shared" si="33"/>
        <v>4</v>
      </c>
      <c r="C209" s="60">
        <v>44300</v>
      </c>
      <c r="D209" s="60">
        <v>44300</v>
      </c>
      <c r="E209" t="str">
        <f t="shared" si="31"/>
        <v>APPLE</v>
      </c>
      <c r="F209" s="99" t="s">
        <v>199</v>
      </c>
      <c r="G209" s="8">
        <v>15.89</v>
      </c>
      <c r="H209" s="64" t="s">
        <v>26</v>
      </c>
      <c r="I209" s="7" t="str">
        <f t="shared" si="30"/>
        <v>Fixed</v>
      </c>
      <c r="J209" s="8">
        <f t="shared" si="34"/>
        <v>-455.12000000000018</v>
      </c>
      <c r="K209" s="85" t="s">
        <v>294</v>
      </c>
    </row>
    <row r="210" spans="1:11" x14ac:dyDescent="0.65">
      <c r="A210" s="22">
        <f t="shared" si="32"/>
        <v>2021</v>
      </c>
      <c r="B210" s="6">
        <f t="shared" si="33"/>
        <v>4</v>
      </c>
      <c r="C210" s="60">
        <v>44300</v>
      </c>
      <c r="D210" s="60">
        <v>44300</v>
      </c>
      <c r="E210" t="str">
        <f t="shared" si="31"/>
        <v>KROGE</v>
      </c>
      <c r="F210" s="99" t="s">
        <v>200</v>
      </c>
      <c r="G210" s="8">
        <v>25.71</v>
      </c>
      <c r="H210" s="21" t="s">
        <v>24</v>
      </c>
      <c r="I210" s="7" t="str">
        <f t="shared" si="30"/>
        <v>Variable</v>
      </c>
      <c r="J210" s="8">
        <f t="shared" si="34"/>
        <v>-429.4100000000002</v>
      </c>
      <c r="K210" s="46"/>
    </row>
    <row r="211" spans="1:11" x14ac:dyDescent="0.65">
      <c r="A211" s="22">
        <f t="shared" si="32"/>
        <v>2021</v>
      </c>
      <c r="B211" s="6">
        <f t="shared" si="33"/>
        <v>4</v>
      </c>
      <c r="C211" s="60">
        <v>44300</v>
      </c>
      <c r="D211" s="60">
        <v>44300</v>
      </c>
      <c r="E211" t="str">
        <f t="shared" si="31"/>
        <v xml:space="preserve">TACO </v>
      </c>
      <c r="F211" s="99" t="s">
        <v>201</v>
      </c>
      <c r="G211" s="8">
        <v>26.47</v>
      </c>
      <c r="H211" s="21" t="s">
        <v>41</v>
      </c>
      <c r="I211" s="7" t="str">
        <f t="shared" si="30"/>
        <v>Variable</v>
      </c>
      <c r="J211" s="8">
        <f t="shared" si="34"/>
        <v>-402.94000000000017</v>
      </c>
      <c r="K211" s="46"/>
    </row>
    <row r="212" spans="1:11" x14ac:dyDescent="0.65">
      <c r="A212" s="22">
        <f t="shared" si="32"/>
        <v>2021</v>
      </c>
      <c r="B212" s="6">
        <f t="shared" si="33"/>
        <v>4</v>
      </c>
      <c r="C212" s="60">
        <v>44301</v>
      </c>
      <c r="D212" s="60">
        <v>44301</v>
      </c>
      <c r="E212" t="str">
        <f t="shared" si="31"/>
        <v>MCDON</v>
      </c>
      <c r="F212" s="99" t="s">
        <v>63</v>
      </c>
      <c r="G212" s="8">
        <v>25.51</v>
      </c>
      <c r="H212" s="21" t="s">
        <v>41</v>
      </c>
      <c r="I212" s="7" t="str">
        <f t="shared" si="30"/>
        <v>Variable</v>
      </c>
      <c r="J212" s="8">
        <f t="shared" si="34"/>
        <v>-377.43000000000018</v>
      </c>
      <c r="K212" s="46"/>
    </row>
    <row r="213" spans="1:11" x14ac:dyDescent="0.65">
      <c r="A213" s="22">
        <f t="shared" si="32"/>
        <v>2021</v>
      </c>
      <c r="B213" s="6">
        <f t="shared" si="33"/>
        <v>4</v>
      </c>
      <c r="C213" s="60">
        <v>44301</v>
      </c>
      <c r="D213" s="60">
        <v>44301</v>
      </c>
      <c r="E213" t="str">
        <f t="shared" si="31"/>
        <v>U HAU</v>
      </c>
      <c r="F213" s="99" t="s">
        <v>202</v>
      </c>
      <c r="G213" s="8">
        <v>26.4</v>
      </c>
      <c r="H213" s="21" t="s">
        <v>68</v>
      </c>
      <c r="I213" s="7" t="str">
        <f t="shared" si="30"/>
        <v>Variable</v>
      </c>
      <c r="J213" s="8">
        <f t="shared" si="34"/>
        <v>-351.0300000000002</v>
      </c>
      <c r="K213" s="85" t="s">
        <v>301</v>
      </c>
    </row>
    <row r="214" spans="1:11" x14ac:dyDescent="0.65">
      <c r="A214" s="22">
        <f t="shared" si="32"/>
        <v>2021</v>
      </c>
      <c r="B214" s="6">
        <f t="shared" si="33"/>
        <v>4</v>
      </c>
      <c r="C214" s="60">
        <v>44303</v>
      </c>
      <c r="D214" s="60">
        <v>44303</v>
      </c>
      <c r="E214" t="str">
        <f t="shared" si="31"/>
        <v xml:space="preserve">AMER </v>
      </c>
      <c r="F214" s="99" t="s">
        <v>203</v>
      </c>
      <c r="G214" s="8">
        <v>3.63</v>
      </c>
      <c r="H214" s="21" t="s">
        <v>68</v>
      </c>
      <c r="I214" s="7" t="str">
        <f t="shared" si="30"/>
        <v>Variable</v>
      </c>
      <c r="J214" s="8">
        <f t="shared" si="34"/>
        <v>-347.4000000000002</v>
      </c>
      <c r="K214" s="46"/>
    </row>
    <row r="215" spans="1:11" x14ac:dyDescent="0.65">
      <c r="A215" s="22">
        <f t="shared" si="32"/>
        <v>2021</v>
      </c>
      <c r="B215" s="6">
        <f t="shared" si="33"/>
        <v>4</v>
      </c>
      <c r="C215" s="60">
        <v>44303</v>
      </c>
      <c r="D215" s="60">
        <v>44303</v>
      </c>
      <c r="E215" t="str">
        <f t="shared" si="31"/>
        <v>JIMMY</v>
      </c>
      <c r="F215" s="99" t="s">
        <v>204</v>
      </c>
      <c r="G215" s="8">
        <v>17.14</v>
      </c>
      <c r="H215" s="21" t="s">
        <v>41</v>
      </c>
      <c r="I215" s="7" t="str">
        <f t="shared" si="30"/>
        <v>Variable</v>
      </c>
      <c r="J215" s="8">
        <f t="shared" si="34"/>
        <v>-330.26000000000022</v>
      </c>
      <c r="K215" s="46"/>
    </row>
    <row r="216" spans="1:11" x14ac:dyDescent="0.65">
      <c r="A216" s="22">
        <f t="shared" si="32"/>
        <v>2021</v>
      </c>
      <c r="B216" s="6">
        <f t="shared" si="33"/>
        <v>4</v>
      </c>
      <c r="C216" s="60">
        <v>44303</v>
      </c>
      <c r="D216" s="60">
        <v>44304</v>
      </c>
      <c r="E216" t="str">
        <f t="shared" si="31"/>
        <v>PUBLI</v>
      </c>
      <c r="F216" s="99" t="s">
        <v>205</v>
      </c>
      <c r="G216" s="8">
        <v>-21.05</v>
      </c>
      <c r="H216" s="21" t="s">
        <v>22</v>
      </c>
      <c r="I216" s="7" t="str">
        <f t="shared" si="30"/>
        <v>Payment</v>
      </c>
      <c r="J216" s="8">
        <f t="shared" si="34"/>
        <v>-351.31000000000023</v>
      </c>
      <c r="K216" s="85" t="s">
        <v>301</v>
      </c>
    </row>
    <row r="217" spans="1:11" x14ac:dyDescent="0.65">
      <c r="A217" s="22">
        <f t="shared" si="32"/>
        <v>2021</v>
      </c>
      <c r="B217" s="6">
        <f t="shared" si="33"/>
        <v>4</v>
      </c>
      <c r="C217" s="60">
        <v>44304</v>
      </c>
      <c r="D217" s="60">
        <v>44304</v>
      </c>
      <c r="E217" t="str">
        <f t="shared" si="31"/>
        <v>HEALI</v>
      </c>
      <c r="F217" s="99" t="s">
        <v>211</v>
      </c>
      <c r="G217" s="8">
        <v>30</v>
      </c>
      <c r="H217" s="21" t="s">
        <v>52</v>
      </c>
      <c r="I217" s="7" t="str">
        <f t="shared" si="30"/>
        <v>Variable</v>
      </c>
      <c r="J217" s="8">
        <f t="shared" si="34"/>
        <v>-321.31000000000023</v>
      </c>
      <c r="K217" s="85" t="s">
        <v>291</v>
      </c>
    </row>
    <row r="218" spans="1:11" x14ac:dyDescent="0.65">
      <c r="A218" s="22">
        <f t="shared" si="32"/>
        <v>2021</v>
      </c>
      <c r="B218" s="6">
        <f t="shared" si="33"/>
        <v>4</v>
      </c>
      <c r="C218" s="60">
        <v>44305</v>
      </c>
      <c r="D218" s="60">
        <v>44305</v>
      </c>
      <c r="E218" t="str">
        <f t="shared" si="31"/>
        <v xml:space="preserve">SP * </v>
      </c>
      <c r="F218" s="99" t="s">
        <v>212</v>
      </c>
      <c r="G218" s="8">
        <v>159</v>
      </c>
      <c r="H218" s="21" t="s">
        <v>68</v>
      </c>
      <c r="I218" s="7" t="str">
        <f t="shared" si="30"/>
        <v>Variable</v>
      </c>
      <c r="J218" s="8">
        <f t="shared" si="34"/>
        <v>-162.31000000000023</v>
      </c>
      <c r="K218" s="85" t="s">
        <v>334</v>
      </c>
    </row>
    <row r="219" spans="1:11" x14ac:dyDescent="0.65">
      <c r="A219" s="22">
        <f t="shared" si="32"/>
        <v>2021</v>
      </c>
      <c r="B219" s="6">
        <f t="shared" si="33"/>
        <v>4</v>
      </c>
      <c r="C219" s="60">
        <v>44306</v>
      </c>
      <c r="D219" s="60">
        <v>44306</v>
      </c>
      <c r="E219" t="str">
        <f t="shared" si="31"/>
        <v>EXXON</v>
      </c>
      <c r="F219" s="99" t="s">
        <v>60</v>
      </c>
      <c r="G219" s="8">
        <v>26.08</v>
      </c>
      <c r="H219" s="21" t="s">
        <v>24</v>
      </c>
      <c r="I219" s="7" t="str">
        <f t="shared" ref="I219:I282" si="35">VLOOKUP(H219,Expense_Lookup,2,0)</f>
        <v>Variable</v>
      </c>
      <c r="J219" s="8">
        <f t="shared" si="34"/>
        <v>-136.23000000000025</v>
      </c>
      <c r="K219" s="46"/>
    </row>
    <row r="220" spans="1:11" x14ac:dyDescent="0.65">
      <c r="A220" s="22">
        <f t="shared" si="32"/>
        <v>2021</v>
      </c>
      <c r="B220" s="6">
        <f t="shared" si="33"/>
        <v>4</v>
      </c>
      <c r="C220" s="60">
        <v>44306</v>
      </c>
      <c r="D220" s="60">
        <v>44306</v>
      </c>
      <c r="E220" t="str">
        <f t="shared" si="31"/>
        <v>WWW.W</v>
      </c>
      <c r="F220" s="99" t="s">
        <v>101</v>
      </c>
      <c r="G220" s="8">
        <v>6.99</v>
      </c>
      <c r="H220" s="85" t="s">
        <v>26</v>
      </c>
      <c r="I220" s="7" t="str">
        <f t="shared" si="35"/>
        <v>Fixed</v>
      </c>
      <c r="J220" s="8">
        <f t="shared" si="34"/>
        <v>-129.24000000000024</v>
      </c>
      <c r="K220" s="93" t="s">
        <v>358</v>
      </c>
    </row>
    <row r="221" spans="1:11" x14ac:dyDescent="0.65">
      <c r="A221" s="22">
        <f t="shared" si="32"/>
        <v>2021</v>
      </c>
      <c r="B221" s="6">
        <f t="shared" si="33"/>
        <v>4</v>
      </c>
      <c r="C221" s="60">
        <v>44307</v>
      </c>
      <c r="D221" s="60">
        <v>44307</v>
      </c>
      <c r="E221" t="str">
        <f t="shared" si="31"/>
        <v xml:space="preserve">AMER </v>
      </c>
      <c r="F221" s="99" t="s">
        <v>186</v>
      </c>
      <c r="G221" s="8">
        <v>4.24</v>
      </c>
      <c r="H221" s="21" t="s">
        <v>89</v>
      </c>
      <c r="I221" s="7" t="str">
        <f t="shared" si="35"/>
        <v>Variable</v>
      </c>
      <c r="J221" s="8">
        <f t="shared" si="34"/>
        <v>-125.00000000000024</v>
      </c>
      <c r="K221" s="46"/>
    </row>
    <row r="222" spans="1:11" x14ac:dyDescent="0.65">
      <c r="A222" s="22">
        <f t="shared" si="32"/>
        <v>2021</v>
      </c>
      <c r="B222" s="6">
        <f t="shared" si="33"/>
        <v>4</v>
      </c>
      <c r="C222" s="60">
        <v>44307</v>
      </c>
      <c r="D222" s="60">
        <v>44307</v>
      </c>
      <c r="E222" t="str">
        <f t="shared" si="31"/>
        <v>KINGS</v>
      </c>
      <c r="F222" s="99" t="s">
        <v>213</v>
      </c>
      <c r="G222" s="8">
        <v>9.9499999999999993</v>
      </c>
      <c r="H222" s="76" t="s">
        <v>26</v>
      </c>
      <c r="I222" s="7" t="str">
        <f t="shared" si="35"/>
        <v>Fixed</v>
      </c>
      <c r="J222" s="8">
        <f t="shared" si="34"/>
        <v>-115.05000000000024</v>
      </c>
      <c r="K222" s="85" t="s">
        <v>35</v>
      </c>
    </row>
    <row r="223" spans="1:11" x14ac:dyDescent="0.65">
      <c r="A223" s="22">
        <f t="shared" si="32"/>
        <v>2021</v>
      </c>
      <c r="B223" s="6">
        <f t="shared" si="33"/>
        <v>4</v>
      </c>
      <c r="C223" s="60">
        <v>44307</v>
      </c>
      <c r="D223" s="60">
        <v>44307</v>
      </c>
      <c r="E223" t="str">
        <f t="shared" si="31"/>
        <v>PP*PP</v>
      </c>
      <c r="F223" s="99" t="s">
        <v>81</v>
      </c>
      <c r="G223" s="8">
        <v>7.99</v>
      </c>
      <c r="H223" s="85" t="s">
        <v>26</v>
      </c>
      <c r="I223" s="7" t="str">
        <f t="shared" si="35"/>
        <v>Fixed</v>
      </c>
      <c r="J223" s="8">
        <f t="shared" si="34"/>
        <v>-107.06000000000024</v>
      </c>
      <c r="K223" s="85" t="s">
        <v>9</v>
      </c>
    </row>
    <row r="224" spans="1:11" x14ac:dyDescent="0.65">
      <c r="A224" s="22">
        <f t="shared" si="32"/>
        <v>2021</v>
      </c>
      <c r="B224" s="6">
        <f t="shared" si="33"/>
        <v>4</v>
      </c>
      <c r="C224" s="60">
        <v>44307</v>
      </c>
      <c r="D224" s="60">
        <v>44307</v>
      </c>
      <c r="E224" t="str">
        <f t="shared" si="31"/>
        <v xml:space="preserve">UBER </v>
      </c>
      <c r="F224" s="99" t="s">
        <v>182</v>
      </c>
      <c r="G224" s="8">
        <v>44.61</v>
      </c>
      <c r="H224" s="21" t="s">
        <v>41</v>
      </c>
      <c r="I224" s="7" t="str">
        <f t="shared" si="35"/>
        <v>Variable</v>
      </c>
      <c r="J224" s="8">
        <f t="shared" si="34"/>
        <v>-62.450000000000244</v>
      </c>
      <c r="K224" s="46"/>
    </row>
    <row r="225" spans="1:11" x14ac:dyDescent="0.65">
      <c r="A225" s="22">
        <f t="shared" si="32"/>
        <v>2021</v>
      </c>
      <c r="B225" s="6">
        <f t="shared" si="33"/>
        <v>4</v>
      </c>
      <c r="C225" s="60">
        <v>44309</v>
      </c>
      <c r="D225" s="60">
        <v>44309</v>
      </c>
      <c r="E225" t="str">
        <f t="shared" si="31"/>
        <v>BONCH</v>
      </c>
      <c r="F225" s="99" t="s">
        <v>214</v>
      </c>
      <c r="G225" s="8">
        <v>47.61</v>
      </c>
      <c r="H225" s="21" t="s">
        <v>41</v>
      </c>
      <c r="I225" s="7" t="str">
        <f t="shared" si="35"/>
        <v>Variable</v>
      </c>
      <c r="J225" s="8">
        <f t="shared" si="34"/>
        <v>-14.840000000000245</v>
      </c>
      <c r="K225" s="46"/>
    </row>
    <row r="226" spans="1:11" x14ac:dyDescent="0.65">
      <c r="A226" s="22">
        <f t="shared" si="32"/>
        <v>2021</v>
      </c>
      <c r="B226" s="6">
        <f t="shared" si="33"/>
        <v>4</v>
      </c>
      <c r="C226" s="60">
        <v>44310</v>
      </c>
      <c r="D226" s="60">
        <v>44310</v>
      </c>
      <c r="E226" t="str">
        <f t="shared" si="31"/>
        <v>LOWE'</v>
      </c>
      <c r="F226" s="99" t="s">
        <v>215</v>
      </c>
      <c r="G226" s="8">
        <v>84.67</v>
      </c>
      <c r="H226" s="21" t="s">
        <v>195</v>
      </c>
      <c r="I226" s="7" t="str">
        <f t="shared" si="35"/>
        <v>Variable</v>
      </c>
      <c r="J226" s="8">
        <f t="shared" si="34"/>
        <v>69.829999999999757</v>
      </c>
      <c r="K226" s="46"/>
    </row>
    <row r="227" spans="1:11" x14ac:dyDescent="0.65">
      <c r="A227" s="22">
        <f t="shared" si="32"/>
        <v>2021</v>
      </c>
      <c r="B227" s="6">
        <f t="shared" si="33"/>
        <v>4</v>
      </c>
      <c r="C227" s="60">
        <v>44310</v>
      </c>
      <c r="D227" s="60">
        <v>44310</v>
      </c>
      <c r="E227" t="str">
        <f t="shared" si="31"/>
        <v>SQ *C</v>
      </c>
      <c r="F227" s="99" t="s">
        <v>216</v>
      </c>
      <c r="G227" s="8">
        <v>5.78</v>
      </c>
      <c r="H227" s="21" t="s">
        <v>41</v>
      </c>
      <c r="I227" s="7" t="str">
        <f t="shared" si="35"/>
        <v>Variable</v>
      </c>
      <c r="J227" s="8">
        <f t="shared" si="34"/>
        <v>75.609999999999758</v>
      </c>
      <c r="K227" s="46"/>
    </row>
    <row r="228" spans="1:11" x14ac:dyDescent="0.65">
      <c r="A228" s="22">
        <f t="shared" si="32"/>
        <v>2021</v>
      </c>
      <c r="B228" s="6">
        <f t="shared" si="33"/>
        <v>4</v>
      </c>
      <c r="C228" s="60">
        <v>44310</v>
      </c>
      <c r="D228" s="60">
        <v>44310</v>
      </c>
      <c r="E228" t="str">
        <f t="shared" si="31"/>
        <v>SQ *C</v>
      </c>
      <c r="F228" s="99" t="s">
        <v>217</v>
      </c>
      <c r="G228" s="8">
        <v>12.24</v>
      </c>
      <c r="H228" s="21" t="s">
        <v>41</v>
      </c>
      <c r="I228" s="7" t="str">
        <f t="shared" si="35"/>
        <v>Variable</v>
      </c>
      <c r="J228" s="8">
        <f t="shared" si="34"/>
        <v>87.849999999999753</v>
      </c>
      <c r="K228" s="46"/>
    </row>
    <row r="229" spans="1:11" x14ac:dyDescent="0.65">
      <c r="A229" s="22">
        <f t="shared" si="32"/>
        <v>2021</v>
      </c>
      <c r="B229" s="6">
        <f t="shared" si="33"/>
        <v>4</v>
      </c>
      <c r="C229" s="60">
        <v>44312</v>
      </c>
      <c r="D229" s="60">
        <v>44312</v>
      </c>
      <c r="E229" t="str">
        <f t="shared" si="31"/>
        <v>MCDON</v>
      </c>
      <c r="F229" s="99" t="s">
        <v>218</v>
      </c>
      <c r="G229" s="8">
        <v>13.27</v>
      </c>
      <c r="H229" s="21" t="s">
        <v>41</v>
      </c>
      <c r="I229" s="7" t="str">
        <f t="shared" si="35"/>
        <v>Variable</v>
      </c>
      <c r="J229" s="8">
        <f t="shared" si="34"/>
        <v>101.11999999999975</v>
      </c>
      <c r="K229" s="46"/>
    </row>
    <row r="230" spans="1:11" x14ac:dyDescent="0.65">
      <c r="A230" s="22">
        <f t="shared" si="32"/>
        <v>2021</v>
      </c>
      <c r="B230" s="6">
        <f t="shared" si="33"/>
        <v>4</v>
      </c>
      <c r="C230" s="60">
        <v>44313</v>
      </c>
      <c r="D230" s="60">
        <v>44313</v>
      </c>
      <c r="E230" t="str">
        <f t="shared" si="31"/>
        <v>7-ELE</v>
      </c>
      <c r="F230" s="99" t="s">
        <v>219</v>
      </c>
      <c r="G230" s="8">
        <v>26.97</v>
      </c>
      <c r="H230" s="21" t="s">
        <v>24</v>
      </c>
      <c r="I230" s="7" t="str">
        <f t="shared" si="35"/>
        <v>Variable</v>
      </c>
      <c r="J230" s="8">
        <f t="shared" si="34"/>
        <v>128.08999999999975</v>
      </c>
      <c r="K230" s="46"/>
    </row>
    <row r="231" spans="1:11" x14ac:dyDescent="0.65">
      <c r="A231" s="22">
        <f t="shared" si="32"/>
        <v>2021</v>
      </c>
      <c r="B231" s="6">
        <f t="shared" si="33"/>
        <v>4</v>
      </c>
      <c r="C231" s="60">
        <v>44313</v>
      </c>
      <c r="D231" s="60">
        <v>44313</v>
      </c>
      <c r="E231" t="str">
        <f t="shared" si="31"/>
        <v>PAYPA</v>
      </c>
      <c r="F231" s="99" t="s">
        <v>112</v>
      </c>
      <c r="G231" s="8">
        <v>9.99</v>
      </c>
      <c r="H231" s="76" t="s">
        <v>26</v>
      </c>
      <c r="I231" s="7" t="str">
        <f t="shared" si="35"/>
        <v>Fixed</v>
      </c>
      <c r="J231" s="8">
        <f t="shared" si="34"/>
        <v>138.07999999999976</v>
      </c>
      <c r="K231" s="85" t="s">
        <v>296</v>
      </c>
    </row>
    <row r="232" spans="1:11" x14ac:dyDescent="0.65">
      <c r="A232" s="22">
        <f t="shared" si="32"/>
        <v>2021</v>
      </c>
      <c r="B232" s="6">
        <f t="shared" si="33"/>
        <v>4</v>
      </c>
      <c r="C232" s="60">
        <v>44313</v>
      </c>
      <c r="D232" s="60">
        <v>44313</v>
      </c>
      <c r="E232" t="str">
        <f t="shared" si="31"/>
        <v>WWW.C</v>
      </c>
      <c r="F232" s="99" t="s">
        <v>115</v>
      </c>
      <c r="G232" s="8">
        <v>5</v>
      </c>
      <c r="H232" s="21" t="s">
        <v>68</v>
      </c>
      <c r="I232" s="7" t="str">
        <f t="shared" si="35"/>
        <v>Variable</v>
      </c>
      <c r="J232" s="8">
        <f t="shared" si="34"/>
        <v>143.07999999999976</v>
      </c>
      <c r="K232" s="46"/>
    </row>
    <row r="233" spans="1:11" x14ac:dyDescent="0.65">
      <c r="A233" s="22">
        <f t="shared" si="32"/>
        <v>2021</v>
      </c>
      <c r="B233" s="6">
        <f t="shared" si="33"/>
        <v>4</v>
      </c>
      <c r="C233" s="60">
        <v>44314</v>
      </c>
      <c r="D233" s="60">
        <v>44314</v>
      </c>
      <c r="E233" t="str">
        <f t="shared" si="31"/>
        <v>AMERI</v>
      </c>
      <c r="F233" s="99" t="s">
        <v>184</v>
      </c>
      <c r="G233" s="8">
        <v>2.12</v>
      </c>
      <c r="H233" s="76" t="s">
        <v>68</v>
      </c>
      <c r="I233" s="7" t="str">
        <f t="shared" si="35"/>
        <v>Variable</v>
      </c>
      <c r="J233" s="8">
        <f t="shared" si="34"/>
        <v>145.19999999999976</v>
      </c>
      <c r="K233" s="46"/>
    </row>
    <row r="234" spans="1:11" x14ac:dyDescent="0.65">
      <c r="A234" s="22">
        <f t="shared" si="32"/>
        <v>2021</v>
      </c>
      <c r="B234" s="6">
        <f t="shared" si="33"/>
        <v>4</v>
      </c>
      <c r="C234" s="60">
        <v>44314</v>
      </c>
      <c r="D234" s="60">
        <v>44314</v>
      </c>
      <c r="E234" t="str">
        <f t="shared" si="31"/>
        <v>CVS/P</v>
      </c>
      <c r="F234" s="99" t="s">
        <v>220</v>
      </c>
      <c r="G234" s="8">
        <v>28.54</v>
      </c>
      <c r="H234" s="21" t="s">
        <v>68</v>
      </c>
      <c r="I234" s="7" t="str">
        <f t="shared" si="35"/>
        <v>Variable</v>
      </c>
      <c r="J234" s="8">
        <f t="shared" si="34"/>
        <v>173.73999999999975</v>
      </c>
      <c r="K234" s="46"/>
    </row>
    <row r="235" spans="1:11" x14ac:dyDescent="0.65">
      <c r="A235" s="22">
        <f t="shared" si="32"/>
        <v>2021</v>
      </c>
      <c r="B235" s="6">
        <f t="shared" si="33"/>
        <v>4</v>
      </c>
      <c r="C235" s="60">
        <v>44314</v>
      </c>
      <c r="D235" s="60">
        <v>44314</v>
      </c>
      <c r="E235" t="str">
        <f t="shared" si="31"/>
        <v>JIMMY</v>
      </c>
      <c r="F235" s="99" t="s">
        <v>221</v>
      </c>
      <c r="G235" s="8">
        <v>23.95</v>
      </c>
      <c r="H235" s="21" t="s">
        <v>41</v>
      </c>
      <c r="I235" s="7" t="str">
        <f t="shared" si="35"/>
        <v>Variable</v>
      </c>
      <c r="J235" s="8">
        <f t="shared" si="34"/>
        <v>197.68999999999974</v>
      </c>
      <c r="K235" s="46"/>
    </row>
    <row r="236" spans="1:11" x14ac:dyDescent="0.65">
      <c r="A236" s="22">
        <f t="shared" si="32"/>
        <v>2021</v>
      </c>
      <c r="B236" s="6">
        <f t="shared" si="33"/>
        <v>4</v>
      </c>
      <c r="C236" s="60">
        <v>44314</v>
      </c>
      <c r="D236" s="60">
        <v>44314</v>
      </c>
      <c r="E236" t="str">
        <f t="shared" si="31"/>
        <v>ORGAN</v>
      </c>
      <c r="F236" s="99" t="s">
        <v>222</v>
      </c>
      <c r="G236" s="8">
        <v>55.66</v>
      </c>
      <c r="H236" s="21" t="s">
        <v>41</v>
      </c>
      <c r="I236" s="7" t="str">
        <f t="shared" si="35"/>
        <v>Variable</v>
      </c>
      <c r="J236" s="8">
        <f t="shared" si="34"/>
        <v>253.34999999999974</v>
      </c>
      <c r="K236" s="46"/>
    </row>
    <row r="237" spans="1:11" x14ac:dyDescent="0.65">
      <c r="A237" s="22">
        <f t="shared" si="32"/>
        <v>2021</v>
      </c>
      <c r="B237" s="6">
        <f t="shared" si="33"/>
        <v>4</v>
      </c>
      <c r="C237" s="60">
        <v>44316</v>
      </c>
      <c r="D237" s="60">
        <v>44316</v>
      </c>
      <c r="E237" t="str">
        <f t="shared" si="31"/>
        <v xml:space="preserve">ALDI </v>
      </c>
      <c r="F237" s="99" t="s">
        <v>152</v>
      </c>
      <c r="G237" s="8">
        <v>20.92</v>
      </c>
      <c r="H237" s="21" t="s">
        <v>90</v>
      </c>
      <c r="I237" s="7" t="str">
        <f t="shared" si="35"/>
        <v>Variable</v>
      </c>
      <c r="J237" s="8">
        <f t="shared" si="34"/>
        <v>274.26999999999975</v>
      </c>
      <c r="K237" s="46"/>
    </row>
    <row r="238" spans="1:11" x14ac:dyDescent="0.65">
      <c r="A238" s="22">
        <f t="shared" si="32"/>
        <v>2021</v>
      </c>
      <c r="B238" s="6">
        <f t="shared" si="33"/>
        <v>4</v>
      </c>
      <c r="C238" s="60">
        <v>44316</v>
      </c>
      <c r="D238" s="60">
        <v>44316</v>
      </c>
      <c r="E238" t="str">
        <f t="shared" si="31"/>
        <v xml:space="preserve">AMER </v>
      </c>
      <c r="F238" s="99" t="s">
        <v>186</v>
      </c>
      <c r="G238" s="8">
        <v>2.12</v>
      </c>
      <c r="H238" s="76" t="s">
        <v>68</v>
      </c>
      <c r="I238" s="7" t="str">
        <f t="shared" si="35"/>
        <v>Variable</v>
      </c>
      <c r="J238" s="8">
        <f t="shared" si="34"/>
        <v>276.38999999999976</v>
      </c>
      <c r="K238" s="46"/>
    </row>
    <row r="239" spans="1:11" x14ac:dyDescent="0.65">
      <c r="A239" s="22">
        <f t="shared" si="32"/>
        <v>2021</v>
      </c>
      <c r="B239" s="6">
        <f t="shared" si="33"/>
        <v>5</v>
      </c>
      <c r="C239" s="75">
        <v>44317</v>
      </c>
      <c r="D239" s="75">
        <v>44317</v>
      </c>
      <c r="E239" t="str">
        <f t="shared" si="31"/>
        <v>JIMMY</v>
      </c>
      <c r="F239" s="99" t="s">
        <v>223</v>
      </c>
      <c r="G239" s="8">
        <v>7.54</v>
      </c>
      <c r="H239" s="21" t="s">
        <v>41</v>
      </c>
      <c r="I239" s="7" t="str">
        <f t="shared" si="35"/>
        <v>Variable</v>
      </c>
      <c r="J239" s="8">
        <f t="shared" si="34"/>
        <v>283.92999999999978</v>
      </c>
      <c r="K239" s="46"/>
    </row>
    <row r="240" spans="1:11" x14ac:dyDescent="0.65">
      <c r="A240" s="22">
        <f t="shared" si="32"/>
        <v>2021</v>
      </c>
      <c r="B240" s="6">
        <f t="shared" si="33"/>
        <v>5</v>
      </c>
      <c r="C240" s="75">
        <v>44317</v>
      </c>
      <c r="D240" s="75">
        <v>44317</v>
      </c>
      <c r="E240" t="str">
        <f t="shared" si="31"/>
        <v>NETFL</v>
      </c>
      <c r="F240" s="99" t="s">
        <v>224</v>
      </c>
      <c r="G240" s="8">
        <v>14.83</v>
      </c>
      <c r="H240" s="76" t="s">
        <v>26</v>
      </c>
      <c r="I240" s="7" t="str">
        <f t="shared" si="35"/>
        <v>Fixed</v>
      </c>
      <c r="J240" s="8">
        <f t="shared" si="34"/>
        <v>298.75999999999976</v>
      </c>
      <c r="K240" s="85" t="s">
        <v>7</v>
      </c>
    </row>
    <row r="241" spans="1:11" x14ac:dyDescent="0.65">
      <c r="A241" s="22">
        <f t="shared" si="32"/>
        <v>2021</v>
      </c>
      <c r="B241" s="6">
        <f t="shared" si="33"/>
        <v>5</v>
      </c>
      <c r="C241" s="75">
        <v>44317</v>
      </c>
      <c r="D241" s="75">
        <v>44317</v>
      </c>
      <c r="E241" t="str">
        <f t="shared" si="31"/>
        <v>SPOTI</v>
      </c>
      <c r="F241" s="99" t="s">
        <v>225</v>
      </c>
      <c r="G241" s="8">
        <v>9.99</v>
      </c>
      <c r="H241" s="76" t="s">
        <v>26</v>
      </c>
      <c r="I241" s="7" t="str">
        <f t="shared" si="35"/>
        <v>Fixed</v>
      </c>
      <c r="J241" s="8">
        <f t="shared" si="34"/>
        <v>308.74999999999977</v>
      </c>
      <c r="K241" s="85" t="s">
        <v>6</v>
      </c>
    </row>
    <row r="242" spans="1:11" x14ac:dyDescent="0.65">
      <c r="A242" s="22">
        <f t="shared" si="32"/>
        <v>2021</v>
      </c>
      <c r="B242" s="6">
        <f t="shared" si="33"/>
        <v>5</v>
      </c>
      <c r="C242" s="75">
        <v>44317</v>
      </c>
      <c r="D242" s="75">
        <v>44317</v>
      </c>
      <c r="E242" t="str">
        <f t="shared" si="31"/>
        <v>SQ *N</v>
      </c>
      <c r="F242" s="99" t="s">
        <v>226</v>
      </c>
      <c r="G242" s="8">
        <v>18.399999999999999</v>
      </c>
      <c r="H242" s="21" t="s">
        <v>41</v>
      </c>
      <c r="I242" s="7" t="str">
        <f t="shared" si="35"/>
        <v>Variable</v>
      </c>
      <c r="J242" s="8">
        <f t="shared" si="34"/>
        <v>327.14999999999975</v>
      </c>
      <c r="K242" s="46"/>
    </row>
    <row r="243" spans="1:11" x14ac:dyDescent="0.65">
      <c r="A243" s="22">
        <f t="shared" si="32"/>
        <v>2021</v>
      </c>
      <c r="B243" s="6">
        <f t="shared" si="33"/>
        <v>5</v>
      </c>
      <c r="C243" s="75">
        <v>44317</v>
      </c>
      <c r="D243" s="75">
        <v>44317</v>
      </c>
      <c r="E243" t="str">
        <f t="shared" si="31"/>
        <v>TAN A</v>
      </c>
      <c r="F243" s="99" t="s">
        <v>227</v>
      </c>
      <c r="G243" s="8">
        <v>69.52</v>
      </c>
      <c r="H243" s="21" t="s">
        <v>90</v>
      </c>
      <c r="I243" s="7" t="str">
        <f t="shared" si="35"/>
        <v>Variable</v>
      </c>
      <c r="J243" s="8">
        <f t="shared" si="34"/>
        <v>396.66999999999973</v>
      </c>
      <c r="K243" s="46"/>
    </row>
    <row r="244" spans="1:11" x14ac:dyDescent="0.65">
      <c r="A244" s="22">
        <f t="shared" si="32"/>
        <v>2021</v>
      </c>
      <c r="B244" s="6">
        <f t="shared" si="33"/>
        <v>5</v>
      </c>
      <c r="C244" s="75">
        <v>44317</v>
      </c>
      <c r="D244" s="75">
        <v>44317</v>
      </c>
      <c r="E244" t="str">
        <f t="shared" si="31"/>
        <v>TARGE</v>
      </c>
      <c r="F244" s="99" t="s">
        <v>98</v>
      </c>
      <c r="G244" s="8">
        <v>25.42</v>
      </c>
      <c r="H244" s="21" t="s">
        <v>68</v>
      </c>
      <c r="I244" s="7" t="str">
        <f t="shared" si="35"/>
        <v>Variable</v>
      </c>
      <c r="J244" s="8">
        <f t="shared" si="34"/>
        <v>422.08999999999975</v>
      </c>
      <c r="K244" s="46"/>
    </row>
    <row r="245" spans="1:11" x14ac:dyDescent="0.65">
      <c r="A245" s="22">
        <f t="shared" si="32"/>
        <v>2021</v>
      </c>
      <c r="B245" s="6">
        <f t="shared" si="33"/>
        <v>5</v>
      </c>
      <c r="C245" s="75">
        <v>44317</v>
      </c>
      <c r="D245" s="75">
        <v>44317</v>
      </c>
      <c r="E245" t="str">
        <f t="shared" si="31"/>
        <v>TARGE</v>
      </c>
      <c r="F245" s="99" t="s">
        <v>98</v>
      </c>
      <c r="G245" s="8">
        <v>42.38</v>
      </c>
      <c r="H245" s="21" t="s">
        <v>68</v>
      </c>
      <c r="I245" s="7" t="str">
        <f t="shared" si="35"/>
        <v>Variable</v>
      </c>
      <c r="J245" s="8">
        <f t="shared" si="34"/>
        <v>464.46999999999974</v>
      </c>
      <c r="K245" s="46"/>
    </row>
    <row r="246" spans="1:11" x14ac:dyDescent="0.65">
      <c r="A246" s="22">
        <f t="shared" si="32"/>
        <v>2021</v>
      </c>
      <c r="B246" s="6">
        <f t="shared" si="33"/>
        <v>5</v>
      </c>
      <c r="C246" s="75">
        <v>44317</v>
      </c>
      <c r="D246" s="75">
        <v>44319</v>
      </c>
      <c r="E246" t="str">
        <f t="shared" si="31"/>
        <v xml:space="preserve">ALDI </v>
      </c>
      <c r="F246" s="99" t="s">
        <v>228</v>
      </c>
      <c r="G246" s="8">
        <v>49.53</v>
      </c>
      <c r="H246" s="21" t="s">
        <v>90</v>
      </c>
      <c r="I246" s="7" t="str">
        <f t="shared" si="35"/>
        <v>Variable</v>
      </c>
      <c r="J246" s="8">
        <f t="shared" si="34"/>
        <v>513.99999999999977</v>
      </c>
      <c r="K246" s="46"/>
    </row>
    <row r="247" spans="1:11" x14ac:dyDescent="0.65">
      <c r="A247" s="22">
        <f t="shared" si="32"/>
        <v>2021</v>
      </c>
      <c r="B247" s="6">
        <f t="shared" si="33"/>
        <v>5</v>
      </c>
      <c r="C247" s="75">
        <v>44319</v>
      </c>
      <c r="D247" s="75">
        <v>44319</v>
      </c>
      <c r="E247" t="str">
        <f t="shared" si="31"/>
        <v>PAYPA</v>
      </c>
      <c r="F247" s="99" t="s">
        <v>181</v>
      </c>
      <c r="G247" s="8">
        <v>5.99</v>
      </c>
      <c r="H247" s="85" t="s">
        <v>26</v>
      </c>
      <c r="I247" s="7" t="str">
        <f t="shared" si="35"/>
        <v>Fixed</v>
      </c>
      <c r="J247" s="8">
        <f t="shared" si="34"/>
        <v>519.98999999999978</v>
      </c>
      <c r="K247" s="85" t="s">
        <v>299</v>
      </c>
    </row>
    <row r="248" spans="1:11" x14ac:dyDescent="0.65">
      <c r="A248" s="22">
        <f t="shared" si="32"/>
        <v>2021</v>
      </c>
      <c r="B248" s="6">
        <f t="shared" si="33"/>
        <v>5</v>
      </c>
      <c r="C248" s="75">
        <v>44318</v>
      </c>
      <c r="D248" s="75">
        <v>44319</v>
      </c>
      <c r="E248" t="str">
        <f t="shared" si="31"/>
        <v>FANDA</v>
      </c>
      <c r="F248" s="99" t="s">
        <v>230</v>
      </c>
      <c r="G248" s="8">
        <v>18.96</v>
      </c>
      <c r="H248" s="21" t="s">
        <v>89</v>
      </c>
      <c r="I248" s="7" t="str">
        <f t="shared" si="35"/>
        <v>Variable</v>
      </c>
      <c r="J248" s="8">
        <f t="shared" si="34"/>
        <v>538.94999999999982</v>
      </c>
      <c r="K248" s="46"/>
    </row>
    <row r="249" spans="1:11" x14ac:dyDescent="0.65">
      <c r="A249" s="22">
        <f t="shared" si="32"/>
        <v>2021</v>
      </c>
      <c r="B249" s="6">
        <f t="shared" si="33"/>
        <v>5</v>
      </c>
      <c r="C249" s="75">
        <v>44318</v>
      </c>
      <c r="D249" s="75">
        <v>44319</v>
      </c>
      <c r="E249" t="str">
        <f t="shared" si="31"/>
        <v>FANDA</v>
      </c>
      <c r="F249" s="99" t="s">
        <v>230</v>
      </c>
      <c r="G249" s="8">
        <v>38.74</v>
      </c>
      <c r="H249" s="21" t="s">
        <v>89</v>
      </c>
      <c r="I249" s="7" t="str">
        <f t="shared" si="35"/>
        <v>Variable</v>
      </c>
      <c r="J249" s="8">
        <f t="shared" si="34"/>
        <v>577.68999999999983</v>
      </c>
      <c r="K249" s="46"/>
    </row>
    <row r="250" spans="1:11" x14ac:dyDescent="0.65">
      <c r="A250" s="22">
        <f t="shared" si="32"/>
        <v>2021</v>
      </c>
      <c r="B250" s="6">
        <f t="shared" si="33"/>
        <v>5</v>
      </c>
      <c r="C250" s="75">
        <v>44318</v>
      </c>
      <c r="D250" s="75">
        <v>44319</v>
      </c>
      <c r="E250" t="str">
        <f t="shared" si="31"/>
        <v>FANDA</v>
      </c>
      <c r="F250" s="99" t="s">
        <v>231</v>
      </c>
      <c r="G250" s="8">
        <v>-38.74</v>
      </c>
      <c r="H250" s="21" t="s">
        <v>22</v>
      </c>
      <c r="I250" s="7" t="str">
        <f t="shared" si="35"/>
        <v>Payment</v>
      </c>
      <c r="J250" s="8">
        <f t="shared" si="34"/>
        <v>538.94999999999982</v>
      </c>
      <c r="K250" s="85" t="s">
        <v>281</v>
      </c>
    </row>
    <row r="251" spans="1:11" x14ac:dyDescent="0.65">
      <c r="A251" s="22">
        <f t="shared" si="32"/>
        <v>2021</v>
      </c>
      <c r="B251" s="6">
        <f t="shared" si="33"/>
        <v>5</v>
      </c>
      <c r="C251" s="75">
        <v>44318</v>
      </c>
      <c r="D251" s="75">
        <v>44319</v>
      </c>
      <c r="E251" t="str">
        <f t="shared" si="31"/>
        <v>PAYPA</v>
      </c>
      <c r="F251" s="99" t="s">
        <v>104</v>
      </c>
      <c r="G251" s="8">
        <v>1.99</v>
      </c>
      <c r="H251" s="76" t="s">
        <v>26</v>
      </c>
      <c r="I251" s="7" t="str">
        <f t="shared" si="35"/>
        <v>Fixed</v>
      </c>
      <c r="J251" s="8">
        <f t="shared" si="34"/>
        <v>540.93999999999983</v>
      </c>
      <c r="K251" s="85" t="s">
        <v>94</v>
      </c>
    </row>
    <row r="252" spans="1:11" x14ac:dyDescent="0.65">
      <c r="A252" s="22">
        <f t="shared" si="32"/>
        <v>2021</v>
      </c>
      <c r="B252" s="6">
        <f t="shared" si="33"/>
        <v>5</v>
      </c>
      <c r="C252" s="75">
        <v>44319</v>
      </c>
      <c r="D252" s="75">
        <v>44319</v>
      </c>
      <c r="E252" t="str">
        <f t="shared" si="31"/>
        <v xml:space="preserve">4510 </v>
      </c>
      <c r="F252" s="99" t="s">
        <v>232</v>
      </c>
      <c r="G252" s="8">
        <v>30.73</v>
      </c>
      <c r="H252" s="21" t="s">
        <v>41</v>
      </c>
      <c r="I252" s="7" t="str">
        <f t="shared" si="35"/>
        <v>Variable</v>
      </c>
      <c r="J252" s="8">
        <f t="shared" si="34"/>
        <v>571.66999999999985</v>
      </c>
      <c r="K252" s="85" t="s">
        <v>335</v>
      </c>
    </row>
    <row r="253" spans="1:11" x14ac:dyDescent="0.65">
      <c r="A253" s="22">
        <f t="shared" si="32"/>
        <v>2021</v>
      </c>
      <c r="B253" s="6">
        <f t="shared" si="33"/>
        <v>5</v>
      </c>
      <c r="C253" s="75">
        <v>44319</v>
      </c>
      <c r="D253" s="75">
        <v>44319</v>
      </c>
      <c r="E253" t="str">
        <f t="shared" si="31"/>
        <v>COR M</v>
      </c>
      <c r="F253" s="99" t="s">
        <v>191</v>
      </c>
      <c r="G253" s="8">
        <v>1.5</v>
      </c>
      <c r="H253" s="21" t="s">
        <v>52</v>
      </c>
      <c r="I253" s="7" t="str">
        <f t="shared" si="35"/>
        <v>Variable</v>
      </c>
      <c r="J253" s="8">
        <f t="shared" si="34"/>
        <v>573.16999999999985</v>
      </c>
      <c r="K253" s="46"/>
    </row>
    <row r="254" spans="1:11" x14ac:dyDescent="0.65">
      <c r="A254" s="22">
        <f t="shared" si="32"/>
        <v>2021</v>
      </c>
      <c r="B254" s="6">
        <f t="shared" si="33"/>
        <v>5</v>
      </c>
      <c r="C254" s="75">
        <v>44319</v>
      </c>
      <c r="D254" s="75">
        <v>44319</v>
      </c>
      <c r="E254" t="str">
        <f t="shared" si="31"/>
        <v>EXXON</v>
      </c>
      <c r="F254" s="99" t="s">
        <v>60</v>
      </c>
      <c r="G254" s="8">
        <v>27.57</v>
      </c>
      <c r="H254" s="21" t="s">
        <v>24</v>
      </c>
      <c r="I254" s="7" t="str">
        <f t="shared" si="35"/>
        <v>Variable</v>
      </c>
      <c r="J254" s="8">
        <f t="shared" si="34"/>
        <v>600.7399999999999</v>
      </c>
      <c r="K254" s="46"/>
    </row>
    <row r="255" spans="1:11" x14ac:dyDescent="0.65">
      <c r="A255" s="22">
        <f t="shared" si="32"/>
        <v>2021</v>
      </c>
      <c r="B255" s="6">
        <f t="shared" si="33"/>
        <v>5</v>
      </c>
      <c r="C255" s="75">
        <v>44319</v>
      </c>
      <c r="D255" s="75">
        <v>44319</v>
      </c>
      <c r="E255" t="str">
        <f t="shared" si="31"/>
        <v>PUBLI</v>
      </c>
      <c r="F255" s="99" t="s">
        <v>233</v>
      </c>
      <c r="G255" s="8">
        <v>54.6</v>
      </c>
      <c r="H255" s="76" t="s">
        <v>26</v>
      </c>
      <c r="I255" s="7" t="str">
        <f t="shared" si="35"/>
        <v>Fixed</v>
      </c>
      <c r="J255" s="8">
        <f t="shared" si="34"/>
        <v>655.33999999999992</v>
      </c>
      <c r="K255" s="85" t="s">
        <v>301</v>
      </c>
    </row>
    <row r="256" spans="1:11" x14ac:dyDescent="0.65">
      <c r="A256" s="22">
        <f t="shared" si="32"/>
        <v>2021</v>
      </c>
      <c r="B256" s="6">
        <f t="shared" si="33"/>
        <v>5</v>
      </c>
      <c r="C256" s="75">
        <v>44317</v>
      </c>
      <c r="D256" s="75">
        <v>44319</v>
      </c>
      <c r="E256" t="str">
        <f t="shared" si="31"/>
        <v>UST*U</v>
      </c>
      <c r="F256" s="99" t="s">
        <v>229</v>
      </c>
      <c r="G256" s="8">
        <v>44</v>
      </c>
      <c r="H256" s="85" t="s">
        <v>26</v>
      </c>
      <c r="I256" s="7" t="str">
        <f t="shared" si="35"/>
        <v>Fixed</v>
      </c>
      <c r="J256" s="8">
        <f t="shared" si="34"/>
        <v>699.33999999999992</v>
      </c>
      <c r="K256" s="85" t="s">
        <v>282</v>
      </c>
    </row>
    <row r="257" spans="1:11" x14ac:dyDescent="0.65">
      <c r="A257" s="22">
        <f t="shared" si="32"/>
        <v>2021</v>
      </c>
      <c r="B257" s="6">
        <f t="shared" si="33"/>
        <v>5</v>
      </c>
      <c r="C257" s="75">
        <v>44319</v>
      </c>
      <c r="D257" s="75">
        <v>44319</v>
      </c>
      <c r="E257" t="str">
        <f t="shared" si="31"/>
        <v>WHOLE</v>
      </c>
      <c r="F257" s="99" t="s">
        <v>85</v>
      </c>
      <c r="G257" s="8">
        <v>73.37</v>
      </c>
      <c r="H257" s="21" t="s">
        <v>90</v>
      </c>
      <c r="I257" s="7" t="str">
        <f t="shared" si="35"/>
        <v>Variable</v>
      </c>
      <c r="J257" s="8">
        <f t="shared" si="34"/>
        <v>772.70999999999992</v>
      </c>
      <c r="K257" s="46"/>
    </row>
    <row r="258" spans="1:11" x14ac:dyDescent="0.65">
      <c r="A258" s="22">
        <f t="shared" si="32"/>
        <v>2021</v>
      </c>
      <c r="B258" s="6">
        <f t="shared" si="33"/>
        <v>5</v>
      </c>
      <c r="C258" s="75">
        <v>44320</v>
      </c>
      <c r="D258" s="75">
        <v>44320</v>
      </c>
      <c r="E258" t="str">
        <f t="shared" ref="E258:E321" si="36">LEFT(F258,5)</f>
        <v>STATE</v>
      </c>
      <c r="F258" s="99" t="s">
        <v>32</v>
      </c>
      <c r="G258" s="8">
        <v>91.78</v>
      </c>
      <c r="H258" s="76" t="s">
        <v>26</v>
      </c>
      <c r="I258" s="7" t="str">
        <f t="shared" si="35"/>
        <v>Fixed</v>
      </c>
      <c r="J258" s="8">
        <f t="shared" si="34"/>
        <v>864.4899999999999</v>
      </c>
      <c r="K258" s="85" t="s">
        <v>8</v>
      </c>
    </row>
    <row r="259" spans="1:11" x14ac:dyDescent="0.65">
      <c r="A259" s="22">
        <f t="shared" ref="A259:A322" si="37">YEAR(C259)</f>
        <v>2021</v>
      </c>
      <c r="B259" s="6">
        <f t="shared" ref="B259:B322" si="38">MONTH(C259)</f>
        <v>5</v>
      </c>
      <c r="C259" s="75">
        <v>44321</v>
      </c>
      <c r="D259" s="75">
        <v>44321</v>
      </c>
      <c r="E259" t="str">
        <f t="shared" si="36"/>
        <v>INTER</v>
      </c>
      <c r="F259" s="99" t="s">
        <v>21</v>
      </c>
      <c r="G259" s="8">
        <v>-1404.1</v>
      </c>
      <c r="H259" s="21" t="s">
        <v>22</v>
      </c>
      <c r="I259" s="7" t="str">
        <f t="shared" si="35"/>
        <v>Payment</v>
      </c>
      <c r="J259" s="8">
        <f t="shared" si="34"/>
        <v>-539.61</v>
      </c>
      <c r="K259" s="46"/>
    </row>
    <row r="260" spans="1:11" x14ac:dyDescent="0.65">
      <c r="A260" s="22">
        <f t="shared" si="37"/>
        <v>2021</v>
      </c>
      <c r="B260" s="6">
        <f t="shared" si="38"/>
        <v>5</v>
      </c>
      <c r="C260" s="75">
        <v>44323</v>
      </c>
      <c r="D260" s="75">
        <v>44323</v>
      </c>
      <c r="E260" t="str">
        <f t="shared" si="36"/>
        <v xml:space="preserve">ALDI </v>
      </c>
      <c r="F260" s="99" t="s">
        <v>234</v>
      </c>
      <c r="G260" s="8">
        <v>10.48</v>
      </c>
      <c r="H260" s="21" t="s">
        <v>90</v>
      </c>
      <c r="I260" s="7" t="str">
        <f t="shared" si="35"/>
        <v>Variable</v>
      </c>
      <c r="J260" s="8">
        <f t="shared" ref="J260:J323" si="39">J259+G260</f>
        <v>-529.13</v>
      </c>
      <c r="K260" s="46"/>
    </row>
    <row r="261" spans="1:11" x14ac:dyDescent="0.65">
      <c r="A261" s="22">
        <f t="shared" si="37"/>
        <v>2021</v>
      </c>
      <c r="B261" s="6">
        <f t="shared" si="38"/>
        <v>5</v>
      </c>
      <c r="C261" s="75">
        <v>44323</v>
      </c>
      <c r="D261" s="75">
        <v>44323</v>
      </c>
      <c r="E261" t="str">
        <f t="shared" si="36"/>
        <v>AMERI</v>
      </c>
      <c r="F261" s="99" t="s">
        <v>184</v>
      </c>
      <c r="G261" s="8">
        <v>94.95</v>
      </c>
      <c r="H261" s="76" t="s">
        <v>26</v>
      </c>
      <c r="I261" s="7" t="str">
        <f t="shared" si="35"/>
        <v>Fixed</v>
      </c>
      <c r="J261" s="8">
        <f t="shared" si="39"/>
        <v>-434.18</v>
      </c>
      <c r="K261" s="85" t="s">
        <v>324</v>
      </c>
    </row>
    <row r="262" spans="1:11" x14ac:dyDescent="0.65">
      <c r="A262" s="22">
        <f t="shared" si="37"/>
        <v>2021</v>
      </c>
      <c r="B262" s="6">
        <f t="shared" si="38"/>
        <v>5</v>
      </c>
      <c r="C262" s="75">
        <v>44323</v>
      </c>
      <c r="D262" s="75">
        <v>44323</v>
      </c>
      <c r="E262" t="str">
        <f t="shared" si="36"/>
        <v>BANNE</v>
      </c>
      <c r="F262" s="99" t="s">
        <v>235</v>
      </c>
      <c r="G262" s="8">
        <v>98.48</v>
      </c>
      <c r="H262" s="21" t="s">
        <v>68</v>
      </c>
      <c r="I262" s="7" t="str">
        <f t="shared" si="35"/>
        <v>Variable</v>
      </c>
      <c r="J262" s="8">
        <f t="shared" si="39"/>
        <v>-335.7</v>
      </c>
      <c r="K262" s="76" t="s">
        <v>247</v>
      </c>
    </row>
    <row r="263" spans="1:11" x14ac:dyDescent="0.65">
      <c r="A263" s="22">
        <f t="shared" si="37"/>
        <v>2021</v>
      </c>
      <c r="B263" s="6">
        <f t="shared" si="38"/>
        <v>5</v>
      </c>
      <c r="C263" s="75">
        <v>44325</v>
      </c>
      <c r="D263" s="75">
        <v>44325</v>
      </c>
      <c r="E263" t="str">
        <f t="shared" si="36"/>
        <v>BARNE</v>
      </c>
      <c r="F263" s="99" t="s">
        <v>236</v>
      </c>
      <c r="G263" s="8">
        <v>110.57</v>
      </c>
      <c r="H263" s="21" t="s">
        <v>68</v>
      </c>
      <c r="I263" s="7" t="str">
        <f t="shared" si="35"/>
        <v>Variable</v>
      </c>
      <c r="J263" s="8">
        <f t="shared" si="39"/>
        <v>-225.13</v>
      </c>
      <c r="K263" s="76" t="s">
        <v>247</v>
      </c>
    </row>
    <row r="264" spans="1:11" x14ac:dyDescent="0.65">
      <c r="A264" s="22">
        <f t="shared" si="37"/>
        <v>2021</v>
      </c>
      <c r="B264" s="6">
        <f t="shared" si="38"/>
        <v>5</v>
      </c>
      <c r="C264" s="75">
        <v>44326</v>
      </c>
      <c r="D264" s="75">
        <v>44326</v>
      </c>
      <c r="E264" t="str">
        <f t="shared" si="36"/>
        <v>APPLE</v>
      </c>
      <c r="F264" s="99" t="s">
        <v>237</v>
      </c>
      <c r="G264" s="8">
        <v>15.89</v>
      </c>
      <c r="H264" s="76" t="s">
        <v>26</v>
      </c>
      <c r="I264" s="7" t="str">
        <f t="shared" si="35"/>
        <v>Fixed</v>
      </c>
      <c r="J264" s="8">
        <f t="shared" si="39"/>
        <v>-209.24</v>
      </c>
      <c r="K264" s="85" t="s">
        <v>294</v>
      </c>
    </row>
    <row r="265" spans="1:11" x14ac:dyDescent="0.65">
      <c r="A265" s="22">
        <f t="shared" si="37"/>
        <v>2021</v>
      </c>
      <c r="B265" s="6">
        <f t="shared" si="38"/>
        <v>5</v>
      </c>
      <c r="C265" s="75">
        <v>44326</v>
      </c>
      <c r="D265" s="75">
        <v>44326</v>
      </c>
      <c r="E265" t="str">
        <f t="shared" si="36"/>
        <v>SQUAR</v>
      </c>
      <c r="F265" s="99" t="s">
        <v>238</v>
      </c>
      <c r="G265" s="8">
        <v>77.94</v>
      </c>
      <c r="H265" s="76" t="s">
        <v>26</v>
      </c>
      <c r="I265" s="7" t="str">
        <f t="shared" si="35"/>
        <v>Fixed</v>
      </c>
      <c r="J265" s="8">
        <f t="shared" si="39"/>
        <v>-131.30000000000001</v>
      </c>
      <c r="K265" s="85" t="s">
        <v>283</v>
      </c>
    </row>
    <row r="266" spans="1:11" x14ac:dyDescent="0.65">
      <c r="A266" s="22">
        <f t="shared" si="37"/>
        <v>2021</v>
      </c>
      <c r="B266" s="6">
        <f t="shared" si="38"/>
        <v>5</v>
      </c>
      <c r="C266" s="75">
        <v>44327</v>
      </c>
      <c r="D266" s="75">
        <v>44327</v>
      </c>
      <c r="E266" t="str">
        <f t="shared" si="36"/>
        <v xml:space="preserve">AMER </v>
      </c>
      <c r="F266" s="99" t="s">
        <v>186</v>
      </c>
      <c r="G266" s="8">
        <v>1.52</v>
      </c>
      <c r="H266" s="76" t="s">
        <v>68</v>
      </c>
      <c r="I266" s="7" t="str">
        <f t="shared" si="35"/>
        <v>Variable</v>
      </c>
      <c r="J266" s="8">
        <f t="shared" si="39"/>
        <v>-129.78</v>
      </c>
      <c r="K266" s="46"/>
    </row>
    <row r="267" spans="1:11" x14ac:dyDescent="0.65">
      <c r="A267" s="22">
        <f t="shared" si="37"/>
        <v>2021</v>
      </c>
      <c r="B267" s="6">
        <f t="shared" si="38"/>
        <v>5</v>
      </c>
      <c r="C267" s="75">
        <v>44327</v>
      </c>
      <c r="D267" s="75">
        <v>44327</v>
      </c>
      <c r="E267" t="str">
        <f t="shared" si="36"/>
        <v xml:space="preserve">TACO </v>
      </c>
      <c r="F267" s="99" t="s">
        <v>239</v>
      </c>
      <c r="G267" s="8">
        <v>14.39</v>
      </c>
      <c r="H267" s="21" t="s">
        <v>41</v>
      </c>
      <c r="I267" s="7" t="str">
        <f t="shared" si="35"/>
        <v>Variable</v>
      </c>
      <c r="J267" s="8">
        <f t="shared" si="39"/>
        <v>-115.39</v>
      </c>
      <c r="K267" s="46"/>
    </row>
    <row r="268" spans="1:11" x14ac:dyDescent="0.65">
      <c r="A268" s="22">
        <f t="shared" si="37"/>
        <v>2021</v>
      </c>
      <c r="B268" s="6">
        <f t="shared" si="38"/>
        <v>5</v>
      </c>
      <c r="C268" s="75">
        <v>44327</v>
      </c>
      <c r="D268" s="75">
        <v>44327</v>
      </c>
      <c r="E268" t="str">
        <f t="shared" si="36"/>
        <v xml:space="preserve">TAKE </v>
      </c>
      <c r="F268" s="99" t="s">
        <v>129</v>
      </c>
      <c r="G268" s="8">
        <v>86.17</v>
      </c>
      <c r="H268" s="21" t="s">
        <v>130</v>
      </c>
      <c r="I268" s="7" t="str">
        <f t="shared" si="35"/>
        <v>Fixed</v>
      </c>
      <c r="J268" s="8">
        <f t="shared" si="39"/>
        <v>-29.22</v>
      </c>
      <c r="K268" s="76" t="s">
        <v>136</v>
      </c>
    </row>
    <row r="269" spans="1:11" x14ac:dyDescent="0.65">
      <c r="A269" s="22">
        <f t="shared" si="37"/>
        <v>2021</v>
      </c>
      <c r="B269" s="6">
        <f t="shared" si="38"/>
        <v>5</v>
      </c>
      <c r="C269" s="75">
        <v>44327</v>
      </c>
      <c r="D269" s="75">
        <v>44327</v>
      </c>
      <c r="E269" t="str">
        <f t="shared" si="36"/>
        <v>TARGE</v>
      </c>
      <c r="F269" s="99" t="s">
        <v>98</v>
      </c>
      <c r="G269" s="8">
        <v>13.86</v>
      </c>
      <c r="H269" s="21" t="s">
        <v>90</v>
      </c>
      <c r="I269" s="7" t="str">
        <f t="shared" si="35"/>
        <v>Variable</v>
      </c>
      <c r="J269" s="8">
        <f t="shared" si="39"/>
        <v>-15.36</v>
      </c>
      <c r="K269" s="46"/>
    </row>
    <row r="270" spans="1:11" x14ac:dyDescent="0.65">
      <c r="A270" s="22">
        <f t="shared" si="37"/>
        <v>2021</v>
      </c>
      <c r="B270" s="6">
        <f t="shared" si="38"/>
        <v>5</v>
      </c>
      <c r="C270" s="75">
        <v>44328</v>
      </c>
      <c r="D270" s="75">
        <v>44328</v>
      </c>
      <c r="E270" t="str">
        <f t="shared" si="36"/>
        <v xml:space="preserve">AMER </v>
      </c>
      <c r="F270" s="99" t="s">
        <v>186</v>
      </c>
      <c r="G270" s="8">
        <v>2</v>
      </c>
      <c r="H270" s="76" t="s">
        <v>68</v>
      </c>
      <c r="I270" s="7" t="str">
        <f t="shared" si="35"/>
        <v>Variable</v>
      </c>
      <c r="J270" s="8">
        <f t="shared" si="39"/>
        <v>-13.36</v>
      </c>
      <c r="K270" s="46"/>
    </row>
    <row r="271" spans="1:11" x14ac:dyDescent="0.65">
      <c r="A271" s="22">
        <f t="shared" si="37"/>
        <v>2021</v>
      </c>
      <c r="B271" s="6">
        <f t="shared" si="38"/>
        <v>5</v>
      </c>
      <c r="C271" s="75">
        <v>44328</v>
      </c>
      <c r="D271" s="75">
        <v>44328</v>
      </c>
      <c r="E271" t="str">
        <f t="shared" si="36"/>
        <v>PAYPA</v>
      </c>
      <c r="F271" s="99" t="s">
        <v>59</v>
      </c>
      <c r="G271" s="8">
        <v>1.99</v>
      </c>
      <c r="H271" s="76" t="s">
        <v>26</v>
      </c>
      <c r="I271" s="7" t="str">
        <f t="shared" si="35"/>
        <v>Fixed</v>
      </c>
      <c r="J271" s="8">
        <f t="shared" si="39"/>
        <v>-11.37</v>
      </c>
      <c r="K271" s="85" t="s">
        <v>284</v>
      </c>
    </row>
    <row r="272" spans="1:11" x14ac:dyDescent="0.65">
      <c r="A272" s="22">
        <f t="shared" si="37"/>
        <v>2021</v>
      </c>
      <c r="B272" s="6">
        <f t="shared" si="38"/>
        <v>5</v>
      </c>
      <c r="C272" s="75">
        <v>44329</v>
      </c>
      <c r="D272" s="75">
        <v>44329</v>
      </c>
      <c r="E272" t="str">
        <f t="shared" si="36"/>
        <v>TARGE</v>
      </c>
      <c r="F272" s="99" t="s">
        <v>98</v>
      </c>
      <c r="G272" s="8">
        <v>30.28</v>
      </c>
      <c r="H272" s="21" t="s">
        <v>68</v>
      </c>
      <c r="I272" s="7" t="str">
        <f t="shared" si="35"/>
        <v>Variable</v>
      </c>
      <c r="J272" s="8">
        <f t="shared" si="39"/>
        <v>18.910000000000004</v>
      </c>
      <c r="K272" s="46"/>
    </row>
    <row r="273" spans="1:11" x14ac:dyDescent="0.65">
      <c r="A273" s="22">
        <f t="shared" si="37"/>
        <v>2021</v>
      </c>
      <c r="B273" s="6">
        <f t="shared" si="38"/>
        <v>5</v>
      </c>
      <c r="C273" s="75">
        <v>44330</v>
      </c>
      <c r="D273" s="75">
        <v>44330</v>
      </c>
      <c r="E273" t="str">
        <f t="shared" si="36"/>
        <v>DRIVE</v>
      </c>
      <c r="F273" s="99" t="s">
        <v>240</v>
      </c>
      <c r="G273" s="8">
        <v>90</v>
      </c>
      <c r="H273" s="21" t="s">
        <v>89</v>
      </c>
      <c r="I273" s="7" t="str">
        <f t="shared" si="35"/>
        <v>Variable</v>
      </c>
      <c r="J273" s="8">
        <f t="shared" si="39"/>
        <v>108.91</v>
      </c>
      <c r="K273" s="76" t="s">
        <v>248</v>
      </c>
    </row>
    <row r="274" spans="1:11" x14ac:dyDescent="0.65">
      <c r="A274" s="22">
        <f t="shared" si="37"/>
        <v>2021</v>
      </c>
      <c r="B274" s="6">
        <f t="shared" si="38"/>
        <v>5</v>
      </c>
      <c r="C274" s="75">
        <v>44330</v>
      </c>
      <c r="D274" s="75">
        <v>44330</v>
      </c>
      <c r="E274" t="str">
        <f t="shared" si="36"/>
        <v>JASON</v>
      </c>
      <c r="F274" s="99" t="s">
        <v>241</v>
      </c>
      <c r="G274" s="8">
        <v>19.73</v>
      </c>
      <c r="H274" s="21" t="s">
        <v>41</v>
      </c>
      <c r="I274" s="7" t="str">
        <f t="shared" si="35"/>
        <v>Variable</v>
      </c>
      <c r="J274" s="8">
        <f t="shared" si="39"/>
        <v>128.63999999999999</v>
      </c>
      <c r="K274" s="46"/>
    </row>
    <row r="275" spans="1:11" x14ac:dyDescent="0.65">
      <c r="A275" s="22">
        <f t="shared" si="37"/>
        <v>2021</v>
      </c>
      <c r="B275" s="6">
        <f t="shared" si="38"/>
        <v>5</v>
      </c>
      <c r="C275" s="75">
        <v>44330</v>
      </c>
      <c r="D275" s="75">
        <v>44330</v>
      </c>
      <c r="E275" t="str">
        <f t="shared" si="36"/>
        <v>OFFIC</v>
      </c>
      <c r="F275" s="99" t="s">
        <v>242</v>
      </c>
      <c r="G275" s="8">
        <v>7.61</v>
      </c>
      <c r="H275" s="21" t="s">
        <v>68</v>
      </c>
      <c r="I275" s="7" t="str">
        <f t="shared" si="35"/>
        <v>Variable</v>
      </c>
      <c r="J275" s="8">
        <f t="shared" si="39"/>
        <v>136.25</v>
      </c>
      <c r="K275" s="76" t="s">
        <v>249</v>
      </c>
    </row>
    <row r="276" spans="1:11" x14ac:dyDescent="0.65">
      <c r="A276" s="22">
        <f t="shared" si="37"/>
        <v>2021</v>
      </c>
      <c r="B276" s="6">
        <f t="shared" si="38"/>
        <v>5</v>
      </c>
      <c r="C276" s="75">
        <v>44330</v>
      </c>
      <c r="D276" s="75">
        <v>44330</v>
      </c>
      <c r="E276" t="str">
        <f t="shared" si="36"/>
        <v>TOMMY</v>
      </c>
      <c r="F276" s="99" t="s">
        <v>243</v>
      </c>
      <c r="G276" s="8">
        <v>16</v>
      </c>
      <c r="H276" s="21" t="s">
        <v>130</v>
      </c>
      <c r="I276" s="7" t="str">
        <f t="shared" si="35"/>
        <v>Fixed</v>
      </c>
      <c r="J276" s="8">
        <f t="shared" si="39"/>
        <v>152.25</v>
      </c>
      <c r="K276" s="85" t="s">
        <v>292</v>
      </c>
    </row>
    <row r="277" spans="1:11" x14ac:dyDescent="0.65">
      <c r="A277" s="22">
        <f t="shared" si="37"/>
        <v>2021</v>
      </c>
      <c r="B277" s="6">
        <f t="shared" si="38"/>
        <v>5</v>
      </c>
      <c r="C277" s="75">
        <v>44331</v>
      </c>
      <c r="D277" s="75">
        <v>44331</v>
      </c>
      <c r="E277" t="str">
        <f t="shared" si="36"/>
        <v>SQ *H</v>
      </c>
      <c r="F277" s="99" t="s">
        <v>244</v>
      </c>
      <c r="G277" s="8">
        <v>12.64</v>
      </c>
      <c r="H277" s="21" t="s">
        <v>68</v>
      </c>
      <c r="I277" s="7" t="str">
        <f t="shared" si="35"/>
        <v>Variable</v>
      </c>
      <c r="J277" s="8">
        <f t="shared" si="39"/>
        <v>164.89</v>
      </c>
      <c r="K277" s="76" t="s">
        <v>250</v>
      </c>
    </row>
    <row r="278" spans="1:11" x14ac:dyDescent="0.65">
      <c r="A278" s="22">
        <f t="shared" si="37"/>
        <v>2021</v>
      </c>
      <c r="B278" s="6">
        <f t="shared" si="38"/>
        <v>5</v>
      </c>
      <c r="C278" s="75">
        <v>44332</v>
      </c>
      <c r="D278" s="75">
        <v>44332</v>
      </c>
      <c r="E278" t="str">
        <f t="shared" si="36"/>
        <v>APPLE</v>
      </c>
      <c r="F278" s="99" t="s">
        <v>245</v>
      </c>
      <c r="G278" s="8">
        <v>31.79</v>
      </c>
      <c r="H278" s="76" t="s">
        <v>26</v>
      </c>
      <c r="I278" s="7" t="str">
        <f t="shared" si="35"/>
        <v>Fixed</v>
      </c>
      <c r="J278" s="8">
        <f t="shared" si="39"/>
        <v>196.67999999999998</v>
      </c>
      <c r="K278" s="85" t="s">
        <v>312</v>
      </c>
    </row>
    <row r="279" spans="1:11" x14ac:dyDescent="0.65">
      <c r="A279" s="22">
        <f t="shared" si="37"/>
        <v>2021</v>
      </c>
      <c r="B279" s="6">
        <f t="shared" si="38"/>
        <v>5</v>
      </c>
      <c r="C279" s="75">
        <v>44332</v>
      </c>
      <c r="D279" s="75">
        <v>44332</v>
      </c>
      <c r="E279" t="str">
        <f t="shared" si="36"/>
        <v>BODOS</v>
      </c>
      <c r="F279" s="99" t="s">
        <v>246</v>
      </c>
      <c r="G279" s="8">
        <v>8.27</v>
      </c>
      <c r="H279" s="21" t="s">
        <v>41</v>
      </c>
      <c r="I279" s="7" t="str">
        <f t="shared" si="35"/>
        <v>Variable</v>
      </c>
      <c r="J279" s="8">
        <f t="shared" si="39"/>
        <v>204.95</v>
      </c>
      <c r="K279" s="46"/>
    </row>
    <row r="280" spans="1:11" x14ac:dyDescent="0.65">
      <c r="A280" s="22">
        <f t="shared" si="37"/>
        <v>2021</v>
      </c>
      <c r="B280" s="6">
        <f t="shared" si="38"/>
        <v>5</v>
      </c>
      <c r="C280" s="75">
        <v>44333</v>
      </c>
      <c r="D280" s="75">
        <v>44333</v>
      </c>
      <c r="E280" t="str">
        <f t="shared" si="36"/>
        <v>LOWE'</v>
      </c>
      <c r="F280" s="99" t="s">
        <v>251</v>
      </c>
      <c r="G280" s="8">
        <v>31.79</v>
      </c>
      <c r="H280" s="21" t="s">
        <v>195</v>
      </c>
      <c r="I280" s="7" t="str">
        <f t="shared" si="35"/>
        <v>Variable</v>
      </c>
      <c r="J280" s="8">
        <f t="shared" si="39"/>
        <v>236.73999999999998</v>
      </c>
      <c r="K280" s="85" t="s">
        <v>285</v>
      </c>
    </row>
    <row r="281" spans="1:11" x14ac:dyDescent="0.65">
      <c r="A281" s="22">
        <f t="shared" si="37"/>
        <v>2021</v>
      </c>
      <c r="B281" s="6">
        <f t="shared" si="38"/>
        <v>5</v>
      </c>
      <c r="C281" s="75">
        <v>44333</v>
      </c>
      <c r="D281" s="75">
        <v>44333</v>
      </c>
      <c r="E281" t="str">
        <f t="shared" si="36"/>
        <v>TARGE</v>
      </c>
      <c r="F281" s="99" t="s">
        <v>98</v>
      </c>
      <c r="G281" s="8">
        <v>22.71</v>
      </c>
      <c r="H281" s="21" t="s">
        <v>68</v>
      </c>
      <c r="I281" s="7" t="str">
        <f t="shared" si="35"/>
        <v>Variable</v>
      </c>
      <c r="J281" s="8">
        <f t="shared" si="39"/>
        <v>259.45</v>
      </c>
      <c r="K281" s="46"/>
    </row>
    <row r="282" spans="1:11" ht="17.25" customHeight="1" x14ac:dyDescent="0.65">
      <c r="A282" s="22">
        <f t="shared" si="37"/>
        <v>2021</v>
      </c>
      <c r="B282" s="6">
        <f t="shared" si="38"/>
        <v>5</v>
      </c>
      <c r="C282" s="75">
        <v>44334</v>
      </c>
      <c r="D282" s="75">
        <v>44334</v>
      </c>
      <c r="E282" t="str">
        <f t="shared" si="36"/>
        <v>T-MOB</v>
      </c>
      <c r="F282" s="99" t="s">
        <v>100</v>
      </c>
      <c r="G282" s="8">
        <v>86.25</v>
      </c>
      <c r="H282" s="21" t="s">
        <v>52</v>
      </c>
      <c r="I282" s="7" t="str">
        <f t="shared" si="35"/>
        <v>Variable</v>
      </c>
      <c r="J282" s="8">
        <f t="shared" si="39"/>
        <v>345.7</v>
      </c>
      <c r="K282" s="46"/>
    </row>
    <row r="283" spans="1:11" x14ac:dyDescent="0.65">
      <c r="A283" s="22">
        <f t="shared" si="37"/>
        <v>2021</v>
      </c>
      <c r="B283" s="6">
        <f t="shared" si="38"/>
        <v>5</v>
      </c>
      <c r="C283" s="75">
        <v>44335</v>
      </c>
      <c r="D283" s="75">
        <v>44335</v>
      </c>
      <c r="E283" t="str">
        <f t="shared" si="36"/>
        <v>ADVAN</v>
      </c>
      <c r="F283" s="99" t="s">
        <v>252</v>
      </c>
      <c r="G283" s="8">
        <v>12.71</v>
      </c>
      <c r="H283" s="21" t="s">
        <v>130</v>
      </c>
      <c r="I283" s="7" t="str">
        <f t="shared" ref="I283:I346" si="40">VLOOKUP(H283,Expense_Lookup,2,0)</f>
        <v>Fixed</v>
      </c>
      <c r="J283" s="8">
        <f t="shared" si="39"/>
        <v>358.40999999999997</v>
      </c>
      <c r="K283" s="46"/>
    </row>
    <row r="284" spans="1:11" x14ac:dyDescent="0.65">
      <c r="A284" s="22">
        <f t="shared" si="37"/>
        <v>2021</v>
      </c>
      <c r="B284" s="6">
        <f t="shared" si="38"/>
        <v>5</v>
      </c>
      <c r="C284" s="75">
        <v>44335</v>
      </c>
      <c r="D284" s="75">
        <v>44335</v>
      </c>
      <c r="E284" t="str">
        <f t="shared" si="36"/>
        <v>JCPEN</v>
      </c>
      <c r="F284" s="99" t="s">
        <v>253</v>
      </c>
      <c r="G284" s="8">
        <v>91.85</v>
      </c>
      <c r="H284" s="21" t="s">
        <v>254</v>
      </c>
      <c r="I284" s="7" t="str">
        <f t="shared" si="40"/>
        <v>Variable</v>
      </c>
      <c r="J284" s="8">
        <f t="shared" si="39"/>
        <v>450.26</v>
      </c>
      <c r="K284" s="85" t="s">
        <v>35</v>
      </c>
    </row>
    <row r="285" spans="1:11" x14ac:dyDescent="0.65">
      <c r="A285" s="22">
        <f t="shared" si="37"/>
        <v>2021</v>
      </c>
      <c r="B285" s="6">
        <f t="shared" si="38"/>
        <v>5</v>
      </c>
      <c r="C285" s="75">
        <v>44335</v>
      </c>
      <c r="D285" s="75">
        <v>44335</v>
      </c>
      <c r="E285" t="str">
        <f t="shared" si="36"/>
        <v>TARGE</v>
      </c>
      <c r="F285" s="99" t="s">
        <v>98</v>
      </c>
      <c r="G285" s="8">
        <v>68.849999999999994</v>
      </c>
      <c r="H285" s="21" t="s">
        <v>68</v>
      </c>
      <c r="I285" s="7" t="str">
        <f t="shared" si="40"/>
        <v>Variable</v>
      </c>
      <c r="J285" s="8">
        <f t="shared" si="39"/>
        <v>519.11</v>
      </c>
      <c r="K285" s="46"/>
    </row>
    <row r="286" spans="1:11" x14ac:dyDescent="0.65">
      <c r="A286" s="22">
        <f t="shared" si="37"/>
        <v>2021</v>
      </c>
      <c r="B286" s="6">
        <f t="shared" si="38"/>
        <v>5</v>
      </c>
      <c r="C286" s="75">
        <v>44335</v>
      </c>
      <c r="D286" s="75">
        <v>44335</v>
      </c>
      <c r="E286" t="str">
        <f t="shared" si="36"/>
        <v>THE H</v>
      </c>
      <c r="F286" s="99" t="s">
        <v>255</v>
      </c>
      <c r="G286" s="8">
        <v>22.58</v>
      </c>
      <c r="H286" s="21" t="s">
        <v>195</v>
      </c>
      <c r="I286" s="7" t="str">
        <f t="shared" si="40"/>
        <v>Variable</v>
      </c>
      <c r="J286" s="8">
        <f t="shared" si="39"/>
        <v>541.69000000000005</v>
      </c>
      <c r="K286" s="46"/>
    </row>
    <row r="287" spans="1:11" x14ac:dyDescent="0.65">
      <c r="A287" s="22">
        <f t="shared" si="37"/>
        <v>2021</v>
      </c>
      <c r="B287" s="6">
        <f t="shared" si="38"/>
        <v>5</v>
      </c>
      <c r="C287" s="75">
        <v>44336</v>
      </c>
      <c r="D287" s="75">
        <v>44336</v>
      </c>
      <c r="E287" t="str">
        <f t="shared" si="36"/>
        <v>EXXON</v>
      </c>
      <c r="F287" s="99" t="s">
        <v>60</v>
      </c>
      <c r="G287" s="8">
        <v>17.87</v>
      </c>
      <c r="H287" s="21" t="s">
        <v>24</v>
      </c>
      <c r="I287" s="7" t="str">
        <f t="shared" si="40"/>
        <v>Variable</v>
      </c>
      <c r="J287" s="8">
        <f t="shared" si="39"/>
        <v>559.56000000000006</v>
      </c>
      <c r="K287" s="46"/>
    </row>
    <row r="288" spans="1:11" x14ac:dyDescent="0.65">
      <c r="A288" s="22">
        <f t="shared" si="37"/>
        <v>2021</v>
      </c>
      <c r="B288" s="6">
        <f t="shared" si="38"/>
        <v>5</v>
      </c>
      <c r="C288" s="75">
        <v>44336</v>
      </c>
      <c r="D288" s="75">
        <v>44336</v>
      </c>
      <c r="E288" t="str">
        <f t="shared" si="36"/>
        <v>GIANT</v>
      </c>
      <c r="F288" s="99" t="s">
        <v>256</v>
      </c>
      <c r="G288" s="8">
        <v>26.97</v>
      </c>
      <c r="H288" s="21" t="s">
        <v>90</v>
      </c>
      <c r="I288" s="7" t="str">
        <f t="shared" si="40"/>
        <v>Variable</v>
      </c>
      <c r="J288" s="8">
        <f t="shared" si="39"/>
        <v>586.53000000000009</v>
      </c>
      <c r="K288" s="46"/>
    </row>
    <row r="289" spans="1:11" x14ac:dyDescent="0.65">
      <c r="A289" s="22">
        <f t="shared" si="37"/>
        <v>2021</v>
      </c>
      <c r="B289" s="6">
        <f t="shared" si="38"/>
        <v>5</v>
      </c>
      <c r="C289" s="75">
        <v>44337</v>
      </c>
      <c r="D289" s="75">
        <v>44337</v>
      </c>
      <c r="E289" t="str">
        <f t="shared" si="36"/>
        <v>JIMMY</v>
      </c>
      <c r="F289" s="99" t="s">
        <v>257</v>
      </c>
      <c r="G289" s="8">
        <v>16</v>
      </c>
      <c r="H289" s="21" t="s">
        <v>41</v>
      </c>
      <c r="I289" s="7" t="str">
        <f t="shared" si="40"/>
        <v>Variable</v>
      </c>
      <c r="J289" s="8">
        <f t="shared" si="39"/>
        <v>602.53000000000009</v>
      </c>
      <c r="K289" s="46"/>
    </row>
    <row r="290" spans="1:11" x14ac:dyDescent="0.65">
      <c r="A290" s="22">
        <f t="shared" si="37"/>
        <v>2021</v>
      </c>
      <c r="B290" s="6">
        <f t="shared" si="38"/>
        <v>5</v>
      </c>
      <c r="C290" s="75">
        <v>44337</v>
      </c>
      <c r="D290" s="75">
        <v>44337</v>
      </c>
      <c r="E290" t="str">
        <f t="shared" si="36"/>
        <v>PP*PP</v>
      </c>
      <c r="F290" s="99" t="s">
        <v>81</v>
      </c>
      <c r="G290" s="8">
        <v>7.99</v>
      </c>
      <c r="H290" s="85" t="s">
        <v>26</v>
      </c>
      <c r="I290" s="7" t="str">
        <f t="shared" si="40"/>
        <v>Fixed</v>
      </c>
      <c r="J290" s="8">
        <f t="shared" si="39"/>
        <v>610.5200000000001</v>
      </c>
      <c r="K290" s="85" t="s">
        <v>9</v>
      </c>
    </row>
    <row r="291" spans="1:11" x14ac:dyDescent="0.65">
      <c r="A291" s="22">
        <f t="shared" si="37"/>
        <v>2021</v>
      </c>
      <c r="B291" s="6">
        <f t="shared" si="38"/>
        <v>5</v>
      </c>
      <c r="C291" s="75">
        <v>44337</v>
      </c>
      <c r="D291" s="75">
        <v>44337</v>
      </c>
      <c r="E291" t="str">
        <f t="shared" si="36"/>
        <v>SUNOC</v>
      </c>
      <c r="F291" s="99" t="s">
        <v>258</v>
      </c>
      <c r="G291" s="8">
        <v>31.25</v>
      </c>
      <c r="H291" s="21" t="s">
        <v>24</v>
      </c>
      <c r="I291" s="7" t="str">
        <f t="shared" si="40"/>
        <v>Variable</v>
      </c>
      <c r="J291" s="8">
        <f t="shared" si="39"/>
        <v>641.7700000000001</v>
      </c>
      <c r="K291" s="46"/>
    </row>
    <row r="292" spans="1:11" x14ac:dyDescent="0.65">
      <c r="A292" s="22">
        <f t="shared" si="37"/>
        <v>2021</v>
      </c>
      <c r="B292" s="6">
        <f t="shared" si="38"/>
        <v>5</v>
      </c>
      <c r="C292" s="75">
        <v>44338</v>
      </c>
      <c r="D292" s="75">
        <v>44338</v>
      </c>
      <c r="E292" t="str">
        <f t="shared" si="36"/>
        <v>GUITA</v>
      </c>
      <c r="F292" s="99" t="s">
        <v>259</v>
      </c>
      <c r="G292" s="8">
        <v>50.7</v>
      </c>
      <c r="H292" s="21" t="s">
        <v>68</v>
      </c>
      <c r="I292" s="7" t="str">
        <f t="shared" si="40"/>
        <v>Variable</v>
      </c>
      <c r="J292" s="8">
        <f t="shared" si="39"/>
        <v>692.47000000000014</v>
      </c>
      <c r="K292" s="85" t="s">
        <v>286</v>
      </c>
    </row>
    <row r="293" spans="1:11" x14ac:dyDescent="0.65">
      <c r="A293" s="22">
        <f t="shared" si="37"/>
        <v>2021</v>
      </c>
      <c r="B293" s="6">
        <f t="shared" si="38"/>
        <v>5</v>
      </c>
      <c r="C293" s="75">
        <v>44338</v>
      </c>
      <c r="D293" s="75">
        <v>44338</v>
      </c>
      <c r="E293" t="str">
        <f t="shared" si="36"/>
        <v>MUSIC</v>
      </c>
      <c r="F293" s="99" t="s">
        <v>260</v>
      </c>
      <c r="G293" s="8">
        <v>37.89</v>
      </c>
      <c r="H293" s="21" t="s">
        <v>68</v>
      </c>
      <c r="I293" s="7" t="str">
        <f t="shared" si="40"/>
        <v>Variable</v>
      </c>
      <c r="J293" s="8">
        <f t="shared" si="39"/>
        <v>730.36000000000013</v>
      </c>
      <c r="K293" s="85" t="s">
        <v>287</v>
      </c>
    </row>
    <row r="294" spans="1:11" x14ac:dyDescent="0.65">
      <c r="A294" s="22">
        <f t="shared" si="37"/>
        <v>2021</v>
      </c>
      <c r="B294" s="6">
        <f t="shared" si="38"/>
        <v>5</v>
      </c>
      <c r="C294" s="75">
        <v>44339</v>
      </c>
      <c r="D294" s="75">
        <v>44339</v>
      </c>
      <c r="E294" t="str">
        <f t="shared" si="36"/>
        <v>EZPAS</v>
      </c>
      <c r="F294" s="99" t="s">
        <v>196</v>
      </c>
      <c r="G294" s="8">
        <v>35</v>
      </c>
      <c r="H294" s="21" t="s">
        <v>89</v>
      </c>
      <c r="I294" s="7" t="str">
        <f t="shared" si="40"/>
        <v>Variable</v>
      </c>
      <c r="J294" s="8">
        <f t="shared" si="39"/>
        <v>765.36000000000013</v>
      </c>
      <c r="K294" s="85" t="s">
        <v>301</v>
      </c>
    </row>
    <row r="295" spans="1:11" x14ac:dyDescent="0.65">
      <c r="A295" s="22">
        <f t="shared" si="37"/>
        <v>2021</v>
      </c>
      <c r="B295" s="6">
        <f t="shared" si="38"/>
        <v>5</v>
      </c>
      <c r="C295" s="75">
        <v>44340</v>
      </c>
      <c r="D295" s="75">
        <v>44340</v>
      </c>
      <c r="E295" t="str">
        <f t="shared" si="36"/>
        <v xml:space="preserve">AMER </v>
      </c>
      <c r="F295" s="99" t="s">
        <v>186</v>
      </c>
      <c r="G295" s="8">
        <v>2</v>
      </c>
      <c r="H295" s="21" t="s">
        <v>89</v>
      </c>
      <c r="I295" s="7" t="str">
        <f t="shared" si="40"/>
        <v>Variable</v>
      </c>
      <c r="J295" s="8">
        <f t="shared" si="39"/>
        <v>767.36000000000013</v>
      </c>
      <c r="K295" s="46"/>
    </row>
    <row r="296" spans="1:11" x14ac:dyDescent="0.65">
      <c r="A296" s="22">
        <f t="shared" si="37"/>
        <v>2021</v>
      </c>
      <c r="B296" s="6">
        <f t="shared" si="38"/>
        <v>5</v>
      </c>
      <c r="C296" s="75">
        <v>44340</v>
      </c>
      <c r="D296" s="75">
        <v>44340</v>
      </c>
      <c r="E296" t="str">
        <f t="shared" si="36"/>
        <v>INTER</v>
      </c>
      <c r="F296" s="99" t="s">
        <v>21</v>
      </c>
      <c r="G296" s="8">
        <v>-1412.32</v>
      </c>
      <c r="H296" s="21" t="s">
        <v>22</v>
      </c>
      <c r="I296" s="7" t="str">
        <f t="shared" si="40"/>
        <v>Payment</v>
      </c>
      <c r="J296" s="8">
        <f t="shared" si="39"/>
        <v>-644.95999999999981</v>
      </c>
      <c r="K296" s="46"/>
    </row>
    <row r="297" spans="1:11" x14ac:dyDescent="0.65">
      <c r="A297" s="22">
        <f t="shared" si="37"/>
        <v>2021</v>
      </c>
      <c r="B297" s="6">
        <f t="shared" si="38"/>
        <v>5</v>
      </c>
      <c r="C297" s="75">
        <v>44340</v>
      </c>
      <c r="D297" s="75">
        <v>44340</v>
      </c>
      <c r="E297" t="str">
        <f t="shared" si="36"/>
        <v>JIMMY</v>
      </c>
      <c r="F297" s="99" t="s">
        <v>261</v>
      </c>
      <c r="G297" s="8">
        <v>12.59</v>
      </c>
      <c r="H297" s="21" t="s">
        <v>41</v>
      </c>
      <c r="I297" s="7" t="str">
        <f t="shared" si="40"/>
        <v>Variable</v>
      </c>
      <c r="J297" s="8">
        <f t="shared" si="39"/>
        <v>-632.36999999999978</v>
      </c>
      <c r="K297" s="46"/>
    </row>
    <row r="298" spans="1:11" x14ac:dyDescent="0.65">
      <c r="A298" s="22">
        <f t="shared" si="37"/>
        <v>2021</v>
      </c>
      <c r="B298" s="6">
        <f t="shared" si="38"/>
        <v>5</v>
      </c>
      <c r="C298" s="75">
        <v>44341</v>
      </c>
      <c r="D298" s="75">
        <v>44341</v>
      </c>
      <c r="E298" t="str">
        <f t="shared" si="36"/>
        <v>APPLE</v>
      </c>
      <c r="F298" s="99" t="s">
        <v>262</v>
      </c>
      <c r="G298" s="8">
        <v>5.29</v>
      </c>
      <c r="H298" s="85" t="s">
        <v>26</v>
      </c>
      <c r="I298" s="7" t="str">
        <f t="shared" si="40"/>
        <v>Fixed</v>
      </c>
      <c r="J298" s="8">
        <f t="shared" si="39"/>
        <v>-627.07999999999981</v>
      </c>
      <c r="K298" s="85" t="s">
        <v>311</v>
      </c>
    </row>
    <row r="299" spans="1:11" x14ac:dyDescent="0.65">
      <c r="A299" s="22">
        <f t="shared" si="37"/>
        <v>2021</v>
      </c>
      <c r="B299" s="6">
        <f t="shared" si="38"/>
        <v>5</v>
      </c>
      <c r="C299" s="75">
        <v>44341</v>
      </c>
      <c r="D299" s="75">
        <v>44341</v>
      </c>
      <c r="E299" t="str">
        <f t="shared" si="36"/>
        <v>EZPAS</v>
      </c>
      <c r="F299" s="99" t="s">
        <v>196</v>
      </c>
      <c r="G299" s="8">
        <v>35</v>
      </c>
      <c r="H299" s="21" t="s">
        <v>89</v>
      </c>
      <c r="I299" s="7" t="str">
        <f t="shared" si="40"/>
        <v>Variable</v>
      </c>
      <c r="J299" s="8">
        <f t="shared" si="39"/>
        <v>-592.07999999999981</v>
      </c>
      <c r="K299" s="85" t="s">
        <v>301</v>
      </c>
    </row>
    <row r="300" spans="1:11" x14ac:dyDescent="0.65">
      <c r="A300" s="22">
        <f t="shared" si="37"/>
        <v>2021</v>
      </c>
      <c r="B300" s="6">
        <f t="shared" si="38"/>
        <v>5</v>
      </c>
      <c r="C300" s="75">
        <v>44341</v>
      </c>
      <c r="D300" s="75">
        <v>44341</v>
      </c>
      <c r="E300" t="str">
        <f t="shared" si="36"/>
        <v>JIMMY</v>
      </c>
      <c r="F300" s="99" t="s">
        <v>204</v>
      </c>
      <c r="G300" s="8">
        <v>12.59</v>
      </c>
      <c r="H300" s="21" t="s">
        <v>41</v>
      </c>
      <c r="I300" s="7" t="str">
        <f t="shared" si="40"/>
        <v>Variable</v>
      </c>
      <c r="J300" s="8">
        <f t="shared" si="39"/>
        <v>-579.48999999999978</v>
      </c>
      <c r="K300" s="46"/>
    </row>
    <row r="301" spans="1:11" x14ac:dyDescent="0.65">
      <c r="A301" s="22">
        <f t="shared" si="37"/>
        <v>2021</v>
      </c>
      <c r="B301" s="6">
        <f t="shared" si="38"/>
        <v>5</v>
      </c>
      <c r="C301" s="75">
        <v>44341</v>
      </c>
      <c r="D301" s="75">
        <v>44341</v>
      </c>
      <c r="E301" t="str">
        <f t="shared" si="36"/>
        <v>TARGE</v>
      </c>
      <c r="F301" s="99" t="s">
        <v>263</v>
      </c>
      <c r="G301" s="8">
        <v>22.25</v>
      </c>
      <c r="H301" s="21" t="s">
        <v>68</v>
      </c>
      <c r="I301" s="7" t="str">
        <f t="shared" si="40"/>
        <v>Variable</v>
      </c>
      <c r="J301" s="8">
        <f t="shared" si="39"/>
        <v>-557.23999999999978</v>
      </c>
      <c r="K301" s="46"/>
    </row>
    <row r="302" spans="1:11" x14ac:dyDescent="0.65">
      <c r="A302" s="22">
        <f t="shared" si="37"/>
        <v>2021</v>
      </c>
      <c r="B302" s="6">
        <f t="shared" si="38"/>
        <v>5</v>
      </c>
      <c r="C302" s="75">
        <v>44342</v>
      </c>
      <c r="D302" s="75">
        <v>44342</v>
      </c>
      <c r="E302" t="str">
        <f t="shared" si="36"/>
        <v>JIMMY</v>
      </c>
      <c r="F302" s="99" t="s">
        <v>204</v>
      </c>
      <c r="G302" s="8">
        <v>17.37</v>
      </c>
      <c r="H302" s="21" t="s">
        <v>41</v>
      </c>
      <c r="I302" s="7" t="str">
        <f t="shared" si="40"/>
        <v>Variable</v>
      </c>
      <c r="J302" s="8">
        <f t="shared" si="39"/>
        <v>-539.86999999999978</v>
      </c>
      <c r="K302" s="46"/>
    </row>
    <row r="303" spans="1:11" x14ac:dyDescent="0.65">
      <c r="A303" s="22">
        <f t="shared" si="37"/>
        <v>2021</v>
      </c>
      <c r="B303" s="6">
        <f t="shared" si="38"/>
        <v>5</v>
      </c>
      <c r="C303" s="75">
        <v>44343</v>
      </c>
      <c r="D303" s="75">
        <v>44343</v>
      </c>
      <c r="E303" t="str">
        <f t="shared" si="36"/>
        <v>PAYPA</v>
      </c>
      <c r="F303" s="99" t="s">
        <v>112</v>
      </c>
      <c r="G303" s="8">
        <v>9.99</v>
      </c>
      <c r="H303" s="85" t="s">
        <v>26</v>
      </c>
      <c r="I303" s="7" t="str">
        <f t="shared" si="40"/>
        <v>Fixed</v>
      </c>
      <c r="J303" s="8">
        <f t="shared" si="39"/>
        <v>-529.87999999999977</v>
      </c>
      <c r="K303" s="85" t="s">
        <v>296</v>
      </c>
    </row>
    <row r="304" spans="1:11" x14ac:dyDescent="0.65">
      <c r="A304" s="22">
        <f t="shared" si="37"/>
        <v>2021</v>
      </c>
      <c r="B304" s="6">
        <f t="shared" si="38"/>
        <v>5</v>
      </c>
      <c r="C304" s="75">
        <v>44343</v>
      </c>
      <c r="D304" s="75">
        <v>44343</v>
      </c>
      <c r="E304" t="str">
        <f t="shared" si="36"/>
        <v xml:space="preserve">USPS </v>
      </c>
      <c r="F304" s="99" t="s">
        <v>264</v>
      </c>
      <c r="G304" s="8">
        <v>26.35</v>
      </c>
      <c r="H304" s="21" t="s">
        <v>119</v>
      </c>
      <c r="I304" s="7" t="str">
        <f t="shared" si="40"/>
        <v>Fixed</v>
      </c>
      <c r="J304" s="8">
        <f t="shared" si="39"/>
        <v>-503.52999999999975</v>
      </c>
      <c r="K304" s="46"/>
    </row>
    <row r="305" spans="1:11" x14ac:dyDescent="0.65">
      <c r="A305" s="22">
        <f t="shared" si="37"/>
        <v>2021</v>
      </c>
      <c r="B305" s="6">
        <f t="shared" si="38"/>
        <v>5</v>
      </c>
      <c r="C305" s="75">
        <v>44344</v>
      </c>
      <c r="D305" s="75">
        <v>44344</v>
      </c>
      <c r="E305" t="str">
        <f t="shared" si="36"/>
        <v>CARRO</v>
      </c>
      <c r="F305" s="99" t="s">
        <v>265</v>
      </c>
      <c r="G305" s="8">
        <v>286.31</v>
      </c>
      <c r="H305" s="21" t="s">
        <v>130</v>
      </c>
      <c r="I305" s="7" t="str">
        <f t="shared" si="40"/>
        <v>Fixed</v>
      </c>
      <c r="J305" s="8">
        <f t="shared" si="39"/>
        <v>-217.21999999999974</v>
      </c>
      <c r="K305" s="85" t="s">
        <v>288</v>
      </c>
    </row>
    <row r="306" spans="1:11" x14ac:dyDescent="0.65">
      <c r="A306" s="22">
        <f t="shared" si="37"/>
        <v>2021</v>
      </c>
      <c r="B306" s="6">
        <f t="shared" si="38"/>
        <v>5</v>
      </c>
      <c r="C306" s="75">
        <v>44344</v>
      </c>
      <c r="D306" s="75">
        <v>44344</v>
      </c>
      <c r="E306" t="str">
        <f t="shared" si="36"/>
        <v xml:space="preserve">LYFT </v>
      </c>
      <c r="F306" s="99" t="s">
        <v>266</v>
      </c>
      <c r="G306" s="8">
        <v>21.24</v>
      </c>
      <c r="H306" s="21" t="s">
        <v>89</v>
      </c>
      <c r="I306" s="7" t="str">
        <f t="shared" si="40"/>
        <v>Variable</v>
      </c>
      <c r="J306" s="8">
        <f t="shared" si="39"/>
        <v>-195.97999999999973</v>
      </c>
      <c r="K306" s="46"/>
    </row>
    <row r="307" spans="1:11" x14ac:dyDescent="0.65">
      <c r="A307" s="22">
        <f t="shared" si="37"/>
        <v>2021</v>
      </c>
      <c r="B307" s="6">
        <f t="shared" si="38"/>
        <v>5</v>
      </c>
      <c r="C307" s="75">
        <v>44344</v>
      </c>
      <c r="D307" s="75">
        <v>44344</v>
      </c>
      <c r="E307" t="str">
        <f t="shared" si="36"/>
        <v>WALMA</v>
      </c>
      <c r="F307" s="99" t="s">
        <v>267</v>
      </c>
      <c r="G307" s="8">
        <v>51.77</v>
      </c>
      <c r="H307" s="21" t="s">
        <v>68</v>
      </c>
      <c r="I307" s="7" t="str">
        <f t="shared" si="40"/>
        <v>Variable</v>
      </c>
      <c r="J307" s="8">
        <f t="shared" si="39"/>
        <v>-144.20999999999972</v>
      </c>
      <c r="K307" s="46"/>
    </row>
    <row r="308" spans="1:11" x14ac:dyDescent="0.65">
      <c r="A308" s="22">
        <f t="shared" si="37"/>
        <v>2021</v>
      </c>
      <c r="B308" s="6">
        <f t="shared" si="38"/>
        <v>5</v>
      </c>
      <c r="C308" s="75">
        <v>44345</v>
      </c>
      <c r="D308" s="75">
        <v>44345</v>
      </c>
      <c r="E308" t="str">
        <f t="shared" si="36"/>
        <v>EXXON</v>
      </c>
      <c r="F308" s="99" t="s">
        <v>60</v>
      </c>
      <c r="G308" s="8">
        <v>28.92</v>
      </c>
      <c r="H308" s="21" t="s">
        <v>24</v>
      </c>
      <c r="I308" s="7" t="str">
        <f t="shared" si="40"/>
        <v>Variable</v>
      </c>
      <c r="J308" s="8">
        <f t="shared" si="39"/>
        <v>-115.28999999999972</v>
      </c>
      <c r="K308" s="46"/>
    </row>
    <row r="309" spans="1:11" x14ac:dyDescent="0.65">
      <c r="A309" s="22">
        <f t="shared" si="37"/>
        <v>2021</v>
      </c>
      <c r="B309" s="6">
        <f t="shared" si="38"/>
        <v>5</v>
      </c>
      <c r="C309" s="75">
        <v>44345</v>
      </c>
      <c r="D309" s="75">
        <v>44345</v>
      </c>
      <c r="E309" t="str">
        <f t="shared" si="36"/>
        <v xml:space="preserve">LYFT </v>
      </c>
      <c r="F309" s="99" t="s">
        <v>268</v>
      </c>
      <c r="G309" s="8">
        <v>26.84</v>
      </c>
      <c r="H309" s="21" t="s">
        <v>89</v>
      </c>
      <c r="I309" s="7" t="str">
        <f t="shared" si="40"/>
        <v>Variable</v>
      </c>
      <c r="J309" s="8">
        <f t="shared" si="39"/>
        <v>-88.449999999999719</v>
      </c>
      <c r="K309" s="46"/>
    </row>
    <row r="310" spans="1:11" x14ac:dyDescent="0.65">
      <c r="A310" s="22">
        <f t="shared" si="37"/>
        <v>2021</v>
      </c>
      <c r="B310" s="6">
        <f t="shared" si="38"/>
        <v>5</v>
      </c>
      <c r="C310" s="75">
        <v>44345</v>
      </c>
      <c r="D310" s="75">
        <v>44345</v>
      </c>
      <c r="E310" t="str">
        <f t="shared" si="36"/>
        <v>TARGE</v>
      </c>
      <c r="F310" s="99" t="s">
        <v>98</v>
      </c>
      <c r="G310" s="8">
        <v>39.200000000000003</v>
      </c>
      <c r="H310" s="21" t="s">
        <v>90</v>
      </c>
      <c r="I310" s="7" t="str">
        <f t="shared" si="40"/>
        <v>Variable</v>
      </c>
      <c r="J310" s="8">
        <f t="shared" si="39"/>
        <v>-49.249999999999716</v>
      </c>
      <c r="K310" s="46"/>
    </row>
    <row r="311" spans="1:11" x14ac:dyDescent="0.65">
      <c r="A311" s="22">
        <f t="shared" si="37"/>
        <v>2021</v>
      </c>
      <c r="B311" s="6">
        <f t="shared" si="38"/>
        <v>5</v>
      </c>
      <c r="C311" s="75">
        <v>44345</v>
      </c>
      <c r="D311" s="75">
        <v>44345</v>
      </c>
      <c r="E311" t="str">
        <f t="shared" si="36"/>
        <v xml:space="preserve">UBER </v>
      </c>
      <c r="F311" s="99" t="s">
        <v>182</v>
      </c>
      <c r="G311" s="8">
        <v>4.1500000000000004</v>
      </c>
      <c r="H311" s="21" t="s">
        <v>41</v>
      </c>
      <c r="I311" s="7" t="str">
        <f t="shared" si="40"/>
        <v>Variable</v>
      </c>
      <c r="J311" s="8">
        <f t="shared" si="39"/>
        <v>-45.099999999999717</v>
      </c>
      <c r="K311" s="46"/>
    </row>
    <row r="312" spans="1:11" x14ac:dyDescent="0.65">
      <c r="A312" s="22">
        <f t="shared" si="37"/>
        <v>2021</v>
      </c>
      <c r="B312" s="6">
        <f t="shared" si="38"/>
        <v>5</v>
      </c>
      <c r="C312" s="75">
        <v>44345</v>
      </c>
      <c r="D312" s="75">
        <v>44345</v>
      </c>
      <c r="E312" t="str">
        <f t="shared" si="36"/>
        <v xml:space="preserve">UBER </v>
      </c>
      <c r="F312" s="99" t="s">
        <v>182</v>
      </c>
      <c r="G312" s="8">
        <v>23.07</v>
      </c>
      <c r="H312" s="21" t="s">
        <v>41</v>
      </c>
      <c r="I312" s="7" t="str">
        <f t="shared" si="40"/>
        <v>Variable</v>
      </c>
      <c r="J312" s="8">
        <f t="shared" si="39"/>
        <v>-22.029999999999717</v>
      </c>
      <c r="K312" s="46"/>
    </row>
    <row r="313" spans="1:11" x14ac:dyDescent="0.65">
      <c r="A313" s="22">
        <f t="shared" si="37"/>
        <v>2021</v>
      </c>
      <c r="B313" s="6">
        <f t="shared" si="38"/>
        <v>5</v>
      </c>
      <c r="C313" s="75">
        <v>44346</v>
      </c>
      <c r="D313" s="75">
        <v>44346</v>
      </c>
      <c r="E313" t="str">
        <f t="shared" si="36"/>
        <v>BOTTO</v>
      </c>
      <c r="F313" s="99" t="s">
        <v>128</v>
      </c>
      <c r="G313" s="8">
        <v>54</v>
      </c>
      <c r="H313" s="21" t="s">
        <v>41</v>
      </c>
      <c r="I313" s="7" t="str">
        <f t="shared" si="40"/>
        <v>Variable</v>
      </c>
      <c r="J313" s="8">
        <f t="shared" si="39"/>
        <v>31.970000000000283</v>
      </c>
      <c r="K313" s="46"/>
    </row>
    <row r="314" spans="1:11" x14ac:dyDescent="0.65">
      <c r="A314" s="22">
        <f t="shared" si="37"/>
        <v>2021</v>
      </c>
      <c r="B314" s="6">
        <f t="shared" si="38"/>
        <v>5</v>
      </c>
      <c r="C314" s="75">
        <v>44346</v>
      </c>
      <c r="D314" s="75">
        <v>44346</v>
      </c>
      <c r="E314" t="str">
        <f t="shared" si="36"/>
        <v>EZPAS</v>
      </c>
      <c r="F314" s="99" t="s">
        <v>196</v>
      </c>
      <c r="G314" s="8">
        <v>35</v>
      </c>
      <c r="H314" s="21" t="s">
        <v>89</v>
      </c>
      <c r="I314" s="7" t="str">
        <f t="shared" si="40"/>
        <v>Variable</v>
      </c>
      <c r="J314" s="8">
        <f t="shared" si="39"/>
        <v>66.970000000000283</v>
      </c>
      <c r="K314" s="85" t="s">
        <v>301</v>
      </c>
    </row>
    <row r="315" spans="1:11" x14ac:dyDescent="0.65">
      <c r="A315" s="22">
        <f t="shared" si="37"/>
        <v>2021</v>
      </c>
      <c r="B315" s="6">
        <f t="shared" si="38"/>
        <v>5</v>
      </c>
      <c r="C315" s="75">
        <v>44346</v>
      </c>
      <c r="D315" s="75">
        <v>44346</v>
      </c>
      <c r="E315" t="str">
        <f t="shared" si="36"/>
        <v>MCDON</v>
      </c>
      <c r="F315" s="99" t="s">
        <v>63</v>
      </c>
      <c r="G315" s="8">
        <v>8.2799999999999994</v>
      </c>
      <c r="H315" s="21" t="s">
        <v>41</v>
      </c>
      <c r="I315" s="7" t="str">
        <f t="shared" si="40"/>
        <v>Variable</v>
      </c>
      <c r="J315" s="8">
        <f t="shared" si="39"/>
        <v>75.250000000000284</v>
      </c>
      <c r="K315" s="46"/>
    </row>
    <row r="316" spans="1:11" x14ac:dyDescent="0.65">
      <c r="A316" s="22">
        <f t="shared" si="37"/>
        <v>2021</v>
      </c>
      <c r="B316" s="6">
        <f t="shared" si="38"/>
        <v>5</v>
      </c>
      <c r="C316" s="75">
        <v>44346</v>
      </c>
      <c r="D316" s="75">
        <v>44346</v>
      </c>
      <c r="E316" t="str">
        <f t="shared" si="36"/>
        <v>TARGE</v>
      </c>
      <c r="F316" s="99" t="s">
        <v>263</v>
      </c>
      <c r="G316" s="8">
        <v>60.92</v>
      </c>
      <c r="H316" s="21" t="s">
        <v>68</v>
      </c>
      <c r="I316" s="7" t="str">
        <f t="shared" si="40"/>
        <v>Variable</v>
      </c>
      <c r="J316" s="8">
        <f t="shared" si="39"/>
        <v>136.1700000000003</v>
      </c>
      <c r="K316" s="46"/>
    </row>
    <row r="317" spans="1:11" x14ac:dyDescent="0.65">
      <c r="A317" s="22">
        <f t="shared" si="37"/>
        <v>2021</v>
      </c>
      <c r="B317" s="6">
        <f t="shared" si="38"/>
        <v>5</v>
      </c>
      <c r="C317" s="75">
        <v>44347</v>
      </c>
      <c r="D317" s="75">
        <v>44347</v>
      </c>
      <c r="E317" t="str">
        <f t="shared" si="36"/>
        <v xml:space="preserve">ALDI </v>
      </c>
      <c r="F317" s="99" t="s">
        <v>269</v>
      </c>
      <c r="G317" s="8">
        <v>17.309999999999999</v>
      </c>
      <c r="H317" s="21" t="s">
        <v>90</v>
      </c>
      <c r="I317" s="7" t="str">
        <f t="shared" si="40"/>
        <v>Variable</v>
      </c>
      <c r="J317" s="8">
        <f t="shared" si="39"/>
        <v>153.4800000000003</v>
      </c>
      <c r="K317" s="46"/>
    </row>
    <row r="318" spans="1:11" x14ac:dyDescent="0.65">
      <c r="A318" s="22">
        <f t="shared" si="37"/>
        <v>2021</v>
      </c>
      <c r="B318" s="6">
        <f t="shared" si="38"/>
        <v>5</v>
      </c>
      <c r="C318" s="75">
        <v>44347</v>
      </c>
      <c r="D318" s="75">
        <v>44347</v>
      </c>
      <c r="E318" t="str">
        <f t="shared" si="36"/>
        <v>APPLE</v>
      </c>
      <c r="F318" s="99" t="s">
        <v>270</v>
      </c>
      <c r="G318" s="8">
        <v>37.090000000000003</v>
      </c>
      <c r="H318" s="85" t="s">
        <v>26</v>
      </c>
      <c r="I318" s="7" t="str">
        <f t="shared" si="40"/>
        <v>Fixed</v>
      </c>
      <c r="J318" s="8">
        <f t="shared" si="39"/>
        <v>190.57000000000031</v>
      </c>
      <c r="K318" s="85" t="s">
        <v>310</v>
      </c>
    </row>
    <row r="319" spans="1:11" x14ac:dyDescent="0.65">
      <c r="A319" s="22">
        <f t="shared" si="37"/>
        <v>2021</v>
      </c>
      <c r="B319" s="6">
        <f t="shared" si="38"/>
        <v>5</v>
      </c>
      <c r="C319" s="75">
        <v>44347</v>
      </c>
      <c r="D319" s="75">
        <v>44347</v>
      </c>
      <c r="E319" t="str">
        <f t="shared" si="36"/>
        <v>SHEET</v>
      </c>
      <c r="F319" s="99" t="s">
        <v>271</v>
      </c>
      <c r="G319" s="8">
        <v>9.5500000000000007</v>
      </c>
      <c r="H319" s="21" t="s">
        <v>24</v>
      </c>
      <c r="I319" s="7" t="str">
        <f t="shared" si="40"/>
        <v>Variable</v>
      </c>
      <c r="J319" s="8">
        <f t="shared" si="39"/>
        <v>200.12000000000032</v>
      </c>
      <c r="K319" s="46"/>
    </row>
    <row r="320" spans="1:11" x14ac:dyDescent="0.65">
      <c r="A320" s="22">
        <f t="shared" si="37"/>
        <v>2021</v>
      </c>
      <c r="B320" s="6">
        <f t="shared" si="38"/>
        <v>5</v>
      </c>
      <c r="C320" s="75">
        <v>44347</v>
      </c>
      <c r="D320" s="75">
        <v>44347</v>
      </c>
      <c r="E320" t="str">
        <f t="shared" si="36"/>
        <v>TARGE</v>
      </c>
      <c r="F320" s="99" t="s">
        <v>98</v>
      </c>
      <c r="G320" s="8">
        <v>21.18</v>
      </c>
      <c r="H320" s="21" t="s">
        <v>90</v>
      </c>
      <c r="I320" s="7" t="str">
        <f t="shared" si="40"/>
        <v>Variable</v>
      </c>
      <c r="J320" s="8">
        <f t="shared" si="39"/>
        <v>221.30000000000032</v>
      </c>
      <c r="K320" s="46"/>
    </row>
    <row r="321" spans="1:11" x14ac:dyDescent="0.65">
      <c r="A321" s="22">
        <f t="shared" si="37"/>
        <v>2021</v>
      </c>
      <c r="B321" s="6">
        <f t="shared" si="38"/>
        <v>5</v>
      </c>
      <c r="C321" s="75">
        <v>44347</v>
      </c>
      <c r="D321" s="75">
        <v>44347</v>
      </c>
      <c r="E321" t="str">
        <f t="shared" si="36"/>
        <v>U HAU</v>
      </c>
      <c r="F321" s="99" t="s">
        <v>272</v>
      </c>
      <c r="G321" s="8">
        <v>57.27</v>
      </c>
      <c r="H321" s="21" t="s">
        <v>89</v>
      </c>
      <c r="I321" s="7" t="str">
        <f t="shared" si="40"/>
        <v>Variable</v>
      </c>
      <c r="J321" s="8">
        <f t="shared" si="39"/>
        <v>278.57000000000033</v>
      </c>
      <c r="K321" s="85" t="s">
        <v>301</v>
      </c>
    </row>
    <row r="322" spans="1:11" x14ac:dyDescent="0.65">
      <c r="A322" s="22">
        <f t="shared" si="37"/>
        <v>2021</v>
      </c>
      <c r="B322" s="6">
        <f t="shared" si="38"/>
        <v>6</v>
      </c>
      <c r="C322" s="87">
        <v>44348</v>
      </c>
      <c r="D322" s="87">
        <v>44348</v>
      </c>
      <c r="E322" t="str">
        <f t="shared" ref="E322:E385" si="41">LEFT(F322,5)</f>
        <v>AMERI</v>
      </c>
      <c r="F322" s="99" t="s">
        <v>184</v>
      </c>
      <c r="G322" s="8">
        <v>49</v>
      </c>
      <c r="H322" s="85" t="s">
        <v>26</v>
      </c>
      <c r="I322" s="7" t="str">
        <f t="shared" si="40"/>
        <v>Fixed</v>
      </c>
      <c r="J322" s="8">
        <f t="shared" si="39"/>
        <v>327.57000000000033</v>
      </c>
      <c r="K322" s="85" t="s">
        <v>324</v>
      </c>
    </row>
    <row r="323" spans="1:11" x14ac:dyDescent="0.65">
      <c r="A323" s="22">
        <f t="shared" ref="A323:A363" si="42">YEAR(C323)</f>
        <v>2021</v>
      </c>
      <c r="B323" s="6">
        <f t="shared" ref="B323:B386" si="43">MONTH(C323)</f>
        <v>6</v>
      </c>
      <c r="C323" s="87">
        <v>44348</v>
      </c>
      <c r="D323" s="87">
        <v>44348</v>
      </c>
      <c r="E323" t="str">
        <f t="shared" si="41"/>
        <v>NETFL</v>
      </c>
      <c r="F323" s="99" t="s">
        <v>273</v>
      </c>
      <c r="G323" s="8">
        <v>14.83</v>
      </c>
      <c r="H323" s="85" t="s">
        <v>26</v>
      </c>
      <c r="I323" s="7" t="str">
        <f t="shared" si="40"/>
        <v>Fixed</v>
      </c>
      <c r="J323" s="8">
        <f t="shared" si="39"/>
        <v>342.40000000000032</v>
      </c>
      <c r="K323" s="85" t="s">
        <v>7</v>
      </c>
    </row>
    <row r="324" spans="1:11" x14ac:dyDescent="0.65">
      <c r="A324" s="22">
        <f t="shared" si="42"/>
        <v>2021</v>
      </c>
      <c r="B324" s="6">
        <f t="shared" si="43"/>
        <v>6</v>
      </c>
      <c r="C324" s="87">
        <v>44348</v>
      </c>
      <c r="D324" s="87">
        <v>44348</v>
      </c>
      <c r="E324" t="str">
        <f t="shared" si="41"/>
        <v>SPOTI</v>
      </c>
      <c r="F324" s="99" t="s">
        <v>274</v>
      </c>
      <c r="G324" s="8">
        <v>9.99</v>
      </c>
      <c r="H324" s="85" t="s">
        <v>26</v>
      </c>
      <c r="I324" s="7" t="str">
        <f t="shared" si="40"/>
        <v>Fixed</v>
      </c>
      <c r="J324" s="8">
        <f t="shared" ref="J324:J363" si="44">J323+G324</f>
        <v>352.39000000000033</v>
      </c>
      <c r="K324" s="85" t="s">
        <v>6</v>
      </c>
    </row>
    <row r="325" spans="1:11" x14ac:dyDescent="0.65">
      <c r="A325" s="22">
        <f t="shared" si="42"/>
        <v>2021</v>
      </c>
      <c r="B325" s="6">
        <f t="shared" si="43"/>
        <v>6</v>
      </c>
      <c r="C325" s="87">
        <v>44349</v>
      </c>
      <c r="D325" s="87">
        <v>44350</v>
      </c>
      <c r="E325" t="str">
        <f t="shared" si="41"/>
        <v>GO MA</v>
      </c>
      <c r="F325" s="99" t="s">
        <v>275</v>
      </c>
      <c r="G325" s="8">
        <v>29.04</v>
      </c>
      <c r="H325" s="21" t="s">
        <v>24</v>
      </c>
      <c r="I325" s="7" t="str">
        <f t="shared" si="40"/>
        <v>Variable</v>
      </c>
      <c r="J325" s="8">
        <f t="shared" si="44"/>
        <v>381.43000000000035</v>
      </c>
      <c r="K325" s="46"/>
    </row>
    <row r="326" spans="1:11" x14ac:dyDescent="0.65">
      <c r="A326" s="22">
        <f t="shared" si="42"/>
        <v>2021</v>
      </c>
      <c r="B326" s="6">
        <f t="shared" si="43"/>
        <v>6</v>
      </c>
      <c r="C326" s="87">
        <v>44349</v>
      </c>
      <c r="D326" s="87">
        <v>44350</v>
      </c>
      <c r="E326" t="str">
        <f t="shared" si="41"/>
        <v>KRYST</v>
      </c>
      <c r="F326" s="99" t="s">
        <v>276</v>
      </c>
      <c r="G326" s="8">
        <v>10</v>
      </c>
      <c r="H326" s="85" t="s">
        <v>26</v>
      </c>
      <c r="I326" s="7" t="str">
        <f t="shared" si="40"/>
        <v>Fixed</v>
      </c>
      <c r="J326" s="8">
        <f t="shared" si="44"/>
        <v>391.43000000000035</v>
      </c>
      <c r="K326" s="85" t="s">
        <v>300</v>
      </c>
    </row>
    <row r="327" spans="1:11" x14ac:dyDescent="0.65">
      <c r="A327" s="22">
        <f t="shared" si="42"/>
        <v>2021</v>
      </c>
      <c r="B327" s="6">
        <f t="shared" si="43"/>
        <v>6</v>
      </c>
      <c r="C327" s="87">
        <v>44349</v>
      </c>
      <c r="D327" s="87">
        <v>44350</v>
      </c>
      <c r="E327" t="str">
        <f t="shared" si="41"/>
        <v>PAYPA</v>
      </c>
      <c r="F327" s="99" t="s">
        <v>181</v>
      </c>
      <c r="G327" s="8">
        <v>0.4</v>
      </c>
      <c r="H327" s="85" t="s">
        <v>26</v>
      </c>
      <c r="I327" s="7" t="str">
        <f t="shared" si="40"/>
        <v>Fixed</v>
      </c>
      <c r="J327" s="8">
        <f t="shared" si="44"/>
        <v>391.83000000000033</v>
      </c>
      <c r="K327" s="85" t="s">
        <v>299</v>
      </c>
    </row>
    <row r="328" spans="1:11" x14ac:dyDescent="0.65">
      <c r="A328" s="22">
        <f t="shared" si="42"/>
        <v>2021</v>
      </c>
      <c r="B328" s="6">
        <f t="shared" si="43"/>
        <v>6</v>
      </c>
      <c r="C328" s="87">
        <v>44349</v>
      </c>
      <c r="D328" s="87">
        <v>44350</v>
      </c>
      <c r="E328" t="str">
        <f t="shared" si="41"/>
        <v>PAYPA</v>
      </c>
      <c r="F328" s="99" t="s">
        <v>277</v>
      </c>
      <c r="G328" s="8">
        <v>49.99</v>
      </c>
      <c r="H328" s="21" t="s">
        <v>52</v>
      </c>
      <c r="I328" s="7" t="str">
        <f t="shared" si="40"/>
        <v>Variable</v>
      </c>
      <c r="J328" s="8">
        <f t="shared" si="44"/>
        <v>441.82000000000033</v>
      </c>
      <c r="K328" s="85" t="s">
        <v>289</v>
      </c>
    </row>
    <row r="329" spans="1:11" x14ac:dyDescent="0.65">
      <c r="A329" s="22">
        <f t="shared" si="42"/>
        <v>2021</v>
      </c>
      <c r="B329" s="6">
        <f t="shared" si="43"/>
        <v>6</v>
      </c>
      <c r="C329" s="87">
        <v>44349</v>
      </c>
      <c r="D329" s="87">
        <v>44350</v>
      </c>
      <c r="E329" t="str">
        <f t="shared" si="41"/>
        <v>PAYPA</v>
      </c>
      <c r="F329" s="99" t="s">
        <v>104</v>
      </c>
      <c r="G329" s="8">
        <v>1.99</v>
      </c>
      <c r="H329" s="85" t="s">
        <v>26</v>
      </c>
      <c r="I329" s="7" t="str">
        <f t="shared" si="40"/>
        <v>Fixed</v>
      </c>
      <c r="J329" s="8">
        <f t="shared" si="44"/>
        <v>443.81000000000034</v>
      </c>
      <c r="K329" s="85" t="s">
        <v>94</v>
      </c>
    </row>
    <row r="330" spans="1:11" x14ac:dyDescent="0.65">
      <c r="A330" s="22">
        <f t="shared" si="42"/>
        <v>2021</v>
      </c>
      <c r="B330" s="6">
        <f t="shared" si="43"/>
        <v>6</v>
      </c>
      <c r="C330" s="87">
        <v>44350</v>
      </c>
      <c r="D330" s="87">
        <v>44350</v>
      </c>
      <c r="E330" t="str">
        <f t="shared" si="41"/>
        <v>PUBLI</v>
      </c>
      <c r="F330" s="99" t="s">
        <v>278</v>
      </c>
      <c r="G330" s="8">
        <v>78</v>
      </c>
      <c r="H330" s="85" t="s">
        <v>26</v>
      </c>
      <c r="I330" s="7" t="str">
        <f t="shared" si="40"/>
        <v>Fixed</v>
      </c>
      <c r="J330" s="8">
        <f t="shared" si="44"/>
        <v>521.8100000000004</v>
      </c>
      <c r="K330" s="85" t="s">
        <v>301</v>
      </c>
    </row>
    <row r="331" spans="1:11" x14ac:dyDescent="0.65">
      <c r="A331" s="22">
        <f t="shared" si="42"/>
        <v>2021</v>
      </c>
      <c r="B331" s="6">
        <f t="shared" si="43"/>
        <v>6</v>
      </c>
      <c r="C331" s="87">
        <v>44350</v>
      </c>
      <c r="D331" s="87">
        <v>44350</v>
      </c>
      <c r="E331" t="str">
        <f t="shared" si="41"/>
        <v>STATE</v>
      </c>
      <c r="F331" s="99" t="s">
        <v>32</v>
      </c>
      <c r="G331" s="8">
        <v>69.88</v>
      </c>
      <c r="H331" s="85" t="s">
        <v>26</v>
      </c>
      <c r="I331" s="7" t="str">
        <f t="shared" si="40"/>
        <v>Fixed</v>
      </c>
      <c r="J331" s="8">
        <f t="shared" si="44"/>
        <v>591.6900000000004</v>
      </c>
      <c r="K331" s="85" t="s">
        <v>8</v>
      </c>
    </row>
    <row r="332" spans="1:11" x14ac:dyDescent="0.65">
      <c r="A332" s="22">
        <f t="shared" si="42"/>
        <v>2021</v>
      </c>
      <c r="B332" s="6">
        <f t="shared" si="43"/>
        <v>6</v>
      </c>
      <c r="C332" s="87">
        <v>44350</v>
      </c>
      <c r="D332" s="87">
        <v>44350</v>
      </c>
      <c r="E332" t="str">
        <f t="shared" si="41"/>
        <v>TEXAS</v>
      </c>
      <c r="F332" s="99" t="s">
        <v>279</v>
      </c>
      <c r="G332" s="8">
        <v>105</v>
      </c>
      <c r="H332" s="21" t="s">
        <v>41</v>
      </c>
      <c r="I332" s="7" t="str">
        <f t="shared" si="40"/>
        <v>Variable</v>
      </c>
      <c r="J332" s="8">
        <f t="shared" si="44"/>
        <v>696.6900000000004</v>
      </c>
      <c r="K332" s="85" t="s">
        <v>290</v>
      </c>
    </row>
    <row r="333" spans="1:11" x14ac:dyDescent="0.65">
      <c r="A333" s="22">
        <f t="shared" si="42"/>
        <v>2021</v>
      </c>
      <c r="B333" s="6">
        <f t="shared" si="43"/>
        <v>6</v>
      </c>
      <c r="C333" s="87">
        <v>44351</v>
      </c>
      <c r="D333" s="87">
        <v>44351</v>
      </c>
      <c r="E333" t="str">
        <f t="shared" si="41"/>
        <v>INTER</v>
      </c>
      <c r="F333" s="99" t="s">
        <v>21</v>
      </c>
      <c r="G333" s="8">
        <v>-1368.32</v>
      </c>
      <c r="H333" s="21" t="s">
        <v>22</v>
      </c>
      <c r="I333" s="7" t="str">
        <f t="shared" si="40"/>
        <v>Payment</v>
      </c>
      <c r="J333" s="8">
        <f t="shared" si="44"/>
        <v>-671.62999999999954</v>
      </c>
      <c r="K333" s="85"/>
    </row>
    <row r="334" spans="1:11" x14ac:dyDescent="0.65">
      <c r="A334" s="22">
        <f t="shared" si="42"/>
        <v>2021</v>
      </c>
      <c r="B334" s="6">
        <f t="shared" si="43"/>
        <v>6</v>
      </c>
      <c r="C334" s="87">
        <v>44351</v>
      </c>
      <c r="D334" s="87">
        <v>44351</v>
      </c>
      <c r="E334" t="str">
        <f t="shared" si="41"/>
        <v>TARGE</v>
      </c>
      <c r="F334" s="99" t="s">
        <v>98</v>
      </c>
      <c r="G334" s="8">
        <v>84.8</v>
      </c>
      <c r="H334" s="21" t="s">
        <v>68</v>
      </c>
      <c r="I334" s="7" t="str">
        <f t="shared" si="40"/>
        <v>Variable</v>
      </c>
      <c r="J334" s="8">
        <f t="shared" si="44"/>
        <v>-586.82999999999959</v>
      </c>
      <c r="K334" s="93" t="s">
        <v>355</v>
      </c>
    </row>
    <row r="335" spans="1:11" x14ac:dyDescent="0.65">
      <c r="A335" s="22">
        <f t="shared" si="42"/>
        <v>2021</v>
      </c>
      <c r="B335" s="6">
        <f t="shared" si="43"/>
        <v>6</v>
      </c>
      <c r="C335" s="87">
        <v>44351</v>
      </c>
      <c r="D335" s="87">
        <v>44351</v>
      </c>
      <c r="E335" t="str">
        <f t="shared" si="41"/>
        <v>U HAU</v>
      </c>
      <c r="F335" s="99" t="s">
        <v>336</v>
      </c>
      <c r="G335" s="8">
        <v>88.37</v>
      </c>
      <c r="H335" s="21" t="s">
        <v>89</v>
      </c>
      <c r="I335" s="7" t="str">
        <f t="shared" si="40"/>
        <v>Variable</v>
      </c>
      <c r="J335" s="8">
        <f t="shared" si="44"/>
        <v>-498.45999999999958</v>
      </c>
      <c r="K335" s="93" t="s">
        <v>355</v>
      </c>
    </row>
    <row r="336" spans="1:11" x14ac:dyDescent="0.65">
      <c r="A336" s="22">
        <f t="shared" si="42"/>
        <v>2021</v>
      </c>
      <c r="B336" s="6">
        <f t="shared" si="43"/>
        <v>6</v>
      </c>
      <c r="C336" s="87">
        <v>44352</v>
      </c>
      <c r="D336" s="87">
        <v>44352</v>
      </c>
      <c r="E336" t="str">
        <f t="shared" si="41"/>
        <v>LOWE'</v>
      </c>
      <c r="F336" s="99" t="s">
        <v>251</v>
      </c>
      <c r="G336" s="8">
        <v>1.36</v>
      </c>
      <c r="H336" s="21" t="s">
        <v>195</v>
      </c>
      <c r="I336" s="7" t="str">
        <f t="shared" si="40"/>
        <v>Variable</v>
      </c>
      <c r="J336" s="8">
        <f t="shared" si="44"/>
        <v>-497.09999999999957</v>
      </c>
      <c r="K336" s="93" t="s">
        <v>355</v>
      </c>
    </row>
    <row r="337" spans="1:11" x14ac:dyDescent="0.65">
      <c r="A337" s="22">
        <f t="shared" si="42"/>
        <v>2021</v>
      </c>
      <c r="B337" s="6">
        <f t="shared" si="43"/>
        <v>6</v>
      </c>
      <c r="C337" s="87">
        <v>44352</v>
      </c>
      <c r="D337" s="87">
        <v>44352</v>
      </c>
      <c r="E337" t="str">
        <f t="shared" si="41"/>
        <v>PANER</v>
      </c>
      <c r="F337" s="99" t="s">
        <v>337</v>
      </c>
      <c r="G337" s="8">
        <v>13.72</v>
      </c>
      <c r="H337" s="21" t="s">
        <v>41</v>
      </c>
      <c r="I337" s="7" t="str">
        <f t="shared" si="40"/>
        <v>Variable</v>
      </c>
      <c r="J337" s="8">
        <f t="shared" si="44"/>
        <v>-483.37999999999954</v>
      </c>
      <c r="K337" s="85"/>
    </row>
    <row r="338" spans="1:11" x14ac:dyDescent="0.65">
      <c r="A338" s="22">
        <f t="shared" si="42"/>
        <v>2021</v>
      </c>
      <c r="B338" s="6">
        <f t="shared" si="43"/>
        <v>6</v>
      </c>
      <c r="C338" s="87">
        <v>44352</v>
      </c>
      <c r="D338" s="87">
        <v>44352</v>
      </c>
      <c r="E338" t="str">
        <f t="shared" si="41"/>
        <v>TARGE</v>
      </c>
      <c r="F338" s="99" t="s">
        <v>98</v>
      </c>
      <c r="G338" s="8">
        <v>80.55</v>
      </c>
      <c r="H338" s="21" t="s">
        <v>68</v>
      </c>
      <c r="I338" s="7" t="str">
        <f t="shared" si="40"/>
        <v>Variable</v>
      </c>
      <c r="J338" s="8">
        <f t="shared" si="44"/>
        <v>-402.82999999999953</v>
      </c>
      <c r="K338" s="93" t="s">
        <v>355</v>
      </c>
    </row>
    <row r="339" spans="1:11" x14ac:dyDescent="0.65">
      <c r="A339" s="22">
        <f t="shared" si="42"/>
        <v>2021</v>
      </c>
      <c r="B339" s="6">
        <f t="shared" si="43"/>
        <v>6</v>
      </c>
      <c r="C339" s="87">
        <v>44352</v>
      </c>
      <c r="D339" s="87">
        <v>44352</v>
      </c>
      <c r="E339" t="str">
        <f t="shared" si="41"/>
        <v xml:space="preserve">USPS </v>
      </c>
      <c r="F339" s="99" t="s">
        <v>338</v>
      </c>
      <c r="G339" s="8">
        <v>1.05</v>
      </c>
      <c r="H339" s="21" t="s">
        <v>119</v>
      </c>
      <c r="I339" s="7" t="str">
        <f t="shared" si="40"/>
        <v>Fixed</v>
      </c>
      <c r="J339" s="8">
        <f t="shared" si="44"/>
        <v>-401.77999999999952</v>
      </c>
      <c r="K339" s="93" t="s">
        <v>355</v>
      </c>
    </row>
    <row r="340" spans="1:11" x14ac:dyDescent="0.65">
      <c r="A340" s="22">
        <f t="shared" si="42"/>
        <v>2021</v>
      </c>
      <c r="B340" s="6">
        <f t="shared" si="43"/>
        <v>6</v>
      </c>
      <c r="C340" s="87">
        <v>44353</v>
      </c>
      <c r="D340" s="87">
        <v>44353</v>
      </c>
      <c r="E340" t="str">
        <f t="shared" si="41"/>
        <v xml:space="preserve">LYFT </v>
      </c>
      <c r="F340" s="99" t="s">
        <v>339</v>
      </c>
      <c r="G340" s="8">
        <v>31.77</v>
      </c>
      <c r="H340" s="21" t="s">
        <v>89</v>
      </c>
      <c r="I340" s="7" t="str">
        <f t="shared" si="40"/>
        <v>Variable</v>
      </c>
      <c r="J340" s="8">
        <f t="shared" si="44"/>
        <v>-370.00999999999954</v>
      </c>
      <c r="K340" s="85"/>
    </row>
    <row r="341" spans="1:11" x14ac:dyDescent="0.65">
      <c r="A341" s="22">
        <f t="shared" si="42"/>
        <v>2021</v>
      </c>
      <c r="B341" s="6">
        <f t="shared" si="43"/>
        <v>6</v>
      </c>
      <c r="C341" s="87">
        <v>44353</v>
      </c>
      <c r="D341" s="87">
        <v>44353</v>
      </c>
      <c r="E341" t="str">
        <f t="shared" si="41"/>
        <v>TARGE</v>
      </c>
      <c r="F341" s="99" t="s">
        <v>98</v>
      </c>
      <c r="G341" s="8">
        <v>192.86</v>
      </c>
      <c r="H341" s="21" t="s">
        <v>68</v>
      </c>
      <c r="I341" s="7" t="str">
        <f t="shared" si="40"/>
        <v>Variable</v>
      </c>
      <c r="J341" s="8">
        <f t="shared" si="44"/>
        <v>-177.14999999999952</v>
      </c>
      <c r="K341" s="93" t="s">
        <v>355</v>
      </c>
    </row>
    <row r="342" spans="1:11" x14ac:dyDescent="0.65">
      <c r="A342" s="22">
        <f t="shared" si="42"/>
        <v>2021</v>
      </c>
      <c r="B342" s="6">
        <f t="shared" si="43"/>
        <v>6</v>
      </c>
      <c r="C342" s="87">
        <v>44354</v>
      </c>
      <c r="D342" s="87">
        <v>44354</v>
      </c>
      <c r="E342" t="str">
        <f t="shared" si="41"/>
        <v>AMERI</v>
      </c>
      <c r="F342" s="99" t="s">
        <v>184</v>
      </c>
      <c r="G342" s="8">
        <v>94.95</v>
      </c>
      <c r="H342" s="93" t="s">
        <v>26</v>
      </c>
      <c r="I342" s="7" t="str">
        <f t="shared" si="40"/>
        <v>Fixed</v>
      </c>
      <c r="J342" s="8">
        <f t="shared" si="44"/>
        <v>-82.19999999999952</v>
      </c>
      <c r="K342" s="85" t="s">
        <v>324</v>
      </c>
    </row>
    <row r="343" spans="1:11" x14ac:dyDescent="0.65">
      <c r="A343" s="22">
        <f t="shared" si="42"/>
        <v>2021</v>
      </c>
      <c r="B343" s="6">
        <f t="shared" si="43"/>
        <v>6</v>
      </c>
      <c r="C343" s="87">
        <v>44354</v>
      </c>
      <c r="D343" s="87">
        <v>44354</v>
      </c>
      <c r="E343" t="str">
        <f t="shared" si="41"/>
        <v>BEDBA</v>
      </c>
      <c r="F343" s="99" t="s">
        <v>340</v>
      </c>
      <c r="G343" s="8">
        <v>110.19</v>
      </c>
      <c r="H343" s="21" t="s">
        <v>68</v>
      </c>
      <c r="I343" s="7" t="str">
        <f t="shared" si="40"/>
        <v>Variable</v>
      </c>
      <c r="J343" s="8">
        <f t="shared" si="44"/>
        <v>27.990000000000478</v>
      </c>
      <c r="K343" s="85"/>
    </row>
    <row r="344" spans="1:11" x14ac:dyDescent="0.65">
      <c r="A344" s="22">
        <f t="shared" si="42"/>
        <v>2021</v>
      </c>
      <c r="B344" s="6">
        <f t="shared" si="43"/>
        <v>6</v>
      </c>
      <c r="C344" s="87">
        <v>44356</v>
      </c>
      <c r="D344" s="87">
        <v>44356</v>
      </c>
      <c r="E344" t="str">
        <f t="shared" si="41"/>
        <v>CCBIL</v>
      </c>
      <c r="F344" s="99" t="s">
        <v>341</v>
      </c>
      <c r="G344" s="8">
        <v>4.99</v>
      </c>
      <c r="H344" s="21" t="s">
        <v>68</v>
      </c>
      <c r="I344" s="7" t="str">
        <f t="shared" si="40"/>
        <v>Variable</v>
      </c>
      <c r="J344" s="8">
        <f t="shared" si="44"/>
        <v>32.98000000000048</v>
      </c>
      <c r="K344" s="85"/>
    </row>
    <row r="345" spans="1:11" x14ac:dyDescent="0.65">
      <c r="A345" s="22">
        <f t="shared" si="42"/>
        <v>2021</v>
      </c>
      <c r="B345" s="6">
        <f t="shared" si="43"/>
        <v>6</v>
      </c>
      <c r="C345" s="87">
        <v>44356</v>
      </c>
      <c r="D345" s="87">
        <v>44356</v>
      </c>
      <c r="E345" t="str">
        <f t="shared" si="41"/>
        <v>ONLYF</v>
      </c>
      <c r="F345" s="99" t="s">
        <v>342</v>
      </c>
      <c r="G345" s="8">
        <v>3.89</v>
      </c>
      <c r="H345" s="21" t="s">
        <v>68</v>
      </c>
      <c r="I345" s="7" t="str">
        <f t="shared" si="40"/>
        <v>Variable</v>
      </c>
      <c r="J345" s="8">
        <f t="shared" si="44"/>
        <v>36.870000000000481</v>
      </c>
      <c r="K345" s="85"/>
    </row>
    <row r="346" spans="1:11" x14ac:dyDescent="0.65">
      <c r="A346" s="22">
        <f t="shared" si="42"/>
        <v>2021</v>
      </c>
      <c r="B346" s="6">
        <f t="shared" si="43"/>
        <v>6</v>
      </c>
      <c r="C346" s="87">
        <v>44356</v>
      </c>
      <c r="D346" s="87">
        <v>44356</v>
      </c>
      <c r="E346" t="str">
        <f t="shared" si="41"/>
        <v>SQUAR</v>
      </c>
      <c r="F346" s="99" t="s">
        <v>238</v>
      </c>
      <c r="G346" s="8">
        <v>77.94</v>
      </c>
      <c r="H346" s="93" t="s">
        <v>26</v>
      </c>
      <c r="I346" s="7" t="str">
        <f t="shared" si="40"/>
        <v>Fixed</v>
      </c>
      <c r="J346" s="8">
        <f t="shared" si="44"/>
        <v>114.81000000000049</v>
      </c>
      <c r="K346" s="85" t="s">
        <v>283</v>
      </c>
    </row>
    <row r="347" spans="1:11" x14ac:dyDescent="0.65">
      <c r="A347" s="22">
        <f t="shared" si="42"/>
        <v>2021</v>
      </c>
      <c r="B347" s="6">
        <f t="shared" si="43"/>
        <v>6</v>
      </c>
      <c r="C347" s="87">
        <v>44357</v>
      </c>
      <c r="D347" s="87">
        <v>44357</v>
      </c>
      <c r="E347" t="str">
        <f t="shared" si="41"/>
        <v xml:space="preserve">CAVA </v>
      </c>
      <c r="F347" s="99" t="s">
        <v>343</v>
      </c>
      <c r="G347" s="8">
        <v>25.06</v>
      </c>
      <c r="H347" s="21" t="s">
        <v>41</v>
      </c>
      <c r="I347" s="7" t="str">
        <f t="shared" ref="I347:I410" si="45">VLOOKUP(H347,Expense_Lookup,2,0)</f>
        <v>Variable</v>
      </c>
      <c r="J347" s="8">
        <f t="shared" si="44"/>
        <v>139.87000000000049</v>
      </c>
      <c r="K347" s="85"/>
    </row>
    <row r="348" spans="1:11" x14ac:dyDescent="0.65">
      <c r="A348" s="22">
        <f t="shared" si="42"/>
        <v>2021</v>
      </c>
      <c r="B348" s="6">
        <f t="shared" si="43"/>
        <v>6</v>
      </c>
      <c r="C348" s="87">
        <v>44357</v>
      </c>
      <c r="D348" s="87">
        <v>44357</v>
      </c>
      <c r="E348" t="str">
        <f t="shared" si="41"/>
        <v>CCBIL</v>
      </c>
      <c r="F348" s="99" t="s">
        <v>341</v>
      </c>
      <c r="G348" s="8">
        <v>6.25</v>
      </c>
      <c r="H348" s="21" t="s">
        <v>68</v>
      </c>
      <c r="I348" s="7" t="str">
        <f t="shared" si="45"/>
        <v>Variable</v>
      </c>
      <c r="J348" s="8">
        <f t="shared" si="44"/>
        <v>146.12000000000049</v>
      </c>
      <c r="K348" s="85"/>
    </row>
    <row r="349" spans="1:11" x14ac:dyDescent="0.65">
      <c r="A349" s="22">
        <f t="shared" si="42"/>
        <v>2021</v>
      </c>
      <c r="B349" s="6">
        <f t="shared" si="43"/>
        <v>6</v>
      </c>
      <c r="C349" s="87">
        <v>44357</v>
      </c>
      <c r="D349" s="87">
        <v>44357</v>
      </c>
      <c r="E349" t="str">
        <f t="shared" si="41"/>
        <v>CCBIL</v>
      </c>
      <c r="F349" s="99" t="s">
        <v>341</v>
      </c>
      <c r="G349" s="8">
        <v>9.99</v>
      </c>
      <c r="H349" s="21" t="s">
        <v>68</v>
      </c>
      <c r="I349" s="7" t="str">
        <f t="shared" si="45"/>
        <v>Variable</v>
      </c>
      <c r="J349" s="8">
        <f t="shared" si="44"/>
        <v>156.1100000000005</v>
      </c>
      <c r="K349" s="85"/>
    </row>
    <row r="350" spans="1:11" x14ac:dyDescent="0.65">
      <c r="A350" s="22">
        <f t="shared" si="42"/>
        <v>2021</v>
      </c>
      <c r="B350" s="6">
        <f t="shared" si="43"/>
        <v>6</v>
      </c>
      <c r="C350" s="87">
        <v>44357</v>
      </c>
      <c r="D350" s="87">
        <v>44357</v>
      </c>
      <c r="E350" t="str">
        <f t="shared" si="41"/>
        <v>CCBIL</v>
      </c>
      <c r="F350" s="99" t="s">
        <v>341</v>
      </c>
      <c r="G350" s="8">
        <v>11.99</v>
      </c>
      <c r="H350" s="21" t="s">
        <v>68</v>
      </c>
      <c r="I350" s="7" t="str">
        <f t="shared" si="45"/>
        <v>Variable</v>
      </c>
      <c r="J350" s="8">
        <f t="shared" si="44"/>
        <v>168.10000000000051</v>
      </c>
      <c r="K350" s="85"/>
    </row>
    <row r="351" spans="1:11" x14ac:dyDescent="0.65">
      <c r="A351" s="22">
        <f t="shared" si="42"/>
        <v>2021</v>
      </c>
      <c r="B351" s="6">
        <f t="shared" si="43"/>
        <v>6</v>
      </c>
      <c r="C351" s="87">
        <v>44357</v>
      </c>
      <c r="D351" s="87">
        <v>44357</v>
      </c>
      <c r="E351" t="str">
        <f t="shared" si="41"/>
        <v>STARB</v>
      </c>
      <c r="F351" s="99" t="s">
        <v>344</v>
      </c>
      <c r="G351" s="8">
        <v>3.13</v>
      </c>
      <c r="H351" s="21" t="s">
        <v>41</v>
      </c>
      <c r="I351" s="7" t="str">
        <f t="shared" si="45"/>
        <v>Variable</v>
      </c>
      <c r="J351" s="8">
        <f t="shared" si="44"/>
        <v>171.2300000000005</v>
      </c>
      <c r="K351" s="85"/>
    </row>
    <row r="352" spans="1:11" x14ac:dyDescent="0.65">
      <c r="A352" s="22">
        <f t="shared" si="42"/>
        <v>2021</v>
      </c>
      <c r="B352" s="6">
        <f t="shared" si="43"/>
        <v>6</v>
      </c>
      <c r="C352" s="87">
        <v>44358</v>
      </c>
      <c r="D352" s="87">
        <v>44358</v>
      </c>
      <c r="E352" t="str">
        <f t="shared" si="41"/>
        <v>APPLE</v>
      </c>
      <c r="F352" s="99" t="s">
        <v>345</v>
      </c>
      <c r="G352" s="8">
        <v>15.89</v>
      </c>
      <c r="H352" s="93" t="s">
        <v>26</v>
      </c>
      <c r="I352" s="7" t="str">
        <f t="shared" si="45"/>
        <v>Fixed</v>
      </c>
      <c r="J352" s="8">
        <f t="shared" si="44"/>
        <v>187.12000000000052</v>
      </c>
      <c r="K352" s="85" t="s">
        <v>294</v>
      </c>
    </row>
    <row r="353" spans="1:11" x14ac:dyDescent="0.65">
      <c r="A353" s="22">
        <f t="shared" si="42"/>
        <v>2021</v>
      </c>
      <c r="B353" s="6">
        <f t="shared" si="43"/>
        <v>6</v>
      </c>
      <c r="C353" s="87">
        <v>44358</v>
      </c>
      <c r="D353" s="87">
        <v>44358</v>
      </c>
      <c r="E353" t="str">
        <f t="shared" si="41"/>
        <v>JIMMY</v>
      </c>
      <c r="F353" s="99" t="s">
        <v>346</v>
      </c>
      <c r="G353" s="8">
        <v>16.78</v>
      </c>
      <c r="H353" s="21" t="s">
        <v>41</v>
      </c>
      <c r="I353" s="7" t="str">
        <f t="shared" si="45"/>
        <v>Variable</v>
      </c>
      <c r="J353" s="8">
        <f t="shared" si="44"/>
        <v>203.90000000000052</v>
      </c>
      <c r="K353" s="85"/>
    </row>
    <row r="354" spans="1:11" x14ac:dyDescent="0.65">
      <c r="A354" s="22">
        <f t="shared" si="42"/>
        <v>2021</v>
      </c>
      <c r="B354" s="6">
        <f t="shared" si="43"/>
        <v>6</v>
      </c>
      <c r="C354" s="87">
        <v>44358</v>
      </c>
      <c r="D354" s="87">
        <v>44358</v>
      </c>
      <c r="E354" t="str">
        <f t="shared" si="41"/>
        <v>PAYPA</v>
      </c>
      <c r="F354" s="99" t="s">
        <v>347</v>
      </c>
      <c r="G354" s="8">
        <v>52.11</v>
      </c>
      <c r="H354" s="21" t="s">
        <v>68</v>
      </c>
      <c r="I354" s="7" t="str">
        <f t="shared" si="45"/>
        <v>Variable</v>
      </c>
      <c r="J354" s="8">
        <f t="shared" si="44"/>
        <v>256.0100000000005</v>
      </c>
      <c r="K354" s="93" t="s">
        <v>356</v>
      </c>
    </row>
    <row r="355" spans="1:11" x14ac:dyDescent="0.65">
      <c r="A355" s="22">
        <f t="shared" si="42"/>
        <v>2021</v>
      </c>
      <c r="B355" s="6">
        <f t="shared" si="43"/>
        <v>6</v>
      </c>
      <c r="C355" s="87">
        <v>44358</v>
      </c>
      <c r="D355" s="87">
        <v>44358</v>
      </c>
      <c r="E355" t="str">
        <f t="shared" si="41"/>
        <v>YCC S</v>
      </c>
      <c r="F355" s="99" t="s">
        <v>348</v>
      </c>
      <c r="G355" s="8">
        <v>31.8</v>
      </c>
      <c r="H355" s="21" t="s">
        <v>68</v>
      </c>
      <c r="I355" s="7" t="str">
        <f t="shared" si="45"/>
        <v>Variable</v>
      </c>
      <c r="J355" s="8">
        <f t="shared" si="44"/>
        <v>287.81000000000051</v>
      </c>
      <c r="K355" s="85"/>
    </row>
    <row r="356" spans="1:11" x14ac:dyDescent="0.65">
      <c r="A356" s="22">
        <f t="shared" si="42"/>
        <v>2021</v>
      </c>
      <c r="B356" s="6">
        <f t="shared" si="43"/>
        <v>6</v>
      </c>
      <c r="C356" s="87">
        <v>44359</v>
      </c>
      <c r="D356" s="87">
        <v>44359</v>
      </c>
      <c r="E356" t="str">
        <f t="shared" si="41"/>
        <v>BARNE</v>
      </c>
      <c r="F356" s="99" t="s">
        <v>349</v>
      </c>
      <c r="G356" s="8">
        <v>8.3699999999999992</v>
      </c>
      <c r="H356" s="21" t="s">
        <v>68</v>
      </c>
      <c r="I356" s="7" t="str">
        <f t="shared" si="45"/>
        <v>Variable</v>
      </c>
      <c r="J356" s="8">
        <f t="shared" si="44"/>
        <v>296.18000000000052</v>
      </c>
      <c r="K356" s="85"/>
    </row>
    <row r="357" spans="1:11" x14ac:dyDescent="0.65">
      <c r="A357" s="22">
        <f t="shared" si="42"/>
        <v>2021</v>
      </c>
      <c r="B357" s="6">
        <f t="shared" si="43"/>
        <v>6</v>
      </c>
      <c r="C357" s="87">
        <v>44359</v>
      </c>
      <c r="D357" s="87">
        <v>44359</v>
      </c>
      <c r="E357" t="str">
        <f t="shared" si="41"/>
        <v>OFFIC</v>
      </c>
      <c r="F357" s="99" t="s">
        <v>350</v>
      </c>
      <c r="G357" s="8">
        <v>0.24</v>
      </c>
      <c r="H357" s="21" t="s">
        <v>68</v>
      </c>
      <c r="I357" s="7" t="str">
        <f t="shared" si="45"/>
        <v>Variable</v>
      </c>
      <c r="J357" s="8">
        <f t="shared" si="44"/>
        <v>296.42000000000053</v>
      </c>
      <c r="K357" s="93" t="s">
        <v>357</v>
      </c>
    </row>
    <row r="358" spans="1:11" x14ac:dyDescent="0.65">
      <c r="A358" s="22">
        <f t="shared" si="42"/>
        <v>2021</v>
      </c>
      <c r="B358" s="6">
        <f t="shared" si="43"/>
        <v>6</v>
      </c>
      <c r="C358" s="87">
        <v>44359</v>
      </c>
      <c r="D358" s="87">
        <v>44359</v>
      </c>
      <c r="E358" t="str">
        <f t="shared" si="41"/>
        <v>OFFIC</v>
      </c>
      <c r="F358" s="99" t="s">
        <v>350</v>
      </c>
      <c r="G358" s="8">
        <v>14.18</v>
      </c>
      <c r="H358" s="21" t="s">
        <v>68</v>
      </c>
      <c r="I358" s="7" t="str">
        <f t="shared" si="45"/>
        <v>Variable</v>
      </c>
      <c r="J358" s="8">
        <f t="shared" si="44"/>
        <v>310.60000000000053</v>
      </c>
      <c r="K358" s="85"/>
    </row>
    <row r="359" spans="1:11" x14ac:dyDescent="0.65">
      <c r="A359" s="22">
        <f t="shared" si="42"/>
        <v>2021</v>
      </c>
      <c r="B359" s="6">
        <f t="shared" si="43"/>
        <v>6</v>
      </c>
      <c r="C359" s="87">
        <v>44359</v>
      </c>
      <c r="D359" s="87">
        <v>44359</v>
      </c>
      <c r="E359" t="str">
        <f t="shared" si="41"/>
        <v>PAYPA</v>
      </c>
      <c r="F359" s="99" t="s">
        <v>59</v>
      </c>
      <c r="G359" s="8">
        <v>1.99</v>
      </c>
      <c r="H359" s="93" t="s">
        <v>26</v>
      </c>
      <c r="I359" s="7" t="str">
        <f t="shared" si="45"/>
        <v>Fixed</v>
      </c>
      <c r="J359" s="8">
        <f t="shared" si="44"/>
        <v>312.59000000000054</v>
      </c>
      <c r="K359" s="93" t="s">
        <v>284</v>
      </c>
    </row>
    <row r="360" spans="1:11" x14ac:dyDescent="0.65">
      <c r="A360" s="22">
        <f t="shared" si="42"/>
        <v>2021</v>
      </c>
      <c r="B360" s="6">
        <f t="shared" si="43"/>
        <v>6</v>
      </c>
      <c r="C360" s="87">
        <v>44360</v>
      </c>
      <c r="D360" s="87">
        <v>44360</v>
      </c>
      <c r="E360" t="str">
        <f t="shared" si="41"/>
        <v>MCDON</v>
      </c>
      <c r="F360" s="99" t="s">
        <v>351</v>
      </c>
      <c r="G360" s="8">
        <v>2.3199999999999998</v>
      </c>
      <c r="H360" s="21" t="s">
        <v>41</v>
      </c>
      <c r="I360" s="7" t="str">
        <f t="shared" si="45"/>
        <v>Variable</v>
      </c>
      <c r="J360" s="8">
        <f t="shared" si="44"/>
        <v>314.91000000000054</v>
      </c>
      <c r="K360" s="85"/>
    </row>
    <row r="361" spans="1:11" x14ac:dyDescent="0.65">
      <c r="A361" s="22">
        <f t="shared" si="42"/>
        <v>2021</v>
      </c>
      <c r="B361" s="6">
        <f t="shared" si="43"/>
        <v>6</v>
      </c>
      <c r="C361" s="87">
        <v>44361</v>
      </c>
      <c r="D361" s="87">
        <v>44361</v>
      </c>
      <c r="E361" t="str">
        <f t="shared" si="41"/>
        <v xml:space="preserve">WAWA </v>
      </c>
      <c r="F361" s="99" t="s">
        <v>352</v>
      </c>
      <c r="G361" s="8">
        <v>30.12</v>
      </c>
      <c r="H361" s="21" t="s">
        <v>24</v>
      </c>
      <c r="I361" s="7" t="str">
        <f t="shared" si="45"/>
        <v>Variable</v>
      </c>
      <c r="J361" s="8">
        <f t="shared" si="44"/>
        <v>345.03000000000054</v>
      </c>
      <c r="K361" s="85"/>
    </row>
    <row r="362" spans="1:11" x14ac:dyDescent="0.65">
      <c r="A362" s="22">
        <f t="shared" si="42"/>
        <v>2021</v>
      </c>
      <c r="B362" s="6">
        <f t="shared" si="43"/>
        <v>6</v>
      </c>
      <c r="C362" s="87">
        <v>44363</v>
      </c>
      <c r="D362" s="87">
        <v>44363</v>
      </c>
      <c r="E362" t="str">
        <f t="shared" si="41"/>
        <v xml:space="preserve">USPS </v>
      </c>
      <c r="F362" s="99" t="s">
        <v>353</v>
      </c>
      <c r="G362" s="8">
        <v>194</v>
      </c>
      <c r="H362" s="21" t="s">
        <v>119</v>
      </c>
      <c r="I362" s="7" t="str">
        <f t="shared" si="45"/>
        <v>Fixed</v>
      </c>
      <c r="J362" s="8">
        <f t="shared" si="44"/>
        <v>539.03000000000054</v>
      </c>
      <c r="K362" s="85"/>
    </row>
    <row r="363" spans="1:11" x14ac:dyDescent="0.65">
      <c r="A363" s="22">
        <f t="shared" si="42"/>
        <v>2021</v>
      </c>
      <c r="B363" s="6">
        <f t="shared" si="43"/>
        <v>6</v>
      </c>
      <c r="C363" s="87">
        <v>44364</v>
      </c>
      <c r="D363" s="87">
        <v>44364</v>
      </c>
      <c r="E363" t="str">
        <f t="shared" si="41"/>
        <v>VERIZ</v>
      </c>
      <c r="F363" s="99" t="s">
        <v>354</v>
      </c>
      <c r="G363" s="8">
        <v>50</v>
      </c>
      <c r="H363" s="93" t="s">
        <v>26</v>
      </c>
      <c r="I363" s="7" t="str">
        <f t="shared" si="45"/>
        <v>Fixed</v>
      </c>
      <c r="J363" s="8">
        <f t="shared" si="44"/>
        <v>589.03000000000054</v>
      </c>
      <c r="K363" s="93" t="s">
        <v>359</v>
      </c>
    </row>
    <row r="364" spans="1:11" x14ac:dyDescent="0.65">
      <c r="A364" s="22">
        <f t="shared" ref="A364:A427" si="46">YEAR(C364)</f>
        <v>2021</v>
      </c>
      <c r="B364" s="6">
        <f t="shared" si="43"/>
        <v>6</v>
      </c>
      <c r="C364" s="87">
        <v>44365</v>
      </c>
      <c r="D364" s="87">
        <v>44365</v>
      </c>
      <c r="E364" t="str">
        <f t="shared" si="41"/>
        <v>OFFIC</v>
      </c>
      <c r="F364" s="99" t="s">
        <v>537</v>
      </c>
      <c r="G364" s="8">
        <v>7.82</v>
      </c>
      <c r="H364" s="93" t="s">
        <v>68</v>
      </c>
      <c r="I364" s="7" t="str">
        <f t="shared" si="45"/>
        <v>Variable</v>
      </c>
      <c r="J364" s="8">
        <f t="shared" ref="J364:J427" si="47">J363+G364</f>
        <v>596.85000000000059</v>
      </c>
      <c r="K364" s="93"/>
    </row>
    <row r="365" spans="1:11" x14ac:dyDescent="0.65">
      <c r="A365" s="22">
        <f t="shared" si="46"/>
        <v>2021</v>
      </c>
      <c r="B365" s="6">
        <f t="shared" si="43"/>
        <v>6</v>
      </c>
      <c r="C365" s="87">
        <v>44365</v>
      </c>
      <c r="D365" s="87">
        <v>44365</v>
      </c>
      <c r="E365" t="str">
        <f t="shared" si="41"/>
        <v>T-MOB</v>
      </c>
      <c r="F365" s="102" t="s">
        <v>100</v>
      </c>
      <c r="G365" s="8">
        <v>86.25</v>
      </c>
      <c r="H365" s="130" t="s">
        <v>26</v>
      </c>
      <c r="I365" s="7" t="str">
        <f t="shared" si="45"/>
        <v>Fixed</v>
      </c>
      <c r="J365" s="8">
        <f t="shared" si="47"/>
        <v>683.10000000000059</v>
      </c>
      <c r="K365" s="93"/>
    </row>
    <row r="366" spans="1:11" x14ac:dyDescent="0.65">
      <c r="A366" s="22">
        <f t="shared" si="46"/>
        <v>2021</v>
      </c>
      <c r="B366" s="6">
        <f t="shared" si="43"/>
        <v>6</v>
      </c>
      <c r="C366" s="87">
        <v>44366</v>
      </c>
      <c r="D366" s="87">
        <v>44366</v>
      </c>
      <c r="E366" t="str">
        <f t="shared" si="41"/>
        <v>CHICK</v>
      </c>
      <c r="F366" s="99" t="s">
        <v>538</v>
      </c>
      <c r="G366" s="8">
        <v>11.05</v>
      </c>
      <c r="H366" s="93" t="s">
        <v>41</v>
      </c>
      <c r="I366" s="7" t="str">
        <f t="shared" si="45"/>
        <v>Variable</v>
      </c>
      <c r="J366" s="8">
        <f t="shared" si="47"/>
        <v>694.15000000000055</v>
      </c>
      <c r="K366" s="93"/>
    </row>
    <row r="367" spans="1:11" x14ac:dyDescent="0.65">
      <c r="A367" s="22">
        <f t="shared" si="46"/>
        <v>2021</v>
      </c>
      <c r="B367" s="6">
        <f t="shared" si="43"/>
        <v>6</v>
      </c>
      <c r="C367" s="87">
        <v>44366</v>
      </c>
      <c r="D367" s="87">
        <v>44366</v>
      </c>
      <c r="E367" t="str">
        <f t="shared" si="41"/>
        <v>OFFIC</v>
      </c>
      <c r="F367" s="99" t="s">
        <v>539</v>
      </c>
      <c r="G367" s="8">
        <v>74.19</v>
      </c>
      <c r="H367" s="93" t="s">
        <v>68</v>
      </c>
      <c r="I367" s="7" t="str">
        <f t="shared" si="45"/>
        <v>Variable</v>
      </c>
      <c r="J367" s="8">
        <f t="shared" si="47"/>
        <v>768.3400000000006</v>
      </c>
      <c r="K367" s="93"/>
    </row>
    <row r="368" spans="1:11" x14ac:dyDescent="0.65">
      <c r="A368" s="22">
        <f t="shared" si="46"/>
        <v>2021</v>
      </c>
      <c r="B368" s="6">
        <f t="shared" si="43"/>
        <v>6</v>
      </c>
      <c r="C368" s="87">
        <v>44367</v>
      </c>
      <c r="D368" s="87">
        <v>44367</v>
      </c>
      <c r="E368" t="str">
        <f t="shared" si="41"/>
        <v>SHELL</v>
      </c>
      <c r="F368" s="99" t="s">
        <v>540</v>
      </c>
      <c r="G368" s="8">
        <v>17.53</v>
      </c>
      <c r="H368" s="93" t="s">
        <v>24</v>
      </c>
      <c r="I368" s="7" t="str">
        <f t="shared" si="45"/>
        <v>Variable</v>
      </c>
      <c r="J368" s="8">
        <f t="shared" si="47"/>
        <v>785.87000000000057</v>
      </c>
      <c r="K368" s="93"/>
    </row>
    <row r="369" spans="1:11" x14ac:dyDescent="0.65">
      <c r="A369" s="22">
        <f t="shared" si="46"/>
        <v>2021</v>
      </c>
      <c r="B369" s="6">
        <f t="shared" si="43"/>
        <v>6</v>
      </c>
      <c r="C369" s="87">
        <v>44368</v>
      </c>
      <c r="D369" s="87">
        <v>44368</v>
      </c>
      <c r="E369" t="str">
        <f t="shared" si="41"/>
        <v xml:space="preserve">AMZN </v>
      </c>
      <c r="F369" s="99" t="s">
        <v>541</v>
      </c>
      <c r="G369" s="8">
        <v>5.4</v>
      </c>
      <c r="H369" s="93" t="s">
        <v>68</v>
      </c>
      <c r="I369" s="7" t="str">
        <f t="shared" si="45"/>
        <v>Variable</v>
      </c>
      <c r="J369" s="8">
        <f t="shared" si="47"/>
        <v>791.27000000000055</v>
      </c>
      <c r="K369" s="93"/>
    </row>
    <row r="370" spans="1:11" x14ac:dyDescent="0.65">
      <c r="A370" s="22">
        <f t="shared" si="46"/>
        <v>2021</v>
      </c>
      <c r="B370" s="6">
        <f t="shared" si="43"/>
        <v>6</v>
      </c>
      <c r="C370" s="87">
        <v>44368</v>
      </c>
      <c r="D370" s="87">
        <v>44368</v>
      </c>
      <c r="E370" t="str">
        <f t="shared" si="41"/>
        <v>BP#96</v>
      </c>
      <c r="F370" s="99" t="s">
        <v>542</v>
      </c>
      <c r="G370" s="8">
        <v>27.87</v>
      </c>
      <c r="H370" s="93" t="s">
        <v>24</v>
      </c>
      <c r="I370" s="7" t="str">
        <f t="shared" si="45"/>
        <v>Variable</v>
      </c>
      <c r="J370" s="8">
        <f t="shared" si="47"/>
        <v>819.14000000000055</v>
      </c>
      <c r="K370" s="93"/>
    </row>
    <row r="371" spans="1:11" x14ac:dyDescent="0.65">
      <c r="A371" s="22">
        <f t="shared" si="46"/>
        <v>2021</v>
      </c>
      <c r="B371" s="6">
        <f t="shared" si="43"/>
        <v>6</v>
      </c>
      <c r="C371" s="87">
        <v>44368</v>
      </c>
      <c r="D371" s="87">
        <v>44368</v>
      </c>
      <c r="E371" t="str">
        <f t="shared" si="41"/>
        <v>MCDON</v>
      </c>
      <c r="F371" s="99" t="s">
        <v>543</v>
      </c>
      <c r="G371" s="8">
        <v>3.81</v>
      </c>
      <c r="H371" s="93" t="s">
        <v>41</v>
      </c>
      <c r="I371" s="7" t="str">
        <f t="shared" si="45"/>
        <v>Variable</v>
      </c>
      <c r="J371" s="8">
        <f t="shared" si="47"/>
        <v>822.9500000000005</v>
      </c>
      <c r="K371" s="93"/>
    </row>
    <row r="372" spans="1:11" x14ac:dyDescent="0.65">
      <c r="A372" s="22">
        <f t="shared" si="46"/>
        <v>2021</v>
      </c>
      <c r="B372" s="6">
        <f t="shared" si="43"/>
        <v>6</v>
      </c>
      <c r="C372" s="87">
        <v>44368</v>
      </c>
      <c r="D372" s="87">
        <v>44368</v>
      </c>
      <c r="E372" t="str">
        <f t="shared" si="41"/>
        <v>PAYPA</v>
      </c>
      <c r="F372" s="99" t="s">
        <v>544</v>
      </c>
      <c r="G372" s="8">
        <v>75</v>
      </c>
      <c r="H372" s="93" t="s">
        <v>52</v>
      </c>
      <c r="I372" s="7" t="str">
        <f t="shared" si="45"/>
        <v>Variable</v>
      </c>
      <c r="J372" s="8">
        <f t="shared" si="47"/>
        <v>897.9500000000005</v>
      </c>
      <c r="K372" s="130" t="s">
        <v>603</v>
      </c>
    </row>
    <row r="373" spans="1:11" x14ac:dyDescent="0.65">
      <c r="A373" s="22">
        <f t="shared" si="46"/>
        <v>2021</v>
      </c>
      <c r="B373" s="6">
        <f t="shared" si="43"/>
        <v>6</v>
      </c>
      <c r="C373" s="87">
        <v>44368</v>
      </c>
      <c r="D373" s="87">
        <v>44368</v>
      </c>
      <c r="E373" t="str">
        <f t="shared" si="41"/>
        <v>PP*PP</v>
      </c>
      <c r="F373" s="99" t="s">
        <v>81</v>
      </c>
      <c r="G373" s="8">
        <v>7.99</v>
      </c>
      <c r="H373" s="130" t="s">
        <v>26</v>
      </c>
      <c r="I373" s="7" t="str">
        <f t="shared" si="45"/>
        <v>Fixed</v>
      </c>
      <c r="J373" s="8">
        <f t="shared" si="47"/>
        <v>905.94000000000051</v>
      </c>
      <c r="K373" s="93"/>
    </row>
    <row r="374" spans="1:11" x14ac:dyDescent="0.65">
      <c r="A374" s="22">
        <f t="shared" si="46"/>
        <v>2021</v>
      </c>
      <c r="B374" s="6">
        <f t="shared" si="43"/>
        <v>6</v>
      </c>
      <c r="C374" s="87">
        <v>44368</v>
      </c>
      <c r="D374" s="87">
        <v>44368</v>
      </c>
      <c r="E374" t="str">
        <f t="shared" si="41"/>
        <v>TARGE</v>
      </c>
      <c r="F374" s="99" t="s">
        <v>98</v>
      </c>
      <c r="G374" s="8">
        <v>60.38</v>
      </c>
      <c r="H374" s="93" t="s">
        <v>68</v>
      </c>
      <c r="I374" s="7" t="str">
        <f t="shared" si="45"/>
        <v>Variable</v>
      </c>
      <c r="J374" s="8">
        <f t="shared" si="47"/>
        <v>966.3200000000005</v>
      </c>
      <c r="K374" s="93"/>
    </row>
    <row r="375" spans="1:11" x14ac:dyDescent="0.65">
      <c r="A375" s="22">
        <f t="shared" si="46"/>
        <v>2021</v>
      </c>
      <c r="B375" s="6">
        <f t="shared" si="43"/>
        <v>6</v>
      </c>
      <c r="C375" s="87">
        <v>44368</v>
      </c>
      <c r="D375" s="87">
        <v>44368</v>
      </c>
      <c r="E375" t="str">
        <f t="shared" si="41"/>
        <v xml:space="preserve">TST* </v>
      </c>
      <c r="F375" s="99" t="s">
        <v>545</v>
      </c>
      <c r="G375" s="8">
        <v>200</v>
      </c>
      <c r="H375" s="93" t="s">
        <v>41</v>
      </c>
      <c r="I375" s="7" t="str">
        <f t="shared" si="45"/>
        <v>Variable</v>
      </c>
      <c r="J375" s="8">
        <f t="shared" si="47"/>
        <v>1166.3200000000006</v>
      </c>
      <c r="K375" s="130" t="s">
        <v>606</v>
      </c>
    </row>
    <row r="376" spans="1:11" x14ac:dyDescent="0.65">
      <c r="A376" s="22">
        <f t="shared" si="46"/>
        <v>2021</v>
      </c>
      <c r="B376" s="6">
        <f t="shared" si="43"/>
        <v>6</v>
      </c>
      <c r="C376" s="87">
        <v>44369</v>
      </c>
      <c r="D376" s="87">
        <v>44369</v>
      </c>
      <c r="E376" t="str">
        <f t="shared" si="41"/>
        <v>EZPAS</v>
      </c>
      <c r="F376" s="99" t="s">
        <v>196</v>
      </c>
      <c r="G376" s="8">
        <v>35</v>
      </c>
      <c r="H376" s="93" t="s">
        <v>89</v>
      </c>
      <c r="I376" s="7" t="str">
        <f t="shared" si="45"/>
        <v>Variable</v>
      </c>
      <c r="J376" s="8">
        <f t="shared" si="47"/>
        <v>1201.3200000000006</v>
      </c>
      <c r="K376" s="93"/>
    </row>
    <row r="377" spans="1:11" x14ac:dyDescent="0.65">
      <c r="A377" s="22">
        <f t="shared" si="46"/>
        <v>2021</v>
      </c>
      <c r="B377" s="6">
        <f t="shared" si="43"/>
        <v>6</v>
      </c>
      <c r="C377" s="87">
        <v>44369</v>
      </c>
      <c r="D377" s="87">
        <v>44369</v>
      </c>
      <c r="E377" t="str">
        <f t="shared" si="41"/>
        <v>PAYPA</v>
      </c>
      <c r="F377" s="99" t="s">
        <v>546</v>
      </c>
      <c r="G377" s="8">
        <v>199</v>
      </c>
      <c r="H377" s="93" t="s">
        <v>91</v>
      </c>
      <c r="I377" s="7" t="str">
        <f t="shared" si="45"/>
        <v>Variable</v>
      </c>
      <c r="J377" s="8">
        <f t="shared" si="47"/>
        <v>1400.3200000000006</v>
      </c>
      <c r="K377" s="93"/>
    </row>
    <row r="378" spans="1:11" x14ac:dyDescent="0.65">
      <c r="A378" s="22">
        <f t="shared" si="46"/>
        <v>2021</v>
      </c>
      <c r="B378" s="6">
        <f t="shared" si="43"/>
        <v>6</v>
      </c>
      <c r="C378" s="87">
        <v>44370</v>
      </c>
      <c r="D378" s="87">
        <v>44370</v>
      </c>
      <c r="E378" t="str">
        <f t="shared" si="41"/>
        <v>INTER</v>
      </c>
      <c r="F378" s="99" t="s">
        <v>21</v>
      </c>
      <c r="G378" s="8">
        <v>-1869</v>
      </c>
      <c r="H378" s="93" t="s">
        <v>22</v>
      </c>
      <c r="I378" s="7" t="str">
        <f t="shared" si="45"/>
        <v>Payment</v>
      </c>
      <c r="J378" s="8">
        <f t="shared" si="47"/>
        <v>-468.67999999999938</v>
      </c>
      <c r="K378" s="93"/>
    </row>
    <row r="379" spans="1:11" x14ac:dyDescent="0.65">
      <c r="A379" s="22">
        <f t="shared" si="46"/>
        <v>2021</v>
      </c>
      <c r="B379" s="6">
        <f t="shared" si="43"/>
        <v>6</v>
      </c>
      <c r="C379" s="87">
        <v>44370</v>
      </c>
      <c r="D379" s="87">
        <v>44370</v>
      </c>
      <c r="E379" t="str">
        <f t="shared" si="41"/>
        <v xml:space="preserve">TST* </v>
      </c>
      <c r="F379" s="99" t="s">
        <v>547</v>
      </c>
      <c r="G379" s="8">
        <v>22</v>
      </c>
      <c r="H379" s="93" t="s">
        <v>41</v>
      </c>
      <c r="I379" s="7" t="str">
        <f t="shared" si="45"/>
        <v>Variable</v>
      </c>
      <c r="J379" s="8">
        <f t="shared" si="47"/>
        <v>-446.67999999999938</v>
      </c>
      <c r="K379" s="130"/>
    </row>
    <row r="380" spans="1:11" x14ac:dyDescent="0.65">
      <c r="A380" s="22">
        <f t="shared" si="46"/>
        <v>2021</v>
      </c>
      <c r="B380" s="6">
        <f t="shared" si="43"/>
        <v>6</v>
      </c>
      <c r="C380" s="87">
        <v>44371</v>
      </c>
      <c r="D380" s="87">
        <v>44371</v>
      </c>
      <c r="E380" t="str">
        <f t="shared" si="41"/>
        <v>KROGE</v>
      </c>
      <c r="F380" s="99" t="s">
        <v>548</v>
      </c>
      <c r="G380" s="8">
        <v>36.520000000000003</v>
      </c>
      <c r="H380" s="93" t="s">
        <v>90</v>
      </c>
      <c r="I380" s="7" t="str">
        <f t="shared" si="45"/>
        <v>Variable</v>
      </c>
      <c r="J380" s="8">
        <f t="shared" si="47"/>
        <v>-410.1599999999994</v>
      </c>
      <c r="K380" s="93"/>
    </row>
    <row r="381" spans="1:11" x14ac:dyDescent="0.65">
      <c r="A381" s="22">
        <f t="shared" si="46"/>
        <v>2021</v>
      </c>
      <c r="B381" s="6">
        <f t="shared" si="43"/>
        <v>6</v>
      </c>
      <c r="C381" s="87">
        <v>44371</v>
      </c>
      <c r="D381" s="87">
        <v>44371</v>
      </c>
      <c r="E381" t="str">
        <f t="shared" si="41"/>
        <v xml:space="preserve">MIKE </v>
      </c>
      <c r="F381" s="99" t="s">
        <v>549</v>
      </c>
      <c r="G381" s="8">
        <v>88.85</v>
      </c>
      <c r="H381" s="93" t="s">
        <v>52</v>
      </c>
      <c r="I381" s="7" t="str">
        <f t="shared" si="45"/>
        <v>Variable</v>
      </c>
      <c r="J381" s="8">
        <f t="shared" si="47"/>
        <v>-321.30999999999938</v>
      </c>
      <c r="K381" s="130" t="s">
        <v>604</v>
      </c>
    </row>
    <row r="382" spans="1:11" x14ac:dyDescent="0.65">
      <c r="A382" s="22">
        <f t="shared" si="46"/>
        <v>2021</v>
      </c>
      <c r="B382" s="6">
        <f t="shared" si="43"/>
        <v>6</v>
      </c>
      <c r="C382" s="87">
        <v>44372</v>
      </c>
      <c r="D382" s="87">
        <v>44372</v>
      </c>
      <c r="E382" t="str">
        <f t="shared" si="41"/>
        <v xml:space="preserve">AMZN </v>
      </c>
      <c r="F382" s="99" t="s">
        <v>550</v>
      </c>
      <c r="G382" s="8">
        <v>55.11</v>
      </c>
      <c r="H382" s="93" t="s">
        <v>68</v>
      </c>
      <c r="I382" s="7" t="str">
        <f t="shared" si="45"/>
        <v>Variable</v>
      </c>
      <c r="J382" s="8">
        <f t="shared" si="47"/>
        <v>-266.19999999999936</v>
      </c>
      <c r="K382" s="93"/>
    </row>
    <row r="383" spans="1:11" x14ac:dyDescent="0.65">
      <c r="A383" s="22">
        <f t="shared" si="46"/>
        <v>2021</v>
      </c>
      <c r="B383" s="6">
        <f t="shared" si="43"/>
        <v>6</v>
      </c>
      <c r="C383" s="87">
        <v>44372</v>
      </c>
      <c r="D383" s="87">
        <v>44372</v>
      </c>
      <c r="E383" t="str">
        <f t="shared" si="41"/>
        <v>MCDON</v>
      </c>
      <c r="F383" s="99" t="s">
        <v>551</v>
      </c>
      <c r="G383" s="8">
        <v>8.6300000000000008</v>
      </c>
      <c r="H383" s="93" t="s">
        <v>41</v>
      </c>
      <c r="I383" s="7" t="str">
        <f t="shared" si="45"/>
        <v>Variable</v>
      </c>
      <c r="J383" s="8">
        <f t="shared" si="47"/>
        <v>-257.56999999999937</v>
      </c>
      <c r="K383" s="93"/>
    </row>
    <row r="384" spans="1:11" x14ac:dyDescent="0.65">
      <c r="A384" s="22">
        <f t="shared" si="46"/>
        <v>2021</v>
      </c>
      <c r="B384" s="6">
        <f t="shared" si="43"/>
        <v>6</v>
      </c>
      <c r="C384" s="87">
        <v>44372</v>
      </c>
      <c r="D384" s="87">
        <v>44372</v>
      </c>
      <c r="E384" t="str">
        <f t="shared" si="41"/>
        <v>MICRO</v>
      </c>
      <c r="F384" s="99" t="s">
        <v>140</v>
      </c>
      <c r="G384" s="8">
        <v>268.14999999999998</v>
      </c>
      <c r="H384" s="93" t="s">
        <v>68</v>
      </c>
      <c r="I384" s="7" t="str">
        <f t="shared" si="45"/>
        <v>Variable</v>
      </c>
      <c r="J384" s="8">
        <f t="shared" si="47"/>
        <v>10.580000000000609</v>
      </c>
      <c r="K384" s="93"/>
    </row>
    <row r="385" spans="1:11" x14ac:dyDescent="0.65">
      <c r="A385" s="22">
        <f t="shared" si="46"/>
        <v>2021</v>
      </c>
      <c r="B385" s="6">
        <f t="shared" si="43"/>
        <v>6</v>
      </c>
      <c r="C385" s="87">
        <v>44373</v>
      </c>
      <c r="D385" s="87">
        <v>44373</v>
      </c>
      <c r="E385" t="str">
        <f t="shared" si="41"/>
        <v>DUNKI</v>
      </c>
      <c r="F385" s="99" t="s">
        <v>552</v>
      </c>
      <c r="G385" s="8">
        <v>9.07</v>
      </c>
      <c r="H385" s="93" t="s">
        <v>41</v>
      </c>
      <c r="I385" s="7" t="str">
        <f t="shared" si="45"/>
        <v>Variable</v>
      </c>
      <c r="J385" s="8">
        <f t="shared" si="47"/>
        <v>19.65000000000061</v>
      </c>
      <c r="K385" s="130" t="s">
        <v>605</v>
      </c>
    </row>
    <row r="386" spans="1:11" x14ac:dyDescent="0.65">
      <c r="A386" s="22">
        <f t="shared" si="46"/>
        <v>2021</v>
      </c>
      <c r="B386" s="6">
        <f t="shared" si="43"/>
        <v>6</v>
      </c>
      <c r="C386" s="87">
        <v>44373</v>
      </c>
      <c r="D386" s="87">
        <v>44373</v>
      </c>
      <c r="E386" t="str">
        <f t="shared" ref="E386:E446" si="48">LEFT(F386,5)</f>
        <v>MTA*N</v>
      </c>
      <c r="F386" s="99" t="s">
        <v>553</v>
      </c>
      <c r="G386" s="8">
        <v>2.75</v>
      </c>
      <c r="H386" s="93" t="s">
        <v>89</v>
      </c>
      <c r="I386" s="7" t="str">
        <f t="shared" si="45"/>
        <v>Variable</v>
      </c>
      <c r="J386" s="8">
        <f t="shared" si="47"/>
        <v>22.40000000000061</v>
      </c>
      <c r="K386" s="130" t="s">
        <v>605</v>
      </c>
    </row>
    <row r="387" spans="1:11" x14ac:dyDescent="0.65">
      <c r="A387" s="22">
        <f t="shared" si="46"/>
        <v>2021</v>
      </c>
      <c r="B387" s="6">
        <f t="shared" ref="B387:B446" si="49">MONTH(C387)</f>
        <v>6</v>
      </c>
      <c r="C387" s="87">
        <v>44373</v>
      </c>
      <c r="D387" s="87">
        <v>44373</v>
      </c>
      <c r="E387" t="str">
        <f t="shared" si="48"/>
        <v>MTA*N</v>
      </c>
      <c r="F387" s="99" t="s">
        <v>554</v>
      </c>
      <c r="G387" s="8">
        <v>2.75</v>
      </c>
      <c r="H387" s="93" t="s">
        <v>89</v>
      </c>
      <c r="I387" s="7" t="str">
        <f t="shared" si="45"/>
        <v>Variable</v>
      </c>
      <c r="J387" s="8">
        <f t="shared" si="47"/>
        <v>25.15000000000061</v>
      </c>
      <c r="K387" s="130" t="s">
        <v>605</v>
      </c>
    </row>
    <row r="388" spans="1:11" x14ac:dyDescent="0.65">
      <c r="A388" s="22">
        <f t="shared" si="46"/>
        <v>2021</v>
      </c>
      <c r="B388" s="6">
        <f t="shared" si="49"/>
        <v>6</v>
      </c>
      <c r="C388" s="87">
        <v>44373</v>
      </c>
      <c r="D388" s="87">
        <v>44374</v>
      </c>
      <c r="E388" t="str">
        <f t="shared" si="48"/>
        <v xml:space="preserve">AMZN </v>
      </c>
      <c r="F388" s="99" t="s">
        <v>555</v>
      </c>
      <c r="G388" s="8">
        <v>-5.4</v>
      </c>
      <c r="H388" s="93" t="s">
        <v>22</v>
      </c>
      <c r="I388" s="7" t="str">
        <f t="shared" si="45"/>
        <v>Payment</v>
      </c>
      <c r="J388" s="8">
        <f t="shared" si="47"/>
        <v>19.750000000000611</v>
      </c>
      <c r="K388" s="93"/>
    </row>
    <row r="389" spans="1:11" x14ac:dyDescent="0.65">
      <c r="A389" s="22">
        <f t="shared" si="46"/>
        <v>2021</v>
      </c>
      <c r="B389" s="6">
        <f t="shared" si="49"/>
        <v>6</v>
      </c>
      <c r="C389" s="87">
        <v>44374</v>
      </c>
      <c r="D389" s="87">
        <v>44374</v>
      </c>
      <c r="E389" t="str">
        <f t="shared" si="48"/>
        <v>CCBIL</v>
      </c>
      <c r="F389" s="99" t="s">
        <v>341</v>
      </c>
      <c r="G389" s="8">
        <v>10</v>
      </c>
      <c r="H389" s="93" t="s">
        <v>68</v>
      </c>
      <c r="I389" s="7" t="str">
        <f t="shared" si="45"/>
        <v>Variable</v>
      </c>
      <c r="J389" s="8">
        <f t="shared" si="47"/>
        <v>29.750000000000611</v>
      </c>
      <c r="K389" s="93"/>
    </row>
    <row r="390" spans="1:11" x14ac:dyDescent="0.65">
      <c r="A390" s="22">
        <f t="shared" si="46"/>
        <v>2021</v>
      </c>
      <c r="B390" s="6">
        <f t="shared" si="49"/>
        <v>6</v>
      </c>
      <c r="C390" s="87">
        <v>44374</v>
      </c>
      <c r="D390" s="87">
        <v>44374</v>
      </c>
      <c r="E390" t="str">
        <f t="shared" si="48"/>
        <v xml:space="preserve">CITY </v>
      </c>
      <c r="F390" s="99" t="s">
        <v>556</v>
      </c>
      <c r="G390" s="8">
        <v>3.99</v>
      </c>
      <c r="H390" s="93" t="s">
        <v>90</v>
      </c>
      <c r="I390" s="7" t="str">
        <f t="shared" si="45"/>
        <v>Variable</v>
      </c>
      <c r="J390" s="8">
        <f t="shared" si="47"/>
        <v>33.740000000000613</v>
      </c>
      <c r="K390" s="130" t="s">
        <v>605</v>
      </c>
    </row>
    <row r="391" spans="1:11" x14ac:dyDescent="0.65">
      <c r="A391" s="22">
        <f t="shared" si="46"/>
        <v>2021</v>
      </c>
      <c r="B391" s="6">
        <f t="shared" si="49"/>
        <v>6</v>
      </c>
      <c r="C391" s="87">
        <v>44374</v>
      </c>
      <c r="D391" s="87">
        <v>44374</v>
      </c>
      <c r="E391" t="str">
        <f t="shared" si="48"/>
        <v>MTA*N</v>
      </c>
      <c r="F391" s="99" t="s">
        <v>557</v>
      </c>
      <c r="G391" s="8">
        <v>2.75</v>
      </c>
      <c r="H391" s="93" t="s">
        <v>89</v>
      </c>
      <c r="I391" s="7" t="str">
        <f t="shared" si="45"/>
        <v>Variable</v>
      </c>
      <c r="J391" s="8">
        <f t="shared" si="47"/>
        <v>36.490000000000613</v>
      </c>
      <c r="K391" s="130" t="s">
        <v>605</v>
      </c>
    </row>
    <row r="392" spans="1:11" x14ac:dyDescent="0.65">
      <c r="A392" s="22">
        <f t="shared" si="46"/>
        <v>2021</v>
      </c>
      <c r="B392" s="6">
        <f t="shared" si="49"/>
        <v>6</v>
      </c>
      <c r="C392" s="87">
        <v>44374</v>
      </c>
      <c r="D392" s="87">
        <v>44374</v>
      </c>
      <c r="E392" t="str">
        <f t="shared" si="48"/>
        <v>MTA*N</v>
      </c>
      <c r="F392" s="99" t="s">
        <v>558</v>
      </c>
      <c r="G392" s="8">
        <v>2.75</v>
      </c>
      <c r="H392" s="93" t="s">
        <v>89</v>
      </c>
      <c r="I392" s="7" t="str">
        <f t="shared" si="45"/>
        <v>Variable</v>
      </c>
      <c r="J392" s="8">
        <f t="shared" si="47"/>
        <v>39.240000000000613</v>
      </c>
      <c r="K392" s="130" t="s">
        <v>605</v>
      </c>
    </row>
    <row r="393" spans="1:11" x14ac:dyDescent="0.65">
      <c r="A393" s="22">
        <f t="shared" si="46"/>
        <v>2021</v>
      </c>
      <c r="B393" s="6">
        <f t="shared" si="49"/>
        <v>6</v>
      </c>
      <c r="C393" s="87">
        <v>44374</v>
      </c>
      <c r="D393" s="87">
        <v>44374</v>
      </c>
      <c r="E393" t="str">
        <f t="shared" si="48"/>
        <v>PAYPA</v>
      </c>
      <c r="F393" s="99" t="s">
        <v>112</v>
      </c>
      <c r="G393" s="8">
        <v>9.99</v>
      </c>
      <c r="H393" s="130" t="s">
        <v>26</v>
      </c>
      <c r="I393" s="7" t="str">
        <f t="shared" si="45"/>
        <v>Fixed</v>
      </c>
      <c r="J393" s="8">
        <f t="shared" si="47"/>
        <v>49.230000000000615</v>
      </c>
      <c r="K393" s="93"/>
    </row>
    <row r="394" spans="1:11" x14ac:dyDescent="0.65">
      <c r="A394" s="22">
        <f t="shared" si="46"/>
        <v>2021</v>
      </c>
      <c r="B394" s="6">
        <f t="shared" si="49"/>
        <v>6</v>
      </c>
      <c r="C394" s="87">
        <v>44374</v>
      </c>
      <c r="D394" s="87">
        <v>44374</v>
      </c>
      <c r="E394" t="str">
        <f t="shared" si="48"/>
        <v>SUNAC</v>
      </c>
      <c r="F394" s="99" t="s">
        <v>559</v>
      </c>
      <c r="G394" s="8">
        <v>10.25</v>
      </c>
      <c r="H394" s="93" t="s">
        <v>90</v>
      </c>
      <c r="I394" s="7" t="str">
        <f t="shared" si="45"/>
        <v>Variable</v>
      </c>
      <c r="J394" s="8">
        <f t="shared" si="47"/>
        <v>59.480000000000615</v>
      </c>
      <c r="K394" s="130" t="s">
        <v>605</v>
      </c>
    </row>
    <row r="395" spans="1:11" x14ac:dyDescent="0.65">
      <c r="A395" s="22">
        <f t="shared" si="46"/>
        <v>2021</v>
      </c>
      <c r="B395" s="6">
        <f t="shared" si="49"/>
        <v>6</v>
      </c>
      <c r="C395" s="87">
        <v>44375</v>
      </c>
      <c r="D395" s="87">
        <v>44375</v>
      </c>
      <c r="E395" t="str">
        <f t="shared" si="48"/>
        <v>ELECT</v>
      </c>
      <c r="F395" s="99" t="s">
        <v>560</v>
      </c>
      <c r="G395" s="8">
        <v>21.77</v>
      </c>
      <c r="H395" s="93" t="s">
        <v>195</v>
      </c>
      <c r="I395" s="7" t="str">
        <f t="shared" si="45"/>
        <v>Variable</v>
      </c>
      <c r="J395" s="8">
        <f t="shared" si="47"/>
        <v>81.250000000000611</v>
      </c>
      <c r="K395" s="130" t="s">
        <v>605</v>
      </c>
    </row>
    <row r="396" spans="1:11" x14ac:dyDescent="0.65">
      <c r="A396" s="22">
        <f t="shared" si="46"/>
        <v>2021</v>
      </c>
      <c r="B396" s="6">
        <f t="shared" si="49"/>
        <v>6</v>
      </c>
      <c r="C396" s="87">
        <v>44375</v>
      </c>
      <c r="D396" s="87">
        <v>44375</v>
      </c>
      <c r="E396" t="str">
        <f t="shared" si="48"/>
        <v xml:space="preserve">LYFT </v>
      </c>
      <c r="F396" s="99" t="s">
        <v>561</v>
      </c>
      <c r="G396" s="8">
        <v>5.38</v>
      </c>
      <c r="H396" s="93" t="s">
        <v>89</v>
      </c>
      <c r="I396" s="7" t="str">
        <f t="shared" si="45"/>
        <v>Variable</v>
      </c>
      <c r="J396" s="8">
        <f t="shared" si="47"/>
        <v>86.630000000000607</v>
      </c>
      <c r="K396" s="130" t="s">
        <v>605</v>
      </c>
    </row>
    <row r="397" spans="1:11" x14ac:dyDescent="0.65">
      <c r="A397" s="22">
        <f t="shared" si="46"/>
        <v>2021</v>
      </c>
      <c r="B397" s="6">
        <f t="shared" si="49"/>
        <v>6</v>
      </c>
      <c r="C397" s="87">
        <v>44375</v>
      </c>
      <c r="D397" s="87">
        <v>44375</v>
      </c>
      <c r="E397" t="str">
        <f t="shared" si="48"/>
        <v>MTA*N</v>
      </c>
      <c r="F397" s="99" t="s">
        <v>562</v>
      </c>
      <c r="G397" s="8">
        <v>2.75</v>
      </c>
      <c r="H397" s="93" t="s">
        <v>89</v>
      </c>
      <c r="I397" s="7" t="str">
        <f t="shared" si="45"/>
        <v>Variable</v>
      </c>
      <c r="J397" s="8">
        <f t="shared" si="47"/>
        <v>89.380000000000607</v>
      </c>
      <c r="K397" s="130" t="s">
        <v>605</v>
      </c>
    </row>
    <row r="398" spans="1:11" x14ac:dyDescent="0.65">
      <c r="A398" s="22">
        <f t="shared" si="46"/>
        <v>2021</v>
      </c>
      <c r="B398" s="6">
        <f t="shared" si="49"/>
        <v>6</v>
      </c>
      <c r="C398" s="87">
        <v>44375</v>
      </c>
      <c r="D398" s="87">
        <v>44375</v>
      </c>
      <c r="E398" t="str">
        <f t="shared" si="48"/>
        <v xml:space="preserve">TST* </v>
      </c>
      <c r="F398" s="99" t="s">
        <v>563</v>
      </c>
      <c r="G398" s="8">
        <v>52.02</v>
      </c>
      <c r="H398" s="93" t="s">
        <v>41</v>
      </c>
      <c r="I398" s="7" t="str">
        <f t="shared" si="45"/>
        <v>Variable</v>
      </c>
      <c r="J398" s="8">
        <f t="shared" si="47"/>
        <v>141.4000000000006</v>
      </c>
      <c r="K398" s="130" t="s">
        <v>605</v>
      </c>
    </row>
    <row r="399" spans="1:11" x14ac:dyDescent="0.65">
      <c r="A399" s="22">
        <f t="shared" si="46"/>
        <v>2021</v>
      </c>
      <c r="B399" s="6">
        <f t="shared" si="49"/>
        <v>6</v>
      </c>
      <c r="C399" s="87">
        <v>44375</v>
      </c>
      <c r="D399" s="87">
        <v>44376</v>
      </c>
      <c r="E399" t="str">
        <f t="shared" si="48"/>
        <v xml:space="preserve">AMZN </v>
      </c>
      <c r="F399" s="99" t="s">
        <v>564</v>
      </c>
      <c r="G399" s="8">
        <v>-55.11</v>
      </c>
      <c r="H399" s="130" t="s">
        <v>22</v>
      </c>
      <c r="I399" s="7" t="str">
        <f t="shared" si="45"/>
        <v>Payment</v>
      </c>
      <c r="J399" s="8">
        <f t="shared" si="47"/>
        <v>86.290000000000603</v>
      </c>
      <c r="K399" s="93"/>
    </row>
    <row r="400" spans="1:11" x14ac:dyDescent="0.65">
      <c r="A400" s="22">
        <f t="shared" si="46"/>
        <v>2021</v>
      </c>
      <c r="B400" s="6">
        <f t="shared" si="49"/>
        <v>6</v>
      </c>
      <c r="C400" s="87">
        <v>44376</v>
      </c>
      <c r="D400" s="87">
        <v>44376</v>
      </c>
      <c r="E400" t="str">
        <f t="shared" si="48"/>
        <v>MTA*N</v>
      </c>
      <c r="F400" s="99" t="s">
        <v>565</v>
      </c>
      <c r="G400" s="8">
        <v>2.75</v>
      </c>
      <c r="H400" s="93" t="s">
        <v>89</v>
      </c>
      <c r="I400" s="7" t="str">
        <f t="shared" si="45"/>
        <v>Variable</v>
      </c>
      <c r="J400" s="8">
        <f t="shared" si="47"/>
        <v>89.040000000000603</v>
      </c>
      <c r="K400" s="130" t="s">
        <v>605</v>
      </c>
    </row>
    <row r="401" spans="1:11" x14ac:dyDescent="0.65">
      <c r="A401" s="22">
        <f t="shared" si="46"/>
        <v>2021</v>
      </c>
      <c r="B401" s="6">
        <f t="shared" si="49"/>
        <v>6</v>
      </c>
      <c r="C401" s="87">
        <v>44376</v>
      </c>
      <c r="D401" s="87">
        <v>44376</v>
      </c>
      <c r="E401" t="str">
        <f t="shared" si="48"/>
        <v>MTA*N</v>
      </c>
      <c r="F401" s="99" t="s">
        <v>566</v>
      </c>
      <c r="G401" s="8">
        <v>2.75</v>
      </c>
      <c r="H401" s="93" t="s">
        <v>89</v>
      </c>
      <c r="I401" s="7" t="str">
        <f t="shared" si="45"/>
        <v>Variable</v>
      </c>
      <c r="J401" s="8">
        <f t="shared" si="47"/>
        <v>91.790000000000603</v>
      </c>
      <c r="K401" s="130" t="s">
        <v>605</v>
      </c>
    </row>
    <row r="402" spans="1:11" x14ac:dyDescent="0.65">
      <c r="A402" s="22">
        <f t="shared" si="46"/>
        <v>2021</v>
      </c>
      <c r="B402" s="6">
        <f t="shared" si="49"/>
        <v>6</v>
      </c>
      <c r="C402" s="87">
        <v>44376</v>
      </c>
      <c r="D402" s="87">
        <v>44376</v>
      </c>
      <c r="E402" t="str">
        <f t="shared" si="48"/>
        <v>PREMI</v>
      </c>
      <c r="F402" s="99" t="s">
        <v>567</v>
      </c>
      <c r="G402" s="8">
        <v>43.54</v>
      </c>
      <c r="H402" s="93" t="s">
        <v>90</v>
      </c>
      <c r="I402" s="7" t="str">
        <f t="shared" si="45"/>
        <v>Variable</v>
      </c>
      <c r="J402" s="8">
        <f t="shared" si="47"/>
        <v>135.33000000000061</v>
      </c>
      <c r="K402" s="130" t="s">
        <v>605</v>
      </c>
    </row>
    <row r="403" spans="1:11" x14ac:dyDescent="0.65">
      <c r="A403" s="22">
        <f t="shared" si="46"/>
        <v>2021</v>
      </c>
      <c r="B403" s="6">
        <f t="shared" si="49"/>
        <v>6</v>
      </c>
      <c r="C403" s="87">
        <v>44377</v>
      </c>
      <c r="D403" s="87">
        <v>44377</v>
      </c>
      <c r="E403" t="str">
        <f t="shared" si="48"/>
        <v>FRESH</v>
      </c>
      <c r="F403" s="99" t="s">
        <v>568</v>
      </c>
      <c r="G403" s="8">
        <v>6.34</v>
      </c>
      <c r="H403" s="93" t="s">
        <v>90</v>
      </c>
      <c r="I403" s="7" t="str">
        <f t="shared" si="45"/>
        <v>Variable</v>
      </c>
      <c r="J403" s="8">
        <f t="shared" si="47"/>
        <v>141.67000000000061</v>
      </c>
      <c r="K403" s="130" t="s">
        <v>605</v>
      </c>
    </row>
    <row r="404" spans="1:11" x14ac:dyDescent="0.65">
      <c r="A404" s="22">
        <f t="shared" si="46"/>
        <v>2021</v>
      </c>
      <c r="B404" s="6">
        <f t="shared" si="49"/>
        <v>6</v>
      </c>
      <c r="C404" s="87">
        <v>44377</v>
      </c>
      <c r="D404" s="87">
        <v>44377</v>
      </c>
      <c r="E404" t="str">
        <f t="shared" si="48"/>
        <v>WALGR</v>
      </c>
      <c r="F404" s="99" t="s">
        <v>569</v>
      </c>
      <c r="G404" s="8">
        <v>43.63</v>
      </c>
      <c r="H404" s="93" t="s">
        <v>68</v>
      </c>
      <c r="I404" s="7" t="str">
        <f t="shared" si="45"/>
        <v>Variable</v>
      </c>
      <c r="J404" s="8">
        <f t="shared" si="47"/>
        <v>185.30000000000061</v>
      </c>
      <c r="K404" s="130" t="s">
        <v>605</v>
      </c>
    </row>
    <row r="405" spans="1:11" x14ac:dyDescent="0.65">
      <c r="A405" s="22">
        <f t="shared" si="46"/>
        <v>2021</v>
      </c>
      <c r="B405" s="6">
        <f t="shared" si="49"/>
        <v>7</v>
      </c>
      <c r="C405" s="129">
        <v>44378</v>
      </c>
      <c r="D405" s="129">
        <v>44378</v>
      </c>
      <c r="E405" t="str">
        <f t="shared" si="48"/>
        <v>INTER</v>
      </c>
      <c r="F405" s="99" t="s">
        <v>21</v>
      </c>
      <c r="G405" s="8">
        <v>-871.96</v>
      </c>
      <c r="H405" s="93" t="s">
        <v>22</v>
      </c>
      <c r="I405" s="7" t="str">
        <f t="shared" si="45"/>
        <v>Payment</v>
      </c>
      <c r="J405" s="8">
        <f t="shared" si="47"/>
        <v>-686.6599999999994</v>
      </c>
      <c r="K405" s="93"/>
    </row>
    <row r="406" spans="1:11" x14ac:dyDescent="0.65">
      <c r="A406" s="22">
        <f t="shared" si="46"/>
        <v>2021</v>
      </c>
      <c r="B406" s="6">
        <f t="shared" si="49"/>
        <v>7</v>
      </c>
      <c r="C406" s="129">
        <v>44378</v>
      </c>
      <c r="D406" s="129">
        <v>44378</v>
      </c>
      <c r="E406" t="str">
        <f t="shared" si="48"/>
        <v>NETFL</v>
      </c>
      <c r="F406" s="99" t="s">
        <v>570</v>
      </c>
      <c r="G406" s="8">
        <v>14.83</v>
      </c>
      <c r="H406" s="130" t="s">
        <v>26</v>
      </c>
      <c r="I406" s="7" t="str">
        <f t="shared" si="45"/>
        <v>Fixed</v>
      </c>
      <c r="J406" s="8">
        <f t="shared" si="47"/>
        <v>-671.82999999999936</v>
      </c>
      <c r="K406" s="93"/>
    </row>
    <row r="407" spans="1:11" x14ac:dyDescent="0.65">
      <c r="A407" s="22">
        <f t="shared" si="46"/>
        <v>2021</v>
      </c>
      <c r="B407" s="6">
        <f t="shared" si="49"/>
        <v>7</v>
      </c>
      <c r="C407" s="129">
        <v>44378</v>
      </c>
      <c r="D407" s="129">
        <v>44378</v>
      </c>
      <c r="E407" t="str">
        <f t="shared" si="48"/>
        <v>PAYPA</v>
      </c>
      <c r="F407" s="99" t="s">
        <v>571</v>
      </c>
      <c r="G407" s="8">
        <v>1380.63</v>
      </c>
      <c r="H407" s="130" t="s">
        <v>52</v>
      </c>
      <c r="I407" s="7" t="str">
        <f t="shared" si="45"/>
        <v>Variable</v>
      </c>
      <c r="J407" s="8">
        <f t="shared" si="47"/>
        <v>708.80000000000075</v>
      </c>
      <c r="K407" s="130" t="s">
        <v>602</v>
      </c>
    </row>
    <row r="408" spans="1:11" x14ac:dyDescent="0.65">
      <c r="A408" s="22">
        <f t="shared" si="46"/>
        <v>2021</v>
      </c>
      <c r="B408" s="6">
        <f t="shared" si="49"/>
        <v>7</v>
      </c>
      <c r="C408" s="129">
        <v>44378</v>
      </c>
      <c r="D408" s="129">
        <v>44378</v>
      </c>
      <c r="E408" t="str">
        <f t="shared" si="48"/>
        <v>SPOTI</v>
      </c>
      <c r="F408" s="99" t="s">
        <v>572</v>
      </c>
      <c r="G408" s="8">
        <v>9.99</v>
      </c>
      <c r="H408" s="130" t="s">
        <v>26</v>
      </c>
      <c r="I408" s="7" t="str">
        <f t="shared" si="45"/>
        <v>Fixed</v>
      </c>
      <c r="J408" s="8">
        <f t="shared" si="47"/>
        <v>718.79000000000076</v>
      </c>
      <c r="K408" s="93"/>
    </row>
    <row r="409" spans="1:11" x14ac:dyDescent="0.65">
      <c r="A409" s="22">
        <f t="shared" si="46"/>
        <v>2021</v>
      </c>
      <c r="B409" s="6">
        <f t="shared" si="49"/>
        <v>7</v>
      </c>
      <c r="C409" s="129">
        <v>44378</v>
      </c>
      <c r="D409" s="129">
        <v>44378</v>
      </c>
      <c r="E409" t="str">
        <f t="shared" si="48"/>
        <v xml:space="preserve">TST* </v>
      </c>
      <c r="F409" s="99" t="s">
        <v>573</v>
      </c>
      <c r="G409" s="8">
        <v>220</v>
      </c>
      <c r="H409" s="130" t="s">
        <v>41</v>
      </c>
      <c r="I409" s="7" t="str">
        <f t="shared" si="45"/>
        <v>Variable</v>
      </c>
      <c r="J409" s="8">
        <f t="shared" si="47"/>
        <v>938.79000000000076</v>
      </c>
      <c r="K409" s="130" t="s">
        <v>605</v>
      </c>
    </row>
    <row r="410" spans="1:11" x14ac:dyDescent="0.65">
      <c r="A410" s="22">
        <f t="shared" si="46"/>
        <v>2021</v>
      </c>
      <c r="B410" s="6">
        <f t="shared" si="49"/>
        <v>7</v>
      </c>
      <c r="C410" s="129">
        <v>44378</v>
      </c>
      <c r="D410" s="129">
        <v>44378</v>
      </c>
      <c r="E410" t="str">
        <f t="shared" si="48"/>
        <v>UQ AT</v>
      </c>
      <c r="F410" s="99" t="s">
        <v>574</v>
      </c>
      <c r="G410" s="8">
        <v>129.80000000000001</v>
      </c>
      <c r="H410" s="93" t="s">
        <v>68</v>
      </c>
      <c r="I410" s="7" t="str">
        <f t="shared" si="45"/>
        <v>Variable</v>
      </c>
      <c r="J410" s="8">
        <f t="shared" si="47"/>
        <v>1068.5900000000008</v>
      </c>
      <c r="K410" s="130" t="s">
        <v>605</v>
      </c>
    </row>
    <row r="411" spans="1:11" x14ac:dyDescent="0.65">
      <c r="A411" s="22">
        <f t="shared" si="46"/>
        <v>2021</v>
      </c>
      <c r="B411" s="6">
        <f t="shared" si="49"/>
        <v>7</v>
      </c>
      <c r="C411" s="129">
        <v>44379</v>
      </c>
      <c r="D411" s="129">
        <v>44380</v>
      </c>
      <c r="E411" t="str">
        <f t="shared" si="48"/>
        <v>APPLE</v>
      </c>
      <c r="F411" s="99" t="s">
        <v>575</v>
      </c>
      <c r="G411" s="8">
        <v>71.78</v>
      </c>
      <c r="H411" s="93" t="s">
        <v>41</v>
      </c>
      <c r="I411" s="7" t="str">
        <f t="shared" ref="I411:I446" si="50">VLOOKUP(H411,Expense_Lookup,2,0)</f>
        <v>Variable</v>
      </c>
      <c r="J411" s="8">
        <f t="shared" si="47"/>
        <v>1140.3700000000008</v>
      </c>
      <c r="K411" s="130" t="s">
        <v>605</v>
      </c>
    </row>
    <row r="412" spans="1:11" x14ac:dyDescent="0.65">
      <c r="A412" s="22">
        <f t="shared" si="46"/>
        <v>2021</v>
      </c>
      <c r="B412" s="6">
        <f t="shared" si="49"/>
        <v>7</v>
      </c>
      <c r="C412" s="129">
        <v>44379</v>
      </c>
      <c r="D412" s="129">
        <v>44380</v>
      </c>
      <c r="E412" t="str">
        <f t="shared" si="48"/>
        <v>BERGE</v>
      </c>
      <c r="F412" s="99" t="s">
        <v>576</v>
      </c>
      <c r="G412" s="8">
        <v>13.88</v>
      </c>
      <c r="H412" s="93" t="s">
        <v>41</v>
      </c>
      <c r="I412" s="7" t="str">
        <f t="shared" si="50"/>
        <v>Variable</v>
      </c>
      <c r="J412" s="8">
        <f t="shared" si="47"/>
        <v>1154.2500000000009</v>
      </c>
      <c r="K412" s="130" t="s">
        <v>605</v>
      </c>
    </row>
    <row r="413" spans="1:11" x14ac:dyDescent="0.65">
      <c r="A413" s="22">
        <f t="shared" si="46"/>
        <v>2021</v>
      </c>
      <c r="B413" s="6">
        <f t="shared" si="49"/>
        <v>7</v>
      </c>
      <c r="C413" s="129">
        <v>44379</v>
      </c>
      <c r="D413" s="129">
        <v>44380</v>
      </c>
      <c r="E413" t="str">
        <f t="shared" si="48"/>
        <v xml:space="preserve">EAST </v>
      </c>
      <c r="F413" s="99" t="s">
        <v>577</v>
      </c>
      <c r="G413" s="8">
        <v>6.24</v>
      </c>
      <c r="H413" s="93" t="s">
        <v>90</v>
      </c>
      <c r="I413" s="7" t="str">
        <f t="shared" si="50"/>
        <v>Variable</v>
      </c>
      <c r="J413" s="8">
        <f t="shared" si="47"/>
        <v>1160.4900000000009</v>
      </c>
      <c r="K413" s="130" t="s">
        <v>605</v>
      </c>
    </row>
    <row r="414" spans="1:11" x14ac:dyDescent="0.65">
      <c r="A414" s="22">
        <f t="shared" si="46"/>
        <v>2021</v>
      </c>
      <c r="B414" s="6">
        <f t="shared" si="49"/>
        <v>7</v>
      </c>
      <c r="C414" s="129">
        <v>44379</v>
      </c>
      <c r="D414" s="129">
        <v>44380</v>
      </c>
      <c r="E414" t="str">
        <f t="shared" si="48"/>
        <v>KRYST</v>
      </c>
      <c r="F414" s="99" t="s">
        <v>578</v>
      </c>
      <c r="G414" s="8">
        <v>10</v>
      </c>
      <c r="H414" s="130" t="s">
        <v>26</v>
      </c>
      <c r="I414" s="7" t="str">
        <f t="shared" si="50"/>
        <v>Fixed</v>
      </c>
      <c r="J414" s="8">
        <f t="shared" si="47"/>
        <v>1170.4900000000009</v>
      </c>
      <c r="K414" s="93"/>
    </row>
    <row r="415" spans="1:11" x14ac:dyDescent="0.65">
      <c r="A415" s="22">
        <f t="shared" si="46"/>
        <v>2021</v>
      </c>
      <c r="B415" s="6">
        <f t="shared" si="49"/>
        <v>7</v>
      </c>
      <c r="C415" s="129">
        <v>44379</v>
      </c>
      <c r="D415" s="129">
        <v>44380</v>
      </c>
      <c r="E415" t="str">
        <f t="shared" si="48"/>
        <v>MTA*M</v>
      </c>
      <c r="F415" s="99" t="s">
        <v>579</v>
      </c>
      <c r="G415" s="8">
        <v>3</v>
      </c>
      <c r="H415" s="93" t="s">
        <v>89</v>
      </c>
      <c r="I415" s="7" t="str">
        <f t="shared" si="50"/>
        <v>Variable</v>
      </c>
      <c r="J415" s="8">
        <f t="shared" si="47"/>
        <v>1173.4900000000009</v>
      </c>
      <c r="K415" s="130" t="s">
        <v>605</v>
      </c>
    </row>
    <row r="416" spans="1:11" x14ac:dyDescent="0.65">
      <c r="A416" s="22">
        <f t="shared" si="46"/>
        <v>2021</v>
      </c>
      <c r="B416" s="6">
        <f t="shared" si="49"/>
        <v>7</v>
      </c>
      <c r="C416" s="129">
        <v>44379</v>
      </c>
      <c r="D416" s="129">
        <v>44380</v>
      </c>
      <c r="E416" t="str">
        <f t="shared" si="48"/>
        <v>MTA*N</v>
      </c>
      <c r="F416" s="99" t="s">
        <v>580</v>
      </c>
      <c r="G416" s="8">
        <v>2.75</v>
      </c>
      <c r="H416" s="93" t="s">
        <v>89</v>
      </c>
      <c r="I416" s="7" t="str">
        <f t="shared" si="50"/>
        <v>Variable</v>
      </c>
      <c r="J416" s="8">
        <f t="shared" si="47"/>
        <v>1176.2400000000009</v>
      </c>
      <c r="K416" s="130" t="s">
        <v>605</v>
      </c>
    </row>
    <row r="417" spans="1:11" x14ac:dyDescent="0.65">
      <c r="A417" s="22">
        <f t="shared" si="46"/>
        <v>2021</v>
      </c>
      <c r="B417" s="6">
        <f t="shared" si="49"/>
        <v>7</v>
      </c>
      <c r="C417" s="129">
        <v>44379</v>
      </c>
      <c r="D417" s="129">
        <v>44380</v>
      </c>
      <c r="E417" t="str">
        <f t="shared" si="48"/>
        <v>MTA*N</v>
      </c>
      <c r="F417" s="99" t="s">
        <v>581</v>
      </c>
      <c r="G417" s="8">
        <v>2.75</v>
      </c>
      <c r="H417" s="93" t="s">
        <v>89</v>
      </c>
      <c r="I417" s="7" t="str">
        <f t="shared" si="50"/>
        <v>Variable</v>
      </c>
      <c r="J417" s="8">
        <f t="shared" si="47"/>
        <v>1178.9900000000009</v>
      </c>
      <c r="K417" s="130" t="s">
        <v>605</v>
      </c>
    </row>
    <row r="418" spans="1:11" x14ac:dyDescent="0.65">
      <c r="A418" s="22">
        <f t="shared" si="46"/>
        <v>2021</v>
      </c>
      <c r="B418" s="6">
        <f t="shared" si="49"/>
        <v>7</v>
      </c>
      <c r="C418" s="129">
        <v>44379</v>
      </c>
      <c r="D418" s="129">
        <v>44380</v>
      </c>
      <c r="E418" t="str">
        <f t="shared" si="48"/>
        <v>ROCKY</v>
      </c>
      <c r="F418" s="99" t="s">
        <v>582</v>
      </c>
      <c r="G418" s="8">
        <v>9.36</v>
      </c>
      <c r="H418" s="93" t="s">
        <v>90</v>
      </c>
      <c r="I418" s="7" t="str">
        <f t="shared" si="50"/>
        <v>Variable</v>
      </c>
      <c r="J418" s="8">
        <f t="shared" si="47"/>
        <v>1188.3500000000008</v>
      </c>
      <c r="K418" s="130" t="s">
        <v>605</v>
      </c>
    </row>
    <row r="419" spans="1:11" x14ac:dyDescent="0.65">
      <c r="A419" s="22">
        <f t="shared" si="46"/>
        <v>2021</v>
      </c>
      <c r="B419" s="6">
        <f t="shared" si="49"/>
        <v>7</v>
      </c>
      <c r="C419" s="129">
        <v>44379</v>
      </c>
      <c r="D419" s="129">
        <v>44380</v>
      </c>
      <c r="E419" t="str">
        <f t="shared" si="48"/>
        <v>UQ AT</v>
      </c>
      <c r="F419" s="99" t="s">
        <v>574</v>
      </c>
      <c r="G419" s="8">
        <v>199.4</v>
      </c>
      <c r="H419" s="93" t="s">
        <v>68</v>
      </c>
      <c r="I419" s="7" t="str">
        <f t="shared" si="50"/>
        <v>Variable</v>
      </c>
      <c r="J419" s="8">
        <f t="shared" si="47"/>
        <v>1387.7500000000009</v>
      </c>
      <c r="K419" s="130" t="s">
        <v>605</v>
      </c>
    </row>
    <row r="420" spans="1:11" x14ac:dyDescent="0.65">
      <c r="A420" s="22">
        <f t="shared" si="46"/>
        <v>2021</v>
      </c>
      <c r="B420" s="6">
        <f t="shared" si="49"/>
        <v>7</v>
      </c>
      <c r="C420" s="129">
        <v>44379</v>
      </c>
      <c r="D420" s="129">
        <v>44381</v>
      </c>
      <c r="E420" t="str">
        <f t="shared" si="48"/>
        <v>UQ AT</v>
      </c>
      <c r="F420" s="99" t="s">
        <v>574</v>
      </c>
      <c r="G420" s="8">
        <v>-129.69999999999999</v>
      </c>
      <c r="H420" s="93" t="s">
        <v>22</v>
      </c>
      <c r="I420" s="7" t="str">
        <f t="shared" si="50"/>
        <v>Payment</v>
      </c>
      <c r="J420" s="8">
        <f t="shared" si="47"/>
        <v>1258.0500000000009</v>
      </c>
      <c r="K420" s="130" t="s">
        <v>605</v>
      </c>
    </row>
    <row r="421" spans="1:11" x14ac:dyDescent="0.65">
      <c r="A421" s="22">
        <f t="shared" si="46"/>
        <v>2021</v>
      </c>
      <c r="B421" s="6">
        <f t="shared" si="49"/>
        <v>7</v>
      </c>
      <c r="C421" s="129">
        <v>44380</v>
      </c>
      <c r="D421" s="129">
        <v>44380</v>
      </c>
      <c r="E421" t="str">
        <f t="shared" si="48"/>
        <v xml:space="preserve">LYFT </v>
      </c>
      <c r="F421" s="99" t="s">
        <v>583</v>
      </c>
      <c r="G421" s="8">
        <v>62.54</v>
      </c>
      <c r="H421" s="93" t="s">
        <v>89</v>
      </c>
      <c r="I421" s="7" t="str">
        <f t="shared" si="50"/>
        <v>Variable</v>
      </c>
      <c r="J421" s="8">
        <f t="shared" si="47"/>
        <v>1320.5900000000008</v>
      </c>
      <c r="K421" s="130" t="s">
        <v>605</v>
      </c>
    </row>
    <row r="422" spans="1:11" x14ac:dyDescent="0.65">
      <c r="A422" s="22">
        <f t="shared" si="46"/>
        <v>2021</v>
      </c>
      <c r="B422" s="6">
        <f t="shared" si="49"/>
        <v>7</v>
      </c>
      <c r="C422" s="129">
        <v>44380</v>
      </c>
      <c r="D422" s="129">
        <v>44380</v>
      </c>
      <c r="E422" t="str">
        <f t="shared" si="48"/>
        <v>MTA*N</v>
      </c>
      <c r="F422" s="99" t="s">
        <v>584</v>
      </c>
      <c r="G422" s="8">
        <v>2.75</v>
      </c>
      <c r="H422" s="93" t="s">
        <v>89</v>
      </c>
      <c r="I422" s="7" t="str">
        <f t="shared" si="50"/>
        <v>Variable</v>
      </c>
      <c r="J422" s="8">
        <f t="shared" si="47"/>
        <v>1323.3400000000008</v>
      </c>
      <c r="K422" s="130" t="s">
        <v>605</v>
      </c>
    </row>
    <row r="423" spans="1:11" x14ac:dyDescent="0.65">
      <c r="A423" s="22">
        <f t="shared" si="46"/>
        <v>2021</v>
      </c>
      <c r="B423" s="6">
        <f t="shared" si="49"/>
        <v>7</v>
      </c>
      <c r="C423" s="129">
        <v>44380</v>
      </c>
      <c r="D423" s="129">
        <v>44380</v>
      </c>
      <c r="E423" t="str">
        <f t="shared" si="48"/>
        <v>MTA*N</v>
      </c>
      <c r="F423" s="99" t="s">
        <v>585</v>
      </c>
      <c r="G423" s="8">
        <v>2.75</v>
      </c>
      <c r="H423" s="93" t="s">
        <v>89</v>
      </c>
      <c r="I423" s="7" t="str">
        <f t="shared" si="50"/>
        <v>Variable</v>
      </c>
      <c r="J423" s="8">
        <f t="shared" si="47"/>
        <v>1326.0900000000008</v>
      </c>
      <c r="K423" s="130" t="s">
        <v>605</v>
      </c>
    </row>
    <row r="424" spans="1:11" x14ac:dyDescent="0.65">
      <c r="A424" s="22">
        <f t="shared" si="46"/>
        <v>2021</v>
      </c>
      <c r="B424" s="6">
        <f t="shared" si="49"/>
        <v>7</v>
      </c>
      <c r="C424" s="129">
        <v>44380</v>
      </c>
      <c r="D424" s="129">
        <v>44380</v>
      </c>
      <c r="E424" t="str">
        <f t="shared" si="48"/>
        <v>MTA*N</v>
      </c>
      <c r="F424" s="99" t="s">
        <v>586</v>
      </c>
      <c r="G424" s="8">
        <v>2.75</v>
      </c>
      <c r="H424" s="93" t="s">
        <v>89</v>
      </c>
      <c r="I424" s="7" t="str">
        <f t="shared" si="50"/>
        <v>Variable</v>
      </c>
      <c r="J424" s="8">
        <f t="shared" si="47"/>
        <v>1328.8400000000008</v>
      </c>
      <c r="K424" s="130" t="s">
        <v>605</v>
      </c>
    </row>
    <row r="425" spans="1:11" x14ac:dyDescent="0.65">
      <c r="A425" s="22">
        <f t="shared" si="46"/>
        <v>2021</v>
      </c>
      <c r="B425" s="6">
        <f t="shared" si="49"/>
        <v>7</v>
      </c>
      <c r="C425" s="129">
        <v>44380</v>
      </c>
      <c r="D425" s="129">
        <v>44380</v>
      </c>
      <c r="E425" t="str">
        <f t="shared" si="48"/>
        <v>MTA*N</v>
      </c>
      <c r="F425" s="99" t="s">
        <v>587</v>
      </c>
      <c r="G425" s="8">
        <v>2.75</v>
      </c>
      <c r="H425" s="93" t="s">
        <v>89</v>
      </c>
      <c r="I425" s="7" t="str">
        <f t="shared" si="50"/>
        <v>Variable</v>
      </c>
      <c r="J425" s="8">
        <f t="shared" si="47"/>
        <v>1331.5900000000008</v>
      </c>
      <c r="K425" s="130" t="s">
        <v>605</v>
      </c>
    </row>
    <row r="426" spans="1:11" x14ac:dyDescent="0.65">
      <c r="A426" s="22">
        <f t="shared" si="46"/>
        <v>2021</v>
      </c>
      <c r="B426" s="6">
        <f t="shared" si="49"/>
        <v>7</v>
      </c>
      <c r="C426" s="129">
        <v>44380</v>
      </c>
      <c r="D426" s="129">
        <v>44380</v>
      </c>
      <c r="E426" t="str">
        <f t="shared" si="48"/>
        <v>MTA*N</v>
      </c>
      <c r="F426" s="99" t="s">
        <v>588</v>
      </c>
      <c r="G426" s="8">
        <v>2.75</v>
      </c>
      <c r="H426" s="93" t="s">
        <v>89</v>
      </c>
      <c r="I426" s="7" t="str">
        <f t="shared" si="50"/>
        <v>Variable</v>
      </c>
      <c r="J426" s="8">
        <f t="shared" si="47"/>
        <v>1334.3400000000008</v>
      </c>
      <c r="K426" s="130" t="s">
        <v>605</v>
      </c>
    </row>
    <row r="427" spans="1:11" x14ac:dyDescent="0.65">
      <c r="A427" s="22">
        <f t="shared" si="46"/>
        <v>2021</v>
      </c>
      <c r="B427" s="6">
        <f t="shared" si="49"/>
        <v>7</v>
      </c>
      <c r="C427" s="129">
        <v>44380</v>
      </c>
      <c r="D427" s="129">
        <v>44380</v>
      </c>
      <c r="E427" t="str">
        <f t="shared" si="48"/>
        <v>MTA*N</v>
      </c>
      <c r="F427" s="99" t="s">
        <v>589</v>
      </c>
      <c r="G427" s="8">
        <v>2.75</v>
      </c>
      <c r="H427" s="93" t="s">
        <v>89</v>
      </c>
      <c r="I427" s="7" t="str">
        <f t="shared" si="50"/>
        <v>Variable</v>
      </c>
      <c r="J427" s="8">
        <f t="shared" si="47"/>
        <v>1337.0900000000008</v>
      </c>
      <c r="K427" s="130" t="s">
        <v>605</v>
      </c>
    </row>
    <row r="428" spans="1:11" x14ac:dyDescent="0.65">
      <c r="A428" s="22">
        <f t="shared" ref="A428:A446" si="51">YEAR(C428)</f>
        <v>2021</v>
      </c>
      <c r="B428" s="6">
        <f t="shared" si="49"/>
        <v>7</v>
      </c>
      <c r="C428" s="129">
        <v>44380</v>
      </c>
      <c r="D428" s="129">
        <v>44380</v>
      </c>
      <c r="E428" t="str">
        <f t="shared" si="48"/>
        <v>PAYPA</v>
      </c>
      <c r="F428" s="99" t="s">
        <v>181</v>
      </c>
      <c r="G428" s="8">
        <v>11.99</v>
      </c>
      <c r="H428" s="130" t="s">
        <v>26</v>
      </c>
      <c r="I428" s="7" t="str">
        <f t="shared" si="50"/>
        <v>Fixed</v>
      </c>
      <c r="J428" s="8">
        <f t="shared" ref="J428:J446" si="52">J427+G428</f>
        <v>1349.0800000000008</v>
      </c>
      <c r="K428" s="93"/>
    </row>
    <row r="429" spans="1:11" x14ac:dyDescent="0.65">
      <c r="A429" s="22">
        <f t="shared" si="51"/>
        <v>2021</v>
      </c>
      <c r="B429" s="6">
        <f t="shared" si="49"/>
        <v>7</v>
      </c>
      <c r="C429" s="129">
        <v>44380</v>
      </c>
      <c r="D429" s="129">
        <v>44380</v>
      </c>
      <c r="E429" t="str">
        <f t="shared" si="48"/>
        <v>STATE</v>
      </c>
      <c r="F429" s="99" t="s">
        <v>32</v>
      </c>
      <c r="G429" s="8">
        <v>92.07</v>
      </c>
      <c r="H429" s="130" t="s">
        <v>26</v>
      </c>
      <c r="I429" s="7" t="str">
        <f t="shared" si="50"/>
        <v>Fixed</v>
      </c>
      <c r="J429" s="8">
        <f t="shared" si="52"/>
        <v>1441.1500000000008</v>
      </c>
      <c r="K429" s="93"/>
    </row>
    <row r="430" spans="1:11" x14ac:dyDescent="0.65">
      <c r="A430" s="22">
        <f t="shared" si="51"/>
        <v>2021</v>
      </c>
      <c r="B430" s="6">
        <f t="shared" si="49"/>
        <v>7</v>
      </c>
      <c r="C430" s="129">
        <v>44380</v>
      </c>
      <c r="D430" s="129">
        <v>44380</v>
      </c>
      <c r="E430" t="str">
        <f t="shared" si="48"/>
        <v>UQ AT</v>
      </c>
      <c r="F430" s="99" t="s">
        <v>574</v>
      </c>
      <c r="G430" s="8">
        <v>29.9</v>
      </c>
      <c r="H430" s="93" t="s">
        <v>68</v>
      </c>
      <c r="I430" s="7" t="str">
        <f t="shared" si="50"/>
        <v>Variable</v>
      </c>
      <c r="J430" s="8">
        <f t="shared" si="52"/>
        <v>1471.0500000000009</v>
      </c>
      <c r="K430" s="130" t="s">
        <v>605</v>
      </c>
    </row>
    <row r="431" spans="1:11" x14ac:dyDescent="0.65">
      <c r="A431" s="22">
        <f t="shared" si="51"/>
        <v>2021</v>
      </c>
      <c r="B431" s="6">
        <f t="shared" si="49"/>
        <v>7</v>
      </c>
      <c r="C431" s="129">
        <v>44381</v>
      </c>
      <c r="D431" s="129">
        <v>44381</v>
      </c>
      <c r="E431" t="str">
        <f t="shared" si="48"/>
        <v>INTER</v>
      </c>
      <c r="F431" s="99" t="s">
        <v>21</v>
      </c>
      <c r="G431" s="8">
        <v>-1854.26</v>
      </c>
      <c r="H431" s="93" t="s">
        <v>22</v>
      </c>
      <c r="I431" s="7" t="str">
        <f t="shared" si="50"/>
        <v>Payment</v>
      </c>
      <c r="J431" s="8">
        <f t="shared" si="52"/>
        <v>-383.20999999999913</v>
      </c>
      <c r="K431" s="93"/>
    </row>
    <row r="432" spans="1:11" x14ac:dyDescent="0.65">
      <c r="A432" s="22">
        <f t="shared" si="51"/>
        <v>2021</v>
      </c>
      <c r="B432" s="6">
        <f t="shared" si="49"/>
        <v>7</v>
      </c>
      <c r="C432" s="129">
        <v>44381</v>
      </c>
      <c r="D432" s="129">
        <v>44381</v>
      </c>
      <c r="E432" t="str">
        <f t="shared" si="48"/>
        <v xml:space="preserve">LYFT </v>
      </c>
      <c r="F432" s="99" t="s">
        <v>590</v>
      </c>
      <c r="G432" s="8">
        <v>78.17</v>
      </c>
      <c r="H432" s="93" t="s">
        <v>89</v>
      </c>
      <c r="I432" s="7" t="str">
        <f t="shared" si="50"/>
        <v>Variable</v>
      </c>
      <c r="J432" s="8">
        <f t="shared" si="52"/>
        <v>-305.03999999999911</v>
      </c>
      <c r="K432" s="130" t="s">
        <v>605</v>
      </c>
    </row>
    <row r="433" spans="1:11" x14ac:dyDescent="0.65">
      <c r="A433" s="22">
        <f t="shared" si="51"/>
        <v>2021</v>
      </c>
      <c r="B433" s="6">
        <f t="shared" si="49"/>
        <v>7</v>
      </c>
      <c r="C433" s="129">
        <v>44381</v>
      </c>
      <c r="D433" s="129">
        <v>44381</v>
      </c>
      <c r="E433" t="str">
        <f t="shared" si="48"/>
        <v xml:space="preserve">MILO </v>
      </c>
      <c r="F433" s="99" t="s">
        <v>591</v>
      </c>
      <c r="G433" s="8">
        <v>37.619999999999997</v>
      </c>
      <c r="H433" s="93" t="s">
        <v>41</v>
      </c>
      <c r="I433" s="7" t="str">
        <f t="shared" si="50"/>
        <v>Variable</v>
      </c>
      <c r="J433" s="8">
        <f t="shared" si="52"/>
        <v>-267.41999999999911</v>
      </c>
      <c r="K433" s="130" t="s">
        <v>605</v>
      </c>
    </row>
    <row r="434" spans="1:11" x14ac:dyDescent="0.65">
      <c r="A434" s="22">
        <f t="shared" si="51"/>
        <v>2021</v>
      </c>
      <c r="B434" s="6">
        <f t="shared" si="49"/>
        <v>7</v>
      </c>
      <c r="C434" s="129">
        <v>44381</v>
      </c>
      <c r="D434" s="129">
        <v>44381</v>
      </c>
      <c r="E434" t="str">
        <f t="shared" si="48"/>
        <v>MTA*N</v>
      </c>
      <c r="F434" s="99" t="s">
        <v>592</v>
      </c>
      <c r="G434" s="8">
        <v>2.75</v>
      </c>
      <c r="H434" s="93" t="s">
        <v>89</v>
      </c>
      <c r="I434" s="7" t="str">
        <f t="shared" si="50"/>
        <v>Variable</v>
      </c>
      <c r="J434" s="8">
        <f t="shared" si="52"/>
        <v>-264.66999999999911</v>
      </c>
      <c r="K434" s="130" t="s">
        <v>605</v>
      </c>
    </row>
    <row r="435" spans="1:11" x14ac:dyDescent="0.65">
      <c r="A435" s="22">
        <f t="shared" si="51"/>
        <v>2021</v>
      </c>
      <c r="B435" s="6">
        <f t="shared" si="49"/>
        <v>7</v>
      </c>
      <c r="C435" s="129">
        <v>44381</v>
      </c>
      <c r="D435" s="129">
        <v>44381</v>
      </c>
      <c r="E435" t="str">
        <f t="shared" si="48"/>
        <v>MTA*N</v>
      </c>
      <c r="F435" s="99" t="s">
        <v>593</v>
      </c>
      <c r="G435" s="8">
        <v>2.75</v>
      </c>
      <c r="H435" s="93" t="s">
        <v>89</v>
      </c>
      <c r="I435" s="7" t="str">
        <f t="shared" si="50"/>
        <v>Variable</v>
      </c>
      <c r="J435" s="8">
        <f t="shared" si="52"/>
        <v>-261.91999999999911</v>
      </c>
      <c r="K435" s="130" t="s">
        <v>605</v>
      </c>
    </row>
    <row r="436" spans="1:11" x14ac:dyDescent="0.65">
      <c r="A436" s="22">
        <f t="shared" si="51"/>
        <v>2021</v>
      </c>
      <c r="B436" s="6">
        <f t="shared" si="49"/>
        <v>7</v>
      </c>
      <c r="C436" s="129">
        <v>44381</v>
      </c>
      <c r="D436" s="129">
        <v>44381</v>
      </c>
      <c r="E436" t="str">
        <f t="shared" si="48"/>
        <v>MTA*N</v>
      </c>
      <c r="F436" s="99" t="s">
        <v>594</v>
      </c>
      <c r="G436" s="8">
        <v>2.75</v>
      </c>
      <c r="H436" s="93" t="s">
        <v>89</v>
      </c>
      <c r="I436" s="7" t="str">
        <f t="shared" si="50"/>
        <v>Variable</v>
      </c>
      <c r="J436" s="8">
        <f t="shared" si="52"/>
        <v>-259.16999999999911</v>
      </c>
      <c r="K436" s="130" t="s">
        <v>605</v>
      </c>
    </row>
    <row r="437" spans="1:11" x14ac:dyDescent="0.65">
      <c r="A437" s="22">
        <f t="shared" si="51"/>
        <v>2021</v>
      </c>
      <c r="B437" s="6">
        <f t="shared" si="49"/>
        <v>7</v>
      </c>
      <c r="C437" s="129">
        <v>44381</v>
      </c>
      <c r="D437" s="129">
        <v>44381</v>
      </c>
      <c r="E437" t="str">
        <f t="shared" si="48"/>
        <v>MTA*N</v>
      </c>
      <c r="F437" s="99" t="s">
        <v>595</v>
      </c>
      <c r="G437" s="8">
        <v>2.75</v>
      </c>
      <c r="H437" s="93" t="s">
        <v>89</v>
      </c>
      <c r="I437" s="7" t="str">
        <f t="shared" si="50"/>
        <v>Variable</v>
      </c>
      <c r="J437" s="8">
        <f t="shared" si="52"/>
        <v>-256.41999999999911</v>
      </c>
      <c r="K437" s="130" t="s">
        <v>605</v>
      </c>
    </row>
    <row r="438" spans="1:11" x14ac:dyDescent="0.65">
      <c r="A438" s="22">
        <f t="shared" si="51"/>
        <v>2021</v>
      </c>
      <c r="B438" s="6">
        <f t="shared" si="49"/>
        <v>7</v>
      </c>
      <c r="C438" s="129">
        <v>44381</v>
      </c>
      <c r="D438" s="129">
        <v>44381</v>
      </c>
      <c r="E438" t="str">
        <f t="shared" si="48"/>
        <v>SQ *E</v>
      </c>
      <c r="F438" s="99" t="s">
        <v>596</v>
      </c>
      <c r="G438" s="8">
        <v>51.44</v>
      </c>
      <c r="H438" s="93" t="s">
        <v>89</v>
      </c>
      <c r="I438" s="7" t="str">
        <f t="shared" si="50"/>
        <v>Variable</v>
      </c>
      <c r="J438" s="8">
        <f t="shared" si="52"/>
        <v>-204.97999999999911</v>
      </c>
      <c r="K438" s="130" t="s">
        <v>605</v>
      </c>
    </row>
    <row r="439" spans="1:11" x14ac:dyDescent="0.65">
      <c r="A439" s="22">
        <f t="shared" si="51"/>
        <v>2021</v>
      </c>
      <c r="B439" s="6">
        <f t="shared" si="49"/>
        <v>7</v>
      </c>
      <c r="C439" s="129">
        <v>44382</v>
      </c>
      <c r="D439" s="129">
        <v>44382</v>
      </c>
      <c r="E439" t="str">
        <f t="shared" si="48"/>
        <v>INTER</v>
      </c>
      <c r="F439" s="99" t="s">
        <v>21</v>
      </c>
      <c r="G439" s="8">
        <v>-367.73</v>
      </c>
      <c r="H439" s="93" t="s">
        <v>22</v>
      </c>
      <c r="I439" s="7" t="str">
        <f t="shared" si="50"/>
        <v>Payment</v>
      </c>
      <c r="J439" s="8">
        <f t="shared" si="52"/>
        <v>-572.70999999999913</v>
      </c>
      <c r="K439" s="93"/>
    </row>
    <row r="440" spans="1:11" x14ac:dyDescent="0.65">
      <c r="A440" s="22">
        <f t="shared" si="51"/>
        <v>2021</v>
      </c>
      <c r="B440" s="6">
        <f t="shared" si="49"/>
        <v>7</v>
      </c>
      <c r="C440" s="129">
        <v>44382</v>
      </c>
      <c r="D440" s="129">
        <v>44382</v>
      </c>
      <c r="E440" t="str">
        <f t="shared" si="48"/>
        <v>MCDON</v>
      </c>
      <c r="F440" s="99" t="s">
        <v>597</v>
      </c>
      <c r="G440" s="8">
        <v>10.9</v>
      </c>
      <c r="H440" s="93" t="s">
        <v>41</v>
      </c>
      <c r="I440" s="7" t="str">
        <f t="shared" si="50"/>
        <v>Variable</v>
      </c>
      <c r="J440" s="8">
        <f t="shared" si="52"/>
        <v>-561.80999999999915</v>
      </c>
      <c r="K440" s="130"/>
    </row>
    <row r="441" spans="1:11" x14ac:dyDescent="0.65">
      <c r="A441" s="22">
        <f t="shared" si="51"/>
        <v>2021</v>
      </c>
      <c r="B441" s="6">
        <f t="shared" si="49"/>
        <v>7</v>
      </c>
      <c r="C441" s="129">
        <v>44382</v>
      </c>
      <c r="D441" s="129">
        <v>44382</v>
      </c>
      <c r="E441" t="str">
        <f t="shared" si="48"/>
        <v>SAFEW</v>
      </c>
      <c r="F441" s="99" t="s">
        <v>598</v>
      </c>
      <c r="G441" s="8">
        <v>32.33</v>
      </c>
      <c r="H441" s="93" t="s">
        <v>24</v>
      </c>
      <c r="I441" s="7" t="str">
        <f t="shared" si="50"/>
        <v>Variable</v>
      </c>
      <c r="J441" s="8">
        <f t="shared" si="52"/>
        <v>-529.47999999999911</v>
      </c>
      <c r="K441" s="93"/>
    </row>
    <row r="442" spans="1:11" x14ac:dyDescent="0.65">
      <c r="A442" s="22">
        <f t="shared" si="51"/>
        <v>2021</v>
      </c>
      <c r="B442" s="6">
        <f t="shared" si="49"/>
        <v>7</v>
      </c>
      <c r="C442" s="129">
        <v>44382</v>
      </c>
      <c r="D442" s="129">
        <v>44382</v>
      </c>
      <c r="E442" t="str">
        <f t="shared" si="48"/>
        <v xml:space="preserve">UBER </v>
      </c>
      <c r="F442" s="99" t="s">
        <v>599</v>
      </c>
      <c r="G442" s="8">
        <v>48.99</v>
      </c>
      <c r="H442" s="93" t="s">
        <v>89</v>
      </c>
      <c r="I442" s="7" t="str">
        <f t="shared" si="50"/>
        <v>Variable</v>
      </c>
      <c r="J442" s="8">
        <f t="shared" si="52"/>
        <v>-480.4899999999991</v>
      </c>
      <c r="K442" s="93"/>
    </row>
    <row r="443" spans="1:11" x14ac:dyDescent="0.65">
      <c r="A443" s="22">
        <f t="shared" si="51"/>
        <v>2021</v>
      </c>
      <c r="B443" s="6">
        <f t="shared" si="49"/>
        <v>7</v>
      </c>
      <c r="C443" s="129">
        <v>44382</v>
      </c>
      <c r="D443" s="129">
        <v>44384</v>
      </c>
      <c r="E443" t="str">
        <f t="shared" si="48"/>
        <v>MICRO</v>
      </c>
      <c r="F443" s="99" t="s">
        <v>140</v>
      </c>
      <c r="G443" s="8">
        <v>-190.79</v>
      </c>
      <c r="H443" s="93" t="s">
        <v>22</v>
      </c>
      <c r="I443" s="7" t="str">
        <f t="shared" si="50"/>
        <v>Payment</v>
      </c>
      <c r="J443" s="8">
        <f t="shared" si="52"/>
        <v>-671.27999999999906</v>
      </c>
      <c r="K443" s="93"/>
    </row>
    <row r="444" spans="1:11" x14ac:dyDescent="0.65">
      <c r="A444" s="22">
        <f t="shared" si="51"/>
        <v>2021</v>
      </c>
      <c r="B444" s="6">
        <f t="shared" si="49"/>
        <v>7</v>
      </c>
      <c r="C444" s="129">
        <v>44384</v>
      </c>
      <c r="D444" s="129">
        <v>44384</v>
      </c>
      <c r="E444" t="str">
        <f t="shared" si="48"/>
        <v>AMERI</v>
      </c>
      <c r="F444" s="99" t="s">
        <v>184</v>
      </c>
      <c r="G444" s="8">
        <v>94.95</v>
      </c>
      <c r="H444" s="93" t="s">
        <v>89</v>
      </c>
      <c r="I444" s="7" t="str">
        <f t="shared" si="50"/>
        <v>Variable</v>
      </c>
      <c r="J444" s="8">
        <f t="shared" si="52"/>
        <v>-576.32999999999902</v>
      </c>
      <c r="K444" s="93"/>
    </row>
    <row r="445" spans="1:11" x14ac:dyDescent="0.65">
      <c r="A445" s="22">
        <f t="shared" si="51"/>
        <v>2021</v>
      </c>
      <c r="B445" s="6">
        <f t="shared" si="49"/>
        <v>7</v>
      </c>
      <c r="C445" s="129">
        <v>44384</v>
      </c>
      <c r="D445" s="129">
        <v>44384</v>
      </c>
      <c r="E445" t="str">
        <f t="shared" si="48"/>
        <v>THE M</v>
      </c>
      <c r="F445" s="99" t="s">
        <v>600</v>
      </c>
      <c r="G445" s="8">
        <v>382.98</v>
      </c>
      <c r="H445" s="93" t="s">
        <v>68</v>
      </c>
      <c r="I445" s="7" t="str">
        <f t="shared" si="50"/>
        <v>Variable</v>
      </c>
      <c r="J445" s="8">
        <f t="shared" si="52"/>
        <v>-193.349999999999</v>
      </c>
      <c r="K445" s="130" t="s">
        <v>603</v>
      </c>
    </row>
    <row r="446" spans="1:11" x14ac:dyDescent="0.65">
      <c r="A446" s="22">
        <f t="shared" si="51"/>
        <v>2021</v>
      </c>
      <c r="B446" s="6">
        <f t="shared" si="49"/>
        <v>7</v>
      </c>
      <c r="C446" s="129">
        <v>44385</v>
      </c>
      <c r="D446" s="129">
        <v>44385</v>
      </c>
      <c r="E446" t="str">
        <f t="shared" si="48"/>
        <v xml:space="preserve">LYFT </v>
      </c>
      <c r="F446" s="99" t="s">
        <v>601</v>
      </c>
      <c r="G446" s="8">
        <v>27.68</v>
      </c>
      <c r="H446" s="93" t="s">
        <v>89</v>
      </c>
      <c r="I446" s="7" t="str">
        <f t="shared" si="50"/>
        <v>Variable</v>
      </c>
      <c r="J446" s="8">
        <f t="shared" si="52"/>
        <v>-165.66999999999899</v>
      </c>
      <c r="K446" s="93"/>
    </row>
  </sheetData>
  <autoFilter ref="A1:K446" xr:uid="{685C96C8-7254-425B-861C-3AE606D68153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335D-16C4-4D44-B63A-61E5049AE184}">
  <sheetPr>
    <tabColor theme="3"/>
  </sheetPr>
  <dimension ref="A1:BI48"/>
  <sheetViews>
    <sheetView zoomScale="40" zoomScaleNormal="40" workbookViewId="0">
      <pane xSplit="1" topLeftCell="B1" activePane="topRight" state="frozen"/>
      <selection pane="topRight" activeCell="B9" sqref="B9"/>
    </sheetView>
  </sheetViews>
  <sheetFormatPr defaultRowHeight="10.5" x14ac:dyDescent="0.5"/>
  <cols>
    <col min="1" max="1" width="21.27734375" bestFit="1" customWidth="1"/>
    <col min="2" max="2" width="21.27734375" customWidth="1"/>
    <col min="3" max="61" width="15.609375" customWidth="1"/>
  </cols>
  <sheetData>
    <row r="1" spans="1:61" s="2" customFormat="1" x14ac:dyDescent="0.5">
      <c r="C1" s="2">
        <v>1</v>
      </c>
      <c r="D1" s="2">
        <v>1</v>
      </c>
      <c r="E1" s="2">
        <v>1</v>
      </c>
      <c r="F1" s="2">
        <v>1</v>
      </c>
      <c r="G1" s="2">
        <v>1</v>
      </c>
      <c r="H1" s="2">
        <v>2</v>
      </c>
      <c r="I1" s="2">
        <v>2</v>
      </c>
      <c r="J1" s="2">
        <v>2</v>
      </c>
      <c r="K1" s="2">
        <v>2</v>
      </c>
      <c r="L1" s="2">
        <v>3</v>
      </c>
      <c r="M1" s="2">
        <v>3</v>
      </c>
      <c r="N1" s="2">
        <v>3</v>
      </c>
      <c r="O1" s="2">
        <v>3</v>
      </c>
      <c r="P1" s="2">
        <v>3</v>
      </c>
      <c r="Q1" s="2">
        <v>4</v>
      </c>
      <c r="R1" s="2">
        <v>4</v>
      </c>
      <c r="S1" s="2">
        <v>4</v>
      </c>
      <c r="T1" s="2">
        <v>4</v>
      </c>
      <c r="U1" s="2">
        <v>4</v>
      </c>
      <c r="V1" s="2">
        <v>5</v>
      </c>
      <c r="W1" s="2">
        <v>5</v>
      </c>
      <c r="X1" s="2">
        <v>5</v>
      </c>
      <c r="Y1" s="2">
        <v>5</v>
      </c>
      <c r="Z1" s="2">
        <v>5</v>
      </c>
      <c r="AA1" s="2">
        <v>6</v>
      </c>
      <c r="AB1" s="2">
        <v>6</v>
      </c>
      <c r="AC1" s="2">
        <v>6</v>
      </c>
      <c r="AD1" s="2">
        <v>6</v>
      </c>
      <c r="AE1" s="2">
        <v>6</v>
      </c>
      <c r="AF1" s="2">
        <v>7</v>
      </c>
      <c r="AG1" s="2">
        <v>7</v>
      </c>
      <c r="AH1" s="2">
        <v>7</v>
      </c>
      <c r="AI1" s="2">
        <v>7</v>
      </c>
      <c r="AJ1" s="2">
        <v>7</v>
      </c>
      <c r="AK1" s="2">
        <v>8</v>
      </c>
      <c r="AL1" s="2">
        <v>8</v>
      </c>
      <c r="AM1" s="2">
        <v>8</v>
      </c>
      <c r="AN1" s="2">
        <v>8</v>
      </c>
      <c r="AO1" s="2">
        <v>8</v>
      </c>
      <c r="AP1" s="2">
        <v>9</v>
      </c>
      <c r="AQ1" s="2">
        <v>9</v>
      </c>
      <c r="AR1" s="2">
        <v>9</v>
      </c>
      <c r="AS1" s="2">
        <v>9</v>
      </c>
      <c r="AT1" s="2">
        <v>9</v>
      </c>
      <c r="AU1" s="2">
        <v>10</v>
      </c>
      <c r="AV1" s="2">
        <v>10</v>
      </c>
      <c r="AW1" s="2">
        <v>10</v>
      </c>
      <c r="AX1" s="2">
        <v>10</v>
      </c>
      <c r="AY1" s="2">
        <v>10</v>
      </c>
      <c r="AZ1" s="2">
        <v>11</v>
      </c>
      <c r="BA1" s="2">
        <v>11</v>
      </c>
      <c r="BB1" s="2">
        <v>11</v>
      </c>
      <c r="BC1" s="2">
        <v>11</v>
      </c>
      <c r="BD1" s="2">
        <v>11</v>
      </c>
      <c r="BE1" s="2">
        <v>12</v>
      </c>
      <c r="BF1" s="2">
        <v>12</v>
      </c>
      <c r="BG1" s="2">
        <v>12</v>
      </c>
      <c r="BH1" s="2">
        <v>12</v>
      </c>
      <c r="BI1" s="2">
        <v>12</v>
      </c>
    </row>
    <row r="2" spans="1:61" ht="14.25" x14ac:dyDescent="0.5">
      <c r="A2" t="s">
        <v>525</v>
      </c>
      <c r="B2" s="112">
        <v>167.58</v>
      </c>
      <c r="C2" s="125" t="s">
        <v>2</v>
      </c>
      <c r="D2" s="125"/>
      <c r="E2" s="125"/>
      <c r="F2" s="125"/>
      <c r="G2" s="125"/>
      <c r="H2" s="126" t="s">
        <v>306</v>
      </c>
      <c r="I2" s="126"/>
      <c r="J2" s="126"/>
      <c r="K2" s="126"/>
      <c r="L2" s="127" t="s">
        <v>307</v>
      </c>
      <c r="M2" s="127"/>
      <c r="N2" s="127"/>
      <c r="O2" s="127"/>
      <c r="P2" s="127"/>
      <c r="Q2" s="123" t="s">
        <v>308</v>
      </c>
      <c r="R2" s="123"/>
      <c r="S2" s="123"/>
      <c r="T2" s="123"/>
      <c r="U2" s="123"/>
      <c r="V2" s="128" t="s">
        <v>522</v>
      </c>
      <c r="W2" s="128"/>
      <c r="X2" s="128"/>
      <c r="Y2" s="128"/>
      <c r="Z2" s="128"/>
      <c r="AA2" s="120" t="s">
        <v>523</v>
      </c>
      <c r="AB2" s="120"/>
      <c r="AC2" s="120"/>
      <c r="AD2" s="120"/>
      <c r="AE2" s="120"/>
      <c r="AF2" s="121" t="s">
        <v>524</v>
      </c>
      <c r="AG2" s="121"/>
      <c r="AH2" s="121"/>
      <c r="AI2" s="121"/>
      <c r="AJ2" s="121"/>
      <c r="AK2" s="121" t="s">
        <v>329</v>
      </c>
      <c r="AL2" s="121"/>
      <c r="AM2" s="121"/>
      <c r="AN2" s="121"/>
      <c r="AO2" s="121"/>
      <c r="AP2" s="122" t="s">
        <v>330</v>
      </c>
      <c r="AQ2" s="122"/>
      <c r="AR2" s="122"/>
      <c r="AS2" s="122"/>
      <c r="AT2" s="122"/>
      <c r="AU2" s="123" t="s">
        <v>328</v>
      </c>
      <c r="AV2" s="123"/>
      <c r="AW2" s="123"/>
      <c r="AX2" s="123"/>
      <c r="AY2" s="123"/>
      <c r="AZ2" s="124" t="s">
        <v>331</v>
      </c>
      <c r="BA2" s="124"/>
      <c r="BB2" s="124"/>
      <c r="BC2" s="124"/>
      <c r="BD2" s="124"/>
      <c r="BE2" s="119" t="s">
        <v>332</v>
      </c>
      <c r="BF2" s="119"/>
      <c r="BG2" s="119"/>
      <c r="BH2" s="119"/>
      <c r="BI2" s="119"/>
    </row>
    <row r="3" spans="1:61" s="2" customFormat="1" x14ac:dyDescent="0.5">
      <c r="C3" s="2">
        <v>1</v>
      </c>
      <c r="D3" s="2">
        <v>8</v>
      </c>
      <c r="E3" s="2">
        <v>15</v>
      </c>
      <c r="F3" s="2">
        <v>22</v>
      </c>
      <c r="G3" s="2">
        <v>31</v>
      </c>
      <c r="H3" s="2">
        <v>5</v>
      </c>
      <c r="I3" s="2">
        <v>12</v>
      </c>
      <c r="J3" s="2">
        <v>19</v>
      </c>
      <c r="K3" s="2">
        <v>28</v>
      </c>
      <c r="L3" s="2">
        <v>5</v>
      </c>
      <c r="M3" s="2">
        <v>12</v>
      </c>
      <c r="N3" s="2">
        <v>19</v>
      </c>
      <c r="O3" s="2">
        <v>26</v>
      </c>
      <c r="P3" s="2">
        <v>31</v>
      </c>
      <c r="Q3" s="2">
        <v>2</v>
      </c>
      <c r="R3" s="2">
        <v>9</v>
      </c>
      <c r="S3" s="2">
        <v>16</v>
      </c>
      <c r="T3" s="2">
        <v>23</v>
      </c>
      <c r="U3" s="2">
        <v>30</v>
      </c>
      <c r="V3" s="2">
        <v>7</v>
      </c>
      <c r="W3" s="2">
        <v>14</v>
      </c>
      <c r="X3" s="2">
        <v>21</v>
      </c>
      <c r="Y3" s="2">
        <v>28</v>
      </c>
      <c r="Z3" s="2">
        <v>31</v>
      </c>
      <c r="AA3" s="2">
        <v>4</v>
      </c>
      <c r="AB3" s="2">
        <v>11</v>
      </c>
      <c r="AC3" s="2">
        <v>18</v>
      </c>
      <c r="AD3" s="2">
        <v>25</v>
      </c>
      <c r="AE3" s="2">
        <v>30</v>
      </c>
      <c r="AF3" s="2">
        <v>2</v>
      </c>
      <c r="AG3" s="2">
        <v>9</v>
      </c>
      <c r="AH3" s="2">
        <v>16</v>
      </c>
      <c r="AI3" s="2">
        <v>23</v>
      </c>
      <c r="AJ3" s="2">
        <v>30</v>
      </c>
      <c r="AK3" s="2">
        <v>6</v>
      </c>
      <c r="AL3" s="2">
        <v>13</v>
      </c>
      <c r="AM3" s="2">
        <v>20</v>
      </c>
      <c r="AN3" s="2">
        <v>27</v>
      </c>
      <c r="AO3" s="2">
        <v>31</v>
      </c>
      <c r="AP3" s="2">
        <v>3</v>
      </c>
      <c r="AQ3" s="2">
        <v>10</v>
      </c>
      <c r="AR3" s="2">
        <v>17</v>
      </c>
      <c r="AS3" s="2">
        <v>24</v>
      </c>
      <c r="AT3" s="2">
        <v>30</v>
      </c>
      <c r="AU3" s="2">
        <v>1</v>
      </c>
      <c r="AV3" s="2">
        <v>8</v>
      </c>
      <c r="AW3" s="2">
        <v>15</v>
      </c>
      <c r="AX3" s="2">
        <v>22</v>
      </c>
      <c r="AY3" s="2">
        <v>29</v>
      </c>
      <c r="AZ3" s="2">
        <v>5</v>
      </c>
      <c r="BA3" s="2">
        <v>12</v>
      </c>
      <c r="BB3" s="2">
        <v>19</v>
      </c>
      <c r="BC3" s="2">
        <v>26</v>
      </c>
      <c r="BD3" s="2">
        <v>30</v>
      </c>
      <c r="BE3" s="2">
        <v>3</v>
      </c>
      <c r="BF3" s="2">
        <v>10</v>
      </c>
      <c r="BG3" s="2">
        <v>17</v>
      </c>
      <c r="BH3" s="2">
        <v>24</v>
      </c>
      <c r="BI3" s="2">
        <v>31</v>
      </c>
    </row>
    <row r="4" spans="1:61" ht="14.5" x14ac:dyDescent="0.5">
      <c r="A4" t="str" cm="1">
        <f t="array" ref="A4:A46">_xlfn._xlws.SORT(_xlfn.UNIQUE(_xlfn._xlws.FILTER('Wells Fargo'!G:G,('Wells Fargo'!G:G&lt;&gt;0)*('Wells Fargo'!G:G&lt;&gt;"Primary"))))</f>
        <v>Amar - Electric</v>
      </c>
      <c r="B4" s="90">
        <f>SUM(C4:BI4)</f>
        <v>-592.54</v>
      </c>
      <c r="C4" s="111">
        <f>SUMIFS('Wells Fargo'!$F:$F,'Wells Fargo'!$G:$G,'Cash Flow'!$A4,'Wells Fargo'!$A:$A,C$1,'Wells Fargo'!$B:$B,"&lt;="&amp;'Cash Flow'!C$3)</f>
        <v>0</v>
      </c>
      <c r="D4" s="77">
        <f>SUMIFS('Wells Fargo'!$F:$F,'Wells Fargo'!$G:$G,'Cash Flow'!$A4,'Wells Fargo'!$A:$A,D$1,'Wells Fargo'!$B:$B,"&lt;="&amp;'Cash Flow'!D$3,'Wells Fargo'!$B:$B,"&gt;"&amp;'Cash Flow'!C$3)</f>
        <v>0</v>
      </c>
      <c r="E4" s="77">
        <f>SUMIFS('Wells Fargo'!$F:$F,'Wells Fargo'!$G:$G,'Cash Flow'!$A4,'Wells Fargo'!$A:$A,E$1,'Wells Fargo'!$B:$B,"&lt;="&amp;'Cash Flow'!E$3,'Wells Fargo'!$B:$B,"&gt;"&amp;'Cash Flow'!D$3)</f>
        <v>0</v>
      </c>
      <c r="F4" s="77">
        <f>SUMIFS('Wells Fargo'!$F:$F,'Wells Fargo'!$G:$G,'Cash Flow'!$A4,'Wells Fargo'!$A:$A,F$1,'Wells Fargo'!$B:$B,"&lt;="&amp;'Cash Flow'!F$3,'Wells Fargo'!$B:$B,"&gt;"&amp;'Cash Flow'!E$3)</f>
        <v>-78.86</v>
      </c>
      <c r="G4" s="77">
        <f>SUMIFS('Wells Fargo'!$F:$F,'Wells Fargo'!$G:$G,'Cash Flow'!$A4,'Wells Fargo'!$A:$A,G$1,'Wells Fargo'!$B:$B,"&lt;="&amp;'Cash Flow'!G$3,'Wells Fargo'!$B:$B,"&gt;"&amp;'Cash Flow'!F$3)</f>
        <v>0</v>
      </c>
      <c r="H4" s="111">
        <f>SUMIFS('Wells Fargo'!$F:$F,'Wells Fargo'!$G:$G,'Cash Flow'!$A4,'Wells Fargo'!$A:$A,H$1,'Wells Fargo'!$B:$B,"&lt;="&amp;'Cash Flow'!H$3)</f>
        <v>0</v>
      </c>
      <c r="I4" s="77">
        <f>SUMIFS('Wells Fargo'!$F:$F,'Wells Fargo'!$G:$G,'Cash Flow'!$A4,'Wells Fargo'!$A:$A,I$1,'Wells Fargo'!$B:$B,"&lt;="&amp;'Cash Flow'!I$3,'Wells Fargo'!$B:$B,"&gt;"&amp;'Cash Flow'!H$3)</f>
        <v>0</v>
      </c>
      <c r="J4" s="77">
        <f>SUMIFS('Wells Fargo'!$F:$F,'Wells Fargo'!$G:$G,'Cash Flow'!$A4,'Wells Fargo'!$A:$A,J$1,'Wells Fargo'!$B:$B,"&lt;="&amp;'Cash Flow'!J$3,'Wells Fargo'!$B:$B,"&gt;"&amp;'Cash Flow'!I$3)</f>
        <v>0</v>
      </c>
      <c r="K4" s="77">
        <f>SUMIFS('Wells Fargo'!$F:$F,'Wells Fargo'!$G:$G,'Cash Flow'!$A4,'Wells Fargo'!$A:$A,K$1,'Wells Fargo'!$B:$B,"&lt;="&amp;'Cash Flow'!K$3,'Wells Fargo'!$B:$B,"&gt;"&amp;'Cash Flow'!J$3)</f>
        <v>-81.319999999999993</v>
      </c>
      <c r="L4" s="111">
        <f>SUMIFS('Wells Fargo'!$F:$F,'Wells Fargo'!$G:$G,'Cash Flow'!$A4,'Wells Fargo'!$A:$A,L$1,'Wells Fargo'!$B:$B,"&lt;="&amp;'Cash Flow'!L$3)</f>
        <v>0</v>
      </c>
      <c r="M4" s="77">
        <f>SUMIFS('Wells Fargo'!$F:$F,'Wells Fargo'!$G:$G,'Cash Flow'!$A4,'Wells Fargo'!$A:$A,M$1,'Wells Fargo'!$B:$B,"&lt;="&amp;'Cash Flow'!M$3,'Wells Fargo'!$B:$B,"&gt;"&amp;'Cash Flow'!L$3)</f>
        <v>0</v>
      </c>
      <c r="N4" s="77">
        <f>SUMIFS('Wells Fargo'!$F:$F,'Wells Fargo'!$G:$G,'Cash Flow'!$A4,'Wells Fargo'!$A:$A,N$1,'Wells Fargo'!$B:$B,"&lt;="&amp;'Cash Flow'!N$3,'Wells Fargo'!$B:$B,"&gt;"&amp;'Cash Flow'!M$3)</f>
        <v>-39.700000000000003</v>
      </c>
      <c r="O4" s="77">
        <f>SUMIFS('Wells Fargo'!$F:$F,'Wells Fargo'!$G:$G,'Cash Flow'!$A4,'Wells Fargo'!$A:$A,O$1,'Wells Fargo'!$B:$B,"&lt;="&amp;'Cash Flow'!O$3,'Wells Fargo'!$B:$B,"&gt;"&amp;'Cash Flow'!N$3)</f>
        <v>0</v>
      </c>
      <c r="P4" s="77">
        <f>SUMIFS('Wells Fargo'!$F:$F,'Wells Fargo'!$G:$G,'Cash Flow'!$A4,'Wells Fargo'!$A:$A,P$1,'Wells Fargo'!$B:$B,"&lt;="&amp;'Cash Flow'!P$3,'Wells Fargo'!$B:$B,"&gt;"&amp;'Cash Flow'!O$3)</f>
        <v>0</v>
      </c>
      <c r="Q4" s="111">
        <f>SUMIFS('Wells Fargo'!$F:$F,'Wells Fargo'!$G:$G,'Cash Flow'!$A4,'Wells Fargo'!$A:$A,Q$1,'Wells Fargo'!$B:$B,"&lt;="&amp;'Cash Flow'!Q$3)</f>
        <v>0</v>
      </c>
      <c r="R4" s="77">
        <f>SUMIFS('Wells Fargo'!$F:$F,'Wells Fargo'!$G:$G,'Cash Flow'!$A4,'Wells Fargo'!$A:$A,R$1,'Wells Fargo'!$B:$B,"&lt;="&amp;'Cash Flow'!R$3,'Wells Fargo'!$B:$B,"&gt;"&amp;'Cash Flow'!Q$3)</f>
        <v>0</v>
      </c>
      <c r="S4" s="77">
        <f>SUMIFS('Wells Fargo'!$F:$F,'Wells Fargo'!$G:$G,'Cash Flow'!$A4,'Wells Fargo'!$A:$A,S$1,'Wells Fargo'!$B:$B,"&lt;="&amp;'Cash Flow'!S$3,'Wells Fargo'!$B:$B,"&gt;"&amp;'Cash Flow'!R$3)</f>
        <v>-138.52000000000001</v>
      </c>
      <c r="T4" s="77">
        <f>SUMIFS('Wells Fargo'!$F:$F,'Wells Fargo'!$G:$G,'Cash Flow'!$A4,'Wells Fargo'!$A:$A,T$1,'Wells Fargo'!$B:$B,"&lt;="&amp;'Cash Flow'!T$3,'Wells Fargo'!$B:$B,"&gt;"&amp;'Cash Flow'!S$3)</f>
        <v>0</v>
      </c>
      <c r="U4" s="77">
        <f>SUMIFS('Wells Fargo'!$F:$F,'Wells Fargo'!$G:$G,'Cash Flow'!$A4,'Wells Fargo'!$A:$A,U$1,'Wells Fargo'!$B:$B,"&lt;="&amp;'Cash Flow'!U$3,'Wells Fargo'!$B:$B,"&gt;"&amp;'Cash Flow'!T$3)</f>
        <v>0</v>
      </c>
      <c r="V4" s="111">
        <f>SUMIFS('Wells Fargo'!$F:$F,'Wells Fargo'!$G:$G,'Cash Flow'!$A4,'Wells Fargo'!$A:$A,V$1,'Wells Fargo'!$B:$B,"&lt;="&amp;'Cash Flow'!V$3)</f>
        <v>0</v>
      </c>
      <c r="W4" s="77">
        <f>SUMIFS('Wells Fargo'!$F:$F,'Wells Fargo'!$G:$G,'Cash Flow'!$A4,'Wells Fargo'!$A:$A,W$1,'Wells Fargo'!$B:$B,"&lt;="&amp;'Cash Flow'!W$3,'Wells Fargo'!$B:$B,"&gt;"&amp;'Cash Flow'!V$3)</f>
        <v>-136.13999999999999</v>
      </c>
      <c r="X4" s="77">
        <f>SUMIFS('Wells Fargo'!$F:$F,'Wells Fargo'!$G:$G,'Cash Flow'!$A4,'Wells Fargo'!$A:$A,X$1,'Wells Fargo'!$B:$B,"&lt;="&amp;'Cash Flow'!X$3,'Wells Fargo'!$B:$B,"&gt;"&amp;'Cash Flow'!W$3)</f>
        <v>0</v>
      </c>
      <c r="Y4" s="77">
        <f>SUMIFS('Wells Fargo'!$F:$F,'Wells Fargo'!$G:$G,'Cash Flow'!$A4,'Wells Fargo'!$A:$A,Y$1,'Wells Fargo'!$B:$B,"&lt;="&amp;'Cash Flow'!Y$3,'Wells Fargo'!$B:$B,"&gt;"&amp;'Cash Flow'!X$3)</f>
        <v>0</v>
      </c>
      <c r="Z4" s="77">
        <f>SUMIFS('Wells Fargo'!$F:$F,'Wells Fargo'!$G:$G,'Cash Flow'!$A4,'Wells Fargo'!$A:$A,Z$1,'Wells Fargo'!$B:$B,"&lt;="&amp;'Cash Flow'!Z$3,'Wells Fargo'!$B:$B,"&gt;"&amp;'Cash Flow'!Y$3)</f>
        <v>0</v>
      </c>
      <c r="AA4" s="111">
        <f>SUMIFS('Wells Fargo'!$F:$F,'Wells Fargo'!$G:$G,'Cash Flow'!$A4,'Wells Fargo'!$A:$A,AA$1,'Wells Fargo'!$B:$B,"&lt;="&amp;'Cash Flow'!AA$3)</f>
        <v>-118</v>
      </c>
      <c r="AB4" s="77">
        <f>SUMIFS('Wells Fargo'!$F:$F,'Wells Fargo'!$G:$G,'Cash Flow'!$A4,'Wells Fargo'!$A:$A,AB$1,'Wells Fargo'!$B:$B,"&lt;="&amp;'Cash Flow'!AB$3,'Wells Fargo'!$B:$B,"&gt;"&amp;'Cash Flow'!AA$3)</f>
        <v>0</v>
      </c>
      <c r="AC4" s="77">
        <f>SUMIFS('Wells Fargo'!$F:$F,'Wells Fargo'!$G:$G,'Cash Flow'!$A4,'Wells Fargo'!$A:$A,AC$1,'Wells Fargo'!$B:$B,"&lt;="&amp;'Cash Flow'!AC$3,'Wells Fargo'!$B:$B,"&gt;"&amp;'Cash Flow'!AB$3)</f>
        <v>0</v>
      </c>
      <c r="AD4" s="77">
        <f>SUMIFS('Wells Fargo'!$F:$F,'Wells Fargo'!$G:$G,'Cash Flow'!$A4,'Wells Fargo'!$A:$A,AD$1,'Wells Fargo'!$B:$B,"&lt;="&amp;'Cash Flow'!AD$3,'Wells Fargo'!$B:$B,"&gt;"&amp;'Cash Flow'!AC$3)</f>
        <v>0</v>
      </c>
      <c r="AE4" s="77">
        <f>SUMIFS('Wells Fargo'!$F:$F,'Wells Fargo'!$G:$G,'Cash Flow'!$A4,'Wells Fargo'!$A:$A,AE$1,'Wells Fargo'!$B:$B,"&lt;="&amp;'Cash Flow'!AE$3,'Wells Fargo'!$B:$B,"&gt;"&amp;'Cash Flow'!AD$3)</f>
        <v>0</v>
      </c>
      <c r="AF4" s="111">
        <f>SUMIFS('Wells Fargo'!$F:$F,'Wells Fargo'!$G:$G,'Cash Flow'!$A4,'Wells Fargo'!$A:$A,AF$1,'Wells Fargo'!$B:$B,"&lt;="&amp;'Cash Flow'!AF$3)</f>
        <v>0</v>
      </c>
      <c r="AG4" s="77">
        <f>SUMIFS('Wells Fargo'!$F:$F,'Wells Fargo'!$G:$G,'Cash Flow'!$A4,'Wells Fargo'!$A:$A,AG$1,'Wells Fargo'!$B:$B,"&lt;="&amp;'Cash Flow'!AG$3,'Wells Fargo'!$B:$B,"&gt;"&amp;'Cash Flow'!AF$3)</f>
        <v>0</v>
      </c>
      <c r="AH4" s="77">
        <f>SUMIFS('Wells Fargo'!$F:$F,'Wells Fargo'!$G:$G,'Cash Flow'!$A4,'Wells Fargo'!$A:$A,AH$1,'Wells Fargo'!$B:$B,"&lt;="&amp;'Cash Flow'!AH$3,'Wells Fargo'!$B:$B,"&gt;"&amp;'Cash Flow'!AG$3)</f>
        <v>0</v>
      </c>
      <c r="AI4" s="77">
        <f>SUMIFS('Wells Fargo'!$F:$F,'Wells Fargo'!$G:$G,'Cash Flow'!$A4,'Wells Fargo'!$A:$A,AI$1,'Wells Fargo'!$B:$B,"&lt;="&amp;'Cash Flow'!AI$3,'Wells Fargo'!$B:$B,"&gt;"&amp;'Cash Flow'!AH$3)</f>
        <v>0</v>
      </c>
      <c r="AJ4" s="77">
        <f>SUMIFS('Wells Fargo'!$F:$F,'Wells Fargo'!$G:$G,'Cash Flow'!$A4,'Wells Fargo'!$A:$A,AJ$1,'Wells Fargo'!$B:$B,"&lt;="&amp;'Cash Flow'!AJ$3,'Wells Fargo'!$B:$B,"&gt;"&amp;'Cash Flow'!AI$3)</f>
        <v>0</v>
      </c>
      <c r="AK4" s="111">
        <f>SUMIFS('Wells Fargo'!$F:$F,'Wells Fargo'!$G:$G,'Cash Flow'!$A4,'Wells Fargo'!$A:$A,AK$1,'Wells Fargo'!$B:$B,"&lt;="&amp;'Cash Flow'!AK$3)</f>
        <v>0</v>
      </c>
      <c r="AL4" s="77">
        <f>SUMIFS('Wells Fargo'!$F:$F,'Wells Fargo'!$G:$G,'Cash Flow'!$A4,'Wells Fargo'!$A:$A,AL$1,'Wells Fargo'!$B:$B,"&lt;="&amp;'Cash Flow'!AL$3,'Wells Fargo'!$B:$B,"&gt;"&amp;'Cash Flow'!AK$3)</f>
        <v>0</v>
      </c>
      <c r="AM4" s="77">
        <f>SUMIFS('Wells Fargo'!$F:$F,'Wells Fargo'!$G:$G,'Cash Flow'!$A4,'Wells Fargo'!$A:$A,AM$1,'Wells Fargo'!$B:$B,"&lt;="&amp;'Cash Flow'!AM$3,'Wells Fargo'!$B:$B,"&gt;"&amp;'Cash Flow'!AL$3)</f>
        <v>0</v>
      </c>
      <c r="AN4" s="77">
        <f>SUMIFS('Wells Fargo'!$F:$F,'Wells Fargo'!$G:$G,'Cash Flow'!$A4,'Wells Fargo'!$A:$A,AN$1,'Wells Fargo'!$B:$B,"&lt;="&amp;'Cash Flow'!AN$3,'Wells Fargo'!$B:$B,"&gt;"&amp;'Cash Flow'!AM$3)</f>
        <v>0</v>
      </c>
      <c r="AO4" s="77">
        <f>SUMIFS('Wells Fargo'!$F:$F,'Wells Fargo'!$G:$G,'Cash Flow'!$A4,'Wells Fargo'!$A:$A,AO$1,'Wells Fargo'!$B:$B,"&lt;="&amp;'Cash Flow'!AO$3,'Wells Fargo'!$B:$B,"&gt;"&amp;'Cash Flow'!AN$3)</f>
        <v>0</v>
      </c>
      <c r="AP4" s="111">
        <f>SUMIFS('Wells Fargo'!$F:$F,'Wells Fargo'!$G:$G,'Cash Flow'!$A4,'Wells Fargo'!$A:$A,AP$1,'Wells Fargo'!$B:$B,"&lt;="&amp;'Cash Flow'!AP$3)</f>
        <v>0</v>
      </c>
      <c r="AQ4" s="77">
        <f>SUMIFS('Wells Fargo'!$F:$F,'Wells Fargo'!$G:$G,'Cash Flow'!$A4,'Wells Fargo'!$A:$A,AQ$1,'Wells Fargo'!$B:$B,"&lt;="&amp;'Cash Flow'!AQ$3,'Wells Fargo'!$B:$B,"&gt;"&amp;'Cash Flow'!AP$3)</f>
        <v>0</v>
      </c>
      <c r="AR4" s="77">
        <f>SUMIFS('Wells Fargo'!$F:$F,'Wells Fargo'!$G:$G,'Cash Flow'!$A4,'Wells Fargo'!$A:$A,AR$1,'Wells Fargo'!$B:$B,"&lt;="&amp;'Cash Flow'!AR$3,'Wells Fargo'!$B:$B,"&gt;"&amp;'Cash Flow'!AQ$3)</f>
        <v>0</v>
      </c>
      <c r="AS4" s="77">
        <f>SUMIFS('Wells Fargo'!$F:$F,'Wells Fargo'!$G:$G,'Cash Flow'!$A4,'Wells Fargo'!$A:$A,AS$1,'Wells Fargo'!$B:$B,"&lt;="&amp;'Cash Flow'!AS$3,'Wells Fargo'!$B:$B,"&gt;"&amp;'Cash Flow'!AR$3)</f>
        <v>0</v>
      </c>
      <c r="AT4" s="77">
        <f>SUMIFS('Wells Fargo'!$F:$F,'Wells Fargo'!$G:$G,'Cash Flow'!$A4,'Wells Fargo'!$A:$A,AT$1,'Wells Fargo'!$B:$B,"&lt;="&amp;'Cash Flow'!AT$3,'Wells Fargo'!$B:$B,"&gt;"&amp;'Cash Flow'!AS$3)</f>
        <v>0</v>
      </c>
      <c r="AU4" s="111">
        <f>SUMIFS('Wells Fargo'!$F:$F,'Wells Fargo'!$G:$G,'Cash Flow'!$A4,'Wells Fargo'!$A:$A,AU$1,'Wells Fargo'!$B:$B,"&lt;="&amp;'Cash Flow'!AU$3)</f>
        <v>0</v>
      </c>
      <c r="AV4" s="77">
        <f>SUMIFS('Wells Fargo'!$F:$F,'Wells Fargo'!$G:$G,'Cash Flow'!$A4,'Wells Fargo'!$A:$A,AV$1,'Wells Fargo'!$B:$B,"&lt;="&amp;'Cash Flow'!AV$3,'Wells Fargo'!$B:$B,"&gt;"&amp;'Cash Flow'!AU$3)</f>
        <v>0</v>
      </c>
      <c r="AW4" s="77">
        <f>SUMIFS('Wells Fargo'!$F:$F,'Wells Fargo'!$G:$G,'Cash Flow'!$A4,'Wells Fargo'!$A:$A,AW$1,'Wells Fargo'!$B:$B,"&lt;="&amp;'Cash Flow'!AW$3,'Wells Fargo'!$B:$B,"&gt;"&amp;'Cash Flow'!AV$3)</f>
        <v>0</v>
      </c>
      <c r="AX4" s="77">
        <f>SUMIFS('Wells Fargo'!$F:$F,'Wells Fargo'!$G:$G,'Cash Flow'!$A4,'Wells Fargo'!$A:$A,AX$1,'Wells Fargo'!$B:$B,"&lt;="&amp;'Cash Flow'!AX$3,'Wells Fargo'!$B:$B,"&gt;"&amp;'Cash Flow'!AW$3)</f>
        <v>0</v>
      </c>
      <c r="AY4" s="77">
        <f>SUMIFS('Wells Fargo'!$F:$F,'Wells Fargo'!$G:$G,'Cash Flow'!$A4,'Wells Fargo'!$A:$A,AY$1,'Wells Fargo'!$B:$B,"&lt;="&amp;'Cash Flow'!AY$3,'Wells Fargo'!$B:$B,"&gt;"&amp;'Cash Flow'!AX$3)</f>
        <v>0</v>
      </c>
      <c r="AZ4" s="111">
        <f>SUMIFS('Wells Fargo'!$F:$F,'Wells Fargo'!$G:$G,'Cash Flow'!$A4,'Wells Fargo'!$A:$A,AZ$1,'Wells Fargo'!$B:$B,"&lt;="&amp;'Cash Flow'!AZ$3)</f>
        <v>0</v>
      </c>
      <c r="BA4" s="77">
        <f>SUMIFS('Wells Fargo'!$F:$F,'Wells Fargo'!$G:$G,'Cash Flow'!$A4,'Wells Fargo'!$A:$A,BA$1,'Wells Fargo'!$B:$B,"&lt;="&amp;'Cash Flow'!BA$3,'Wells Fargo'!$B:$B,"&gt;"&amp;'Cash Flow'!AZ$3)</f>
        <v>0</v>
      </c>
      <c r="BB4" s="77">
        <f>SUMIFS('Wells Fargo'!$F:$F,'Wells Fargo'!$G:$G,'Cash Flow'!$A4,'Wells Fargo'!$A:$A,BB$1,'Wells Fargo'!$B:$B,"&lt;="&amp;'Cash Flow'!BB$3,'Wells Fargo'!$B:$B,"&gt;"&amp;'Cash Flow'!BA$3)</f>
        <v>0</v>
      </c>
      <c r="BC4" s="77">
        <f>SUMIFS('Wells Fargo'!$F:$F,'Wells Fargo'!$G:$G,'Cash Flow'!$A4,'Wells Fargo'!$A:$A,BC$1,'Wells Fargo'!$B:$B,"&lt;="&amp;'Cash Flow'!BC$3,'Wells Fargo'!$B:$B,"&gt;"&amp;'Cash Flow'!BB$3)</f>
        <v>0</v>
      </c>
      <c r="BD4" s="77">
        <f>SUMIFS('Wells Fargo'!$F:$F,'Wells Fargo'!$G:$G,'Cash Flow'!$A4,'Wells Fargo'!$A:$A,BD$1,'Wells Fargo'!$B:$B,"&lt;="&amp;'Cash Flow'!BD$3,'Wells Fargo'!$B:$B,"&gt;"&amp;'Cash Flow'!BC$3)</f>
        <v>0</v>
      </c>
      <c r="BE4" s="111">
        <f>SUMIFS('Wells Fargo'!$F:$F,'Wells Fargo'!$G:$G,'Cash Flow'!$A4,'Wells Fargo'!$A:$A,BE$1,'Wells Fargo'!$B:$B,"&lt;="&amp;'Cash Flow'!BE$3)</f>
        <v>0</v>
      </c>
      <c r="BF4" s="77">
        <f>SUMIFS('Wells Fargo'!$F:$F,'Wells Fargo'!$G:$G,'Cash Flow'!$A4,'Wells Fargo'!$A:$A,BF$1,'Wells Fargo'!$B:$B,"&lt;="&amp;'Cash Flow'!BF$3,'Wells Fargo'!$B:$B,"&gt;"&amp;'Cash Flow'!BE$3)</f>
        <v>0</v>
      </c>
      <c r="BG4" s="77">
        <f>SUMIFS('Wells Fargo'!$F:$F,'Wells Fargo'!$G:$G,'Cash Flow'!$A4,'Wells Fargo'!$A:$A,BG$1,'Wells Fargo'!$B:$B,"&lt;="&amp;'Cash Flow'!BG$3,'Wells Fargo'!$B:$B,"&gt;"&amp;'Cash Flow'!BF$3)</f>
        <v>0</v>
      </c>
      <c r="BH4" s="77">
        <f>SUMIFS('Wells Fargo'!$F:$F,'Wells Fargo'!$G:$G,'Cash Flow'!$A4,'Wells Fargo'!$A:$A,BH$1,'Wells Fargo'!$B:$B,"&lt;="&amp;'Cash Flow'!BH$3,'Wells Fargo'!$B:$B,"&gt;"&amp;'Cash Flow'!BG$3)</f>
        <v>0</v>
      </c>
      <c r="BI4" s="77">
        <f>SUMIFS('Wells Fargo'!$F:$F,'Wells Fargo'!$G:$G,'Cash Flow'!$A4,'Wells Fargo'!$A:$A,BI$1,'Wells Fargo'!$B:$B,"&lt;="&amp;'Cash Flow'!BI$3,'Wells Fargo'!$B:$B,"&gt;"&amp;'Cash Flow'!BH$3)</f>
        <v>0</v>
      </c>
    </row>
    <row r="5" spans="1:61" ht="14.5" x14ac:dyDescent="0.5">
      <c r="A5" t="str">
        <v>Amar - Rent</v>
      </c>
      <c r="B5" s="90">
        <f t="shared" ref="B5:B36" si="0">SUM(C5:BI5)</f>
        <v>-2800</v>
      </c>
      <c r="C5" s="111">
        <f>SUMIFS('Wells Fargo'!$F:$F,'Wells Fargo'!$G:$G,'Cash Flow'!$A5,'Wells Fargo'!$A:$A,C$1,'Wells Fargo'!$B:$B,"&lt;="&amp;'Cash Flow'!C$3)</f>
        <v>0</v>
      </c>
      <c r="D5" s="77">
        <f>SUMIFS('Wells Fargo'!$F:$F,'Wells Fargo'!$G:$G,'Cash Flow'!$A5,'Wells Fargo'!$A:$A,D$1,'Wells Fargo'!$B:$B,"&lt;="&amp;'Cash Flow'!D$3,'Wells Fargo'!$B:$B,"&gt;"&amp;'Cash Flow'!C$3)</f>
        <v>0</v>
      </c>
      <c r="E5" s="77">
        <f>SUMIFS('Wells Fargo'!$F:$F,'Wells Fargo'!$G:$G,'Cash Flow'!$A5,'Wells Fargo'!$A:$A,E$1,'Wells Fargo'!$B:$B,"&lt;="&amp;'Cash Flow'!E$3,'Wells Fargo'!$B:$B,"&gt;"&amp;'Cash Flow'!D$3)</f>
        <v>0</v>
      </c>
      <c r="F5" s="77">
        <f>SUMIFS('Wells Fargo'!$F:$F,'Wells Fargo'!$G:$G,'Cash Flow'!$A5,'Wells Fargo'!$A:$A,F$1,'Wells Fargo'!$B:$B,"&lt;="&amp;'Cash Flow'!F$3,'Wells Fargo'!$B:$B,"&gt;"&amp;'Cash Flow'!E$3)</f>
        <v>0</v>
      </c>
      <c r="G5" s="77">
        <f>SUMIFS('Wells Fargo'!$F:$F,'Wells Fargo'!$G:$G,'Cash Flow'!$A5,'Wells Fargo'!$A:$A,G$1,'Wells Fargo'!$B:$B,"&lt;="&amp;'Cash Flow'!G$3,'Wells Fargo'!$B:$B,"&gt;"&amp;'Cash Flow'!F$3)</f>
        <v>-700</v>
      </c>
      <c r="H5" s="111">
        <f>SUMIFS('Wells Fargo'!$F:$F,'Wells Fargo'!$G:$G,'Cash Flow'!$A5,'Wells Fargo'!$A:$A,H$1,'Wells Fargo'!$B:$B,"&lt;="&amp;'Cash Flow'!H$3)</f>
        <v>0</v>
      </c>
      <c r="I5" s="77">
        <f>SUMIFS('Wells Fargo'!$F:$F,'Wells Fargo'!$G:$G,'Cash Flow'!$A5,'Wells Fargo'!$A:$A,I$1,'Wells Fargo'!$B:$B,"&lt;="&amp;'Cash Flow'!I$3,'Wells Fargo'!$B:$B,"&gt;"&amp;'Cash Flow'!H$3)</f>
        <v>0</v>
      </c>
      <c r="J5" s="77">
        <f>SUMIFS('Wells Fargo'!$F:$F,'Wells Fargo'!$G:$G,'Cash Flow'!$A5,'Wells Fargo'!$A:$A,J$1,'Wells Fargo'!$B:$B,"&lt;="&amp;'Cash Flow'!J$3,'Wells Fargo'!$B:$B,"&gt;"&amp;'Cash Flow'!I$3)</f>
        <v>0</v>
      </c>
      <c r="K5" s="77">
        <f>SUMIFS('Wells Fargo'!$F:$F,'Wells Fargo'!$G:$G,'Cash Flow'!$A5,'Wells Fargo'!$A:$A,K$1,'Wells Fargo'!$B:$B,"&lt;="&amp;'Cash Flow'!K$3,'Wells Fargo'!$B:$B,"&gt;"&amp;'Cash Flow'!J$3)</f>
        <v>-700</v>
      </c>
      <c r="L5" s="111">
        <f>SUMIFS('Wells Fargo'!$F:$F,'Wells Fargo'!$G:$G,'Cash Flow'!$A5,'Wells Fargo'!$A:$A,L$1,'Wells Fargo'!$B:$B,"&lt;="&amp;'Cash Flow'!L$3)</f>
        <v>0</v>
      </c>
      <c r="M5" s="77">
        <f>SUMIFS('Wells Fargo'!$F:$F,'Wells Fargo'!$G:$G,'Cash Flow'!$A5,'Wells Fargo'!$A:$A,M$1,'Wells Fargo'!$B:$B,"&lt;="&amp;'Cash Flow'!M$3,'Wells Fargo'!$B:$B,"&gt;"&amp;'Cash Flow'!L$3)</f>
        <v>0</v>
      </c>
      <c r="N5" s="77">
        <f>SUMIFS('Wells Fargo'!$F:$F,'Wells Fargo'!$G:$G,'Cash Flow'!$A5,'Wells Fargo'!$A:$A,N$1,'Wells Fargo'!$B:$B,"&lt;="&amp;'Cash Flow'!N$3,'Wells Fargo'!$B:$B,"&gt;"&amp;'Cash Flow'!M$3)</f>
        <v>-700</v>
      </c>
      <c r="O5" s="77">
        <f>SUMIFS('Wells Fargo'!$F:$F,'Wells Fargo'!$G:$G,'Cash Flow'!$A5,'Wells Fargo'!$A:$A,O$1,'Wells Fargo'!$B:$B,"&lt;="&amp;'Cash Flow'!O$3,'Wells Fargo'!$B:$B,"&gt;"&amp;'Cash Flow'!N$3)</f>
        <v>0</v>
      </c>
      <c r="P5" s="77">
        <f>SUMIFS('Wells Fargo'!$F:$F,'Wells Fargo'!$G:$G,'Cash Flow'!$A5,'Wells Fargo'!$A:$A,P$1,'Wells Fargo'!$B:$B,"&lt;="&amp;'Cash Flow'!P$3,'Wells Fargo'!$B:$B,"&gt;"&amp;'Cash Flow'!O$3)</f>
        <v>0</v>
      </c>
      <c r="Q5" s="111">
        <f>SUMIFS('Wells Fargo'!$F:$F,'Wells Fargo'!$G:$G,'Cash Flow'!$A5,'Wells Fargo'!$A:$A,Q$1,'Wells Fargo'!$B:$B,"&lt;="&amp;'Cash Flow'!Q$3)</f>
        <v>0</v>
      </c>
      <c r="R5" s="77">
        <f>SUMIFS('Wells Fargo'!$F:$F,'Wells Fargo'!$G:$G,'Cash Flow'!$A5,'Wells Fargo'!$A:$A,R$1,'Wells Fargo'!$B:$B,"&lt;="&amp;'Cash Flow'!R$3,'Wells Fargo'!$B:$B,"&gt;"&amp;'Cash Flow'!Q$3)</f>
        <v>0</v>
      </c>
      <c r="S5" s="77">
        <f>SUMIFS('Wells Fargo'!$F:$F,'Wells Fargo'!$G:$G,'Cash Flow'!$A5,'Wells Fargo'!$A:$A,S$1,'Wells Fargo'!$B:$B,"&lt;="&amp;'Cash Flow'!S$3,'Wells Fargo'!$B:$B,"&gt;"&amp;'Cash Flow'!R$3)</f>
        <v>0</v>
      </c>
      <c r="T5" s="77">
        <f>SUMIFS('Wells Fargo'!$F:$F,'Wells Fargo'!$G:$G,'Cash Flow'!$A5,'Wells Fargo'!$A:$A,T$1,'Wells Fargo'!$B:$B,"&lt;="&amp;'Cash Flow'!T$3,'Wells Fargo'!$B:$B,"&gt;"&amp;'Cash Flow'!S$3)</f>
        <v>-700</v>
      </c>
      <c r="U5" s="77">
        <f>SUMIFS('Wells Fargo'!$F:$F,'Wells Fargo'!$G:$G,'Cash Flow'!$A5,'Wells Fargo'!$A:$A,U$1,'Wells Fargo'!$B:$B,"&lt;="&amp;'Cash Flow'!U$3,'Wells Fargo'!$B:$B,"&gt;"&amp;'Cash Flow'!T$3)</f>
        <v>0</v>
      </c>
      <c r="V5" s="111">
        <f>SUMIFS('Wells Fargo'!$F:$F,'Wells Fargo'!$G:$G,'Cash Flow'!$A5,'Wells Fargo'!$A:$A,V$1,'Wells Fargo'!$B:$B,"&lt;="&amp;'Cash Flow'!V$3)</f>
        <v>0</v>
      </c>
      <c r="W5" s="77">
        <f>SUMIFS('Wells Fargo'!$F:$F,'Wells Fargo'!$G:$G,'Cash Flow'!$A5,'Wells Fargo'!$A:$A,W$1,'Wells Fargo'!$B:$B,"&lt;="&amp;'Cash Flow'!W$3,'Wells Fargo'!$B:$B,"&gt;"&amp;'Cash Flow'!V$3)</f>
        <v>0</v>
      </c>
      <c r="X5" s="77">
        <f>SUMIFS('Wells Fargo'!$F:$F,'Wells Fargo'!$G:$G,'Cash Flow'!$A5,'Wells Fargo'!$A:$A,X$1,'Wells Fargo'!$B:$B,"&lt;="&amp;'Cash Flow'!X$3,'Wells Fargo'!$B:$B,"&gt;"&amp;'Cash Flow'!W$3)</f>
        <v>0</v>
      </c>
      <c r="Y5" s="77">
        <f>SUMIFS('Wells Fargo'!$F:$F,'Wells Fargo'!$G:$G,'Cash Flow'!$A5,'Wells Fargo'!$A:$A,Y$1,'Wells Fargo'!$B:$B,"&lt;="&amp;'Cash Flow'!Y$3,'Wells Fargo'!$B:$B,"&gt;"&amp;'Cash Flow'!X$3)</f>
        <v>0</v>
      </c>
      <c r="Z5" s="77">
        <f>SUMIFS('Wells Fargo'!$F:$F,'Wells Fargo'!$G:$G,'Cash Flow'!$A5,'Wells Fargo'!$A:$A,Z$1,'Wells Fargo'!$B:$B,"&lt;="&amp;'Cash Flow'!Z$3,'Wells Fargo'!$B:$B,"&gt;"&amp;'Cash Flow'!Y$3)</f>
        <v>0</v>
      </c>
      <c r="AA5" s="111">
        <f>SUMIFS('Wells Fargo'!$F:$F,'Wells Fargo'!$G:$G,'Cash Flow'!$A5,'Wells Fargo'!$A:$A,AA$1,'Wells Fargo'!$B:$B,"&lt;="&amp;'Cash Flow'!AA$3)</f>
        <v>0</v>
      </c>
      <c r="AB5" s="77">
        <f>SUMIFS('Wells Fargo'!$F:$F,'Wells Fargo'!$G:$G,'Cash Flow'!$A5,'Wells Fargo'!$A:$A,AB$1,'Wells Fargo'!$B:$B,"&lt;="&amp;'Cash Flow'!AB$3,'Wells Fargo'!$B:$B,"&gt;"&amp;'Cash Flow'!AA$3)</f>
        <v>0</v>
      </c>
      <c r="AC5" s="77">
        <f>SUMIFS('Wells Fargo'!$F:$F,'Wells Fargo'!$G:$G,'Cash Flow'!$A5,'Wells Fargo'!$A:$A,AC$1,'Wells Fargo'!$B:$B,"&lt;="&amp;'Cash Flow'!AC$3,'Wells Fargo'!$B:$B,"&gt;"&amp;'Cash Flow'!AB$3)</f>
        <v>0</v>
      </c>
      <c r="AD5" s="77">
        <f>SUMIFS('Wells Fargo'!$F:$F,'Wells Fargo'!$G:$G,'Cash Flow'!$A5,'Wells Fargo'!$A:$A,AD$1,'Wells Fargo'!$B:$B,"&lt;="&amp;'Cash Flow'!AD$3,'Wells Fargo'!$B:$B,"&gt;"&amp;'Cash Flow'!AC$3)</f>
        <v>0</v>
      </c>
      <c r="AE5" s="77">
        <f>SUMIFS('Wells Fargo'!$F:$F,'Wells Fargo'!$G:$G,'Cash Flow'!$A5,'Wells Fargo'!$A:$A,AE$1,'Wells Fargo'!$B:$B,"&lt;="&amp;'Cash Flow'!AE$3,'Wells Fargo'!$B:$B,"&gt;"&amp;'Cash Flow'!AD$3)</f>
        <v>0</v>
      </c>
      <c r="AF5" s="111">
        <f>SUMIFS('Wells Fargo'!$F:$F,'Wells Fargo'!$G:$G,'Cash Flow'!$A5,'Wells Fargo'!$A:$A,AF$1,'Wells Fargo'!$B:$B,"&lt;="&amp;'Cash Flow'!AF$3)</f>
        <v>0</v>
      </c>
      <c r="AG5" s="77">
        <f>SUMIFS('Wells Fargo'!$F:$F,'Wells Fargo'!$G:$G,'Cash Flow'!$A5,'Wells Fargo'!$A:$A,AG$1,'Wells Fargo'!$B:$B,"&lt;="&amp;'Cash Flow'!AG$3,'Wells Fargo'!$B:$B,"&gt;"&amp;'Cash Flow'!AF$3)</f>
        <v>0</v>
      </c>
      <c r="AH5" s="77">
        <f>SUMIFS('Wells Fargo'!$F:$F,'Wells Fargo'!$G:$G,'Cash Flow'!$A5,'Wells Fargo'!$A:$A,AH$1,'Wells Fargo'!$B:$B,"&lt;="&amp;'Cash Flow'!AH$3,'Wells Fargo'!$B:$B,"&gt;"&amp;'Cash Flow'!AG$3)</f>
        <v>0</v>
      </c>
      <c r="AI5" s="77">
        <f>SUMIFS('Wells Fargo'!$F:$F,'Wells Fargo'!$G:$G,'Cash Flow'!$A5,'Wells Fargo'!$A:$A,AI$1,'Wells Fargo'!$B:$B,"&lt;="&amp;'Cash Flow'!AI$3,'Wells Fargo'!$B:$B,"&gt;"&amp;'Cash Flow'!AH$3)</f>
        <v>0</v>
      </c>
      <c r="AJ5" s="77">
        <f>SUMIFS('Wells Fargo'!$F:$F,'Wells Fargo'!$G:$G,'Cash Flow'!$A5,'Wells Fargo'!$A:$A,AJ$1,'Wells Fargo'!$B:$B,"&lt;="&amp;'Cash Flow'!AJ$3,'Wells Fargo'!$B:$B,"&gt;"&amp;'Cash Flow'!AI$3)</f>
        <v>0</v>
      </c>
      <c r="AK5" s="111">
        <f>SUMIFS('Wells Fargo'!$F:$F,'Wells Fargo'!$G:$G,'Cash Flow'!$A5,'Wells Fargo'!$A:$A,AK$1,'Wells Fargo'!$B:$B,"&lt;="&amp;'Cash Flow'!AK$3)</f>
        <v>0</v>
      </c>
      <c r="AL5" s="77">
        <f>SUMIFS('Wells Fargo'!$F:$F,'Wells Fargo'!$G:$G,'Cash Flow'!$A5,'Wells Fargo'!$A:$A,AL$1,'Wells Fargo'!$B:$B,"&lt;="&amp;'Cash Flow'!AL$3,'Wells Fargo'!$B:$B,"&gt;"&amp;'Cash Flow'!AK$3)</f>
        <v>0</v>
      </c>
      <c r="AM5" s="77">
        <f>SUMIFS('Wells Fargo'!$F:$F,'Wells Fargo'!$G:$G,'Cash Flow'!$A5,'Wells Fargo'!$A:$A,AM$1,'Wells Fargo'!$B:$B,"&lt;="&amp;'Cash Flow'!AM$3,'Wells Fargo'!$B:$B,"&gt;"&amp;'Cash Flow'!AL$3)</f>
        <v>0</v>
      </c>
      <c r="AN5" s="77">
        <f>SUMIFS('Wells Fargo'!$F:$F,'Wells Fargo'!$G:$G,'Cash Flow'!$A5,'Wells Fargo'!$A:$A,AN$1,'Wells Fargo'!$B:$B,"&lt;="&amp;'Cash Flow'!AN$3,'Wells Fargo'!$B:$B,"&gt;"&amp;'Cash Flow'!AM$3)</f>
        <v>0</v>
      </c>
      <c r="AO5" s="77">
        <f>SUMIFS('Wells Fargo'!$F:$F,'Wells Fargo'!$G:$G,'Cash Flow'!$A5,'Wells Fargo'!$A:$A,AO$1,'Wells Fargo'!$B:$B,"&lt;="&amp;'Cash Flow'!AO$3,'Wells Fargo'!$B:$B,"&gt;"&amp;'Cash Flow'!AN$3)</f>
        <v>0</v>
      </c>
      <c r="AP5" s="111">
        <f>SUMIFS('Wells Fargo'!$F:$F,'Wells Fargo'!$G:$G,'Cash Flow'!$A5,'Wells Fargo'!$A:$A,AP$1,'Wells Fargo'!$B:$B,"&lt;="&amp;'Cash Flow'!AP$3)</f>
        <v>0</v>
      </c>
      <c r="AQ5" s="77">
        <f>SUMIFS('Wells Fargo'!$F:$F,'Wells Fargo'!$G:$G,'Cash Flow'!$A5,'Wells Fargo'!$A:$A,AQ$1,'Wells Fargo'!$B:$B,"&lt;="&amp;'Cash Flow'!AQ$3,'Wells Fargo'!$B:$B,"&gt;"&amp;'Cash Flow'!AP$3)</f>
        <v>0</v>
      </c>
      <c r="AR5" s="77">
        <f>SUMIFS('Wells Fargo'!$F:$F,'Wells Fargo'!$G:$G,'Cash Flow'!$A5,'Wells Fargo'!$A:$A,AR$1,'Wells Fargo'!$B:$B,"&lt;="&amp;'Cash Flow'!AR$3,'Wells Fargo'!$B:$B,"&gt;"&amp;'Cash Flow'!AQ$3)</f>
        <v>0</v>
      </c>
      <c r="AS5" s="77">
        <f>SUMIFS('Wells Fargo'!$F:$F,'Wells Fargo'!$G:$G,'Cash Flow'!$A5,'Wells Fargo'!$A:$A,AS$1,'Wells Fargo'!$B:$B,"&lt;="&amp;'Cash Flow'!AS$3,'Wells Fargo'!$B:$B,"&gt;"&amp;'Cash Flow'!AR$3)</f>
        <v>0</v>
      </c>
      <c r="AT5" s="77">
        <f>SUMIFS('Wells Fargo'!$F:$F,'Wells Fargo'!$G:$G,'Cash Flow'!$A5,'Wells Fargo'!$A:$A,AT$1,'Wells Fargo'!$B:$B,"&lt;="&amp;'Cash Flow'!AT$3,'Wells Fargo'!$B:$B,"&gt;"&amp;'Cash Flow'!AS$3)</f>
        <v>0</v>
      </c>
      <c r="AU5" s="111">
        <f>SUMIFS('Wells Fargo'!$F:$F,'Wells Fargo'!$G:$G,'Cash Flow'!$A5,'Wells Fargo'!$A:$A,AU$1,'Wells Fargo'!$B:$B,"&lt;="&amp;'Cash Flow'!AU$3)</f>
        <v>0</v>
      </c>
      <c r="AV5" s="77">
        <f>SUMIFS('Wells Fargo'!$F:$F,'Wells Fargo'!$G:$G,'Cash Flow'!$A5,'Wells Fargo'!$A:$A,AV$1,'Wells Fargo'!$B:$B,"&lt;="&amp;'Cash Flow'!AV$3,'Wells Fargo'!$B:$B,"&gt;"&amp;'Cash Flow'!AU$3)</f>
        <v>0</v>
      </c>
      <c r="AW5" s="77">
        <f>SUMIFS('Wells Fargo'!$F:$F,'Wells Fargo'!$G:$G,'Cash Flow'!$A5,'Wells Fargo'!$A:$A,AW$1,'Wells Fargo'!$B:$B,"&lt;="&amp;'Cash Flow'!AW$3,'Wells Fargo'!$B:$B,"&gt;"&amp;'Cash Flow'!AV$3)</f>
        <v>0</v>
      </c>
      <c r="AX5" s="77">
        <f>SUMIFS('Wells Fargo'!$F:$F,'Wells Fargo'!$G:$G,'Cash Flow'!$A5,'Wells Fargo'!$A:$A,AX$1,'Wells Fargo'!$B:$B,"&lt;="&amp;'Cash Flow'!AX$3,'Wells Fargo'!$B:$B,"&gt;"&amp;'Cash Flow'!AW$3)</f>
        <v>0</v>
      </c>
      <c r="AY5" s="77">
        <f>SUMIFS('Wells Fargo'!$F:$F,'Wells Fargo'!$G:$G,'Cash Flow'!$A5,'Wells Fargo'!$A:$A,AY$1,'Wells Fargo'!$B:$B,"&lt;="&amp;'Cash Flow'!AY$3,'Wells Fargo'!$B:$B,"&gt;"&amp;'Cash Flow'!AX$3)</f>
        <v>0</v>
      </c>
      <c r="AZ5" s="111">
        <f>SUMIFS('Wells Fargo'!$F:$F,'Wells Fargo'!$G:$G,'Cash Flow'!$A5,'Wells Fargo'!$A:$A,AZ$1,'Wells Fargo'!$B:$B,"&lt;="&amp;'Cash Flow'!AZ$3)</f>
        <v>0</v>
      </c>
      <c r="BA5" s="77">
        <f>SUMIFS('Wells Fargo'!$F:$F,'Wells Fargo'!$G:$G,'Cash Flow'!$A5,'Wells Fargo'!$A:$A,BA$1,'Wells Fargo'!$B:$B,"&lt;="&amp;'Cash Flow'!BA$3,'Wells Fargo'!$B:$B,"&gt;"&amp;'Cash Flow'!AZ$3)</f>
        <v>0</v>
      </c>
      <c r="BB5" s="77">
        <f>SUMIFS('Wells Fargo'!$F:$F,'Wells Fargo'!$G:$G,'Cash Flow'!$A5,'Wells Fargo'!$A:$A,BB$1,'Wells Fargo'!$B:$B,"&lt;="&amp;'Cash Flow'!BB$3,'Wells Fargo'!$B:$B,"&gt;"&amp;'Cash Flow'!BA$3)</f>
        <v>0</v>
      </c>
      <c r="BC5" s="77">
        <f>SUMIFS('Wells Fargo'!$F:$F,'Wells Fargo'!$G:$G,'Cash Flow'!$A5,'Wells Fargo'!$A:$A,BC$1,'Wells Fargo'!$B:$B,"&lt;="&amp;'Cash Flow'!BC$3,'Wells Fargo'!$B:$B,"&gt;"&amp;'Cash Flow'!BB$3)</f>
        <v>0</v>
      </c>
      <c r="BD5" s="77">
        <f>SUMIFS('Wells Fargo'!$F:$F,'Wells Fargo'!$G:$G,'Cash Flow'!$A5,'Wells Fargo'!$A:$A,BD$1,'Wells Fargo'!$B:$B,"&lt;="&amp;'Cash Flow'!BD$3,'Wells Fargo'!$B:$B,"&gt;"&amp;'Cash Flow'!BC$3)</f>
        <v>0</v>
      </c>
      <c r="BE5" s="111">
        <f>SUMIFS('Wells Fargo'!$F:$F,'Wells Fargo'!$G:$G,'Cash Flow'!$A5,'Wells Fargo'!$A:$A,BE$1,'Wells Fargo'!$B:$B,"&lt;="&amp;'Cash Flow'!BE$3)</f>
        <v>0</v>
      </c>
      <c r="BF5" s="77">
        <f>SUMIFS('Wells Fargo'!$F:$F,'Wells Fargo'!$G:$G,'Cash Flow'!$A5,'Wells Fargo'!$A:$A,BF$1,'Wells Fargo'!$B:$B,"&lt;="&amp;'Cash Flow'!BF$3,'Wells Fargo'!$B:$B,"&gt;"&amp;'Cash Flow'!BE$3)</f>
        <v>0</v>
      </c>
      <c r="BG5" s="77">
        <f>SUMIFS('Wells Fargo'!$F:$F,'Wells Fargo'!$G:$G,'Cash Flow'!$A5,'Wells Fargo'!$A:$A,BG$1,'Wells Fargo'!$B:$B,"&lt;="&amp;'Cash Flow'!BG$3,'Wells Fargo'!$B:$B,"&gt;"&amp;'Cash Flow'!BF$3)</f>
        <v>0</v>
      </c>
      <c r="BH5" s="77">
        <f>SUMIFS('Wells Fargo'!$F:$F,'Wells Fargo'!$G:$G,'Cash Flow'!$A5,'Wells Fargo'!$A:$A,BH$1,'Wells Fargo'!$B:$B,"&lt;="&amp;'Cash Flow'!BH$3,'Wells Fargo'!$B:$B,"&gt;"&amp;'Cash Flow'!BG$3)</f>
        <v>0</v>
      </c>
      <c r="BI5" s="77">
        <f>SUMIFS('Wells Fargo'!$F:$F,'Wells Fargo'!$G:$G,'Cash Flow'!$A5,'Wells Fargo'!$A:$A,BI$1,'Wells Fargo'!$B:$B,"&lt;="&amp;'Cash Flow'!BI$3,'Wells Fargo'!$B:$B,"&gt;"&amp;'Cash Flow'!BH$3)</f>
        <v>0</v>
      </c>
    </row>
    <row r="6" spans="1:61" ht="14.5" x14ac:dyDescent="0.5">
      <c r="A6" t="str">
        <v>Amar - Water</v>
      </c>
      <c r="B6" s="90">
        <f t="shared" si="0"/>
        <v>-400</v>
      </c>
      <c r="C6" s="111">
        <f>SUMIFS('Wells Fargo'!$F:$F,'Wells Fargo'!$G:$G,'Cash Flow'!$A6,'Wells Fargo'!$A:$A,C$1,'Wells Fargo'!$B:$B,"&lt;="&amp;'Cash Flow'!C$3)</f>
        <v>0</v>
      </c>
      <c r="D6" s="77">
        <f>SUMIFS('Wells Fargo'!$F:$F,'Wells Fargo'!$G:$G,'Cash Flow'!$A6,'Wells Fargo'!$A:$A,D$1,'Wells Fargo'!$B:$B,"&lt;="&amp;'Cash Flow'!D$3,'Wells Fargo'!$B:$B,"&gt;"&amp;'Cash Flow'!C$3)</f>
        <v>0</v>
      </c>
      <c r="E6" s="77">
        <f>SUMIFS('Wells Fargo'!$F:$F,'Wells Fargo'!$G:$G,'Cash Flow'!$A6,'Wells Fargo'!$A:$A,E$1,'Wells Fargo'!$B:$B,"&lt;="&amp;'Cash Flow'!E$3,'Wells Fargo'!$B:$B,"&gt;"&amp;'Cash Flow'!D$3)</f>
        <v>0</v>
      </c>
      <c r="F6" s="77">
        <f>SUMIFS('Wells Fargo'!$F:$F,'Wells Fargo'!$G:$G,'Cash Flow'!$A6,'Wells Fargo'!$A:$A,F$1,'Wells Fargo'!$B:$B,"&lt;="&amp;'Cash Flow'!F$3,'Wells Fargo'!$B:$B,"&gt;"&amp;'Cash Flow'!E$3)</f>
        <v>0</v>
      </c>
      <c r="G6" s="77">
        <f>SUMIFS('Wells Fargo'!$F:$F,'Wells Fargo'!$G:$G,'Cash Flow'!$A6,'Wells Fargo'!$A:$A,G$1,'Wells Fargo'!$B:$B,"&lt;="&amp;'Cash Flow'!G$3,'Wells Fargo'!$B:$B,"&gt;"&amp;'Cash Flow'!F$3)</f>
        <v>0</v>
      </c>
      <c r="H6" s="111">
        <f>SUMIFS('Wells Fargo'!$F:$F,'Wells Fargo'!$G:$G,'Cash Flow'!$A6,'Wells Fargo'!$A:$A,H$1,'Wells Fargo'!$B:$B,"&lt;="&amp;'Cash Flow'!H$3)</f>
        <v>0</v>
      </c>
      <c r="I6" s="77">
        <f>SUMIFS('Wells Fargo'!$F:$F,'Wells Fargo'!$G:$G,'Cash Flow'!$A6,'Wells Fargo'!$A:$A,I$1,'Wells Fargo'!$B:$B,"&lt;="&amp;'Cash Flow'!I$3,'Wells Fargo'!$B:$B,"&gt;"&amp;'Cash Flow'!H$3)</f>
        <v>0</v>
      </c>
      <c r="J6" s="77">
        <f>SUMIFS('Wells Fargo'!$F:$F,'Wells Fargo'!$G:$G,'Cash Flow'!$A6,'Wells Fargo'!$A:$A,J$1,'Wells Fargo'!$B:$B,"&lt;="&amp;'Cash Flow'!J$3,'Wells Fargo'!$B:$B,"&gt;"&amp;'Cash Flow'!I$3)</f>
        <v>0</v>
      </c>
      <c r="K6" s="77">
        <f>SUMIFS('Wells Fargo'!$F:$F,'Wells Fargo'!$G:$G,'Cash Flow'!$A6,'Wells Fargo'!$A:$A,K$1,'Wells Fargo'!$B:$B,"&lt;="&amp;'Cash Flow'!K$3,'Wells Fargo'!$B:$B,"&gt;"&amp;'Cash Flow'!J$3)</f>
        <v>0</v>
      </c>
      <c r="L6" s="111">
        <f>SUMIFS('Wells Fargo'!$F:$F,'Wells Fargo'!$G:$G,'Cash Flow'!$A6,'Wells Fargo'!$A:$A,L$1,'Wells Fargo'!$B:$B,"&lt;="&amp;'Cash Flow'!L$3)</f>
        <v>0</v>
      </c>
      <c r="M6" s="77">
        <f>SUMIFS('Wells Fargo'!$F:$F,'Wells Fargo'!$G:$G,'Cash Flow'!$A6,'Wells Fargo'!$A:$A,M$1,'Wells Fargo'!$B:$B,"&lt;="&amp;'Cash Flow'!M$3,'Wells Fargo'!$B:$B,"&gt;"&amp;'Cash Flow'!L$3)</f>
        <v>-150</v>
      </c>
      <c r="N6" s="77">
        <f>SUMIFS('Wells Fargo'!$F:$F,'Wells Fargo'!$G:$G,'Cash Flow'!$A6,'Wells Fargo'!$A:$A,N$1,'Wells Fargo'!$B:$B,"&lt;="&amp;'Cash Flow'!N$3,'Wells Fargo'!$B:$B,"&gt;"&amp;'Cash Flow'!M$3)</f>
        <v>0</v>
      </c>
      <c r="O6" s="77">
        <f>SUMIFS('Wells Fargo'!$F:$F,'Wells Fargo'!$G:$G,'Cash Flow'!$A6,'Wells Fargo'!$A:$A,O$1,'Wells Fargo'!$B:$B,"&lt;="&amp;'Cash Flow'!O$3,'Wells Fargo'!$B:$B,"&gt;"&amp;'Cash Flow'!N$3)</f>
        <v>0</v>
      </c>
      <c r="P6" s="77">
        <f>SUMIFS('Wells Fargo'!$F:$F,'Wells Fargo'!$G:$G,'Cash Flow'!$A6,'Wells Fargo'!$A:$A,P$1,'Wells Fargo'!$B:$B,"&lt;="&amp;'Cash Flow'!P$3,'Wells Fargo'!$B:$B,"&gt;"&amp;'Cash Flow'!O$3)</f>
        <v>0</v>
      </c>
      <c r="Q6" s="111">
        <f>SUMIFS('Wells Fargo'!$F:$F,'Wells Fargo'!$G:$G,'Cash Flow'!$A6,'Wells Fargo'!$A:$A,Q$1,'Wells Fargo'!$B:$B,"&lt;="&amp;'Cash Flow'!Q$3)</f>
        <v>0</v>
      </c>
      <c r="R6" s="77">
        <f>SUMIFS('Wells Fargo'!$F:$F,'Wells Fargo'!$G:$G,'Cash Flow'!$A6,'Wells Fargo'!$A:$A,R$1,'Wells Fargo'!$B:$B,"&lt;="&amp;'Cash Flow'!R$3,'Wells Fargo'!$B:$B,"&gt;"&amp;'Cash Flow'!Q$3)</f>
        <v>0</v>
      </c>
      <c r="S6" s="77">
        <f>SUMIFS('Wells Fargo'!$F:$F,'Wells Fargo'!$G:$G,'Cash Flow'!$A6,'Wells Fargo'!$A:$A,S$1,'Wells Fargo'!$B:$B,"&lt;="&amp;'Cash Flow'!S$3,'Wells Fargo'!$B:$B,"&gt;"&amp;'Cash Flow'!R$3)</f>
        <v>-100</v>
      </c>
      <c r="T6" s="77">
        <f>SUMIFS('Wells Fargo'!$F:$F,'Wells Fargo'!$G:$G,'Cash Flow'!$A6,'Wells Fargo'!$A:$A,T$1,'Wells Fargo'!$B:$B,"&lt;="&amp;'Cash Flow'!T$3,'Wells Fargo'!$B:$B,"&gt;"&amp;'Cash Flow'!S$3)</f>
        <v>0</v>
      </c>
      <c r="U6" s="77">
        <f>SUMIFS('Wells Fargo'!$F:$F,'Wells Fargo'!$G:$G,'Cash Flow'!$A6,'Wells Fargo'!$A:$A,U$1,'Wells Fargo'!$B:$B,"&lt;="&amp;'Cash Flow'!U$3,'Wells Fargo'!$B:$B,"&gt;"&amp;'Cash Flow'!T$3)</f>
        <v>0</v>
      </c>
      <c r="V6" s="111">
        <f>SUMIFS('Wells Fargo'!$F:$F,'Wells Fargo'!$G:$G,'Cash Flow'!$A6,'Wells Fargo'!$A:$A,V$1,'Wells Fargo'!$B:$B,"&lt;="&amp;'Cash Flow'!V$3)</f>
        <v>0</v>
      </c>
      <c r="W6" s="77">
        <f>SUMIFS('Wells Fargo'!$F:$F,'Wells Fargo'!$G:$G,'Cash Flow'!$A6,'Wells Fargo'!$A:$A,W$1,'Wells Fargo'!$B:$B,"&lt;="&amp;'Cash Flow'!W$3,'Wells Fargo'!$B:$B,"&gt;"&amp;'Cash Flow'!V$3)</f>
        <v>-150</v>
      </c>
      <c r="X6" s="77">
        <f>SUMIFS('Wells Fargo'!$F:$F,'Wells Fargo'!$G:$G,'Cash Flow'!$A6,'Wells Fargo'!$A:$A,X$1,'Wells Fargo'!$B:$B,"&lt;="&amp;'Cash Flow'!X$3,'Wells Fargo'!$B:$B,"&gt;"&amp;'Cash Flow'!W$3)</f>
        <v>0</v>
      </c>
      <c r="Y6" s="77">
        <f>SUMIFS('Wells Fargo'!$F:$F,'Wells Fargo'!$G:$G,'Cash Flow'!$A6,'Wells Fargo'!$A:$A,Y$1,'Wells Fargo'!$B:$B,"&lt;="&amp;'Cash Flow'!Y$3,'Wells Fargo'!$B:$B,"&gt;"&amp;'Cash Flow'!X$3)</f>
        <v>0</v>
      </c>
      <c r="Z6" s="77">
        <f>SUMIFS('Wells Fargo'!$F:$F,'Wells Fargo'!$G:$G,'Cash Flow'!$A6,'Wells Fargo'!$A:$A,Z$1,'Wells Fargo'!$B:$B,"&lt;="&amp;'Cash Flow'!Z$3,'Wells Fargo'!$B:$B,"&gt;"&amp;'Cash Flow'!Y$3)</f>
        <v>0</v>
      </c>
      <c r="AA6" s="111">
        <f>SUMIFS('Wells Fargo'!$F:$F,'Wells Fargo'!$G:$G,'Cash Flow'!$A6,'Wells Fargo'!$A:$A,AA$1,'Wells Fargo'!$B:$B,"&lt;="&amp;'Cash Flow'!AA$3)</f>
        <v>0</v>
      </c>
      <c r="AB6" s="77">
        <f>SUMIFS('Wells Fargo'!$F:$F,'Wells Fargo'!$G:$G,'Cash Flow'!$A6,'Wells Fargo'!$A:$A,AB$1,'Wells Fargo'!$B:$B,"&lt;="&amp;'Cash Flow'!AB$3,'Wells Fargo'!$B:$B,"&gt;"&amp;'Cash Flow'!AA$3)</f>
        <v>0</v>
      </c>
      <c r="AC6" s="77">
        <f>SUMIFS('Wells Fargo'!$F:$F,'Wells Fargo'!$G:$G,'Cash Flow'!$A6,'Wells Fargo'!$A:$A,AC$1,'Wells Fargo'!$B:$B,"&lt;="&amp;'Cash Flow'!AC$3,'Wells Fargo'!$B:$B,"&gt;"&amp;'Cash Flow'!AB$3)</f>
        <v>0</v>
      </c>
      <c r="AD6" s="77">
        <f>SUMIFS('Wells Fargo'!$F:$F,'Wells Fargo'!$G:$G,'Cash Flow'!$A6,'Wells Fargo'!$A:$A,AD$1,'Wells Fargo'!$B:$B,"&lt;="&amp;'Cash Flow'!AD$3,'Wells Fargo'!$B:$B,"&gt;"&amp;'Cash Flow'!AC$3)</f>
        <v>0</v>
      </c>
      <c r="AE6" s="77">
        <f>SUMIFS('Wells Fargo'!$F:$F,'Wells Fargo'!$G:$G,'Cash Flow'!$A6,'Wells Fargo'!$A:$A,AE$1,'Wells Fargo'!$B:$B,"&lt;="&amp;'Cash Flow'!AE$3,'Wells Fargo'!$B:$B,"&gt;"&amp;'Cash Flow'!AD$3)</f>
        <v>0</v>
      </c>
      <c r="AF6" s="111">
        <f>SUMIFS('Wells Fargo'!$F:$F,'Wells Fargo'!$G:$G,'Cash Flow'!$A6,'Wells Fargo'!$A:$A,AF$1,'Wells Fargo'!$B:$B,"&lt;="&amp;'Cash Flow'!AF$3)</f>
        <v>0</v>
      </c>
      <c r="AG6" s="77">
        <f>SUMIFS('Wells Fargo'!$F:$F,'Wells Fargo'!$G:$G,'Cash Flow'!$A6,'Wells Fargo'!$A:$A,AG$1,'Wells Fargo'!$B:$B,"&lt;="&amp;'Cash Flow'!AG$3,'Wells Fargo'!$B:$B,"&gt;"&amp;'Cash Flow'!AF$3)</f>
        <v>0</v>
      </c>
      <c r="AH6" s="77">
        <f>SUMIFS('Wells Fargo'!$F:$F,'Wells Fargo'!$G:$G,'Cash Flow'!$A6,'Wells Fargo'!$A:$A,AH$1,'Wells Fargo'!$B:$B,"&lt;="&amp;'Cash Flow'!AH$3,'Wells Fargo'!$B:$B,"&gt;"&amp;'Cash Flow'!AG$3)</f>
        <v>0</v>
      </c>
      <c r="AI6" s="77">
        <f>SUMIFS('Wells Fargo'!$F:$F,'Wells Fargo'!$G:$G,'Cash Flow'!$A6,'Wells Fargo'!$A:$A,AI$1,'Wells Fargo'!$B:$B,"&lt;="&amp;'Cash Flow'!AI$3,'Wells Fargo'!$B:$B,"&gt;"&amp;'Cash Flow'!AH$3)</f>
        <v>0</v>
      </c>
      <c r="AJ6" s="77">
        <f>SUMIFS('Wells Fargo'!$F:$F,'Wells Fargo'!$G:$G,'Cash Flow'!$A6,'Wells Fargo'!$A:$A,AJ$1,'Wells Fargo'!$B:$B,"&lt;="&amp;'Cash Flow'!AJ$3,'Wells Fargo'!$B:$B,"&gt;"&amp;'Cash Flow'!AI$3)</f>
        <v>0</v>
      </c>
      <c r="AK6" s="111">
        <f>SUMIFS('Wells Fargo'!$F:$F,'Wells Fargo'!$G:$G,'Cash Flow'!$A6,'Wells Fargo'!$A:$A,AK$1,'Wells Fargo'!$B:$B,"&lt;="&amp;'Cash Flow'!AK$3)</f>
        <v>0</v>
      </c>
      <c r="AL6" s="77">
        <f>SUMIFS('Wells Fargo'!$F:$F,'Wells Fargo'!$G:$G,'Cash Flow'!$A6,'Wells Fargo'!$A:$A,AL$1,'Wells Fargo'!$B:$B,"&lt;="&amp;'Cash Flow'!AL$3,'Wells Fargo'!$B:$B,"&gt;"&amp;'Cash Flow'!AK$3)</f>
        <v>0</v>
      </c>
      <c r="AM6" s="77">
        <f>SUMIFS('Wells Fargo'!$F:$F,'Wells Fargo'!$G:$G,'Cash Flow'!$A6,'Wells Fargo'!$A:$A,AM$1,'Wells Fargo'!$B:$B,"&lt;="&amp;'Cash Flow'!AM$3,'Wells Fargo'!$B:$B,"&gt;"&amp;'Cash Flow'!AL$3)</f>
        <v>0</v>
      </c>
      <c r="AN6" s="77">
        <f>SUMIFS('Wells Fargo'!$F:$F,'Wells Fargo'!$G:$G,'Cash Flow'!$A6,'Wells Fargo'!$A:$A,AN$1,'Wells Fargo'!$B:$B,"&lt;="&amp;'Cash Flow'!AN$3,'Wells Fargo'!$B:$B,"&gt;"&amp;'Cash Flow'!AM$3)</f>
        <v>0</v>
      </c>
      <c r="AO6" s="77">
        <f>SUMIFS('Wells Fargo'!$F:$F,'Wells Fargo'!$G:$G,'Cash Flow'!$A6,'Wells Fargo'!$A:$A,AO$1,'Wells Fargo'!$B:$B,"&lt;="&amp;'Cash Flow'!AO$3,'Wells Fargo'!$B:$B,"&gt;"&amp;'Cash Flow'!AN$3)</f>
        <v>0</v>
      </c>
      <c r="AP6" s="111">
        <f>SUMIFS('Wells Fargo'!$F:$F,'Wells Fargo'!$G:$G,'Cash Flow'!$A6,'Wells Fargo'!$A:$A,AP$1,'Wells Fargo'!$B:$B,"&lt;="&amp;'Cash Flow'!AP$3)</f>
        <v>0</v>
      </c>
      <c r="AQ6" s="77">
        <f>SUMIFS('Wells Fargo'!$F:$F,'Wells Fargo'!$G:$G,'Cash Flow'!$A6,'Wells Fargo'!$A:$A,AQ$1,'Wells Fargo'!$B:$B,"&lt;="&amp;'Cash Flow'!AQ$3,'Wells Fargo'!$B:$B,"&gt;"&amp;'Cash Flow'!AP$3)</f>
        <v>0</v>
      </c>
      <c r="AR6" s="77">
        <f>SUMIFS('Wells Fargo'!$F:$F,'Wells Fargo'!$G:$G,'Cash Flow'!$A6,'Wells Fargo'!$A:$A,AR$1,'Wells Fargo'!$B:$B,"&lt;="&amp;'Cash Flow'!AR$3,'Wells Fargo'!$B:$B,"&gt;"&amp;'Cash Flow'!AQ$3)</f>
        <v>0</v>
      </c>
      <c r="AS6" s="77">
        <f>SUMIFS('Wells Fargo'!$F:$F,'Wells Fargo'!$G:$G,'Cash Flow'!$A6,'Wells Fargo'!$A:$A,AS$1,'Wells Fargo'!$B:$B,"&lt;="&amp;'Cash Flow'!AS$3,'Wells Fargo'!$B:$B,"&gt;"&amp;'Cash Flow'!AR$3)</f>
        <v>0</v>
      </c>
      <c r="AT6" s="77">
        <f>SUMIFS('Wells Fargo'!$F:$F,'Wells Fargo'!$G:$G,'Cash Flow'!$A6,'Wells Fargo'!$A:$A,AT$1,'Wells Fargo'!$B:$B,"&lt;="&amp;'Cash Flow'!AT$3,'Wells Fargo'!$B:$B,"&gt;"&amp;'Cash Flow'!AS$3)</f>
        <v>0</v>
      </c>
      <c r="AU6" s="111">
        <f>SUMIFS('Wells Fargo'!$F:$F,'Wells Fargo'!$G:$G,'Cash Flow'!$A6,'Wells Fargo'!$A:$A,AU$1,'Wells Fargo'!$B:$B,"&lt;="&amp;'Cash Flow'!AU$3)</f>
        <v>0</v>
      </c>
      <c r="AV6" s="77">
        <f>SUMIFS('Wells Fargo'!$F:$F,'Wells Fargo'!$G:$G,'Cash Flow'!$A6,'Wells Fargo'!$A:$A,AV$1,'Wells Fargo'!$B:$B,"&lt;="&amp;'Cash Flow'!AV$3,'Wells Fargo'!$B:$B,"&gt;"&amp;'Cash Flow'!AU$3)</f>
        <v>0</v>
      </c>
      <c r="AW6" s="77">
        <f>SUMIFS('Wells Fargo'!$F:$F,'Wells Fargo'!$G:$G,'Cash Flow'!$A6,'Wells Fargo'!$A:$A,AW$1,'Wells Fargo'!$B:$B,"&lt;="&amp;'Cash Flow'!AW$3,'Wells Fargo'!$B:$B,"&gt;"&amp;'Cash Flow'!AV$3)</f>
        <v>0</v>
      </c>
      <c r="AX6" s="77">
        <f>SUMIFS('Wells Fargo'!$F:$F,'Wells Fargo'!$G:$G,'Cash Flow'!$A6,'Wells Fargo'!$A:$A,AX$1,'Wells Fargo'!$B:$B,"&lt;="&amp;'Cash Flow'!AX$3,'Wells Fargo'!$B:$B,"&gt;"&amp;'Cash Flow'!AW$3)</f>
        <v>0</v>
      </c>
      <c r="AY6" s="77">
        <f>SUMIFS('Wells Fargo'!$F:$F,'Wells Fargo'!$G:$G,'Cash Flow'!$A6,'Wells Fargo'!$A:$A,AY$1,'Wells Fargo'!$B:$B,"&lt;="&amp;'Cash Flow'!AY$3,'Wells Fargo'!$B:$B,"&gt;"&amp;'Cash Flow'!AX$3)</f>
        <v>0</v>
      </c>
      <c r="AZ6" s="111">
        <f>SUMIFS('Wells Fargo'!$F:$F,'Wells Fargo'!$G:$G,'Cash Flow'!$A6,'Wells Fargo'!$A:$A,AZ$1,'Wells Fargo'!$B:$B,"&lt;="&amp;'Cash Flow'!AZ$3)</f>
        <v>0</v>
      </c>
      <c r="BA6" s="77">
        <f>SUMIFS('Wells Fargo'!$F:$F,'Wells Fargo'!$G:$G,'Cash Flow'!$A6,'Wells Fargo'!$A:$A,BA$1,'Wells Fargo'!$B:$B,"&lt;="&amp;'Cash Flow'!BA$3,'Wells Fargo'!$B:$B,"&gt;"&amp;'Cash Flow'!AZ$3)</f>
        <v>0</v>
      </c>
      <c r="BB6" s="77">
        <f>SUMIFS('Wells Fargo'!$F:$F,'Wells Fargo'!$G:$G,'Cash Flow'!$A6,'Wells Fargo'!$A:$A,BB$1,'Wells Fargo'!$B:$B,"&lt;="&amp;'Cash Flow'!BB$3,'Wells Fargo'!$B:$B,"&gt;"&amp;'Cash Flow'!BA$3)</f>
        <v>0</v>
      </c>
      <c r="BC6" s="77">
        <f>SUMIFS('Wells Fargo'!$F:$F,'Wells Fargo'!$G:$G,'Cash Flow'!$A6,'Wells Fargo'!$A:$A,BC$1,'Wells Fargo'!$B:$B,"&lt;="&amp;'Cash Flow'!BC$3,'Wells Fargo'!$B:$B,"&gt;"&amp;'Cash Flow'!BB$3)</f>
        <v>0</v>
      </c>
      <c r="BD6" s="77">
        <f>SUMIFS('Wells Fargo'!$F:$F,'Wells Fargo'!$G:$G,'Cash Flow'!$A6,'Wells Fargo'!$A:$A,BD$1,'Wells Fargo'!$B:$B,"&lt;="&amp;'Cash Flow'!BD$3,'Wells Fargo'!$B:$B,"&gt;"&amp;'Cash Flow'!BC$3)</f>
        <v>0</v>
      </c>
      <c r="BE6" s="111">
        <f>SUMIFS('Wells Fargo'!$F:$F,'Wells Fargo'!$G:$G,'Cash Flow'!$A6,'Wells Fargo'!$A:$A,BE$1,'Wells Fargo'!$B:$B,"&lt;="&amp;'Cash Flow'!BE$3)</f>
        <v>0</v>
      </c>
      <c r="BF6" s="77">
        <f>SUMIFS('Wells Fargo'!$F:$F,'Wells Fargo'!$G:$G,'Cash Flow'!$A6,'Wells Fargo'!$A:$A,BF$1,'Wells Fargo'!$B:$B,"&lt;="&amp;'Cash Flow'!BF$3,'Wells Fargo'!$B:$B,"&gt;"&amp;'Cash Flow'!BE$3)</f>
        <v>0</v>
      </c>
      <c r="BG6" s="77">
        <f>SUMIFS('Wells Fargo'!$F:$F,'Wells Fargo'!$G:$G,'Cash Flow'!$A6,'Wells Fargo'!$A:$A,BG$1,'Wells Fargo'!$B:$B,"&lt;="&amp;'Cash Flow'!BG$3,'Wells Fargo'!$B:$B,"&gt;"&amp;'Cash Flow'!BF$3)</f>
        <v>0</v>
      </c>
      <c r="BH6" s="77">
        <f>SUMIFS('Wells Fargo'!$F:$F,'Wells Fargo'!$G:$G,'Cash Flow'!$A6,'Wells Fargo'!$A:$A,BH$1,'Wells Fargo'!$B:$B,"&lt;="&amp;'Cash Flow'!BH$3,'Wells Fargo'!$B:$B,"&gt;"&amp;'Cash Flow'!BG$3)</f>
        <v>0</v>
      </c>
      <c r="BI6" s="77">
        <f>SUMIFS('Wells Fargo'!$F:$F,'Wells Fargo'!$G:$G,'Cash Flow'!$A6,'Wells Fargo'!$A:$A,BI$1,'Wells Fargo'!$B:$B,"&lt;="&amp;'Cash Flow'!BI$3,'Wells Fargo'!$B:$B,"&gt;"&amp;'Cash Flow'!BH$3)</f>
        <v>0</v>
      </c>
    </row>
    <row r="7" spans="1:61" ht="14.5" x14ac:dyDescent="0.5">
      <c r="A7" t="str">
        <v>Anush Rohani Shukla</v>
      </c>
      <c r="B7" s="90">
        <f t="shared" si="0"/>
        <v>-615</v>
      </c>
      <c r="C7" s="111">
        <f>SUMIFS('Wells Fargo'!$F:$F,'Wells Fargo'!$G:$G,'Cash Flow'!$A7,'Wells Fargo'!$A:$A,C$1,'Wells Fargo'!$B:$B,"&lt;="&amp;'Cash Flow'!C$3)</f>
        <v>0</v>
      </c>
      <c r="D7" s="77">
        <f>SUMIFS('Wells Fargo'!$F:$F,'Wells Fargo'!$G:$G,'Cash Flow'!$A7,'Wells Fargo'!$A:$A,D$1,'Wells Fargo'!$B:$B,"&lt;="&amp;'Cash Flow'!D$3,'Wells Fargo'!$B:$B,"&gt;"&amp;'Cash Flow'!C$3)</f>
        <v>0</v>
      </c>
      <c r="E7" s="77">
        <f>SUMIFS('Wells Fargo'!$F:$F,'Wells Fargo'!$G:$G,'Cash Flow'!$A7,'Wells Fargo'!$A:$A,E$1,'Wells Fargo'!$B:$B,"&lt;="&amp;'Cash Flow'!E$3,'Wells Fargo'!$B:$B,"&gt;"&amp;'Cash Flow'!D$3)</f>
        <v>0</v>
      </c>
      <c r="F7" s="77">
        <f>SUMIFS('Wells Fargo'!$F:$F,'Wells Fargo'!$G:$G,'Cash Flow'!$A7,'Wells Fargo'!$A:$A,F$1,'Wells Fargo'!$B:$B,"&lt;="&amp;'Cash Flow'!F$3,'Wells Fargo'!$B:$B,"&gt;"&amp;'Cash Flow'!E$3)</f>
        <v>0</v>
      </c>
      <c r="G7" s="77">
        <f>SUMIFS('Wells Fargo'!$F:$F,'Wells Fargo'!$G:$G,'Cash Flow'!$A7,'Wells Fargo'!$A:$A,G$1,'Wells Fargo'!$B:$B,"&lt;="&amp;'Cash Flow'!G$3,'Wells Fargo'!$B:$B,"&gt;"&amp;'Cash Flow'!F$3)</f>
        <v>0</v>
      </c>
      <c r="H7" s="111">
        <f>SUMIFS('Wells Fargo'!$F:$F,'Wells Fargo'!$G:$G,'Cash Flow'!$A7,'Wells Fargo'!$A:$A,H$1,'Wells Fargo'!$B:$B,"&lt;="&amp;'Cash Flow'!H$3)</f>
        <v>0</v>
      </c>
      <c r="I7" s="77">
        <f>SUMIFS('Wells Fargo'!$F:$F,'Wells Fargo'!$G:$G,'Cash Flow'!$A7,'Wells Fargo'!$A:$A,I$1,'Wells Fargo'!$B:$B,"&lt;="&amp;'Cash Flow'!I$3,'Wells Fargo'!$B:$B,"&gt;"&amp;'Cash Flow'!H$3)</f>
        <v>0</v>
      </c>
      <c r="J7" s="77">
        <f>SUMIFS('Wells Fargo'!$F:$F,'Wells Fargo'!$G:$G,'Cash Flow'!$A7,'Wells Fargo'!$A:$A,J$1,'Wells Fargo'!$B:$B,"&lt;="&amp;'Cash Flow'!J$3,'Wells Fargo'!$B:$B,"&gt;"&amp;'Cash Flow'!I$3)</f>
        <v>0</v>
      </c>
      <c r="K7" s="77">
        <f>SUMIFS('Wells Fargo'!$F:$F,'Wells Fargo'!$G:$G,'Cash Flow'!$A7,'Wells Fargo'!$A:$A,K$1,'Wells Fargo'!$B:$B,"&lt;="&amp;'Cash Flow'!K$3,'Wells Fargo'!$B:$B,"&gt;"&amp;'Cash Flow'!J$3)</f>
        <v>0</v>
      </c>
      <c r="L7" s="111">
        <f>SUMIFS('Wells Fargo'!$F:$F,'Wells Fargo'!$G:$G,'Cash Flow'!$A7,'Wells Fargo'!$A:$A,L$1,'Wells Fargo'!$B:$B,"&lt;="&amp;'Cash Flow'!L$3)</f>
        <v>0</v>
      </c>
      <c r="M7" s="77">
        <f>SUMIFS('Wells Fargo'!$F:$F,'Wells Fargo'!$G:$G,'Cash Flow'!$A7,'Wells Fargo'!$A:$A,M$1,'Wells Fargo'!$B:$B,"&lt;="&amp;'Cash Flow'!M$3,'Wells Fargo'!$B:$B,"&gt;"&amp;'Cash Flow'!L$3)</f>
        <v>0</v>
      </c>
      <c r="N7" s="77">
        <f>SUMIFS('Wells Fargo'!$F:$F,'Wells Fargo'!$G:$G,'Cash Flow'!$A7,'Wells Fargo'!$A:$A,N$1,'Wells Fargo'!$B:$B,"&lt;="&amp;'Cash Flow'!N$3,'Wells Fargo'!$B:$B,"&gt;"&amp;'Cash Flow'!M$3)</f>
        <v>0</v>
      </c>
      <c r="O7" s="77">
        <f>SUMIFS('Wells Fargo'!$F:$F,'Wells Fargo'!$G:$G,'Cash Flow'!$A7,'Wells Fargo'!$A:$A,O$1,'Wells Fargo'!$B:$B,"&lt;="&amp;'Cash Flow'!O$3,'Wells Fargo'!$B:$B,"&gt;"&amp;'Cash Flow'!N$3)</f>
        <v>0</v>
      </c>
      <c r="P7" s="77">
        <f>SUMIFS('Wells Fargo'!$F:$F,'Wells Fargo'!$G:$G,'Cash Flow'!$A7,'Wells Fargo'!$A:$A,P$1,'Wells Fargo'!$B:$B,"&lt;="&amp;'Cash Flow'!P$3,'Wells Fargo'!$B:$B,"&gt;"&amp;'Cash Flow'!O$3)</f>
        <v>0</v>
      </c>
      <c r="Q7" s="111">
        <f>SUMIFS('Wells Fargo'!$F:$F,'Wells Fargo'!$G:$G,'Cash Flow'!$A7,'Wells Fargo'!$A:$A,Q$1,'Wells Fargo'!$B:$B,"&lt;="&amp;'Cash Flow'!Q$3)</f>
        <v>0</v>
      </c>
      <c r="R7" s="77">
        <f>SUMIFS('Wells Fargo'!$F:$F,'Wells Fargo'!$G:$G,'Cash Flow'!$A7,'Wells Fargo'!$A:$A,R$1,'Wells Fargo'!$B:$B,"&lt;="&amp;'Cash Flow'!R$3,'Wells Fargo'!$B:$B,"&gt;"&amp;'Cash Flow'!Q$3)</f>
        <v>0</v>
      </c>
      <c r="S7" s="77">
        <f>SUMIFS('Wells Fargo'!$F:$F,'Wells Fargo'!$G:$G,'Cash Flow'!$A7,'Wells Fargo'!$A:$A,S$1,'Wells Fargo'!$B:$B,"&lt;="&amp;'Cash Flow'!S$3,'Wells Fargo'!$B:$B,"&gt;"&amp;'Cash Flow'!R$3)</f>
        <v>0</v>
      </c>
      <c r="T7" s="77">
        <f>SUMIFS('Wells Fargo'!$F:$F,'Wells Fargo'!$G:$G,'Cash Flow'!$A7,'Wells Fargo'!$A:$A,T$1,'Wells Fargo'!$B:$B,"&lt;="&amp;'Cash Flow'!T$3,'Wells Fargo'!$B:$B,"&gt;"&amp;'Cash Flow'!S$3)</f>
        <v>0</v>
      </c>
      <c r="U7" s="77">
        <f>SUMIFS('Wells Fargo'!$F:$F,'Wells Fargo'!$G:$G,'Cash Flow'!$A7,'Wells Fargo'!$A:$A,U$1,'Wells Fargo'!$B:$B,"&lt;="&amp;'Cash Flow'!U$3,'Wells Fargo'!$B:$B,"&gt;"&amp;'Cash Flow'!T$3)</f>
        <v>0</v>
      </c>
      <c r="V7" s="111">
        <f>SUMIFS('Wells Fargo'!$F:$F,'Wells Fargo'!$G:$G,'Cash Flow'!$A7,'Wells Fargo'!$A:$A,V$1,'Wells Fargo'!$B:$B,"&lt;="&amp;'Cash Flow'!V$3)</f>
        <v>0</v>
      </c>
      <c r="W7" s="77">
        <f>SUMIFS('Wells Fargo'!$F:$F,'Wells Fargo'!$G:$G,'Cash Flow'!$A7,'Wells Fargo'!$A:$A,W$1,'Wells Fargo'!$B:$B,"&lt;="&amp;'Cash Flow'!W$3,'Wells Fargo'!$B:$B,"&gt;"&amp;'Cash Flow'!V$3)</f>
        <v>0</v>
      </c>
      <c r="X7" s="77">
        <f>SUMIFS('Wells Fargo'!$F:$F,'Wells Fargo'!$G:$G,'Cash Flow'!$A7,'Wells Fargo'!$A:$A,X$1,'Wells Fargo'!$B:$B,"&lt;="&amp;'Cash Flow'!X$3,'Wells Fargo'!$B:$B,"&gt;"&amp;'Cash Flow'!W$3)</f>
        <v>0</v>
      </c>
      <c r="Y7" s="77">
        <f>SUMIFS('Wells Fargo'!$F:$F,'Wells Fargo'!$G:$G,'Cash Flow'!$A7,'Wells Fargo'!$A:$A,Y$1,'Wells Fargo'!$B:$B,"&lt;="&amp;'Cash Flow'!Y$3,'Wells Fargo'!$B:$B,"&gt;"&amp;'Cash Flow'!X$3)</f>
        <v>0</v>
      </c>
      <c r="Z7" s="77">
        <f>SUMIFS('Wells Fargo'!$F:$F,'Wells Fargo'!$G:$G,'Cash Flow'!$A7,'Wells Fargo'!$A:$A,Z$1,'Wells Fargo'!$B:$B,"&lt;="&amp;'Cash Flow'!Z$3,'Wells Fargo'!$B:$B,"&gt;"&amp;'Cash Flow'!Y$3)</f>
        <v>0</v>
      </c>
      <c r="AA7" s="111">
        <f>SUMIFS('Wells Fargo'!$F:$F,'Wells Fargo'!$G:$G,'Cash Flow'!$A7,'Wells Fargo'!$A:$A,AA$1,'Wells Fargo'!$B:$B,"&lt;="&amp;'Cash Flow'!AA$3)</f>
        <v>0</v>
      </c>
      <c r="AB7" s="77">
        <f>SUMIFS('Wells Fargo'!$F:$F,'Wells Fargo'!$G:$G,'Cash Flow'!$A7,'Wells Fargo'!$A:$A,AB$1,'Wells Fargo'!$B:$B,"&lt;="&amp;'Cash Flow'!AB$3,'Wells Fargo'!$B:$B,"&gt;"&amp;'Cash Flow'!AA$3)</f>
        <v>0</v>
      </c>
      <c r="AC7" s="77">
        <f>SUMIFS('Wells Fargo'!$F:$F,'Wells Fargo'!$G:$G,'Cash Flow'!$A7,'Wells Fargo'!$A:$A,AC$1,'Wells Fargo'!$B:$B,"&lt;="&amp;'Cash Flow'!AC$3,'Wells Fargo'!$B:$B,"&gt;"&amp;'Cash Flow'!AB$3)</f>
        <v>0</v>
      </c>
      <c r="AD7" s="77">
        <f>SUMIFS('Wells Fargo'!$F:$F,'Wells Fargo'!$G:$G,'Cash Flow'!$A7,'Wells Fargo'!$A:$A,AD$1,'Wells Fargo'!$B:$B,"&lt;="&amp;'Cash Flow'!AD$3,'Wells Fargo'!$B:$B,"&gt;"&amp;'Cash Flow'!AC$3)</f>
        <v>-615</v>
      </c>
      <c r="AE7" s="77">
        <f>SUMIFS('Wells Fargo'!$F:$F,'Wells Fargo'!$G:$G,'Cash Flow'!$A7,'Wells Fargo'!$A:$A,AE$1,'Wells Fargo'!$B:$B,"&lt;="&amp;'Cash Flow'!AE$3,'Wells Fargo'!$B:$B,"&gt;"&amp;'Cash Flow'!AD$3)</f>
        <v>0</v>
      </c>
      <c r="AF7" s="111">
        <f>SUMIFS('Wells Fargo'!$F:$F,'Wells Fargo'!$G:$G,'Cash Flow'!$A7,'Wells Fargo'!$A:$A,AF$1,'Wells Fargo'!$B:$B,"&lt;="&amp;'Cash Flow'!AF$3)</f>
        <v>0</v>
      </c>
      <c r="AG7" s="77">
        <f>SUMIFS('Wells Fargo'!$F:$F,'Wells Fargo'!$G:$G,'Cash Flow'!$A7,'Wells Fargo'!$A:$A,AG$1,'Wells Fargo'!$B:$B,"&lt;="&amp;'Cash Flow'!AG$3,'Wells Fargo'!$B:$B,"&gt;"&amp;'Cash Flow'!AF$3)</f>
        <v>0</v>
      </c>
      <c r="AH7" s="77">
        <f>SUMIFS('Wells Fargo'!$F:$F,'Wells Fargo'!$G:$G,'Cash Flow'!$A7,'Wells Fargo'!$A:$A,AH$1,'Wells Fargo'!$B:$B,"&lt;="&amp;'Cash Flow'!AH$3,'Wells Fargo'!$B:$B,"&gt;"&amp;'Cash Flow'!AG$3)</f>
        <v>0</v>
      </c>
      <c r="AI7" s="77">
        <f>SUMIFS('Wells Fargo'!$F:$F,'Wells Fargo'!$G:$G,'Cash Flow'!$A7,'Wells Fargo'!$A:$A,AI$1,'Wells Fargo'!$B:$B,"&lt;="&amp;'Cash Flow'!AI$3,'Wells Fargo'!$B:$B,"&gt;"&amp;'Cash Flow'!AH$3)</f>
        <v>0</v>
      </c>
      <c r="AJ7" s="77">
        <f>SUMIFS('Wells Fargo'!$F:$F,'Wells Fargo'!$G:$G,'Cash Flow'!$A7,'Wells Fargo'!$A:$A,AJ$1,'Wells Fargo'!$B:$B,"&lt;="&amp;'Cash Flow'!AJ$3,'Wells Fargo'!$B:$B,"&gt;"&amp;'Cash Flow'!AI$3)</f>
        <v>0</v>
      </c>
      <c r="AK7" s="111">
        <f>SUMIFS('Wells Fargo'!$F:$F,'Wells Fargo'!$G:$G,'Cash Flow'!$A7,'Wells Fargo'!$A:$A,AK$1,'Wells Fargo'!$B:$B,"&lt;="&amp;'Cash Flow'!AK$3)</f>
        <v>0</v>
      </c>
      <c r="AL7" s="77">
        <f>SUMIFS('Wells Fargo'!$F:$F,'Wells Fargo'!$G:$G,'Cash Flow'!$A7,'Wells Fargo'!$A:$A,AL$1,'Wells Fargo'!$B:$B,"&lt;="&amp;'Cash Flow'!AL$3,'Wells Fargo'!$B:$B,"&gt;"&amp;'Cash Flow'!AK$3)</f>
        <v>0</v>
      </c>
      <c r="AM7" s="77">
        <f>SUMIFS('Wells Fargo'!$F:$F,'Wells Fargo'!$G:$G,'Cash Flow'!$A7,'Wells Fargo'!$A:$A,AM$1,'Wells Fargo'!$B:$B,"&lt;="&amp;'Cash Flow'!AM$3,'Wells Fargo'!$B:$B,"&gt;"&amp;'Cash Flow'!AL$3)</f>
        <v>0</v>
      </c>
      <c r="AN7" s="77">
        <f>SUMIFS('Wells Fargo'!$F:$F,'Wells Fargo'!$G:$G,'Cash Flow'!$A7,'Wells Fargo'!$A:$A,AN$1,'Wells Fargo'!$B:$B,"&lt;="&amp;'Cash Flow'!AN$3,'Wells Fargo'!$B:$B,"&gt;"&amp;'Cash Flow'!AM$3)</f>
        <v>0</v>
      </c>
      <c r="AO7" s="77">
        <f>SUMIFS('Wells Fargo'!$F:$F,'Wells Fargo'!$G:$G,'Cash Flow'!$A7,'Wells Fargo'!$A:$A,AO$1,'Wells Fargo'!$B:$B,"&lt;="&amp;'Cash Flow'!AO$3,'Wells Fargo'!$B:$B,"&gt;"&amp;'Cash Flow'!AN$3)</f>
        <v>0</v>
      </c>
      <c r="AP7" s="111">
        <f>SUMIFS('Wells Fargo'!$F:$F,'Wells Fargo'!$G:$G,'Cash Flow'!$A7,'Wells Fargo'!$A:$A,AP$1,'Wells Fargo'!$B:$B,"&lt;="&amp;'Cash Flow'!AP$3)</f>
        <v>0</v>
      </c>
      <c r="AQ7" s="77">
        <f>SUMIFS('Wells Fargo'!$F:$F,'Wells Fargo'!$G:$G,'Cash Flow'!$A7,'Wells Fargo'!$A:$A,AQ$1,'Wells Fargo'!$B:$B,"&lt;="&amp;'Cash Flow'!AQ$3,'Wells Fargo'!$B:$B,"&gt;"&amp;'Cash Flow'!AP$3)</f>
        <v>0</v>
      </c>
      <c r="AR7" s="77">
        <f>SUMIFS('Wells Fargo'!$F:$F,'Wells Fargo'!$G:$G,'Cash Flow'!$A7,'Wells Fargo'!$A:$A,AR$1,'Wells Fargo'!$B:$B,"&lt;="&amp;'Cash Flow'!AR$3,'Wells Fargo'!$B:$B,"&gt;"&amp;'Cash Flow'!AQ$3)</f>
        <v>0</v>
      </c>
      <c r="AS7" s="77">
        <f>SUMIFS('Wells Fargo'!$F:$F,'Wells Fargo'!$G:$G,'Cash Flow'!$A7,'Wells Fargo'!$A:$A,AS$1,'Wells Fargo'!$B:$B,"&lt;="&amp;'Cash Flow'!AS$3,'Wells Fargo'!$B:$B,"&gt;"&amp;'Cash Flow'!AR$3)</f>
        <v>0</v>
      </c>
      <c r="AT7" s="77">
        <f>SUMIFS('Wells Fargo'!$F:$F,'Wells Fargo'!$G:$G,'Cash Flow'!$A7,'Wells Fargo'!$A:$A,AT$1,'Wells Fargo'!$B:$B,"&lt;="&amp;'Cash Flow'!AT$3,'Wells Fargo'!$B:$B,"&gt;"&amp;'Cash Flow'!AS$3)</f>
        <v>0</v>
      </c>
      <c r="AU7" s="111">
        <f>SUMIFS('Wells Fargo'!$F:$F,'Wells Fargo'!$G:$G,'Cash Flow'!$A7,'Wells Fargo'!$A:$A,AU$1,'Wells Fargo'!$B:$B,"&lt;="&amp;'Cash Flow'!AU$3)</f>
        <v>0</v>
      </c>
      <c r="AV7" s="77">
        <f>SUMIFS('Wells Fargo'!$F:$F,'Wells Fargo'!$G:$G,'Cash Flow'!$A7,'Wells Fargo'!$A:$A,AV$1,'Wells Fargo'!$B:$B,"&lt;="&amp;'Cash Flow'!AV$3,'Wells Fargo'!$B:$B,"&gt;"&amp;'Cash Flow'!AU$3)</f>
        <v>0</v>
      </c>
      <c r="AW7" s="77">
        <f>SUMIFS('Wells Fargo'!$F:$F,'Wells Fargo'!$G:$G,'Cash Flow'!$A7,'Wells Fargo'!$A:$A,AW$1,'Wells Fargo'!$B:$B,"&lt;="&amp;'Cash Flow'!AW$3,'Wells Fargo'!$B:$B,"&gt;"&amp;'Cash Flow'!AV$3)</f>
        <v>0</v>
      </c>
      <c r="AX7" s="77">
        <f>SUMIFS('Wells Fargo'!$F:$F,'Wells Fargo'!$G:$G,'Cash Flow'!$A7,'Wells Fargo'!$A:$A,AX$1,'Wells Fargo'!$B:$B,"&lt;="&amp;'Cash Flow'!AX$3,'Wells Fargo'!$B:$B,"&gt;"&amp;'Cash Flow'!AW$3)</f>
        <v>0</v>
      </c>
      <c r="AY7" s="77">
        <f>SUMIFS('Wells Fargo'!$F:$F,'Wells Fargo'!$G:$G,'Cash Flow'!$A7,'Wells Fargo'!$A:$A,AY$1,'Wells Fargo'!$B:$B,"&lt;="&amp;'Cash Flow'!AY$3,'Wells Fargo'!$B:$B,"&gt;"&amp;'Cash Flow'!AX$3)</f>
        <v>0</v>
      </c>
      <c r="AZ7" s="111">
        <f>SUMIFS('Wells Fargo'!$F:$F,'Wells Fargo'!$G:$G,'Cash Flow'!$A7,'Wells Fargo'!$A:$A,AZ$1,'Wells Fargo'!$B:$B,"&lt;="&amp;'Cash Flow'!AZ$3)</f>
        <v>0</v>
      </c>
      <c r="BA7" s="77">
        <f>SUMIFS('Wells Fargo'!$F:$F,'Wells Fargo'!$G:$G,'Cash Flow'!$A7,'Wells Fargo'!$A:$A,BA$1,'Wells Fargo'!$B:$B,"&lt;="&amp;'Cash Flow'!BA$3,'Wells Fargo'!$B:$B,"&gt;"&amp;'Cash Flow'!AZ$3)</f>
        <v>0</v>
      </c>
      <c r="BB7" s="77">
        <f>SUMIFS('Wells Fargo'!$F:$F,'Wells Fargo'!$G:$G,'Cash Flow'!$A7,'Wells Fargo'!$A:$A,BB$1,'Wells Fargo'!$B:$B,"&lt;="&amp;'Cash Flow'!BB$3,'Wells Fargo'!$B:$B,"&gt;"&amp;'Cash Flow'!BA$3)</f>
        <v>0</v>
      </c>
      <c r="BC7" s="77">
        <f>SUMIFS('Wells Fargo'!$F:$F,'Wells Fargo'!$G:$G,'Cash Flow'!$A7,'Wells Fargo'!$A:$A,BC$1,'Wells Fargo'!$B:$B,"&lt;="&amp;'Cash Flow'!BC$3,'Wells Fargo'!$B:$B,"&gt;"&amp;'Cash Flow'!BB$3)</f>
        <v>0</v>
      </c>
      <c r="BD7" s="77">
        <f>SUMIFS('Wells Fargo'!$F:$F,'Wells Fargo'!$G:$G,'Cash Flow'!$A7,'Wells Fargo'!$A:$A,BD$1,'Wells Fargo'!$B:$B,"&lt;="&amp;'Cash Flow'!BD$3,'Wells Fargo'!$B:$B,"&gt;"&amp;'Cash Flow'!BC$3)</f>
        <v>0</v>
      </c>
      <c r="BE7" s="111">
        <f>SUMIFS('Wells Fargo'!$F:$F,'Wells Fargo'!$G:$G,'Cash Flow'!$A7,'Wells Fargo'!$A:$A,BE$1,'Wells Fargo'!$B:$B,"&lt;="&amp;'Cash Flow'!BE$3)</f>
        <v>0</v>
      </c>
      <c r="BF7" s="77">
        <f>SUMIFS('Wells Fargo'!$F:$F,'Wells Fargo'!$G:$G,'Cash Flow'!$A7,'Wells Fargo'!$A:$A,BF$1,'Wells Fargo'!$B:$B,"&lt;="&amp;'Cash Flow'!BF$3,'Wells Fargo'!$B:$B,"&gt;"&amp;'Cash Flow'!BE$3)</f>
        <v>0</v>
      </c>
      <c r="BG7" s="77">
        <f>SUMIFS('Wells Fargo'!$F:$F,'Wells Fargo'!$G:$G,'Cash Flow'!$A7,'Wells Fargo'!$A:$A,BG$1,'Wells Fargo'!$B:$B,"&lt;="&amp;'Cash Flow'!BG$3,'Wells Fargo'!$B:$B,"&gt;"&amp;'Cash Flow'!BF$3)</f>
        <v>0</v>
      </c>
      <c r="BH7" s="77">
        <f>SUMIFS('Wells Fargo'!$F:$F,'Wells Fargo'!$G:$G,'Cash Flow'!$A7,'Wells Fargo'!$A:$A,BH$1,'Wells Fargo'!$B:$B,"&lt;="&amp;'Cash Flow'!BH$3,'Wells Fargo'!$B:$B,"&gt;"&amp;'Cash Flow'!BG$3)</f>
        <v>0</v>
      </c>
      <c r="BI7" s="77">
        <f>SUMIFS('Wells Fargo'!$F:$F,'Wells Fargo'!$G:$G,'Cash Flow'!$A7,'Wells Fargo'!$A:$A,BI$1,'Wells Fargo'!$B:$B,"&lt;="&amp;'Cash Flow'!BI$3,'Wells Fargo'!$B:$B,"&gt;"&amp;'Cash Flow'!BH$3)</f>
        <v>0</v>
      </c>
    </row>
    <row r="8" spans="1:61" ht="14.5" x14ac:dyDescent="0.5">
      <c r="A8" t="str">
        <v>Brooklyn</v>
      </c>
      <c r="B8" s="90">
        <f t="shared" si="0"/>
        <v>-952.13000000000011</v>
      </c>
      <c r="C8" s="111">
        <f>SUMIFS('Wells Fargo'!$F:$F,'Wells Fargo'!$G:$G,'Cash Flow'!$A8,'Wells Fargo'!$A:$A,C$1,'Wells Fargo'!$B:$B,"&lt;="&amp;'Cash Flow'!C$3)</f>
        <v>0</v>
      </c>
      <c r="D8" s="77">
        <f>SUMIFS('Wells Fargo'!$F:$F,'Wells Fargo'!$G:$G,'Cash Flow'!$A8,'Wells Fargo'!$A:$A,D$1,'Wells Fargo'!$B:$B,"&lt;="&amp;'Cash Flow'!D$3,'Wells Fargo'!$B:$B,"&gt;"&amp;'Cash Flow'!C$3)</f>
        <v>0</v>
      </c>
      <c r="E8" s="77">
        <f>SUMIFS('Wells Fargo'!$F:$F,'Wells Fargo'!$G:$G,'Cash Flow'!$A8,'Wells Fargo'!$A:$A,E$1,'Wells Fargo'!$B:$B,"&lt;="&amp;'Cash Flow'!E$3,'Wells Fargo'!$B:$B,"&gt;"&amp;'Cash Flow'!D$3)</f>
        <v>0</v>
      </c>
      <c r="F8" s="77">
        <f>SUMIFS('Wells Fargo'!$F:$F,'Wells Fargo'!$G:$G,'Cash Flow'!$A8,'Wells Fargo'!$A:$A,F$1,'Wells Fargo'!$B:$B,"&lt;="&amp;'Cash Flow'!F$3,'Wells Fargo'!$B:$B,"&gt;"&amp;'Cash Flow'!E$3)</f>
        <v>0</v>
      </c>
      <c r="G8" s="77">
        <f>SUMIFS('Wells Fargo'!$F:$F,'Wells Fargo'!$G:$G,'Cash Flow'!$A8,'Wells Fargo'!$A:$A,G$1,'Wells Fargo'!$B:$B,"&lt;="&amp;'Cash Flow'!G$3,'Wells Fargo'!$B:$B,"&gt;"&amp;'Cash Flow'!F$3)</f>
        <v>0</v>
      </c>
      <c r="H8" s="111">
        <f>SUMIFS('Wells Fargo'!$F:$F,'Wells Fargo'!$G:$G,'Cash Flow'!$A8,'Wells Fargo'!$A:$A,H$1,'Wells Fargo'!$B:$B,"&lt;="&amp;'Cash Flow'!H$3)</f>
        <v>0</v>
      </c>
      <c r="I8" s="77">
        <f>SUMIFS('Wells Fargo'!$F:$F,'Wells Fargo'!$G:$G,'Cash Flow'!$A8,'Wells Fargo'!$A:$A,I$1,'Wells Fargo'!$B:$B,"&lt;="&amp;'Cash Flow'!I$3,'Wells Fargo'!$B:$B,"&gt;"&amp;'Cash Flow'!H$3)</f>
        <v>0</v>
      </c>
      <c r="J8" s="77">
        <f>SUMIFS('Wells Fargo'!$F:$F,'Wells Fargo'!$G:$G,'Cash Flow'!$A8,'Wells Fargo'!$A:$A,J$1,'Wells Fargo'!$B:$B,"&lt;="&amp;'Cash Flow'!J$3,'Wells Fargo'!$B:$B,"&gt;"&amp;'Cash Flow'!I$3)</f>
        <v>0</v>
      </c>
      <c r="K8" s="77">
        <f>SUMIFS('Wells Fargo'!$F:$F,'Wells Fargo'!$G:$G,'Cash Flow'!$A8,'Wells Fargo'!$A:$A,K$1,'Wells Fargo'!$B:$B,"&lt;="&amp;'Cash Flow'!K$3,'Wells Fargo'!$B:$B,"&gt;"&amp;'Cash Flow'!J$3)</f>
        <v>0</v>
      </c>
      <c r="L8" s="111">
        <f>SUMIFS('Wells Fargo'!$F:$F,'Wells Fargo'!$G:$G,'Cash Flow'!$A8,'Wells Fargo'!$A:$A,L$1,'Wells Fargo'!$B:$B,"&lt;="&amp;'Cash Flow'!L$3)</f>
        <v>0</v>
      </c>
      <c r="M8" s="77">
        <f>SUMIFS('Wells Fargo'!$F:$F,'Wells Fargo'!$G:$G,'Cash Flow'!$A8,'Wells Fargo'!$A:$A,M$1,'Wells Fargo'!$B:$B,"&lt;="&amp;'Cash Flow'!M$3,'Wells Fargo'!$B:$B,"&gt;"&amp;'Cash Flow'!L$3)</f>
        <v>0</v>
      </c>
      <c r="N8" s="77">
        <f>SUMIFS('Wells Fargo'!$F:$F,'Wells Fargo'!$G:$G,'Cash Flow'!$A8,'Wells Fargo'!$A:$A,N$1,'Wells Fargo'!$B:$B,"&lt;="&amp;'Cash Flow'!N$3,'Wells Fargo'!$B:$B,"&gt;"&amp;'Cash Flow'!M$3)</f>
        <v>0</v>
      </c>
      <c r="O8" s="77">
        <f>SUMIFS('Wells Fargo'!$F:$F,'Wells Fargo'!$G:$G,'Cash Flow'!$A8,'Wells Fargo'!$A:$A,O$1,'Wells Fargo'!$B:$B,"&lt;="&amp;'Cash Flow'!O$3,'Wells Fargo'!$B:$B,"&gt;"&amp;'Cash Flow'!N$3)</f>
        <v>0</v>
      </c>
      <c r="P8" s="77">
        <f>SUMIFS('Wells Fargo'!$F:$F,'Wells Fargo'!$G:$G,'Cash Flow'!$A8,'Wells Fargo'!$A:$A,P$1,'Wells Fargo'!$B:$B,"&lt;="&amp;'Cash Flow'!P$3,'Wells Fargo'!$B:$B,"&gt;"&amp;'Cash Flow'!O$3)</f>
        <v>0</v>
      </c>
      <c r="Q8" s="111">
        <f>SUMIFS('Wells Fargo'!$F:$F,'Wells Fargo'!$G:$G,'Cash Flow'!$A8,'Wells Fargo'!$A:$A,Q$1,'Wells Fargo'!$B:$B,"&lt;="&amp;'Cash Flow'!Q$3)</f>
        <v>0</v>
      </c>
      <c r="R8" s="77">
        <f>SUMIFS('Wells Fargo'!$F:$F,'Wells Fargo'!$G:$G,'Cash Flow'!$A8,'Wells Fargo'!$A:$A,R$1,'Wells Fargo'!$B:$B,"&lt;="&amp;'Cash Flow'!R$3,'Wells Fargo'!$B:$B,"&gt;"&amp;'Cash Flow'!Q$3)</f>
        <v>0</v>
      </c>
      <c r="S8" s="77">
        <f>SUMIFS('Wells Fargo'!$F:$F,'Wells Fargo'!$G:$G,'Cash Flow'!$A8,'Wells Fargo'!$A:$A,S$1,'Wells Fargo'!$B:$B,"&lt;="&amp;'Cash Flow'!S$3,'Wells Fargo'!$B:$B,"&gt;"&amp;'Cash Flow'!R$3)</f>
        <v>0</v>
      </c>
      <c r="T8" s="77">
        <f>SUMIFS('Wells Fargo'!$F:$F,'Wells Fargo'!$G:$G,'Cash Flow'!$A8,'Wells Fargo'!$A:$A,T$1,'Wells Fargo'!$B:$B,"&lt;="&amp;'Cash Flow'!T$3,'Wells Fargo'!$B:$B,"&gt;"&amp;'Cash Flow'!S$3)</f>
        <v>0</v>
      </c>
      <c r="U8" s="77">
        <f>SUMIFS('Wells Fargo'!$F:$F,'Wells Fargo'!$G:$G,'Cash Flow'!$A8,'Wells Fargo'!$A:$A,U$1,'Wells Fargo'!$B:$B,"&lt;="&amp;'Cash Flow'!U$3,'Wells Fargo'!$B:$B,"&gt;"&amp;'Cash Flow'!T$3)</f>
        <v>0</v>
      </c>
      <c r="V8" s="111">
        <f>SUMIFS('Wells Fargo'!$F:$F,'Wells Fargo'!$G:$G,'Cash Flow'!$A8,'Wells Fargo'!$A:$A,V$1,'Wells Fargo'!$B:$B,"&lt;="&amp;'Cash Flow'!V$3)</f>
        <v>0</v>
      </c>
      <c r="W8" s="77">
        <f>SUMIFS('Wells Fargo'!$F:$F,'Wells Fargo'!$G:$G,'Cash Flow'!$A8,'Wells Fargo'!$A:$A,W$1,'Wells Fargo'!$B:$B,"&lt;="&amp;'Cash Flow'!W$3,'Wells Fargo'!$B:$B,"&gt;"&amp;'Cash Flow'!V$3)</f>
        <v>0</v>
      </c>
      <c r="X8" s="77">
        <f>SUMIFS('Wells Fargo'!$F:$F,'Wells Fargo'!$G:$G,'Cash Flow'!$A8,'Wells Fargo'!$A:$A,X$1,'Wells Fargo'!$B:$B,"&lt;="&amp;'Cash Flow'!X$3,'Wells Fargo'!$B:$B,"&gt;"&amp;'Cash Flow'!W$3)</f>
        <v>0</v>
      </c>
      <c r="Y8" s="77">
        <f>SUMIFS('Wells Fargo'!$F:$F,'Wells Fargo'!$G:$G,'Cash Flow'!$A8,'Wells Fargo'!$A:$A,Y$1,'Wells Fargo'!$B:$B,"&lt;="&amp;'Cash Flow'!Y$3,'Wells Fargo'!$B:$B,"&gt;"&amp;'Cash Flow'!X$3)</f>
        <v>0</v>
      </c>
      <c r="Z8" s="77">
        <f>SUMIFS('Wells Fargo'!$F:$F,'Wells Fargo'!$G:$G,'Cash Flow'!$A8,'Wells Fargo'!$A:$A,Z$1,'Wells Fargo'!$B:$B,"&lt;="&amp;'Cash Flow'!Z$3,'Wells Fargo'!$B:$B,"&gt;"&amp;'Cash Flow'!Y$3)</f>
        <v>0</v>
      </c>
      <c r="AA8" s="111">
        <f>SUMIFS('Wells Fargo'!$F:$F,'Wells Fargo'!$G:$G,'Cash Flow'!$A8,'Wells Fargo'!$A:$A,AA$1,'Wells Fargo'!$B:$B,"&lt;="&amp;'Cash Flow'!AA$3)</f>
        <v>0</v>
      </c>
      <c r="AB8" s="77">
        <f>SUMIFS('Wells Fargo'!$F:$F,'Wells Fargo'!$G:$G,'Cash Flow'!$A8,'Wells Fargo'!$A:$A,AB$1,'Wells Fargo'!$B:$B,"&lt;="&amp;'Cash Flow'!AB$3,'Wells Fargo'!$B:$B,"&gt;"&amp;'Cash Flow'!AA$3)</f>
        <v>-635.2700000000001</v>
      </c>
      <c r="AC8" s="77">
        <f>SUMIFS('Wells Fargo'!$F:$F,'Wells Fargo'!$G:$G,'Cash Flow'!$A8,'Wells Fargo'!$A:$A,AC$1,'Wells Fargo'!$B:$B,"&lt;="&amp;'Cash Flow'!AC$3,'Wells Fargo'!$B:$B,"&gt;"&amp;'Cash Flow'!AB$3)</f>
        <v>0</v>
      </c>
      <c r="AD8" s="77">
        <f>SUMIFS('Wells Fargo'!$F:$F,'Wells Fargo'!$G:$G,'Cash Flow'!$A8,'Wells Fargo'!$A:$A,AD$1,'Wells Fargo'!$B:$B,"&lt;="&amp;'Cash Flow'!AD$3,'Wells Fargo'!$B:$B,"&gt;"&amp;'Cash Flow'!AC$3)</f>
        <v>0</v>
      </c>
      <c r="AE8" s="77">
        <f>SUMIFS('Wells Fargo'!$F:$F,'Wells Fargo'!$G:$G,'Cash Flow'!$A8,'Wells Fargo'!$A:$A,AE$1,'Wells Fargo'!$B:$B,"&lt;="&amp;'Cash Flow'!AE$3,'Wells Fargo'!$B:$B,"&gt;"&amp;'Cash Flow'!AD$3)</f>
        <v>0</v>
      </c>
      <c r="AF8" s="111">
        <f>SUMIFS('Wells Fargo'!$F:$F,'Wells Fargo'!$G:$G,'Cash Flow'!$A8,'Wells Fargo'!$A:$A,AF$1,'Wells Fargo'!$B:$B,"&lt;="&amp;'Cash Flow'!AF$3)</f>
        <v>0</v>
      </c>
      <c r="AG8" s="77">
        <f>SUMIFS('Wells Fargo'!$F:$F,'Wells Fargo'!$G:$G,'Cash Flow'!$A8,'Wells Fargo'!$A:$A,AG$1,'Wells Fargo'!$B:$B,"&lt;="&amp;'Cash Flow'!AG$3,'Wells Fargo'!$B:$B,"&gt;"&amp;'Cash Flow'!AF$3)</f>
        <v>-316.86</v>
      </c>
      <c r="AH8" s="77">
        <f>SUMIFS('Wells Fargo'!$F:$F,'Wells Fargo'!$G:$G,'Cash Flow'!$A8,'Wells Fargo'!$A:$A,AH$1,'Wells Fargo'!$B:$B,"&lt;="&amp;'Cash Flow'!AH$3,'Wells Fargo'!$B:$B,"&gt;"&amp;'Cash Flow'!AG$3)</f>
        <v>0</v>
      </c>
      <c r="AI8" s="77">
        <f>SUMIFS('Wells Fargo'!$F:$F,'Wells Fargo'!$G:$G,'Cash Flow'!$A8,'Wells Fargo'!$A:$A,AI$1,'Wells Fargo'!$B:$B,"&lt;="&amp;'Cash Flow'!AI$3,'Wells Fargo'!$B:$B,"&gt;"&amp;'Cash Flow'!AH$3)</f>
        <v>0</v>
      </c>
      <c r="AJ8" s="77">
        <f>SUMIFS('Wells Fargo'!$F:$F,'Wells Fargo'!$G:$G,'Cash Flow'!$A8,'Wells Fargo'!$A:$A,AJ$1,'Wells Fargo'!$B:$B,"&lt;="&amp;'Cash Flow'!AJ$3,'Wells Fargo'!$B:$B,"&gt;"&amp;'Cash Flow'!AI$3)</f>
        <v>0</v>
      </c>
      <c r="AK8" s="111">
        <f>SUMIFS('Wells Fargo'!$F:$F,'Wells Fargo'!$G:$G,'Cash Flow'!$A8,'Wells Fargo'!$A:$A,AK$1,'Wells Fargo'!$B:$B,"&lt;="&amp;'Cash Flow'!AK$3)</f>
        <v>0</v>
      </c>
      <c r="AL8" s="77">
        <f>SUMIFS('Wells Fargo'!$F:$F,'Wells Fargo'!$G:$G,'Cash Flow'!$A8,'Wells Fargo'!$A:$A,AL$1,'Wells Fargo'!$B:$B,"&lt;="&amp;'Cash Flow'!AL$3,'Wells Fargo'!$B:$B,"&gt;"&amp;'Cash Flow'!AK$3)</f>
        <v>0</v>
      </c>
      <c r="AM8" s="77">
        <f>SUMIFS('Wells Fargo'!$F:$F,'Wells Fargo'!$G:$G,'Cash Flow'!$A8,'Wells Fargo'!$A:$A,AM$1,'Wells Fargo'!$B:$B,"&lt;="&amp;'Cash Flow'!AM$3,'Wells Fargo'!$B:$B,"&gt;"&amp;'Cash Flow'!AL$3)</f>
        <v>0</v>
      </c>
      <c r="AN8" s="77">
        <f>SUMIFS('Wells Fargo'!$F:$F,'Wells Fargo'!$G:$G,'Cash Flow'!$A8,'Wells Fargo'!$A:$A,AN$1,'Wells Fargo'!$B:$B,"&lt;="&amp;'Cash Flow'!AN$3,'Wells Fargo'!$B:$B,"&gt;"&amp;'Cash Flow'!AM$3)</f>
        <v>0</v>
      </c>
      <c r="AO8" s="77">
        <f>SUMIFS('Wells Fargo'!$F:$F,'Wells Fargo'!$G:$G,'Cash Flow'!$A8,'Wells Fargo'!$A:$A,AO$1,'Wells Fargo'!$B:$B,"&lt;="&amp;'Cash Flow'!AO$3,'Wells Fargo'!$B:$B,"&gt;"&amp;'Cash Flow'!AN$3)</f>
        <v>0</v>
      </c>
      <c r="AP8" s="111">
        <f>SUMIFS('Wells Fargo'!$F:$F,'Wells Fargo'!$G:$G,'Cash Flow'!$A8,'Wells Fargo'!$A:$A,AP$1,'Wells Fargo'!$B:$B,"&lt;="&amp;'Cash Flow'!AP$3)</f>
        <v>0</v>
      </c>
      <c r="AQ8" s="77">
        <f>SUMIFS('Wells Fargo'!$F:$F,'Wells Fargo'!$G:$G,'Cash Flow'!$A8,'Wells Fargo'!$A:$A,AQ$1,'Wells Fargo'!$B:$B,"&lt;="&amp;'Cash Flow'!AQ$3,'Wells Fargo'!$B:$B,"&gt;"&amp;'Cash Flow'!AP$3)</f>
        <v>0</v>
      </c>
      <c r="AR8" s="77">
        <f>SUMIFS('Wells Fargo'!$F:$F,'Wells Fargo'!$G:$G,'Cash Flow'!$A8,'Wells Fargo'!$A:$A,AR$1,'Wells Fargo'!$B:$B,"&lt;="&amp;'Cash Flow'!AR$3,'Wells Fargo'!$B:$B,"&gt;"&amp;'Cash Flow'!AQ$3)</f>
        <v>0</v>
      </c>
      <c r="AS8" s="77">
        <f>SUMIFS('Wells Fargo'!$F:$F,'Wells Fargo'!$G:$G,'Cash Flow'!$A8,'Wells Fargo'!$A:$A,AS$1,'Wells Fargo'!$B:$B,"&lt;="&amp;'Cash Flow'!AS$3,'Wells Fargo'!$B:$B,"&gt;"&amp;'Cash Flow'!AR$3)</f>
        <v>0</v>
      </c>
      <c r="AT8" s="77">
        <f>SUMIFS('Wells Fargo'!$F:$F,'Wells Fargo'!$G:$G,'Cash Flow'!$A8,'Wells Fargo'!$A:$A,AT$1,'Wells Fargo'!$B:$B,"&lt;="&amp;'Cash Flow'!AT$3,'Wells Fargo'!$B:$B,"&gt;"&amp;'Cash Flow'!AS$3)</f>
        <v>0</v>
      </c>
      <c r="AU8" s="111">
        <f>SUMIFS('Wells Fargo'!$F:$F,'Wells Fargo'!$G:$G,'Cash Flow'!$A8,'Wells Fargo'!$A:$A,AU$1,'Wells Fargo'!$B:$B,"&lt;="&amp;'Cash Flow'!AU$3)</f>
        <v>0</v>
      </c>
      <c r="AV8" s="77">
        <f>SUMIFS('Wells Fargo'!$F:$F,'Wells Fargo'!$G:$G,'Cash Flow'!$A8,'Wells Fargo'!$A:$A,AV$1,'Wells Fargo'!$B:$B,"&lt;="&amp;'Cash Flow'!AV$3,'Wells Fargo'!$B:$B,"&gt;"&amp;'Cash Flow'!AU$3)</f>
        <v>0</v>
      </c>
      <c r="AW8" s="77">
        <f>SUMIFS('Wells Fargo'!$F:$F,'Wells Fargo'!$G:$G,'Cash Flow'!$A8,'Wells Fargo'!$A:$A,AW$1,'Wells Fargo'!$B:$B,"&lt;="&amp;'Cash Flow'!AW$3,'Wells Fargo'!$B:$B,"&gt;"&amp;'Cash Flow'!AV$3)</f>
        <v>0</v>
      </c>
      <c r="AX8" s="77">
        <f>SUMIFS('Wells Fargo'!$F:$F,'Wells Fargo'!$G:$G,'Cash Flow'!$A8,'Wells Fargo'!$A:$A,AX$1,'Wells Fargo'!$B:$B,"&lt;="&amp;'Cash Flow'!AX$3,'Wells Fargo'!$B:$B,"&gt;"&amp;'Cash Flow'!AW$3)</f>
        <v>0</v>
      </c>
      <c r="AY8" s="77">
        <f>SUMIFS('Wells Fargo'!$F:$F,'Wells Fargo'!$G:$G,'Cash Flow'!$A8,'Wells Fargo'!$A:$A,AY$1,'Wells Fargo'!$B:$B,"&lt;="&amp;'Cash Flow'!AY$3,'Wells Fargo'!$B:$B,"&gt;"&amp;'Cash Flow'!AX$3)</f>
        <v>0</v>
      </c>
      <c r="AZ8" s="111">
        <f>SUMIFS('Wells Fargo'!$F:$F,'Wells Fargo'!$G:$G,'Cash Flow'!$A8,'Wells Fargo'!$A:$A,AZ$1,'Wells Fargo'!$B:$B,"&lt;="&amp;'Cash Flow'!AZ$3)</f>
        <v>0</v>
      </c>
      <c r="BA8" s="77">
        <f>SUMIFS('Wells Fargo'!$F:$F,'Wells Fargo'!$G:$G,'Cash Flow'!$A8,'Wells Fargo'!$A:$A,BA$1,'Wells Fargo'!$B:$B,"&lt;="&amp;'Cash Flow'!BA$3,'Wells Fargo'!$B:$B,"&gt;"&amp;'Cash Flow'!AZ$3)</f>
        <v>0</v>
      </c>
      <c r="BB8" s="77">
        <f>SUMIFS('Wells Fargo'!$F:$F,'Wells Fargo'!$G:$G,'Cash Flow'!$A8,'Wells Fargo'!$A:$A,BB$1,'Wells Fargo'!$B:$B,"&lt;="&amp;'Cash Flow'!BB$3,'Wells Fargo'!$B:$B,"&gt;"&amp;'Cash Flow'!BA$3)</f>
        <v>0</v>
      </c>
      <c r="BC8" s="77">
        <f>SUMIFS('Wells Fargo'!$F:$F,'Wells Fargo'!$G:$G,'Cash Flow'!$A8,'Wells Fargo'!$A:$A,BC$1,'Wells Fargo'!$B:$B,"&lt;="&amp;'Cash Flow'!BC$3,'Wells Fargo'!$B:$B,"&gt;"&amp;'Cash Flow'!BB$3)</f>
        <v>0</v>
      </c>
      <c r="BD8" s="77">
        <f>SUMIFS('Wells Fargo'!$F:$F,'Wells Fargo'!$G:$G,'Cash Flow'!$A8,'Wells Fargo'!$A:$A,BD$1,'Wells Fargo'!$B:$B,"&lt;="&amp;'Cash Flow'!BD$3,'Wells Fargo'!$B:$B,"&gt;"&amp;'Cash Flow'!BC$3)</f>
        <v>0</v>
      </c>
      <c r="BE8" s="111">
        <f>SUMIFS('Wells Fargo'!$F:$F,'Wells Fargo'!$G:$G,'Cash Flow'!$A8,'Wells Fargo'!$A:$A,BE$1,'Wells Fargo'!$B:$B,"&lt;="&amp;'Cash Flow'!BE$3)</f>
        <v>0</v>
      </c>
      <c r="BF8" s="77">
        <f>SUMIFS('Wells Fargo'!$F:$F,'Wells Fargo'!$G:$G,'Cash Flow'!$A8,'Wells Fargo'!$A:$A,BF$1,'Wells Fargo'!$B:$B,"&lt;="&amp;'Cash Flow'!BF$3,'Wells Fargo'!$B:$B,"&gt;"&amp;'Cash Flow'!BE$3)</f>
        <v>0</v>
      </c>
      <c r="BG8" s="77">
        <f>SUMIFS('Wells Fargo'!$F:$F,'Wells Fargo'!$G:$G,'Cash Flow'!$A8,'Wells Fargo'!$A:$A,BG$1,'Wells Fargo'!$B:$B,"&lt;="&amp;'Cash Flow'!BG$3,'Wells Fargo'!$B:$B,"&gt;"&amp;'Cash Flow'!BF$3)</f>
        <v>0</v>
      </c>
      <c r="BH8" s="77">
        <f>SUMIFS('Wells Fargo'!$F:$F,'Wells Fargo'!$G:$G,'Cash Flow'!$A8,'Wells Fargo'!$A:$A,BH$1,'Wells Fargo'!$B:$B,"&lt;="&amp;'Cash Flow'!BH$3,'Wells Fargo'!$B:$B,"&gt;"&amp;'Cash Flow'!BG$3)</f>
        <v>0</v>
      </c>
      <c r="BI8" s="77">
        <f>SUMIFS('Wells Fargo'!$F:$F,'Wells Fargo'!$G:$G,'Cash Flow'!$A8,'Wells Fargo'!$A:$A,BI$1,'Wells Fargo'!$B:$B,"&lt;="&amp;'Cash Flow'!BI$3,'Wells Fargo'!$B:$B,"&gt;"&amp;'Cash Flow'!BH$3)</f>
        <v>0</v>
      </c>
    </row>
    <row r="9" spans="1:61" ht="14.5" x14ac:dyDescent="0.5">
      <c r="A9" t="str">
        <v>Cairo</v>
      </c>
      <c r="B9" s="90">
        <f t="shared" si="0"/>
        <v>0</v>
      </c>
      <c r="C9" s="111">
        <f>SUMIFS('Wells Fargo'!$F:$F,'Wells Fargo'!$G:$G,'Cash Flow'!$A9,'Wells Fargo'!$A:$A,C$1,'Wells Fargo'!$B:$B,"&lt;="&amp;'Cash Flow'!C$3)</f>
        <v>0</v>
      </c>
      <c r="D9" s="77">
        <f>SUMIFS('Wells Fargo'!$F:$F,'Wells Fargo'!$G:$G,'Cash Flow'!$A9,'Wells Fargo'!$A:$A,D$1,'Wells Fargo'!$B:$B,"&lt;="&amp;'Cash Flow'!D$3,'Wells Fargo'!$B:$B,"&gt;"&amp;'Cash Flow'!C$3)</f>
        <v>0</v>
      </c>
      <c r="E9" s="77">
        <f>SUMIFS('Wells Fargo'!$F:$F,'Wells Fargo'!$G:$G,'Cash Flow'!$A9,'Wells Fargo'!$A:$A,E$1,'Wells Fargo'!$B:$B,"&lt;="&amp;'Cash Flow'!E$3,'Wells Fargo'!$B:$B,"&gt;"&amp;'Cash Flow'!D$3)</f>
        <v>0</v>
      </c>
      <c r="F9" s="77">
        <f>SUMIFS('Wells Fargo'!$F:$F,'Wells Fargo'!$G:$G,'Cash Flow'!$A9,'Wells Fargo'!$A:$A,F$1,'Wells Fargo'!$B:$B,"&lt;="&amp;'Cash Flow'!F$3,'Wells Fargo'!$B:$B,"&gt;"&amp;'Cash Flow'!E$3)</f>
        <v>-155</v>
      </c>
      <c r="G9" s="77">
        <f>SUMIFS('Wells Fargo'!$F:$F,'Wells Fargo'!$G:$G,'Cash Flow'!$A9,'Wells Fargo'!$A:$A,G$1,'Wells Fargo'!$B:$B,"&lt;="&amp;'Cash Flow'!G$3,'Wells Fargo'!$B:$B,"&gt;"&amp;'Cash Flow'!F$3)</f>
        <v>155</v>
      </c>
      <c r="H9" s="111">
        <f>SUMIFS('Wells Fargo'!$F:$F,'Wells Fargo'!$G:$G,'Cash Flow'!$A9,'Wells Fargo'!$A:$A,H$1,'Wells Fargo'!$B:$B,"&lt;="&amp;'Cash Flow'!H$3)</f>
        <v>0</v>
      </c>
      <c r="I9" s="77">
        <f>SUMIFS('Wells Fargo'!$F:$F,'Wells Fargo'!$G:$G,'Cash Flow'!$A9,'Wells Fargo'!$A:$A,I$1,'Wells Fargo'!$B:$B,"&lt;="&amp;'Cash Flow'!I$3,'Wells Fargo'!$B:$B,"&gt;"&amp;'Cash Flow'!H$3)</f>
        <v>0</v>
      </c>
      <c r="J9" s="77">
        <f>SUMIFS('Wells Fargo'!$F:$F,'Wells Fargo'!$G:$G,'Cash Flow'!$A9,'Wells Fargo'!$A:$A,J$1,'Wells Fargo'!$B:$B,"&lt;="&amp;'Cash Flow'!J$3,'Wells Fargo'!$B:$B,"&gt;"&amp;'Cash Flow'!I$3)</f>
        <v>0</v>
      </c>
      <c r="K9" s="77">
        <f>SUMIFS('Wells Fargo'!$F:$F,'Wells Fargo'!$G:$G,'Cash Flow'!$A9,'Wells Fargo'!$A:$A,K$1,'Wells Fargo'!$B:$B,"&lt;="&amp;'Cash Flow'!K$3,'Wells Fargo'!$B:$B,"&gt;"&amp;'Cash Flow'!J$3)</f>
        <v>0</v>
      </c>
      <c r="L9" s="111">
        <f>SUMIFS('Wells Fargo'!$F:$F,'Wells Fargo'!$G:$G,'Cash Flow'!$A9,'Wells Fargo'!$A:$A,L$1,'Wells Fargo'!$B:$B,"&lt;="&amp;'Cash Flow'!L$3)</f>
        <v>0</v>
      </c>
      <c r="M9" s="77">
        <f>SUMIFS('Wells Fargo'!$F:$F,'Wells Fargo'!$G:$G,'Cash Flow'!$A9,'Wells Fargo'!$A:$A,M$1,'Wells Fargo'!$B:$B,"&lt;="&amp;'Cash Flow'!M$3,'Wells Fargo'!$B:$B,"&gt;"&amp;'Cash Flow'!L$3)</f>
        <v>0</v>
      </c>
      <c r="N9" s="77">
        <f>SUMIFS('Wells Fargo'!$F:$F,'Wells Fargo'!$G:$G,'Cash Flow'!$A9,'Wells Fargo'!$A:$A,N$1,'Wells Fargo'!$B:$B,"&lt;="&amp;'Cash Flow'!N$3,'Wells Fargo'!$B:$B,"&gt;"&amp;'Cash Flow'!M$3)</f>
        <v>0</v>
      </c>
      <c r="O9" s="77">
        <f>SUMIFS('Wells Fargo'!$F:$F,'Wells Fargo'!$G:$G,'Cash Flow'!$A9,'Wells Fargo'!$A:$A,O$1,'Wells Fargo'!$B:$B,"&lt;="&amp;'Cash Flow'!O$3,'Wells Fargo'!$B:$B,"&gt;"&amp;'Cash Flow'!N$3)</f>
        <v>0</v>
      </c>
      <c r="P9" s="77">
        <f>SUMIFS('Wells Fargo'!$F:$F,'Wells Fargo'!$G:$G,'Cash Flow'!$A9,'Wells Fargo'!$A:$A,P$1,'Wells Fargo'!$B:$B,"&lt;="&amp;'Cash Flow'!P$3,'Wells Fargo'!$B:$B,"&gt;"&amp;'Cash Flow'!O$3)</f>
        <v>0</v>
      </c>
      <c r="Q9" s="111">
        <f>SUMIFS('Wells Fargo'!$F:$F,'Wells Fargo'!$G:$G,'Cash Flow'!$A9,'Wells Fargo'!$A:$A,Q$1,'Wells Fargo'!$B:$B,"&lt;="&amp;'Cash Flow'!Q$3)</f>
        <v>0</v>
      </c>
      <c r="R9" s="77">
        <f>SUMIFS('Wells Fargo'!$F:$F,'Wells Fargo'!$G:$G,'Cash Flow'!$A9,'Wells Fargo'!$A:$A,R$1,'Wells Fargo'!$B:$B,"&lt;="&amp;'Cash Flow'!R$3,'Wells Fargo'!$B:$B,"&gt;"&amp;'Cash Flow'!Q$3)</f>
        <v>0</v>
      </c>
      <c r="S9" s="77">
        <f>SUMIFS('Wells Fargo'!$F:$F,'Wells Fargo'!$G:$G,'Cash Flow'!$A9,'Wells Fargo'!$A:$A,S$1,'Wells Fargo'!$B:$B,"&lt;="&amp;'Cash Flow'!S$3,'Wells Fargo'!$B:$B,"&gt;"&amp;'Cash Flow'!R$3)</f>
        <v>0</v>
      </c>
      <c r="T9" s="77">
        <f>SUMIFS('Wells Fargo'!$F:$F,'Wells Fargo'!$G:$G,'Cash Flow'!$A9,'Wells Fargo'!$A:$A,T$1,'Wells Fargo'!$B:$B,"&lt;="&amp;'Cash Flow'!T$3,'Wells Fargo'!$B:$B,"&gt;"&amp;'Cash Flow'!S$3)</f>
        <v>0</v>
      </c>
      <c r="U9" s="77">
        <f>SUMIFS('Wells Fargo'!$F:$F,'Wells Fargo'!$G:$G,'Cash Flow'!$A9,'Wells Fargo'!$A:$A,U$1,'Wells Fargo'!$B:$B,"&lt;="&amp;'Cash Flow'!U$3,'Wells Fargo'!$B:$B,"&gt;"&amp;'Cash Flow'!T$3)</f>
        <v>0</v>
      </c>
      <c r="V9" s="111">
        <f>SUMIFS('Wells Fargo'!$F:$F,'Wells Fargo'!$G:$G,'Cash Flow'!$A9,'Wells Fargo'!$A:$A,V$1,'Wells Fargo'!$B:$B,"&lt;="&amp;'Cash Flow'!V$3)</f>
        <v>0</v>
      </c>
      <c r="W9" s="77">
        <f>SUMIFS('Wells Fargo'!$F:$F,'Wells Fargo'!$G:$G,'Cash Flow'!$A9,'Wells Fargo'!$A:$A,W$1,'Wells Fargo'!$B:$B,"&lt;="&amp;'Cash Flow'!W$3,'Wells Fargo'!$B:$B,"&gt;"&amp;'Cash Flow'!V$3)</f>
        <v>0</v>
      </c>
      <c r="X9" s="77">
        <f>SUMIFS('Wells Fargo'!$F:$F,'Wells Fargo'!$G:$G,'Cash Flow'!$A9,'Wells Fargo'!$A:$A,X$1,'Wells Fargo'!$B:$B,"&lt;="&amp;'Cash Flow'!X$3,'Wells Fargo'!$B:$B,"&gt;"&amp;'Cash Flow'!W$3)</f>
        <v>0</v>
      </c>
      <c r="Y9" s="77">
        <f>SUMIFS('Wells Fargo'!$F:$F,'Wells Fargo'!$G:$G,'Cash Flow'!$A9,'Wells Fargo'!$A:$A,Y$1,'Wells Fargo'!$B:$B,"&lt;="&amp;'Cash Flow'!Y$3,'Wells Fargo'!$B:$B,"&gt;"&amp;'Cash Flow'!X$3)</f>
        <v>0</v>
      </c>
      <c r="Z9" s="77">
        <f>SUMIFS('Wells Fargo'!$F:$F,'Wells Fargo'!$G:$G,'Cash Flow'!$A9,'Wells Fargo'!$A:$A,Z$1,'Wells Fargo'!$B:$B,"&lt;="&amp;'Cash Flow'!Z$3,'Wells Fargo'!$B:$B,"&gt;"&amp;'Cash Flow'!Y$3)</f>
        <v>0</v>
      </c>
      <c r="AA9" s="111">
        <f>SUMIFS('Wells Fargo'!$F:$F,'Wells Fargo'!$G:$G,'Cash Flow'!$A9,'Wells Fargo'!$A:$A,AA$1,'Wells Fargo'!$B:$B,"&lt;="&amp;'Cash Flow'!AA$3)</f>
        <v>0</v>
      </c>
      <c r="AB9" s="77">
        <f>SUMIFS('Wells Fargo'!$F:$F,'Wells Fargo'!$G:$G,'Cash Flow'!$A9,'Wells Fargo'!$A:$A,AB$1,'Wells Fargo'!$B:$B,"&lt;="&amp;'Cash Flow'!AB$3,'Wells Fargo'!$B:$B,"&gt;"&amp;'Cash Flow'!AA$3)</f>
        <v>0</v>
      </c>
      <c r="AC9" s="77">
        <f>SUMIFS('Wells Fargo'!$F:$F,'Wells Fargo'!$G:$G,'Cash Flow'!$A9,'Wells Fargo'!$A:$A,AC$1,'Wells Fargo'!$B:$B,"&lt;="&amp;'Cash Flow'!AC$3,'Wells Fargo'!$B:$B,"&gt;"&amp;'Cash Flow'!AB$3)</f>
        <v>0</v>
      </c>
      <c r="AD9" s="77">
        <f>SUMIFS('Wells Fargo'!$F:$F,'Wells Fargo'!$G:$G,'Cash Flow'!$A9,'Wells Fargo'!$A:$A,AD$1,'Wells Fargo'!$B:$B,"&lt;="&amp;'Cash Flow'!AD$3,'Wells Fargo'!$B:$B,"&gt;"&amp;'Cash Flow'!AC$3)</f>
        <v>0</v>
      </c>
      <c r="AE9" s="77">
        <f>SUMIFS('Wells Fargo'!$F:$F,'Wells Fargo'!$G:$G,'Cash Flow'!$A9,'Wells Fargo'!$A:$A,AE$1,'Wells Fargo'!$B:$B,"&lt;="&amp;'Cash Flow'!AE$3,'Wells Fargo'!$B:$B,"&gt;"&amp;'Cash Flow'!AD$3)</f>
        <v>0</v>
      </c>
      <c r="AF9" s="111">
        <f>SUMIFS('Wells Fargo'!$F:$F,'Wells Fargo'!$G:$G,'Cash Flow'!$A9,'Wells Fargo'!$A:$A,AF$1,'Wells Fargo'!$B:$B,"&lt;="&amp;'Cash Flow'!AF$3)</f>
        <v>0</v>
      </c>
      <c r="AG9" s="77">
        <f>SUMIFS('Wells Fargo'!$F:$F,'Wells Fargo'!$G:$G,'Cash Flow'!$A9,'Wells Fargo'!$A:$A,AG$1,'Wells Fargo'!$B:$B,"&lt;="&amp;'Cash Flow'!AG$3,'Wells Fargo'!$B:$B,"&gt;"&amp;'Cash Flow'!AF$3)</f>
        <v>0</v>
      </c>
      <c r="AH9" s="77">
        <f>SUMIFS('Wells Fargo'!$F:$F,'Wells Fargo'!$G:$G,'Cash Flow'!$A9,'Wells Fargo'!$A:$A,AH$1,'Wells Fargo'!$B:$B,"&lt;="&amp;'Cash Flow'!AH$3,'Wells Fargo'!$B:$B,"&gt;"&amp;'Cash Flow'!AG$3)</f>
        <v>0</v>
      </c>
      <c r="AI9" s="77">
        <f>SUMIFS('Wells Fargo'!$F:$F,'Wells Fargo'!$G:$G,'Cash Flow'!$A9,'Wells Fargo'!$A:$A,AI$1,'Wells Fargo'!$B:$B,"&lt;="&amp;'Cash Flow'!AI$3,'Wells Fargo'!$B:$B,"&gt;"&amp;'Cash Flow'!AH$3)</f>
        <v>0</v>
      </c>
      <c r="AJ9" s="77">
        <f>SUMIFS('Wells Fargo'!$F:$F,'Wells Fargo'!$G:$G,'Cash Flow'!$A9,'Wells Fargo'!$A:$A,AJ$1,'Wells Fargo'!$B:$B,"&lt;="&amp;'Cash Flow'!AJ$3,'Wells Fargo'!$B:$B,"&gt;"&amp;'Cash Flow'!AI$3)</f>
        <v>0</v>
      </c>
      <c r="AK9" s="111">
        <f>SUMIFS('Wells Fargo'!$F:$F,'Wells Fargo'!$G:$G,'Cash Flow'!$A9,'Wells Fargo'!$A:$A,AK$1,'Wells Fargo'!$B:$B,"&lt;="&amp;'Cash Flow'!AK$3)</f>
        <v>0</v>
      </c>
      <c r="AL9" s="77">
        <f>SUMIFS('Wells Fargo'!$F:$F,'Wells Fargo'!$G:$G,'Cash Flow'!$A9,'Wells Fargo'!$A:$A,AL$1,'Wells Fargo'!$B:$B,"&lt;="&amp;'Cash Flow'!AL$3,'Wells Fargo'!$B:$B,"&gt;"&amp;'Cash Flow'!AK$3)</f>
        <v>0</v>
      </c>
      <c r="AM9" s="77">
        <f>SUMIFS('Wells Fargo'!$F:$F,'Wells Fargo'!$G:$G,'Cash Flow'!$A9,'Wells Fargo'!$A:$A,AM$1,'Wells Fargo'!$B:$B,"&lt;="&amp;'Cash Flow'!AM$3,'Wells Fargo'!$B:$B,"&gt;"&amp;'Cash Flow'!AL$3)</f>
        <v>0</v>
      </c>
      <c r="AN9" s="77">
        <f>SUMIFS('Wells Fargo'!$F:$F,'Wells Fargo'!$G:$G,'Cash Flow'!$A9,'Wells Fargo'!$A:$A,AN$1,'Wells Fargo'!$B:$B,"&lt;="&amp;'Cash Flow'!AN$3,'Wells Fargo'!$B:$B,"&gt;"&amp;'Cash Flow'!AM$3)</f>
        <v>0</v>
      </c>
      <c r="AO9" s="77">
        <f>SUMIFS('Wells Fargo'!$F:$F,'Wells Fargo'!$G:$G,'Cash Flow'!$A9,'Wells Fargo'!$A:$A,AO$1,'Wells Fargo'!$B:$B,"&lt;="&amp;'Cash Flow'!AO$3,'Wells Fargo'!$B:$B,"&gt;"&amp;'Cash Flow'!AN$3)</f>
        <v>0</v>
      </c>
      <c r="AP9" s="111">
        <f>SUMIFS('Wells Fargo'!$F:$F,'Wells Fargo'!$G:$G,'Cash Flow'!$A9,'Wells Fargo'!$A:$A,AP$1,'Wells Fargo'!$B:$B,"&lt;="&amp;'Cash Flow'!AP$3)</f>
        <v>0</v>
      </c>
      <c r="AQ9" s="77">
        <f>SUMIFS('Wells Fargo'!$F:$F,'Wells Fargo'!$G:$G,'Cash Flow'!$A9,'Wells Fargo'!$A:$A,AQ$1,'Wells Fargo'!$B:$B,"&lt;="&amp;'Cash Flow'!AQ$3,'Wells Fargo'!$B:$B,"&gt;"&amp;'Cash Flow'!AP$3)</f>
        <v>0</v>
      </c>
      <c r="AR9" s="77">
        <f>SUMIFS('Wells Fargo'!$F:$F,'Wells Fargo'!$G:$G,'Cash Flow'!$A9,'Wells Fargo'!$A:$A,AR$1,'Wells Fargo'!$B:$B,"&lt;="&amp;'Cash Flow'!AR$3,'Wells Fargo'!$B:$B,"&gt;"&amp;'Cash Flow'!AQ$3)</f>
        <v>0</v>
      </c>
      <c r="AS9" s="77">
        <f>SUMIFS('Wells Fargo'!$F:$F,'Wells Fargo'!$G:$G,'Cash Flow'!$A9,'Wells Fargo'!$A:$A,AS$1,'Wells Fargo'!$B:$B,"&lt;="&amp;'Cash Flow'!AS$3,'Wells Fargo'!$B:$B,"&gt;"&amp;'Cash Flow'!AR$3)</f>
        <v>0</v>
      </c>
      <c r="AT9" s="77">
        <f>SUMIFS('Wells Fargo'!$F:$F,'Wells Fargo'!$G:$G,'Cash Flow'!$A9,'Wells Fargo'!$A:$A,AT$1,'Wells Fargo'!$B:$B,"&lt;="&amp;'Cash Flow'!AT$3,'Wells Fargo'!$B:$B,"&gt;"&amp;'Cash Flow'!AS$3)</f>
        <v>0</v>
      </c>
      <c r="AU9" s="111">
        <f>SUMIFS('Wells Fargo'!$F:$F,'Wells Fargo'!$G:$G,'Cash Flow'!$A9,'Wells Fargo'!$A:$A,AU$1,'Wells Fargo'!$B:$B,"&lt;="&amp;'Cash Flow'!AU$3)</f>
        <v>0</v>
      </c>
      <c r="AV9" s="77">
        <f>SUMIFS('Wells Fargo'!$F:$F,'Wells Fargo'!$G:$G,'Cash Flow'!$A9,'Wells Fargo'!$A:$A,AV$1,'Wells Fargo'!$B:$B,"&lt;="&amp;'Cash Flow'!AV$3,'Wells Fargo'!$B:$B,"&gt;"&amp;'Cash Flow'!AU$3)</f>
        <v>0</v>
      </c>
      <c r="AW9" s="77">
        <f>SUMIFS('Wells Fargo'!$F:$F,'Wells Fargo'!$G:$G,'Cash Flow'!$A9,'Wells Fargo'!$A:$A,AW$1,'Wells Fargo'!$B:$B,"&lt;="&amp;'Cash Flow'!AW$3,'Wells Fargo'!$B:$B,"&gt;"&amp;'Cash Flow'!AV$3)</f>
        <v>0</v>
      </c>
      <c r="AX9" s="77">
        <f>SUMIFS('Wells Fargo'!$F:$F,'Wells Fargo'!$G:$G,'Cash Flow'!$A9,'Wells Fargo'!$A:$A,AX$1,'Wells Fargo'!$B:$B,"&lt;="&amp;'Cash Flow'!AX$3,'Wells Fargo'!$B:$B,"&gt;"&amp;'Cash Flow'!AW$3)</f>
        <v>0</v>
      </c>
      <c r="AY9" s="77">
        <f>SUMIFS('Wells Fargo'!$F:$F,'Wells Fargo'!$G:$G,'Cash Flow'!$A9,'Wells Fargo'!$A:$A,AY$1,'Wells Fargo'!$B:$B,"&lt;="&amp;'Cash Flow'!AY$3,'Wells Fargo'!$B:$B,"&gt;"&amp;'Cash Flow'!AX$3)</f>
        <v>0</v>
      </c>
      <c r="AZ9" s="111">
        <f>SUMIFS('Wells Fargo'!$F:$F,'Wells Fargo'!$G:$G,'Cash Flow'!$A9,'Wells Fargo'!$A:$A,AZ$1,'Wells Fargo'!$B:$B,"&lt;="&amp;'Cash Flow'!AZ$3)</f>
        <v>0</v>
      </c>
      <c r="BA9" s="77">
        <f>SUMIFS('Wells Fargo'!$F:$F,'Wells Fargo'!$G:$G,'Cash Flow'!$A9,'Wells Fargo'!$A:$A,BA$1,'Wells Fargo'!$B:$B,"&lt;="&amp;'Cash Flow'!BA$3,'Wells Fargo'!$B:$B,"&gt;"&amp;'Cash Flow'!AZ$3)</f>
        <v>0</v>
      </c>
      <c r="BB9" s="77">
        <f>SUMIFS('Wells Fargo'!$F:$F,'Wells Fargo'!$G:$G,'Cash Flow'!$A9,'Wells Fargo'!$A:$A,BB$1,'Wells Fargo'!$B:$B,"&lt;="&amp;'Cash Flow'!BB$3,'Wells Fargo'!$B:$B,"&gt;"&amp;'Cash Flow'!BA$3)</f>
        <v>0</v>
      </c>
      <c r="BC9" s="77">
        <f>SUMIFS('Wells Fargo'!$F:$F,'Wells Fargo'!$G:$G,'Cash Flow'!$A9,'Wells Fargo'!$A:$A,BC$1,'Wells Fargo'!$B:$B,"&lt;="&amp;'Cash Flow'!BC$3,'Wells Fargo'!$B:$B,"&gt;"&amp;'Cash Flow'!BB$3)</f>
        <v>0</v>
      </c>
      <c r="BD9" s="77">
        <f>SUMIFS('Wells Fargo'!$F:$F,'Wells Fargo'!$G:$G,'Cash Flow'!$A9,'Wells Fargo'!$A:$A,BD$1,'Wells Fargo'!$B:$B,"&lt;="&amp;'Cash Flow'!BD$3,'Wells Fargo'!$B:$B,"&gt;"&amp;'Cash Flow'!BC$3)</f>
        <v>0</v>
      </c>
      <c r="BE9" s="111">
        <f>SUMIFS('Wells Fargo'!$F:$F,'Wells Fargo'!$G:$G,'Cash Flow'!$A9,'Wells Fargo'!$A:$A,BE$1,'Wells Fargo'!$B:$B,"&lt;="&amp;'Cash Flow'!BE$3)</f>
        <v>0</v>
      </c>
      <c r="BF9" s="77">
        <f>SUMIFS('Wells Fargo'!$F:$F,'Wells Fargo'!$G:$G,'Cash Flow'!$A9,'Wells Fargo'!$A:$A,BF$1,'Wells Fargo'!$B:$B,"&lt;="&amp;'Cash Flow'!BF$3,'Wells Fargo'!$B:$B,"&gt;"&amp;'Cash Flow'!BE$3)</f>
        <v>0</v>
      </c>
      <c r="BG9" s="77">
        <f>SUMIFS('Wells Fargo'!$F:$F,'Wells Fargo'!$G:$G,'Cash Flow'!$A9,'Wells Fargo'!$A:$A,BG$1,'Wells Fargo'!$B:$B,"&lt;="&amp;'Cash Flow'!BG$3,'Wells Fargo'!$B:$B,"&gt;"&amp;'Cash Flow'!BF$3)</f>
        <v>0</v>
      </c>
      <c r="BH9" s="77">
        <f>SUMIFS('Wells Fargo'!$F:$F,'Wells Fargo'!$G:$G,'Cash Flow'!$A9,'Wells Fargo'!$A:$A,BH$1,'Wells Fargo'!$B:$B,"&lt;="&amp;'Cash Flow'!BH$3,'Wells Fargo'!$B:$B,"&gt;"&amp;'Cash Flow'!BG$3)</f>
        <v>0</v>
      </c>
      <c r="BI9" s="77">
        <f>SUMIFS('Wells Fargo'!$F:$F,'Wells Fargo'!$G:$G,'Cash Flow'!$A9,'Wells Fargo'!$A:$A,BI$1,'Wells Fargo'!$B:$B,"&lt;="&amp;'Cash Flow'!BI$3,'Wells Fargo'!$B:$B,"&gt;"&amp;'Cash Flow'!BH$3)</f>
        <v>0</v>
      </c>
    </row>
    <row r="10" spans="1:61" ht="14.5" x14ac:dyDescent="0.5">
      <c r="A10" t="str">
        <v>Credit</v>
      </c>
      <c r="B10" s="90">
        <f t="shared" si="0"/>
        <v>-15177.329999999998</v>
      </c>
      <c r="C10" s="111">
        <f>SUMIFS('Wells Fargo'!$F:$F,'Wells Fargo'!$G:$G,'Cash Flow'!$A10,'Wells Fargo'!$A:$A,C$1,'Wells Fargo'!$B:$B,"&lt;="&amp;'Cash Flow'!C$3)</f>
        <v>0</v>
      </c>
      <c r="D10" s="77">
        <f>SUMIFS('Wells Fargo'!$F:$F,'Wells Fargo'!$G:$G,'Cash Flow'!$A10,'Wells Fargo'!$A:$A,D$1,'Wells Fargo'!$B:$B,"&lt;="&amp;'Cash Flow'!D$3,'Wells Fargo'!$B:$B,"&gt;"&amp;'Cash Flow'!C$3)</f>
        <v>-700</v>
      </c>
      <c r="E10" s="77">
        <f>SUMIFS('Wells Fargo'!$F:$F,'Wells Fargo'!$G:$G,'Cash Flow'!$A10,'Wells Fargo'!$A:$A,E$1,'Wells Fargo'!$B:$B,"&lt;="&amp;'Cash Flow'!E$3,'Wells Fargo'!$B:$B,"&gt;"&amp;'Cash Flow'!D$3)</f>
        <v>-729.23</v>
      </c>
      <c r="F10" s="77">
        <f>SUMIFS('Wells Fargo'!$F:$F,'Wells Fargo'!$G:$G,'Cash Flow'!$A10,'Wells Fargo'!$A:$A,F$1,'Wells Fargo'!$B:$B,"&lt;="&amp;'Cash Flow'!F$3,'Wells Fargo'!$B:$B,"&gt;"&amp;'Cash Flow'!E$3)</f>
        <v>0</v>
      </c>
      <c r="G10" s="77">
        <f>SUMIFS('Wells Fargo'!$F:$F,'Wells Fargo'!$G:$G,'Cash Flow'!$A10,'Wells Fargo'!$A:$A,G$1,'Wells Fargo'!$B:$B,"&lt;="&amp;'Cash Flow'!G$3,'Wells Fargo'!$B:$B,"&gt;"&amp;'Cash Flow'!F$3)</f>
        <v>0</v>
      </c>
      <c r="H10" s="111">
        <f>SUMIFS('Wells Fargo'!$F:$F,'Wells Fargo'!$G:$G,'Cash Flow'!$A10,'Wells Fargo'!$A:$A,H$1,'Wells Fargo'!$B:$B,"&lt;="&amp;'Cash Flow'!H$3)</f>
        <v>-157.47</v>
      </c>
      <c r="I10" s="77">
        <f>SUMIFS('Wells Fargo'!$F:$F,'Wells Fargo'!$G:$G,'Cash Flow'!$A10,'Wells Fargo'!$A:$A,I$1,'Wells Fargo'!$B:$B,"&lt;="&amp;'Cash Flow'!I$3,'Wells Fargo'!$B:$B,"&gt;"&amp;'Cash Flow'!H$3)</f>
        <v>-715.37</v>
      </c>
      <c r="J10" s="77">
        <f>SUMIFS('Wells Fargo'!$F:$F,'Wells Fargo'!$G:$G,'Cash Flow'!$A10,'Wells Fargo'!$A:$A,J$1,'Wells Fargo'!$B:$B,"&lt;="&amp;'Cash Flow'!J$3,'Wells Fargo'!$B:$B,"&gt;"&amp;'Cash Flow'!I$3)</f>
        <v>0</v>
      </c>
      <c r="K10" s="77">
        <f>SUMIFS('Wells Fargo'!$F:$F,'Wells Fargo'!$G:$G,'Cash Flow'!$A10,'Wells Fargo'!$A:$A,K$1,'Wells Fargo'!$B:$B,"&lt;="&amp;'Cash Flow'!K$3,'Wells Fargo'!$B:$B,"&gt;"&amp;'Cash Flow'!J$3)</f>
        <v>-770.55</v>
      </c>
      <c r="L10" s="111">
        <f>SUMIFS('Wells Fargo'!$F:$F,'Wells Fargo'!$G:$G,'Cash Flow'!$A10,'Wells Fargo'!$A:$A,L$1,'Wells Fargo'!$B:$B,"&lt;="&amp;'Cash Flow'!L$3)</f>
        <v>0</v>
      </c>
      <c r="M10" s="77">
        <f>SUMIFS('Wells Fargo'!$F:$F,'Wells Fargo'!$G:$G,'Cash Flow'!$A10,'Wells Fargo'!$A:$A,M$1,'Wells Fargo'!$B:$B,"&lt;="&amp;'Cash Flow'!M$3,'Wells Fargo'!$B:$B,"&gt;"&amp;'Cash Flow'!L$3)</f>
        <v>-1160.3800000000001</v>
      </c>
      <c r="N10" s="77">
        <f>SUMIFS('Wells Fargo'!$F:$F,'Wells Fargo'!$G:$G,'Cash Flow'!$A10,'Wells Fargo'!$A:$A,N$1,'Wells Fargo'!$B:$B,"&lt;="&amp;'Cash Flow'!N$3,'Wells Fargo'!$B:$B,"&gt;"&amp;'Cash Flow'!M$3)</f>
        <v>-521.61</v>
      </c>
      <c r="O10" s="77">
        <f>SUMIFS('Wells Fargo'!$F:$F,'Wells Fargo'!$G:$G,'Cash Flow'!$A10,'Wells Fargo'!$A:$A,O$1,'Wells Fargo'!$B:$B,"&lt;="&amp;'Cash Flow'!O$3,'Wells Fargo'!$B:$B,"&gt;"&amp;'Cash Flow'!N$3)</f>
        <v>-264.60000000000002</v>
      </c>
      <c r="P10" s="77">
        <f>SUMIFS('Wells Fargo'!$F:$F,'Wells Fargo'!$G:$G,'Cash Flow'!$A10,'Wells Fargo'!$A:$A,P$1,'Wells Fargo'!$B:$B,"&lt;="&amp;'Cash Flow'!P$3,'Wells Fargo'!$B:$B,"&gt;"&amp;'Cash Flow'!O$3)</f>
        <v>-465.03</v>
      </c>
      <c r="Q10" s="111">
        <f>SUMIFS('Wells Fargo'!$F:$F,'Wells Fargo'!$G:$G,'Cash Flow'!$A10,'Wells Fargo'!$A:$A,Q$1,'Wells Fargo'!$B:$B,"&lt;="&amp;'Cash Flow'!Q$3)</f>
        <v>0</v>
      </c>
      <c r="R10" s="77">
        <f>SUMIFS('Wells Fargo'!$F:$F,'Wells Fargo'!$G:$G,'Cash Flow'!$A10,'Wells Fargo'!$A:$A,R$1,'Wells Fargo'!$B:$B,"&lt;="&amp;'Cash Flow'!R$3,'Wells Fargo'!$B:$B,"&gt;"&amp;'Cash Flow'!Q$3)</f>
        <v>-450.02</v>
      </c>
      <c r="S10" s="77">
        <f>SUMIFS('Wells Fargo'!$F:$F,'Wells Fargo'!$G:$G,'Cash Flow'!$A10,'Wells Fargo'!$A:$A,S$1,'Wells Fargo'!$B:$B,"&lt;="&amp;'Cash Flow'!S$3,'Wells Fargo'!$B:$B,"&gt;"&amp;'Cash Flow'!R$3)</f>
        <v>0</v>
      </c>
      <c r="T10" s="77">
        <f>SUMIFS('Wells Fargo'!$F:$F,'Wells Fargo'!$G:$G,'Cash Flow'!$A10,'Wells Fargo'!$A:$A,T$1,'Wells Fargo'!$B:$B,"&lt;="&amp;'Cash Flow'!T$3,'Wells Fargo'!$B:$B,"&gt;"&amp;'Cash Flow'!S$3)</f>
        <v>0</v>
      </c>
      <c r="U10" s="77">
        <f>SUMIFS('Wells Fargo'!$F:$F,'Wells Fargo'!$G:$G,'Cash Flow'!$A10,'Wells Fargo'!$A:$A,U$1,'Wells Fargo'!$B:$B,"&lt;="&amp;'Cash Flow'!U$3,'Wells Fargo'!$B:$B,"&gt;"&amp;'Cash Flow'!T$3)</f>
        <v>0</v>
      </c>
      <c r="V10" s="111">
        <f>SUMIFS('Wells Fargo'!$F:$F,'Wells Fargo'!$G:$G,'Cash Flow'!$A10,'Wells Fargo'!$A:$A,V$1,'Wells Fargo'!$B:$B,"&lt;="&amp;'Cash Flow'!V$3)</f>
        <v>-1404.1</v>
      </c>
      <c r="W10" s="77">
        <f>SUMIFS('Wells Fargo'!$F:$F,'Wells Fargo'!$G:$G,'Cash Flow'!$A10,'Wells Fargo'!$A:$A,W$1,'Wells Fargo'!$B:$B,"&lt;="&amp;'Cash Flow'!W$3,'Wells Fargo'!$B:$B,"&gt;"&amp;'Cash Flow'!V$3)</f>
        <v>0</v>
      </c>
      <c r="X10" s="77">
        <f>SUMIFS('Wells Fargo'!$F:$F,'Wells Fargo'!$G:$G,'Cash Flow'!$A10,'Wells Fargo'!$A:$A,X$1,'Wells Fargo'!$B:$B,"&lt;="&amp;'Cash Flow'!X$3,'Wells Fargo'!$B:$B,"&gt;"&amp;'Cash Flow'!W$3)</f>
        <v>0</v>
      </c>
      <c r="Y10" s="77">
        <f>SUMIFS('Wells Fargo'!$F:$F,'Wells Fargo'!$G:$G,'Cash Flow'!$A10,'Wells Fargo'!$A:$A,Y$1,'Wells Fargo'!$B:$B,"&lt;="&amp;'Cash Flow'!Y$3,'Wells Fargo'!$B:$B,"&gt;"&amp;'Cash Flow'!X$3)</f>
        <v>-1412.32</v>
      </c>
      <c r="Z10" s="77">
        <f>SUMIFS('Wells Fargo'!$F:$F,'Wells Fargo'!$G:$G,'Cash Flow'!$A10,'Wells Fargo'!$A:$A,Z$1,'Wells Fargo'!$B:$B,"&lt;="&amp;'Cash Flow'!Z$3,'Wells Fargo'!$B:$B,"&gt;"&amp;'Cash Flow'!Y$3)</f>
        <v>0</v>
      </c>
      <c r="AA10" s="111">
        <f>SUMIFS('Wells Fargo'!$F:$F,'Wells Fargo'!$G:$G,'Cash Flow'!$A10,'Wells Fargo'!$A:$A,AA$1,'Wells Fargo'!$B:$B,"&lt;="&amp;'Cash Flow'!AA$3)</f>
        <v>0</v>
      </c>
      <c r="AB10" s="77">
        <f>SUMIFS('Wells Fargo'!$F:$F,'Wells Fargo'!$G:$G,'Cash Flow'!$A10,'Wells Fargo'!$A:$A,AB$1,'Wells Fargo'!$B:$B,"&lt;="&amp;'Cash Flow'!AB$3,'Wells Fargo'!$B:$B,"&gt;"&amp;'Cash Flow'!AA$3)</f>
        <v>-1368.32</v>
      </c>
      <c r="AC10" s="77">
        <f>SUMIFS('Wells Fargo'!$F:$F,'Wells Fargo'!$G:$G,'Cash Flow'!$A10,'Wells Fargo'!$A:$A,AC$1,'Wells Fargo'!$B:$B,"&lt;="&amp;'Cash Flow'!AC$3,'Wells Fargo'!$B:$B,"&gt;"&amp;'Cash Flow'!AB$3)</f>
        <v>0</v>
      </c>
      <c r="AD10" s="77">
        <f>SUMIFS('Wells Fargo'!$F:$F,'Wells Fargo'!$G:$G,'Cash Flow'!$A10,'Wells Fargo'!$A:$A,AD$1,'Wells Fargo'!$B:$B,"&lt;="&amp;'Cash Flow'!AD$3,'Wells Fargo'!$B:$B,"&gt;"&amp;'Cash Flow'!AC$3)</f>
        <v>-1869</v>
      </c>
      <c r="AE10" s="77">
        <f>SUMIFS('Wells Fargo'!$F:$F,'Wells Fargo'!$G:$G,'Cash Flow'!$A10,'Wells Fargo'!$A:$A,AE$1,'Wells Fargo'!$B:$B,"&lt;="&amp;'Cash Flow'!AE$3,'Wells Fargo'!$B:$B,"&gt;"&amp;'Cash Flow'!AD$3)</f>
        <v>0</v>
      </c>
      <c r="AF10" s="111">
        <f>SUMIFS('Wells Fargo'!$F:$F,'Wells Fargo'!$G:$G,'Cash Flow'!$A10,'Wells Fargo'!$A:$A,AF$1,'Wells Fargo'!$B:$B,"&lt;="&amp;'Cash Flow'!AF$3)</f>
        <v>-871.96</v>
      </c>
      <c r="AG10" s="77">
        <f>SUMIFS('Wells Fargo'!$F:$F,'Wells Fargo'!$G:$G,'Cash Flow'!$A10,'Wells Fargo'!$A:$A,AG$1,'Wells Fargo'!$B:$B,"&lt;="&amp;'Cash Flow'!AG$3,'Wells Fargo'!$B:$B,"&gt;"&amp;'Cash Flow'!AF$3)</f>
        <v>-2317.37</v>
      </c>
      <c r="AH10" s="77">
        <f>SUMIFS('Wells Fargo'!$F:$F,'Wells Fargo'!$G:$G,'Cash Flow'!$A10,'Wells Fargo'!$A:$A,AH$1,'Wells Fargo'!$B:$B,"&lt;="&amp;'Cash Flow'!AH$3,'Wells Fargo'!$B:$B,"&gt;"&amp;'Cash Flow'!AG$3)</f>
        <v>0</v>
      </c>
      <c r="AI10" s="77">
        <f>SUMIFS('Wells Fargo'!$F:$F,'Wells Fargo'!$G:$G,'Cash Flow'!$A10,'Wells Fargo'!$A:$A,AI$1,'Wells Fargo'!$B:$B,"&lt;="&amp;'Cash Flow'!AI$3,'Wells Fargo'!$B:$B,"&gt;"&amp;'Cash Flow'!AH$3)</f>
        <v>0</v>
      </c>
      <c r="AJ10" s="77">
        <f>SUMIFS('Wells Fargo'!$F:$F,'Wells Fargo'!$G:$G,'Cash Flow'!$A10,'Wells Fargo'!$A:$A,AJ$1,'Wells Fargo'!$B:$B,"&lt;="&amp;'Cash Flow'!AJ$3,'Wells Fargo'!$B:$B,"&gt;"&amp;'Cash Flow'!AI$3)</f>
        <v>0</v>
      </c>
      <c r="AK10" s="111">
        <f>SUMIFS('Wells Fargo'!$F:$F,'Wells Fargo'!$G:$G,'Cash Flow'!$A10,'Wells Fargo'!$A:$A,AK$1,'Wells Fargo'!$B:$B,"&lt;="&amp;'Cash Flow'!AK$3)</f>
        <v>0</v>
      </c>
      <c r="AL10" s="77">
        <f>SUMIFS('Wells Fargo'!$F:$F,'Wells Fargo'!$G:$G,'Cash Flow'!$A10,'Wells Fargo'!$A:$A,AL$1,'Wells Fargo'!$B:$B,"&lt;="&amp;'Cash Flow'!AL$3,'Wells Fargo'!$B:$B,"&gt;"&amp;'Cash Flow'!AK$3)</f>
        <v>0</v>
      </c>
      <c r="AM10" s="77">
        <f>SUMIFS('Wells Fargo'!$F:$F,'Wells Fargo'!$G:$G,'Cash Flow'!$A10,'Wells Fargo'!$A:$A,AM$1,'Wells Fargo'!$B:$B,"&lt;="&amp;'Cash Flow'!AM$3,'Wells Fargo'!$B:$B,"&gt;"&amp;'Cash Flow'!AL$3)</f>
        <v>0</v>
      </c>
      <c r="AN10" s="77">
        <f>SUMIFS('Wells Fargo'!$F:$F,'Wells Fargo'!$G:$G,'Cash Flow'!$A10,'Wells Fargo'!$A:$A,AN$1,'Wells Fargo'!$B:$B,"&lt;="&amp;'Cash Flow'!AN$3,'Wells Fargo'!$B:$B,"&gt;"&amp;'Cash Flow'!AM$3)</f>
        <v>0</v>
      </c>
      <c r="AO10" s="77">
        <f>SUMIFS('Wells Fargo'!$F:$F,'Wells Fargo'!$G:$G,'Cash Flow'!$A10,'Wells Fargo'!$A:$A,AO$1,'Wells Fargo'!$B:$B,"&lt;="&amp;'Cash Flow'!AO$3,'Wells Fargo'!$B:$B,"&gt;"&amp;'Cash Flow'!AN$3)</f>
        <v>0</v>
      </c>
      <c r="AP10" s="111">
        <f>SUMIFS('Wells Fargo'!$F:$F,'Wells Fargo'!$G:$G,'Cash Flow'!$A10,'Wells Fargo'!$A:$A,AP$1,'Wells Fargo'!$B:$B,"&lt;="&amp;'Cash Flow'!AP$3)</f>
        <v>0</v>
      </c>
      <c r="AQ10" s="77">
        <f>SUMIFS('Wells Fargo'!$F:$F,'Wells Fargo'!$G:$G,'Cash Flow'!$A10,'Wells Fargo'!$A:$A,AQ$1,'Wells Fargo'!$B:$B,"&lt;="&amp;'Cash Flow'!AQ$3,'Wells Fargo'!$B:$B,"&gt;"&amp;'Cash Flow'!AP$3)</f>
        <v>0</v>
      </c>
      <c r="AR10" s="77">
        <f>SUMIFS('Wells Fargo'!$F:$F,'Wells Fargo'!$G:$G,'Cash Flow'!$A10,'Wells Fargo'!$A:$A,AR$1,'Wells Fargo'!$B:$B,"&lt;="&amp;'Cash Flow'!AR$3,'Wells Fargo'!$B:$B,"&gt;"&amp;'Cash Flow'!AQ$3)</f>
        <v>0</v>
      </c>
      <c r="AS10" s="77">
        <f>SUMIFS('Wells Fargo'!$F:$F,'Wells Fargo'!$G:$G,'Cash Flow'!$A10,'Wells Fargo'!$A:$A,AS$1,'Wells Fargo'!$B:$B,"&lt;="&amp;'Cash Flow'!AS$3,'Wells Fargo'!$B:$B,"&gt;"&amp;'Cash Flow'!AR$3)</f>
        <v>0</v>
      </c>
      <c r="AT10" s="77">
        <f>SUMIFS('Wells Fargo'!$F:$F,'Wells Fargo'!$G:$G,'Cash Flow'!$A10,'Wells Fargo'!$A:$A,AT$1,'Wells Fargo'!$B:$B,"&lt;="&amp;'Cash Flow'!AT$3,'Wells Fargo'!$B:$B,"&gt;"&amp;'Cash Flow'!AS$3)</f>
        <v>0</v>
      </c>
      <c r="AU10" s="111">
        <f>SUMIFS('Wells Fargo'!$F:$F,'Wells Fargo'!$G:$G,'Cash Flow'!$A10,'Wells Fargo'!$A:$A,AU$1,'Wells Fargo'!$B:$B,"&lt;="&amp;'Cash Flow'!AU$3)</f>
        <v>0</v>
      </c>
      <c r="AV10" s="77">
        <f>SUMIFS('Wells Fargo'!$F:$F,'Wells Fargo'!$G:$G,'Cash Flow'!$A10,'Wells Fargo'!$A:$A,AV$1,'Wells Fargo'!$B:$B,"&lt;="&amp;'Cash Flow'!AV$3,'Wells Fargo'!$B:$B,"&gt;"&amp;'Cash Flow'!AU$3)</f>
        <v>0</v>
      </c>
      <c r="AW10" s="77">
        <f>SUMIFS('Wells Fargo'!$F:$F,'Wells Fargo'!$G:$G,'Cash Flow'!$A10,'Wells Fargo'!$A:$A,AW$1,'Wells Fargo'!$B:$B,"&lt;="&amp;'Cash Flow'!AW$3,'Wells Fargo'!$B:$B,"&gt;"&amp;'Cash Flow'!AV$3)</f>
        <v>0</v>
      </c>
      <c r="AX10" s="77">
        <f>SUMIFS('Wells Fargo'!$F:$F,'Wells Fargo'!$G:$G,'Cash Flow'!$A10,'Wells Fargo'!$A:$A,AX$1,'Wells Fargo'!$B:$B,"&lt;="&amp;'Cash Flow'!AX$3,'Wells Fargo'!$B:$B,"&gt;"&amp;'Cash Flow'!AW$3)</f>
        <v>0</v>
      </c>
      <c r="AY10" s="77">
        <f>SUMIFS('Wells Fargo'!$F:$F,'Wells Fargo'!$G:$G,'Cash Flow'!$A10,'Wells Fargo'!$A:$A,AY$1,'Wells Fargo'!$B:$B,"&lt;="&amp;'Cash Flow'!AY$3,'Wells Fargo'!$B:$B,"&gt;"&amp;'Cash Flow'!AX$3)</f>
        <v>0</v>
      </c>
      <c r="AZ10" s="111">
        <f>SUMIFS('Wells Fargo'!$F:$F,'Wells Fargo'!$G:$G,'Cash Flow'!$A10,'Wells Fargo'!$A:$A,AZ$1,'Wells Fargo'!$B:$B,"&lt;="&amp;'Cash Flow'!AZ$3)</f>
        <v>0</v>
      </c>
      <c r="BA10" s="77">
        <f>SUMIFS('Wells Fargo'!$F:$F,'Wells Fargo'!$G:$G,'Cash Flow'!$A10,'Wells Fargo'!$A:$A,BA$1,'Wells Fargo'!$B:$B,"&lt;="&amp;'Cash Flow'!BA$3,'Wells Fargo'!$B:$B,"&gt;"&amp;'Cash Flow'!AZ$3)</f>
        <v>0</v>
      </c>
      <c r="BB10" s="77">
        <f>SUMIFS('Wells Fargo'!$F:$F,'Wells Fargo'!$G:$G,'Cash Flow'!$A10,'Wells Fargo'!$A:$A,BB$1,'Wells Fargo'!$B:$B,"&lt;="&amp;'Cash Flow'!BB$3,'Wells Fargo'!$B:$B,"&gt;"&amp;'Cash Flow'!BA$3)</f>
        <v>0</v>
      </c>
      <c r="BC10" s="77">
        <f>SUMIFS('Wells Fargo'!$F:$F,'Wells Fargo'!$G:$G,'Cash Flow'!$A10,'Wells Fargo'!$A:$A,BC$1,'Wells Fargo'!$B:$B,"&lt;="&amp;'Cash Flow'!BC$3,'Wells Fargo'!$B:$B,"&gt;"&amp;'Cash Flow'!BB$3)</f>
        <v>0</v>
      </c>
      <c r="BD10" s="77">
        <f>SUMIFS('Wells Fargo'!$F:$F,'Wells Fargo'!$G:$G,'Cash Flow'!$A10,'Wells Fargo'!$A:$A,BD$1,'Wells Fargo'!$B:$B,"&lt;="&amp;'Cash Flow'!BD$3,'Wells Fargo'!$B:$B,"&gt;"&amp;'Cash Flow'!BC$3)</f>
        <v>0</v>
      </c>
      <c r="BE10" s="111">
        <f>SUMIFS('Wells Fargo'!$F:$F,'Wells Fargo'!$G:$G,'Cash Flow'!$A10,'Wells Fargo'!$A:$A,BE$1,'Wells Fargo'!$B:$B,"&lt;="&amp;'Cash Flow'!BE$3)</f>
        <v>0</v>
      </c>
      <c r="BF10" s="77">
        <f>SUMIFS('Wells Fargo'!$F:$F,'Wells Fargo'!$G:$G,'Cash Flow'!$A10,'Wells Fargo'!$A:$A,BF$1,'Wells Fargo'!$B:$B,"&lt;="&amp;'Cash Flow'!BF$3,'Wells Fargo'!$B:$B,"&gt;"&amp;'Cash Flow'!BE$3)</f>
        <v>0</v>
      </c>
      <c r="BG10" s="77">
        <f>SUMIFS('Wells Fargo'!$F:$F,'Wells Fargo'!$G:$G,'Cash Flow'!$A10,'Wells Fargo'!$A:$A,BG$1,'Wells Fargo'!$B:$B,"&lt;="&amp;'Cash Flow'!BG$3,'Wells Fargo'!$B:$B,"&gt;"&amp;'Cash Flow'!BF$3)</f>
        <v>0</v>
      </c>
      <c r="BH10" s="77">
        <f>SUMIFS('Wells Fargo'!$F:$F,'Wells Fargo'!$G:$G,'Cash Flow'!$A10,'Wells Fargo'!$A:$A,BH$1,'Wells Fargo'!$B:$B,"&lt;="&amp;'Cash Flow'!BH$3,'Wells Fargo'!$B:$B,"&gt;"&amp;'Cash Flow'!BG$3)</f>
        <v>0</v>
      </c>
      <c r="BI10" s="77">
        <f>SUMIFS('Wells Fargo'!$F:$F,'Wells Fargo'!$G:$G,'Cash Flow'!$A10,'Wells Fargo'!$A:$A,BI$1,'Wells Fargo'!$B:$B,"&lt;="&amp;'Cash Flow'!BI$3,'Wells Fargo'!$B:$B,"&gt;"&amp;'Cash Flow'!BH$3)</f>
        <v>0</v>
      </c>
    </row>
    <row r="11" spans="1:61" ht="14.5" x14ac:dyDescent="0.5">
      <c r="A11" t="str">
        <v>Credit Karma</v>
      </c>
      <c r="B11" s="90">
        <f t="shared" si="0"/>
        <v>-1</v>
      </c>
      <c r="C11" s="111">
        <f>SUMIFS('Wells Fargo'!$F:$F,'Wells Fargo'!$G:$G,'Cash Flow'!$A11,'Wells Fargo'!$A:$A,C$1,'Wells Fargo'!$B:$B,"&lt;="&amp;'Cash Flow'!C$3)</f>
        <v>0</v>
      </c>
      <c r="D11" s="77">
        <f>SUMIFS('Wells Fargo'!$F:$F,'Wells Fargo'!$G:$G,'Cash Flow'!$A11,'Wells Fargo'!$A:$A,D$1,'Wells Fargo'!$B:$B,"&lt;="&amp;'Cash Flow'!D$3,'Wells Fargo'!$B:$B,"&gt;"&amp;'Cash Flow'!C$3)</f>
        <v>0</v>
      </c>
      <c r="E11" s="77">
        <f>SUMIFS('Wells Fargo'!$F:$F,'Wells Fargo'!$G:$G,'Cash Flow'!$A11,'Wells Fargo'!$A:$A,E$1,'Wells Fargo'!$B:$B,"&lt;="&amp;'Cash Flow'!E$3,'Wells Fargo'!$B:$B,"&gt;"&amp;'Cash Flow'!D$3)</f>
        <v>0</v>
      </c>
      <c r="F11" s="77">
        <f>SUMIFS('Wells Fargo'!$F:$F,'Wells Fargo'!$G:$G,'Cash Flow'!$A11,'Wells Fargo'!$A:$A,F$1,'Wells Fargo'!$B:$B,"&lt;="&amp;'Cash Flow'!F$3,'Wells Fargo'!$B:$B,"&gt;"&amp;'Cash Flow'!E$3)</f>
        <v>0</v>
      </c>
      <c r="G11" s="77">
        <f>SUMIFS('Wells Fargo'!$F:$F,'Wells Fargo'!$G:$G,'Cash Flow'!$A11,'Wells Fargo'!$A:$A,G$1,'Wells Fargo'!$B:$B,"&lt;="&amp;'Cash Flow'!G$3,'Wells Fargo'!$B:$B,"&gt;"&amp;'Cash Flow'!F$3)</f>
        <v>0</v>
      </c>
      <c r="H11" s="111">
        <f>SUMIFS('Wells Fargo'!$F:$F,'Wells Fargo'!$G:$G,'Cash Flow'!$A11,'Wells Fargo'!$A:$A,H$1,'Wells Fargo'!$B:$B,"&lt;="&amp;'Cash Flow'!H$3)</f>
        <v>-1</v>
      </c>
      <c r="I11" s="77">
        <f>SUMIFS('Wells Fargo'!$F:$F,'Wells Fargo'!$G:$G,'Cash Flow'!$A11,'Wells Fargo'!$A:$A,I$1,'Wells Fargo'!$B:$B,"&lt;="&amp;'Cash Flow'!I$3,'Wells Fargo'!$B:$B,"&gt;"&amp;'Cash Flow'!H$3)</f>
        <v>0</v>
      </c>
      <c r="J11" s="77">
        <f>SUMIFS('Wells Fargo'!$F:$F,'Wells Fargo'!$G:$G,'Cash Flow'!$A11,'Wells Fargo'!$A:$A,J$1,'Wells Fargo'!$B:$B,"&lt;="&amp;'Cash Flow'!J$3,'Wells Fargo'!$B:$B,"&gt;"&amp;'Cash Flow'!I$3)</f>
        <v>0</v>
      </c>
      <c r="K11" s="77">
        <f>SUMIFS('Wells Fargo'!$F:$F,'Wells Fargo'!$G:$G,'Cash Flow'!$A11,'Wells Fargo'!$A:$A,K$1,'Wells Fargo'!$B:$B,"&lt;="&amp;'Cash Flow'!K$3,'Wells Fargo'!$B:$B,"&gt;"&amp;'Cash Flow'!J$3)</f>
        <v>0</v>
      </c>
      <c r="L11" s="111">
        <f>SUMIFS('Wells Fargo'!$F:$F,'Wells Fargo'!$G:$G,'Cash Flow'!$A11,'Wells Fargo'!$A:$A,L$1,'Wells Fargo'!$B:$B,"&lt;="&amp;'Cash Flow'!L$3)</f>
        <v>0</v>
      </c>
      <c r="M11" s="77">
        <f>SUMIFS('Wells Fargo'!$F:$F,'Wells Fargo'!$G:$G,'Cash Flow'!$A11,'Wells Fargo'!$A:$A,M$1,'Wells Fargo'!$B:$B,"&lt;="&amp;'Cash Flow'!M$3,'Wells Fargo'!$B:$B,"&gt;"&amp;'Cash Flow'!L$3)</f>
        <v>0</v>
      </c>
      <c r="N11" s="77">
        <f>SUMIFS('Wells Fargo'!$F:$F,'Wells Fargo'!$G:$G,'Cash Flow'!$A11,'Wells Fargo'!$A:$A,N$1,'Wells Fargo'!$B:$B,"&lt;="&amp;'Cash Flow'!N$3,'Wells Fargo'!$B:$B,"&gt;"&amp;'Cash Flow'!M$3)</f>
        <v>0</v>
      </c>
      <c r="O11" s="77">
        <f>SUMIFS('Wells Fargo'!$F:$F,'Wells Fargo'!$G:$G,'Cash Flow'!$A11,'Wells Fargo'!$A:$A,O$1,'Wells Fargo'!$B:$B,"&lt;="&amp;'Cash Flow'!O$3,'Wells Fargo'!$B:$B,"&gt;"&amp;'Cash Flow'!N$3)</f>
        <v>0</v>
      </c>
      <c r="P11" s="77">
        <f>SUMIFS('Wells Fargo'!$F:$F,'Wells Fargo'!$G:$G,'Cash Flow'!$A11,'Wells Fargo'!$A:$A,P$1,'Wells Fargo'!$B:$B,"&lt;="&amp;'Cash Flow'!P$3,'Wells Fargo'!$B:$B,"&gt;"&amp;'Cash Flow'!O$3)</f>
        <v>0</v>
      </c>
      <c r="Q11" s="111">
        <f>SUMIFS('Wells Fargo'!$F:$F,'Wells Fargo'!$G:$G,'Cash Flow'!$A11,'Wells Fargo'!$A:$A,Q$1,'Wells Fargo'!$B:$B,"&lt;="&amp;'Cash Flow'!Q$3)</f>
        <v>0</v>
      </c>
      <c r="R11" s="77">
        <f>SUMIFS('Wells Fargo'!$F:$F,'Wells Fargo'!$G:$G,'Cash Flow'!$A11,'Wells Fargo'!$A:$A,R$1,'Wells Fargo'!$B:$B,"&lt;="&amp;'Cash Flow'!R$3,'Wells Fargo'!$B:$B,"&gt;"&amp;'Cash Flow'!Q$3)</f>
        <v>0</v>
      </c>
      <c r="S11" s="77">
        <f>SUMIFS('Wells Fargo'!$F:$F,'Wells Fargo'!$G:$G,'Cash Flow'!$A11,'Wells Fargo'!$A:$A,S$1,'Wells Fargo'!$B:$B,"&lt;="&amp;'Cash Flow'!S$3,'Wells Fargo'!$B:$B,"&gt;"&amp;'Cash Flow'!R$3)</f>
        <v>0</v>
      </c>
      <c r="T11" s="77">
        <f>SUMIFS('Wells Fargo'!$F:$F,'Wells Fargo'!$G:$G,'Cash Flow'!$A11,'Wells Fargo'!$A:$A,T$1,'Wells Fargo'!$B:$B,"&lt;="&amp;'Cash Flow'!T$3,'Wells Fargo'!$B:$B,"&gt;"&amp;'Cash Flow'!S$3)</f>
        <v>0</v>
      </c>
      <c r="U11" s="77">
        <f>SUMIFS('Wells Fargo'!$F:$F,'Wells Fargo'!$G:$G,'Cash Flow'!$A11,'Wells Fargo'!$A:$A,U$1,'Wells Fargo'!$B:$B,"&lt;="&amp;'Cash Flow'!U$3,'Wells Fargo'!$B:$B,"&gt;"&amp;'Cash Flow'!T$3)</f>
        <v>0</v>
      </c>
      <c r="V11" s="111">
        <f>SUMIFS('Wells Fargo'!$F:$F,'Wells Fargo'!$G:$G,'Cash Flow'!$A11,'Wells Fargo'!$A:$A,V$1,'Wells Fargo'!$B:$B,"&lt;="&amp;'Cash Flow'!V$3)</f>
        <v>0</v>
      </c>
      <c r="W11" s="77">
        <f>SUMIFS('Wells Fargo'!$F:$F,'Wells Fargo'!$G:$G,'Cash Flow'!$A11,'Wells Fargo'!$A:$A,W$1,'Wells Fargo'!$B:$B,"&lt;="&amp;'Cash Flow'!W$3,'Wells Fargo'!$B:$B,"&gt;"&amp;'Cash Flow'!V$3)</f>
        <v>0</v>
      </c>
      <c r="X11" s="77">
        <f>SUMIFS('Wells Fargo'!$F:$F,'Wells Fargo'!$G:$G,'Cash Flow'!$A11,'Wells Fargo'!$A:$A,X$1,'Wells Fargo'!$B:$B,"&lt;="&amp;'Cash Flow'!X$3,'Wells Fargo'!$B:$B,"&gt;"&amp;'Cash Flow'!W$3)</f>
        <v>0</v>
      </c>
      <c r="Y11" s="77">
        <f>SUMIFS('Wells Fargo'!$F:$F,'Wells Fargo'!$G:$G,'Cash Flow'!$A11,'Wells Fargo'!$A:$A,Y$1,'Wells Fargo'!$B:$B,"&lt;="&amp;'Cash Flow'!Y$3,'Wells Fargo'!$B:$B,"&gt;"&amp;'Cash Flow'!X$3)</f>
        <v>0</v>
      </c>
      <c r="Z11" s="77">
        <f>SUMIFS('Wells Fargo'!$F:$F,'Wells Fargo'!$G:$G,'Cash Flow'!$A11,'Wells Fargo'!$A:$A,Z$1,'Wells Fargo'!$B:$B,"&lt;="&amp;'Cash Flow'!Z$3,'Wells Fargo'!$B:$B,"&gt;"&amp;'Cash Flow'!Y$3)</f>
        <v>0</v>
      </c>
      <c r="AA11" s="111">
        <f>SUMIFS('Wells Fargo'!$F:$F,'Wells Fargo'!$G:$G,'Cash Flow'!$A11,'Wells Fargo'!$A:$A,AA$1,'Wells Fargo'!$B:$B,"&lt;="&amp;'Cash Flow'!AA$3)</f>
        <v>0</v>
      </c>
      <c r="AB11" s="77">
        <f>SUMIFS('Wells Fargo'!$F:$F,'Wells Fargo'!$G:$G,'Cash Flow'!$A11,'Wells Fargo'!$A:$A,AB$1,'Wells Fargo'!$B:$B,"&lt;="&amp;'Cash Flow'!AB$3,'Wells Fargo'!$B:$B,"&gt;"&amp;'Cash Flow'!AA$3)</f>
        <v>0</v>
      </c>
      <c r="AC11" s="77">
        <f>SUMIFS('Wells Fargo'!$F:$F,'Wells Fargo'!$G:$G,'Cash Flow'!$A11,'Wells Fargo'!$A:$A,AC$1,'Wells Fargo'!$B:$B,"&lt;="&amp;'Cash Flow'!AC$3,'Wells Fargo'!$B:$B,"&gt;"&amp;'Cash Flow'!AB$3)</f>
        <v>0</v>
      </c>
      <c r="AD11" s="77">
        <f>SUMIFS('Wells Fargo'!$F:$F,'Wells Fargo'!$G:$G,'Cash Flow'!$A11,'Wells Fargo'!$A:$A,AD$1,'Wells Fargo'!$B:$B,"&lt;="&amp;'Cash Flow'!AD$3,'Wells Fargo'!$B:$B,"&gt;"&amp;'Cash Flow'!AC$3)</f>
        <v>0</v>
      </c>
      <c r="AE11" s="77">
        <f>SUMIFS('Wells Fargo'!$F:$F,'Wells Fargo'!$G:$G,'Cash Flow'!$A11,'Wells Fargo'!$A:$A,AE$1,'Wells Fargo'!$B:$B,"&lt;="&amp;'Cash Flow'!AE$3,'Wells Fargo'!$B:$B,"&gt;"&amp;'Cash Flow'!AD$3)</f>
        <v>0</v>
      </c>
      <c r="AF11" s="111">
        <f>SUMIFS('Wells Fargo'!$F:$F,'Wells Fargo'!$G:$G,'Cash Flow'!$A11,'Wells Fargo'!$A:$A,AF$1,'Wells Fargo'!$B:$B,"&lt;="&amp;'Cash Flow'!AF$3)</f>
        <v>0</v>
      </c>
      <c r="AG11" s="77">
        <f>SUMIFS('Wells Fargo'!$F:$F,'Wells Fargo'!$G:$G,'Cash Flow'!$A11,'Wells Fargo'!$A:$A,AG$1,'Wells Fargo'!$B:$B,"&lt;="&amp;'Cash Flow'!AG$3,'Wells Fargo'!$B:$B,"&gt;"&amp;'Cash Flow'!AF$3)</f>
        <v>0</v>
      </c>
      <c r="AH11" s="77">
        <f>SUMIFS('Wells Fargo'!$F:$F,'Wells Fargo'!$G:$G,'Cash Flow'!$A11,'Wells Fargo'!$A:$A,AH$1,'Wells Fargo'!$B:$B,"&lt;="&amp;'Cash Flow'!AH$3,'Wells Fargo'!$B:$B,"&gt;"&amp;'Cash Flow'!AG$3)</f>
        <v>0</v>
      </c>
      <c r="AI11" s="77">
        <f>SUMIFS('Wells Fargo'!$F:$F,'Wells Fargo'!$G:$G,'Cash Flow'!$A11,'Wells Fargo'!$A:$A,AI$1,'Wells Fargo'!$B:$B,"&lt;="&amp;'Cash Flow'!AI$3,'Wells Fargo'!$B:$B,"&gt;"&amp;'Cash Flow'!AH$3)</f>
        <v>0</v>
      </c>
      <c r="AJ11" s="77">
        <f>SUMIFS('Wells Fargo'!$F:$F,'Wells Fargo'!$G:$G,'Cash Flow'!$A11,'Wells Fargo'!$A:$A,AJ$1,'Wells Fargo'!$B:$B,"&lt;="&amp;'Cash Flow'!AJ$3,'Wells Fargo'!$B:$B,"&gt;"&amp;'Cash Flow'!AI$3)</f>
        <v>0</v>
      </c>
      <c r="AK11" s="111">
        <f>SUMIFS('Wells Fargo'!$F:$F,'Wells Fargo'!$G:$G,'Cash Flow'!$A11,'Wells Fargo'!$A:$A,AK$1,'Wells Fargo'!$B:$B,"&lt;="&amp;'Cash Flow'!AK$3)</f>
        <v>0</v>
      </c>
      <c r="AL11" s="77">
        <f>SUMIFS('Wells Fargo'!$F:$F,'Wells Fargo'!$G:$G,'Cash Flow'!$A11,'Wells Fargo'!$A:$A,AL$1,'Wells Fargo'!$B:$B,"&lt;="&amp;'Cash Flow'!AL$3,'Wells Fargo'!$B:$B,"&gt;"&amp;'Cash Flow'!AK$3)</f>
        <v>0</v>
      </c>
      <c r="AM11" s="77">
        <f>SUMIFS('Wells Fargo'!$F:$F,'Wells Fargo'!$G:$G,'Cash Flow'!$A11,'Wells Fargo'!$A:$A,AM$1,'Wells Fargo'!$B:$B,"&lt;="&amp;'Cash Flow'!AM$3,'Wells Fargo'!$B:$B,"&gt;"&amp;'Cash Flow'!AL$3)</f>
        <v>0</v>
      </c>
      <c r="AN11" s="77">
        <f>SUMIFS('Wells Fargo'!$F:$F,'Wells Fargo'!$G:$G,'Cash Flow'!$A11,'Wells Fargo'!$A:$A,AN$1,'Wells Fargo'!$B:$B,"&lt;="&amp;'Cash Flow'!AN$3,'Wells Fargo'!$B:$B,"&gt;"&amp;'Cash Flow'!AM$3)</f>
        <v>0</v>
      </c>
      <c r="AO11" s="77">
        <f>SUMIFS('Wells Fargo'!$F:$F,'Wells Fargo'!$G:$G,'Cash Flow'!$A11,'Wells Fargo'!$A:$A,AO$1,'Wells Fargo'!$B:$B,"&lt;="&amp;'Cash Flow'!AO$3,'Wells Fargo'!$B:$B,"&gt;"&amp;'Cash Flow'!AN$3)</f>
        <v>0</v>
      </c>
      <c r="AP11" s="111">
        <f>SUMIFS('Wells Fargo'!$F:$F,'Wells Fargo'!$G:$G,'Cash Flow'!$A11,'Wells Fargo'!$A:$A,AP$1,'Wells Fargo'!$B:$B,"&lt;="&amp;'Cash Flow'!AP$3)</f>
        <v>0</v>
      </c>
      <c r="AQ11" s="77">
        <f>SUMIFS('Wells Fargo'!$F:$F,'Wells Fargo'!$G:$G,'Cash Flow'!$A11,'Wells Fargo'!$A:$A,AQ$1,'Wells Fargo'!$B:$B,"&lt;="&amp;'Cash Flow'!AQ$3,'Wells Fargo'!$B:$B,"&gt;"&amp;'Cash Flow'!AP$3)</f>
        <v>0</v>
      </c>
      <c r="AR11" s="77">
        <f>SUMIFS('Wells Fargo'!$F:$F,'Wells Fargo'!$G:$G,'Cash Flow'!$A11,'Wells Fargo'!$A:$A,AR$1,'Wells Fargo'!$B:$B,"&lt;="&amp;'Cash Flow'!AR$3,'Wells Fargo'!$B:$B,"&gt;"&amp;'Cash Flow'!AQ$3)</f>
        <v>0</v>
      </c>
      <c r="AS11" s="77">
        <f>SUMIFS('Wells Fargo'!$F:$F,'Wells Fargo'!$G:$G,'Cash Flow'!$A11,'Wells Fargo'!$A:$A,AS$1,'Wells Fargo'!$B:$B,"&lt;="&amp;'Cash Flow'!AS$3,'Wells Fargo'!$B:$B,"&gt;"&amp;'Cash Flow'!AR$3)</f>
        <v>0</v>
      </c>
      <c r="AT11" s="77">
        <f>SUMIFS('Wells Fargo'!$F:$F,'Wells Fargo'!$G:$G,'Cash Flow'!$A11,'Wells Fargo'!$A:$A,AT$1,'Wells Fargo'!$B:$B,"&lt;="&amp;'Cash Flow'!AT$3,'Wells Fargo'!$B:$B,"&gt;"&amp;'Cash Flow'!AS$3)</f>
        <v>0</v>
      </c>
      <c r="AU11" s="111">
        <f>SUMIFS('Wells Fargo'!$F:$F,'Wells Fargo'!$G:$G,'Cash Flow'!$A11,'Wells Fargo'!$A:$A,AU$1,'Wells Fargo'!$B:$B,"&lt;="&amp;'Cash Flow'!AU$3)</f>
        <v>0</v>
      </c>
      <c r="AV11" s="77">
        <f>SUMIFS('Wells Fargo'!$F:$F,'Wells Fargo'!$G:$G,'Cash Flow'!$A11,'Wells Fargo'!$A:$A,AV$1,'Wells Fargo'!$B:$B,"&lt;="&amp;'Cash Flow'!AV$3,'Wells Fargo'!$B:$B,"&gt;"&amp;'Cash Flow'!AU$3)</f>
        <v>0</v>
      </c>
      <c r="AW11" s="77">
        <f>SUMIFS('Wells Fargo'!$F:$F,'Wells Fargo'!$G:$G,'Cash Flow'!$A11,'Wells Fargo'!$A:$A,AW$1,'Wells Fargo'!$B:$B,"&lt;="&amp;'Cash Flow'!AW$3,'Wells Fargo'!$B:$B,"&gt;"&amp;'Cash Flow'!AV$3)</f>
        <v>0</v>
      </c>
      <c r="AX11" s="77">
        <f>SUMIFS('Wells Fargo'!$F:$F,'Wells Fargo'!$G:$G,'Cash Flow'!$A11,'Wells Fargo'!$A:$A,AX$1,'Wells Fargo'!$B:$B,"&lt;="&amp;'Cash Flow'!AX$3,'Wells Fargo'!$B:$B,"&gt;"&amp;'Cash Flow'!AW$3)</f>
        <v>0</v>
      </c>
      <c r="AY11" s="77">
        <f>SUMIFS('Wells Fargo'!$F:$F,'Wells Fargo'!$G:$G,'Cash Flow'!$A11,'Wells Fargo'!$A:$A,AY$1,'Wells Fargo'!$B:$B,"&lt;="&amp;'Cash Flow'!AY$3,'Wells Fargo'!$B:$B,"&gt;"&amp;'Cash Flow'!AX$3)</f>
        <v>0</v>
      </c>
      <c r="AZ11" s="111">
        <f>SUMIFS('Wells Fargo'!$F:$F,'Wells Fargo'!$G:$G,'Cash Flow'!$A11,'Wells Fargo'!$A:$A,AZ$1,'Wells Fargo'!$B:$B,"&lt;="&amp;'Cash Flow'!AZ$3)</f>
        <v>0</v>
      </c>
      <c r="BA11" s="77">
        <f>SUMIFS('Wells Fargo'!$F:$F,'Wells Fargo'!$G:$G,'Cash Flow'!$A11,'Wells Fargo'!$A:$A,BA$1,'Wells Fargo'!$B:$B,"&lt;="&amp;'Cash Flow'!BA$3,'Wells Fargo'!$B:$B,"&gt;"&amp;'Cash Flow'!AZ$3)</f>
        <v>0</v>
      </c>
      <c r="BB11" s="77">
        <f>SUMIFS('Wells Fargo'!$F:$F,'Wells Fargo'!$G:$G,'Cash Flow'!$A11,'Wells Fargo'!$A:$A,BB$1,'Wells Fargo'!$B:$B,"&lt;="&amp;'Cash Flow'!BB$3,'Wells Fargo'!$B:$B,"&gt;"&amp;'Cash Flow'!BA$3)</f>
        <v>0</v>
      </c>
      <c r="BC11" s="77">
        <f>SUMIFS('Wells Fargo'!$F:$F,'Wells Fargo'!$G:$G,'Cash Flow'!$A11,'Wells Fargo'!$A:$A,BC$1,'Wells Fargo'!$B:$B,"&lt;="&amp;'Cash Flow'!BC$3,'Wells Fargo'!$B:$B,"&gt;"&amp;'Cash Flow'!BB$3)</f>
        <v>0</v>
      </c>
      <c r="BD11" s="77">
        <f>SUMIFS('Wells Fargo'!$F:$F,'Wells Fargo'!$G:$G,'Cash Flow'!$A11,'Wells Fargo'!$A:$A,BD$1,'Wells Fargo'!$B:$B,"&lt;="&amp;'Cash Flow'!BD$3,'Wells Fargo'!$B:$B,"&gt;"&amp;'Cash Flow'!BC$3)</f>
        <v>0</v>
      </c>
      <c r="BE11" s="111">
        <f>SUMIFS('Wells Fargo'!$F:$F,'Wells Fargo'!$G:$G,'Cash Flow'!$A11,'Wells Fargo'!$A:$A,BE$1,'Wells Fargo'!$B:$B,"&lt;="&amp;'Cash Flow'!BE$3)</f>
        <v>0</v>
      </c>
      <c r="BF11" s="77">
        <f>SUMIFS('Wells Fargo'!$F:$F,'Wells Fargo'!$G:$G,'Cash Flow'!$A11,'Wells Fargo'!$A:$A,BF$1,'Wells Fargo'!$B:$B,"&lt;="&amp;'Cash Flow'!BF$3,'Wells Fargo'!$B:$B,"&gt;"&amp;'Cash Flow'!BE$3)</f>
        <v>0</v>
      </c>
      <c r="BG11" s="77">
        <f>SUMIFS('Wells Fargo'!$F:$F,'Wells Fargo'!$G:$G,'Cash Flow'!$A11,'Wells Fargo'!$A:$A,BG$1,'Wells Fargo'!$B:$B,"&lt;="&amp;'Cash Flow'!BG$3,'Wells Fargo'!$B:$B,"&gt;"&amp;'Cash Flow'!BF$3)</f>
        <v>0</v>
      </c>
      <c r="BH11" s="77">
        <f>SUMIFS('Wells Fargo'!$F:$F,'Wells Fargo'!$G:$G,'Cash Flow'!$A11,'Wells Fargo'!$A:$A,BH$1,'Wells Fargo'!$B:$B,"&lt;="&amp;'Cash Flow'!BH$3,'Wells Fargo'!$B:$B,"&gt;"&amp;'Cash Flow'!BG$3)</f>
        <v>0</v>
      </c>
      <c r="BI11" s="77">
        <f>SUMIFS('Wells Fargo'!$F:$F,'Wells Fargo'!$G:$G,'Cash Flow'!$A11,'Wells Fargo'!$A:$A,BI$1,'Wells Fargo'!$B:$B,"&lt;="&amp;'Cash Flow'!BI$3,'Wells Fargo'!$B:$B,"&gt;"&amp;'Cash Flow'!BH$3)</f>
        <v>0</v>
      </c>
    </row>
    <row r="12" spans="1:61" ht="14.5" x14ac:dyDescent="0.5">
      <c r="A12" t="str">
        <v>Danny</v>
      </c>
      <c r="B12" s="90">
        <f t="shared" si="0"/>
        <v>-20</v>
      </c>
      <c r="C12" s="111">
        <f>SUMIFS('Wells Fargo'!$F:$F,'Wells Fargo'!$G:$G,'Cash Flow'!$A12,'Wells Fargo'!$A:$A,C$1,'Wells Fargo'!$B:$B,"&lt;="&amp;'Cash Flow'!C$3)</f>
        <v>0</v>
      </c>
      <c r="D12" s="77">
        <f>SUMIFS('Wells Fargo'!$F:$F,'Wells Fargo'!$G:$G,'Cash Flow'!$A12,'Wells Fargo'!$A:$A,D$1,'Wells Fargo'!$B:$B,"&lt;="&amp;'Cash Flow'!D$3,'Wells Fargo'!$B:$B,"&gt;"&amp;'Cash Flow'!C$3)</f>
        <v>0</v>
      </c>
      <c r="E12" s="77">
        <f>SUMIFS('Wells Fargo'!$F:$F,'Wells Fargo'!$G:$G,'Cash Flow'!$A12,'Wells Fargo'!$A:$A,E$1,'Wells Fargo'!$B:$B,"&lt;="&amp;'Cash Flow'!E$3,'Wells Fargo'!$B:$B,"&gt;"&amp;'Cash Flow'!D$3)</f>
        <v>0</v>
      </c>
      <c r="F12" s="77">
        <f>SUMIFS('Wells Fargo'!$F:$F,'Wells Fargo'!$G:$G,'Cash Flow'!$A12,'Wells Fargo'!$A:$A,F$1,'Wells Fargo'!$B:$B,"&lt;="&amp;'Cash Flow'!F$3,'Wells Fargo'!$B:$B,"&gt;"&amp;'Cash Flow'!E$3)</f>
        <v>0</v>
      </c>
      <c r="G12" s="77">
        <f>SUMIFS('Wells Fargo'!$F:$F,'Wells Fargo'!$G:$G,'Cash Flow'!$A12,'Wells Fargo'!$A:$A,G$1,'Wells Fargo'!$B:$B,"&lt;="&amp;'Cash Flow'!G$3,'Wells Fargo'!$B:$B,"&gt;"&amp;'Cash Flow'!F$3)</f>
        <v>0</v>
      </c>
      <c r="H12" s="111">
        <f>SUMIFS('Wells Fargo'!$F:$F,'Wells Fargo'!$G:$G,'Cash Flow'!$A12,'Wells Fargo'!$A:$A,H$1,'Wells Fargo'!$B:$B,"&lt;="&amp;'Cash Flow'!H$3)</f>
        <v>0</v>
      </c>
      <c r="I12" s="77">
        <f>SUMIFS('Wells Fargo'!$F:$F,'Wells Fargo'!$G:$G,'Cash Flow'!$A12,'Wells Fargo'!$A:$A,I$1,'Wells Fargo'!$B:$B,"&lt;="&amp;'Cash Flow'!I$3,'Wells Fargo'!$B:$B,"&gt;"&amp;'Cash Flow'!H$3)</f>
        <v>0</v>
      </c>
      <c r="J12" s="77">
        <f>SUMIFS('Wells Fargo'!$F:$F,'Wells Fargo'!$G:$G,'Cash Flow'!$A12,'Wells Fargo'!$A:$A,J$1,'Wells Fargo'!$B:$B,"&lt;="&amp;'Cash Flow'!J$3,'Wells Fargo'!$B:$B,"&gt;"&amp;'Cash Flow'!I$3)</f>
        <v>0</v>
      </c>
      <c r="K12" s="77">
        <f>SUMIFS('Wells Fargo'!$F:$F,'Wells Fargo'!$G:$G,'Cash Flow'!$A12,'Wells Fargo'!$A:$A,K$1,'Wells Fargo'!$B:$B,"&lt;="&amp;'Cash Flow'!K$3,'Wells Fargo'!$B:$B,"&gt;"&amp;'Cash Flow'!J$3)</f>
        <v>0</v>
      </c>
      <c r="L12" s="111">
        <f>SUMIFS('Wells Fargo'!$F:$F,'Wells Fargo'!$G:$G,'Cash Flow'!$A12,'Wells Fargo'!$A:$A,L$1,'Wells Fargo'!$B:$B,"&lt;="&amp;'Cash Flow'!L$3)</f>
        <v>0</v>
      </c>
      <c r="M12" s="77">
        <f>SUMIFS('Wells Fargo'!$F:$F,'Wells Fargo'!$G:$G,'Cash Flow'!$A12,'Wells Fargo'!$A:$A,M$1,'Wells Fargo'!$B:$B,"&lt;="&amp;'Cash Flow'!M$3,'Wells Fargo'!$B:$B,"&gt;"&amp;'Cash Flow'!L$3)</f>
        <v>0</v>
      </c>
      <c r="N12" s="77">
        <f>SUMIFS('Wells Fargo'!$F:$F,'Wells Fargo'!$G:$G,'Cash Flow'!$A12,'Wells Fargo'!$A:$A,N$1,'Wells Fargo'!$B:$B,"&lt;="&amp;'Cash Flow'!N$3,'Wells Fargo'!$B:$B,"&gt;"&amp;'Cash Flow'!M$3)</f>
        <v>0</v>
      </c>
      <c r="O12" s="77">
        <f>SUMIFS('Wells Fargo'!$F:$F,'Wells Fargo'!$G:$G,'Cash Flow'!$A12,'Wells Fargo'!$A:$A,O$1,'Wells Fargo'!$B:$B,"&lt;="&amp;'Cash Flow'!O$3,'Wells Fargo'!$B:$B,"&gt;"&amp;'Cash Flow'!N$3)</f>
        <v>0</v>
      </c>
      <c r="P12" s="77">
        <f>SUMIFS('Wells Fargo'!$F:$F,'Wells Fargo'!$G:$G,'Cash Flow'!$A12,'Wells Fargo'!$A:$A,P$1,'Wells Fargo'!$B:$B,"&lt;="&amp;'Cash Flow'!P$3,'Wells Fargo'!$B:$B,"&gt;"&amp;'Cash Flow'!O$3)</f>
        <v>-20</v>
      </c>
      <c r="Q12" s="111">
        <f>SUMIFS('Wells Fargo'!$F:$F,'Wells Fargo'!$G:$G,'Cash Flow'!$A12,'Wells Fargo'!$A:$A,Q$1,'Wells Fargo'!$B:$B,"&lt;="&amp;'Cash Flow'!Q$3)</f>
        <v>0</v>
      </c>
      <c r="R12" s="77">
        <f>SUMIFS('Wells Fargo'!$F:$F,'Wells Fargo'!$G:$G,'Cash Flow'!$A12,'Wells Fargo'!$A:$A,R$1,'Wells Fargo'!$B:$B,"&lt;="&amp;'Cash Flow'!R$3,'Wells Fargo'!$B:$B,"&gt;"&amp;'Cash Flow'!Q$3)</f>
        <v>0</v>
      </c>
      <c r="S12" s="77">
        <f>SUMIFS('Wells Fargo'!$F:$F,'Wells Fargo'!$G:$G,'Cash Flow'!$A12,'Wells Fargo'!$A:$A,S$1,'Wells Fargo'!$B:$B,"&lt;="&amp;'Cash Flow'!S$3,'Wells Fargo'!$B:$B,"&gt;"&amp;'Cash Flow'!R$3)</f>
        <v>0</v>
      </c>
      <c r="T12" s="77">
        <f>SUMIFS('Wells Fargo'!$F:$F,'Wells Fargo'!$G:$G,'Cash Flow'!$A12,'Wells Fargo'!$A:$A,T$1,'Wells Fargo'!$B:$B,"&lt;="&amp;'Cash Flow'!T$3,'Wells Fargo'!$B:$B,"&gt;"&amp;'Cash Flow'!S$3)</f>
        <v>0</v>
      </c>
      <c r="U12" s="77">
        <f>SUMIFS('Wells Fargo'!$F:$F,'Wells Fargo'!$G:$G,'Cash Flow'!$A12,'Wells Fargo'!$A:$A,U$1,'Wells Fargo'!$B:$B,"&lt;="&amp;'Cash Flow'!U$3,'Wells Fargo'!$B:$B,"&gt;"&amp;'Cash Flow'!T$3)</f>
        <v>0</v>
      </c>
      <c r="V12" s="111">
        <f>SUMIFS('Wells Fargo'!$F:$F,'Wells Fargo'!$G:$G,'Cash Flow'!$A12,'Wells Fargo'!$A:$A,V$1,'Wells Fargo'!$B:$B,"&lt;="&amp;'Cash Flow'!V$3)</f>
        <v>0</v>
      </c>
      <c r="W12" s="77">
        <f>SUMIFS('Wells Fargo'!$F:$F,'Wells Fargo'!$G:$G,'Cash Flow'!$A12,'Wells Fargo'!$A:$A,W$1,'Wells Fargo'!$B:$B,"&lt;="&amp;'Cash Flow'!W$3,'Wells Fargo'!$B:$B,"&gt;"&amp;'Cash Flow'!V$3)</f>
        <v>0</v>
      </c>
      <c r="X12" s="77">
        <f>SUMIFS('Wells Fargo'!$F:$F,'Wells Fargo'!$G:$G,'Cash Flow'!$A12,'Wells Fargo'!$A:$A,X$1,'Wells Fargo'!$B:$B,"&lt;="&amp;'Cash Flow'!X$3,'Wells Fargo'!$B:$B,"&gt;"&amp;'Cash Flow'!W$3)</f>
        <v>0</v>
      </c>
      <c r="Y12" s="77">
        <f>SUMIFS('Wells Fargo'!$F:$F,'Wells Fargo'!$G:$G,'Cash Flow'!$A12,'Wells Fargo'!$A:$A,Y$1,'Wells Fargo'!$B:$B,"&lt;="&amp;'Cash Flow'!Y$3,'Wells Fargo'!$B:$B,"&gt;"&amp;'Cash Flow'!X$3)</f>
        <v>0</v>
      </c>
      <c r="Z12" s="77">
        <f>SUMIFS('Wells Fargo'!$F:$F,'Wells Fargo'!$G:$G,'Cash Flow'!$A12,'Wells Fargo'!$A:$A,Z$1,'Wells Fargo'!$B:$B,"&lt;="&amp;'Cash Flow'!Z$3,'Wells Fargo'!$B:$B,"&gt;"&amp;'Cash Flow'!Y$3)</f>
        <v>0</v>
      </c>
      <c r="AA12" s="111">
        <f>SUMIFS('Wells Fargo'!$F:$F,'Wells Fargo'!$G:$G,'Cash Flow'!$A12,'Wells Fargo'!$A:$A,AA$1,'Wells Fargo'!$B:$B,"&lt;="&amp;'Cash Flow'!AA$3)</f>
        <v>0</v>
      </c>
      <c r="AB12" s="77">
        <f>SUMIFS('Wells Fargo'!$F:$F,'Wells Fargo'!$G:$G,'Cash Flow'!$A12,'Wells Fargo'!$A:$A,AB$1,'Wells Fargo'!$B:$B,"&lt;="&amp;'Cash Flow'!AB$3,'Wells Fargo'!$B:$B,"&gt;"&amp;'Cash Flow'!AA$3)</f>
        <v>0</v>
      </c>
      <c r="AC12" s="77">
        <f>SUMIFS('Wells Fargo'!$F:$F,'Wells Fargo'!$G:$G,'Cash Flow'!$A12,'Wells Fargo'!$A:$A,AC$1,'Wells Fargo'!$B:$B,"&lt;="&amp;'Cash Flow'!AC$3,'Wells Fargo'!$B:$B,"&gt;"&amp;'Cash Flow'!AB$3)</f>
        <v>0</v>
      </c>
      <c r="AD12" s="77">
        <f>SUMIFS('Wells Fargo'!$F:$F,'Wells Fargo'!$G:$G,'Cash Flow'!$A12,'Wells Fargo'!$A:$A,AD$1,'Wells Fargo'!$B:$B,"&lt;="&amp;'Cash Flow'!AD$3,'Wells Fargo'!$B:$B,"&gt;"&amp;'Cash Flow'!AC$3)</f>
        <v>0</v>
      </c>
      <c r="AE12" s="77">
        <f>SUMIFS('Wells Fargo'!$F:$F,'Wells Fargo'!$G:$G,'Cash Flow'!$A12,'Wells Fargo'!$A:$A,AE$1,'Wells Fargo'!$B:$B,"&lt;="&amp;'Cash Flow'!AE$3,'Wells Fargo'!$B:$B,"&gt;"&amp;'Cash Flow'!AD$3)</f>
        <v>0</v>
      </c>
      <c r="AF12" s="111">
        <f>SUMIFS('Wells Fargo'!$F:$F,'Wells Fargo'!$G:$G,'Cash Flow'!$A12,'Wells Fargo'!$A:$A,AF$1,'Wells Fargo'!$B:$B,"&lt;="&amp;'Cash Flow'!AF$3)</f>
        <v>0</v>
      </c>
      <c r="AG12" s="77">
        <f>SUMIFS('Wells Fargo'!$F:$F,'Wells Fargo'!$G:$G,'Cash Flow'!$A12,'Wells Fargo'!$A:$A,AG$1,'Wells Fargo'!$B:$B,"&lt;="&amp;'Cash Flow'!AG$3,'Wells Fargo'!$B:$B,"&gt;"&amp;'Cash Flow'!AF$3)</f>
        <v>0</v>
      </c>
      <c r="AH12" s="77">
        <f>SUMIFS('Wells Fargo'!$F:$F,'Wells Fargo'!$G:$G,'Cash Flow'!$A12,'Wells Fargo'!$A:$A,AH$1,'Wells Fargo'!$B:$B,"&lt;="&amp;'Cash Flow'!AH$3,'Wells Fargo'!$B:$B,"&gt;"&amp;'Cash Flow'!AG$3)</f>
        <v>0</v>
      </c>
      <c r="AI12" s="77">
        <f>SUMIFS('Wells Fargo'!$F:$F,'Wells Fargo'!$G:$G,'Cash Flow'!$A12,'Wells Fargo'!$A:$A,AI$1,'Wells Fargo'!$B:$B,"&lt;="&amp;'Cash Flow'!AI$3,'Wells Fargo'!$B:$B,"&gt;"&amp;'Cash Flow'!AH$3)</f>
        <v>0</v>
      </c>
      <c r="AJ12" s="77">
        <f>SUMIFS('Wells Fargo'!$F:$F,'Wells Fargo'!$G:$G,'Cash Flow'!$A12,'Wells Fargo'!$A:$A,AJ$1,'Wells Fargo'!$B:$B,"&lt;="&amp;'Cash Flow'!AJ$3,'Wells Fargo'!$B:$B,"&gt;"&amp;'Cash Flow'!AI$3)</f>
        <v>0</v>
      </c>
      <c r="AK12" s="111">
        <f>SUMIFS('Wells Fargo'!$F:$F,'Wells Fargo'!$G:$G,'Cash Flow'!$A12,'Wells Fargo'!$A:$A,AK$1,'Wells Fargo'!$B:$B,"&lt;="&amp;'Cash Flow'!AK$3)</f>
        <v>0</v>
      </c>
      <c r="AL12" s="77">
        <f>SUMIFS('Wells Fargo'!$F:$F,'Wells Fargo'!$G:$G,'Cash Flow'!$A12,'Wells Fargo'!$A:$A,AL$1,'Wells Fargo'!$B:$B,"&lt;="&amp;'Cash Flow'!AL$3,'Wells Fargo'!$B:$B,"&gt;"&amp;'Cash Flow'!AK$3)</f>
        <v>0</v>
      </c>
      <c r="AM12" s="77">
        <f>SUMIFS('Wells Fargo'!$F:$F,'Wells Fargo'!$G:$G,'Cash Flow'!$A12,'Wells Fargo'!$A:$A,AM$1,'Wells Fargo'!$B:$B,"&lt;="&amp;'Cash Flow'!AM$3,'Wells Fargo'!$B:$B,"&gt;"&amp;'Cash Flow'!AL$3)</f>
        <v>0</v>
      </c>
      <c r="AN12" s="77">
        <f>SUMIFS('Wells Fargo'!$F:$F,'Wells Fargo'!$G:$G,'Cash Flow'!$A12,'Wells Fargo'!$A:$A,AN$1,'Wells Fargo'!$B:$B,"&lt;="&amp;'Cash Flow'!AN$3,'Wells Fargo'!$B:$B,"&gt;"&amp;'Cash Flow'!AM$3)</f>
        <v>0</v>
      </c>
      <c r="AO12" s="77">
        <f>SUMIFS('Wells Fargo'!$F:$F,'Wells Fargo'!$G:$G,'Cash Flow'!$A12,'Wells Fargo'!$A:$A,AO$1,'Wells Fargo'!$B:$B,"&lt;="&amp;'Cash Flow'!AO$3,'Wells Fargo'!$B:$B,"&gt;"&amp;'Cash Flow'!AN$3)</f>
        <v>0</v>
      </c>
      <c r="AP12" s="111">
        <f>SUMIFS('Wells Fargo'!$F:$F,'Wells Fargo'!$G:$G,'Cash Flow'!$A12,'Wells Fargo'!$A:$A,AP$1,'Wells Fargo'!$B:$B,"&lt;="&amp;'Cash Flow'!AP$3)</f>
        <v>0</v>
      </c>
      <c r="AQ12" s="77">
        <f>SUMIFS('Wells Fargo'!$F:$F,'Wells Fargo'!$G:$G,'Cash Flow'!$A12,'Wells Fargo'!$A:$A,AQ$1,'Wells Fargo'!$B:$B,"&lt;="&amp;'Cash Flow'!AQ$3,'Wells Fargo'!$B:$B,"&gt;"&amp;'Cash Flow'!AP$3)</f>
        <v>0</v>
      </c>
      <c r="AR12" s="77">
        <f>SUMIFS('Wells Fargo'!$F:$F,'Wells Fargo'!$G:$G,'Cash Flow'!$A12,'Wells Fargo'!$A:$A,AR$1,'Wells Fargo'!$B:$B,"&lt;="&amp;'Cash Flow'!AR$3,'Wells Fargo'!$B:$B,"&gt;"&amp;'Cash Flow'!AQ$3)</f>
        <v>0</v>
      </c>
      <c r="AS12" s="77">
        <f>SUMIFS('Wells Fargo'!$F:$F,'Wells Fargo'!$G:$G,'Cash Flow'!$A12,'Wells Fargo'!$A:$A,AS$1,'Wells Fargo'!$B:$B,"&lt;="&amp;'Cash Flow'!AS$3,'Wells Fargo'!$B:$B,"&gt;"&amp;'Cash Flow'!AR$3)</f>
        <v>0</v>
      </c>
      <c r="AT12" s="77">
        <f>SUMIFS('Wells Fargo'!$F:$F,'Wells Fargo'!$G:$G,'Cash Flow'!$A12,'Wells Fargo'!$A:$A,AT$1,'Wells Fargo'!$B:$B,"&lt;="&amp;'Cash Flow'!AT$3,'Wells Fargo'!$B:$B,"&gt;"&amp;'Cash Flow'!AS$3)</f>
        <v>0</v>
      </c>
      <c r="AU12" s="111">
        <f>SUMIFS('Wells Fargo'!$F:$F,'Wells Fargo'!$G:$G,'Cash Flow'!$A12,'Wells Fargo'!$A:$A,AU$1,'Wells Fargo'!$B:$B,"&lt;="&amp;'Cash Flow'!AU$3)</f>
        <v>0</v>
      </c>
      <c r="AV12" s="77">
        <f>SUMIFS('Wells Fargo'!$F:$F,'Wells Fargo'!$G:$G,'Cash Flow'!$A12,'Wells Fargo'!$A:$A,AV$1,'Wells Fargo'!$B:$B,"&lt;="&amp;'Cash Flow'!AV$3,'Wells Fargo'!$B:$B,"&gt;"&amp;'Cash Flow'!AU$3)</f>
        <v>0</v>
      </c>
      <c r="AW12" s="77">
        <f>SUMIFS('Wells Fargo'!$F:$F,'Wells Fargo'!$G:$G,'Cash Flow'!$A12,'Wells Fargo'!$A:$A,AW$1,'Wells Fargo'!$B:$B,"&lt;="&amp;'Cash Flow'!AW$3,'Wells Fargo'!$B:$B,"&gt;"&amp;'Cash Flow'!AV$3)</f>
        <v>0</v>
      </c>
      <c r="AX12" s="77">
        <f>SUMIFS('Wells Fargo'!$F:$F,'Wells Fargo'!$G:$G,'Cash Flow'!$A12,'Wells Fargo'!$A:$A,AX$1,'Wells Fargo'!$B:$B,"&lt;="&amp;'Cash Flow'!AX$3,'Wells Fargo'!$B:$B,"&gt;"&amp;'Cash Flow'!AW$3)</f>
        <v>0</v>
      </c>
      <c r="AY12" s="77">
        <f>SUMIFS('Wells Fargo'!$F:$F,'Wells Fargo'!$G:$G,'Cash Flow'!$A12,'Wells Fargo'!$A:$A,AY$1,'Wells Fargo'!$B:$B,"&lt;="&amp;'Cash Flow'!AY$3,'Wells Fargo'!$B:$B,"&gt;"&amp;'Cash Flow'!AX$3)</f>
        <v>0</v>
      </c>
      <c r="AZ12" s="111">
        <f>SUMIFS('Wells Fargo'!$F:$F,'Wells Fargo'!$G:$G,'Cash Flow'!$A12,'Wells Fargo'!$A:$A,AZ$1,'Wells Fargo'!$B:$B,"&lt;="&amp;'Cash Flow'!AZ$3)</f>
        <v>0</v>
      </c>
      <c r="BA12" s="77">
        <f>SUMIFS('Wells Fargo'!$F:$F,'Wells Fargo'!$G:$G,'Cash Flow'!$A12,'Wells Fargo'!$A:$A,BA$1,'Wells Fargo'!$B:$B,"&lt;="&amp;'Cash Flow'!BA$3,'Wells Fargo'!$B:$B,"&gt;"&amp;'Cash Flow'!AZ$3)</f>
        <v>0</v>
      </c>
      <c r="BB12" s="77">
        <f>SUMIFS('Wells Fargo'!$F:$F,'Wells Fargo'!$G:$G,'Cash Flow'!$A12,'Wells Fargo'!$A:$A,BB$1,'Wells Fargo'!$B:$B,"&lt;="&amp;'Cash Flow'!BB$3,'Wells Fargo'!$B:$B,"&gt;"&amp;'Cash Flow'!BA$3)</f>
        <v>0</v>
      </c>
      <c r="BC12" s="77">
        <f>SUMIFS('Wells Fargo'!$F:$F,'Wells Fargo'!$G:$G,'Cash Flow'!$A12,'Wells Fargo'!$A:$A,BC$1,'Wells Fargo'!$B:$B,"&lt;="&amp;'Cash Flow'!BC$3,'Wells Fargo'!$B:$B,"&gt;"&amp;'Cash Flow'!BB$3)</f>
        <v>0</v>
      </c>
      <c r="BD12" s="77">
        <f>SUMIFS('Wells Fargo'!$F:$F,'Wells Fargo'!$G:$G,'Cash Flow'!$A12,'Wells Fargo'!$A:$A,BD$1,'Wells Fargo'!$B:$B,"&lt;="&amp;'Cash Flow'!BD$3,'Wells Fargo'!$B:$B,"&gt;"&amp;'Cash Flow'!BC$3)</f>
        <v>0</v>
      </c>
      <c r="BE12" s="111">
        <f>SUMIFS('Wells Fargo'!$F:$F,'Wells Fargo'!$G:$G,'Cash Flow'!$A12,'Wells Fargo'!$A:$A,BE$1,'Wells Fargo'!$B:$B,"&lt;="&amp;'Cash Flow'!BE$3)</f>
        <v>0</v>
      </c>
      <c r="BF12" s="77">
        <f>SUMIFS('Wells Fargo'!$F:$F,'Wells Fargo'!$G:$G,'Cash Flow'!$A12,'Wells Fargo'!$A:$A,BF$1,'Wells Fargo'!$B:$B,"&lt;="&amp;'Cash Flow'!BF$3,'Wells Fargo'!$B:$B,"&gt;"&amp;'Cash Flow'!BE$3)</f>
        <v>0</v>
      </c>
      <c r="BG12" s="77">
        <f>SUMIFS('Wells Fargo'!$F:$F,'Wells Fargo'!$G:$G,'Cash Flow'!$A12,'Wells Fargo'!$A:$A,BG$1,'Wells Fargo'!$B:$B,"&lt;="&amp;'Cash Flow'!BG$3,'Wells Fargo'!$B:$B,"&gt;"&amp;'Cash Flow'!BF$3)</f>
        <v>0</v>
      </c>
      <c r="BH12" s="77">
        <f>SUMIFS('Wells Fargo'!$F:$F,'Wells Fargo'!$G:$G,'Cash Flow'!$A12,'Wells Fargo'!$A:$A,BH$1,'Wells Fargo'!$B:$B,"&lt;="&amp;'Cash Flow'!BH$3,'Wells Fargo'!$B:$B,"&gt;"&amp;'Cash Flow'!BG$3)</f>
        <v>0</v>
      </c>
      <c r="BI12" s="77">
        <f>SUMIFS('Wells Fargo'!$F:$F,'Wells Fargo'!$G:$G,'Cash Flow'!$A12,'Wells Fargo'!$A:$A,BI$1,'Wells Fargo'!$B:$B,"&lt;="&amp;'Cash Flow'!BI$3,'Wells Fargo'!$B:$B,"&gt;"&amp;'Cash Flow'!BH$3)</f>
        <v>0</v>
      </c>
    </row>
    <row r="13" spans="1:61" ht="14.5" x14ac:dyDescent="0.5">
      <c r="A13" t="str">
        <v>Divita</v>
      </c>
      <c r="B13" s="90">
        <f t="shared" si="0"/>
        <v>-50</v>
      </c>
      <c r="C13" s="111">
        <f>SUMIFS('Wells Fargo'!$F:$F,'Wells Fargo'!$G:$G,'Cash Flow'!$A13,'Wells Fargo'!$A:$A,C$1,'Wells Fargo'!$B:$B,"&lt;="&amp;'Cash Flow'!C$3)</f>
        <v>0</v>
      </c>
      <c r="D13" s="77">
        <f>SUMIFS('Wells Fargo'!$F:$F,'Wells Fargo'!$G:$G,'Cash Flow'!$A13,'Wells Fargo'!$A:$A,D$1,'Wells Fargo'!$B:$B,"&lt;="&amp;'Cash Flow'!D$3,'Wells Fargo'!$B:$B,"&gt;"&amp;'Cash Flow'!C$3)</f>
        <v>0</v>
      </c>
      <c r="E13" s="77">
        <f>SUMIFS('Wells Fargo'!$F:$F,'Wells Fargo'!$G:$G,'Cash Flow'!$A13,'Wells Fargo'!$A:$A,E$1,'Wells Fargo'!$B:$B,"&lt;="&amp;'Cash Flow'!E$3,'Wells Fargo'!$B:$B,"&gt;"&amp;'Cash Flow'!D$3)</f>
        <v>0</v>
      </c>
      <c r="F13" s="77">
        <f>SUMIFS('Wells Fargo'!$F:$F,'Wells Fargo'!$G:$G,'Cash Flow'!$A13,'Wells Fargo'!$A:$A,F$1,'Wells Fargo'!$B:$B,"&lt;="&amp;'Cash Flow'!F$3,'Wells Fargo'!$B:$B,"&gt;"&amp;'Cash Flow'!E$3)</f>
        <v>0</v>
      </c>
      <c r="G13" s="77">
        <f>SUMIFS('Wells Fargo'!$F:$F,'Wells Fargo'!$G:$G,'Cash Flow'!$A13,'Wells Fargo'!$A:$A,G$1,'Wells Fargo'!$B:$B,"&lt;="&amp;'Cash Flow'!G$3,'Wells Fargo'!$B:$B,"&gt;"&amp;'Cash Flow'!F$3)</f>
        <v>0</v>
      </c>
      <c r="H13" s="111">
        <f>SUMIFS('Wells Fargo'!$F:$F,'Wells Fargo'!$G:$G,'Cash Flow'!$A13,'Wells Fargo'!$A:$A,H$1,'Wells Fargo'!$B:$B,"&lt;="&amp;'Cash Flow'!H$3)</f>
        <v>0</v>
      </c>
      <c r="I13" s="77">
        <f>SUMIFS('Wells Fargo'!$F:$F,'Wells Fargo'!$G:$G,'Cash Flow'!$A13,'Wells Fargo'!$A:$A,I$1,'Wells Fargo'!$B:$B,"&lt;="&amp;'Cash Flow'!I$3,'Wells Fargo'!$B:$B,"&gt;"&amp;'Cash Flow'!H$3)</f>
        <v>0</v>
      </c>
      <c r="J13" s="77">
        <f>SUMIFS('Wells Fargo'!$F:$F,'Wells Fargo'!$G:$G,'Cash Flow'!$A13,'Wells Fargo'!$A:$A,J$1,'Wells Fargo'!$B:$B,"&lt;="&amp;'Cash Flow'!J$3,'Wells Fargo'!$B:$B,"&gt;"&amp;'Cash Flow'!I$3)</f>
        <v>0</v>
      </c>
      <c r="K13" s="77">
        <f>SUMIFS('Wells Fargo'!$F:$F,'Wells Fargo'!$G:$G,'Cash Flow'!$A13,'Wells Fargo'!$A:$A,K$1,'Wells Fargo'!$B:$B,"&lt;="&amp;'Cash Flow'!K$3,'Wells Fargo'!$B:$B,"&gt;"&amp;'Cash Flow'!J$3)</f>
        <v>0</v>
      </c>
      <c r="L13" s="111">
        <f>SUMIFS('Wells Fargo'!$F:$F,'Wells Fargo'!$G:$G,'Cash Flow'!$A13,'Wells Fargo'!$A:$A,L$1,'Wells Fargo'!$B:$B,"&lt;="&amp;'Cash Flow'!L$3)</f>
        <v>0</v>
      </c>
      <c r="M13" s="77">
        <f>SUMIFS('Wells Fargo'!$F:$F,'Wells Fargo'!$G:$G,'Cash Flow'!$A13,'Wells Fargo'!$A:$A,M$1,'Wells Fargo'!$B:$B,"&lt;="&amp;'Cash Flow'!M$3,'Wells Fargo'!$B:$B,"&gt;"&amp;'Cash Flow'!L$3)</f>
        <v>0</v>
      </c>
      <c r="N13" s="77">
        <f>SUMIFS('Wells Fargo'!$F:$F,'Wells Fargo'!$G:$G,'Cash Flow'!$A13,'Wells Fargo'!$A:$A,N$1,'Wells Fargo'!$B:$B,"&lt;="&amp;'Cash Flow'!N$3,'Wells Fargo'!$B:$B,"&gt;"&amp;'Cash Flow'!M$3)</f>
        <v>0</v>
      </c>
      <c r="O13" s="77">
        <f>SUMIFS('Wells Fargo'!$F:$F,'Wells Fargo'!$G:$G,'Cash Flow'!$A13,'Wells Fargo'!$A:$A,O$1,'Wells Fargo'!$B:$B,"&lt;="&amp;'Cash Flow'!O$3,'Wells Fargo'!$B:$B,"&gt;"&amp;'Cash Flow'!N$3)</f>
        <v>0</v>
      </c>
      <c r="P13" s="77">
        <f>SUMIFS('Wells Fargo'!$F:$F,'Wells Fargo'!$G:$G,'Cash Flow'!$A13,'Wells Fargo'!$A:$A,P$1,'Wells Fargo'!$B:$B,"&lt;="&amp;'Cash Flow'!P$3,'Wells Fargo'!$B:$B,"&gt;"&amp;'Cash Flow'!O$3)</f>
        <v>0</v>
      </c>
      <c r="Q13" s="111">
        <f>SUMIFS('Wells Fargo'!$F:$F,'Wells Fargo'!$G:$G,'Cash Flow'!$A13,'Wells Fargo'!$A:$A,Q$1,'Wells Fargo'!$B:$B,"&lt;="&amp;'Cash Flow'!Q$3)</f>
        <v>0</v>
      </c>
      <c r="R13" s="77">
        <f>SUMIFS('Wells Fargo'!$F:$F,'Wells Fargo'!$G:$G,'Cash Flow'!$A13,'Wells Fargo'!$A:$A,R$1,'Wells Fargo'!$B:$B,"&lt;="&amp;'Cash Flow'!R$3,'Wells Fargo'!$B:$B,"&gt;"&amp;'Cash Flow'!Q$3)</f>
        <v>0</v>
      </c>
      <c r="S13" s="77">
        <f>SUMIFS('Wells Fargo'!$F:$F,'Wells Fargo'!$G:$G,'Cash Flow'!$A13,'Wells Fargo'!$A:$A,S$1,'Wells Fargo'!$B:$B,"&lt;="&amp;'Cash Flow'!S$3,'Wells Fargo'!$B:$B,"&gt;"&amp;'Cash Flow'!R$3)</f>
        <v>0</v>
      </c>
      <c r="T13" s="77">
        <f>SUMIFS('Wells Fargo'!$F:$F,'Wells Fargo'!$G:$G,'Cash Flow'!$A13,'Wells Fargo'!$A:$A,T$1,'Wells Fargo'!$B:$B,"&lt;="&amp;'Cash Flow'!T$3,'Wells Fargo'!$B:$B,"&gt;"&amp;'Cash Flow'!S$3)</f>
        <v>0</v>
      </c>
      <c r="U13" s="77">
        <f>SUMIFS('Wells Fargo'!$F:$F,'Wells Fargo'!$G:$G,'Cash Flow'!$A13,'Wells Fargo'!$A:$A,U$1,'Wells Fargo'!$B:$B,"&lt;="&amp;'Cash Flow'!U$3,'Wells Fargo'!$B:$B,"&gt;"&amp;'Cash Flow'!T$3)</f>
        <v>0</v>
      </c>
      <c r="V13" s="111">
        <f>SUMIFS('Wells Fargo'!$F:$F,'Wells Fargo'!$G:$G,'Cash Flow'!$A13,'Wells Fargo'!$A:$A,V$1,'Wells Fargo'!$B:$B,"&lt;="&amp;'Cash Flow'!V$3)</f>
        <v>-50</v>
      </c>
      <c r="W13" s="77">
        <f>SUMIFS('Wells Fargo'!$F:$F,'Wells Fargo'!$G:$G,'Cash Flow'!$A13,'Wells Fargo'!$A:$A,W$1,'Wells Fargo'!$B:$B,"&lt;="&amp;'Cash Flow'!W$3,'Wells Fargo'!$B:$B,"&gt;"&amp;'Cash Flow'!V$3)</f>
        <v>0</v>
      </c>
      <c r="X13" s="77">
        <f>SUMIFS('Wells Fargo'!$F:$F,'Wells Fargo'!$G:$G,'Cash Flow'!$A13,'Wells Fargo'!$A:$A,X$1,'Wells Fargo'!$B:$B,"&lt;="&amp;'Cash Flow'!X$3,'Wells Fargo'!$B:$B,"&gt;"&amp;'Cash Flow'!W$3)</f>
        <v>0</v>
      </c>
      <c r="Y13" s="77">
        <f>SUMIFS('Wells Fargo'!$F:$F,'Wells Fargo'!$G:$G,'Cash Flow'!$A13,'Wells Fargo'!$A:$A,Y$1,'Wells Fargo'!$B:$B,"&lt;="&amp;'Cash Flow'!Y$3,'Wells Fargo'!$B:$B,"&gt;"&amp;'Cash Flow'!X$3)</f>
        <v>0</v>
      </c>
      <c r="Z13" s="77">
        <f>SUMIFS('Wells Fargo'!$F:$F,'Wells Fargo'!$G:$G,'Cash Flow'!$A13,'Wells Fargo'!$A:$A,Z$1,'Wells Fargo'!$B:$B,"&lt;="&amp;'Cash Flow'!Z$3,'Wells Fargo'!$B:$B,"&gt;"&amp;'Cash Flow'!Y$3)</f>
        <v>0</v>
      </c>
      <c r="AA13" s="111">
        <f>SUMIFS('Wells Fargo'!$F:$F,'Wells Fargo'!$G:$G,'Cash Flow'!$A13,'Wells Fargo'!$A:$A,AA$1,'Wells Fargo'!$B:$B,"&lt;="&amp;'Cash Flow'!AA$3)</f>
        <v>0</v>
      </c>
      <c r="AB13" s="77">
        <f>SUMIFS('Wells Fargo'!$F:$F,'Wells Fargo'!$G:$G,'Cash Flow'!$A13,'Wells Fargo'!$A:$A,AB$1,'Wells Fargo'!$B:$B,"&lt;="&amp;'Cash Flow'!AB$3,'Wells Fargo'!$B:$B,"&gt;"&amp;'Cash Flow'!AA$3)</f>
        <v>0</v>
      </c>
      <c r="AC13" s="77">
        <f>SUMIFS('Wells Fargo'!$F:$F,'Wells Fargo'!$G:$G,'Cash Flow'!$A13,'Wells Fargo'!$A:$A,AC$1,'Wells Fargo'!$B:$B,"&lt;="&amp;'Cash Flow'!AC$3,'Wells Fargo'!$B:$B,"&gt;"&amp;'Cash Flow'!AB$3)</f>
        <v>0</v>
      </c>
      <c r="AD13" s="77">
        <f>SUMIFS('Wells Fargo'!$F:$F,'Wells Fargo'!$G:$G,'Cash Flow'!$A13,'Wells Fargo'!$A:$A,AD$1,'Wells Fargo'!$B:$B,"&lt;="&amp;'Cash Flow'!AD$3,'Wells Fargo'!$B:$B,"&gt;"&amp;'Cash Flow'!AC$3)</f>
        <v>0</v>
      </c>
      <c r="AE13" s="77">
        <f>SUMIFS('Wells Fargo'!$F:$F,'Wells Fargo'!$G:$G,'Cash Flow'!$A13,'Wells Fargo'!$A:$A,AE$1,'Wells Fargo'!$B:$B,"&lt;="&amp;'Cash Flow'!AE$3,'Wells Fargo'!$B:$B,"&gt;"&amp;'Cash Flow'!AD$3)</f>
        <v>0</v>
      </c>
      <c r="AF13" s="111">
        <f>SUMIFS('Wells Fargo'!$F:$F,'Wells Fargo'!$G:$G,'Cash Flow'!$A13,'Wells Fargo'!$A:$A,AF$1,'Wells Fargo'!$B:$B,"&lt;="&amp;'Cash Flow'!AF$3)</f>
        <v>0</v>
      </c>
      <c r="AG13" s="77">
        <f>SUMIFS('Wells Fargo'!$F:$F,'Wells Fargo'!$G:$G,'Cash Flow'!$A13,'Wells Fargo'!$A:$A,AG$1,'Wells Fargo'!$B:$B,"&lt;="&amp;'Cash Flow'!AG$3,'Wells Fargo'!$B:$B,"&gt;"&amp;'Cash Flow'!AF$3)</f>
        <v>0</v>
      </c>
      <c r="AH13" s="77">
        <f>SUMIFS('Wells Fargo'!$F:$F,'Wells Fargo'!$G:$G,'Cash Flow'!$A13,'Wells Fargo'!$A:$A,AH$1,'Wells Fargo'!$B:$B,"&lt;="&amp;'Cash Flow'!AH$3,'Wells Fargo'!$B:$B,"&gt;"&amp;'Cash Flow'!AG$3)</f>
        <v>0</v>
      </c>
      <c r="AI13" s="77">
        <f>SUMIFS('Wells Fargo'!$F:$F,'Wells Fargo'!$G:$G,'Cash Flow'!$A13,'Wells Fargo'!$A:$A,AI$1,'Wells Fargo'!$B:$B,"&lt;="&amp;'Cash Flow'!AI$3,'Wells Fargo'!$B:$B,"&gt;"&amp;'Cash Flow'!AH$3)</f>
        <v>0</v>
      </c>
      <c r="AJ13" s="77">
        <f>SUMIFS('Wells Fargo'!$F:$F,'Wells Fargo'!$G:$G,'Cash Flow'!$A13,'Wells Fargo'!$A:$A,AJ$1,'Wells Fargo'!$B:$B,"&lt;="&amp;'Cash Flow'!AJ$3,'Wells Fargo'!$B:$B,"&gt;"&amp;'Cash Flow'!AI$3)</f>
        <v>0</v>
      </c>
      <c r="AK13" s="111">
        <f>SUMIFS('Wells Fargo'!$F:$F,'Wells Fargo'!$G:$G,'Cash Flow'!$A13,'Wells Fargo'!$A:$A,AK$1,'Wells Fargo'!$B:$B,"&lt;="&amp;'Cash Flow'!AK$3)</f>
        <v>0</v>
      </c>
      <c r="AL13" s="77">
        <f>SUMIFS('Wells Fargo'!$F:$F,'Wells Fargo'!$G:$G,'Cash Flow'!$A13,'Wells Fargo'!$A:$A,AL$1,'Wells Fargo'!$B:$B,"&lt;="&amp;'Cash Flow'!AL$3,'Wells Fargo'!$B:$B,"&gt;"&amp;'Cash Flow'!AK$3)</f>
        <v>0</v>
      </c>
      <c r="AM13" s="77">
        <f>SUMIFS('Wells Fargo'!$F:$F,'Wells Fargo'!$G:$G,'Cash Flow'!$A13,'Wells Fargo'!$A:$A,AM$1,'Wells Fargo'!$B:$B,"&lt;="&amp;'Cash Flow'!AM$3,'Wells Fargo'!$B:$B,"&gt;"&amp;'Cash Flow'!AL$3)</f>
        <v>0</v>
      </c>
      <c r="AN13" s="77">
        <f>SUMIFS('Wells Fargo'!$F:$F,'Wells Fargo'!$G:$G,'Cash Flow'!$A13,'Wells Fargo'!$A:$A,AN$1,'Wells Fargo'!$B:$B,"&lt;="&amp;'Cash Flow'!AN$3,'Wells Fargo'!$B:$B,"&gt;"&amp;'Cash Flow'!AM$3)</f>
        <v>0</v>
      </c>
      <c r="AO13" s="77">
        <f>SUMIFS('Wells Fargo'!$F:$F,'Wells Fargo'!$G:$G,'Cash Flow'!$A13,'Wells Fargo'!$A:$A,AO$1,'Wells Fargo'!$B:$B,"&lt;="&amp;'Cash Flow'!AO$3,'Wells Fargo'!$B:$B,"&gt;"&amp;'Cash Flow'!AN$3)</f>
        <v>0</v>
      </c>
      <c r="AP13" s="111">
        <f>SUMIFS('Wells Fargo'!$F:$F,'Wells Fargo'!$G:$G,'Cash Flow'!$A13,'Wells Fargo'!$A:$A,AP$1,'Wells Fargo'!$B:$B,"&lt;="&amp;'Cash Flow'!AP$3)</f>
        <v>0</v>
      </c>
      <c r="AQ13" s="77">
        <f>SUMIFS('Wells Fargo'!$F:$F,'Wells Fargo'!$G:$G,'Cash Flow'!$A13,'Wells Fargo'!$A:$A,AQ$1,'Wells Fargo'!$B:$B,"&lt;="&amp;'Cash Flow'!AQ$3,'Wells Fargo'!$B:$B,"&gt;"&amp;'Cash Flow'!AP$3)</f>
        <v>0</v>
      </c>
      <c r="AR13" s="77">
        <f>SUMIFS('Wells Fargo'!$F:$F,'Wells Fargo'!$G:$G,'Cash Flow'!$A13,'Wells Fargo'!$A:$A,AR$1,'Wells Fargo'!$B:$B,"&lt;="&amp;'Cash Flow'!AR$3,'Wells Fargo'!$B:$B,"&gt;"&amp;'Cash Flow'!AQ$3)</f>
        <v>0</v>
      </c>
      <c r="AS13" s="77">
        <f>SUMIFS('Wells Fargo'!$F:$F,'Wells Fargo'!$G:$G,'Cash Flow'!$A13,'Wells Fargo'!$A:$A,AS$1,'Wells Fargo'!$B:$B,"&lt;="&amp;'Cash Flow'!AS$3,'Wells Fargo'!$B:$B,"&gt;"&amp;'Cash Flow'!AR$3)</f>
        <v>0</v>
      </c>
      <c r="AT13" s="77">
        <f>SUMIFS('Wells Fargo'!$F:$F,'Wells Fargo'!$G:$G,'Cash Flow'!$A13,'Wells Fargo'!$A:$A,AT$1,'Wells Fargo'!$B:$B,"&lt;="&amp;'Cash Flow'!AT$3,'Wells Fargo'!$B:$B,"&gt;"&amp;'Cash Flow'!AS$3)</f>
        <v>0</v>
      </c>
      <c r="AU13" s="111">
        <f>SUMIFS('Wells Fargo'!$F:$F,'Wells Fargo'!$G:$G,'Cash Flow'!$A13,'Wells Fargo'!$A:$A,AU$1,'Wells Fargo'!$B:$B,"&lt;="&amp;'Cash Flow'!AU$3)</f>
        <v>0</v>
      </c>
      <c r="AV13" s="77">
        <f>SUMIFS('Wells Fargo'!$F:$F,'Wells Fargo'!$G:$G,'Cash Flow'!$A13,'Wells Fargo'!$A:$A,AV$1,'Wells Fargo'!$B:$B,"&lt;="&amp;'Cash Flow'!AV$3,'Wells Fargo'!$B:$B,"&gt;"&amp;'Cash Flow'!AU$3)</f>
        <v>0</v>
      </c>
      <c r="AW13" s="77">
        <f>SUMIFS('Wells Fargo'!$F:$F,'Wells Fargo'!$G:$G,'Cash Flow'!$A13,'Wells Fargo'!$A:$A,AW$1,'Wells Fargo'!$B:$B,"&lt;="&amp;'Cash Flow'!AW$3,'Wells Fargo'!$B:$B,"&gt;"&amp;'Cash Flow'!AV$3)</f>
        <v>0</v>
      </c>
      <c r="AX13" s="77">
        <f>SUMIFS('Wells Fargo'!$F:$F,'Wells Fargo'!$G:$G,'Cash Flow'!$A13,'Wells Fargo'!$A:$A,AX$1,'Wells Fargo'!$B:$B,"&lt;="&amp;'Cash Flow'!AX$3,'Wells Fargo'!$B:$B,"&gt;"&amp;'Cash Flow'!AW$3)</f>
        <v>0</v>
      </c>
      <c r="AY13" s="77">
        <f>SUMIFS('Wells Fargo'!$F:$F,'Wells Fargo'!$G:$G,'Cash Flow'!$A13,'Wells Fargo'!$A:$A,AY$1,'Wells Fargo'!$B:$B,"&lt;="&amp;'Cash Flow'!AY$3,'Wells Fargo'!$B:$B,"&gt;"&amp;'Cash Flow'!AX$3)</f>
        <v>0</v>
      </c>
      <c r="AZ13" s="111">
        <f>SUMIFS('Wells Fargo'!$F:$F,'Wells Fargo'!$G:$G,'Cash Flow'!$A13,'Wells Fargo'!$A:$A,AZ$1,'Wells Fargo'!$B:$B,"&lt;="&amp;'Cash Flow'!AZ$3)</f>
        <v>0</v>
      </c>
      <c r="BA13" s="77">
        <f>SUMIFS('Wells Fargo'!$F:$F,'Wells Fargo'!$G:$G,'Cash Flow'!$A13,'Wells Fargo'!$A:$A,BA$1,'Wells Fargo'!$B:$B,"&lt;="&amp;'Cash Flow'!BA$3,'Wells Fargo'!$B:$B,"&gt;"&amp;'Cash Flow'!AZ$3)</f>
        <v>0</v>
      </c>
      <c r="BB13" s="77">
        <f>SUMIFS('Wells Fargo'!$F:$F,'Wells Fargo'!$G:$G,'Cash Flow'!$A13,'Wells Fargo'!$A:$A,BB$1,'Wells Fargo'!$B:$B,"&lt;="&amp;'Cash Flow'!BB$3,'Wells Fargo'!$B:$B,"&gt;"&amp;'Cash Flow'!BA$3)</f>
        <v>0</v>
      </c>
      <c r="BC13" s="77">
        <f>SUMIFS('Wells Fargo'!$F:$F,'Wells Fargo'!$G:$G,'Cash Flow'!$A13,'Wells Fargo'!$A:$A,BC$1,'Wells Fargo'!$B:$B,"&lt;="&amp;'Cash Flow'!BC$3,'Wells Fargo'!$B:$B,"&gt;"&amp;'Cash Flow'!BB$3)</f>
        <v>0</v>
      </c>
      <c r="BD13" s="77">
        <f>SUMIFS('Wells Fargo'!$F:$F,'Wells Fargo'!$G:$G,'Cash Flow'!$A13,'Wells Fargo'!$A:$A,BD$1,'Wells Fargo'!$B:$B,"&lt;="&amp;'Cash Flow'!BD$3,'Wells Fargo'!$B:$B,"&gt;"&amp;'Cash Flow'!BC$3)</f>
        <v>0</v>
      </c>
      <c r="BE13" s="111">
        <f>SUMIFS('Wells Fargo'!$F:$F,'Wells Fargo'!$G:$G,'Cash Flow'!$A13,'Wells Fargo'!$A:$A,BE$1,'Wells Fargo'!$B:$B,"&lt;="&amp;'Cash Flow'!BE$3)</f>
        <v>0</v>
      </c>
      <c r="BF13" s="77">
        <f>SUMIFS('Wells Fargo'!$F:$F,'Wells Fargo'!$G:$G,'Cash Flow'!$A13,'Wells Fargo'!$A:$A,BF$1,'Wells Fargo'!$B:$B,"&lt;="&amp;'Cash Flow'!BF$3,'Wells Fargo'!$B:$B,"&gt;"&amp;'Cash Flow'!BE$3)</f>
        <v>0</v>
      </c>
      <c r="BG13" s="77">
        <f>SUMIFS('Wells Fargo'!$F:$F,'Wells Fargo'!$G:$G,'Cash Flow'!$A13,'Wells Fargo'!$A:$A,BG$1,'Wells Fargo'!$B:$B,"&lt;="&amp;'Cash Flow'!BG$3,'Wells Fargo'!$B:$B,"&gt;"&amp;'Cash Flow'!BF$3)</f>
        <v>0</v>
      </c>
      <c r="BH13" s="77">
        <f>SUMIFS('Wells Fargo'!$F:$F,'Wells Fargo'!$G:$G,'Cash Flow'!$A13,'Wells Fargo'!$A:$A,BH$1,'Wells Fargo'!$B:$B,"&lt;="&amp;'Cash Flow'!BH$3,'Wells Fargo'!$B:$B,"&gt;"&amp;'Cash Flow'!BG$3)</f>
        <v>0</v>
      </c>
      <c r="BI13" s="77">
        <f>SUMIFS('Wells Fargo'!$F:$F,'Wells Fargo'!$G:$G,'Cash Flow'!$A13,'Wells Fargo'!$A:$A,BI$1,'Wells Fargo'!$B:$B,"&lt;="&amp;'Cash Flow'!BI$3,'Wells Fargo'!$B:$B,"&gt;"&amp;'Cash Flow'!BH$3)</f>
        <v>0</v>
      </c>
    </row>
    <row r="14" spans="1:61" ht="14.5" x14ac:dyDescent="0.5">
      <c r="A14" t="str">
        <v>Don</v>
      </c>
      <c r="B14" s="90">
        <f t="shared" si="0"/>
        <v>-227.5</v>
      </c>
      <c r="C14" s="111">
        <f>SUMIFS('Wells Fargo'!$F:$F,'Wells Fargo'!$G:$G,'Cash Flow'!$A14,'Wells Fargo'!$A:$A,C$1,'Wells Fargo'!$B:$B,"&lt;="&amp;'Cash Flow'!C$3)</f>
        <v>0</v>
      </c>
      <c r="D14" s="77">
        <f>SUMIFS('Wells Fargo'!$F:$F,'Wells Fargo'!$G:$G,'Cash Flow'!$A14,'Wells Fargo'!$A:$A,D$1,'Wells Fargo'!$B:$B,"&lt;="&amp;'Cash Flow'!D$3,'Wells Fargo'!$B:$B,"&gt;"&amp;'Cash Flow'!C$3)</f>
        <v>0</v>
      </c>
      <c r="E14" s="77">
        <f>SUMIFS('Wells Fargo'!$F:$F,'Wells Fargo'!$G:$G,'Cash Flow'!$A14,'Wells Fargo'!$A:$A,E$1,'Wells Fargo'!$B:$B,"&lt;="&amp;'Cash Flow'!E$3,'Wells Fargo'!$B:$B,"&gt;"&amp;'Cash Flow'!D$3)</f>
        <v>0</v>
      </c>
      <c r="F14" s="77">
        <f>SUMIFS('Wells Fargo'!$F:$F,'Wells Fargo'!$G:$G,'Cash Flow'!$A14,'Wells Fargo'!$A:$A,F$1,'Wells Fargo'!$B:$B,"&lt;="&amp;'Cash Flow'!F$3,'Wells Fargo'!$B:$B,"&gt;"&amp;'Cash Flow'!E$3)</f>
        <v>0</v>
      </c>
      <c r="G14" s="77">
        <f>SUMIFS('Wells Fargo'!$F:$F,'Wells Fargo'!$G:$G,'Cash Flow'!$A14,'Wells Fargo'!$A:$A,G$1,'Wells Fargo'!$B:$B,"&lt;="&amp;'Cash Flow'!G$3,'Wells Fargo'!$B:$B,"&gt;"&amp;'Cash Flow'!F$3)</f>
        <v>0</v>
      </c>
      <c r="H14" s="111">
        <f>SUMIFS('Wells Fargo'!$F:$F,'Wells Fargo'!$G:$G,'Cash Flow'!$A14,'Wells Fargo'!$A:$A,H$1,'Wells Fargo'!$B:$B,"&lt;="&amp;'Cash Flow'!H$3)</f>
        <v>-600</v>
      </c>
      <c r="I14" s="77">
        <f>SUMIFS('Wells Fargo'!$F:$F,'Wells Fargo'!$G:$G,'Cash Flow'!$A14,'Wells Fargo'!$A:$A,I$1,'Wells Fargo'!$B:$B,"&lt;="&amp;'Cash Flow'!I$3,'Wells Fargo'!$B:$B,"&gt;"&amp;'Cash Flow'!H$3)</f>
        <v>0</v>
      </c>
      <c r="J14" s="77">
        <f>SUMIFS('Wells Fargo'!$F:$F,'Wells Fargo'!$G:$G,'Cash Flow'!$A14,'Wells Fargo'!$A:$A,J$1,'Wells Fargo'!$B:$B,"&lt;="&amp;'Cash Flow'!J$3,'Wells Fargo'!$B:$B,"&gt;"&amp;'Cash Flow'!I$3)</f>
        <v>492.5</v>
      </c>
      <c r="K14" s="77">
        <f>SUMIFS('Wells Fargo'!$F:$F,'Wells Fargo'!$G:$G,'Cash Flow'!$A14,'Wells Fargo'!$A:$A,K$1,'Wells Fargo'!$B:$B,"&lt;="&amp;'Cash Flow'!K$3,'Wells Fargo'!$B:$B,"&gt;"&amp;'Cash Flow'!J$3)</f>
        <v>0</v>
      </c>
      <c r="L14" s="111">
        <f>SUMIFS('Wells Fargo'!$F:$F,'Wells Fargo'!$G:$G,'Cash Flow'!$A14,'Wells Fargo'!$A:$A,L$1,'Wells Fargo'!$B:$B,"&lt;="&amp;'Cash Flow'!L$3)</f>
        <v>0</v>
      </c>
      <c r="M14" s="77">
        <f>SUMIFS('Wells Fargo'!$F:$F,'Wells Fargo'!$G:$G,'Cash Flow'!$A14,'Wells Fargo'!$A:$A,M$1,'Wells Fargo'!$B:$B,"&lt;="&amp;'Cash Flow'!M$3,'Wells Fargo'!$B:$B,"&gt;"&amp;'Cash Flow'!L$3)</f>
        <v>0</v>
      </c>
      <c r="N14" s="77">
        <f>SUMIFS('Wells Fargo'!$F:$F,'Wells Fargo'!$G:$G,'Cash Flow'!$A14,'Wells Fargo'!$A:$A,N$1,'Wells Fargo'!$B:$B,"&lt;="&amp;'Cash Flow'!N$3,'Wells Fargo'!$B:$B,"&gt;"&amp;'Cash Flow'!M$3)</f>
        <v>0</v>
      </c>
      <c r="O14" s="77">
        <f>SUMIFS('Wells Fargo'!$F:$F,'Wells Fargo'!$G:$G,'Cash Flow'!$A14,'Wells Fargo'!$A:$A,O$1,'Wells Fargo'!$B:$B,"&lt;="&amp;'Cash Flow'!O$3,'Wells Fargo'!$B:$B,"&gt;"&amp;'Cash Flow'!N$3)</f>
        <v>0</v>
      </c>
      <c r="P14" s="77">
        <f>SUMIFS('Wells Fargo'!$F:$F,'Wells Fargo'!$G:$G,'Cash Flow'!$A14,'Wells Fargo'!$A:$A,P$1,'Wells Fargo'!$B:$B,"&lt;="&amp;'Cash Flow'!P$3,'Wells Fargo'!$B:$B,"&gt;"&amp;'Cash Flow'!O$3)</f>
        <v>0</v>
      </c>
      <c r="Q14" s="111">
        <f>SUMIFS('Wells Fargo'!$F:$F,'Wells Fargo'!$G:$G,'Cash Flow'!$A14,'Wells Fargo'!$A:$A,Q$1,'Wells Fargo'!$B:$B,"&lt;="&amp;'Cash Flow'!Q$3)</f>
        <v>0</v>
      </c>
      <c r="R14" s="77">
        <f>SUMIFS('Wells Fargo'!$F:$F,'Wells Fargo'!$G:$G,'Cash Flow'!$A14,'Wells Fargo'!$A:$A,R$1,'Wells Fargo'!$B:$B,"&lt;="&amp;'Cash Flow'!R$3,'Wells Fargo'!$B:$B,"&gt;"&amp;'Cash Flow'!Q$3)</f>
        <v>0</v>
      </c>
      <c r="S14" s="77">
        <f>SUMIFS('Wells Fargo'!$F:$F,'Wells Fargo'!$G:$G,'Cash Flow'!$A14,'Wells Fargo'!$A:$A,S$1,'Wells Fargo'!$B:$B,"&lt;="&amp;'Cash Flow'!S$3,'Wells Fargo'!$B:$B,"&gt;"&amp;'Cash Flow'!R$3)</f>
        <v>0</v>
      </c>
      <c r="T14" s="77">
        <f>SUMIFS('Wells Fargo'!$F:$F,'Wells Fargo'!$G:$G,'Cash Flow'!$A14,'Wells Fargo'!$A:$A,T$1,'Wells Fargo'!$B:$B,"&lt;="&amp;'Cash Flow'!T$3,'Wells Fargo'!$B:$B,"&gt;"&amp;'Cash Flow'!S$3)</f>
        <v>0</v>
      </c>
      <c r="U14" s="77">
        <f>SUMIFS('Wells Fargo'!$F:$F,'Wells Fargo'!$G:$G,'Cash Flow'!$A14,'Wells Fargo'!$A:$A,U$1,'Wells Fargo'!$B:$B,"&lt;="&amp;'Cash Flow'!U$3,'Wells Fargo'!$B:$B,"&gt;"&amp;'Cash Flow'!T$3)</f>
        <v>0</v>
      </c>
      <c r="V14" s="111">
        <f>SUMIFS('Wells Fargo'!$F:$F,'Wells Fargo'!$G:$G,'Cash Flow'!$A14,'Wells Fargo'!$A:$A,V$1,'Wells Fargo'!$B:$B,"&lt;="&amp;'Cash Flow'!V$3)</f>
        <v>0</v>
      </c>
      <c r="W14" s="77">
        <f>SUMIFS('Wells Fargo'!$F:$F,'Wells Fargo'!$G:$G,'Cash Flow'!$A14,'Wells Fargo'!$A:$A,W$1,'Wells Fargo'!$B:$B,"&lt;="&amp;'Cash Flow'!W$3,'Wells Fargo'!$B:$B,"&gt;"&amp;'Cash Flow'!V$3)</f>
        <v>0</v>
      </c>
      <c r="X14" s="77">
        <f>SUMIFS('Wells Fargo'!$F:$F,'Wells Fargo'!$G:$G,'Cash Flow'!$A14,'Wells Fargo'!$A:$A,X$1,'Wells Fargo'!$B:$B,"&lt;="&amp;'Cash Flow'!X$3,'Wells Fargo'!$B:$B,"&gt;"&amp;'Cash Flow'!W$3)</f>
        <v>0</v>
      </c>
      <c r="Y14" s="77">
        <f>SUMIFS('Wells Fargo'!$F:$F,'Wells Fargo'!$G:$G,'Cash Flow'!$A14,'Wells Fargo'!$A:$A,Y$1,'Wells Fargo'!$B:$B,"&lt;="&amp;'Cash Flow'!Y$3,'Wells Fargo'!$B:$B,"&gt;"&amp;'Cash Flow'!X$3)</f>
        <v>-120</v>
      </c>
      <c r="Z14" s="77">
        <f>SUMIFS('Wells Fargo'!$F:$F,'Wells Fargo'!$G:$G,'Cash Flow'!$A14,'Wells Fargo'!$A:$A,Z$1,'Wells Fargo'!$B:$B,"&lt;="&amp;'Cash Flow'!Z$3,'Wells Fargo'!$B:$B,"&gt;"&amp;'Cash Flow'!Y$3)</f>
        <v>0</v>
      </c>
      <c r="AA14" s="111">
        <f>SUMIFS('Wells Fargo'!$F:$F,'Wells Fargo'!$G:$G,'Cash Flow'!$A14,'Wells Fargo'!$A:$A,AA$1,'Wells Fargo'!$B:$B,"&lt;="&amp;'Cash Flow'!AA$3)</f>
        <v>0</v>
      </c>
      <c r="AB14" s="77">
        <f>SUMIFS('Wells Fargo'!$F:$F,'Wells Fargo'!$G:$G,'Cash Flow'!$A14,'Wells Fargo'!$A:$A,AB$1,'Wells Fargo'!$B:$B,"&lt;="&amp;'Cash Flow'!AB$3,'Wells Fargo'!$B:$B,"&gt;"&amp;'Cash Flow'!AA$3)</f>
        <v>0</v>
      </c>
      <c r="AC14" s="77">
        <f>SUMIFS('Wells Fargo'!$F:$F,'Wells Fargo'!$G:$G,'Cash Flow'!$A14,'Wells Fargo'!$A:$A,AC$1,'Wells Fargo'!$B:$B,"&lt;="&amp;'Cash Flow'!AC$3,'Wells Fargo'!$B:$B,"&gt;"&amp;'Cash Flow'!AB$3)</f>
        <v>0</v>
      </c>
      <c r="AD14" s="77">
        <f>SUMIFS('Wells Fargo'!$F:$F,'Wells Fargo'!$G:$G,'Cash Flow'!$A14,'Wells Fargo'!$A:$A,AD$1,'Wells Fargo'!$B:$B,"&lt;="&amp;'Cash Flow'!AD$3,'Wells Fargo'!$B:$B,"&gt;"&amp;'Cash Flow'!AC$3)</f>
        <v>0</v>
      </c>
      <c r="AE14" s="77">
        <f>SUMIFS('Wells Fargo'!$F:$F,'Wells Fargo'!$G:$G,'Cash Flow'!$A14,'Wells Fargo'!$A:$A,AE$1,'Wells Fargo'!$B:$B,"&lt;="&amp;'Cash Flow'!AE$3,'Wells Fargo'!$B:$B,"&gt;"&amp;'Cash Flow'!AD$3)</f>
        <v>0</v>
      </c>
      <c r="AF14" s="111">
        <f>SUMIFS('Wells Fargo'!$F:$F,'Wells Fargo'!$G:$G,'Cash Flow'!$A14,'Wells Fargo'!$A:$A,AF$1,'Wells Fargo'!$B:$B,"&lt;="&amp;'Cash Flow'!AF$3)</f>
        <v>0</v>
      </c>
      <c r="AG14" s="77">
        <f>SUMIFS('Wells Fargo'!$F:$F,'Wells Fargo'!$G:$G,'Cash Flow'!$A14,'Wells Fargo'!$A:$A,AG$1,'Wells Fargo'!$B:$B,"&lt;="&amp;'Cash Flow'!AG$3,'Wells Fargo'!$B:$B,"&gt;"&amp;'Cash Flow'!AF$3)</f>
        <v>0</v>
      </c>
      <c r="AH14" s="77">
        <f>SUMIFS('Wells Fargo'!$F:$F,'Wells Fargo'!$G:$G,'Cash Flow'!$A14,'Wells Fargo'!$A:$A,AH$1,'Wells Fargo'!$B:$B,"&lt;="&amp;'Cash Flow'!AH$3,'Wells Fargo'!$B:$B,"&gt;"&amp;'Cash Flow'!AG$3)</f>
        <v>0</v>
      </c>
      <c r="AI14" s="77">
        <f>SUMIFS('Wells Fargo'!$F:$F,'Wells Fargo'!$G:$G,'Cash Flow'!$A14,'Wells Fargo'!$A:$A,AI$1,'Wells Fargo'!$B:$B,"&lt;="&amp;'Cash Flow'!AI$3,'Wells Fargo'!$B:$B,"&gt;"&amp;'Cash Flow'!AH$3)</f>
        <v>0</v>
      </c>
      <c r="AJ14" s="77">
        <f>SUMIFS('Wells Fargo'!$F:$F,'Wells Fargo'!$G:$G,'Cash Flow'!$A14,'Wells Fargo'!$A:$A,AJ$1,'Wells Fargo'!$B:$B,"&lt;="&amp;'Cash Flow'!AJ$3,'Wells Fargo'!$B:$B,"&gt;"&amp;'Cash Flow'!AI$3)</f>
        <v>0</v>
      </c>
      <c r="AK14" s="111">
        <f>SUMIFS('Wells Fargo'!$F:$F,'Wells Fargo'!$G:$G,'Cash Flow'!$A14,'Wells Fargo'!$A:$A,AK$1,'Wells Fargo'!$B:$B,"&lt;="&amp;'Cash Flow'!AK$3)</f>
        <v>0</v>
      </c>
      <c r="AL14" s="77">
        <f>SUMIFS('Wells Fargo'!$F:$F,'Wells Fargo'!$G:$G,'Cash Flow'!$A14,'Wells Fargo'!$A:$A,AL$1,'Wells Fargo'!$B:$B,"&lt;="&amp;'Cash Flow'!AL$3,'Wells Fargo'!$B:$B,"&gt;"&amp;'Cash Flow'!AK$3)</f>
        <v>0</v>
      </c>
      <c r="AM14" s="77">
        <f>SUMIFS('Wells Fargo'!$F:$F,'Wells Fargo'!$G:$G,'Cash Flow'!$A14,'Wells Fargo'!$A:$A,AM$1,'Wells Fargo'!$B:$B,"&lt;="&amp;'Cash Flow'!AM$3,'Wells Fargo'!$B:$B,"&gt;"&amp;'Cash Flow'!AL$3)</f>
        <v>0</v>
      </c>
      <c r="AN14" s="77">
        <f>SUMIFS('Wells Fargo'!$F:$F,'Wells Fargo'!$G:$G,'Cash Flow'!$A14,'Wells Fargo'!$A:$A,AN$1,'Wells Fargo'!$B:$B,"&lt;="&amp;'Cash Flow'!AN$3,'Wells Fargo'!$B:$B,"&gt;"&amp;'Cash Flow'!AM$3)</f>
        <v>0</v>
      </c>
      <c r="AO14" s="77">
        <f>SUMIFS('Wells Fargo'!$F:$F,'Wells Fargo'!$G:$G,'Cash Flow'!$A14,'Wells Fargo'!$A:$A,AO$1,'Wells Fargo'!$B:$B,"&lt;="&amp;'Cash Flow'!AO$3,'Wells Fargo'!$B:$B,"&gt;"&amp;'Cash Flow'!AN$3)</f>
        <v>0</v>
      </c>
      <c r="AP14" s="111">
        <f>SUMIFS('Wells Fargo'!$F:$F,'Wells Fargo'!$G:$G,'Cash Flow'!$A14,'Wells Fargo'!$A:$A,AP$1,'Wells Fargo'!$B:$B,"&lt;="&amp;'Cash Flow'!AP$3)</f>
        <v>0</v>
      </c>
      <c r="AQ14" s="77">
        <f>SUMIFS('Wells Fargo'!$F:$F,'Wells Fargo'!$G:$G,'Cash Flow'!$A14,'Wells Fargo'!$A:$A,AQ$1,'Wells Fargo'!$B:$B,"&lt;="&amp;'Cash Flow'!AQ$3,'Wells Fargo'!$B:$B,"&gt;"&amp;'Cash Flow'!AP$3)</f>
        <v>0</v>
      </c>
      <c r="AR14" s="77">
        <f>SUMIFS('Wells Fargo'!$F:$F,'Wells Fargo'!$G:$G,'Cash Flow'!$A14,'Wells Fargo'!$A:$A,AR$1,'Wells Fargo'!$B:$B,"&lt;="&amp;'Cash Flow'!AR$3,'Wells Fargo'!$B:$B,"&gt;"&amp;'Cash Flow'!AQ$3)</f>
        <v>0</v>
      </c>
      <c r="AS14" s="77">
        <f>SUMIFS('Wells Fargo'!$F:$F,'Wells Fargo'!$G:$G,'Cash Flow'!$A14,'Wells Fargo'!$A:$A,AS$1,'Wells Fargo'!$B:$B,"&lt;="&amp;'Cash Flow'!AS$3,'Wells Fargo'!$B:$B,"&gt;"&amp;'Cash Flow'!AR$3)</f>
        <v>0</v>
      </c>
      <c r="AT14" s="77">
        <f>SUMIFS('Wells Fargo'!$F:$F,'Wells Fargo'!$G:$G,'Cash Flow'!$A14,'Wells Fargo'!$A:$A,AT$1,'Wells Fargo'!$B:$B,"&lt;="&amp;'Cash Flow'!AT$3,'Wells Fargo'!$B:$B,"&gt;"&amp;'Cash Flow'!AS$3)</f>
        <v>0</v>
      </c>
      <c r="AU14" s="111">
        <f>SUMIFS('Wells Fargo'!$F:$F,'Wells Fargo'!$G:$G,'Cash Flow'!$A14,'Wells Fargo'!$A:$A,AU$1,'Wells Fargo'!$B:$B,"&lt;="&amp;'Cash Flow'!AU$3)</f>
        <v>0</v>
      </c>
      <c r="AV14" s="77">
        <f>SUMIFS('Wells Fargo'!$F:$F,'Wells Fargo'!$G:$G,'Cash Flow'!$A14,'Wells Fargo'!$A:$A,AV$1,'Wells Fargo'!$B:$B,"&lt;="&amp;'Cash Flow'!AV$3,'Wells Fargo'!$B:$B,"&gt;"&amp;'Cash Flow'!AU$3)</f>
        <v>0</v>
      </c>
      <c r="AW14" s="77">
        <f>SUMIFS('Wells Fargo'!$F:$F,'Wells Fargo'!$G:$G,'Cash Flow'!$A14,'Wells Fargo'!$A:$A,AW$1,'Wells Fargo'!$B:$B,"&lt;="&amp;'Cash Flow'!AW$3,'Wells Fargo'!$B:$B,"&gt;"&amp;'Cash Flow'!AV$3)</f>
        <v>0</v>
      </c>
      <c r="AX14" s="77">
        <f>SUMIFS('Wells Fargo'!$F:$F,'Wells Fargo'!$G:$G,'Cash Flow'!$A14,'Wells Fargo'!$A:$A,AX$1,'Wells Fargo'!$B:$B,"&lt;="&amp;'Cash Flow'!AX$3,'Wells Fargo'!$B:$B,"&gt;"&amp;'Cash Flow'!AW$3)</f>
        <v>0</v>
      </c>
      <c r="AY14" s="77">
        <f>SUMIFS('Wells Fargo'!$F:$F,'Wells Fargo'!$G:$G,'Cash Flow'!$A14,'Wells Fargo'!$A:$A,AY$1,'Wells Fargo'!$B:$B,"&lt;="&amp;'Cash Flow'!AY$3,'Wells Fargo'!$B:$B,"&gt;"&amp;'Cash Flow'!AX$3)</f>
        <v>0</v>
      </c>
      <c r="AZ14" s="111">
        <f>SUMIFS('Wells Fargo'!$F:$F,'Wells Fargo'!$G:$G,'Cash Flow'!$A14,'Wells Fargo'!$A:$A,AZ$1,'Wells Fargo'!$B:$B,"&lt;="&amp;'Cash Flow'!AZ$3)</f>
        <v>0</v>
      </c>
      <c r="BA14" s="77">
        <f>SUMIFS('Wells Fargo'!$F:$F,'Wells Fargo'!$G:$G,'Cash Flow'!$A14,'Wells Fargo'!$A:$A,BA$1,'Wells Fargo'!$B:$B,"&lt;="&amp;'Cash Flow'!BA$3,'Wells Fargo'!$B:$B,"&gt;"&amp;'Cash Flow'!AZ$3)</f>
        <v>0</v>
      </c>
      <c r="BB14" s="77">
        <f>SUMIFS('Wells Fargo'!$F:$F,'Wells Fargo'!$G:$G,'Cash Flow'!$A14,'Wells Fargo'!$A:$A,BB$1,'Wells Fargo'!$B:$B,"&lt;="&amp;'Cash Flow'!BB$3,'Wells Fargo'!$B:$B,"&gt;"&amp;'Cash Flow'!BA$3)</f>
        <v>0</v>
      </c>
      <c r="BC14" s="77">
        <f>SUMIFS('Wells Fargo'!$F:$F,'Wells Fargo'!$G:$G,'Cash Flow'!$A14,'Wells Fargo'!$A:$A,BC$1,'Wells Fargo'!$B:$B,"&lt;="&amp;'Cash Flow'!BC$3,'Wells Fargo'!$B:$B,"&gt;"&amp;'Cash Flow'!BB$3)</f>
        <v>0</v>
      </c>
      <c r="BD14" s="77">
        <f>SUMIFS('Wells Fargo'!$F:$F,'Wells Fargo'!$G:$G,'Cash Flow'!$A14,'Wells Fargo'!$A:$A,BD$1,'Wells Fargo'!$B:$B,"&lt;="&amp;'Cash Flow'!BD$3,'Wells Fargo'!$B:$B,"&gt;"&amp;'Cash Flow'!BC$3)</f>
        <v>0</v>
      </c>
      <c r="BE14" s="111">
        <f>SUMIFS('Wells Fargo'!$F:$F,'Wells Fargo'!$G:$G,'Cash Flow'!$A14,'Wells Fargo'!$A:$A,BE$1,'Wells Fargo'!$B:$B,"&lt;="&amp;'Cash Flow'!BE$3)</f>
        <v>0</v>
      </c>
      <c r="BF14" s="77">
        <f>SUMIFS('Wells Fargo'!$F:$F,'Wells Fargo'!$G:$G,'Cash Flow'!$A14,'Wells Fargo'!$A:$A,BF$1,'Wells Fargo'!$B:$B,"&lt;="&amp;'Cash Flow'!BF$3,'Wells Fargo'!$B:$B,"&gt;"&amp;'Cash Flow'!BE$3)</f>
        <v>0</v>
      </c>
      <c r="BG14" s="77">
        <f>SUMIFS('Wells Fargo'!$F:$F,'Wells Fargo'!$G:$G,'Cash Flow'!$A14,'Wells Fargo'!$A:$A,BG$1,'Wells Fargo'!$B:$B,"&lt;="&amp;'Cash Flow'!BG$3,'Wells Fargo'!$B:$B,"&gt;"&amp;'Cash Flow'!BF$3)</f>
        <v>0</v>
      </c>
      <c r="BH14" s="77">
        <f>SUMIFS('Wells Fargo'!$F:$F,'Wells Fargo'!$G:$G,'Cash Flow'!$A14,'Wells Fargo'!$A:$A,BH$1,'Wells Fargo'!$B:$B,"&lt;="&amp;'Cash Flow'!BH$3,'Wells Fargo'!$B:$B,"&gt;"&amp;'Cash Flow'!BG$3)</f>
        <v>0</v>
      </c>
      <c r="BI14" s="77">
        <f>SUMIFS('Wells Fargo'!$F:$F,'Wells Fargo'!$G:$G,'Cash Flow'!$A14,'Wells Fargo'!$A:$A,BI$1,'Wells Fargo'!$B:$B,"&lt;="&amp;'Cash Flow'!BI$3,'Wells Fargo'!$B:$B,"&gt;"&amp;'Cash Flow'!BH$3)</f>
        <v>0</v>
      </c>
    </row>
    <row r="15" spans="1:61" ht="14.5" x14ac:dyDescent="0.5">
      <c r="A15" t="str">
        <v>Dorry</v>
      </c>
      <c r="B15" s="90">
        <f t="shared" si="0"/>
        <v>-300</v>
      </c>
      <c r="C15" s="111">
        <f>SUMIFS('Wells Fargo'!$F:$F,'Wells Fargo'!$G:$G,'Cash Flow'!$A15,'Wells Fargo'!$A:$A,C$1,'Wells Fargo'!$B:$B,"&lt;="&amp;'Cash Flow'!C$3)</f>
        <v>0</v>
      </c>
      <c r="D15" s="77">
        <f>SUMIFS('Wells Fargo'!$F:$F,'Wells Fargo'!$G:$G,'Cash Flow'!$A15,'Wells Fargo'!$A:$A,D$1,'Wells Fargo'!$B:$B,"&lt;="&amp;'Cash Flow'!D$3,'Wells Fargo'!$B:$B,"&gt;"&amp;'Cash Flow'!C$3)</f>
        <v>0</v>
      </c>
      <c r="E15" s="77">
        <f>SUMIFS('Wells Fargo'!$F:$F,'Wells Fargo'!$G:$G,'Cash Flow'!$A15,'Wells Fargo'!$A:$A,E$1,'Wells Fargo'!$B:$B,"&lt;="&amp;'Cash Flow'!E$3,'Wells Fargo'!$B:$B,"&gt;"&amp;'Cash Flow'!D$3)</f>
        <v>0</v>
      </c>
      <c r="F15" s="77">
        <f>SUMIFS('Wells Fargo'!$F:$F,'Wells Fargo'!$G:$G,'Cash Flow'!$A15,'Wells Fargo'!$A:$A,F$1,'Wells Fargo'!$B:$B,"&lt;="&amp;'Cash Flow'!F$3,'Wells Fargo'!$B:$B,"&gt;"&amp;'Cash Flow'!E$3)</f>
        <v>0</v>
      </c>
      <c r="G15" s="77">
        <f>SUMIFS('Wells Fargo'!$F:$F,'Wells Fargo'!$G:$G,'Cash Flow'!$A15,'Wells Fargo'!$A:$A,G$1,'Wells Fargo'!$B:$B,"&lt;="&amp;'Cash Flow'!G$3,'Wells Fargo'!$B:$B,"&gt;"&amp;'Cash Flow'!F$3)</f>
        <v>0</v>
      </c>
      <c r="H15" s="111">
        <f>SUMIFS('Wells Fargo'!$F:$F,'Wells Fargo'!$G:$G,'Cash Flow'!$A15,'Wells Fargo'!$A:$A,H$1,'Wells Fargo'!$B:$B,"&lt;="&amp;'Cash Flow'!H$3)</f>
        <v>0</v>
      </c>
      <c r="I15" s="77">
        <f>SUMIFS('Wells Fargo'!$F:$F,'Wells Fargo'!$G:$G,'Cash Flow'!$A15,'Wells Fargo'!$A:$A,I$1,'Wells Fargo'!$B:$B,"&lt;="&amp;'Cash Flow'!I$3,'Wells Fargo'!$B:$B,"&gt;"&amp;'Cash Flow'!H$3)</f>
        <v>0</v>
      </c>
      <c r="J15" s="77">
        <f>SUMIFS('Wells Fargo'!$F:$F,'Wells Fargo'!$G:$G,'Cash Flow'!$A15,'Wells Fargo'!$A:$A,J$1,'Wells Fargo'!$B:$B,"&lt;="&amp;'Cash Flow'!J$3,'Wells Fargo'!$B:$B,"&gt;"&amp;'Cash Flow'!I$3)</f>
        <v>0</v>
      </c>
      <c r="K15" s="77">
        <f>SUMIFS('Wells Fargo'!$F:$F,'Wells Fargo'!$G:$G,'Cash Flow'!$A15,'Wells Fargo'!$A:$A,K$1,'Wells Fargo'!$B:$B,"&lt;="&amp;'Cash Flow'!K$3,'Wells Fargo'!$B:$B,"&gt;"&amp;'Cash Flow'!J$3)</f>
        <v>0</v>
      </c>
      <c r="L15" s="111">
        <f>SUMIFS('Wells Fargo'!$F:$F,'Wells Fargo'!$G:$G,'Cash Flow'!$A15,'Wells Fargo'!$A:$A,L$1,'Wells Fargo'!$B:$B,"&lt;="&amp;'Cash Flow'!L$3)</f>
        <v>0</v>
      </c>
      <c r="M15" s="77">
        <f>SUMIFS('Wells Fargo'!$F:$F,'Wells Fargo'!$G:$G,'Cash Flow'!$A15,'Wells Fargo'!$A:$A,M$1,'Wells Fargo'!$B:$B,"&lt;="&amp;'Cash Flow'!M$3,'Wells Fargo'!$B:$B,"&gt;"&amp;'Cash Flow'!L$3)</f>
        <v>0</v>
      </c>
      <c r="N15" s="77">
        <f>SUMIFS('Wells Fargo'!$F:$F,'Wells Fargo'!$G:$G,'Cash Flow'!$A15,'Wells Fargo'!$A:$A,N$1,'Wells Fargo'!$B:$B,"&lt;="&amp;'Cash Flow'!N$3,'Wells Fargo'!$B:$B,"&gt;"&amp;'Cash Flow'!M$3)</f>
        <v>0</v>
      </c>
      <c r="O15" s="77">
        <f>SUMIFS('Wells Fargo'!$F:$F,'Wells Fargo'!$G:$G,'Cash Flow'!$A15,'Wells Fargo'!$A:$A,O$1,'Wells Fargo'!$B:$B,"&lt;="&amp;'Cash Flow'!O$3,'Wells Fargo'!$B:$B,"&gt;"&amp;'Cash Flow'!N$3)</f>
        <v>0</v>
      </c>
      <c r="P15" s="77">
        <f>SUMIFS('Wells Fargo'!$F:$F,'Wells Fargo'!$G:$G,'Cash Flow'!$A15,'Wells Fargo'!$A:$A,P$1,'Wells Fargo'!$B:$B,"&lt;="&amp;'Cash Flow'!P$3,'Wells Fargo'!$B:$B,"&gt;"&amp;'Cash Flow'!O$3)</f>
        <v>0</v>
      </c>
      <c r="Q15" s="111">
        <f>SUMIFS('Wells Fargo'!$F:$F,'Wells Fargo'!$G:$G,'Cash Flow'!$A15,'Wells Fargo'!$A:$A,Q$1,'Wells Fargo'!$B:$B,"&lt;="&amp;'Cash Flow'!Q$3)</f>
        <v>0</v>
      </c>
      <c r="R15" s="77">
        <f>SUMIFS('Wells Fargo'!$F:$F,'Wells Fargo'!$G:$G,'Cash Flow'!$A15,'Wells Fargo'!$A:$A,R$1,'Wells Fargo'!$B:$B,"&lt;="&amp;'Cash Flow'!R$3,'Wells Fargo'!$B:$B,"&gt;"&amp;'Cash Flow'!Q$3)</f>
        <v>0</v>
      </c>
      <c r="S15" s="77">
        <f>SUMIFS('Wells Fargo'!$F:$F,'Wells Fargo'!$G:$G,'Cash Flow'!$A15,'Wells Fargo'!$A:$A,S$1,'Wells Fargo'!$B:$B,"&lt;="&amp;'Cash Flow'!S$3,'Wells Fargo'!$B:$B,"&gt;"&amp;'Cash Flow'!R$3)</f>
        <v>-250</v>
      </c>
      <c r="T15" s="77">
        <f>SUMIFS('Wells Fargo'!$F:$F,'Wells Fargo'!$G:$G,'Cash Flow'!$A15,'Wells Fargo'!$A:$A,T$1,'Wells Fargo'!$B:$B,"&lt;="&amp;'Cash Flow'!T$3,'Wells Fargo'!$B:$B,"&gt;"&amp;'Cash Flow'!S$3)</f>
        <v>0</v>
      </c>
      <c r="U15" s="77">
        <f>SUMIFS('Wells Fargo'!$F:$F,'Wells Fargo'!$G:$G,'Cash Flow'!$A15,'Wells Fargo'!$A:$A,U$1,'Wells Fargo'!$B:$B,"&lt;="&amp;'Cash Flow'!U$3,'Wells Fargo'!$B:$B,"&gt;"&amp;'Cash Flow'!T$3)</f>
        <v>-50</v>
      </c>
      <c r="V15" s="111">
        <f>SUMIFS('Wells Fargo'!$F:$F,'Wells Fargo'!$G:$G,'Cash Flow'!$A15,'Wells Fargo'!$A:$A,V$1,'Wells Fargo'!$B:$B,"&lt;="&amp;'Cash Flow'!V$3)</f>
        <v>0</v>
      </c>
      <c r="W15" s="77">
        <f>SUMIFS('Wells Fargo'!$F:$F,'Wells Fargo'!$G:$G,'Cash Flow'!$A15,'Wells Fargo'!$A:$A,W$1,'Wells Fargo'!$B:$B,"&lt;="&amp;'Cash Flow'!W$3,'Wells Fargo'!$B:$B,"&gt;"&amp;'Cash Flow'!V$3)</f>
        <v>0</v>
      </c>
      <c r="X15" s="77">
        <f>SUMIFS('Wells Fargo'!$F:$F,'Wells Fargo'!$G:$G,'Cash Flow'!$A15,'Wells Fargo'!$A:$A,X$1,'Wells Fargo'!$B:$B,"&lt;="&amp;'Cash Flow'!X$3,'Wells Fargo'!$B:$B,"&gt;"&amp;'Cash Flow'!W$3)</f>
        <v>0</v>
      </c>
      <c r="Y15" s="77">
        <f>SUMIFS('Wells Fargo'!$F:$F,'Wells Fargo'!$G:$G,'Cash Flow'!$A15,'Wells Fargo'!$A:$A,Y$1,'Wells Fargo'!$B:$B,"&lt;="&amp;'Cash Flow'!Y$3,'Wells Fargo'!$B:$B,"&gt;"&amp;'Cash Flow'!X$3)</f>
        <v>0</v>
      </c>
      <c r="Z15" s="77">
        <f>SUMIFS('Wells Fargo'!$F:$F,'Wells Fargo'!$G:$G,'Cash Flow'!$A15,'Wells Fargo'!$A:$A,Z$1,'Wells Fargo'!$B:$B,"&lt;="&amp;'Cash Flow'!Z$3,'Wells Fargo'!$B:$B,"&gt;"&amp;'Cash Flow'!Y$3)</f>
        <v>0</v>
      </c>
      <c r="AA15" s="111">
        <f>SUMIFS('Wells Fargo'!$F:$F,'Wells Fargo'!$G:$G,'Cash Flow'!$A15,'Wells Fargo'!$A:$A,AA$1,'Wells Fargo'!$B:$B,"&lt;="&amp;'Cash Flow'!AA$3)</f>
        <v>0</v>
      </c>
      <c r="AB15" s="77">
        <f>SUMIFS('Wells Fargo'!$F:$F,'Wells Fargo'!$G:$G,'Cash Flow'!$A15,'Wells Fargo'!$A:$A,AB$1,'Wells Fargo'!$B:$B,"&lt;="&amp;'Cash Flow'!AB$3,'Wells Fargo'!$B:$B,"&gt;"&amp;'Cash Flow'!AA$3)</f>
        <v>0</v>
      </c>
      <c r="AC15" s="77">
        <f>SUMIFS('Wells Fargo'!$F:$F,'Wells Fargo'!$G:$G,'Cash Flow'!$A15,'Wells Fargo'!$A:$A,AC$1,'Wells Fargo'!$B:$B,"&lt;="&amp;'Cash Flow'!AC$3,'Wells Fargo'!$B:$B,"&gt;"&amp;'Cash Flow'!AB$3)</f>
        <v>0</v>
      </c>
      <c r="AD15" s="77">
        <f>SUMIFS('Wells Fargo'!$F:$F,'Wells Fargo'!$G:$G,'Cash Flow'!$A15,'Wells Fargo'!$A:$A,AD$1,'Wells Fargo'!$B:$B,"&lt;="&amp;'Cash Flow'!AD$3,'Wells Fargo'!$B:$B,"&gt;"&amp;'Cash Flow'!AC$3)</f>
        <v>0</v>
      </c>
      <c r="AE15" s="77">
        <f>SUMIFS('Wells Fargo'!$F:$F,'Wells Fargo'!$G:$G,'Cash Flow'!$A15,'Wells Fargo'!$A:$A,AE$1,'Wells Fargo'!$B:$B,"&lt;="&amp;'Cash Flow'!AE$3,'Wells Fargo'!$B:$B,"&gt;"&amp;'Cash Flow'!AD$3)</f>
        <v>0</v>
      </c>
      <c r="AF15" s="111">
        <f>SUMIFS('Wells Fargo'!$F:$F,'Wells Fargo'!$G:$G,'Cash Flow'!$A15,'Wells Fargo'!$A:$A,AF$1,'Wells Fargo'!$B:$B,"&lt;="&amp;'Cash Flow'!AF$3)</f>
        <v>0</v>
      </c>
      <c r="AG15" s="77">
        <f>SUMIFS('Wells Fargo'!$F:$F,'Wells Fargo'!$G:$G,'Cash Flow'!$A15,'Wells Fargo'!$A:$A,AG$1,'Wells Fargo'!$B:$B,"&lt;="&amp;'Cash Flow'!AG$3,'Wells Fargo'!$B:$B,"&gt;"&amp;'Cash Flow'!AF$3)</f>
        <v>0</v>
      </c>
      <c r="AH15" s="77">
        <f>SUMIFS('Wells Fargo'!$F:$F,'Wells Fargo'!$G:$G,'Cash Flow'!$A15,'Wells Fargo'!$A:$A,AH$1,'Wells Fargo'!$B:$B,"&lt;="&amp;'Cash Flow'!AH$3,'Wells Fargo'!$B:$B,"&gt;"&amp;'Cash Flow'!AG$3)</f>
        <v>0</v>
      </c>
      <c r="AI15" s="77">
        <f>SUMIFS('Wells Fargo'!$F:$F,'Wells Fargo'!$G:$G,'Cash Flow'!$A15,'Wells Fargo'!$A:$A,AI$1,'Wells Fargo'!$B:$B,"&lt;="&amp;'Cash Flow'!AI$3,'Wells Fargo'!$B:$B,"&gt;"&amp;'Cash Flow'!AH$3)</f>
        <v>0</v>
      </c>
      <c r="AJ15" s="77">
        <f>SUMIFS('Wells Fargo'!$F:$F,'Wells Fargo'!$G:$G,'Cash Flow'!$A15,'Wells Fargo'!$A:$A,AJ$1,'Wells Fargo'!$B:$B,"&lt;="&amp;'Cash Flow'!AJ$3,'Wells Fargo'!$B:$B,"&gt;"&amp;'Cash Flow'!AI$3)</f>
        <v>0</v>
      </c>
      <c r="AK15" s="111">
        <f>SUMIFS('Wells Fargo'!$F:$F,'Wells Fargo'!$G:$G,'Cash Flow'!$A15,'Wells Fargo'!$A:$A,AK$1,'Wells Fargo'!$B:$B,"&lt;="&amp;'Cash Flow'!AK$3)</f>
        <v>0</v>
      </c>
      <c r="AL15" s="77">
        <f>SUMIFS('Wells Fargo'!$F:$F,'Wells Fargo'!$G:$G,'Cash Flow'!$A15,'Wells Fargo'!$A:$A,AL$1,'Wells Fargo'!$B:$B,"&lt;="&amp;'Cash Flow'!AL$3,'Wells Fargo'!$B:$B,"&gt;"&amp;'Cash Flow'!AK$3)</f>
        <v>0</v>
      </c>
      <c r="AM15" s="77">
        <f>SUMIFS('Wells Fargo'!$F:$F,'Wells Fargo'!$G:$G,'Cash Flow'!$A15,'Wells Fargo'!$A:$A,AM$1,'Wells Fargo'!$B:$B,"&lt;="&amp;'Cash Flow'!AM$3,'Wells Fargo'!$B:$B,"&gt;"&amp;'Cash Flow'!AL$3)</f>
        <v>0</v>
      </c>
      <c r="AN15" s="77">
        <f>SUMIFS('Wells Fargo'!$F:$F,'Wells Fargo'!$G:$G,'Cash Flow'!$A15,'Wells Fargo'!$A:$A,AN$1,'Wells Fargo'!$B:$B,"&lt;="&amp;'Cash Flow'!AN$3,'Wells Fargo'!$B:$B,"&gt;"&amp;'Cash Flow'!AM$3)</f>
        <v>0</v>
      </c>
      <c r="AO15" s="77">
        <f>SUMIFS('Wells Fargo'!$F:$F,'Wells Fargo'!$G:$G,'Cash Flow'!$A15,'Wells Fargo'!$A:$A,AO$1,'Wells Fargo'!$B:$B,"&lt;="&amp;'Cash Flow'!AO$3,'Wells Fargo'!$B:$B,"&gt;"&amp;'Cash Flow'!AN$3)</f>
        <v>0</v>
      </c>
      <c r="AP15" s="111">
        <f>SUMIFS('Wells Fargo'!$F:$F,'Wells Fargo'!$G:$G,'Cash Flow'!$A15,'Wells Fargo'!$A:$A,AP$1,'Wells Fargo'!$B:$B,"&lt;="&amp;'Cash Flow'!AP$3)</f>
        <v>0</v>
      </c>
      <c r="AQ15" s="77">
        <f>SUMIFS('Wells Fargo'!$F:$F,'Wells Fargo'!$G:$G,'Cash Flow'!$A15,'Wells Fargo'!$A:$A,AQ$1,'Wells Fargo'!$B:$B,"&lt;="&amp;'Cash Flow'!AQ$3,'Wells Fargo'!$B:$B,"&gt;"&amp;'Cash Flow'!AP$3)</f>
        <v>0</v>
      </c>
      <c r="AR15" s="77">
        <f>SUMIFS('Wells Fargo'!$F:$F,'Wells Fargo'!$G:$G,'Cash Flow'!$A15,'Wells Fargo'!$A:$A,AR$1,'Wells Fargo'!$B:$B,"&lt;="&amp;'Cash Flow'!AR$3,'Wells Fargo'!$B:$B,"&gt;"&amp;'Cash Flow'!AQ$3)</f>
        <v>0</v>
      </c>
      <c r="AS15" s="77">
        <f>SUMIFS('Wells Fargo'!$F:$F,'Wells Fargo'!$G:$G,'Cash Flow'!$A15,'Wells Fargo'!$A:$A,AS$1,'Wells Fargo'!$B:$B,"&lt;="&amp;'Cash Flow'!AS$3,'Wells Fargo'!$B:$B,"&gt;"&amp;'Cash Flow'!AR$3)</f>
        <v>0</v>
      </c>
      <c r="AT15" s="77">
        <f>SUMIFS('Wells Fargo'!$F:$F,'Wells Fargo'!$G:$G,'Cash Flow'!$A15,'Wells Fargo'!$A:$A,AT$1,'Wells Fargo'!$B:$B,"&lt;="&amp;'Cash Flow'!AT$3,'Wells Fargo'!$B:$B,"&gt;"&amp;'Cash Flow'!AS$3)</f>
        <v>0</v>
      </c>
      <c r="AU15" s="111">
        <f>SUMIFS('Wells Fargo'!$F:$F,'Wells Fargo'!$G:$G,'Cash Flow'!$A15,'Wells Fargo'!$A:$A,AU$1,'Wells Fargo'!$B:$B,"&lt;="&amp;'Cash Flow'!AU$3)</f>
        <v>0</v>
      </c>
      <c r="AV15" s="77">
        <f>SUMIFS('Wells Fargo'!$F:$F,'Wells Fargo'!$G:$G,'Cash Flow'!$A15,'Wells Fargo'!$A:$A,AV$1,'Wells Fargo'!$B:$B,"&lt;="&amp;'Cash Flow'!AV$3,'Wells Fargo'!$B:$B,"&gt;"&amp;'Cash Flow'!AU$3)</f>
        <v>0</v>
      </c>
      <c r="AW15" s="77">
        <f>SUMIFS('Wells Fargo'!$F:$F,'Wells Fargo'!$G:$G,'Cash Flow'!$A15,'Wells Fargo'!$A:$A,AW$1,'Wells Fargo'!$B:$B,"&lt;="&amp;'Cash Flow'!AW$3,'Wells Fargo'!$B:$B,"&gt;"&amp;'Cash Flow'!AV$3)</f>
        <v>0</v>
      </c>
      <c r="AX15" s="77">
        <f>SUMIFS('Wells Fargo'!$F:$F,'Wells Fargo'!$G:$G,'Cash Flow'!$A15,'Wells Fargo'!$A:$A,AX$1,'Wells Fargo'!$B:$B,"&lt;="&amp;'Cash Flow'!AX$3,'Wells Fargo'!$B:$B,"&gt;"&amp;'Cash Flow'!AW$3)</f>
        <v>0</v>
      </c>
      <c r="AY15" s="77">
        <f>SUMIFS('Wells Fargo'!$F:$F,'Wells Fargo'!$G:$G,'Cash Flow'!$A15,'Wells Fargo'!$A:$A,AY$1,'Wells Fargo'!$B:$B,"&lt;="&amp;'Cash Flow'!AY$3,'Wells Fargo'!$B:$B,"&gt;"&amp;'Cash Flow'!AX$3)</f>
        <v>0</v>
      </c>
      <c r="AZ15" s="111">
        <f>SUMIFS('Wells Fargo'!$F:$F,'Wells Fargo'!$G:$G,'Cash Flow'!$A15,'Wells Fargo'!$A:$A,AZ$1,'Wells Fargo'!$B:$B,"&lt;="&amp;'Cash Flow'!AZ$3)</f>
        <v>0</v>
      </c>
      <c r="BA15" s="77">
        <f>SUMIFS('Wells Fargo'!$F:$F,'Wells Fargo'!$G:$G,'Cash Flow'!$A15,'Wells Fargo'!$A:$A,BA$1,'Wells Fargo'!$B:$B,"&lt;="&amp;'Cash Flow'!BA$3,'Wells Fargo'!$B:$B,"&gt;"&amp;'Cash Flow'!AZ$3)</f>
        <v>0</v>
      </c>
      <c r="BB15" s="77">
        <f>SUMIFS('Wells Fargo'!$F:$F,'Wells Fargo'!$G:$G,'Cash Flow'!$A15,'Wells Fargo'!$A:$A,BB$1,'Wells Fargo'!$B:$B,"&lt;="&amp;'Cash Flow'!BB$3,'Wells Fargo'!$B:$B,"&gt;"&amp;'Cash Flow'!BA$3)</f>
        <v>0</v>
      </c>
      <c r="BC15" s="77">
        <f>SUMIFS('Wells Fargo'!$F:$F,'Wells Fargo'!$G:$G,'Cash Flow'!$A15,'Wells Fargo'!$A:$A,BC$1,'Wells Fargo'!$B:$B,"&lt;="&amp;'Cash Flow'!BC$3,'Wells Fargo'!$B:$B,"&gt;"&amp;'Cash Flow'!BB$3)</f>
        <v>0</v>
      </c>
      <c r="BD15" s="77">
        <f>SUMIFS('Wells Fargo'!$F:$F,'Wells Fargo'!$G:$G,'Cash Flow'!$A15,'Wells Fargo'!$A:$A,BD$1,'Wells Fargo'!$B:$B,"&lt;="&amp;'Cash Flow'!BD$3,'Wells Fargo'!$B:$B,"&gt;"&amp;'Cash Flow'!BC$3)</f>
        <v>0</v>
      </c>
      <c r="BE15" s="111">
        <f>SUMIFS('Wells Fargo'!$F:$F,'Wells Fargo'!$G:$G,'Cash Flow'!$A15,'Wells Fargo'!$A:$A,BE$1,'Wells Fargo'!$B:$B,"&lt;="&amp;'Cash Flow'!BE$3)</f>
        <v>0</v>
      </c>
      <c r="BF15" s="77">
        <f>SUMIFS('Wells Fargo'!$F:$F,'Wells Fargo'!$G:$G,'Cash Flow'!$A15,'Wells Fargo'!$A:$A,BF$1,'Wells Fargo'!$B:$B,"&lt;="&amp;'Cash Flow'!BF$3,'Wells Fargo'!$B:$B,"&gt;"&amp;'Cash Flow'!BE$3)</f>
        <v>0</v>
      </c>
      <c r="BG15" s="77">
        <f>SUMIFS('Wells Fargo'!$F:$F,'Wells Fargo'!$G:$G,'Cash Flow'!$A15,'Wells Fargo'!$A:$A,BG$1,'Wells Fargo'!$B:$B,"&lt;="&amp;'Cash Flow'!BG$3,'Wells Fargo'!$B:$B,"&gt;"&amp;'Cash Flow'!BF$3)</f>
        <v>0</v>
      </c>
      <c r="BH15" s="77">
        <f>SUMIFS('Wells Fargo'!$F:$F,'Wells Fargo'!$G:$G,'Cash Flow'!$A15,'Wells Fargo'!$A:$A,BH$1,'Wells Fargo'!$B:$B,"&lt;="&amp;'Cash Flow'!BH$3,'Wells Fargo'!$B:$B,"&gt;"&amp;'Cash Flow'!BG$3)</f>
        <v>0</v>
      </c>
      <c r="BI15" s="77">
        <f>SUMIFS('Wells Fargo'!$F:$F,'Wells Fargo'!$G:$G,'Cash Flow'!$A15,'Wells Fargo'!$A:$A,BI$1,'Wells Fargo'!$B:$B,"&lt;="&amp;'Cash Flow'!BI$3,'Wells Fargo'!$B:$B,"&gt;"&amp;'Cash Flow'!BH$3)</f>
        <v>0</v>
      </c>
    </row>
    <row r="16" spans="1:61" ht="14.5" x14ac:dyDescent="0.5">
      <c r="A16" t="str">
        <v>Elephant</v>
      </c>
      <c r="B16" s="90">
        <f t="shared" si="0"/>
        <v>15895.410000000002</v>
      </c>
      <c r="C16" s="111">
        <f>SUMIFS('Wells Fargo'!$F:$F,'Wells Fargo'!$G:$G,'Cash Flow'!$A16,'Wells Fargo'!$A:$A,C$1,'Wells Fargo'!$B:$B,"&lt;="&amp;'Cash Flow'!C$3)</f>
        <v>0</v>
      </c>
      <c r="D16" s="77">
        <f>SUMIFS('Wells Fargo'!$F:$F,'Wells Fargo'!$G:$G,'Cash Flow'!$A16,'Wells Fargo'!$A:$A,D$1,'Wells Fargo'!$B:$B,"&lt;="&amp;'Cash Flow'!D$3,'Wells Fargo'!$B:$B,"&gt;"&amp;'Cash Flow'!C$3)</f>
        <v>0</v>
      </c>
      <c r="E16" s="77">
        <f>SUMIFS('Wells Fargo'!$F:$F,'Wells Fargo'!$G:$G,'Cash Flow'!$A16,'Wells Fargo'!$A:$A,E$1,'Wells Fargo'!$B:$B,"&lt;="&amp;'Cash Flow'!E$3,'Wells Fargo'!$B:$B,"&gt;"&amp;'Cash Flow'!D$3)</f>
        <v>1459.65</v>
      </c>
      <c r="F16" s="77">
        <f>SUMIFS('Wells Fargo'!$F:$F,'Wells Fargo'!$G:$G,'Cash Flow'!$A16,'Wells Fargo'!$A:$A,F$1,'Wells Fargo'!$B:$B,"&lt;="&amp;'Cash Flow'!F$3,'Wells Fargo'!$B:$B,"&gt;"&amp;'Cash Flow'!E$3)</f>
        <v>0</v>
      </c>
      <c r="G16" s="77">
        <f>SUMIFS('Wells Fargo'!$F:$F,'Wells Fargo'!$G:$G,'Cash Flow'!$A16,'Wells Fargo'!$A:$A,G$1,'Wells Fargo'!$B:$B,"&lt;="&amp;'Cash Flow'!G$3,'Wells Fargo'!$B:$B,"&gt;"&amp;'Cash Flow'!F$3)</f>
        <v>1459.64</v>
      </c>
      <c r="H16" s="111">
        <f>SUMIFS('Wells Fargo'!$F:$F,'Wells Fargo'!$G:$G,'Cash Flow'!$A16,'Wells Fargo'!$A:$A,H$1,'Wells Fargo'!$B:$B,"&lt;="&amp;'Cash Flow'!H$3)</f>
        <v>0</v>
      </c>
      <c r="I16" s="77">
        <f>SUMIFS('Wells Fargo'!$F:$F,'Wells Fargo'!$G:$G,'Cash Flow'!$A16,'Wells Fargo'!$A:$A,I$1,'Wells Fargo'!$B:$B,"&lt;="&amp;'Cash Flow'!I$3,'Wells Fargo'!$B:$B,"&gt;"&amp;'Cash Flow'!H$3)</f>
        <v>1809.65</v>
      </c>
      <c r="J16" s="77">
        <f>SUMIFS('Wells Fargo'!$F:$F,'Wells Fargo'!$G:$G,'Cash Flow'!$A16,'Wells Fargo'!$A:$A,J$1,'Wells Fargo'!$B:$B,"&lt;="&amp;'Cash Flow'!J$3,'Wells Fargo'!$B:$B,"&gt;"&amp;'Cash Flow'!I$3)</f>
        <v>0</v>
      </c>
      <c r="K16" s="77">
        <f>SUMIFS('Wells Fargo'!$F:$F,'Wells Fargo'!$G:$G,'Cash Flow'!$A16,'Wells Fargo'!$A:$A,K$1,'Wells Fargo'!$B:$B,"&lt;="&amp;'Cash Flow'!K$3,'Wells Fargo'!$B:$B,"&gt;"&amp;'Cash Flow'!J$3)</f>
        <v>1459.65</v>
      </c>
      <c r="L16" s="111">
        <f>SUMIFS('Wells Fargo'!$F:$F,'Wells Fargo'!$G:$G,'Cash Flow'!$A16,'Wells Fargo'!$A:$A,L$1,'Wells Fargo'!$B:$B,"&lt;="&amp;'Cash Flow'!L$3)</f>
        <v>0</v>
      </c>
      <c r="M16" s="77">
        <f>SUMIFS('Wells Fargo'!$F:$F,'Wells Fargo'!$G:$G,'Cash Flow'!$A16,'Wells Fargo'!$A:$A,M$1,'Wells Fargo'!$B:$B,"&lt;="&amp;'Cash Flow'!M$3,'Wells Fargo'!$B:$B,"&gt;"&amp;'Cash Flow'!L$3)</f>
        <v>1459.64</v>
      </c>
      <c r="N16" s="77">
        <f>SUMIFS('Wells Fargo'!$F:$F,'Wells Fargo'!$G:$G,'Cash Flow'!$A16,'Wells Fargo'!$A:$A,N$1,'Wells Fargo'!$B:$B,"&lt;="&amp;'Cash Flow'!N$3,'Wells Fargo'!$B:$B,"&gt;"&amp;'Cash Flow'!M$3)</f>
        <v>0</v>
      </c>
      <c r="O16" s="77">
        <f>SUMIFS('Wells Fargo'!$F:$F,'Wells Fargo'!$G:$G,'Cash Flow'!$A16,'Wells Fargo'!$A:$A,O$1,'Wells Fargo'!$B:$B,"&lt;="&amp;'Cash Flow'!O$3,'Wells Fargo'!$B:$B,"&gt;"&amp;'Cash Flow'!N$3)</f>
        <v>1457.82</v>
      </c>
      <c r="P16" s="77">
        <f>SUMIFS('Wells Fargo'!$F:$F,'Wells Fargo'!$G:$G,'Cash Flow'!$A16,'Wells Fargo'!$A:$A,P$1,'Wells Fargo'!$B:$B,"&lt;="&amp;'Cash Flow'!P$3,'Wells Fargo'!$B:$B,"&gt;"&amp;'Cash Flow'!O$3)</f>
        <v>0</v>
      </c>
      <c r="Q16" s="111">
        <f>SUMIFS('Wells Fargo'!$F:$F,'Wells Fargo'!$G:$G,'Cash Flow'!$A16,'Wells Fargo'!$A:$A,Q$1,'Wells Fargo'!$B:$B,"&lt;="&amp;'Cash Flow'!Q$3)</f>
        <v>0</v>
      </c>
      <c r="R16" s="77">
        <f>SUMIFS('Wells Fargo'!$F:$F,'Wells Fargo'!$G:$G,'Cash Flow'!$A16,'Wells Fargo'!$A:$A,R$1,'Wells Fargo'!$B:$B,"&lt;="&amp;'Cash Flow'!R$3,'Wells Fargo'!$B:$B,"&gt;"&amp;'Cash Flow'!Q$3)</f>
        <v>1242.82</v>
      </c>
      <c r="S16" s="77">
        <f>SUMIFS('Wells Fargo'!$F:$F,'Wells Fargo'!$G:$G,'Cash Flow'!$A16,'Wells Fargo'!$A:$A,S$1,'Wells Fargo'!$B:$B,"&lt;="&amp;'Cash Flow'!S$3,'Wells Fargo'!$B:$B,"&gt;"&amp;'Cash Flow'!R$3)</f>
        <v>0</v>
      </c>
      <c r="T16" s="77">
        <f>SUMIFS('Wells Fargo'!$F:$F,'Wells Fargo'!$G:$G,'Cash Flow'!$A16,'Wells Fargo'!$A:$A,T$1,'Wells Fargo'!$B:$B,"&lt;="&amp;'Cash Flow'!T$3,'Wells Fargo'!$B:$B,"&gt;"&amp;'Cash Flow'!S$3)</f>
        <v>1174.51</v>
      </c>
      <c r="U16" s="77">
        <f>SUMIFS('Wells Fargo'!$F:$F,'Wells Fargo'!$G:$G,'Cash Flow'!$A16,'Wells Fargo'!$A:$A,U$1,'Wells Fargo'!$B:$B,"&lt;="&amp;'Cash Flow'!U$3,'Wells Fargo'!$B:$B,"&gt;"&amp;'Cash Flow'!T$3)</f>
        <v>0</v>
      </c>
      <c r="V16" s="111">
        <f>SUMIFS('Wells Fargo'!$F:$F,'Wells Fargo'!$G:$G,'Cash Flow'!$A16,'Wells Fargo'!$A:$A,V$1,'Wells Fargo'!$B:$B,"&lt;="&amp;'Cash Flow'!V$3)</f>
        <v>1174.52</v>
      </c>
      <c r="W16" s="77">
        <f>SUMIFS('Wells Fargo'!$F:$F,'Wells Fargo'!$G:$G,'Cash Flow'!$A16,'Wells Fargo'!$A:$A,W$1,'Wells Fargo'!$B:$B,"&lt;="&amp;'Cash Flow'!W$3,'Wells Fargo'!$B:$B,"&gt;"&amp;'Cash Flow'!V$3)</f>
        <v>0</v>
      </c>
      <c r="X16" s="77">
        <f>SUMIFS('Wells Fargo'!$F:$F,'Wells Fargo'!$G:$G,'Cash Flow'!$A16,'Wells Fargo'!$A:$A,X$1,'Wells Fargo'!$B:$B,"&lt;="&amp;'Cash Flow'!X$3,'Wells Fargo'!$B:$B,"&gt;"&amp;'Cash Flow'!W$3)</f>
        <v>1342.98</v>
      </c>
      <c r="Y16" s="77">
        <f>SUMIFS('Wells Fargo'!$F:$F,'Wells Fargo'!$G:$G,'Cash Flow'!$A16,'Wells Fargo'!$A:$A,Y$1,'Wells Fargo'!$B:$B,"&lt;="&amp;'Cash Flow'!Y$3,'Wells Fargo'!$B:$B,"&gt;"&amp;'Cash Flow'!X$3)</f>
        <v>0</v>
      </c>
      <c r="Z16" s="77">
        <f>SUMIFS('Wells Fargo'!$F:$F,'Wells Fargo'!$G:$G,'Cash Flow'!$A16,'Wells Fargo'!$A:$A,Z$1,'Wells Fargo'!$B:$B,"&lt;="&amp;'Cash Flow'!Z$3,'Wells Fargo'!$B:$B,"&gt;"&amp;'Cash Flow'!Y$3)</f>
        <v>0</v>
      </c>
      <c r="AA16" s="111">
        <f>SUMIFS('Wells Fargo'!$F:$F,'Wells Fargo'!$G:$G,'Cash Flow'!$A16,'Wells Fargo'!$A:$A,AA$1,'Wells Fargo'!$B:$B,"&lt;="&amp;'Cash Flow'!AA$3)</f>
        <v>1174.51</v>
      </c>
      <c r="AB16" s="77">
        <f>SUMIFS('Wells Fargo'!$F:$F,'Wells Fargo'!$G:$G,'Cash Flow'!$A16,'Wells Fargo'!$A:$A,AB$1,'Wells Fargo'!$B:$B,"&lt;="&amp;'Cash Flow'!AB$3,'Wells Fargo'!$B:$B,"&gt;"&amp;'Cash Flow'!AA$3)</f>
        <v>0</v>
      </c>
      <c r="AC16" s="77">
        <f>SUMIFS('Wells Fargo'!$F:$F,'Wells Fargo'!$G:$G,'Cash Flow'!$A16,'Wells Fargo'!$A:$A,AC$1,'Wells Fargo'!$B:$B,"&lt;="&amp;'Cash Flow'!AC$3,'Wells Fargo'!$B:$B,"&gt;"&amp;'Cash Flow'!AB$3)</f>
        <v>680.02</v>
      </c>
      <c r="AD16" s="77">
        <f>SUMIFS('Wells Fargo'!$F:$F,'Wells Fargo'!$G:$G,'Cash Flow'!$A16,'Wells Fargo'!$A:$A,AD$1,'Wells Fargo'!$B:$B,"&lt;="&amp;'Cash Flow'!AD$3,'Wells Fargo'!$B:$B,"&gt;"&amp;'Cash Flow'!AC$3)</f>
        <v>0</v>
      </c>
      <c r="AE16" s="77">
        <f>SUMIFS('Wells Fargo'!$F:$F,'Wells Fargo'!$G:$G,'Cash Flow'!$A16,'Wells Fargo'!$A:$A,AE$1,'Wells Fargo'!$B:$B,"&lt;="&amp;'Cash Flow'!AE$3,'Wells Fargo'!$B:$B,"&gt;"&amp;'Cash Flow'!AD$3)</f>
        <v>0</v>
      </c>
      <c r="AF16" s="111">
        <f>SUMIFS('Wells Fargo'!$F:$F,'Wells Fargo'!$G:$G,'Cash Flow'!$A16,'Wells Fargo'!$A:$A,AF$1,'Wells Fargo'!$B:$B,"&lt;="&amp;'Cash Flow'!AF$3)</f>
        <v>0</v>
      </c>
      <c r="AG16" s="77">
        <f>SUMIFS('Wells Fargo'!$F:$F,'Wells Fargo'!$G:$G,'Cash Flow'!$A16,'Wells Fargo'!$A:$A,AG$1,'Wells Fargo'!$B:$B,"&lt;="&amp;'Cash Flow'!AG$3,'Wells Fargo'!$B:$B,"&gt;"&amp;'Cash Flow'!AF$3)</f>
        <v>0</v>
      </c>
      <c r="AH16" s="77">
        <f>SUMIFS('Wells Fargo'!$F:$F,'Wells Fargo'!$G:$G,'Cash Flow'!$A16,'Wells Fargo'!$A:$A,AH$1,'Wells Fargo'!$B:$B,"&lt;="&amp;'Cash Flow'!AH$3,'Wells Fargo'!$B:$B,"&gt;"&amp;'Cash Flow'!AG$3)</f>
        <v>0</v>
      </c>
      <c r="AI16" s="77">
        <f>SUMIFS('Wells Fargo'!$F:$F,'Wells Fargo'!$G:$G,'Cash Flow'!$A16,'Wells Fargo'!$A:$A,AI$1,'Wells Fargo'!$B:$B,"&lt;="&amp;'Cash Flow'!AI$3,'Wells Fargo'!$B:$B,"&gt;"&amp;'Cash Flow'!AH$3)</f>
        <v>0</v>
      </c>
      <c r="AJ16" s="77">
        <f>SUMIFS('Wells Fargo'!$F:$F,'Wells Fargo'!$G:$G,'Cash Flow'!$A16,'Wells Fargo'!$A:$A,AJ$1,'Wells Fargo'!$B:$B,"&lt;="&amp;'Cash Flow'!AJ$3,'Wells Fargo'!$B:$B,"&gt;"&amp;'Cash Flow'!AI$3)</f>
        <v>0</v>
      </c>
      <c r="AK16" s="111">
        <f>SUMIFS('Wells Fargo'!$F:$F,'Wells Fargo'!$G:$G,'Cash Flow'!$A16,'Wells Fargo'!$A:$A,AK$1,'Wells Fargo'!$B:$B,"&lt;="&amp;'Cash Flow'!AK$3)</f>
        <v>0</v>
      </c>
      <c r="AL16" s="77">
        <f>SUMIFS('Wells Fargo'!$F:$F,'Wells Fargo'!$G:$G,'Cash Flow'!$A16,'Wells Fargo'!$A:$A,AL$1,'Wells Fargo'!$B:$B,"&lt;="&amp;'Cash Flow'!AL$3,'Wells Fargo'!$B:$B,"&gt;"&amp;'Cash Flow'!AK$3)</f>
        <v>0</v>
      </c>
      <c r="AM16" s="77">
        <f>SUMIFS('Wells Fargo'!$F:$F,'Wells Fargo'!$G:$G,'Cash Flow'!$A16,'Wells Fargo'!$A:$A,AM$1,'Wells Fargo'!$B:$B,"&lt;="&amp;'Cash Flow'!AM$3,'Wells Fargo'!$B:$B,"&gt;"&amp;'Cash Flow'!AL$3)</f>
        <v>0</v>
      </c>
      <c r="AN16" s="77">
        <f>SUMIFS('Wells Fargo'!$F:$F,'Wells Fargo'!$G:$G,'Cash Flow'!$A16,'Wells Fargo'!$A:$A,AN$1,'Wells Fargo'!$B:$B,"&lt;="&amp;'Cash Flow'!AN$3,'Wells Fargo'!$B:$B,"&gt;"&amp;'Cash Flow'!AM$3)</f>
        <v>0</v>
      </c>
      <c r="AO16" s="77">
        <f>SUMIFS('Wells Fargo'!$F:$F,'Wells Fargo'!$G:$G,'Cash Flow'!$A16,'Wells Fargo'!$A:$A,AO$1,'Wells Fargo'!$B:$B,"&lt;="&amp;'Cash Flow'!AO$3,'Wells Fargo'!$B:$B,"&gt;"&amp;'Cash Flow'!AN$3)</f>
        <v>0</v>
      </c>
      <c r="AP16" s="111">
        <f>SUMIFS('Wells Fargo'!$F:$F,'Wells Fargo'!$G:$G,'Cash Flow'!$A16,'Wells Fargo'!$A:$A,AP$1,'Wells Fargo'!$B:$B,"&lt;="&amp;'Cash Flow'!AP$3)</f>
        <v>0</v>
      </c>
      <c r="AQ16" s="77">
        <f>SUMIFS('Wells Fargo'!$F:$F,'Wells Fargo'!$G:$G,'Cash Flow'!$A16,'Wells Fargo'!$A:$A,AQ$1,'Wells Fargo'!$B:$B,"&lt;="&amp;'Cash Flow'!AQ$3,'Wells Fargo'!$B:$B,"&gt;"&amp;'Cash Flow'!AP$3)</f>
        <v>0</v>
      </c>
      <c r="AR16" s="77">
        <f>SUMIFS('Wells Fargo'!$F:$F,'Wells Fargo'!$G:$G,'Cash Flow'!$A16,'Wells Fargo'!$A:$A,AR$1,'Wells Fargo'!$B:$B,"&lt;="&amp;'Cash Flow'!AR$3,'Wells Fargo'!$B:$B,"&gt;"&amp;'Cash Flow'!AQ$3)</f>
        <v>0</v>
      </c>
      <c r="AS16" s="77">
        <f>SUMIFS('Wells Fargo'!$F:$F,'Wells Fargo'!$G:$G,'Cash Flow'!$A16,'Wells Fargo'!$A:$A,AS$1,'Wells Fargo'!$B:$B,"&lt;="&amp;'Cash Flow'!AS$3,'Wells Fargo'!$B:$B,"&gt;"&amp;'Cash Flow'!AR$3)</f>
        <v>0</v>
      </c>
      <c r="AT16" s="77">
        <f>SUMIFS('Wells Fargo'!$F:$F,'Wells Fargo'!$G:$G,'Cash Flow'!$A16,'Wells Fargo'!$A:$A,AT$1,'Wells Fargo'!$B:$B,"&lt;="&amp;'Cash Flow'!AT$3,'Wells Fargo'!$B:$B,"&gt;"&amp;'Cash Flow'!AS$3)</f>
        <v>0</v>
      </c>
      <c r="AU16" s="111">
        <f>SUMIFS('Wells Fargo'!$F:$F,'Wells Fargo'!$G:$G,'Cash Flow'!$A16,'Wells Fargo'!$A:$A,AU$1,'Wells Fargo'!$B:$B,"&lt;="&amp;'Cash Flow'!AU$3)</f>
        <v>0</v>
      </c>
      <c r="AV16" s="77">
        <f>SUMIFS('Wells Fargo'!$F:$F,'Wells Fargo'!$G:$G,'Cash Flow'!$A16,'Wells Fargo'!$A:$A,AV$1,'Wells Fargo'!$B:$B,"&lt;="&amp;'Cash Flow'!AV$3,'Wells Fargo'!$B:$B,"&gt;"&amp;'Cash Flow'!AU$3)</f>
        <v>0</v>
      </c>
      <c r="AW16" s="77">
        <f>SUMIFS('Wells Fargo'!$F:$F,'Wells Fargo'!$G:$G,'Cash Flow'!$A16,'Wells Fargo'!$A:$A,AW$1,'Wells Fargo'!$B:$B,"&lt;="&amp;'Cash Flow'!AW$3,'Wells Fargo'!$B:$B,"&gt;"&amp;'Cash Flow'!AV$3)</f>
        <v>0</v>
      </c>
      <c r="AX16" s="77">
        <f>SUMIFS('Wells Fargo'!$F:$F,'Wells Fargo'!$G:$G,'Cash Flow'!$A16,'Wells Fargo'!$A:$A,AX$1,'Wells Fargo'!$B:$B,"&lt;="&amp;'Cash Flow'!AX$3,'Wells Fargo'!$B:$B,"&gt;"&amp;'Cash Flow'!AW$3)</f>
        <v>0</v>
      </c>
      <c r="AY16" s="77">
        <f>SUMIFS('Wells Fargo'!$F:$F,'Wells Fargo'!$G:$G,'Cash Flow'!$A16,'Wells Fargo'!$A:$A,AY$1,'Wells Fargo'!$B:$B,"&lt;="&amp;'Cash Flow'!AY$3,'Wells Fargo'!$B:$B,"&gt;"&amp;'Cash Flow'!AX$3)</f>
        <v>0</v>
      </c>
      <c r="AZ16" s="111">
        <f>SUMIFS('Wells Fargo'!$F:$F,'Wells Fargo'!$G:$G,'Cash Flow'!$A16,'Wells Fargo'!$A:$A,AZ$1,'Wells Fargo'!$B:$B,"&lt;="&amp;'Cash Flow'!AZ$3)</f>
        <v>0</v>
      </c>
      <c r="BA16" s="77">
        <f>SUMIFS('Wells Fargo'!$F:$F,'Wells Fargo'!$G:$G,'Cash Flow'!$A16,'Wells Fargo'!$A:$A,BA$1,'Wells Fargo'!$B:$B,"&lt;="&amp;'Cash Flow'!BA$3,'Wells Fargo'!$B:$B,"&gt;"&amp;'Cash Flow'!AZ$3)</f>
        <v>0</v>
      </c>
      <c r="BB16" s="77">
        <f>SUMIFS('Wells Fargo'!$F:$F,'Wells Fargo'!$G:$G,'Cash Flow'!$A16,'Wells Fargo'!$A:$A,BB$1,'Wells Fargo'!$B:$B,"&lt;="&amp;'Cash Flow'!BB$3,'Wells Fargo'!$B:$B,"&gt;"&amp;'Cash Flow'!BA$3)</f>
        <v>0</v>
      </c>
      <c r="BC16" s="77">
        <f>SUMIFS('Wells Fargo'!$F:$F,'Wells Fargo'!$G:$G,'Cash Flow'!$A16,'Wells Fargo'!$A:$A,BC$1,'Wells Fargo'!$B:$B,"&lt;="&amp;'Cash Flow'!BC$3,'Wells Fargo'!$B:$B,"&gt;"&amp;'Cash Flow'!BB$3)</f>
        <v>0</v>
      </c>
      <c r="BD16" s="77">
        <f>SUMIFS('Wells Fargo'!$F:$F,'Wells Fargo'!$G:$G,'Cash Flow'!$A16,'Wells Fargo'!$A:$A,BD$1,'Wells Fargo'!$B:$B,"&lt;="&amp;'Cash Flow'!BD$3,'Wells Fargo'!$B:$B,"&gt;"&amp;'Cash Flow'!BC$3)</f>
        <v>0</v>
      </c>
      <c r="BE16" s="111">
        <f>SUMIFS('Wells Fargo'!$F:$F,'Wells Fargo'!$G:$G,'Cash Flow'!$A16,'Wells Fargo'!$A:$A,BE$1,'Wells Fargo'!$B:$B,"&lt;="&amp;'Cash Flow'!BE$3)</f>
        <v>0</v>
      </c>
      <c r="BF16" s="77">
        <f>SUMIFS('Wells Fargo'!$F:$F,'Wells Fargo'!$G:$G,'Cash Flow'!$A16,'Wells Fargo'!$A:$A,BF$1,'Wells Fargo'!$B:$B,"&lt;="&amp;'Cash Flow'!BF$3,'Wells Fargo'!$B:$B,"&gt;"&amp;'Cash Flow'!BE$3)</f>
        <v>0</v>
      </c>
      <c r="BG16" s="77">
        <f>SUMIFS('Wells Fargo'!$F:$F,'Wells Fargo'!$G:$G,'Cash Flow'!$A16,'Wells Fargo'!$A:$A,BG$1,'Wells Fargo'!$B:$B,"&lt;="&amp;'Cash Flow'!BG$3,'Wells Fargo'!$B:$B,"&gt;"&amp;'Cash Flow'!BF$3)</f>
        <v>0</v>
      </c>
      <c r="BH16" s="77">
        <f>SUMIFS('Wells Fargo'!$F:$F,'Wells Fargo'!$G:$G,'Cash Flow'!$A16,'Wells Fargo'!$A:$A,BH$1,'Wells Fargo'!$B:$B,"&lt;="&amp;'Cash Flow'!BH$3,'Wells Fargo'!$B:$B,"&gt;"&amp;'Cash Flow'!BG$3)</f>
        <v>0</v>
      </c>
      <c r="BI16" s="77">
        <f>SUMIFS('Wells Fargo'!$F:$F,'Wells Fargo'!$G:$G,'Cash Flow'!$A16,'Wells Fargo'!$A:$A,BI$1,'Wells Fargo'!$B:$B,"&lt;="&amp;'Cash Flow'!BI$3,'Wells Fargo'!$B:$B,"&gt;"&amp;'Cash Flow'!BH$3)</f>
        <v>0</v>
      </c>
    </row>
    <row r="17" spans="1:61" ht="14.5" x14ac:dyDescent="0.5">
      <c r="A17" t="str">
        <v>Garbage Removal</v>
      </c>
      <c r="B17" s="90">
        <f t="shared" si="0"/>
        <v>-200</v>
      </c>
      <c r="C17" s="111">
        <f>SUMIFS('Wells Fargo'!$F:$F,'Wells Fargo'!$G:$G,'Cash Flow'!$A17,'Wells Fargo'!$A:$A,C$1,'Wells Fargo'!$B:$B,"&lt;="&amp;'Cash Flow'!C$3)</f>
        <v>0</v>
      </c>
      <c r="D17" s="77">
        <f>SUMIFS('Wells Fargo'!$F:$F,'Wells Fargo'!$G:$G,'Cash Flow'!$A17,'Wells Fargo'!$A:$A,D$1,'Wells Fargo'!$B:$B,"&lt;="&amp;'Cash Flow'!D$3,'Wells Fargo'!$B:$B,"&gt;"&amp;'Cash Flow'!C$3)</f>
        <v>0</v>
      </c>
      <c r="E17" s="77">
        <f>SUMIFS('Wells Fargo'!$F:$F,'Wells Fargo'!$G:$G,'Cash Flow'!$A17,'Wells Fargo'!$A:$A,E$1,'Wells Fargo'!$B:$B,"&lt;="&amp;'Cash Flow'!E$3,'Wells Fargo'!$B:$B,"&gt;"&amp;'Cash Flow'!D$3)</f>
        <v>0</v>
      </c>
      <c r="F17" s="77">
        <f>SUMIFS('Wells Fargo'!$F:$F,'Wells Fargo'!$G:$G,'Cash Flow'!$A17,'Wells Fargo'!$A:$A,F$1,'Wells Fargo'!$B:$B,"&lt;="&amp;'Cash Flow'!F$3,'Wells Fargo'!$B:$B,"&gt;"&amp;'Cash Flow'!E$3)</f>
        <v>0</v>
      </c>
      <c r="G17" s="77">
        <f>SUMIFS('Wells Fargo'!$F:$F,'Wells Fargo'!$G:$G,'Cash Flow'!$A17,'Wells Fargo'!$A:$A,G$1,'Wells Fargo'!$B:$B,"&lt;="&amp;'Cash Flow'!G$3,'Wells Fargo'!$B:$B,"&gt;"&amp;'Cash Flow'!F$3)</f>
        <v>0</v>
      </c>
      <c r="H17" s="111">
        <f>SUMIFS('Wells Fargo'!$F:$F,'Wells Fargo'!$G:$G,'Cash Flow'!$A17,'Wells Fargo'!$A:$A,H$1,'Wells Fargo'!$B:$B,"&lt;="&amp;'Cash Flow'!H$3)</f>
        <v>0</v>
      </c>
      <c r="I17" s="77">
        <f>SUMIFS('Wells Fargo'!$F:$F,'Wells Fargo'!$G:$G,'Cash Flow'!$A17,'Wells Fargo'!$A:$A,I$1,'Wells Fargo'!$B:$B,"&lt;="&amp;'Cash Flow'!I$3,'Wells Fargo'!$B:$B,"&gt;"&amp;'Cash Flow'!H$3)</f>
        <v>0</v>
      </c>
      <c r="J17" s="77">
        <f>SUMIFS('Wells Fargo'!$F:$F,'Wells Fargo'!$G:$G,'Cash Flow'!$A17,'Wells Fargo'!$A:$A,J$1,'Wells Fargo'!$B:$B,"&lt;="&amp;'Cash Flow'!J$3,'Wells Fargo'!$B:$B,"&gt;"&amp;'Cash Flow'!I$3)</f>
        <v>0</v>
      </c>
      <c r="K17" s="77">
        <f>SUMIFS('Wells Fargo'!$F:$F,'Wells Fargo'!$G:$G,'Cash Flow'!$A17,'Wells Fargo'!$A:$A,K$1,'Wells Fargo'!$B:$B,"&lt;="&amp;'Cash Flow'!K$3,'Wells Fargo'!$B:$B,"&gt;"&amp;'Cash Flow'!J$3)</f>
        <v>0</v>
      </c>
      <c r="L17" s="111">
        <f>SUMIFS('Wells Fargo'!$F:$F,'Wells Fargo'!$G:$G,'Cash Flow'!$A17,'Wells Fargo'!$A:$A,L$1,'Wells Fargo'!$B:$B,"&lt;="&amp;'Cash Flow'!L$3)</f>
        <v>0</v>
      </c>
      <c r="M17" s="77">
        <f>SUMIFS('Wells Fargo'!$F:$F,'Wells Fargo'!$G:$G,'Cash Flow'!$A17,'Wells Fargo'!$A:$A,M$1,'Wells Fargo'!$B:$B,"&lt;="&amp;'Cash Flow'!M$3,'Wells Fargo'!$B:$B,"&gt;"&amp;'Cash Flow'!L$3)</f>
        <v>0</v>
      </c>
      <c r="N17" s="77">
        <f>SUMIFS('Wells Fargo'!$F:$F,'Wells Fargo'!$G:$G,'Cash Flow'!$A17,'Wells Fargo'!$A:$A,N$1,'Wells Fargo'!$B:$B,"&lt;="&amp;'Cash Flow'!N$3,'Wells Fargo'!$B:$B,"&gt;"&amp;'Cash Flow'!M$3)</f>
        <v>0</v>
      </c>
      <c r="O17" s="77">
        <f>SUMIFS('Wells Fargo'!$F:$F,'Wells Fargo'!$G:$G,'Cash Flow'!$A17,'Wells Fargo'!$A:$A,O$1,'Wells Fargo'!$B:$B,"&lt;="&amp;'Cash Flow'!O$3,'Wells Fargo'!$B:$B,"&gt;"&amp;'Cash Flow'!N$3)</f>
        <v>0</v>
      </c>
      <c r="P17" s="77">
        <f>SUMIFS('Wells Fargo'!$F:$F,'Wells Fargo'!$G:$G,'Cash Flow'!$A17,'Wells Fargo'!$A:$A,P$1,'Wells Fargo'!$B:$B,"&lt;="&amp;'Cash Flow'!P$3,'Wells Fargo'!$B:$B,"&gt;"&amp;'Cash Flow'!O$3)</f>
        <v>0</v>
      </c>
      <c r="Q17" s="111">
        <f>SUMIFS('Wells Fargo'!$F:$F,'Wells Fargo'!$G:$G,'Cash Flow'!$A17,'Wells Fargo'!$A:$A,Q$1,'Wells Fargo'!$B:$B,"&lt;="&amp;'Cash Flow'!Q$3)</f>
        <v>0</v>
      </c>
      <c r="R17" s="77">
        <f>SUMIFS('Wells Fargo'!$F:$F,'Wells Fargo'!$G:$G,'Cash Flow'!$A17,'Wells Fargo'!$A:$A,R$1,'Wells Fargo'!$B:$B,"&lt;="&amp;'Cash Flow'!R$3,'Wells Fargo'!$B:$B,"&gt;"&amp;'Cash Flow'!Q$3)</f>
        <v>0</v>
      </c>
      <c r="S17" s="77">
        <f>SUMIFS('Wells Fargo'!$F:$F,'Wells Fargo'!$G:$G,'Cash Flow'!$A17,'Wells Fargo'!$A:$A,S$1,'Wells Fargo'!$B:$B,"&lt;="&amp;'Cash Flow'!S$3,'Wells Fargo'!$B:$B,"&gt;"&amp;'Cash Flow'!R$3)</f>
        <v>0</v>
      </c>
      <c r="T17" s="77">
        <f>SUMIFS('Wells Fargo'!$F:$F,'Wells Fargo'!$G:$G,'Cash Flow'!$A17,'Wells Fargo'!$A:$A,T$1,'Wells Fargo'!$B:$B,"&lt;="&amp;'Cash Flow'!T$3,'Wells Fargo'!$B:$B,"&gt;"&amp;'Cash Flow'!S$3)</f>
        <v>0</v>
      </c>
      <c r="U17" s="77">
        <f>SUMIFS('Wells Fargo'!$F:$F,'Wells Fargo'!$G:$G,'Cash Flow'!$A17,'Wells Fargo'!$A:$A,U$1,'Wells Fargo'!$B:$B,"&lt;="&amp;'Cash Flow'!U$3,'Wells Fargo'!$B:$B,"&gt;"&amp;'Cash Flow'!T$3)</f>
        <v>0</v>
      </c>
      <c r="V17" s="111">
        <f>SUMIFS('Wells Fargo'!$F:$F,'Wells Fargo'!$G:$G,'Cash Flow'!$A17,'Wells Fargo'!$A:$A,V$1,'Wells Fargo'!$B:$B,"&lt;="&amp;'Cash Flow'!V$3)</f>
        <v>0</v>
      </c>
      <c r="W17" s="77">
        <f>SUMIFS('Wells Fargo'!$F:$F,'Wells Fargo'!$G:$G,'Cash Flow'!$A17,'Wells Fargo'!$A:$A,W$1,'Wells Fargo'!$B:$B,"&lt;="&amp;'Cash Flow'!W$3,'Wells Fargo'!$B:$B,"&gt;"&amp;'Cash Flow'!V$3)</f>
        <v>0</v>
      </c>
      <c r="X17" s="77">
        <f>SUMIFS('Wells Fargo'!$F:$F,'Wells Fargo'!$G:$G,'Cash Flow'!$A17,'Wells Fargo'!$A:$A,X$1,'Wells Fargo'!$B:$B,"&lt;="&amp;'Cash Flow'!X$3,'Wells Fargo'!$B:$B,"&gt;"&amp;'Cash Flow'!W$3)</f>
        <v>0</v>
      </c>
      <c r="Y17" s="77">
        <f>SUMIFS('Wells Fargo'!$F:$F,'Wells Fargo'!$G:$G,'Cash Flow'!$A17,'Wells Fargo'!$A:$A,Y$1,'Wells Fargo'!$B:$B,"&lt;="&amp;'Cash Flow'!Y$3,'Wells Fargo'!$B:$B,"&gt;"&amp;'Cash Flow'!X$3)</f>
        <v>0</v>
      </c>
      <c r="Z17" s="77">
        <f>SUMIFS('Wells Fargo'!$F:$F,'Wells Fargo'!$G:$G,'Cash Flow'!$A17,'Wells Fargo'!$A:$A,Z$1,'Wells Fargo'!$B:$B,"&lt;="&amp;'Cash Flow'!Z$3,'Wells Fargo'!$B:$B,"&gt;"&amp;'Cash Flow'!Y$3)</f>
        <v>0</v>
      </c>
      <c r="AA17" s="111">
        <f>SUMIFS('Wells Fargo'!$F:$F,'Wells Fargo'!$G:$G,'Cash Flow'!$A17,'Wells Fargo'!$A:$A,AA$1,'Wells Fargo'!$B:$B,"&lt;="&amp;'Cash Flow'!AA$3)</f>
        <v>0</v>
      </c>
      <c r="AB17" s="77">
        <f>SUMIFS('Wells Fargo'!$F:$F,'Wells Fargo'!$G:$G,'Cash Flow'!$A17,'Wells Fargo'!$A:$A,AB$1,'Wells Fargo'!$B:$B,"&lt;="&amp;'Cash Flow'!AB$3,'Wells Fargo'!$B:$B,"&gt;"&amp;'Cash Flow'!AA$3)</f>
        <v>-200</v>
      </c>
      <c r="AC17" s="77">
        <f>SUMIFS('Wells Fargo'!$F:$F,'Wells Fargo'!$G:$G,'Cash Flow'!$A17,'Wells Fargo'!$A:$A,AC$1,'Wells Fargo'!$B:$B,"&lt;="&amp;'Cash Flow'!AC$3,'Wells Fargo'!$B:$B,"&gt;"&amp;'Cash Flow'!AB$3)</f>
        <v>0</v>
      </c>
      <c r="AD17" s="77">
        <f>SUMIFS('Wells Fargo'!$F:$F,'Wells Fargo'!$G:$G,'Cash Flow'!$A17,'Wells Fargo'!$A:$A,AD$1,'Wells Fargo'!$B:$B,"&lt;="&amp;'Cash Flow'!AD$3,'Wells Fargo'!$B:$B,"&gt;"&amp;'Cash Flow'!AC$3)</f>
        <v>0</v>
      </c>
      <c r="AE17" s="77">
        <f>SUMIFS('Wells Fargo'!$F:$F,'Wells Fargo'!$G:$G,'Cash Flow'!$A17,'Wells Fargo'!$A:$A,AE$1,'Wells Fargo'!$B:$B,"&lt;="&amp;'Cash Flow'!AE$3,'Wells Fargo'!$B:$B,"&gt;"&amp;'Cash Flow'!AD$3)</f>
        <v>0</v>
      </c>
      <c r="AF17" s="111">
        <f>SUMIFS('Wells Fargo'!$F:$F,'Wells Fargo'!$G:$G,'Cash Flow'!$A17,'Wells Fargo'!$A:$A,AF$1,'Wells Fargo'!$B:$B,"&lt;="&amp;'Cash Flow'!AF$3)</f>
        <v>0</v>
      </c>
      <c r="AG17" s="77">
        <f>SUMIFS('Wells Fargo'!$F:$F,'Wells Fargo'!$G:$G,'Cash Flow'!$A17,'Wells Fargo'!$A:$A,AG$1,'Wells Fargo'!$B:$B,"&lt;="&amp;'Cash Flow'!AG$3,'Wells Fargo'!$B:$B,"&gt;"&amp;'Cash Flow'!AF$3)</f>
        <v>0</v>
      </c>
      <c r="AH17" s="77">
        <f>SUMIFS('Wells Fargo'!$F:$F,'Wells Fargo'!$G:$G,'Cash Flow'!$A17,'Wells Fargo'!$A:$A,AH$1,'Wells Fargo'!$B:$B,"&lt;="&amp;'Cash Flow'!AH$3,'Wells Fargo'!$B:$B,"&gt;"&amp;'Cash Flow'!AG$3)</f>
        <v>0</v>
      </c>
      <c r="AI17" s="77">
        <f>SUMIFS('Wells Fargo'!$F:$F,'Wells Fargo'!$G:$G,'Cash Flow'!$A17,'Wells Fargo'!$A:$A,AI$1,'Wells Fargo'!$B:$B,"&lt;="&amp;'Cash Flow'!AI$3,'Wells Fargo'!$B:$B,"&gt;"&amp;'Cash Flow'!AH$3)</f>
        <v>0</v>
      </c>
      <c r="AJ17" s="77">
        <f>SUMIFS('Wells Fargo'!$F:$F,'Wells Fargo'!$G:$G,'Cash Flow'!$A17,'Wells Fargo'!$A:$A,AJ$1,'Wells Fargo'!$B:$B,"&lt;="&amp;'Cash Flow'!AJ$3,'Wells Fargo'!$B:$B,"&gt;"&amp;'Cash Flow'!AI$3)</f>
        <v>0</v>
      </c>
      <c r="AK17" s="111">
        <f>SUMIFS('Wells Fargo'!$F:$F,'Wells Fargo'!$G:$G,'Cash Flow'!$A17,'Wells Fargo'!$A:$A,AK$1,'Wells Fargo'!$B:$B,"&lt;="&amp;'Cash Flow'!AK$3)</f>
        <v>0</v>
      </c>
      <c r="AL17" s="77">
        <f>SUMIFS('Wells Fargo'!$F:$F,'Wells Fargo'!$G:$G,'Cash Flow'!$A17,'Wells Fargo'!$A:$A,AL$1,'Wells Fargo'!$B:$B,"&lt;="&amp;'Cash Flow'!AL$3,'Wells Fargo'!$B:$B,"&gt;"&amp;'Cash Flow'!AK$3)</f>
        <v>0</v>
      </c>
      <c r="AM17" s="77">
        <f>SUMIFS('Wells Fargo'!$F:$F,'Wells Fargo'!$G:$G,'Cash Flow'!$A17,'Wells Fargo'!$A:$A,AM$1,'Wells Fargo'!$B:$B,"&lt;="&amp;'Cash Flow'!AM$3,'Wells Fargo'!$B:$B,"&gt;"&amp;'Cash Flow'!AL$3)</f>
        <v>0</v>
      </c>
      <c r="AN17" s="77">
        <f>SUMIFS('Wells Fargo'!$F:$F,'Wells Fargo'!$G:$G,'Cash Flow'!$A17,'Wells Fargo'!$A:$A,AN$1,'Wells Fargo'!$B:$B,"&lt;="&amp;'Cash Flow'!AN$3,'Wells Fargo'!$B:$B,"&gt;"&amp;'Cash Flow'!AM$3)</f>
        <v>0</v>
      </c>
      <c r="AO17" s="77">
        <f>SUMIFS('Wells Fargo'!$F:$F,'Wells Fargo'!$G:$G,'Cash Flow'!$A17,'Wells Fargo'!$A:$A,AO$1,'Wells Fargo'!$B:$B,"&lt;="&amp;'Cash Flow'!AO$3,'Wells Fargo'!$B:$B,"&gt;"&amp;'Cash Flow'!AN$3)</f>
        <v>0</v>
      </c>
      <c r="AP17" s="111">
        <f>SUMIFS('Wells Fargo'!$F:$F,'Wells Fargo'!$G:$G,'Cash Flow'!$A17,'Wells Fargo'!$A:$A,AP$1,'Wells Fargo'!$B:$B,"&lt;="&amp;'Cash Flow'!AP$3)</f>
        <v>0</v>
      </c>
      <c r="AQ17" s="77">
        <f>SUMIFS('Wells Fargo'!$F:$F,'Wells Fargo'!$G:$G,'Cash Flow'!$A17,'Wells Fargo'!$A:$A,AQ$1,'Wells Fargo'!$B:$B,"&lt;="&amp;'Cash Flow'!AQ$3,'Wells Fargo'!$B:$B,"&gt;"&amp;'Cash Flow'!AP$3)</f>
        <v>0</v>
      </c>
      <c r="AR17" s="77">
        <f>SUMIFS('Wells Fargo'!$F:$F,'Wells Fargo'!$G:$G,'Cash Flow'!$A17,'Wells Fargo'!$A:$A,AR$1,'Wells Fargo'!$B:$B,"&lt;="&amp;'Cash Flow'!AR$3,'Wells Fargo'!$B:$B,"&gt;"&amp;'Cash Flow'!AQ$3)</f>
        <v>0</v>
      </c>
      <c r="AS17" s="77">
        <f>SUMIFS('Wells Fargo'!$F:$F,'Wells Fargo'!$G:$G,'Cash Flow'!$A17,'Wells Fargo'!$A:$A,AS$1,'Wells Fargo'!$B:$B,"&lt;="&amp;'Cash Flow'!AS$3,'Wells Fargo'!$B:$B,"&gt;"&amp;'Cash Flow'!AR$3)</f>
        <v>0</v>
      </c>
      <c r="AT17" s="77">
        <f>SUMIFS('Wells Fargo'!$F:$F,'Wells Fargo'!$G:$G,'Cash Flow'!$A17,'Wells Fargo'!$A:$A,AT$1,'Wells Fargo'!$B:$B,"&lt;="&amp;'Cash Flow'!AT$3,'Wells Fargo'!$B:$B,"&gt;"&amp;'Cash Flow'!AS$3)</f>
        <v>0</v>
      </c>
      <c r="AU17" s="111">
        <f>SUMIFS('Wells Fargo'!$F:$F,'Wells Fargo'!$G:$G,'Cash Flow'!$A17,'Wells Fargo'!$A:$A,AU$1,'Wells Fargo'!$B:$B,"&lt;="&amp;'Cash Flow'!AU$3)</f>
        <v>0</v>
      </c>
      <c r="AV17" s="77">
        <f>SUMIFS('Wells Fargo'!$F:$F,'Wells Fargo'!$G:$G,'Cash Flow'!$A17,'Wells Fargo'!$A:$A,AV$1,'Wells Fargo'!$B:$B,"&lt;="&amp;'Cash Flow'!AV$3,'Wells Fargo'!$B:$B,"&gt;"&amp;'Cash Flow'!AU$3)</f>
        <v>0</v>
      </c>
      <c r="AW17" s="77">
        <f>SUMIFS('Wells Fargo'!$F:$F,'Wells Fargo'!$G:$G,'Cash Flow'!$A17,'Wells Fargo'!$A:$A,AW$1,'Wells Fargo'!$B:$B,"&lt;="&amp;'Cash Flow'!AW$3,'Wells Fargo'!$B:$B,"&gt;"&amp;'Cash Flow'!AV$3)</f>
        <v>0</v>
      </c>
      <c r="AX17" s="77">
        <f>SUMIFS('Wells Fargo'!$F:$F,'Wells Fargo'!$G:$G,'Cash Flow'!$A17,'Wells Fargo'!$A:$A,AX$1,'Wells Fargo'!$B:$B,"&lt;="&amp;'Cash Flow'!AX$3,'Wells Fargo'!$B:$B,"&gt;"&amp;'Cash Flow'!AW$3)</f>
        <v>0</v>
      </c>
      <c r="AY17" s="77">
        <f>SUMIFS('Wells Fargo'!$F:$F,'Wells Fargo'!$G:$G,'Cash Flow'!$A17,'Wells Fargo'!$A:$A,AY$1,'Wells Fargo'!$B:$B,"&lt;="&amp;'Cash Flow'!AY$3,'Wells Fargo'!$B:$B,"&gt;"&amp;'Cash Flow'!AX$3)</f>
        <v>0</v>
      </c>
      <c r="AZ17" s="111">
        <f>SUMIFS('Wells Fargo'!$F:$F,'Wells Fargo'!$G:$G,'Cash Flow'!$A17,'Wells Fargo'!$A:$A,AZ$1,'Wells Fargo'!$B:$B,"&lt;="&amp;'Cash Flow'!AZ$3)</f>
        <v>0</v>
      </c>
      <c r="BA17" s="77">
        <f>SUMIFS('Wells Fargo'!$F:$F,'Wells Fargo'!$G:$G,'Cash Flow'!$A17,'Wells Fargo'!$A:$A,BA$1,'Wells Fargo'!$B:$B,"&lt;="&amp;'Cash Flow'!BA$3,'Wells Fargo'!$B:$B,"&gt;"&amp;'Cash Flow'!AZ$3)</f>
        <v>0</v>
      </c>
      <c r="BB17" s="77">
        <f>SUMIFS('Wells Fargo'!$F:$F,'Wells Fargo'!$G:$G,'Cash Flow'!$A17,'Wells Fargo'!$A:$A,BB$1,'Wells Fargo'!$B:$B,"&lt;="&amp;'Cash Flow'!BB$3,'Wells Fargo'!$B:$B,"&gt;"&amp;'Cash Flow'!BA$3)</f>
        <v>0</v>
      </c>
      <c r="BC17" s="77">
        <f>SUMIFS('Wells Fargo'!$F:$F,'Wells Fargo'!$G:$G,'Cash Flow'!$A17,'Wells Fargo'!$A:$A,BC$1,'Wells Fargo'!$B:$B,"&lt;="&amp;'Cash Flow'!BC$3,'Wells Fargo'!$B:$B,"&gt;"&amp;'Cash Flow'!BB$3)</f>
        <v>0</v>
      </c>
      <c r="BD17" s="77">
        <f>SUMIFS('Wells Fargo'!$F:$F,'Wells Fargo'!$G:$G,'Cash Flow'!$A17,'Wells Fargo'!$A:$A,BD$1,'Wells Fargo'!$B:$B,"&lt;="&amp;'Cash Flow'!BD$3,'Wells Fargo'!$B:$B,"&gt;"&amp;'Cash Flow'!BC$3)</f>
        <v>0</v>
      </c>
      <c r="BE17" s="111">
        <f>SUMIFS('Wells Fargo'!$F:$F,'Wells Fargo'!$G:$G,'Cash Flow'!$A17,'Wells Fargo'!$A:$A,BE$1,'Wells Fargo'!$B:$B,"&lt;="&amp;'Cash Flow'!BE$3)</f>
        <v>0</v>
      </c>
      <c r="BF17" s="77">
        <f>SUMIFS('Wells Fargo'!$F:$F,'Wells Fargo'!$G:$G,'Cash Flow'!$A17,'Wells Fargo'!$A:$A,BF$1,'Wells Fargo'!$B:$B,"&lt;="&amp;'Cash Flow'!BF$3,'Wells Fargo'!$B:$B,"&gt;"&amp;'Cash Flow'!BE$3)</f>
        <v>0</v>
      </c>
      <c r="BG17" s="77">
        <f>SUMIFS('Wells Fargo'!$F:$F,'Wells Fargo'!$G:$G,'Cash Flow'!$A17,'Wells Fargo'!$A:$A,BG$1,'Wells Fargo'!$B:$B,"&lt;="&amp;'Cash Flow'!BG$3,'Wells Fargo'!$B:$B,"&gt;"&amp;'Cash Flow'!BF$3)</f>
        <v>0</v>
      </c>
      <c r="BH17" s="77">
        <f>SUMIFS('Wells Fargo'!$F:$F,'Wells Fargo'!$G:$G,'Cash Flow'!$A17,'Wells Fargo'!$A:$A,BH$1,'Wells Fargo'!$B:$B,"&lt;="&amp;'Cash Flow'!BH$3,'Wells Fargo'!$B:$B,"&gt;"&amp;'Cash Flow'!BG$3)</f>
        <v>0</v>
      </c>
      <c r="BI17" s="77">
        <f>SUMIFS('Wells Fargo'!$F:$F,'Wells Fargo'!$G:$G,'Cash Flow'!$A17,'Wells Fargo'!$A:$A,BI$1,'Wells Fargo'!$B:$B,"&lt;="&amp;'Cash Flow'!BI$3,'Wells Fargo'!$B:$B,"&gt;"&amp;'Cash Flow'!BH$3)</f>
        <v>0</v>
      </c>
    </row>
    <row r="18" spans="1:61" ht="14.5" x14ac:dyDescent="0.5">
      <c r="A18" t="str">
        <v>Gas</v>
      </c>
      <c r="B18" s="90">
        <f t="shared" si="0"/>
        <v>-75.89</v>
      </c>
      <c r="C18" s="111">
        <f>SUMIFS('Wells Fargo'!$F:$F,'Wells Fargo'!$G:$G,'Cash Flow'!$A18,'Wells Fargo'!$A:$A,C$1,'Wells Fargo'!$B:$B,"&lt;="&amp;'Cash Flow'!C$3)</f>
        <v>0</v>
      </c>
      <c r="D18" s="77">
        <f>SUMIFS('Wells Fargo'!$F:$F,'Wells Fargo'!$G:$G,'Cash Flow'!$A18,'Wells Fargo'!$A:$A,D$1,'Wells Fargo'!$B:$B,"&lt;="&amp;'Cash Flow'!D$3,'Wells Fargo'!$B:$B,"&gt;"&amp;'Cash Flow'!C$3)</f>
        <v>0</v>
      </c>
      <c r="E18" s="77">
        <f>SUMIFS('Wells Fargo'!$F:$F,'Wells Fargo'!$G:$G,'Cash Flow'!$A18,'Wells Fargo'!$A:$A,E$1,'Wells Fargo'!$B:$B,"&lt;="&amp;'Cash Flow'!E$3,'Wells Fargo'!$B:$B,"&gt;"&amp;'Cash Flow'!D$3)</f>
        <v>0</v>
      </c>
      <c r="F18" s="77">
        <f>SUMIFS('Wells Fargo'!$F:$F,'Wells Fargo'!$G:$G,'Cash Flow'!$A18,'Wells Fargo'!$A:$A,F$1,'Wells Fargo'!$B:$B,"&lt;="&amp;'Cash Flow'!F$3,'Wells Fargo'!$B:$B,"&gt;"&amp;'Cash Flow'!E$3)</f>
        <v>0</v>
      </c>
      <c r="G18" s="77">
        <f>SUMIFS('Wells Fargo'!$F:$F,'Wells Fargo'!$G:$G,'Cash Flow'!$A18,'Wells Fargo'!$A:$A,G$1,'Wells Fargo'!$B:$B,"&lt;="&amp;'Cash Flow'!G$3,'Wells Fargo'!$B:$B,"&gt;"&amp;'Cash Flow'!F$3)</f>
        <v>0</v>
      </c>
      <c r="H18" s="111">
        <f>SUMIFS('Wells Fargo'!$F:$F,'Wells Fargo'!$G:$G,'Cash Flow'!$A18,'Wells Fargo'!$A:$A,H$1,'Wells Fargo'!$B:$B,"&lt;="&amp;'Cash Flow'!H$3)</f>
        <v>0</v>
      </c>
      <c r="I18" s="77">
        <f>SUMIFS('Wells Fargo'!$F:$F,'Wells Fargo'!$G:$G,'Cash Flow'!$A18,'Wells Fargo'!$A:$A,I$1,'Wells Fargo'!$B:$B,"&lt;="&amp;'Cash Flow'!I$3,'Wells Fargo'!$B:$B,"&gt;"&amp;'Cash Flow'!H$3)</f>
        <v>0</v>
      </c>
      <c r="J18" s="77">
        <f>SUMIFS('Wells Fargo'!$F:$F,'Wells Fargo'!$G:$G,'Cash Flow'!$A18,'Wells Fargo'!$A:$A,J$1,'Wells Fargo'!$B:$B,"&lt;="&amp;'Cash Flow'!J$3,'Wells Fargo'!$B:$B,"&gt;"&amp;'Cash Flow'!I$3)</f>
        <v>0</v>
      </c>
      <c r="K18" s="77">
        <f>SUMIFS('Wells Fargo'!$F:$F,'Wells Fargo'!$G:$G,'Cash Flow'!$A18,'Wells Fargo'!$A:$A,K$1,'Wells Fargo'!$B:$B,"&lt;="&amp;'Cash Flow'!K$3,'Wells Fargo'!$B:$B,"&gt;"&amp;'Cash Flow'!J$3)</f>
        <v>0</v>
      </c>
      <c r="L18" s="111">
        <f>SUMIFS('Wells Fargo'!$F:$F,'Wells Fargo'!$G:$G,'Cash Flow'!$A18,'Wells Fargo'!$A:$A,L$1,'Wells Fargo'!$B:$B,"&lt;="&amp;'Cash Flow'!L$3)</f>
        <v>0</v>
      </c>
      <c r="M18" s="77">
        <f>SUMIFS('Wells Fargo'!$F:$F,'Wells Fargo'!$G:$G,'Cash Flow'!$A18,'Wells Fargo'!$A:$A,M$1,'Wells Fargo'!$B:$B,"&lt;="&amp;'Cash Flow'!M$3,'Wells Fargo'!$B:$B,"&gt;"&amp;'Cash Flow'!L$3)</f>
        <v>0</v>
      </c>
      <c r="N18" s="77">
        <f>SUMIFS('Wells Fargo'!$F:$F,'Wells Fargo'!$G:$G,'Cash Flow'!$A18,'Wells Fargo'!$A:$A,N$1,'Wells Fargo'!$B:$B,"&lt;="&amp;'Cash Flow'!N$3,'Wells Fargo'!$B:$B,"&gt;"&amp;'Cash Flow'!M$3)</f>
        <v>-25.57</v>
      </c>
      <c r="O18" s="77">
        <f>SUMIFS('Wells Fargo'!$F:$F,'Wells Fargo'!$G:$G,'Cash Flow'!$A18,'Wells Fargo'!$A:$A,O$1,'Wells Fargo'!$B:$B,"&lt;="&amp;'Cash Flow'!O$3,'Wells Fargo'!$B:$B,"&gt;"&amp;'Cash Flow'!N$3)</f>
        <v>0</v>
      </c>
      <c r="P18" s="77">
        <f>SUMIFS('Wells Fargo'!$F:$F,'Wells Fargo'!$G:$G,'Cash Flow'!$A18,'Wells Fargo'!$A:$A,P$1,'Wells Fargo'!$B:$B,"&lt;="&amp;'Cash Flow'!P$3,'Wells Fargo'!$B:$B,"&gt;"&amp;'Cash Flow'!O$3)</f>
        <v>0</v>
      </c>
      <c r="Q18" s="111">
        <f>SUMIFS('Wells Fargo'!$F:$F,'Wells Fargo'!$G:$G,'Cash Flow'!$A18,'Wells Fargo'!$A:$A,Q$1,'Wells Fargo'!$B:$B,"&lt;="&amp;'Cash Flow'!Q$3)</f>
        <v>0</v>
      </c>
      <c r="R18" s="77">
        <f>SUMIFS('Wells Fargo'!$F:$F,'Wells Fargo'!$G:$G,'Cash Flow'!$A18,'Wells Fargo'!$A:$A,R$1,'Wells Fargo'!$B:$B,"&lt;="&amp;'Cash Flow'!R$3,'Wells Fargo'!$B:$B,"&gt;"&amp;'Cash Flow'!Q$3)</f>
        <v>0</v>
      </c>
      <c r="S18" s="77">
        <f>SUMIFS('Wells Fargo'!$F:$F,'Wells Fargo'!$G:$G,'Cash Flow'!$A18,'Wells Fargo'!$A:$A,S$1,'Wells Fargo'!$B:$B,"&lt;="&amp;'Cash Flow'!S$3,'Wells Fargo'!$B:$B,"&gt;"&amp;'Cash Flow'!R$3)</f>
        <v>0</v>
      </c>
      <c r="T18" s="77">
        <f>SUMIFS('Wells Fargo'!$F:$F,'Wells Fargo'!$G:$G,'Cash Flow'!$A18,'Wells Fargo'!$A:$A,T$1,'Wells Fargo'!$B:$B,"&lt;="&amp;'Cash Flow'!T$3,'Wells Fargo'!$B:$B,"&gt;"&amp;'Cash Flow'!S$3)</f>
        <v>0</v>
      </c>
      <c r="U18" s="77">
        <f>SUMIFS('Wells Fargo'!$F:$F,'Wells Fargo'!$G:$G,'Cash Flow'!$A18,'Wells Fargo'!$A:$A,U$1,'Wells Fargo'!$B:$B,"&lt;="&amp;'Cash Flow'!U$3,'Wells Fargo'!$B:$B,"&gt;"&amp;'Cash Flow'!T$3)</f>
        <v>0</v>
      </c>
      <c r="V18" s="111">
        <f>SUMIFS('Wells Fargo'!$F:$F,'Wells Fargo'!$G:$G,'Cash Flow'!$A18,'Wells Fargo'!$A:$A,V$1,'Wells Fargo'!$B:$B,"&lt;="&amp;'Cash Flow'!V$3)</f>
        <v>0</v>
      </c>
      <c r="W18" s="77">
        <f>SUMIFS('Wells Fargo'!$F:$F,'Wells Fargo'!$G:$G,'Cash Flow'!$A18,'Wells Fargo'!$A:$A,W$1,'Wells Fargo'!$B:$B,"&lt;="&amp;'Cash Flow'!W$3,'Wells Fargo'!$B:$B,"&gt;"&amp;'Cash Flow'!V$3)</f>
        <v>-50.32</v>
      </c>
      <c r="X18" s="77">
        <f>SUMIFS('Wells Fargo'!$F:$F,'Wells Fargo'!$G:$G,'Cash Flow'!$A18,'Wells Fargo'!$A:$A,X$1,'Wells Fargo'!$B:$B,"&lt;="&amp;'Cash Flow'!X$3,'Wells Fargo'!$B:$B,"&gt;"&amp;'Cash Flow'!W$3)</f>
        <v>0</v>
      </c>
      <c r="Y18" s="77">
        <f>SUMIFS('Wells Fargo'!$F:$F,'Wells Fargo'!$G:$G,'Cash Flow'!$A18,'Wells Fargo'!$A:$A,Y$1,'Wells Fargo'!$B:$B,"&lt;="&amp;'Cash Flow'!Y$3,'Wells Fargo'!$B:$B,"&gt;"&amp;'Cash Flow'!X$3)</f>
        <v>0</v>
      </c>
      <c r="Z18" s="77">
        <f>SUMIFS('Wells Fargo'!$F:$F,'Wells Fargo'!$G:$G,'Cash Flow'!$A18,'Wells Fargo'!$A:$A,Z$1,'Wells Fargo'!$B:$B,"&lt;="&amp;'Cash Flow'!Z$3,'Wells Fargo'!$B:$B,"&gt;"&amp;'Cash Flow'!Y$3)</f>
        <v>0</v>
      </c>
      <c r="AA18" s="111">
        <f>SUMIFS('Wells Fargo'!$F:$F,'Wells Fargo'!$G:$G,'Cash Flow'!$A18,'Wells Fargo'!$A:$A,AA$1,'Wells Fargo'!$B:$B,"&lt;="&amp;'Cash Flow'!AA$3)</f>
        <v>0</v>
      </c>
      <c r="AB18" s="77">
        <f>SUMIFS('Wells Fargo'!$F:$F,'Wells Fargo'!$G:$G,'Cash Flow'!$A18,'Wells Fargo'!$A:$A,AB$1,'Wells Fargo'!$B:$B,"&lt;="&amp;'Cash Flow'!AB$3,'Wells Fargo'!$B:$B,"&gt;"&amp;'Cash Flow'!AA$3)</f>
        <v>0</v>
      </c>
      <c r="AC18" s="77">
        <f>SUMIFS('Wells Fargo'!$F:$F,'Wells Fargo'!$G:$G,'Cash Flow'!$A18,'Wells Fargo'!$A:$A,AC$1,'Wells Fargo'!$B:$B,"&lt;="&amp;'Cash Flow'!AC$3,'Wells Fargo'!$B:$B,"&gt;"&amp;'Cash Flow'!AB$3)</f>
        <v>0</v>
      </c>
      <c r="AD18" s="77">
        <f>SUMIFS('Wells Fargo'!$F:$F,'Wells Fargo'!$G:$G,'Cash Flow'!$A18,'Wells Fargo'!$A:$A,AD$1,'Wells Fargo'!$B:$B,"&lt;="&amp;'Cash Flow'!AD$3,'Wells Fargo'!$B:$B,"&gt;"&amp;'Cash Flow'!AC$3)</f>
        <v>0</v>
      </c>
      <c r="AE18" s="77">
        <f>SUMIFS('Wells Fargo'!$F:$F,'Wells Fargo'!$G:$G,'Cash Flow'!$A18,'Wells Fargo'!$A:$A,AE$1,'Wells Fargo'!$B:$B,"&lt;="&amp;'Cash Flow'!AE$3,'Wells Fargo'!$B:$B,"&gt;"&amp;'Cash Flow'!AD$3)</f>
        <v>0</v>
      </c>
      <c r="AF18" s="111">
        <f>SUMIFS('Wells Fargo'!$F:$F,'Wells Fargo'!$G:$G,'Cash Flow'!$A18,'Wells Fargo'!$A:$A,AF$1,'Wells Fargo'!$B:$B,"&lt;="&amp;'Cash Flow'!AF$3)</f>
        <v>0</v>
      </c>
      <c r="AG18" s="77">
        <f>SUMIFS('Wells Fargo'!$F:$F,'Wells Fargo'!$G:$G,'Cash Flow'!$A18,'Wells Fargo'!$A:$A,AG$1,'Wells Fargo'!$B:$B,"&lt;="&amp;'Cash Flow'!AG$3,'Wells Fargo'!$B:$B,"&gt;"&amp;'Cash Flow'!AF$3)</f>
        <v>0</v>
      </c>
      <c r="AH18" s="77">
        <f>SUMIFS('Wells Fargo'!$F:$F,'Wells Fargo'!$G:$G,'Cash Flow'!$A18,'Wells Fargo'!$A:$A,AH$1,'Wells Fargo'!$B:$B,"&lt;="&amp;'Cash Flow'!AH$3,'Wells Fargo'!$B:$B,"&gt;"&amp;'Cash Flow'!AG$3)</f>
        <v>0</v>
      </c>
      <c r="AI18" s="77">
        <f>SUMIFS('Wells Fargo'!$F:$F,'Wells Fargo'!$G:$G,'Cash Flow'!$A18,'Wells Fargo'!$A:$A,AI$1,'Wells Fargo'!$B:$B,"&lt;="&amp;'Cash Flow'!AI$3,'Wells Fargo'!$B:$B,"&gt;"&amp;'Cash Flow'!AH$3)</f>
        <v>0</v>
      </c>
      <c r="AJ18" s="77">
        <f>SUMIFS('Wells Fargo'!$F:$F,'Wells Fargo'!$G:$G,'Cash Flow'!$A18,'Wells Fargo'!$A:$A,AJ$1,'Wells Fargo'!$B:$B,"&lt;="&amp;'Cash Flow'!AJ$3,'Wells Fargo'!$B:$B,"&gt;"&amp;'Cash Flow'!AI$3)</f>
        <v>0</v>
      </c>
      <c r="AK18" s="111">
        <f>SUMIFS('Wells Fargo'!$F:$F,'Wells Fargo'!$G:$G,'Cash Flow'!$A18,'Wells Fargo'!$A:$A,AK$1,'Wells Fargo'!$B:$B,"&lt;="&amp;'Cash Flow'!AK$3)</f>
        <v>0</v>
      </c>
      <c r="AL18" s="77">
        <f>SUMIFS('Wells Fargo'!$F:$F,'Wells Fargo'!$G:$G,'Cash Flow'!$A18,'Wells Fargo'!$A:$A,AL$1,'Wells Fargo'!$B:$B,"&lt;="&amp;'Cash Flow'!AL$3,'Wells Fargo'!$B:$B,"&gt;"&amp;'Cash Flow'!AK$3)</f>
        <v>0</v>
      </c>
      <c r="AM18" s="77">
        <f>SUMIFS('Wells Fargo'!$F:$F,'Wells Fargo'!$G:$G,'Cash Flow'!$A18,'Wells Fargo'!$A:$A,AM$1,'Wells Fargo'!$B:$B,"&lt;="&amp;'Cash Flow'!AM$3,'Wells Fargo'!$B:$B,"&gt;"&amp;'Cash Flow'!AL$3)</f>
        <v>0</v>
      </c>
      <c r="AN18" s="77">
        <f>SUMIFS('Wells Fargo'!$F:$F,'Wells Fargo'!$G:$G,'Cash Flow'!$A18,'Wells Fargo'!$A:$A,AN$1,'Wells Fargo'!$B:$B,"&lt;="&amp;'Cash Flow'!AN$3,'Wells Fargo'!$B:$B,"&gt;"&amp;'Cash Flow'!AM$3)</f>
        <v>0</v>
      </c>
      <c r="AO18" s="77">
        <f>SUMIFS('Wells Fargo'!$F:$F,'Wells Fargo'!$G:$G,'Cash Flow'!$A18,'Wells Fargo'!$A:$A,AO$1,'Wells Fargo'!$B:$B,"&lt;="&amp;'Cash Flow'!AO$3,'Wells Fargo'!$B:$B,"&gt;"&amp;'Cash Flow'!AN$3)</f>
        <v>0</v>
      </c>
      <c r="AP18" s="111">
        <f>SUMIFS('Wells Fargo'!$F:$F,'Wells Fargo'!$G:$G,'Cash Flow'!$A18,'Wells Fargo'!$A:$A,AP$1,'Wells Fargo'!$B:$B,"&lt;="&amp;'Cash Flow'!AP$3)</f>
        <v>0</v>
      </c>
      <c r="AQ18" s="77">
        <f>SUMIFS('Wells Fargo'!$F:$F,'Wells Fargo'!$G:$G,'Cash Flow'!$A18,'Wells Fargo'!$A:$A,AQ$1,'Wells Fargo'!$B:$B,"&lt;="&amp;'Cash Flow'!AQ$3,'Wells Fargo'!$B:$B,"&gt;"&amp;'Cash Flow'!AP$3)</f>
        <v>0</v>
      </c>
      <c r="AR18" s="77">
        <f>SUMIFS('Wells Fargo'!$F:$F,'Wells Fargo'!$G:$G,'Cash Flow'!$A18,'Wells Fargo'!$A:$A,AR$1,'Wells Fargo'!$B:$B,"&lt;="&amp;'Cash Flow'!AR$3,'Wells Fargo'!$B:$B,"&gt;"&amp;'Cash Flow'!AQ$3)</f>
        <v>0</v>
      </c>
      <c r="AS18" s="77">
        <f>SUMIFS('Wells Fargo'!$F:$F,'Wells Fargo'!$G:$G,'Cash Flow'!$A18,'Wells Fargo'!$A:$A,AS$1,'Wells Fargo'!$B:$B,"&lt;="&amp;'Cash Flow'!AS$3,'Wells Fargo'!$B:$B,"&gt;"&amp;'Cash Flow'!AR$3)</f>
        <v>0</v>
      </c>
      <c r="AT18" s="77">
        <f>SUMIFS('Wells Fargo'!$F:$F,'Wells Fargo'!$G:$G,'Cash Flow'!$A18,'Wells Fargo'!$A:$A,AT$1,'Wells Fargo'!$B:$B,"&lt;="&amp;'Cash Flow'!AT$3,'Wells Fargo'!$B:$B,"&gt;"&amp;'Cash Flow'!AS$3)</f>
        <v>0</v>
      </c>
      <c r="AU18" s="111">
        <f>SUMIFS('Wells Fargo'!$F:$F,'Wells Fargo'!$G:$G,'Cash Flow'!$A18,'Wells Fargo'!$A:$A,AU$1,'Wells Fargo'!$B:$B,"&lt;="&amp;'Cash Flow'!AU$3)</f>
        <v>0</v>
      </c>
      <c r="AV18" s="77">
        <f>SUMIFS('Wells Fargo'!$F:$F,'Wells Fargo'!$G:$G,'Cash Flow'!$A18,'Wells Fargo'!$A:$A,AV$1,'Wells Fargo'!$B:$B,"&lt;="&amp;'Cash Flow'!AV$3,'Wells Fargo'!$B:$B,"&gt;"&amp;'Cash Flow'!AU$3)</f>
        <v>0</v>
      </c>
      <c r="AW18" s="77">
        <f>SUMIFS('Wells Fargo'!$F:$F,'Wells Fargo'!$G:$G,'Cash Flow'!$A18,'Wells Fargo'!$A:$A,AW$1,'Wells Fargo'!$B:$B,"&lt;="&amp;'Cash Flow'!AW$3,'Wells Fargo'!$B:$B,"&gt;"&amp;'Cash Flow'!AV$3)</f>
        <v>0</v>
      </c>
      <c r="AX18" s="77">
        <f>SUMIFS('Wells Fargo'!$F:$F,'Wells Fargo'!$G:$G,'Cash Flow'!$A18,'Wells Fargo'!$A:$A,AX$1,'Wells Fargo'!$B:$B,"&lt;="&amp;'Cash Flow'!AX$3,'Wells Fargo'!$B:$B,"&gt;"&amp;'Cash Flow'!AW$3)</f>
        <v>0</v>
      </c>
      <c r="AY18" s="77">
        <f>SUMIFS('Wells Fargo'!$F:$F,'Wells Fargo'!$G:$G,'Cash Flow'!$A18,'Wells Fargo'!$A:$A,AY$1,'Wells Fargo'!$B:$B,"&lt;="&amp;'Cash Flow'!AY$3,'Wells Fargo'!$B:$B,"&gt;"&amp;'Cash Flow'!AX$3)</f>
        <v>0</v>
      </c>
      <c r="AZ18" s="111">
        <f>SUMIFS('Wells Fargo'!$F:$F,'Wells Fargo'!$G:$G,'Cash Flow'!$A18,'Wells Fargo'!$A:$A,AZ$1,'Wells Fargo'!$B:$B,"&lt;="&amp;'Cash Flow'!AZ$3)</f>
        <v>0</v>
      </c>
      <c r="BA18" s="77">
        <f>SUMIFS('Wells Fargo'!$F:$F,'Wells Fargo'!$G:$G,'Cash Flow'!$A18,'Wells Fargo'!$A:$A,BA$1,'Wells Fargo'!$B:$B,"&lt;="&amp;'Cash Flow'!BA$3,'Wells Fargo'!$B:$B,"&gt;"&amp;'Cash Flow'!AZ$3)</f>
        <v>0</v>
      </c>
      <c r="BB18" s="77">
        <f>SUMIFS('Wells Fargo'!$F:$F,'Wells Fargo'!$G:$G,'Cash Flow'!$A18,'Wells Fargo'!$A:$A,BB$1,'Wells Fargo'!$B:$B,"&lt;="&amp;'Cash Flow'!BB$3,'Wells Fargo'!$B:$B,"&gt;"&amp;'Cash Flow'!BA$3)</f>
        <v>0</v>
      </c>
      <c r="BC18" s="77">
        <f>SUMIFS('Wells Fargo'!$F:$F,'Wells Fargo'!$G:$G,'Cash Flow'!$A18,'Wells Fargo'!$A:$A,BC$1,'Wells Fargo'!$B:$B,"&lt;="&amp;'Cash Flow'!BC$3,'Wells Fargo'!$B:$B,"&gt;"&amp;'Cash Flow'!BB$3)</f>
        <v>0</v>
      </c>
      <c r="BD18" s="77">
        <f>SUMIFS('Wells Fargo'!$F:$F,'Wells Fargo'!$G:$G,'Cash Flow'!$A18,'Wells Fargo'!$A:$A,BD$1,'Wells Fargo'!$B:$B,"&lt;="&amp;'Cash Flow'!BD$3,'Wells Fargo'!$B:$B,"&gt;"&amp;'Cash Flow'!BC$3)</f>
        <v>0</v>
      </c>
      <c r="BE18" s="111">
        <f>SUMIFS('Wells Fargo'!$F:$F,'Wells Fargo'!$G:$G,'Cash Flow'!$A18,'Wells Fargo'!$A:$A,BE$1,'Wells Fargo'!$B:$B,"&lt;="&amp;'Cash Flow'!BE$3)</f>
        <v>0</v>
      </c>
      <c r="BF18" s="77">
        <f>SUMIFS('Wells Fargo'!$F:$F,'Wells Fargo'!$G:$G,'Cash Flow'!$A18,'Wells Fargo'!$A:$A,BF$1,'Wells Fargo'!$B:$B,"&lt;="&amp;'Cash Flow'!BF$3,'Wells Fargo'!$B:$B,"&gt;"&amp;'Cash Flow'!BE$3)</f>
        <v>0</v>
      </c>
      <c r="BG18" s="77">
        <f>SUMIFS('Wells Fargo'!$F:$F,'Wells Fargo'!$G:$G,'Cash Flow'!$A18,'Wells Fargo'!$A:$A,BG$1,'Wells Fargo'!$B:$B,"&lt;="&amp;'Cash Flow'!BG$3,'Wells Fargo'!$B:$B,"&gt;"&amp;'Cash Flow'!BF$3)</f>
        <v>0</v>
      </c>
      <c r="BH18" s="77">
        <f>SUMIFS('Wells Fargo'!$F:$F,'Wells Fargo'!$G:$G,'Cash Flow'!$A18,'Wells Fargo'!$A:$A,BH$1,'Wells Fargo'!$B:$B,"&lt;="&amp;'Cash Flow'!BH$3,'Wells Fargo'!$B:$B,"&gt;"&amp;'Cash Flow'!BG$3)</f>
        <v>0</v>
      </c>
      <c r="BI18" s="77">
        <f>SUMIFS('Wells Fargo'!$F:$F,'Wells Fargo'!$G:$G,'Cash Flow'!$A18,'Wells Fargo'!$A:$A,BI$1,'Wells Fargo'!$B:$B,"&lt;="&amp;'Cash Flow'!BI$3,'Wells Fargo'!$B:$B,"&gt;"&amp;'Cash Flow'!BH$3)</f>
        <v>0</v>
      </c>
    </row>
    <row r="19" spans="1:61" ht="14.5" x14ac:dyDescent="0.5">
      <c r="A19" t="str">
        <v>Headshot</v>
      </c>
      <c r="B19" s="90">
        <f t="shared" si="0"/>
        <v>-20</v>
      </c>
      <c r="C19" s="111">
        <f>SUMIFS('Wells Fargo'!$F:$F,'Wells Fargo'!$G:$G,'Cash Flow'!$A19,'Wells Fargo'!$A:$A,C$1,'Wells Fargo'!$B:$B,"&lt;="&amp;'Cash Flow'!C$3)</f>
        <v>0</v>
      </c>
      <c r="D19" s="77">
        <f>SUMIFS('Wells Fargo'!$F:$F,'Wells Fargo'!$G:$G,'Cash Flow'!$A19,'Wells Fargo'!$A:$A,D$1,'Wells Fargo'!$B:$B,"&lt;="&amp;'Cash Flow'!D$3,'Wells Fargo'!$B:$B,"&gt;"&amp;'Cash Flow'!C$3)</f>
        <v>0</v>
      </c>
      <c r="E19" s="77">
        <f>SUMIFS('Wells Fargo'!$F:$F,'Wells Fargo'!$G:$G,'Cash Flow'!$A19,'Wells Fargo'!$A:$A,E$1,'Wells Fargo'!$B:$B,"&lt;="&amp;'Cash Flow'!E$3,'Wells Fargo'!$B:$B,"&gt;"&amp;'Cash Flow'!D$3)</f>
        <v>0</v>
      </c>
      <c r="F19" s="77">
        <f>SUMIFS('Wells Fargo'!$F:$F,'Wells Fargo'!$G:$G,'Cash Flow'!$A19,'Wells Fargo'!$A:$A,F$1,'Wells Fargo'!$B:$B,"&lt;="&amp;'Cash Flow'!F$3,'Wells Fargo'!$B:$B,"&gt;"&amp;'Cash Flow'!E$3)</f>
        <v>0</v>
      </c>
      <c r="G19" s="77">
        <f>SUMIFS('Wells Fargo'!$F:$F,'Wells Fargo'!$G:$G,'Cash Flow'!$A19,'Wells Fargo'!$A:$A,G$1,'Wells Fargo'!$B:$B,"&lt;="&amp;'Cash Flow'!G$3,'Wells Fargo'!$B:$B,"&gt;"&amp;'Cash Flow'!F$3)</f>
        <v>0</v>
      </c>
      <c r="H19" s="111">
        <f>SUMIFS('Wells Fargo'!$F:$F,'Wells Fargo'!$G:$G,'Cash Flow'!$A19,'Wells Fargo'!$A:$A,H$1,'Wells Fargo'!$B:$B,"&lt;="&amp;'Cash Flow'!H$3)</f>
        <v>0</v>
      </c>
      <c r="I19" s="77">
        <f>SUMIFS('Wells Fargo'!$F:$F,'Wells Fargo'!$G:$G,'Cash Flow'!$A19,'Wells Fargo'!$A:$A,I$1,'Wells Fargo'!$B:$B,"&lt;="&amp;'Cash Flow'!I$3,'Wells Fargo'!$B:$B,"&gt;"&amp;'Cash Flow'!H$3)</f>
        <v>0</v>
      </c>
      <c r="J19" s="77">
        <f>SUMIFS('Wells Fargo'!$F:$F,'Wells Fargo'!$G:$G,'Cash Flow'!$A19,'Wells Fargo'!$A:$A,J$1,'Wells Fargo'!$B:$B,"&lt;="&amp;'Cash Flow'!J$3,'Wells Fargo'!$B:$B,"&gt;"&amp;'Cash Flow'!I$3)</f>
        <v>0</v>
      </c>
      <c r="K19" s="77">
        <f>SUMIFS('Wells Fargo'!$F:$F,'Wells Fargo'!$G:$G,'Cash Flow'!$A19,'Wells Fargo'!$A:$A,K$1,'Wells Fargo'!$B:$B,"&lt;="&amp;'Cash Flow'!K$3,'Wells Fargo'!$B:$B,"&gt;"&amp;'Cash Flow'!J$3)</f>
        <v>0</v>
      </c>
      <c r="L19" s="111">
        <f>SUMIFS('Wells Fargo'!$F:$F,'Wells Fargo'!$G:$G,'Cash Flow'!$A19,'Wells Fargo'!$A:$A,L$1,'Wells Fargo'!$B:$B,"&lt;="&amp;'Cash Flow'!L$3)</f>
        <v>0</v>
      </c>
      <c r="M19" s="77">
        <f>SUMIFS('Wells Fargo'!$F:$F,'Wells Fargo'!$G:$G,'Cash Flow'!$A19,'Wells Fargo'!$A:$A,M$1,'Wells Fargo'!$B:$B,"&lt;="&amp;'Cash Flow'!M$3,'Wells Fargo'!$B:$B,"&gt;"&amp;'Cash Flow'!L$3)</f>
        <v>0</v>
      </c>
      <c r="N19" s="77">
        <f>SUMIFS('Wells Fargo'!$F:$F,'Wells Fargo'!$G:$G,'Cash Flow'!$A19,'Wells Fargo'!$A:$A,N$1,'Wells Fargo'!$B:$B,"&lt;="&amp;'Cash Flow'!N$3,'Wells Fargo'!$B:$B,"&gt;"&amp;'Cash Flow'!M$3)</f>
        <v>0</v>
      </c>
      <c r="O19" s="77">
        <f>SUMIFS('Wells Fargo'!$F:$F,'Wells Fargo'!$G:$G,'Cash Flow'!$A19,'Wells Fargo'!$A:$A,O$1,'Wells Fargo'!$B:$B,"&lt;="&amp;'Cash Flow'!O$3,'Wells Fargo'!$B:$B,"&gt;"&amp;'Cash Flow'!N$3)</f>
        <v>0</v>
      </c>
      <c r="P19" s="77">
        <f>SUMIFS('Wells Fargo'!$F:$F,'Wells Fargo'!$G:$G,'Cash Flow'!$A19,'Wells Fargo'!$A:$A,P$1,'Wells Fargo'!$B:$B,"&lt;="&amp;'Cash Flow'!P$3,'Wells Fargo'!$B:$B,"&gt;"&amp;'Cash Flow'!O$3)</f>
        <v>0</v>
      </c>
      <c r="Q19" s="111">
        <f>SUMIFS('Wells Fargo'!$F:$F,'Wells Fargo'!$G:$G,'Cash Flow'!$A19,'Wells Fargo'!$A:$A,Q$1,'Wells Fargo'!$B:$B,"&lt;="&amp;'Cash Flow'!Q$3)</f>
        <v>0</v>
      </c>
      <c r="R19" s="77">
        <f>SUMIFS('Wells Fargo'!$F:$F,'Wells Fargo'!$G:$G,'Cash Flow'!$A19,'Wells Fargo'!$A:$A,R$1,'Wells Fargo'!$B:$B,"&lt;="&amp;'Cash Flow'!R$3,'Wells Fargo'!$B:$B,"&gt;"&amp;'Cash Flow'!Q$3)</f>
        <v>0</v>
      </c>
      <c r="S19" s="77">
        <f>SUMIFS('Wells Fargo'!$F:$F,'Wells Fargo'!$G:$G,'Cash Flow'!$A19,'Wells Fargo'!$A:$A,S$1,'Wells Fargo'!$B:$B,"&lt;="&amp;'Cash Flow'!S$3,'Wells Fargo'!$B:$B,"&gt;"&amp;'Cash Flow'!R$3)</f>
        <v>0</v>
      </c>
      <c r="T19" s="77">
        <f>SUMIFS('Wells Fargo'!$F:$F,'Wells Fargo'!$G:$G,'Cash Flow'!$A19,'Wells Fargo'!$A:$A,T$1,'Wells Fargo'!$B:$B,"&lt;="&amp;'Cash Flow'!T$3,'Wells Fargo'!$B:$B,"&gt;"&amp;'Cash Flow'!S$3)</f>
        <v>0</v>
      </c>
      <c r="U19" s="77">
        <f>SUMIFS('Wells Fargo'!$F:$F,'Wells Fargo'!$G:$G,'Cash Flow'!$A19,'Wells Fargo'!$A:$A,U$1,'Wells Fargo'!$B:$B,"&lt;="&amp;'Cash Flow'!U$3,'Wells Fargo'!$B:$B,"&gt;"&amp;'Cash Flow'!T$3)</f>
        <v>0</v>
      </c>
      <c r="V19" s="111">
        <f>SUMIFS('Wells Fargo'!$F:$F,'Wells Fargo'!$G:$G,'Cash Flow'!$A19,'Wells Fargo'!$A:$A,V$1,'Wells Fargo'!$B:$B,"&lt;="&amp;'Cash Flow'!V$3)</f>
        <v>0</v>
      </c>
      <c r="W19" s="77">
        <f>SUMIFS('Wells Fargo'!$F:$F,'Wells Fargo'!$G:$G,'Cash Flow'!$A19,'Wells Fargo'!$A:$A,W$1,'Wells Fargo'!$B:$B,"&lt;="&amp;'Cash Flow'!W$3,'Wells Fargo'!$B:$B,"&gt;"&amp;'Cash Flow'!V$3)</f>
        <v>0</v>
      </c>
      <c r="X19" s="77">
        <f>SUMIFS('Wells Fargo'!$F:$F,'Wells Fargo'!$G:$G,'Cash Flow'!$A19,'Wells Fargo'!$A:$A,X$1,'Wells Fargo'!$B:$B,"&lt;="&amp;'Cash Flow'!X$3,'Wells Fargo'!$B:$B,"&gt;"&amp;'Cash Flow'!W$3)</f>
        <v>0</v>
      </c>
      <c r="Y19" s="77">
        <f>SUMIFS('Wells Fargo'!$F:$F,'Wells Fargo'!$G:$G,'Cash Flow'!$A19,'Wells Fargo'!$A:$A,Y$1,'Wells Fargo'!$B:$B,"&lt;="&amp;'Cash Flow'!Y$3,'Wells Fargo'!$B:$B,"&gt;"&amp;'Cash Flow'!X$3)</f>
        <v>0</v>
      </c>
      <c r="Z19" s="77">
        <f>SUMIFS('Wells Fargo'!$F:$F,'Wells Fargo'!$G:$G,'Cash Flow'!$A19,'Wells Fargo'!$A:$A,Z$1,'Wells Fargo'!$B:$B,"&lt;="&amp;'Cash Flow'!Z$3,'Wells Fargo'!$B:$B,"&gt;"&amp;'Cash Flow'!Y$3)</f>
        <v>0</v>
      </c>
      <c r="AA19" s="111">
        <f>SUMIFS('Wells Fargo'!$F:$F,'Wells Fargo'!$G:$G,'Cash Flow'!$A19,'Wells Fargo'!$A:$A,AA$1,'Wells Fargo'!$B:$B,"&lt;="&amp;'Cash Flow'!AA$3)</f>
        <v>0</v>
      </c>
      <c r="AB19" s="77">
        <f>SUMIFS('Wells Fargo'!$F:$F,'Wells Fargo'!$G:$G,'Cash Flow'!$A19,'Wells Fargo'!$A:$A,AB$1,'Wells Fargo'!$B:$B,"&lt;="&amp;'Cash Flow'!AB$3,'Wells Fargo'!$B:$B,"&gt;"&amp;'Cash Flow'!AA$3)</f>
        <v>0</v>
      </c>
      <c r="AC19" s="77">
        <f>SUMIFS('Wells Fargo'!$F:$F,'Wells Fargo'!$G:$G,'Cash Flow'!$A19,'Wells Fargo'!$A:$A,AC$1,'Wells Fargo'!$B:$B,"&lt;="&amp;'Cash Flow'!AC$3,'Wells Fargo'!$B:$B,"&gt;"&amp;'Cash Flow'!AB$3)</f>
        <v>0</v>
      </c>
      <c r="AD19" s="77">
        <f>SUMIFS('Wells Fargo'!$F:$F,'Wells Fargo'!$G:$G,'Cash Flow'!$A19,'Wells Fargo'!$A:$A,AD$1,'Wells Fargo'!$B:$B,"&lt;="&amp;'Cash Flow'!AD$3,'Wells Fargo'!$B:$B,"&gt;"&amp;'Cash Flow'!AC$3)</f>
        <v>-20</v>
      </c>
      <c r="AE19" s="77">
        <f>SUMIFS('Wells Fargo'!$F:$F,'Wells Fargo'!$G:$G,'Cash Flow'!$A19,'Wells Fargo'!$A:$A,AE$1,'Wells Fargo'!$B:$B,"&lt;="&amp;'Cash Flow'!AE$3,'Wells Fargo'!$B:$B,"&gt;"&amp;'Cash Flow'!AD$3)</f>
        <v>0</v>
      </c>
      <c r="AF19" s="111">
        <f>SUMIFS('Wells Fargo'!$F:$F,'Wells Fargo'!$G:$G,'Cash Flow'!$A19,'Wells Fargo'!$A:$A,AF$1,'Wells Fargo'!$B:$B,"&lt;="&amp;'Cash Flow'!AF$3)</f>
        <v>0</v>
      </c>
      <c r="AG19" s="77">
        <f>SUMIFS('Wells Fargo'!$F:$F,'Wells Fargo'!$G:$G,'Cash Flow'!$A19,'Wells Fargo'!$A:$A,AG$1,'Wells Fargo'!$B:$B,"&lt;="&amp;'Cash Flow'!AG$3,'Wells Fargo'!$B:$B,"&gt;"&amp;'Cash Flow'!AF$3)</f>
        <v>0</v>
      </c>
      <c r="AH19" s="77">
        <f>SUMIFS('Wells Fargo'!$F:$F,'Wells Fargo'!$G:$G,'Cash Flow'!$A19,'Wells Fargo'!$A:$A,AH$1,'Wells Fargo'!$B:$B,"&lt;="&amp;'Cash Flow'!AH$3,'Wells Fargo'!$B:$B,"&gt;"&amp;'Cash Flow'!AG$3)</f>
        <v>0</v>
      </c>
      <c r="AI19" s="77">
        <f>SUMIFS('Wells Fargo'!$F:$F,'Wells Fargo'!$G:$G,'Cash Flow'!$A19,'Wells Fargo'!$A:$A,AI$1,'Wells Fargo'!$B:$B,"&lt;="&amp;'Cash Flow'!AI$3,'Wells Fargo'!$B:$B,"&gt;"&amp;'Cash Flow'!AH$3)</f>
        <v>0</v>
      </c>
      <c r="AJ19" s="77">
        <f>SUMIFS('Wells Fargo'!$F:$F,'Wells Fargo'!$G:$G,'Cash Flow'!$A19,'Wells Fargo'!$A:$A,AJ$1,'Wells Fargo'!$B:$B,"&lt;="&amp;'Cash Flow'!AJ$3,'Wells Fargo'!$B:$B,"&gt;"&amp;'Cash Flow'!AI$3)</f>
        <v>0</v>
      </c>
      <c r="AK19" s="111">
        <f>SUMIFS('Wells Fargo'!$F:$F,'Wells Fargo'!$G:$G,'Cash Flow'!$A19,'Wells Fargo'!$A:$A,AK$1,'Wells Fargo'!$B:$B,"&lt;="&amp;'Cash Flow'!AK$3)</f>
        <v>0</v>
      </c>
      <c r="AL19" s="77">
        <f>SUMIFS('Wells Fargo'!$F:$F,'Wells Fargo'!$G:$G,'Cash Flow'!$A19,'Wells Fargo'!$A:$A,AL$1,'Wells Fargo'!$B:$B,"&lt;="&amp;'Cash Flow'!AL$3,'Wells Fargo'!$B:$B,"&gt;"&amp;'Cash Flow'!AK$3)</f>
        <v>0</v>
      </c>
      <c r="AM19" s="77">
        <f>SUMIFS('Wells Fargo'!$F:$F,'Wells Fargo'!$G:$G,'Cash Flow'!$A19,'Wells Fargo'!$A:$A,AM$1,'Wells Fargo'!$B:$B,"&lt;="&amp;'Cash Flow'!AM$3,'Wells Fargo'!$B:$B,"&gt;"&amp;'Cash Flow'!AL$3)</f>
        <v>0</v>
      </c>
      <c r="AN19" s="77">
        <f>SUMIFS('Wells Fargo'!$F:$F,'Wells Fargo'!$G:$G,'Cash Flow'!$A19,'Wells Fargo'!$A:$A,AN$1,'Wells Fargo'!$B:$B,"&lt;="&amp;'Cash Flow'!AN$3,'Wells Fargo'!$B:$B,"&gt;"&amp;'Cash Flow'!AM$3)</f>
        <v>0</v>
      </c>
      <c r="AO19" s="77">
        <f>SUMIFS('Wells Fargo'!$F:$F,'Wells Fargo'!$G:$G,'Cash Flow'!$A19,'Wells Fargo'!$A:$A,AO$1,'Wells Fargo'!$B:$B,"&lt;="&amp;'Cash Flow'!AO$3,'Wells Fargo'!$B:$B,"&gt;"&amp;'Cash Flow'!AN$3)</f>
        <v>0</v>
      </c>
      <c r="AP19" s="111">
        <f>SUMIFS('Wells Fargo'!$F:$F,'Wells Fargo'!$G:$G,'Cash Flow'!$A19,'Wells Fargo'!$A:$A,AP$1,'Wells Fargo'!$B:$B,"&lt;="&amp;'Cash Flow'!AP$3)</f>
        <v>0</v>
      </c>
      <c r="AQ19" s="77">
        <f>SUMIFS('Wells Fargo'!$F:$F,'Wells Fargo'!$G:$G,'Cash Flow'!$A19,'Wells Fargo'!$A:$A,AQ$1,'Wells Fargo'!$B:$B,"&lt;="&amp;'Cash Flow'!AQ$3,'Wells Fargo'!$B:$B,"&gt;"&amp;'Cash Flow'!AP$3)</f>
        <v>0</v>
      </c>
      <c r="AR19" s="77">
        <f>SUMIFS('Wells Fargo'!$F:$F,'Wells Fargo'!$G:$G,'Cash Flow'!$A19,'Wells Fargo'!$A:$A,AR$1,'Wells Fargo'!$B:$B,"&lt;="&amp;'Cash Flow'!AR$3,'Wells Fargo'!$B:$B,"&gt;"&amp;'Cash Flow'!AQ$3)</f>
        <v>0</v>
      </c>
      <c r="AS19" s="77">
        <f>SUMIFS('Wells Fargo'!$F:$F,'Wells Fargo'!$G:$G,'Cash Flow'!$A19,'Wells Fargo'!$A:$A,AS$1,'Wells Fargo'!$B:$B,"&lt;="&amp;'Cash Flow'!AS$3,'Wells Fargo'!$B:$B,"&gt;"&amp;'Cash Flow'!AR$3)</f>
        <v>0</v>
      </c>
      <c r="AT19" s="77">
        <f>SUMIFS('Wells Fargo'!$F:$F,'Wells Fargo'!$G:$G,'Cash Flow'!$A19,'Wells Fargo'!$A:$A,AT$1,'Wells Fargo'!$B:$B,"&lt;="&amp;'Cash Flow'!AT$3,'Wells Fargo'!$B:$B,"&gt;"&amp;'Cash Flow'!AS$3)</f>
        <v>0</v>
      </c>
      <c r="AU19" s="111">
        <f>SUMIFS('Wells Fargo'!$F:$F,'Wells Fargo'!$G:$G,'Cash Flow'!$A19,'Wells Fargo'!$A:$A,AU$1,'Wells Fargo'!$B:$B,"&lt;="&amp;'Cash Flow'!AU$3)</f>
        <v>0</v>
      </c>
      <c r="AV19" s="77">
        <f>SUMIFS('Wells Fargo'!$F:$F,'Wells Fargo'!$G:$G,'Cash Flow'!$A19,'Wells Fargo'!$A:$A,AV$1,'Wells Fargo'!$B:$B,"&lt;="&amp;'Cash Flow'!AV$3,'Wells Fargo'!$B:$B,"&gt;"&amp;'Cash Flow'!AU$3)</f>
        <v>0</v>
      </c>
      <c r="AW19" s="77">
        <f>SUMIFS('Wells Fargo'!$F:$F,'Wells Fargo'!$G:$G,'Cash Flow'!$A19,'Wells Fargo'!$A:$A,AW$1,'Wells Fargo'!$B:$B,"&lt;="&amp;'Cash Flow'!AW$3,'Wells Fargo'!$B:$B,"&gt;"&amp;'Cash Flow'!AV$3)</f>
        <v>0</v>
      </c>
      <c r="AX19" s="77">
        <f>SUMIFS('Wells Fargo'!$F:$F,'Wells Fargo'!$G:$G,'Cash Flow'!$A19,'Wells Fargo'!$A:$A,AX$1,'Wells Fargo'!$B:$B,"&lt;="&amp;'Cash Flow'!AX$3,'Wells Fargo'!$B:$B,"&gt;"&amp;'Cash Flow'!AW$3)</f>
        <v>0</v>
      </c>
      <c r="AY19" s="77">
        <f>SUMIFS('Wells Fargo'!$F:$F,'Wells Fargo'!$G:$G,'Cash Flow'!$A19,'Wells Fargo'!$A:$A,AY$1,'Wells Fargo'!$B:$B,"&lt;="&amp;'Cash Flow'!AY$3,'Wells Fargo'!$B:$B,"&gt;"&amp;'Cash Flow'!AX$3)</f>
        <v>0</v>
      </c>
      <c r="AZ19" s="111">
        <f>SUMIFS('Wells Fargo'!$F:$F,'Wells Fargo'!$G:$G,'Cash Flow'!$A19,'Wells Fargo'!$A:$A,AZ$1,'Wells Fargo'!$B:$B,"&lt;="&amp;'Cash Flow'!AZ$3)</f>
        <v>0</v>
      </c>
      <c r="BA19" s="77">
        <f>SUMIFS('Wells Fargo'!$F:$F,'Wells Fargo'!$G:$G,'Cash Flow'!$A19,'Wells Fargo'!$A:$A,BA$1,'Wells Fargo'!$B:$B,"&lt;="&amp;'Cash Flow'!BA$3,'Wells Fargo'!$B:$B,"&gt;"&amp;'Cash Flow'!AZ$3)</f>
        <v>0</v>
      </c>
      <c r="BB19" s="77">
        <f>SUMIFS('Wells Fargo'!$F:$F,'Wells Fargo'!$G:$G,'Cash Flow'!$A19,'Wells Fargo'!$A:$A,BB$1,'Wells Fargo'!$B:$B,"&lt;="&amp;'Cash Flow'!BB$3,'Wells Fargo'!$B:$B,"&gt;"&amp;'Cash Flow'!BA$3)</f>
        <v>0</v>
      </c>
      <c r="BC19" s="77">
        <f>SUMIFS('Wells Fargo'!$F:$F,'Wells Fargo'!$G:$G,'Cash Flow'!$A19,'Wells Fargo'!$A:$A,BC$1,'Wells Fargo'!$B:$B,"&lt;="&amp;'Cash Flow'!BC$3,'Wells Fargo'!$B:$B,"&gt;"&amp;'Cash Flow'!BB$3)</f>
        <v>0</v>
      </c>
      <c r="BD19" s="77">
        <f>SUMIFS('Wells Fargo'!$F:$F,'Wells Fargo'!$G:$G,'Cash Flow'!$A19,'Wells Fargo'!$A:$A,BD$1,'Wells Fargo'!$B:$B,"&lt;="&amp;'Cash Flow'!BD$3,'Wells Fargo'!$B:$B,"&gt;"&amp;'Cash Flow'!BC$3)</f>
        <v>0</v>
      </c>
      <c r="BE19" s="111">
        <f>SUMIFS('Wells Fargo'!$F:$F,'Wells Fargo'!$G:$G,'Cash Flow'!$A19,'Wells Fargo'!$A:$A,BE$1,'Wells Fargo'!$B:$B,"&lt;="&amp;'Cash Flow'!BE$3)</f>
        <v>0</v>
      </c>
      <c r="BF19" s="77">
        <f>SUMIFS('Wells Fargo'!$F:$F,'Wells Fargo'!$G:$G,'Cash Flow'!$A19,'Wells Fargo'!$A:$A,BF$1,'Wells Fargo'!$B:$B,"&lt;="&amp;'Cash Flow'!BF$3,'Wells Fargo'!$B:$B,"&gt;"&amp;'Cash Flow'!BE$3)</f>
        <v>0</v>
      </c>
      <c r="BG19" s="77">
        <f>SUMIFS('Wells Fargo'!$F:$F,'Wells Fargo'!$G:$G,'Cash Flow'!$A19,'Wells Fargo'!$A:$A,BG$1,'Wells Fargo'!$B:$B,"&lt;="&amp;'Cash Flow'!BG$3,'Wells Fargo'!$B:$B,"&gt;"&amp;'Cash Flow'!BF$3)</f>
        <v>0</v>
      </c>
      <c r="BH19" s="77">
        <f>SUMIFS('Wells Fargo'!$F:$F,'Wells Fargo'!$G:$G,'Cash Flow'!$A19,'Wells Fargo'!$A:$A,BH$1,'Wells Fargo'!$B:$B,"&lt;="&amp;'Cash Flow'!BH$3,'Wells Fargo'!$B:$B,"&gt;"&amp;'Cash Flow'!BG$3)</f>
        <v>0</v>
      </c>
      <c r="BI19" s="77">
        <f>SUMIFS('Wells Fargo'!$F:$F,'Wells Fargo'!$G:$G,'Cash Flow'!$A19,'Wells Fargo'!$A:$A,BI$1,'Wells Fargo'!$B:$B,"&lt;="&amp;'Cash Flow'!BI$3,'Wells Fargo'!$B:$B,"&gt;"&amp;'Cash Flow'!BH$3)</f>
        <v>0</v>
      </c>
    </row>
    <row r="20" spans="1:61" ht="14.5" x14ac:dyDescent="0.5">
      <c r="A20" t="str">
        <v>HSA</v>
      </c>
      <c r="B20" s="90">
        <f t="shared" si="0"/>
        <v>2023.2200000000003</v>
      </c>
      <c r="C20" s="111">
        <f>SUMIFS('Wells Fargo'!$F:$F,'Wells Fargo'!$G:$G,'Cash Flow'!$A20,'Wells Fargo'!$A:$A,C$1,'Wells Fargo'!$B:$B,"&lt;="&amp;'Cash Flow'!C$3)</f>
        <v>0</v>
      </c>
      <c r="D20" s="77">
        <f>SUMIFS('Wells Fargo'!$F:$F,'Wells Fargo'!$G:$G,'Cash Flow'!$A20,'Wells Fargo'!$A:$A,D$1,'Wells Fargo'!$B:$B,"&lt;="&amp;'Cash Flow'!D$3,'Wells Fargo'!$B:$B,"&gt;"&amp;'Cash Flow'!C$3)</f>
        <v>0</v>
      </c>
      <c r="E20" s="77">
        <f>SUMIFS('Wells Fargo'!$F:$F,'Wells Fargo'!$G:$G,'Cash Flow'!$A20,'Wells Fargo'!$A:$A,E$1,'Wells Fargo'!$B:$B,"&lt;="&amp;'Cash Flow'!E$3,'Wells Fargo'!$B:$B,"&gt;"&amp;'Cash Flow'!D$3)</f>
        <v>0</v>
      </c>
      <c r="F20" s="77">
        <f>SUMIFS('Wells Fargo'!$F:$F,'Wells Fargo'!$G:$G,'Cash Flow'!$A20,'Wells Fargo'!$A:$A,F$1,'Wells Fargo'!$B:$B,"&lt;="&amp;'Cash Flow'!F$3,'Wells Fargo'!$B:$B,"&gt;"&amp;'Cash Flow'!E$3)</f>
        <v>0</v>
      </c>
      <c r="G20" s="77">
        <f>SUMIFS('Wells Fargo'!$F:$F,'Wells Fargo'!$G:$G,'Cash Flow'!$A20,'Wells Fargo'!$A:$A,G$1,'Wells Fargo'!$B:$B,"&lt;="&amp;'Cash Flow'!G$3,'Wells Fargo'!$B:$B,"&gt;"&amp;'Cash Flow'!F$3)</f>
        <v>388.47</v>
      </c>
      <c r="H20" s="111">
        <f>SUMIFS('Wells Fargo'!$F:$F,'Wells Fargo'!$G:$G,'Cash Flow'!$A20,'Wells Fargo'!$A:$A,H$1,'Wells Fargo'!$B:$B,"&lt;="&amp;'Cash Flow'!H$3)</f>
        <v>0</v>
      </c>
      <c r="I20" s="77">
        <f>SUMIFS('Wells Fargo'!$F:$F,'Wells Fargo'!$G:$G,'Cash Flow'!$A20,'Wells Fargo'!$A:$A,I$1,'Wells Fargo'!$B:$B,"&lt;="&amp;'Cash Flow'!I$3,'Wells Fargo'!$B:$B,"&gt;"&amp;'Cash Flow'!H$3)</f>
        <v>138.47999999999999</v>
      </c>
      <c r="J20" s="77">
        <f>SUMIFS('Wells Fargo'!$F:$F,'Wells Fargo'!$G:$G,'Cash Flow'!$A20,'Wells Fargo'!$A:$A,J$1,'Wells Fargo'!$B:$B,"&lt;="&amp;'Cash Flow'!J$3,'Wells Fargo'!$B:$B,"&gt;"&amp;'Cash Flow'!I$3)</f>
        <v>138.47</v>
      </c>
      <c r="K20" s="77">
        <f>SUMIFS('Wells Fargo'!$F:$F,'Wells Fargo'!$G:$G,'Cash Flow'!$A20,'Wells Fargo'!$A:$A,K$1,'Wells Fargo'!$B:$B,"&lt;="&amp;'Cash Flow'!K$3,'Wells Fargo'!$B:$B,"&gt;"&amp;'Cash Flow'!J$3)</f>
        <v>0</v>
      </c>
      <c r="L20" s="111">
        <f>SUMIFS('Wells Fargo'!$F:$F,'Wells Fargo'!$G:$G,'Cash Flow'!$A20,'Wells Fargo'!$A:$A,L$1,'Wells Fargo'!$B:$B,"&lt;="&amp;'Cash Flow'!L$3)</f>
        <v>138.47</v>
      </c>
      <c r="M20" s="77">
        <f>SUMIFS('Wells Fargo'!$F:$F,'Wells Fargo'!$G:$G,'Cash Flow'!$A20,'Wells Fargo'!$A:$A,M$1,'Wells Fargo'!$B:$B,"&lt;="&amp;'Cash Flow'!M$3,'Wells Fargo'!$B:$B,"&gt;"&amp;'Cash Flow'!L$3)</f>
        <v>0</v>
      </c>
      <c r="N20" s="77">
        <f>SUMIFS('Wells Fargo'!$F:$F,'Wells Fargo'!$G:$G,'Cash Flow'!$A20,'Wells Fargo'!$A:$A,N$1,'Wells Fargo'!$B:$B,"&lt;="&amp;'Cash Flow'!N$3,'Wells Fargo'!$B:$B,"&gt;"&amp;'Cash Flow'!M$3)</f>
        <v>0</v>
      </c>
      <c r="O20" s="77">
        <f>SUMIFS('Wells Fargo'!$F:$F,'Wells Fargo'!$G:$G,'Cash Flow'!$A20,'Wells Fargo'!$A:$A,O$1,'Wells Fargo'!$B:$B,"&lt;="&amp;'Cash Flow'!O$3,'Wells Fargo'!$B:$B,"&gt;"&amp;'Cash Flow'!N$3)</f>
        <v>0</v>
      </c>
      <c r="P20" s="77">
        <f>SUMIFS('Wells Fargo'!$F:$F,'Wells Fargo'!$G:$G,'Cash Flow'!$A20,'Wells Fargo'!$A:$A,P$1,'Wells Fargo'!$B:$B,"&lt;="&amp;'Cash Flow'!P$3,'Wells Fargo'!$B:$B,"&gt;"&amp;'Cash Flow'!O$3)</f>
        <v>0</v>
      </c>
      <c r="Q20" s="111">
        <f>SUMIFS('Wells Fargo'!$F:$F,'Wells Fargo'!$G:$G,'Cash Flow'!$A20,'Wells Fargo'!$A:$A,Q$1,'Wells Fargo'!$B:$B,"&lt;="&amp;'Cash Flow'!Q$3)</f>
        <v>0</v>
      </c>
      <c r="R20" s="77">
        <f>SUMIFS('Wells Fargo'!$F:$F,'Wells Fargo'!$G:$G,'Cash Flow'!$A20,'Wells Fargo'!$A:$A,R$1,'Wells Fargo'!$B:$B,"&lt;="&amp;'Cash Flow'!R$3,'Wells Fargo'!$B:$B,"&gt;"&amp;'Cash Flow'!Q$3)</f>
        <v>0</v>
      </c>
      <c r="S20" s="77">
        <f>SUMIFS('Wells Fargo'!$F:$F,'Wells Fargo'!$G:$G,'Cash Flow'!$A20,'Wells Fargo'!$A:$A,S$1,'Wells Fargo'!$B:$B,"&lt;="&amp;'Cash Flow'!S$3,'Wells Fargo'!$B:$B,"&gt;"&amp;'Cash Flow'!R$3)</f>
        <v>0</v>
      </c>
      <c r="T20" s="77">
        <f>SUMIFS('Wells Fargo'!$F:$F,'Wells Fargo'!$G:$G,'Cash Flow'!$A20,'Wells Fargo'!$A:$A,T$1,'Wells Fargo'!$B:$B,"&lt;="&amp;'Cash Flow'!T$3,'Wells Fargo'!$B:$B,"&gt;"&amp;'Cash Flow'!S$3)</f>
        <v>0</v>
      </c>
      <c r="U20" s="77">
        <f>SUMIFS('Wells Fargo'!$F:$F,'Wells Fargo'!$G:$G,'Cash Flow'!$A20,'Wells Fargo'!$A:$A,U$1,'Wells Fargo'!$B:$B,"&lt;="&amp;'Cash Flow'!U$3,'Wells Fargo'!$B:$B,"&gt;"&amp;'Cash Flow'!T$3)</f>
        <v>0</v>
      </c>
      <c r="V20" s="111">
        <f>SUMIFS('Wells Fargo'!$F:$F,'Wells Fargo'!$G:$G,'Cash Flow'!$A20,'Wells Fargo'!$A:$A,V$1,'Wells Fargo'!$B:$B,"&lt;="&amp;'Cash Flow'!V$3)</f>
        <v>803.91</v>
      </c>
      <c r="W20" s="77">
        <f>SUMIFS('Wells Fargo'!$F:$F,'Wells Fargo'!$G:$G,'Cash Flow'!$A20,'Wells Fargo'!$A:$A,W$1,'Wells Fargo'!$B:$B,"&lt;="&amp;'Cash Flow'!W$3,'Wells Fargo'!$B:$B,"&gt;"&amp;'Cash Flow'!V$3)</f>
        <v>0</v>
      </c>
      <c r="X20" s="77">
        <f>SUMIFS('Wells Fargo'!$F:$F,'Wells Fargo'!$G:$G,'Cash Flow'!$A20,'Wells Fargo'!$A:$A,X$1,'Wells Fargo'!$B:$B,"&lt;="&amp;'Cash Flow'!X$3,'Wells Fargo'!$B:$B,"&gt;"&amp;'Cash Flow'!W$3)</f>
        <v>0</v>
      </c>
      <c r="Y20" s="77">
        <f>SUMIFS('Wells Fargo'!$F:$F,'Wells Fargo'!$G:$G,'Cash Flow'!$A20,'Wells Fargo'!$A:$A,Y$1,'Wells Fargo'!$B:$B,"&lt;="&amp;'Cash Flow'!Y$3,'Wells Fargo'!$B:$B,"&gt;"&amp;'Cash Flow'!X$3)</f>
        <v>0</v>
      </c>
      <c r="Z20" s="77">
        <f>SUMIFS('Wells Fargo'!$F:$F,'Wells Fargo'!$G:$G,'Cash Flow'!$A20,'Wells Fargo'!$A:$A,Z$1,'Wells Fargo'!$B:$B,"&lt;="&amp;'Cash Flow'!Z$3,'Wells Fargo'!$B:$B,"&gt;"&amp;'Cash Flow'!Y$3)</f>
        <v>0</v>
      </c>
      <c r="AA20" s="111">
        <f>SUMIFS('Wells Fargo'!$F:$F,'Wells Fargo'!$G:$G,'Cash Flow'!$A20,'Wells Fargo'!$A:$A,AA$1,'Wells Fargo'!$B:$B,"&lt;="&amp;'Cash Flow'!AA$3)</f>
        <v>0</v>
      </c>
      <c r="AB20" s="77">
        <f>SUMIFS('Wells Fargo'!$F:$F,'Wells Fargo'!$G:$G,'Cash Flow'!$A20,'Wells Fargo'!$A:$A,AB$1,'Wells Fargo'!$B:$B,"&lt;="&amp;'Cash Flow'!AB$3,'Wells Fargo'!$B:$B,"&gt;"&amp;'Cash Flow'!AA$3)</f>
        <v>415.42</v>
      </c>
      <c r="AC20" s="77">
        <f>SUMIFS('Wells Fargo'!$F:$F,'Wells Fargo'!$G:$G,'Cash Flow'!$A20,'Wells Fargo'!$A:$A,AC$1,'Wells Fargo'!$B:$B,"&lt;="&amp;'Cash Flow'!AC$3,'Wells Fargo'!$B:$B,"&gt;"&amp;'Cash Flow'!AB$3)</f>
        <v>0</v>
      </c>
      <c r="AD20" s="77">
        <f>SUMIFS('Wells Fargo'!$F:$F,'Wells Fargo'!$G:$G,'Cash Flow'!$A20,'Wells Fargo'!$A:$A,AD$1,'Wells Fargo'!$B:$B,"&lt;="&amp;'Cash Flow'!AD$3,'Wells Fargo'!$B:$B,"&gt;"&amp;'Cash Flow'!AC$3)</f>
        <v>0</v>
      </c>
      <c r="AE20" s="77">
        <f>SUMIFS('Wells Fargo'!$F:$F,'Wells Fargo'!$G:$G,'Cash Flow'!$A20,'Wells Fargo'!$A:$A,AE$1,'Wells Fargo'!$B:$B,"&lt;="&amp;'Cash Flow'!AE$3,'Wells Fargo'!$B:$B,"&gt;"&amp;'Cash Flow'!AD$3)</f>
        <v>0</v>
      </c>
      <c r="AF20" s="111">
        <f>SUMIFS('Wells Fargo'!$F:$F,'Wells Fargo'!$G:$G,'Cash Flow'!$A20,'Wells Fargo'!$A:$A,AF$1,'Wells Fargo'!$B:$B,"&lt;="&amp;'Cash Flow'!AF$3)</f>
        <v>0</v>
      </c>
      <c r="AG20" s="77">
        <f>SUMIFS('Wells Fargo'!$F:$F,'Wells Fargo'!$G:$G,'Cash Flow'!$A20,'Wells Fargo'!$A:$A,AG$1,'Wells Fargo'!$B:$B,"&lt;="&amp;'Cash Flow'!AG$3,'Wells Fargo'!$B:$B,"&gt;"&amp;'Cash Flow'!AF$3)</f>
        <v>0</v>
      </c>
      <c r="AH20" s="77">
        <f>SUMIFS('Wells Fargo'!$F:$F,'Wells Fargo'!$G:$G,'Cash Flow'!$A20,'Wells Fargo'!$A:$A,AH$1,'Wells Fargo'!$B:$B,"&lt;="&amp;'Cash Flow'!AH$3,'Wells Fargo'!$B:$B,"&gt;"&amp;'Cash Flow'!AG$3)</f>
        <v>0</v>
      </c>
      <c r="AI20" s="77">
        <f>SUMIFS('Wells Fargo'!$F:$F,'Wells Fargo'!$G:$G,'Cash Flow'!$A20,'Wells Fargo'!$A:$A,AI$1,'Wells Fargo'!$B:$B,"&lt;="&amp;'Cash Flow'!AI$3,'Wells Fargo'!$B:$B,"&gt;"&amp;'Cash Flow'!AH$3)</f>
        <v>0</v>
      </c>
      <c r="AJ20" s="77">
        <f>SUMIFS('Wells Fargo'!$F:$F,'Wells Fargo'!$G:$G,'Cash Flow'!$A20,'Wells Fargo'!$A:$A,AJ$1,'Wells Fargo'!$B:$B,"&lt;="&amp;'Cash Flow'!AJ$3,'Wells Fargo'!$B:$B,"&gt;"&amp;'Cash Flow'!AI$3)</f>
        <v>0</v>
      </c>
      <c r="AK20" s="111">
        <f>SUMIFS('Wells Fargo'!$F:$F,'Wells Fargo'!$G:$G,'Cash Flow'!$A20,'Wells Fargo'!$A:$A,AK$1,'Wells Fargo'!$B:$B,"&lt;="&amp;'Cash Flow'!AK$3)</f>
        <v>0</v>
      </c>
      <c r="AL20" s="77">
        <f>SUMIFS('Wells Fargo'!$F:$F,'Wells Fargo'!$G:$G,'Cash Flow'!$A20,'Wells Fargo'!$A:$A,AL$1,'Wells Fargo'!$B:$B,"&lt;="&amp;'Cash Flow'!AL$3,'Wells Fargo'!$B:$B,"&gt;"&amp;'Cash Flow'!AK$3)</f>
        <v>0</v>
      </c>
      <c r="AM20" s="77">
        <f>SUMIFS('Wells Fargo'!$F:$F,'Wells Fargo'!$G:$G,'Cash Flow'!$A20,'Wells Fargo'!$A:$A,AM$1,'Wells Fargo'!$B:$B,"&lt;="&amp;'Cash Flow'!AM$3,'Wells Fargo'!$B:$B,"&gt;"&amp;'Cash Flow'!AL$3)</f>
        <v>0</v>
      </c>
      <c r="AN20" s="77">
        <f>SUMIFS('Wells Fargo'!$F:$F,'Wells Fargo'!$G:$G,'Cash Flow'!$A20,'Wells Fargo'!$A:$A,AN$1,'Wells Fargo'!$B:$B,"&lt;="&amp;'Cash Flow'!AN$3,'Wells Fargo'!$B:$B,"&gt;"&amp;'Cash Flow'!AM$3)</f>
        <v>0</v>
      </c>
      <c r="AO20" s="77">
        <f>SUMIFS('Wells Fargo'!$F:$F,'Wells Fargo'!$G:$G,'Cash Flow'!$A20,'Wells Fargo'!$A:$A,AO$1,'Wells Fargo'!$B:$B,"&lt;="&amp;'Cash Flow'!AO$3,'Wells Fargo'!$B:$B,"&gt;"&amp;'Cash Flow'!AN$3)</f>
        <v>0</v>
      </c>
      <c r="AP20" s="111">
        <f>SUMIFS('Wells Fargo'!$F:$F,'Wells Fargo'!$G:$G,'Cash Flow'!$A20,'Wells Fargo'!$A:$A,AP$1,'Wells Fargo'!$B:$B,"&lt;="&amp;'Cash Flow'!AP$3)</f>
        <v>0</v>
      </c>
      <c r="AQ20" s="77">
        <f>SUMIFS('Wells Fargo'!$F:$F,'Wells Fargo'!$G:$G,'Cash Flow'!$A20,'Wells Fargo'!$A:$A,AQ$1,'Wells Fargo'!$B:$B,"&lt;="&amp;'Cash Flow'!AQ$3,'Wells Fargo'!$B:$B,"&gt;"&amp;'Cash Flow'!AP$3)</f>
        <v>0</v>
      </c>
      <c r="AR20" s="77">
        <f>SUMIFS('Wells Fargo'!$F:$F,'Wells Fargo'!$G:$G,'Cash Flow'!$A20,'Wells Fargo'!$A:$A,AR$1,'Wells Fargo'!$B:$B,"&lt;="&amp;'Cash Flow'!AR$3,'Wells Fargo'!$B:$B,"&gt;"&amp;'Cash Flow'!AQ$3)</f>
        <v>0</v>
      </c>
      <c r="AS20" s="77">
        <f>SUMIFS('Wells Fargo'!$F:$F,'Wells Fargo'!$G:$G,'Cash Flow'!$A20,'Wells Fargo'!$A:$A,AS$1,'Wells Fargo'!$B:$B,"&lt;="&amp;'Cash Flow'!AS$3,'Wells Fargo'!$B:$B,"&gt;"&amp;'Cash Flow'!AR$3)</f>
        <v>0</v>
      </c>
      <c r="AT20" s="77">
        <f>SUMIFS('Wells Fargo'!$F:$F,'Wells Fargo'!$G:$G,'Cash Flow'!$A20,'Wells Fargo'!$A:$A,AT$1,'Wells Fargo'!$B:$B,"&lt;="&amp;'Cash Flow'!AT$3,'Wells Fargo'!$B:$B,"&gt;"&amp;'Cash Flow'!AS$3)</f>
        <v>0</v>
      </c>
      <c r="AU20" s="111">
        <f>SUMIFS('Wells Fargo'!$F:$F,'Wells Fargo'!$G:$G,'Cash Flow'!$A20,'Wells Fargo'!$A:$A,AU$1,'Wells Fargo'!$B:$B,"&lt;="&amp;'Cash Flow'!AU$3)</f>
        <v>0</v>
      </c>
      <c r="AV20" s="77">
        <f>SUMIFS('Wells Fargo'!$F:$F,'Wells Fargo'!$G:$G,'Cash Flow'!$A20,'Wells Fargo'!$A:$A,AV$1,'Wells Fargo'!$B:$B,"&lt;="&amp;'Cash Flow'!AV$3,'Wells Fargo'!$B:$B,"&gt;"&amp;'Cash Flow'!AU$3)</f>
        <v>0</v>
      </c>
      <c r="AW20" s="77">
        <f>SUMIFS('Wells Fargo'!$F:$F,'Wells Fargo'!$G:$G,'Cash Flow'!$A20,'Wells Fargo'!$A:$A,AW$1,'Wells Fargo'!$B:$B,"&lt;="&amp;'Cash Flow'!AW$3,'Wells Fargo'!$B:$B,"&gt;"&amp;'Cash Flow'!AV$3)</f>
        <v>0</v>
      </c>
      <c r="AX20" s="77">
        <f>SUMIFS('Wells Fargo'!$F:$F,'Wells Fargo'!$G:$G,'Cash Flow'!$A20,'Wells Fargo'!$A:$A,AX$1,'Wells Fargo'!$B:$B,"&lt;="&amp;'Cash Flow'!AX$3,'Wells Fargo'!$B:$B,"&gt;"&amp;'Cash Flow'!AW$3)</f>
        <v>0</v>
      </c>
      <c r="AY20" s="77">
        <f>SUMIFS('Wells Fargo'!$F:$F,'Wells Fargo'!$G:$G,'Cash Flow'!$A20,'Wells Fargo'!$A:$A,AY$1,'Wells Fargo'!$B:$B,"&lt;="&amp;'Cash Flow'!AY$3,'Wells Fargo'!$B:$B,"&gt;"&amp;'Cash Flow'!AX$3)</f>
        <v>0</v>
      </c>
      <c r="AZ20" s="111">
        <f>SUMIFS('Wells Fargo'!$F:$F,'Wells Fargo'!$G:$G,'Cash Flow'!$A20,'Wells Fargo'!$A:$A,AZ$1,'Wells Fargo'!$B:$B,"&lt;="&amp;'Cash Flow'!AZ$3)</f>
        <v>0</v>
      </c>
      <c r="BA20" s="77">
        <f>SUMIFS('Wells Fargo'!$F:$F,'Wells Fargo'!$G:$G,'Cash Flow'!$A20,'Wells Fargo'!$A:$A,BA$1,'Wells Fargo'!$B:$B,"&lt;="&amp;'Cash Flow'!BA$3,'Wells Fargo'!$B:$B,"&gt;"&amp;'Cash Flow'!AZ$3)</f>
        <v>0</v>
      </c>
      <c r="BB20" s="77">
        <f>SUMIFS('Wells Fargo'!$F:$F,'Wells Fargo'!$G:$G,'Cash Flow'!$A20,'Wells Fargo'!$A:$A,BB$1,'Wells Fargo'!$B:$B,"&lt;="&amp;'Cash Flow'!BB$3,'Wells Fargo'!$B:$B,"&gt;"&amp;'Cash Flow'!BA$3)</f>
        <v>0</v>
      </c>
      <c r="BC20" s="77">
        <f>SUMIFS('Wells Fargo'!$F:$F,'Wells Fargo'!$G:$G,'Cash Flow'!$A20,'Wells Fargo'!$A:$A,BC$1,'Wells Fargo'!$B:$B,"&lt;="&amp;'Cash Flow'!BC$3,'Wells Fargo'!$B:$B,"&gt;"&amp;'Cash Flow'!BB$3)</f>
        <v>0</v>
      </c>
      <c r="BD20" s="77">
        <f>SUMIFS('Wells Fargo'!$F:$F,'Wells Fargo'!$G:$G,'Cash Flow'!$A20,'Wells Fargo'!$A:$A,BD$1,'Wells Fargo'!$B:$B,"&lt;="&amp;'Cash Flow'!BD$3,'Wells Fargo'!$B:$B,"&gt;"&amp;'Cash Flow'!BC$3)</f>
        <v>0</v>
      </c>
      <c r="BE20" s="111">
        <f>SUMIFS('Wells Fargo'!$F:$F,'Wells Fargo'!$G:$G,'Cash Flow'!$A20,'Wells Fargo'!$A:$A,BE$1,'Wells Fargo'!$B:$B,"&lt;="&amp;'Cash Flow'!BE$3)</f>
        <v>0</v>
      </c>
      <c r="BF20" s="77">
        <f>SUMIFS('Wells Fargo'!$F:$F,'Wells Fargo'!$G:$G,'Cash Flow'!$A20,'Wells Fargo'!$A:$A,BF$1,'Wells Fargo'!$B:$B,"&lt;="&amp;'Cash Flow'!BF$3,'Wells Fargo'!$B:$B,"&gt;"&amp;'Cash Flow'!BE$3)</f>
        <v>0</v>
      </c>
      <c r="BG20" s="77">
        <f>SUMIFS('Wells Fargo'!$F:$F,'Wells Fargo'!$G:$G,'Cash Flow'!$A20,'Wells Fargo'!$A:$A,BG$1,'Wells Fargo'!$B:$B,"&lt;="&amp;'Cash Flow'!BG$3,'Wells Fargo'!$B:$B,"&gt;"&amp;'Cash Flow'!BF$3)</f>
        <v>0</v>
      </c>
      <c r="BH20" s="77">
        <f>SUMIFS('Wells Fargo'!$F:$F,'Wells Fargo'!$G:$G,'Cash Flow'!$A20,'Wells Fargo'!$A:$A,BH$1,'Wells Fargo'!$B:$B,"&lt;="&amp;'Cash Flow'!BH$3,'Wells Fargo'!$B:$B,"&gt;"&amp;'Cash Flow'!BG$3)</f>
        <v>0</v>
      </c>
      <c r="BI20" s="77">
        <f>SUMIFS('Wells Fargo'!$F:$F,'Wells Fargo'!$G:$G,'Cash Flow'!$A20,'Wells Fargo'!$A:$A,BI$1,'Wells Fargo'!$B:$B,"&lt;="&amp;'Cash Flow'!BI$3,'Wells Fargo'!$B:$B,"&gt;"&amp;'Cash Flow'!BH$3)</f>
        <v>0</v>
      </c>
    </row>
    <row r="21" spans="1:61" ht="14.5" x14ac:dyDescent="0.5">
      <c r="A21" t="str">
        <v>Income</v>
      </c>
      <c r="B21" s="90">
        <f t="shared" si="0"/>
        <v>30</v>
      </c>
      <c r="C21" s="111">
        <f>SUMIFS('Wells Fargo'!$F:$F,'Wells Fargo'!$G:$G,'Cash Flow'!$A21,'Wells Fargo'!$A:$A,C$1,'Wells Fargo'!$B:$B,"&lt;="&amp;'Cash Flow'!C$3)</f>
        <v>0</v>
      </c>
      <c r="D21" s="77">
        <f>SUMIFS('Wells Fargo'!$F:$F,'Wells Fargo'!$G:$G,'Cash Flow'!$A21,'Wells Fargo'!$A:$A,D$1,'Wells Fargo'!$B:$B,"&lt;="&amp;'Cash Flow'!D$3,'Wells Fargo'!$B:$B,"&gt;"&amp;'Cash Flow'!C$3)</f>
        <v>0</v>
      </c>
      <c r="E21" s="77">
        <f>SUMIFS('Wells Fargo'!$F:$F,'Wells Fargo'!$G:$G,'Cash Flow'!$A21,'Wells Fargo'!$A:$A,E$1,'Wells Fargo'!$B:$B,"&lt;="&amp;'Cash Flow'!E$3,'Wells Fargo'!$B:$B,"&gt;"&amp;'Cash Flow'!D$3)</f>
        <v>0</v>
      </c>
      <c r="F21" s="77">
        <f>SUMIFS('Wells Fargo'!$F:$F,'Wells Fargo'!$G:$G,'Cash Flow'!$A21,'Wells Fargo'!$A:$A,F$1,'Wells Fargo'!$B:$B,"&lt;="&amp;'Cash Flow'!F$3,'Wells Fargo'!$B:$B,"&gt;"&amp;'Cash Flow'!E$3)</f>
        <v>0</v>
      </c>
      <c r="G21" s="77">
        <f>SUMIFS('Wells Fargo'!$F:$F,'Wells Fargo'!$G:$G,'Cash Flow'!$A21,'Wells Fargo'!$A:$A,G$1,'Wells Fargo'!$B:$B,"&lt;="&amp;'Cash Flow'!G$3,'Wells Fargo'!$B:$B,"&gt;"&amp;'Cash Flow'!F$3)</f>
        <v>0</v>
      </c>
      <c r="H21" s="111">
        <f>SUMIFS('Wells Fargo'!$F:$F,'Wells Fargo'!$G:$G,'Cash Flow'!$A21,'Wells Fargo'!$A:$A,H$1,'Wells Fargo'!$B:$B,"&lt;="&amp;'Cash Flow'!H$3)</f>
        <v>0</v>
      </c>
      <c r="I21" s="77">
        <f>SUMIFS('Wells Fargo'!$F:$F,'Wells Fargo'!$G:$G,'Cash Flow'!$A21,'Wells Fargo'!$A:$A,I$1,'Wells Fargo'!$B:$B,"&lt;="&amp;'Cash Flow'!I$3,'Wells Fargo'!$B:$B,"&gt;"&amp;'Cash Flow'!H$3)</f>
        <v>0</v>
      </c>
      <c r="J21" s="77">
        <f>SUMIFS('Wells Fargo'!$F:$F,'Wells Fargo'!$G:$G,'Cash Flow'!$A21,'Wells Fargo'!$A:$A,J$1,'Wells Fargo'!$B:$B,"&lt;="&amp;'Cash Flow'!J$3,'Wells Fargo'!$B:$B,"&gt;"&amp;'Cash Flow'!I$3)</f>
        <v>0</v>
      </c>
      <c r="K21" s="77">
        <f>SUMIFS('Wells Fargo'!$F:$F,'Wells Fargo'!$G:$G,'Cash Flow'!$A21,'Wells Fargo'!$A:$A,K$1,'Wells Fargo'!$B:$B,"&lt;="&amp;'Cash Flow'!K$3,'Wells Fargo'!$B:$B,"&gt;"&amp;'Cash Flow'!J$3)</f>
        <v>0</v>
      </c>
      <c r="L21" s="111">
        <f>SUMIFS('Wells Fargo'!$F:$F,'Wells Fargo'!$G:$G,'Cash Flow'!$A21,'Wells Fargo'!$A:$A,L$1,'Wells Fargo'!$B:$B,"&lt;="&amp;'Cash Flow'!L$3)</f>
        <v>0</v>
      </c>
      <c r="M21" s="77">
        <f>SUMIFS('Wells Fargo'!$F:$F,'Wells Fargo'!$G:$G,'Cash Flow'!$A21,'Wells Fargo'!$A:$A,M$1,'Wells Fargo'!$B:$B,"&lt;="&amp;'Cash Flow'!M$3,'Wells Fargo'!$B:$B,"&gt;"&amp;'Cash Flow'!L$3)</f>
        <v>0</v>
      </c>
      <c r="N21" s="77">
        <f>SUMIFS('Wells Fargo'!$F:$F,'Wells Fargo'!$G:$G,'Cash Flow'!$A21,'Wells Fargo'!$A:$A,N$1,'Wells Fargo'!$B:$B,"&lt;="&amp;'Cash Flow'!N$3,'Wells Fargo'!$B:$B,"&gt;"&amp;'Cash Flow'!M$3)</f>
        <v>0</v>
      </c>
      <c r="O21" s="77">
        <f>SUMIFS('Wells Fargo'!$F:$F,'Wells Fargo'!$G:$G,'Cash Flow'!$A21,'Wells Fargo'!$A:$A,O$1,'Wells Fargo'!$B:$B,"&lt;="&amp;'Cash Flow'!O$3,'Wells Fargo'!$B:$B,"&gt;"&amp;'Cash Flow'!N$3)</f>
        <v>0</v>
      </c>
      <c r="P21" s="77">
        <f>SUMIFS('Wells Fargo'!$F:$F,'Wells Fargo'!$G:$G,'Cash Flow'!$A21,'Wells Fargo'!$A:$A,P$1,'Wells Fargo'!$B:$B,"&lt;="&amp;'Cash Flow'!P$3,'Wells Fargo'!$B:$B,"&gt;"&amp;'Cash Flow'!O$3)</f>
        <v>0</v>
      </c>
      <c r="Q21" s="111">
        <f>SUMIFS('Wells Fargo'!$F:$F,'Wells Fargo'!$G:$G,'Cash Flow'!$A21,'Wells Fargo'!$A:$A,Q$1,'Wells Fargo'!$B:$B,"&lt;="&amp;'Cash Flow'!Q$3)</f>
        <v>0</v>
      </c>
      <c r="R21" s="77">
        <f>SUMIFS('Wells Fargo'!$F:$F,'Wells Fargo'!$G:$G,'Cash Flow'!$A21,'Wells Fargo'!$A:$A,R$1,'Wells Fargo'!$B:$B,"&lt;="&amp;'Cash Flow'!R$3,'Wells Fargo'!$B:$B,"&gt;"&amp;'Cash Flow'!Q$3)</f>
        <v>0</v>
      </c>
      <c r="S21" s="77">
        <f>SUMIFS('Wells Fargo'!$F:$F,'Wells Fargo'!$G:$G,'Cash Flow'!$A21,'Wells Fargo'!$A:$A,S$1,'Wells Fargo'!$B:$B,"&lt;="&amp;'Cash Flow'!S$3,'Wells Fargo'!$B:$B,"&gt;"&amp;'Cash Flow'!R$3)</f>
        <v>0</v>
      </c>
      <c r="T21" s="77">
        <f>SUMIFS('Wells Fargo'!$F:$F,'Wells Fargo'!$G:$G,'Cash Flow'!$A21,'Wells Fargo'!$A:$A,T$1,'Wells Fargo'!$B:$B,"&lt;="&amp;'Cash Flow'!T$3,'Wells Fargo'!$B:$B,"&gt;"&amp;'Cash Flow'!S$3)</f>
        <v>30</v>
      </c>
      <c r="U21" s="77">
        <f>SUMIFS('Wells Fargo'!$F:$F,'Wells Fargo'!$G:$G,'Cash Flow'!$A21,'Wells Fargo'!$A:$A,U$1,'Wells Fargo'!$B:$B,"&lt;="&amp;'Cash Flow'!U$3,'Wells Fargo'!$B:$B,"&gt;"&amp;'Cash Flow'!T$3)</f>
        <v>0</v>
      </c>
      <c r="V21" s="111">
        <f>SUMIFS('Wells Fargo'!$F:$F,'Wells Fargo'!$G:$G,'Cash Flow'!$A21,'Wells Fargo'!$A:$A,V$1,'Wells Fargo'!$B:$B,"&lt;="&amp;'Cash Flow'!V$3)</f>
        <v>0</v>
      </c>
      <c r="W21" s="77">
        <f>SUMIFS('Wells Fargo'!$F:$F,'Wells Fargo'!$G:$G,'Cash Flow'!$A21,'Wells Fargo'!$A:$A,W$1,'Wells Fargo'!$B:$B,"&lt;="&amp;'Cash Flow'!W$3,'Wells Fargo'!$B:$B,"&gt;"&amp;'Cash Flow'!V$3)</f>
        <v>0</v>
      </c>
      <c r="X21" s="77">
        <f>SUMIFS('Wells Fargo'!$F:$F,'Wells Fargo'!$G:$G,'Cash Flow'!$A21,'Wells Fargo'!$A:$A,X$1,'Wells Fargo'!$B:$B,"&lt;="&amp;'Cash Flow'!X$3,'Wells Fargo'!$B:$B,"&gt;"&amp;'Cash Flow'!W$3)</f>
        <v>0</v>
      </c>
      <c r="Y21" s="77">
        <f>SUMIFS('Wells Fargo'!$F:$F,'Wells Fargo'!$G:$G,'Cash Flow'!$A21,'Wells Fargo'!$A:$A,Y$1,'Wells Fargo'!$B:$B,"&lt;="&amp;'Cash Flow'!Y$3,'Wells Fargo'!$B:$B,"&gt;"&amp;'Cash Flow'!X$3)</f>
        <v>0</v>
      </c>
      <c r="Z21" s="77">
        <f>SUMIFS('Wells Fargo'!$F:$F,'Wells Fargo'!$G:$G,'Cash Flow'!$A21,'Wells Fargo'!$A:$A,Z$1,'Wells Fargo'!$B:$B,"&lt;="&amp;'Cash Flow'!Z$3,'Wells Fargo'!$B:$B,"&gt;"&amp;'Cash Flow'!Y$3)</f>
        <v>0</v>
      </c>
      <c r="AA21" s="111">
        <f>SUMIFS('Wells Fargo'!$F:$F,'Wells Fargo'!$G:$G,'Cash Flow'!$A21,'Wells Fargo'!$A:$A,AA$1,'Wells Fargo'!$B:$B,"&lt;="&amp;'Cash Flow'!AA$3)</f>
        <v>0</v>
      </c>
      <c r="AB21" s="77">
        <f>SUMIFS('Wells Fargo'!$F:$F,'Wells Fargo'!$G:$G,'Cash Flow'!$A21,'Wells Fargo'!$A:$A,AB$1,'Wells Fargo'!$B:$B,"&lt;="&amp;'Cash Flow'!AB$3,'Wells Fargo'!$B:$B,"&gt;"&amp;'Cash Flow'!AA$3)</f>
        <v>0</v>
      </c>
      <c r="AC21" s="77">
        <f>SUMIFS('Wells Fargo'!$F:$F,'Wells Fargo'!$G:$G,'Cash Flow'!$A21,'Wells Fargo'!$A:$A,AC$1,'Wells Fargo'!$B:$B,"&lt;="&amp;'Cash Flow'!AC$3,'Wells Fargo'!$B:$B,"&gt;"&amp;'Cash Flow'!AB$3)</f>
        <v>0</v>
      </c>
      <c r="AD21" s="77">
        <f>SUMIFS('Wells Fargo'!$F:$F,'Wells Fargo'!$G:$G,'Cash Flow'!$A21,'Wells Fargo'!$A:$A,AD$1,'Wells Fargo'!$B:$B,"&lt;="&amp;'Cash Flow'!AD$3,'Wells Fargo'!$B:$B,"&gt;"&amp;'Cash Flow'!AC$3)</f>
        <v>0</v>
      </c>
      <c r="AE21" s="77">
        <f>SUMIFS('Wells Fargo'!$F:$F,'Wells Fargo'!$G:$G,'Cash Flow'!$A21,'Wells Fargo'!$A:$A,AE$1,'Wells Fargo'!$B:$B,"&lt;="&amp;'Cash Flow'!AE$3,'Wells Fargo'!$B:$B,"&gt;"&amp;'Cash Flow'!AD$3)</f>
        <v>0</v>
      </c>
      <c r="AF21" s="111">
        <f>SUMIFS('Wells Fargo'!$F:$F,'Wells Fargo'!$G:$G,'Cash Flow'!$A21,'Wells Fargo'!$A:$A,AF$1,'Wells Fargo'!$B:$B,"&lt;="&amp;'Cash Flow'!AF$3)</f>
        <v>0</v>
      </c>
      <c r="AG21" s="77">
        <f>SUMIFS('Wells Fargo'!$F:$F,'Wells Fargo'!$G:$G,'Cash Flow'!$A21,'Wells Fargo'!$A:$A,AG$1,'Wells Fargo'!$B:$B,"&lt;="&amp;'Cash Flow'!AG$3,'Wells Fargo'!$B:$B,"&gt;"&amp;'Cash Flow'!AF$3)</f>
        <v>0</v>
      </c>
      <c r="AH21" s="77">
        <f>SUMIFS('Wells Fargo'!$F:$F,'Wells Fargo'!$G:$G,'Cash Flow'!$A21,'Wells Fargo'!$A:$A,AH$1,'Wells Fargo'!$B:$B,"&lt;="&amp;'Cash Flow'!AH$3,'Wells Fargo'!$B:$B,"&gt;"&amp;'Cash Flow'!AG$3)</f>
        <v>0</v>
      </c>
      <c r="AI21" s="77">
        <f>SUMIFS('Wells Fargo'!$F:$F,'Wells Fargo'!$G:$G,'Cash Flow'!$A21,'Wells Fargo'!$A:$A,AI$1,'Wells Fargo'!$B:$B,"&lt;="&amp;'Cash Flow'!AI$3,'Wells Fargo'!$B:$B,"&gt;"&amp;'Cash Flow'!AH$3)</f>
        <v>0</v>
      </c>
      <c r="AJ21" s="77">
        <f>SUMIFS('Wells Fargo'!$F:$F,'Wells Fargo'!$G:$G,'Cash Flow'!$A21,'Wells Fargo'!$A:$A,AJ$1,'Wells Fargo'!$B:$B,"&lt;="&amp;'Cash Flow'!AJ$3,'Wells Fargo'!$B:$B,"&gt;"&amp;'Cash Flow'!AI$3)</f>
        <v>0</v>
      </c>
      <c r="AK21" s="111">
        <f>SUMIFS('Wells Fargo'!$F:$F,'Wells Fargo'!$G:$G,'Cash Flow'!$A21,'Wells Fargo'!$A:$A,AK$1,'Wells Fargo'!$B:$B,"&lt;="&amp;'Cash Flow'!AK$3)</f>
        <v>0</v>
      </c>
      <c r="AL21" s="77">
        <f>SUMIFS('Wells Fargo'!$F:$F,'Wells Fargo'!$G:$G,'Cash Flow'!$A21,'Wells Fargo'!$A:$A,AL$1,'Wells Fargo'!$B:$B,"&lt;="&amp;'Cash Flow'!AL$3,'Wells Fargo'!$B:$B,"&gt;"&amp;'Cash Flow'!AK$3)</f>
        <v>0</v>
      </c>
      <c r="AM21" s="77">
        <f>SUMIFS('Wells Fargo'!$F:$F,'Wells Fargo'!$G:$G,'Cash Flow'!$A21,'Wells Fargo'!$A:$A,AM$1,'Wells Fargo'!$B:$B,"&lt;="&amp;'Cash Flow'!AM$3,'Wells Fargo'!$B:$B,"&gt;"&amp;'Cash Flow'!AL$3)</f>
        <v>0</v>
      </c>
      <c r="AN21" s="77">
        <f>SUMIFS('Wells Fargo'!$F:$F,'Wells Fargo'!$G:$G,'Cash Flow'!$A21,'Wells Fargo'!$A:$A,AN$1,'Wells Fargo'!$B:$B,"&lt;="&amp;'Cash Flow'!AN$3,'Wells Fargo'!$B:$B,"&gt;"&amp;'Cash Flow'!AM$3)</f>
        <v>0</v>
      </c>
      <c r="AO21" s="77">
        <f>SUMIFS('Wells Fargo'!$F:$F,'Wells Fargo'!$G:$G,'Cash Flow'!$A21,'Wells Fargo'!$A:$A,AO$1,'Wells Fargo'!$B:$B,"&lt;="&amp;'Cash Flow'!AO$3,'Wells Fargo'!$B:$B,"&gt;"&amp;'Cash Flow'!AN$3)</f>
        <v>0</v>
      </c>
      <c r="AP21" s="111">
        <f>SUMIFS('Wells Fargo'!$F:$F,'Wells Fargo'!$G:$G,'Cash Flow'!$A21,'Wells Fargo'!$A:$A,AP$1,'Wells Fargo'!$B:$B,"&lt;="&amp;'Cash Flow'!AP$3)</f>
        <v>0</v>
      </c>
      <c r="AQ21" s="77">
        <f>SUMIFS('Wells Fargo'!$F:$F,'Wells Fargo'!$G:$G,'Cash Flow'!$A21,'Wells Fargo'!$A:$A,AQ$1,'Wells Fargo'!$B:$B,"&lt;="&amp;'Cash Flow'!AQ$3,'Wells Fargo'!$B:$B,"&gt;"&amp;'Cash Flow'!AP$3)</f>
        <v>0</v>
      </c>
      <c r="AR21" s="77">
        <f>SUMIFS('Wells Fargo'!$F:$F,'Wells Fargo'!$G:$G,'Cash Flow'!$A21,'Wells Fargo'!$A:$A,AR$1,'Wells Fargo'!$B:$B,"&lt;="&amp;'Cash Flow'!AR$3,'Wells Fargo'!$B:$B,"&gt;"&amp;'Cash Flow'!AQ$3)</f>
        <v>0</v>
      </c>
      <c r="AS21" s="77">
        <f>SUMIFS('Wells Fargo'!$F:$F,'Wells Fargo'!$G:$G,'Cash Flow'!$A21,'Wells Fargo'!$A:$A,AS$1,'Wells Fargo'!$B:$B,"&lt;="&amp;'Cash Flow'!AS$3,'Wells Fargo'!$B:$B,"&gt;"&amp;'Cash Flow'!AR$3)</f>
        <v>0</v>
      </c>
      <c r="AT21" s="77">
        <f>SUMIFS('Wells Fargo'!$F:$F,'Wells Fargo'!$G:$G,'Cash Flow'!$A21,'Wells Fargo'!$A:$A,AT$1,'Wells Fargo'!$B:$B,"&lt;="&amp;'Cash Flow'!AT$3,'Wells Fargo'!$B:$B,"&gt;"&amp;'Cash Flow'!AS$3)</f>
        <v>0</v>
      </c>
      <c r="AU21" s="111">
        <f>SUMIFS('Wells Fargo'!$F:$F,'Wells Fargo'!$G:$G,'Cash Flow'!$A21,'Wells Fargo'!$A:$A,AU$1,'Wells Fargo'!$B:$B,"&lt;="&amp;'Cash Flow'!AU$3)</f>
        <v>0</v>
      </c>
      <c r="AV21" s="77">
        <f>SUMIFS('Wells Fargo'!$F:$F,'Wells Fargo'!$G:$G,'Cash Flow'!$A21,'Wells Fargo'!$A:$A,AV$1,'Wells Fargo'!$B:$B,"&lt;="&amp;'Cash Flow'!AV$3,'Wells Fargo'!$B:$B,"&gt;"&amp;'Cash Flow'!AU$3)</f>
        <v>0</v>
      </c>
      <c r="AW21" s="77">
        <f>SUMIFS('Wells Fargo'!$F:$F,'Wells Fargo'!$G:$G,'Cash Flow'!$A21,'Wells Fargo'!$A:$A,AW$1,'Wells Fargo'!$B:$B,"&lt;="&amp;'Cash Flow'!AW$3,'Wells Fargo'!$B:$B,"&gt;"&amp;'Cash Flow'!AV$3)</f>
        <v>0</v>
      </c>
      <c r="AX21" s="77">
        <f>SUMIFS('Wells Fargo'!$F:$F,'Wells Fargo'!$G:$G,'Cash Flow'!$A21,'Wells Fargo'!$A:$A,AX$1,'Wells Fargo'!$B:$B,"&lt;="&amp;'Cash Flow'!AX$3,'Wells Fargo'!$B:$B,"&gt;"&amp;'Cash Flow'!AW$3)</f>
        <v>0</v>
      </c>
      <c r="AY21" s="77">
        <f>SUMIFS('Wells Fargo'!$F:$F,'Wells Fargo'!$G:$G,'Cash Flow'!$A21,'Wells Fargo'!$A:$A,AY$1,'Wells Fargo'!$B:$B,"&lt;="&amp;'Cash Flow'!AY$3,'Wells Fargo'!$B:$B,"&gt;"&amp;'Cash Flow'!AX$3)</f>
        <v>0</v>
      </c>
      <c r="AZ21" s="111">
        <f>SUMIFS('Wells Fargo'!$F:$F,'Wells Fargo'!$G:$G,'Cash Flow'!$A21,'Wells Fargo'!$A:$A,AZ$1,'Wells Fargo'!$B:$B,"&lt;="&amp;'Cash Flow'!AZ$3)</f>
        <v>0</v>
      </c>
      <c r="BA21" s="77">
        <f>SUMIFS('Wells Fargo'!$F:$F,'Wells Fargo'!$G:$G,'Cash Flow'!$A21,'Wells Fargo'!$A:$A,BA$1,'Wells Fargo'!$B:$B,"&lt;="&amp;'Cash Flow'!BA$3,'Wells Fargo'!$B:$B,"&gt;"&amp;'Cash Flow'!AZ$3)</f>
        <v>0</v>
      </c>
      <c r="BB21" s="77">
        <f>SUMIFS('Wells Fargo'!$F:$F,'Wells Fargo'!$G:$G,'Cash Flow'!$A21,'Wells Fargo'!$A:$A,BB$1,'Wells Fargo'!$B:$B,"&lt;="&amp;'Cash Flow'!BB$3,'Wells Fargo'!$B:$B,"&gt;"&amp;'Cash Flow'!BA$3)</f>
        <v>0</v>
      </c>
      <c r="BC21" s="77">
        <f>SUMIFS('Wells Fargo'!$F:$F,'Wells Fargo'!$G:$G,'Cash Flow'!$A21,'Wells Fargo'!$A:$A,BC$1,'Wells Fargo'!$B:$B,"&lt;="&amp;'Cash Flow'!BC$3,'Wells Fargo'!$B:$B,"&gt;"&amp;'Cash Flow'!BB$3)</f>
        <v>0</v>
      </c>
      <c r="BD21" s="77">
        <f>SUMIFS('Wells Fargo'!$F:$F,'Wells Fargo'!$G:$G,'Cash Flow'!$A21,'Wells Fargo'!$A:$A,BD$1,'Wells Fargo'!$B:$B,"&lt;="&amp;'Cash Flow'!BD$3,'Wells Fargo'!$B:$B,"&gt;"&amp;'Cash Flow'!BC$3)</f>
        <v>0</v>
      </c>
      <c r="BE21" s="111">
        <f>SUMIFS('Wells Fargo'!$F:$F,'Wells Fargo'!$G:$G,'Cash Flow'!$A21,'Wells Fargo'!$A:$A,BE$1,'Wells Fargo'!$B:$B,"&lt;="&amp;'Cash Flow'!BE$3)</f>
        <v>0</v>
      </c>
      <c r="BF21" s="77">
        <f>SUMIFS('Wells Fargo'!$F:$F,'Wells Fargo'!$G:$G,'Cash Flow'!$A21,'Wells Fargo'!$A:$A,BF$1,'Wells Fargo'!$B:$B,"&lt;="&amp;'Cash Flow'!BF$3,'Wells Fargo'!$B:$B,"&gt;"&amp;'Cash Flow'!BE$3)</f>
        <v>0</v>
      </c>
      <c r="BG21" s="77">
        <f>SUMIFS('Wells Fargo'!$F:$F,'Wells Fargo'!$G:$G,'Cash Flow'!$A21,'Wells Fargo'!$A:$A,BG$1,'Wells Fargo'!$B:$B,"&lt;="&amp;'Cash Flow'!BG$3,'Wells Fargo'!$B:$B,"&gt;"&amp;'Cash Flow'!BF$3)</f>
        <v>0</v>
      </c>
      <c r="BH21" s="77">
        <f>SUMIFS('Wells Fargo'!$F:$F,'Wells Fargo'!$G:$G,'Cash Flow'!$A21,'Wells Fargo'!$A:$A,BH$1,'Wells Fargo'!$B:$B,"&lt;="&amp;'Cash Flow'!BH$3,'Wells Fargo'!$B:$B,"&gt;"&amp;'Cash Flow'!BG$3)</f>
        <v>0</v>
      </c>
      <c r="BI21" s="77">
        <f>SUMIFS('Wells Fargo'!$F:$F,'Wells Fargo'!$G:$G,'Cash Flow'!$A21,'Wells Fargo'!$A:$A,BI$1,'Wells Fargo'!$B:$B,"&lt;="&amp;'Cash Flow'!BI$3,'Wells Fargo'!$B:$B,"&gt;"&amp;'Cash Flow'!BH$3)</f>
        <v>0</v>
      </c>
    </row>
    <row r="22" spans="1:61" ht="14.5" x14ac:dyDescent="0.5">
      <c r="A22" t="str">
        <v>Investment</v>
      </c>
      <c r="B22" s="90">
        <f t="shared" si="0"/>
        <v>-35.060000000000173</v>
      </c>
      <c r="C22" s="111">
        <f>SUMIFS('Wells Fargo'!$F:$F,'Wells Fargo'!$G:$G,'Cash Flow'!$A22,'Wells Fargo'!$A:$A,C$1,'Wells Fargo'!$B:$B,"&lt;="&amp;'Cash Flow'!C$3)</f>
        <v>0</v>
      </c>
      <c r="D22" s="77">
        <f>SUMIFS('Wells Fargo'!$F:$F,'Wells Fargo'!$G:$G,'Cash Flow'!$A22,'Wells Fargo'!$A:$A,D$1,'Wells Fargo'!$B:$B,"&lt;="&amp;'Cash Flow'!D$3,'Wells Fargo'!$B:$B,"&gt;"&amp;'Cash Flow'!C$3)</f>
        <v>0</v>
      </c>
      <c r="E22" s="77">
        <f>SUMIFS('Wells Fargo'!$F:$F,'Wells Fargo'!$G:$G,'Cash Flow'!$A22,'Wells Fargo'!$A:$A,E$1,'Wells Fargo'!$B:$B,"&lt;="&amp;'Cash Flow'!E$3,'Wells Fargo'!$B:$B,"&gt;"&amp;'Cash Flow'!D$3)</f>
        <v>0</v>
      </c>
      <c r="F22" s="77">
        <f>SUMIFS('Wells Fargo'!$F:$F,'Wells Fargo'!$G:$G,'Cash Flow'!$A22,'Wells Fargo'!$A:$A,F$1,'Wells Fargo'!$B:$B,"&lt;="&amp;'Cash Flow'!F$3,'Wells Fargo'!$B:$B,"&gt;"&amp;'Cash Flow'!E$3)</f>
        <v>0</v>
      </c>
      <c r="G22" s="77">
        <f>SUMIFS('Wells Fargo'!$F:$F,'Wells Fargo'!$G:$G,'Cash Flow'!$A22,'Wells Fargo'!$A:$A,G$1,'Wells Fargo'!$B:$B,"&lt;="&amp;'Cash Flow'!G$3,'Wells Fargo'!$B:$B,"&gt;"&amp;'Cash Flow'!F$3)</f>
        <v>-150</v>
      </c>
      <c r="H22" s="111">
        <f>SUMIFS('Wells Fargo'!$F:$F,'Wells Fargo'!$G:$G,'Cash Flow'!$A22,'Wells Fargo'!$A:$A,H$1,'Wells Fargo'!$B:$B,"&lt;="&amp;'Cash Flow'!H$3)</f>
        <v>-50</v>
      </c>
      <c r="I22" s="77">
        <f>SUMIFS('Wells Fargo'!$F:$F,'Wells Fargo'!$G:$G,'Cash Flow'!$A22,'Wells Fargo'!$A:$A,I$1,'Wells Fargo'!$B:$B,"&lt;="&amp;'Cash Flow'!I$3,'Wells Fargo'!$B:$B,"&gt;"&amp;'Cash Flow'!H$3)</f>
        <v>-150</v>
      </c>
      <c r="J22" s="77">
        <f>SUMIFS('Wells Fargo'!$F:$F,'Wells Fargo'!$G:$G,'Cash Flow'!$A22,'Wells Fargo'!$A:$A,J$1,'Wells Fargo'!$B:$B,"&lt;="&amp;'Cash Flow'!J$3,'Wells Fargo'!$B:$B,"&gt;"&amp;'Cash Flow'!I$3)</f>
        <v>-743.26</v>
      </c>
      <c r="K22" s="77">
        <f>SUMIFS('Wells Fargo'!$F:$F,'Wells Fargo'!$G:$G,'Cash Flow'!$A22,'Wells Fargo'!$A:$A,K$1,'Wells Fargo'!$B:$B,"&lt;="&amp;'Cash Flow'!K$3,'Wells Fargo'!$B:$B,"&gt;"&amp;'Cash Flow'!J$3)</f>
        <v>0</v>
      </c>
      <c r="L22" s="111">
        <f>SUMIFS('Wells Fargo'!$F:$F,'Wells Fargo'!$G:$G,'Cash Flow'!$A22,'Wells Fargo'!$A:$A,L$1,'Wells Fargo'!$B:$B,"&lt;="&amp;'Cash Flow'!L$3)</f>
        <v>-1900</v>
      </c>
      <c r="M22" s="77">
        <f>SUMIFS('Wells Fargo'!$F:$F,'Wells Fargo'!$G:$G,'Cash Flow'!$A22,'Wells Fargo'!$A:$A,M$1,'Wells Fargo'!$B:$B,"&lt;="&amp;'Cash Flow'!M$3,'Wells Fargo'!$B:$B,"&gt;"&amp;'Cash Flow'!L$3)</f>
        <v>-200</v>
      </c>
      <c r="N22" s="77">
        <f>SUMIFS('Wells Fargo'!$F:$F,'Wells Fargo'!$G:$G,'Cash Flow'!$A22,'Wells Fargo'!$A:$A,N$1,'Wells Fargo'!$B:$B,"&lt;="&amp;'Cash Flow'!N$3,'Wells Fargo'!$B:$B,"&gt;"&amp;'Cash Flow'!M$3)</f>
        <v>0</v>
      </c>
      <c r="O22" s="77">
        <f>SUMIFS('Wells Fargo'!$F:$F,'Wells Fargo'!$G:$G,'Cash Flow'!$A22,'Wells Fargo'!$A:$A,O$1,'Wells Fargo'!$B:$B,"&lt;="&amp;'Cash Flow'!O$3,'Wells Fargo'!$B:$B,"&gt;"&amp;'Cash Flow'!N$3)</f>
        <v>0</v>
      </c>
      <c r="P22" s="77">
        <f>SUMIFS('Wells Fargo'!$F:$F,'Wells Fargo'!$G:$G,'Cash Flow'!$A22,'Wells Fargo'!$A:$A,P$1,'Wells Fargo'!$B:$B,"&lt;="&amp;'Cash Flow'!P$3,'Wells Fargo'!$B:$B,"&gt;"&amp;'Cash Flow'!O$3)</f>
        <v>0</v>
      </c>
      <c r="Q22" s="111">
        <f>SUMIFS('Wells Fargo'!$F:$F,'Wells Fargo'!$G:$G,'Cash Flow'!$A22,'Wells Fargo'!$A:$A,Q$1,'Wells Fargo'!$B:$B,"&lt;="&amp;'Cash Flow'!Q$3)</f>
        <v>0</v>
      </c>
      <c r="R22" s="77">
        <f>SUMIFS('Wells Fargo'!$F:$F,'Wells Fargo'!$G:$G,'Cash Flow'!$A22,'Wells Fargo'!$A:$A,R$1,'Wells Fargo'!$B:$B,"&lt;="&amp;'Cash Flow'!R$3,'Wells Fargo'!$B:$B,"&gt;"&amp;'Cash Flow'!Q$3)</f>
        <v>0</v>
      </c>
      <c r="S22" s="77">
        <f>SUMIFS('Wells Fargo'!$F:$F,'Wells Fargo'!$G:$G,'Cash Flow'!$A22,'Wells Fargo'!$A:$A,S$1,'Wells Fargo'!$B:$B,"&lt;="&amp;'Cash Flow'!S$3,'Wells Fargo'!$B:$B,"&gt;"&amp;'Cash Flow'!R$3)</f>
        <v>0</v>
      </c>
      <c r="T22" s="77">
        <f>SUMIFS('Wells Fargo'!$F:$F,'Wells Fargo'!$G:$G,'Cash Flow'!$A22,'Wells Fargo'!$A:$A,T$1,'Wells Fargo'!$B:$B,"&lt;="&amp;'Cash Flow'!T$3,'Wells Fargo'!$B:$B,"&gt;"&amp;'Cash Flow'!S$3)</f>
        <v>0</v>
      </c>
      <c r="U22" s="77">
        <f>SUMIFS('Wells Fargo'!$F:$F,'Wells Fargo'!$G:$G,'Cash Flow'!$A22,'Wells Fargo'!$A:$A,U$1,'Wells Fargo'!$B:$B,"&lt;="&amp;'Cash Flow'!U$3,'Wells Fargo'!$B:$B,"&gt;"&amp;'Cash Flow'!T$3)</f>
        <v>0</v>
      </c>
      <c r="V22" s="111">
        <f>SUMIFS('Wells Fargo'!$F:$F,'Wells Fargo'!$G:$G,'Cash Flow'!$A22,'Wells Fargo'!$A:$A,V$1,'Wells Fargo'!$B:$B,"&lt;="&amp;'Cash Flow'!V$3)</f>
        <v>0</v>
      </c>
      <c r="W22" s="77">
        <f>SUMIFS('Wells Fargo'!$F:$F,'Wells Fargo'!$G:$G,'Cash Flow'!$A22,'Wells Fargo'!$A:$A,W$1,'Wells Fargo'!$B:$B,"&lt;="&amp;'Cash Flow'!W$3,'Wells Fargo'!$B:$B,"&gt;"&amp;'Cash Flow'!V$3)</f>
        <v>0</v>
      </c>
      <c r="X22" s="77">
        <f>SUMIFS('Wells Fargo'!$F:$F,'Wells Fargo'!$G:$G,'Cash Flow'!$A22,'Wells Fargo'!$A:$A,X$1,'Wells Fargo'!$B:$B,"&lt;="&amp;'Cash Flow'!X$3,'Wells Fargo'!$B:$B,"&gt;"&amp;'Cash Flow'!W$3)</f>
        <v>0</v>
      </c>
      <c r="Y22" s="77">
        <f>SUMIFS('Wells Fargo'!$F:$F,'Wells Fargo'!$G:$G,'Cash Flow'!$A22,'Wells Fargo'!$A:$A,Y$1,'Wells Fargo'!$B:$B,"&lt;="&amp;'Cash Flow'!Y$3,'Wells Fargo'!$B:$B,"&gt;"&amp;'Cash Flow'!X$3)</f>
        <v>0</v>
      </c>
      <c r="Z22" s="77">
        <f>SUMIFS('Wells Fargo'!$F:$F,'Wells Fargo'!$G:$G,'Cash Flow'!$A22,'Wells Fargo'!$A:$A,Z$1,'Wells Fargo'!$B:$B,"&lt;="&amp;'Cash Flow'!Z$3,'Wells Fargo'!$B:$B,"&gt;"&amp;'Cash Flow'!Y$3)</f>
        <v>0</v>
      </c>
      <c r="AA22" s="111">
        <f>SUMIFS('Wells Fargo'!$F:$F,'Wells Fargo'!$G:$G,'Cash Flow'!$A22,'Wells Fargo'!$A:$A,AA$1,'Wells Fargo'!$B:$B,"&lt;="&amp;'Cash Flow'!AA$3)</f>
        <v>2000</v>
      </c>
      <c r="AB22" s="77">
        <f>SUMIFS('Wells Fargo'!$F:$F,'Wells Fargo'!$G:$G,'Cash Flow'!$A22,'Wells Fargo'!$A:$A,AB$1,'Wells Fargo'!$B:$B,"&lt;="&amp;'Cash Flow'!AB$3,'Wells Fargo'!$B:$B,"&gt;"&amp;'Cash Flow'!AA$3)</f>
        <v>1158.2</v>
      </c>
      <c r="AC22" s="77">
        <f>SUMIFS('Wells Fargo'!$F:$F,'Wells Fargo'!$G:$G,'Cash Flow'!$A22,'Wells Fargo'!$A:$A,AC$1,'Wells Fargo'!$B:$B,"&lt;="&amp;'Cash Flow'!AC$3,'Wells Fargo'!$B:$B,"&gt;"&amp;'Cash Flow'!AB$3)</f>
        <v>0</v>
      </c>
      <c r="AD22" s="77">
        <f>SUMIFS('Wells Fargo'!$F:$F,'Wells Fargo'!$G:$G,'Cash Flow'!$A22,'Wells Fargo'!$A:$A,AD$1,'Wells Fargo'!$B:$B,"&lt;="&amp;'Cash Flow'!AD$3,'Wells Fargo'!$B:$B,"&gt;"&amp;'Cash Flow'!AC$3)</f>
        <v>0</v>
      </c>
      <c r="AE22" s="77">
        <f>SUMIFS('Wells Fargo'!$F:$F,'Wells Fargo'!$G:$G,'Cash Flow'!$A22,'Wells Fargo'!$A:$A,AE$1,'Wells Fargo'!$B:$B,"&lt;="&amp;'Cash Flow'!AE$3,'Wells Fargo'!$B:$B,"&gt;"&amp;'Cash Flow'!AD$3)</f>
        <v>0</v>
      </c>
      <c r="AF22" s="111">
        <f>SUMIFS('Wells Fargo'!$F:$F,'Wells Fargo'!$G:$G,'Cash Flow'!$A22,'Wells Fargo'!$A:$A,AF$1,'Wells Fargo'!$B:$B,"&lt;="&amp;'Cash Flow'!AF$3)</f>
        <v>0</v>
      </c>
      <c r="AG22" s="77">
        <f>SUMIFS('Wells Fargo'!$F:$F,'Wells Fargo'!$G:$G,'Cash Flow'!$A22,'Wells Fargo'!$A:$A,AG$1,'Wells Fargo'!$B:$B,"&lt;="&amp;'Cash Flow'!AG$3,'Wells Fargo'!$B:$B,"&gt;"&amp;'Cash Flow'!AF$3)</f>
        <v>0</v>
      </c>
      <c r="AH22" s="77">
        <f>SUMIFS('Wells Fargo'!$F:$F,'Wells Fargo'!$G:$G,'Cash Flow'!$A22,'Wells Fargo'!$A:$A,AH$1,'Wells Fargo'!$B:$B,"&lt;="&amp;'Cash Flow'!AH$3,'Wells Fargo'!$B:$B,"&gt;"&amp;'Cash Flow'!AG$3)</f>
        <v>0</v>
      </c>
      <c r="AI22" s="77">
        <f>SUMIFS('Wells Fargo'!$F:$F,'Wells Fargo'!$G:$G,'Cash Flow'!$A22,'Wells Fargo'!$A:$A,AI$1,'Wells Fargo'!$B:$B,"&lt;="&amp;'Cash Flow'!AI$3,'Wells Fargo'!$B:$B,"&gt;"&amp;'Cash Flow'!AH$3)</f>
        <v>0</v>
      </c>
      <c r="AJ22" s="77">
        <f>SUMIFS('Wells Fargo'!$F:$F,'Wells Fargo'!$G:$G,'Cash Flow'!$A22,'Wells Fargo'!$A:$A,AJ$1,'Wells Fargo'!$B:$B,"&lt;="&amp;'Cash Flow'!AJ$3,'Wells Fargo'!$B:$B,"&gt;"&amp;'Cash Flow'!AI$3)</f>
        <v>0</v>
      </c>
      <c r="AK22" s="111">
        <f>SUMIFS('Wells Fargo'!$F:$F,'Wells Fargo'!$G:$G,'Cash Flow'!$A22,'Wells Fargo'!$A:$A,AK$1,'Wells Fargo'!$B:$B,"&lt;="&amp;'Cash Flow'!AK$3)</f>
        <v>0</v>
      </c>
      <c r="AL22" s="77">
        <f>SUMIFS('Wells Fargo'!$F:$F,'Wells Fargo'!$G:$G,'Cash Flow'!$A22,'Wells Fargo'!$A:$A,AL$1,'Wells Fargo'!$B:$B,"&lt;="&amp;'Cash Flow'!AL$3,'Wells Fargo'!$B:$B,"&gt;"&amp;'Cash Flow'!AK$3)</f>
        <v>0</v>
      </c>
      <c r="AM22" s="77">
        <f>SUMIFS('Wells Fargo'!$F:$F,'Wells Fargo'!$G:$G,'Cash Flow'!$A22,'Wells Fargo'!$A:$A,AM$1,'Wells Fargo'!$B:$B,"&lt;="&amp;'Cash Flow'!AM$3,'Wells Fargo'!$B:$B,"&gt;"&amp;'Cash Flow'!AL$3)</f>
        <v>0</v>
      </c>
      <c r="AN22" s="77">
        <f>SUMIFS('Wells Fargo'!$F:$F,'Wells Fargo'!$G:$G,'Cash Flow'!$A22,'Wells Fargo'!$A:$A,AN$1,'Wells Fargo'!$B:$B,"&lt;="&amp;'Cash Flow'!AN$3,'Wells Fargo'!$B:$B,"&gt;"&amp;'Cash Flow'!AM$3)</f>
        <v>0</v>
      </c>
      <c r="AO22" s="77">
        <f>SUMIFS('Wells Fargo'!$F:$F,'Wells Fargo'!$G:$G,'Cash Flow'!$A22,'Wells Fargo'!$A:$A,AO$1,'Wells Fargo'!$B:$B,"&lt;="&amp;'Cash Flow'!AO$3,'Wells Fargo'!$B:$B,"&gt;"&amp;'Cash Flow'!AN$3)</f>
        <v>0</v>
      </c>
      <c r="AP22" s="111">
        <f>SUMIFS('Wells Fargo'!$F:$F,'Wells Fargo'!$G:$G,'Cash Flow'!$A22,'Wells Fargo'!$A:$A,AP$1,'Wells Fargo'!$B:$B,"&lt;="&amp;'Cash Flow'!AP$3)</f>
        <v>0</v>
      </c>
      <c r="AQ22" s="77">
        <f>SUMIFS('Wells Fargo'!$F:$F,'Wells Fargo'!$G:$G,'Cash Flow'!$A22,'Wells Fargo'!$A:$A,AQ$1,'Wells Fargo'!$B:$B,"&lt;="&amp;'Cash Flow'!AQ$3,'Wells Fargo'!$B:$B,"&gt;"&amp;'Cash Flow'!AP$3)</f>
        <v>0</v>
      </c>
      <c r="AR22" s="77">
        <f>SUMIFS('Wells Fargo'!$F:$F,'Wells Fargo'!$G:$G,'Cash Flow'!$A22,'Wells Fargo'!$A:$A,AR$1,'Wells Fargo'!$B:$B,"&lt;="&amp;'Cash Flow'!AR$3,'Wells Fargo'!$B:$B,"&gt;"&amp;'Cash Flow'!AQ$3)</f>
        <v>0</v>
      </c>
      <c r="AS22" s="77">
        <f>SUMIFS('Wells Fargo'!$F:$F,'Wells Fargo'!$G:$G,'Cash Flow'!$A22,'Wells Fargo'!$A:$A,AS$1,'Wells Fargo'!$B:$B,"&lt;="&amp;'Cash Flow'!AS$3,'Wells Fargo'!$B:$B,"&gt;"&amp;'Cash Flow'!AR$3)</f>
        <v>0</v>
      </c>
      <c r="AT22" s="77">
        <f>SUMIFS('Wells Fargo'!$F:$F,'Wells Fargo'!$G:$G,'Cash Flow'!$A22,'Wells Fargo'!$A:$A,AT$1,'Wells Fargo'!$B:$B,"&lt;="&amp;'Cash Flow'!AT$3,'Wells Fargo'!$B:$B,"&gt;"&amp;'Cash Flow'!AS$3)</f>
        <v>0</v>
      </c>
      <c r="AU22" s="111">
        <f>SUMIFS('Wells Fargo'!$F:$F,'Wells Fargo'!$G:$G,'Cash Flow'!$A22,'Wells Fargo'!$A:$A,AU$1,'Wells Fargo'!$B:$B,"&lt;="&amp;'Cash Flow'!AU$3)</f>
        <v>0</v>
      </c>
      <c r="AV22" s="77">
        <f>SUMIFS('Wells Fargo'!$F:$F,'Wells Fargo'!$G:$G,'Cash Flow'!$A22,'Wells Fargo'!$A:$A,AV$1,'Wells Fargo'!$B:$B,"&lt;="&amp;'Cash Flow'!AV$3,'Wells Fargo'!$B:$B,"&gt;"&amp;'Cash Flow'!AU$3)</f>
        <v>0</v>
      </c>
      <c r="AW22" s="77">
        <f>SUMIFS('Wells Fargo'!$F:$F,'Wells Fargo'!$G:$G,'Cash Flow'!$A22,'Wells Fargo'!$A:$A,AW$1,'Wells Fargo'!$B:$B,"&lt;="&amp;'Cash Flow'!AW$3,'Wells Fargo'!$B:$B,"&gt;"&amp;'Cash Flow'!AV$3)</f>
        <v>0</v>
      </c>
      <c r="AX22" s="77">
        <f>SUMIFS('Wells Fargo'!$F:$F,'Wells Fargo'!$G:$G,'Cash Flow'!$A22,'Wells Fargo'!$A:$A,AX$1,'Wells Fargo'!$B:$B,"&lt;="&amp;'Cash Flow'!AX$3,'Wells Fargo'!$B:$B,"&gt;"&amp;'Cash Flow'!AW$3)</f>
        <v>0</v>
      </c>
      <c r="AY22" s="77">
        <f>SUMIFS('Wells Fargo'!$F:$F,'Wells Fargo'!$G:$G,'Cash Flow'!$A22,'Wells Fargo'!$A:$A,AY$1,'Wells Fargo'!$B:$B,"&lt;="&amp;'Cash Flow'!AY$3,'Wells Fargo'!$B:$B,"&gt;"&amp;'Cash Flow'!AX$3)</f>
        <v>0</v>
      </c>
      <c r="AZ22" s="111">
        <f>SUMIFS('Wells Fargo'!$F:$F,'Wells Fargo'!$G:$G,'Cash Flow'!$A22,'Wells Fargo'!$A:$A,AZ$1,'Wells Fargo'!$B:$B,"&lt;="&amp;'Cash Flow'!AZ$3)</f>
        <v>0</v>
      </c>
      <c r="BA22" s="77">
        <f>SUMIFS('Wells Fargo'!$F:$F,'Wells Fargo'!$G:$G,'Cash Flow'!$A22,'Wells Fargo'!$A:$A,BA$1,'Wells Fargo'!$B:$B,"&lt;="&amp;'Cash Flow'!BA$3,'Wells Fargo'!$B:$B,"&gt;"&amp;'Cash Flow'!AZ$3)</f>
        <v>0</v>
      </c>
      <c r="BB22" s="77">
        <f>SUMIFS('Wells Fargo'!$F:$F,'Wells Fargo'!$G:$G,'Cash Flow'!$A22,'Wells Fargo'!$A:$A,BB$1,'Wells Fargo'!$B:$B,"&lt;="&amp;'Cash Flow'!BB$3,'Wells Fargo'!$B:$B,"&gt;"&amp;'Cash Flow'!BA$3)</f>
        <v>0</v>
      </c>
      <c r="BC22" s="77">
        <f>SUMIFS('Wells Fargo'!$F:$F,'Wells Fargo'!$G:$G,'Cash Flow'!$A22,'Wells Fargo'!$A:$A,BC$1,'Wells Fargo'!$B:$B,"&lt;="&amp;'Cash Flow'!BC$3,'Wells Fargo'!$B:$B,"&gt;"&amp;'Cash Flow'!BB$3)</f>
        <v>0</v>
      </c>
      <c r="BD22" s="77">
        <f>SUMIFS('Wells Fargo'!$F:$F,'Wells Fargo'!$G:$G,'Cash Flow'!$A22,'Wells Fargo'!$A:$A,BD$1,'Wells Fargo'!$B:$B,"&lt;="&amp;'Cash Flow'!BD$3,'Wells Fargo'!$B:$B,"&gt;"&amp;'Cash Flow'!BC$3)</f>
        <v>0</v>
      </c>
      <c r="BE22" s="111">
        <f>SUMIFS('Wells Fargo'!$F:$F,'Wells Fargo'!$G:$G,'Cash Flow'!$A22,'Wells Fargo'!$A:$A,BE$1,'Wells Fargo'!$B:$B,"&lt;="&amp;'Cash Flow'!BE$3)</f>
        <v>0</v>
      </c>
      <c r="BF22" s="77">
        <f>SUMIFS('Wells Fargo'!$F:$F,'Wells Fargo'!$G:$G,'Cash Flow'!$A22,'Wells Fargo'!$A:$A,BF$1,'Wells Fargo'!$B:$B,"&lt;="&amp;'Cash Flow'!BF$3,'Wells Fargo'!$B:$B,"&gt;"&amp;'Cash Flow'!BE$3)</f>
        <v>0</v>
      </c>
      <c r="BG22" s="77">
        <f>SUMIFS('Wells Fargo'!$F:$F,'Wells Fargo'!$G:$G,'Cash Flow'!$A22,'Wells Fargo'!$A:$A,BG$1,'Wells Fargo'!$B:$B,"&lt;="&amp;'Cash Flow'!BG$3,'Wells Fargo'!$B:$B,"&gt;"&amp;'Cash Flow'!BF$3)</f>
        <v>0</v>
      </c>
      <c r="BH22" s="77">
        <f>SUMIFS('Wells Fargo'!$F:$F,'Wells Fargo'!$G:$G,'Cash Flow'!$A22,'Wells Fargo'!$A:$A,BH$1,'Wells Fargo'!$B:$B,"&lt;="&amp;'Cash Flow'!BH$3,'Wells Fargo'!$B:$B,"&gt;"&amp;'Cash Flow'!BG$3)</f>
        <v>0</v>
      </c>
      <c r="BI22" s="77">
        <f>SUMIFS('Wells Fargo'!$F:$F,'Wells Fargo'!$G:$G,'Cash Flow'!$A22,'Wells Fargo'!$A:$A,BI$1,'Wells Fargo'!$B:$B,"&lt;="&amp;'Cash Flow'!BI$3,'Wells Fargo'!$B:$B,"&gt;"&amp;'Cash Flow'!BH$3)</f>
        <v>0</v>
      </c>
    </row>
    <row r="23" spans="1:61" ht="14.5" x14ac:dyDescent="0.5">
      <c r="A23" t="str">
        <v>Jayelin</v>
      </c>
      <c r="B23" s="90">
        <f t="shared" si="0"/>
        <v>-447.51</v>
      </c>
      <c r="C23" s="111">
        <f>SUMIFS('Wells Fargo'!$F:$F,'Wells Fargo'!$G:$G,'Cash Flow'!$A23,'Wells Fargo'!$A:$A,C$1,'Wells Fargo'!$B:$B,"&lt;="&amp;'Cash Flow'!C$3)</f>
        <v>0</v>
      </c>
      <c r="D23" s="77">
        <f>SUMIFS('Wells Fargo'!$F:$F,'Wells Fargo'!$G:$G,'Cash Flow'!$A23,'Wells Fargo'!$A:$A,D$1,'Wells Fargo'!$B:$B,"&lt;="&amp;'Cash Flow'!D$3,'Wells Fargo'!$B:$B,"&gt;"&amp;'Cash Flow'!C$3)</f>
        <v>0</v>
      </c>
      <c r="E23" s="77">
        <f>SUMIFS('Wells Fargo'!$F:$F,'Wells Fargo'!$G:$G,'Cash Flow'!$A23,'Wells Fargo'!$A:$A,E$1,'Wells Fargo'!$B:$B,"&lt;="&amp;'Cash Flow'!E$3,'Wells Fargo'!$B:$B,"&gt;"&amp;'Cash Flow'!D$3)</f>
        <v>0</v>
      </c>
      <c r="F23" s="77">
        <f>SUMIFS('Wells Fargo'!$F:$F,'Wells Fargo'!$G:$G,'Cash Flow'!$A23,'Wells Fargo'!$A:$A,F$1,'Wells Fargo'!$B:$B,"&lt;="&amp;'Cash Flow'!F$3,'Wells Fargo'!$B:$B,"&gt;"&amp;'Cash Flow'!E$3)</f>
        <v>0</v>
      </c>
      <c r="G23" s="77">
        <f>SUMIFS('Wells Fargo'!$F:$F,'Wells Fargo'!$G:$G,'Cash Flow'!$A23,'Wells Fargo'!$A:$A,G$1,'Wells Fargo'!$B:$B,"&lt;="&amp;'Cash Flow'!G$3,'Wells Fargo'!$B:$B,"&gt;"&amp;'Cash Flow'!F$3)</f>
        <v>0</v>
      </c>
      <c r="H23" s="111">
        <f>SUMIFS('Wells Fargo'!$F:$F,'Wells Fargo'!$G:$G,'Cash Flow'!$A23,'Wells Fargo'!$A:$A,H$1,'Wells Fargo'!$B:$B,"&lt;="&amp;'Cash Flow'!H$3)</f>
        <v>0</v>
      </c>
      <c r="I23" s="77">
        <f>SUMIFS('Wells Fargo'!$F:$F,'Wells Fargo'!$G:$G,'Cash Flow'!$A23,'Wells Fargo'!$A:$A,I$1,'Wells Fargo'!$B:$B,"&lt;="&amp;'Cash Flow'!I$3,'Wells Fargo'!$B:$B,"&gt;"&amp;'Cash Flow'!H$3)</f>
        <v>0</v>
      </c>
      <c r="J23" s="77">
        <f>SUMIFS('Wells Fargo'!$F:$F,'Wells Fargo'!$G:$G,'Cash Flow'!$A23,'Wells Fargo'!$A:$A,J$1,'Wells Fargo'!$B:$B,"&lt;="&amp;'Cash Flow'!J$3,'Wells Fargo'!$B:$B,"&gt;"&amp;'Cash Flow'!I$3)</f>
        <v>0</v>
      </c>
      <c r="K23" s="77">
        <f>SUMIFS('Wells Fargo'!$F:$F,'Wells Fargo'!$G:$G,'Cash Flow'!$A23,'Wells Fargo'!$A:$A,K$1,'Wells Fargo'!$B:$B,"&lt;="&amp;'Cash Flow'!K$3,'Wells Fargo'!$B:$B,"&gt;"&amp;'Cash Flow'!J$3)</f>
        <v>0</v>
      </c>
      <c r="L23" s="111">
        <f>SUMIFS('Wells Fargo'!$F:$F,'Wells Fargo'!$G:$G,'Cash Flow'!$A23,'Wells Fargo'!$A:$A,L$1,'Wells Fargo'!$B:$B,"&lt;="&amp;'Cash Flow'!L$3)</f>
        <v>-500</v>
      </c>
      <c r="M23" s="77">
        <f>SUMIFS('Wells Fargo'!$F:$F,'Wells Fargo'!$G:$G,'Cash Flow'!$A23,'Wells Fargo'!$A:$A,M$1,'Wells Fargo'!$B:$B,"&lt;="&amp;'Cash Flow'!M$3,'Wells Fargo'!$B:$B,"&gt;"&amp;'Cash Flow'!L$3)</f>
        <v>227.35</v>
      </c>
      <c r="N23" s="77">
        <f>SUMIFS('Wells Fargo'!$F:$F,'Wells Fargo'!$G:$G,'Cash Flow'!$A23,'Wells Fargo'!$A:$A,N$1,'Wells Fargo'!$B:$B,"&lt;="&amp;'Cash Flow'!N$3,'Wells Fargo'!$B:$B,"&gt;"&amp;'Cash Flow'!M$3)</f>
        <v>0</v>
      </c>
      <c r="O23" s="77">
        <f>SUMIFS('Wells Fargo'!$F:$F,'Wells Fargo'!$G:$G,'Cash Flow'!$A23,'Wells Fargo'!$A:$A,O$1,'Wells Fargo'!$B:$B,"&lt;="&amp;'Cash Flow'!O$3,'Wells Fargo'!$B:$B,"&gt;"&amp;'Cash Flow'!N$3)</f>
        <v>0</v>
      </c>
      <c r="P23" s="77">
        <f>SUMIFS('Wells Fargo'!$F:$F,'Wells Fargo'!$G:$G,'Cash Flow'!$A23,'Wells Fargo'!$A:$A,P$1,'Wells Fargo'!$B:$B,"&lt;="&amp;'Cash Flow'!P$3,'Wells Fargo'!$B:$B,"&gt;"&amp;'Cash Flow'!O$3)</f>
        <v>0</v>
      </c>
      <c r="Q23" s="111">
        <f>SUMIFS('Wells Fargo'!$F:$F,'Wells Fargo'!$G:$G,'Cash Flow'!$A23,'Wells Fargo'!$A:$A,Q$1,'Wells Fargo'!$B:$B,"&lt;="&amp;'Cash Flow'!Q$3)</f>
        <v>0</v>
      </c>
      <c r="R23" s="77">
        <f>SUMIFS('Wells Fargo'!$F:$F,'Wells Fargo'!$G:$G,'Cash Flow'!$A23,'Wells Fargo'!$A:$A,R$1,'Wells Fargo'!$B:$B,"&lt;="&amp;'Cash Flow'!R$3,'Wells Fargo'!$B:$B,"&gt;"&amp;'Cash Flow'!Q$3)</f>
        <v>0</v>
      </c>
      <c r="S23" s="77">
        <f>SUMIFS('Wells Fargo'!$F:$F,'Wells Fargo'!$G:$G,'Cash Flow'!$A23,'Wells Fargo'!$A:$A,S$1,'Wells Fargo'!$B:$B,"&lt;="&amp;'Cash Flow'!S$3,'Wells Fargo'!$B:$B,"&gt;"&amp;'Cash Flow'!R$3)</f>
        <v>0</v>
      </c>
      <c r="T23" s="77">
        <f>SUMIFS('Wells Fargo'!$F:$F,'Wells Fargo'!$G:$G,'Cash Flow'!$A23,'Wells Fargo'!$A:$A,T$1,'Wells Fargo'!$B:$B,"&lt;="&amp;'Cash Flow'!T$3,'Wells Fargo'!$B:$B,"&gt;"&amp;'Cash Flow'!S$3)</f>
        <v>189</v>
      </c>
      <c r="U23" s="77">
        <f>SUMIFS('Wells Fargo'!$F:$F,'Wells Fargo'!$G:$G,'Cash Flow'!$A23,'Wells Fargo'!$A:$A,U$1,'Wells Fargo'!$B:$B,"&lt;="&amp;'Cash Flow'!U$3,'Wells Fargo'!$B:$B,"&gt;"&amp;'Cash Flow'!T$3)</f>
        <v>0</v>
      </c>
      <c r="V23" s="111">
        <f>SUMIFS('Wells Fargo'!$F:$F,'Wells Fargo'!$G:$G,'Cash Flow'!$A23,'Wells Fargo'!$A:$A,V$1,'Wells Fargo'!$B:$B,"&lt;="&amp;'Cash Flow'!V$3)</f>
        <v>0</v>
      </c>
      <c r="W23" s="77">
        <f>SUMIFS('Wells Fargo'!$F:$F,'Wells Fargo'!$G:$G,'Cash Flow'!$A23,'Wells Fargo'!$A:$A,W$1,'Wells Fargo'!$B:$B,"&lt;="&amp;'Cash Flow'!W$3,'Wells Fargo'!$B:$B,"&gt;"&amp;'Cash Flow'!V$3)</f>
        <v>136.13999999999999</v>
      </c>
      <c r="X23" s="77">
        <f>SUMIFS('Wells Fargo'!$F:$F,'Wells Fargo'!$G:$G,'Cash Flow'!$A23,'Wells Fargo'!$A:$A,X$1,'Wells Fargo'!$B:$B,"&lt;="&amp;'Cash Flow'!X$3,'Wells Fargo'!$B:$B,"&gt;"&amp;'Cash Flow'!W$3)</f>
        <v>0</v>
      </c>
      <c r="Y23" s="77">
        <f>SUMIFS('Wells Fargo'!$F:$F,'Wells Fargo'!$G:$G,'Cash Flow'!$A23,'Wells Fargo'!$A:$A,Y$1,'Wells Fargo'!$B:$B,"&lt;="&amp;'Cash Flow'!Y$3,'Wells Fargo'!$B:$B,"&gt;"&amp;'Cash Flow'!X$3)</f>
        <v>0</v>
      </c>
      <c r="Z23" s="77">
        <f>SUMIFS('Wells Fargo'!$F:$F,'Wells Fargo'!$G:$G,'Cash Flow'!$A23,'Wells Fargo'!$A:$A,Z$1,'Wells Fargo'!$B:$B,"&lt;="&amp;'Cash Flow'!Z$3,'Wells Fargo'!$B:$B,"&gt;"&amp;'Cash Flow'!Y$3)</f>
        <v>0</v>
      </c>
      <c r="AA23" s="111">
        <f>SUMIFS('Wells Fargo'!$F:$F,'Wells Fargo'!$G:$G,'Cash Flow'!$A23,'Wells Fargo'!$A:$A,AA$1,'Wells Fargo'!$B:$B,"&lt;="&amp;'Cash Flow'!AA$3)</f>
        <v>-500</v>
      </c>
      <c r="AB23" s="77">
        <f>SUMIFS('Wells Fargo'!$F:$F,'Wells Fargo'!$G:$G,'Cash Flow'!$A23,'Wells Fargo'!$A:$A,AB$1,'Wells Fargo'!$B:$B,"&lt;="&amp;'Cash Flow'!AB$3,'Wells Fargo'!$B:$B,"&gt;"&amp;'Cash Flow'!AA$3)</f>
        <v>0</v>
      </c>
      <c r="AC23" s="77">
        <f>SUMIFS('Wells Fargo'!$F:$F,'Wells Fargo'!$G:$G,'Cash Flow'!$A23,'Wells Fargo'!$A:$A,AC$1,'Wells Fargo'!$B:$B,"&lt;="&amp;'Cash Flow'!AC$3,'Wells Fargo'!$B:$B,"&gt;"&amp;'Cash Flow'!AB$3)</f>
        <v>0</v>
      </c>
      <c r="AD23" s="77">
        <f>SUMIFS('Wells Fargo'!$F:$F,'Wells Fargo'!$G:$G,'Cash Flow'!$A23,'Wells Fargo'!$A:$A,AD$1,'Wells Fargo'!$B:$B,"&lt;="&amp;'Cash Flow'!AD$3,'Wells Fargo'!$B:$B,"&gt;"&amp;'Cash Flow'!AC$3)</f>
        <v>0</v>
      </c>
      <c r="AE23" s="77">
        <f>SUMIFS('Wells Fargo'!$F:$F,'Wells Fargo'!$G:$G,'Cash Flow'!$A23,'Wells Fargo'!$A:$A,AE$1,'Wells Fargo'!$B:$B,"&lt;="&amp;'Cash Flow'!AE$3,'Wells Fargo'!$B:$B,"&gt;"&amp;'Cash Flow'!AD$3)</f>
        <v>0</v>
      </c>
      <c r="AF23" s="111">
        <f>SUMIFS('Wells Fargo'!$F:$F,'Wells Fargo'!$G:$G,'Cash Flow'!$A23,'Wells Fargo'!$A:$A,AF$1,'Wells Fargo'!$B:$B,"&lt;="&amp;'Cash Flow'!AF$3)</f>
        <v>0</v>
      </c>
      <c r="AG23" s="77">
        <f>SUMIFS('Wells Fargo'!$F:$F,'Wells Fargo'!$G:$G,'Cash Flow'!$A23,'Wells Fargo'!$A:$A,AG$1,'Wells Fargo'!$B:$B,"&lt;="&amp;'Cash Flow'!AG$3,'Wells Fargo'!$B:$B,"&gt;"&amp;'Cash Flow'!AF$3)</f>
        <v>0</v>
      </c>
      <c r="AH23" s="77">
        <f>SUMIFS('Wells Fargo'!$F:$F,'Wells Fargo'!$G:$G,'Cash Flow'!$A23,'Wells Fargo'!$A:$A,AH$1,'Wells Fargo'!$B:$B,"&lt;="&amp;'Cash Flow'!AH$3,'Wells Fargo'!$B:$B,"&gt;"&amp;'Cash Flow'!AG$3)</f>
        <v>0</v>
      </c>
      <c r="AI23" s="77">
        <f>SUMIFS('Wells Fargo'!$F:$F,'Wells Fargo'!$G:$G,'Cash Flow'!$A23,'Wells Fargo'!$A:$A,AI$1,'Wells Fargo'!$B:$B,"&lt;="&amp;'Cash Flow'!AI$3,'Wells Fargo'!$B:$B,"&gt;"&amp;'Cash Flow'!AH$3)</f>
        <v>0</v>
      </c>
      <c r="AJ23" s="77">
        <f>SUMIFS('Wells Fargo'!$F:$F,'Wells Fargo'!$G:$G,'Cash Flow'!$A23,'Wells Fargo'!$A:$A,AJ$1,'Wells Fargo'!$B:$B,"&lt;="&amp;'Cash Flow'!AJ$3,'Wells Fargo'!$B:$B,"&gt;"&amp;'Cash Flow'!AI$3)</f>
        <v>0</v>
      </c>
      <c r="AK23" s="111">
        <f>SUMIFS('Wells Fargo'!$F:$F,'Wells Fargo'!$G:$G,'Cash Flow'!$A23,'Wells Fargo'!$A:$A,AK$1,'Wells Fargo'!$B:$B,"&lt;="&amp;'Cash Flow'!AK$3)</f>
        <v>0</v>
      </c>
      <c r="AL23" s="77">
        <f>SUMIFS('Wells Fargo'!$F:$F,'Wells Fargo'!$G:$G,'Cash Flow'!$A23,'Wells Fargo'!$A:$A,AL$1,'Wells Fargo'!$B:$B,"&lt;="&amp;'Cash Flow'!AL$3,'Wells Fargo'!$B:$B,"&gt;"&amp;'Cash Flow'!AK$3)</f>
        <v>0</v>
      </c>
      <c r="AM23" s="77">
        <f>SUMIFS('Wells Fargo'!$F:$F,'Wells Fargo'!$G:$G,'Cash Flow'!$A23,'Wells Fargo'!$A:$A,AM$1,'Wells Fargo'!$B:$B,"&lt;="&amp;'Cash Flow'!AM$3,'Wells Fargo'!$B:$B,"&gt;"&amp;'Cash Flow'!AL$3)</f>
        <v>0</v>
      </c>
      <c r="AN23" s="77">
        <f>SUMIFS('Wells Fargo'!$F:$F,'Wells Fargo'!$G:$G,'Cash Flow'!$A23,'Wells Fargo'!$A:$A,AN$1,'Wells Fargo'!$B:$B,"&lt;="&amp;'Cash Flow'!AN$3,'Wells Fargo'!$B:$B,"&gt;"&amp;'Cash Flow'!AM$3)</f>
        <v>0</v>
      </c>
      <c r="AO23" s="77">
        <f>SUMIFS('Wells Fargo'!$F:$F,'Wells Fargo'!$G:$G,'Cash Flow'!$A23,'Wells Fargo'!$A:$A,AO$1,'Wells Fargo'!$B:$B,"&lt;="&amp;'Cash Flow'!AO$3,'Wells Fargo'!$B:$B,"&gt;"&amp;'Cash Flow'!AN$3)</f>
        <v>0</v>
      </c>
      <c r="AP23" s="111">
        <f>SUMIFS('Wells Fargo'!$F:$F,'Wells Fargo'!$G:$G,'Cash Flow'!$A23,'Wells Fargo'!$A:$A,AP$1,'Wells Fargo'!$B:$B,"&lt;="&amp;'Cash Flow'!AP$3)</f>
        <v>0</v>
      </c>
      <c r="AQ23" s="77">
        <f>SUMIFS('Wells Fargo'!$F:$F,'Wells Fargo'!$G:$G,'Cash Flow'!$A23,'Wells Fargo'!$A:$A,AQ$1,'Wells Fargo'!$B:$B,"&lt;="&amp;'Cash Flow'!AQ$3,'Wells Fargo'!$B:$B,"&gt;"&amp;'Cash Flow'!AP$3)</f>
        <v>0</v>
      </c>
      <c r="AR23" s="77">
        <f>SUMIFS('Wells Fargo'!$F:$F,'Wells Fargo'!$G:$G,'Cash Flow'!$A23,'Wells Fargo'!$A:$A,AR$1,'Wells Fargo'!$B:$B,"&lt;="&amp;'Cash Flow'!AR$3,'Wells Fargo'!$B:$B,"&gt;"&amp;'Cash Flow'!AQ$3)</f>
        <v>0</v>
      </c>
      <c r="AS23" s="77">
        <f>SUMIFS('Wells Fargo'!$F:$F,'Wells Fargo'!$G:$G,'Cash Flow'!$A23,'Wells Fargo'!$A:$A,AS$1,'Wells Fargo'!$B:$B,"&lt;="&amp;'Cash Flow'!AS$3,'Wells Fargo'!$B:$B,"&gt;"&amp;'Cash Flow'!AR$3)</f>
        <v>0</v>
      </c>
      <c r="AT23" s="77">
        <f>SUMIFS('Wells Fargo'!$F:$F,'Wells Fargo'!$G:$G,'Cash Flow'!$A23,'Wells Fargo'!$A:$A,AT$1,'Wells Fargo'!$B:$B,"&lt;="&amp;'Cash Flow'!AT$3,'Wells Fargo'!$B:$B,"&gt;"&amp;'Cash Flow'!AS$3)</f>
        <v>0</v>
      </c>
      <c r="AU23" s="111">
        <f>SUMIFS('Wells Fargo'!$F:$F,'Wells Fargo'!$G:$G,'Cash Flow'!$A23,'Wells Fargo'!$A:$A,AU$1,'Wells Fargo'!$B:$B,"&lt;="&amp;'Cash Flow'!AU$3)</f>
        <v>0</v>
      </c>
      <c r="AV23" s="77">
        <f>SUMIFS('Wells Fargo'!$F:$F,'Wells Fargo'!$G:$G,'Cash Flow'!$A23,'Wells Fargo'!$A:$A,AV$1,'Wells Fargo'!$B:$B,"&lt;="&amp;'Cash Flow'!AV$3,'Wells Fargo'!$B:$B,"&gt;"&amp;'Cash Flow'!AU$3)</f>
        <v>0</v>
      </c>
      <c r="AW23" s="77">
        <f>SUMIFS('Wells Fargo'!$F:$F,'Wells Fargo'!$G:$G,'Cash Flow'!$A23,'Wells Fargo'!$A:$A,AW$1,'Wells Fargo'!$B:$B,"&lt;="&amp;'Cash Flow'!AW$3,'Wells Fargo'!$B:$B,"&gt;"&amp;'Cash Flow'!AV$3)</f>
        <v>0</v>
      </c>
      <c r="AX23" s="77">
        <f>SUMIFS('Wells Fargo'!$F:$F,'Wells Fargo'!$G:$G,'Cash Flow'!$A23,'Wells Fargo'!$A:$A,AX$1,'Wells Fargo'!$B:$B,"&lt;="&amp;'Cash Flow'!AX$3,'Wells Fargo'!$B:$B,"&gt;"&amp;'Cash Flow'!AW$3)</f>
        <v>0</v>
      </c>
      <c r="AY23" s="77">
        <f>SUMIFS('Wells Fargo'!$F:$F,'Wells Fargo'!$G:$G,'Cash Flow'!$A23,'Wells Fargo'!$A:$A,AY$1,'Wells Fargo'!$B:$B,"&lt;="&amp;'Cash Flow'!AY$3,'Wells Fargo'!$B:$B,"&gt;"&amp;'Cash Flow'!AX$3)</f>
        <v>0</v>
      </c>
      <c r="AZ23" s="111">
        <f>SUMIFS('Wells Fargo'!$F:$F,'Wells Fargo'!$G:$G,'Cash Flow'!$A23,'Wells Fargo'!$A:$A,AZ$1,'Wells Fargo'!$B:$B,"&lt;="&amp;'Cash Flow'!AZ$3)</f>
        <v>0</v>
      </c>
      <c r="BA23" s="77">
        <f>SUMIFS('Wells Fargo'!$F:$F,'Wells Fargo'!$G:$G,'Cash Flow'!$A23,'Wells Fargo'!$A:$A,BA$1,'Wells Fargo'!$B:$B,"&lt;="&amp;'Cash Flow'!BA$3,'Wells Fargo'!$B:$B,"&gt;"&amp;'Cash Flow'!AZ$3)</f>
        <v>0</v>
      </c>
      <c r="BB23" s="77">
        <f>SUMIFS('Wells Fargo'!$F:$F,'Wells Fargo'!$G:$G,'Cash Flow'!$A23,'Wells Fargo'!$A:$A,BB$1,'Wells Fargo'!$B:$B,"&lt;="&amp;'Cash Flow'!BB$3,'Wells Fargo'!$B:$B,"&gt;"&amp;'Cash Flow'!BA$3)</f>
        <v>0</v>
      </c>
      <c r="BC23" s="77">
        <f>SUMIFS('Wells Fargo'!$F:$F,'Wells Fargo'!$G:$G,'Cash Flow'!$A23,'Wells Fargo'!$A:$A,BC$1,'Wells Fargo'!$B:$B,"&lt;="&amp;'Cash Flow'!BC$3,'Wells Fargo'!$B:$B,"&gt;"&amp;'Cash Flow'!BB$3)</f>
        <v>0</v>
      </c>
      <c r="BD23" s="77">
        <f>SUMIFS('Wells Fargo'!$F:$F,'Wells Fargo'!$G:$G,'Cash Flow'!$A23,'Wells Fargo'!$A:$A,BD$1,'Wells Fargo'!$B:$B,"&lt;="&amp;'Cash Flow'!BD$3,'Wells Fargo'!$B:$B,"&gt;"&amp;'Cash Flow'!BC$3)</f>
        <v>0</v>
      </c>
      <c r="BE23" s="111">
        <f>SUMIFS('Wells Fargo'!$F:$F,'Wells Fargo'!$G:$G,'Cash Flow'!$A23,'Wells Fargo'!$A:$A,BE$1,'Wells Fargo'!$B:$B,"&lt;="&amp;'Cash Flow'!BE$3)</f>
        <v>0</v>
      </c>
      <c r="BF23" s="77">
        <f>SUMIFS('Wells Fargo'!$F:$F,'Wells Fargo'!$G:$G,'Cash Flow'!$A23,'Wells Fargo'!$A:$A,BF$1,'Wells Fargo'!$B:$B,"&lt;="&amp;'Cash Flow'!BF$3,'Wells Fargo'!$B:$B,"&gt;"&amp;'Cash Flow'!BE$3)</f>
        <v>0</v>
      </c>
      <c r="BG23" s="77">
        <f>SUMIFS('Wells Fargo'!$F:$F,'Wells Fargo'!$G:$G,'Cash Flow'!$A23,'Wells Fargo'!$A:$A,BG$1,'Wells Fargo'!$B:$B,"&lt;="&amp;'Cash Flow'!BG$3,'Wells Fargo'!$B:$B,"&gt;"&amp;'Cash Flow'!BF$3)</f>
        <v>0</v>
      </c>
      <c r="BH23" s="77">
        <f>SUMIFS('Wells Fargo'!$F:$F,'Wells Fargo'!$G:$G,'Cash Flow'!$A23,'Wells Fargo'!$A:$A,BH$1,'Wells Fargo'!$B:$B,"&lt;="&amp;'Cash Flow'!BH$3,'Wells Fargo'!$B:$B,"&gt;"&amp;'Cash Flow'!BG$3)</f>
        <v>0</v>
      </c>
      <c r="BI23" s="77">
        <f>SUMIFS('Wells Fargo'!$F:$F,'Wells Fargo'!$G:$G,'Cash Flow'!$A23,'Wells Fargo'!$A:$A,BI$1,'Wells Fargo'!$B:$B,"&lt;="&amp;'Cash Flow'!BI$3,'Wells Fargo'!$B:$B,"&gt;"&amp;'Cash Flow'!BH$3)</f>
        <v>0</v>
      </c>
    </row>
    <row r="24" spans="1:61" ht="14.5" x14ac:dyDescent="0.5">
      <c r="A24" t="str">
        <v>Jon Li</v>
      </c>
      <c r="B24" s="90">
        <f t="shared" si="0"/>
        <v>-340</v>
      </c>
      <c r="C24" s="111">
        <f>SUMIFS('Wells Fargo'!$F:$F,'Wells Fargo'!$G:$G,'Cash Flow'!$A24,'Wells Fargo'!$A:$A,C$1,'Wells Fargo'!$B:$B,"&lt;="&amp;'Cash Flow'!C$3)</f>
        <v>0</v>
      </c>
      <c r="D24" s="77">
        <f>SUMIFS('Wells Fargo'!$F:$F,'Wells Fargo'!$G:$G,'Cash Flow'!$A24,'Wells Fargo'!$A:$A,D$1,'Wells Fargo'!$B:$B,"&lt;="&amp;'Cash Flow'!D$3,'Wells Fargo'!$B:$B,"&gt;"&amp;'Cash Flow'!C$3)</f>
        <v>0</v>
      </c>
      <c r="E24" s="77">
        <f>SUMIFS('Wells Fargo'!$F:$F,'Wells Fargo'!$G:$G,'Cash Flow'!$A24,'Wells Fargo'!$A:$A,E$1,'Wells Fargo'!$B:$B,"&lt;="&amp;'Cash Flow'!E$3,'Wells Fargo'!$B:$B,"&gt;"&amp;'Cash Flow'!D$3)</f>
        <v>0</v>
      </c>
      <c r="F24" s="77">
        <f>SUMIFS('Wells Fargo'!$F:$F,'Wells Fargo'!$G:$G,'Cash Flow'!$A24,'Wells Fargo'!$A:$A,F$1,'Wells Fargo'!$B:$B,"&lt;="&amp;'Cash Flow'!F$3,'Wells Fargo'!$B:$B,"&gt;"&amp;'Cash Flow'!E$3)</f>
        <v>0</v>
      </c>
      <c r="G24" s="77">
        <f>SUMIFS('Wells Fargo'!$F:$F,'Wells Fargo'!$G:$G,'Cash Flow'!$A24,'Wells Fargo'!$A:$A,G$1,'Wells Fargo'!$B:$B,"&lt;="&amp;'Cash Flow'!G$3,'Wells Fargo'!$B:$B,"&gt;"&amp;'Cash Flow'!F$3)</f>
        <v>0</v>
      </c>
      <c r="H24" s="111">
        <f>SUMIFS('Wells Fargo'!$F:$F,'Wells Fargo'!$G:$G,'Cash Flow'!$A24,'Wells Fargo'!$A:$A,H$1,'Wells Fargo'!$B:$B,"&lt;="&amp;'Cash Flow'!H$3)</f>
        <v>0</v>
      </c>
      <c r="I24" s="77">
        <f>SUMIFS('Wells Fargo'!$F:$F,'Wells Fargo'!$G:$G,'Cash Flow'!$A24,'Wells Fargo'!$A:$A,I$1,'Wells Fargo'!$B:$B,"&lt;="&amp;'Cash Flow'!I$3,'Wells Fargo'!$B:$B,"&gt;"&amp;'Cash Flow'!H$3)</f>
        <v>0</v>
      </c>
      <c r="J24" s="77">
        <f>SUMIFS('Wells Fargo'!$F:$F,'Wells Fargo'!$G:$G,'Cash Flow'!$A24,'Wells Fargo'!$A:$A,J$1,'Wells Fargo'!$B:$B,"&lt;="&amp;'Cash Flow'!J$3,'Wells Fargo'!$B:$B,"&gt;"&amp;'Cash Flow'!I$3)</f>
        <v>0</v>
      </c>
      <c r="K24" s="77">
        <f>SUMIFS('Wells Fargo'!$F:$F,'Wells Fargo'!$G:$G,'Cash Flow'!$A24,'Wells Fargo'!$A:$A,K$1,'Wells Fargo'!$B:$B,"&lt;="&amp;'Cash Flow'!K$3,'Wells Fargo'!$B:$B,"&gt;"&amp;'Cash Flow'!J$3)</f>
        <v>0</v>
      </c>
      <c r="L24" s="111">
        <f>SUMIFS('Wells Fargo'!$F:$F,'Wells Fargo'!$G:$G,'Cash Flow'!$A24,'Wells Fargo'!$A:$A,L$1,'Wells Fargo'!$B:$B,"&lt;="&amp;'Cash Flow'!L$3)</f>
        <v>0</v>
      </c>
      <c r="M24" s="77">
        <f>SUMIFS('Wells Fargo'!$F:$F,'Wells Fargo'!$G:$G,'Cash Flow'!$A24,'Wells Fargo'!$A:$A,M$1,'Wells Fargo'!$B:$B,"&lt;="&amp;'Cash Flow'!M$3,'Wells Fargo'!$B:$B,"&gt;"&amp;'Cash Flow'!L$3)</f>
        <v>0</v>
      </c>
      <c r="N24" s="77">
        <f>SUMIFS('Wells Fargo'!$F:$F,'Wells Fargo'!$G:$G,'Cash Flow'!$A24,'Wells Fargo'!$A:$A,N$1,'Wells Fargo'!$B:$B,"&lt;="&amp;'Cash Flow'!N$3,'Wells Fargo'!$B:$B,"&gt;"&amp;'Cash Flow'!M$3)</f>
        <v>0</v>
      </c>
      <c r="O24" s="77">
        <f>SUMIFS('Wells Fargo'!$F:$F,'Wells Fargo'!$G:$G,'Cash Flow'!$A24,'Wells Fargo'!$A:$A,O$1,'Wells Fargo'!$B:$B,"&lt;="&amp;'Cash Flow'!O$3,'Wells Fargo'!$B:$B,"&gt;"&amp;'Cash Flow'!N$3)</f>
        <v>0</v>
      </c>
      <c r="P24" s="77">
        <f>SUMIFS('Wells Fargo'!$F:$F,'Wells Fargo'!$G:$G,'Cash Flow'!$A24,'Wells Fargo'!$A:$A,P$1,'Wells Fargo'!$B:$B,"&lt;="&amp;'Cash Flow'!P$3,'Wells Fargo'!$B:$B,"&gt;"&amp;'Cash Flow'!O$3)</f>
        <v>0</v>
      </c>
      <c r="Q24" s="111">
        <f>SUMIFS('Wells Fargo'!$F:$F,'Wells Fargo'!$G:$G,'Cash Flow'!$A24,'Wells Fargo'!$A:$A,Q$1,'Wells Fargo'!$B:$B,"&lt;="&amp;'Cash Flow'!Q$3)</f>
        <v>0</v>
      </c>
      <c r="R24" s="77">
        <f>SUMIFS('Wells Fargo'!$F:$F,'Wells Fargo'!$G:$G,'Cash Flow'!$A24,'Wells Fargo'!$A:$A,R$1,'Wells Fargo'!$B:$B,"&lt;="&amp;'Cash Flow'!R$3,'Wells Fargo'!$B:$B,"&gt;"&amp;'Cash Flow'!Q$3)</f>
        <v>0</v>
      </c>
      <c r="S24" s="77">
        <f>SUMIFS('Wells Fargo'!$F:$F,'Wells Fargo'!$G:$G,'Cash Flow'!$A24,'Wells Fargo'!$A:$A,S$1,'Wells Fargo'!$B:$B,"&lt;="&amp;'Cash Flow'!S$3,'Wells Fargo'!$B:$B,"&gt;"&amp;'Cash Flow'!R$3)</f>
        <v>0</v>
      </c>
      <c r="T24" s="77">
        <f>SUMIFS('Wells Fargo'!$F:$F,'Wells Fargo'!$G:$G,'Cash Flow'!$A24,'Wells Fargo'!$A:$A,T$1,'Wells Fargo'!$B:$B,"&lt;="&amp;'Cash Flow'!T$3,'Wells Fargo'!$B:$B,"&gt;"&amp;'Cash Flow'!S$3)</f>
        <v>0</v>
      </c>
      <c r="U24" s="77">
        <f>SUMIFS('Wells Fargo'!$F:$F,'Wells Fargo'!$G:$G,'Cash Flow'!$A24,'Wells Fargo'!$A:$A,U$1,'Wells Fargo'!$B:$B,"&lt;="&amp;'Cash Flow'!U$3,'Wells Fargo'!$B:$B,"&gt;"&amp;'Cash Flow'!T$3)</f>
        <v>0</v>
      </c>
      <c r="V24" s="111">
        <f>SUMIFS('Wells Fargo'!$F:$F,'Wells Fargo'!$G:$G,'Cash Flow'!$A24,'Wells Fargo'!$A:$A,V$1,'Wells Fargo'!$B:$B,"&lt;="&amp;'Cash Flow'!V$3)</f>
        <v>0</v>
      </c>
      <c r="W24" s="77">
        <f>SUMIFS('Wells Fargo'!$F:$F,'Wells Fargo'!$G:$G,'Cash Flow'!$A24,'Wells Fargo'!$A:$A,W$1,'Wells Fargo'!$B:$B,"&lt;="&amp;'Cash Flow'!W$3,'Wells Fargo'!$B:$B,"&gt;"&amp;'Cash Flow'!V$3)</f>
        <v>0</v>
      </c>
      <c r="X24" s="77">
        <f>SUMIFS('Wells Fargo'!$F:$F,'Wells Fargo'!$G:$G,'Cash Flow'!$A24,'Wells Fargo'!$A:$A,X$1,'Wells Fargo'!$B:$B,"&lt;="&amp;'Cash Flow'!X$3,'Wells Fargo'!$B:$B,"&gt;"&amp;'Cash Flow'!W$3)</f>
        <v>-340</v>
      </c>
      <c r="Y24" s="77">
        <f>SUMIFS('Wells Fargo'!$F:$F,'Wells Fargo'!$G:$G,'Cash Flow'!$A24,'Wells Fargo'!$A:$A,Y$1,'Wells Fargo'!$B:$B,"&lt;="&amp;'Cash Flow'!Y$3,'Wells Fargo'!$B:$B,"&gt;"&amp;'Cash Flow'!X$3)</f>
        <v>0</v>
      </c>
      <c r="Z24" s="77">
        <f>SUMIFS('Wells Fargo'!$F:$F,'Wells Fargo'!$G:$G,'Cash Flow'!$A24,'Wells Fargo'!$A:$A,Z$1,'Wells Fargo'!$B:$B,"&lt;="&amp;'Cash Flow'!Z$3,'Wells Fargo'!$B:$B,"&gt;"&amp;'Cash Flow'!Y$3)</f>
        <v>0</v>
      </c>
      <c r="AA24" s="111">
        <f>SUMIFS('Wells Fargo'!$F:$F,'Wells Fargo'!$G:$G,'Cash Flow'!$A24,'Wells Fargo'!$A:$A,AA$1,'Wells Fargo'!$B:$B,"&lt;="&amp;'Cash Flow'!AA$3)</f>
        <v>0</v>
      </c>
      <c r="AB24" s="77">
        <f>SUMIFS('Wells Fargo'!$F:$F,'Wells Fargo'!$G:$G,'Cash Flow'!$A24,'Wells Fargo'!$A:$A,AB$1,'Wells Fargo'!$B:$B,"&lt;="&amp;'Cash Flow'!AB$3,'Wells Fargo'!$B:$B,"&gt;"&amp;'Cash Flow'!AA$3)</f>
        <v>0</v>
      </c>
      <c r="AC24" s="77">
        <f>SUMIFS('Wells Fargo'!$F:$F,'Wells Fargo'!$G:$G,'Cash Flow'!$A24,'Wells Fargo'!$A:$A,AC$1,'Wells Fargo'!$B:$B,"&lt;="&amp;'Cash Flow'!AC$3,'Wells Fargo'!$B:$B,"&gt;"&amp;'Cash Flow'!AB$3)</f>
        <v>0</v>
      </c>
      <c r="AD24" s="77">
        <f>SUMIFS('Wells Fargo'!$F:$F,'Wells Fargo'!$G:$G,'Cash Flow'!$A24,'Wells Fargo'!$A:$A,AD$1,'Wells Fargo'!$B:$B,"&lt;="&amp;'Cash Flow'!AD$3,'Wells Fargo'!$B:$B,"&gt;"&amp;'Cash Flow'!AC$3)</f>
        <v>0</v>
      </c>
      <c r="AE24" s="77">
        <f>SUMIFS('Wells Fargo'!$F:$F,'Wells Fargo'!$G:$G,'Cash Flow'!$A24,'Wells Fargo'!$A:$A,AE$1,'Wells Fargo'!$B:$B,"&lt;="&amp;'Cash Flow'!AE$3,'Wells Fargo'!$B:$B,"&gt;"&amp;'Cash Flow'!AD$3)</f>
        <v>0</v>
      </c>
      <c r="AF24" s="111">
        <f>SUMIFS('Wells Fargo'!$F:$F,'Wells Fargo'!$G:$G,'Cash Flow'!$A24,'Wells Fargo'!$A:$A,AF$1,'Wells Fargo'!$B:$B,"&lt;="&amp;'Cash Flow'!AF$3)</f>
        <v>0</v>
      </c>
      <c r="AG24" s="77">
        <f>SUMIFS('Wells Fargo'!$F:$F,'Wells Fargo'!$G:$G,'Cash Flow'!$A24,'Wells Fargo'!$A:$A,AG$1,'Wells Fargo'!$B:$B,"&lt;="&amp;'Cash Flow'!AG$3,'Wells Fargo'!$B:$B,"&gt;"&amp;'Cash Flow'!AF$3)</f>
        <v>0</v>
      </c>
      <c r="AH24" s="77">
        <f>SUMIFS('Wells Fargo'!$F:$F,'Wells Fargo'!$G:$G,'Cash Flow'!$A24,'Wells Fargo'!$A:$A,AH$1,'Wells Fargo'!$B:$B,"&lt;="&amp;'Cash Flow'!AH$3,'Wells Fargo'!$B:$B,"&gt;"&amp;'Cash Flow'!AG$3)</f>
        <v>0</v>
      </c>
      <c r="AI24" s="77">
        <f>SUMIFS('Wells Fargo'!$F:$F,'Wells Fargo'!$G:$G,'Cash Flow'!$A24,'Wells Fargo'!$A:$A,AI$1,'Wells Fargo'!$B:$B,"&lt;="&amp;'Cash Flow'!AI$3,'Wells Fargo'!$B:$B,"&gt;"&amp;'Cash Flow'!AH$3)</f>
        <v>0</v>
      </c>
      <c r="AJ24" s="77">
        <f>SUMIFS('Wells Fargo'!$F:$F,'Wells Fargo'!$G:$G,'Cash Flow'!$A24,'Wells Fargo'!$A:$A,AJ$1,'Wells Fargo'!$B:$B,"&lt;="&amp;'Cash Flow'!AJ$3,'Wells Fargo'!$B:$B,"&gt;"&amp;'Cash Flow'!AI$3)</f>
        <v>0</v>
      </c>
      <c r="AK24" s="111">
        <f>SUMIFS('Wells Fargo'!$F:$F,'Wells Fargo'!$G:$G,'Cash Flow'!$A24,'Wells Fargo'!$A:$A,AK$1,'Wells Fargo'!$B:$B,"&lt;="&amp;'Cash Flow'!AK$3)</f>
        <v>0</v>
      </c>
      <c r="AL24" s="77">
        <f>SUMIFS('Wells Fargo'!$F:$F,'Wells Fargo'!$G:$G,'Cash Flow'!$A24,'Wells Fargo'!$A:$A,AL$1,'Wells Fargo'!$B:$B,"&lt;="&amp;'Cash Flow'!AL$3,'Wells Fargo'!$B:$B,"&gt;"&amp;'Cash Flow'!AK$3)</f>
        <v>0</v>
      </c>
      <c r="AM24" s="77">
        <f>SUMIFS('Wells Fargo'!$F:$F,'Wells Fargo'!$G:$G,'Cash Flow'!$A24,'Wells Fargo'!$A:$A,AM$1,'Wells Fargo'!$B:$B,"&lt;="&amp;'Cash Flow'!AM$3,'Wells Fargo'!$B:$B,"&gt;"&amp;'Cash Flow'!AL$3)</f>
        <v>0</v>
      </c>
      <c r="AN24" s="77">
        <f>SUMIFS('Wells Fargo'!$F:$F,'Wells Fargo'!$G:$G,'Cash Flow'!$A24,'Wells Fargo'!$A:$A,AN$1,'Wells Fargo'!$B:$B,"&lt;="&amp;'Cash Flow'!AN$3,'Wells Fargo'!$B:$B,"&gt;"&amp;'Cash Flow'!AM$3)</f>
        <v>0</v>
      </c>
      <c r="AO24" s="77">
        <f>SUMIFS('Wells Fargo'!$F:$F,'Wells Fargo'!$G:$G,'Cash Flow'!$A24,'Wells Fargo'!$A:$A,AO$1,'Wells Fargo'!$B:$B,"&lt;="&amp;'Cash Flow'!AO$3,'Wells Fargo'!$B:$B,"&gt;"&amp;'Cash Flow'!AN$3)</f>
        <v>0</v>
      </c>
      <c r="AP24" s="111">
        <f>SUMIFS('Wells Fargo'!$F:$F,'Wells Fargo'!$G:$G,'Cash Flow'!$A24,'Wells Fargo'!$A:$A,AP$1,'Wells Fargo'!$B:$B,"&lt;="&amp;'Cash Flow'!AP$3)</f>
        <v>0</v>
      </c>
      <c r="AQ24" s="77">
        <f>SUMIFS('Wells Fargo'!$F:$F,'Wells Fargo'!$G:$G,'Cash Flow'!$A24,'Wells Fargo'!$A:$A,AQ$1,'Wells Fargo'!$B:$B,"&lt;="&amp;'Cash Flow'!AQ$3,'Wells Fargo'!$B:$B,"&gt;"&amp;'Cash Flow'!AP$3)</f>
        <v>0</v>
      </c>
      <c r="AR24" s="77">
        <f>SUMIFS('Wells Fargo'!$F:$F,'Wells Fargo'!$G:$G,'Cash Flow'!$A24,'Wells Fargo'!$A:$A,AR$1,'Wells Fargo'!$B:$B,"&lt;="&amp;'Cash Flow'!AR$3,'Wells Fargo'!$B:$B,"&gt;"&amp;'Cash Flow'!AQ$3)</f>
        <v>0</v>
      </c>
      <c r="AS24" s="77">
        <f>SUMIFS('Wells Fargo'!$F:$F,'Wells Fargo'!$G:$G,'Cash Flow'!$A24,'Wells Fargo'!$A:$A,AS$1,'Wells Fargo'!$B:$B,"&lt;="&amp;'Cash Flow'!AS$3,'Wells Fargo'!$B:$B,"&gt;"&amp;'Cash Flow'!AR$3)</f>
        <v>0</v>
      </c>
      <c r="AT24" s="77">
        <f>SUMIFS('Wells Fargo'!$F:$F,'Wells Fargo'!$G:$G,'Cash Flow'!$A24,'Wells Fargo'!$A:$A,AT$1,'Wells Fargo'!$B:$B,"&lt;="&amp;'Cash Flow'!AT$3,'Wells Fargo'!$B:$B,"&gt;"&amp;'Cash Flow'!AS$3)</f>
        <v>0</v>
      </c>
      <c r="AU24" s="111">
        <f>SUMIFS('Wells Fargo'!$F:$F,'Wells Fargo'!$G:$G,'Cash Flow'!$A24,'Wells Fargo'!$A:$A,AU$1,'Wells Fargo'!$B:$B,"&lt;="&amp;'Cash Flow'!AU$3)</f>
        <v>0</v>
      </c>
      <c r="AV24" s="77">
        <f>SUMIFS('Wells Fargo'!$F:$F,'Wells Fargo'!$G:$G,'Cash Flow'!$A24,'Wells Fargo'!$A:$A,AV$1,'Wells Fargo'!$B:$B,"&lt;="&amp;'Cash Flow'!AV$3,'Wells Fargo'!$B:$B,"&gt;"&amp;'Cash Flow'!AU$3)</f>
        <v>0</v>
      </c>
      <c r="AW24" s="77">
        <f>SUMIFS('Wells Fargo'!$F:$F,'Wells Fargo'!$G:$G,'Cash Flow'!$A24,'Wells Fargo'!$A:$A,AW$1,'Wells Fargo'!$B:$B,"&lt;="&amp;'Cash Flow'!AW$3,'Wells Fargo'!$B:$B,"&gt;"&amp;'Cash Flow'!AV$3)</f>
        <v>0</v>
      </c>
      <c r="AX24" s="77">
        <f>SUMIFS('Wells Fargo'!$F:$F,'Wells Fargo'!$G:$G,'Cash Flow'!$A24,'Wells Fargo'!$A:$A,AX$1,'Wells Fargo'!$B:$B,"&lt;="&amp;'Cash Flow'!AX$3,'Wells Fargo'!$B:$B,"&gt;"&amp;'Cash Flow'!AW$3)</f>
        <v>0</v>
      </c>
      <c r="AY24" s="77">
        <f>SUMIFS('Wells Fargo'!$F:$F,'Wells Fargo'!$G:$G,'Cash Flow'!$A24,'Wells Fargo'!$A:$A,AY$1,'Wells Fargo'!$B:$B,"&lt;="&amp;'Cash Flow'!AY$3,'Wells Fargo'!$B:$B,"&gt;"&amp;'Cash Flow'!AX$3)</f>
        <v>0</v>
      </c>
      <c r="AZ24" s="111">
        <f>SUMIFS('Wells Fargo'!$F:$F,'Wells Fargo'!$G:$G,'Cash Flow'!$A24,'Wells Fargo'!$A:$A,AZ$1,'Wells Fargo'!$B:$B,"&lt;="&amp;'Cash Flow'!AZ$3)</f>
        <v>0</v>
      </c>
      <c r="BA24" s="77">
        <f>SUMIFS('Wells Fargo'!$F:$F,'Wells Fargo'!$G:$G,'Cash Flow'!$A24,'Wells Fargo'!$A:$A,BA$1,'Wells Fargo'!$B:$B,"&lt;="&amp;'Cash Flow'!BA$3,'Wells Fargo'!$B:$B,"&gt;"&amp;'Cash Flow'!AZ$3)</f>
        <v>0</v>
      </c>
      <c r="BB24" s="77">
        <f>SUMIFS('Wells Fargo'!$F:$F,'Wells Fargo'!$G:$G,'Cash Flow'!$A24,'Wells Fargo'!$A:$A,BB$1,'Wells Fargo'!$B:$B,"&lt;="&amp;'Cash Flow'!BB$3,'Wells Fargo'!$B:$B,"&gt;"&amp;'Cash Flow'!BA$3)</f>
        <v>0</v>
      </c>
      <c r="BC24" s="77">
        <f>SUMIFS('Wells Fargo'!$F:$F,'Wells Fargo'!$G:$G,'Cash Flow'!$A24,'Wells Fargo'!$A:$A,BC$1,'Wells Fargo'!$B:$B,"&lt;="&amp;'Cash Flow'!BC$3,'Wells Fargo'!$B:$B,"&gt;"&amp;'Cash Flow'!BB$3)</f>
        <v>0</v>
      </c>
      <c r="BD24" s="77">
        <f>SUMIFS('Wells Fargo'!$F:$F,'Wells Fargo'!$G:$G,'Cash Flow'!$A24,'Wells Fargo'!$A:$A,BD$1,'Wells Fargo'!$B:$B,"&lt;="&amp;'Cash Flow'!BD$3,'Wells Fargo'!$B:$B,"&gt;"&amp;'Cash Flow'!BC$3)</f>
        <v>0</v>
      </c>
      <c r="BE24" s="111">
        <f>SUMIFS('Wells Fargo'!$F:$F,'Wells Fargo'!$G:$G,'Cash Flow'!$A24,'Wells Fargo'!$A:$A,BE$1,'Wells Fargo'!$B:$B,"&lt;="&amp;'Cash Flow'!BE$3)</f>
        <v>0</v>
      </c>
      <c r="BF24" s="77">
        <f>SUMIFS('Wells Fargo'!$F:$F,'Wells Fargo'!$G:$G,'Cash Flow'!$A24,'Wells Fargo'!$A:$A,BF$1,'Wells Fargo'!$B:$B,"&lt;="&amp;'Cash Flow'!BF$3,'Wells Fargo'!$B:$B,"&gt;"&amp;'Cash Flow'!BE$3)</f>
        <v>0</v>
      </c>
      <c r="BG24" s="77">
        <f>SUMIFS('Wells Fargo'!$F:$F,'Wells Fargo'!$G:$G,'Cash Flow'!$A24,'Wells Fargo'!$A:$A,BG$1,'Wells Fargo'!$B:$B,"&lt;="&amp;'Cash Flow'!BG$3,'Wells Fargo'!$B:$B,"&gt;"&amp;'Cash Flow'!BF$3)</f>
        <v>0</v>
      </c>
      <c r="BH24" s="77">
        <f>SUMIFS('Wells Fargo'!$F:$F,'Wells Fargo'!$G:$G,'Cash Flow'!$A24,'Wells Fargo'!$A:$A,BH$1,'Wells Fargo'!$B:$B,"&lt;="&amp;'Cash Flow'!BH$3,'Wells Fargo'!$B:$B,"&gt;"&amp;'Cash Flow'!BG$3)</f>
        <v>0</v>
      </c>
      <c r="BI24" s="77">
        <f>SUMIFS('Wells Fargo'!$F:$F,'Wells Fargo'!$G:$G,'Cash Flow'!$A24,'Wells Fargo'!$A:$A,BI$1,'Wells Fargo'!$B:$B,"&lt;="&amp;'Cash Flow'!BI$3,'Wells Fargo'!$B:$B,"&gt;"&amp;'Cash Flow'!BH$3)</f>
        <v>0</v>
      </c>
    </row>
    <row r="25" spans="1:61" ht="14.5" x14ac:dyDescent="0.5">
      <c r="A25" t="str">
        <v>Luminality Event</v>
      </c>
      <c r="B25" s="90">
        <f t="shared" si="0"/>
        <v>-78.75</v>
      </c>
      <c r="C25" s="111">
        <f>SUMIFS('Wells Fargo'!$F:$F,'Wells Fargo'!$G:$G,'Cash Flow'!$A25,'Wells Fargo'!$A:$A,C$1,'Wells Fargo'!$B:$B,"&lt;="&amp;'Cash Flow'!C$3)</f>
        <v>0</v>
      </c>
      <c r="D25" s="77">
        <f>SUMIFS('Wells Fargo'!$F:$F,'Wells Fargo'!$G:$G,'Cash Flow'!$A25,'Wells Fargo'!$A:$A,D$1,'Wells Fargo'!$B:$B,"&lt;="&amp;'Cash Flow'!D$3,'Wells Fargo'!$B:$B,"&gt;"&amp;'Cash Flow'!C$3)</f>
        <v>0</v>
      </c>
      <c r="E25" s="77">
        <f>SUMIFS('Wells Fargo'!$F:$F,'Wells Fargo'!$G:$G,'Cash Flow'!$A25,'Wells Fargo'!$A:$A,E$1,'Wells Fargo'!$B:$B,"&lt;="&amp;'Cash Flow'!E$3,'Wells Fargo'!$B:$B,"&gt;"&amp;'Cash Flow'!D$3)</f>
        <v>0</v>
      </c>
      <c r="F25" s="77">
        <f>SUMIFS('Wells Fargo'!$F:$F,'Wells Fargo'!$G:$G,'Cash Flow'!$A25,'Wells Fargo'!$A:$A,F$1,'Wells Fargo'!$B:$B,"&lt;="&amp;'Cash Flow'!F$3,'Wells Fargo'!$B:$B,"&gt;"&amp;'Cash Flow'!E$3)</f>
        <v>0</v>
      </c>
      <c r="G25" s="77">
        <f>SUMIFS('Wells Fargo'!$F:$F,'Wells Fargo'!$G:$G,'Cash Flow'!$A25,'Wells Fargo'!$A:$A,G$1,'Wells Fargo'!$B:$B,"&lt;="&amp;'Cash Flow'!G$3,'Wells Fargo'!$B:$B,"&gt;"&amp;'Cash Flow'!F$3)</f>
        <v>0</v>
      </c>
      <c r="H25" s="111">
        <f>SUMIFS('Wells Fargo'!$F:$F,'Wells Fargo'!$G:$G,'Cash Flow'!$A25,'Wells Fargo'!$A:$A,H$1,'Wells Fargo'!$B:$B,"&lt;="&amp;'Cash Flow'!H$3)</f>
        <v>0</v>
      </c>
      <c r="I25" s="77">
        <f>SUMIFS('Wells Fargo'!$F:$F,'Wells Fargo'!$G:$G,'Cash Flow'!$A25,'Wells Fargo'!$A:$A,I$1,'Wells Fargo'!$B:$B,"&lt;="&amp;'Cash Flow'!I$3,'Wells Fargo'!$B:$B,"&gt;"&amp;'Cash Flow'!H$3)</f>
        <v>0</v>
      </c>
      <c r="J25" s="77">
        <f>SUMIFS('Wells Fargo'!$F:$F,'Wells Fargo'!$G:$G,'Cash Flow'!$A25,'Wells Fargo'!$A:$A,J$1,'Wells Fargo'!$B:$B,"&lt;="&amp;'Cash Flow'!J$3,'Wells Fargo'!$B:$B,"&gt;"&amp;'Cash Flow'!I$3)</f>
        <v>0</v>
      </c>
      <c r="K25" s="77">
        <f>SUMIFS('Wells Fargo'!$F:$F,'Wells Fargo'!$G:$G,'Cash Flow'!$A25,'Wells Fargo'!$A:$A,K$1,'Wells Fargo'!$B:$B,"&lt;="&amp;'Cash Flow'!K$3,'Wells Fargo'!$B:$B,"&gt;"&amp;'Cash Flow'!J$3)</f>
        <v>0</v>
      </c>
      <c r="L25" s="111">
        <f>SUMIFS('Wells Fargo'!$F:$F,'Wells Fargo'!$G:$G,'Cash Flow'!$A25,'Wells Fargo'!$A:$A,L$1,'Wells Fargo'!$B:$B,"&lt;="&amp;'Cash Flow'!L$3)</f>
        <v>0</v>
      </c>
      <c r="M25" s="77">
        <f>SUMIFS('Wells Fargo'!$F:$F,'Wells Fargo'!$G:$G,'Cash Flow'!$A25,'Wells Fargo'!$A:$A,M$1,'Wells Fargo'!$B:$B,"&lt;="&amp;'Cash Flow'!M$3,'Wells Fargo'!$B:$B,"&gt;"&amp;'Cash Flow'!L$3)</f>
        <v>0</v>
      </c>
      <c r="N25" s="77">
        <f>SUMIFS('Wells Fargo'!$F:$F,'Wells Fargo'!$G:$G,'Cash Flow'!$A25,'Wells Fargo'!$A:$A,N$1,'Wells Fargo'!$B:$B,"&lt;="&amp;'Cash Flow'!N$3,'Wells Fargo'!$B:$B,"&gt;"&amp;'Cash Flow'!M$3)</f>
        <v>0</v>
      </c>
      <c r="O25" s="77">
        <f>SUMIFS('Wells Fargo'!$F:$F,'Wells Fargo'!$G:$G,'Cash Flow'!$A25,'Wells Fargo'!$A:$A,O$1,'Wells Fargo'!$B:$B,"&lt;="&amp;'Cash Flow'!O$3,'Wells Fargo'!$B:$B,"&gt;"&amp;'Cash Flow'!N$3)</f>
        <v>0</v>
      </c>
      <c r="P25" s="77">
        <f>SUMIFS('Wells Fargo'!$F:$F,'Wells Fargo'!$G:$G,'Cash Flow'!$A25,'Wells Fargo'!$A:$A,P$1,'Wells Fargo'!$B:$B,"&lt;="&amp;'Cash Flow'!P$3,'Wells Fargo'!$B:$B,"&gt;"&amp;'Cash Flow'!O$3)</f>
        <v>0</v>
      </c>
      <c r="Q25" s="111">
        <f>SUMIFS('Wells Fargo'!$F:$F,'Wells Fargo'!$G:$G,'Cash Flow'!$A25,'Wells Fargo'!$A:$A,Q$1,'Wells Fargo'!$B:$B,"&lt;="&amp;'Cash Flow'!Q$3)</f>
        <v>0</v>
      </c>
      <c r="R25" s="77">
        <f>SUMIFS('Wells Fargo'!$F:$F,'Wells Fargo'!$G:$G,'Cash Flow'!$A25,'Wells Fargo'!$A:$A,R$1,'Wells Fargo'!$B:$B,"&lt;="&amp;'Cash Flow'!R$3,'Wells Fargo'!$B:$B,"&gt;"&amp;'Cash Flow'!Q$3)</f>
        <v>0</v>
      </c>
      <c r="S25" s="77">
        <f>SUMIFS('Wells Fargo'!$F:$F,'Wells Fargo'!$G:$G,'Cash Flow'!$A25,'Wells Fargo'!$A:$A,S$1,'Wells Fargo'!$B:$B,"&lt;="&amp;'Cash Flow'!S$3,'Wells Fargo'!$B:$B,"&gt;"&amp;'Cash Flow'!R$3)</f>
        <v>0</v>
      </c>
      <c r="T25" s="77">
        <f>SUMIFS('Wells Fargo'!$F:$F,'Wells Fargo'!$G:$G,'Cash Flow'!$A25,'Wells Fargo'!$A:$A,T$1,'Wells Fargo'!$B:$B,"&lt;="&amp;'Cash Flow'!T$3,'Wells Fargo'!$B:$B,"&gt;"&amp;'Cash Flow'!S$3)</f>
        <v>0</v>
      </c>
      <c r="U25" s="77">
        <f>SUMIFS('Wells Fargo'!$F:$F,'Wells Fargo'!$G:$G,'Cash Flow'!$A25,'Wells Fargo'!$A:$A,U$1,'Wells Fargo'!$B:$B,"&lt;="&amp;'Cash Flow'!U$3,'Wells Fargo'!$B:$B,"&gt;"&amp;'Cash Flow'!T$3)</f>
        <v>0</v>
      </c>
      <c r="V25" s="111">
        <f>SUMIFS('Wells Fargo'!$F:$F,'Wells Fargo'!$G:$G,'Cash Flow'!$A25,'Wells Fargo'!$A:$A,V$1,'Wells Fargo'!$B:$B,"&lt;="&amp;'Cash Flow'!V$3)</f>
        <v>0</v>
      </c>
      <c r="W25" s="77">
        <f>SUMIFS('Wells Fargo'!$F:$F,'Wells Fargo'!$G:$G,'Cash Flow'!$A25,'Wells Fargo'!$A:$A,W$1,'Wells Fargo'!$B:$B,"&lt;="&amp;'Cash Flow'!W$3,'Wells Fargo'!$B:$B,"&gt;"&amp;'Cash Flow'!V$3)</f>
        <v>0</v>
      </c>
      <c r="X25" s="77">
        <f>SUMIFS('Wells Fargo'!$F:$F,'Wells Fargo'!$G:$G,'Cash Flow'!$A25,'Wells Fargo'!$A:$A,X$1,'Wells Fargo'!$B:$B,"&lt;="&amp;'Cash Flow'!X$3,'Wells Fargo'!$B:$B,"&gt;"&amp;'Cash Flow'!W$3)</f>
        <v>0</v>
      </c>
      <c r="Y25" s="77">
        <f>SUMIFS('Wells Fargo'!$F:$F,'Wells Fargo'!$G:$G,'Cash Flow'!$A25,'Wells Fargo'!$A:$A,Y$1,'Wells Fargo'!$B:$B,"&lt;="&amp;'Cash Flow'!Y$3,'Wells Fargo'!$B:$B,"&gt;"&amp;'Cash Flow'!X$3)</f>
        <v>0</v>
      </c>
      <c r="Z25" s="77">
        <f>SUMIFS('Wells Fargo'!$F:$F,'Wells Fargo'!$G:$G,'Cash Flow'!$A25,'Wells Fargo'!$A:$A,Z$1,'Wells Fargo'!$B:$B,"&lt;="&amp;'Cash Flow'!Z$3,'Wells Fargo'!$B:$B,"&gt;"&amp;'Cash Flow'!Y$3)</f>
        <v>0</v>
      </c>
      <c r="AA25" s="111">
        <f>SUMIFS('Wells Fargo'!$F:$F,'Wells Fargo'!$G:$G,'Cash Flow'!$A25,'Wells Fargo'!$A:$A,AA$1,'Wells Fargo'!$B:$B,"&lt;="&amp;'Cash Flow'!AA$3)</f>
        <v>0</v>
      </c>
      <c r="AB25" s="77">
        <f>SUMIFS('Wells Fargo'!$F:$F,'Wells Fargo'!$G:$G,'Cash Flow'!$A25,'Wells Fargo'!$A:$A,AB$1,'Wells Fargo'!$B:$B,"&lt;="&amp;'Cash Flow'!AB$3,'Wells Fargo'!$B:$B,"&gt;"&amp;'Cash Flow'!AA$3)</f>
        <v>-78.75</v>
      </c>
      <c r="AC25" s="77">
        <f>SUMIFS('Wells Fargo'!$F:$F,'Wells Fargo'!$G:$G,'Cash Flow'!$A25,'Wells Fargo'!$A:$A,AC$1,'Wells Fargo'!$B:$B,"&lt;="&amp;'Cash Flow'!AC$3,'Wells Fargo'!$B:$B,"&gt;"&amp;'Cash Flow'!AB$3)</f>
        <v>0</v>
      </c>
      <c r="AD25" s="77">
        <f>SUMIFS('Wells Fargo'!$F:$F,'Wells Fargo'!$G:$G,'Cash Flow'!$A25,'Wells Fargo'!$A:$A,AD$1,'Wells Fargo'!$B:$B,"&lt;="&amp;'Cash Flow'!AD$3,'Wells Fargo'!$B:$B,"&gt;"&amp;'Cash Flow'!AC$3)</f>
        <v>0</v>
      </c>
      <c r="AE25" s="77">
        <f>SUMIFS('Wells Fargo'!$F:$F,'Wells Fargo'!$G:$G,'Cash Flow'!$A25,'Wells Fargo'!$A:$A,AE$1,'Wells Fargo'!$B:$B,"&lt;="&amp;'Cash Flow'!AE$3,'Wells Fargo'!$B:$B,"&gt;"&amp;'Cash Flow'!AD$3)</f>
        <v>0</v>
      </c>
      <c r="AF25" s="111">
        <f>SUMIFS('Wells Fargo'!$F:$F,'Wells Fargo'!$G:$G,'Cash Flow'!$A25,'Wells Fargo'!$A:$A,AF$1,'Wells Fargo'!$B:$B,"&lt;="&amp;'Cash Flow'!AF$3)</f>
        <v>0</v>
      </c>
      <c r="AG25" s="77">
        <f>SUMIFS('Wells Fargo'!$F:$F,'Wells Fargo'!$G:$G,'Cash Flow'!$A25,'Wells Fargo'!$A:$A,AG$1,'Wells Fargo'!$B:$B,"&lt;="&amp;'Cash Flow'!AG$3,'Wells Fargo'!$B:$B,"&gt;"&amp;'Cash Flow'!AF$3)</f>
        <v>0</v>
      </c>
      <c r="AH25" s="77">
        <f>SUMIFS('Wells Fargo'!$F:$F,'Wells Fargo'!$G:$G,'Cash Flow'!$A25,'Wells Fargo'!$A:$A,AH$1,'Wells Fargo'!$B:$B,"&lt;="&amp;'Cash Flow'!AH$3,'Wells Fargo'!$B:$B,"&gt;"&amp;'Cash Flow'!AG$3)</f>
        <v>0</v>
      </c>
      <c r="AI25" s="77">
        <f>SUMIFS('Wells Fargo'!$F:$F,'Wells Fargo'!$G:$G,'Cash Flow'!$A25,'Wells Fargo'!$A:$A,AI$1,'Wells Fargo'!$B:$B,"&lt;="&amp;'Cash Flow'!AI$3,'Wells Fargo'!$B:$B,"&gt;"&amp;'Cash Flow'!AH$3)</f>
        <v>0</v>
      </c>
      <c r="AJ25" s="77">
        <f>SUMIFS('Wells Fargo'!$F:$F,'Wells Fargo'!$G:$G,'Cash Flow'!$A25,'Wells Fargo'!$A:$A,AJ$1,'Wells Fargo'!$B:$B,"&lt;="&amp;'Cash Flow'!AJ$3,'Wells Fargo'!$B:$B,"&gt;"&amp;'Cash Flow'!AI$3)</f>
        <v>0</v>
      </c>
      <c r="AK25" s="111">
        <f>SUMIFS('Wells Fargo'!$F:$F,'Wells Fargo'!$G:$G,'Cash Flow'!$A25,'Wells Fargo'!$A:$A,AK$1,'Wells Fargo'!$B:$B,"&lt;="&amp;'Cash Flow'!AK$3)</f>
        <v>0</v>
      </c>
      <c r="AL25" s="77">
        <f>SUMIFS('Wells Fargo'!$F:$F,'Wells Fargo'!$G:$G,'Cash Flow'!$A25,'Wells Fargo'!$A:$A,AL$1,'Wells Fargo'!$B:$B,"&lt;="&amp;'Cash Flow'!AL$3,'Wells Fargo'!$B:$B,"&gt;"&amp;'Cash Flow'!AK$3)</f>
        <v>0</v>
      </c>
      <c r="AM25" s="77">
        <f>SUMIFS('Wells Fargo'!$F:$F,'Wells Fargo'!$G:$G,'Cash Flow'!$A25,'Wells Fargo'!$A:$A,AM$1,'Wells Fargo'!$B:$B,"&lt;="&amp;'Cash Flow'!AM$3,'Wells Fargo'!$B:$B,"&gt;"&amp;'Cash Flow'!AL$3)</f>
        <v>0</v>
      </c>
      <c r="AN25" s="77">
        <f>SUMIFS('Wells Fargo'!$F:$F,'Wells Fargo'!$G:$G,'Cash Flow'!$A25,'Wells Fargo'!$A:$A,AN$1,'Wells Fargo'!$B:$B,"&lt;="&amp;'Cash Flow'!AN$3,'Wells Fargo'!$B:$B,"&gt;"&amp;'Cash Flow'!AM$3)</f>
        <v>0</v>
      </c>
      <c r="AO25" s="77">
        <f>SUMIFS('Wells Fargo'!$F:$F,'Wells Fargo'!$G:$G,'Cash Flow'!$A25,'Wells Fargo'!$A:$A,AO$1,'Wells Fargo'!$B:$B,"&lt;="&amp;'Cash Flow'!AO$3,'Wells Fargo'!$B:$B,"&gt;"&amp;'Cash Flow'!AN$3)</f>
        <v>0</v>
      </c>
      <c r="AP25" s="111">
        <f>SUMIFS('Wells Fargo'!$F:$F,'Wells Fargo'!$G:$G,'Cash Flow'!$A25,'Wells Fargo'!$A:$A,AP$1,'Wells Fargo'!$B:$B,"&lt;="&amp;'Cash Flow'!AP$3)</f>
        <v>0</v>
      </c>
      <c r="AQ25" s="77">
        <f>SUMIFS('Wells Fargo'!$F:$F,'Wells Fargo'!$G:$G,'Cash Flow'!$A25,'Wells Fargo'!$A:$A,AQ$1,'Wells Fargo'!$B:$B,"&lt;="&amp;'Cash Flow'!AQ$3,'Wells Fargo'!$B:$B,"&gt;"&amp;'Cash Flow'!AP$3)</f>
        <v>0</v>
      </c>
      <c r="AR25" s="77">
        <f>SUMIFS('Wells Fargo'!$F:$F,'Wells Fargo'!$G:$G,'Cash Flow'!$A25,'Wells Fargo'!$A:$A,AR$1,'Wells Fargo'!$B:$B,"&lt;="&amp;'Cash Flow'!AR$3,'Wells Fargo'!$B:$B,"&gt;"&amp;'Cash Flow'!AQ$3)</f>
        <v>0</v>
      </c>
      <c r="AS25" s="77">
        <f>SUMIFS('Wells Fargo'!$F:$F,'Wells Fargo'!$G:$G,'Cash Flow'!$A25,'Wells Fargo'!$A:$A,AS$1,'Wells Fargo'!$B:$B,"&lt;="&amp;'Cash Flow'!AS$3,'Wells Fargo'!$B:$B,"&gt;"&amp;'Cash Flow'!AR$3)</f>
        <v>0</v>
      </c>
      <c r="AT25" s="77">
        <f>SUMIFS('Wells Fargo'!$F:$F,'Wells Fargo'!$G:$G,'Cash Flow'!$A25,'Wells Fargo'!$A:$A,AT$1,'Wells Fargo'!$B:$B,"&lt;="&amp;'Cash Flow'!AT$3,'Wells Fargo'!$B:$B,"&gt;"&amp;'Cash Flow'!AS$3)</f>
        <v>0</v>
      </c>
      <c r="AU25" s="111">
        <f>SUMIFS('Wells Fargo'!$F:$F,'Wells Fargo'!$G:$G,'Cash Flow'!$A25,'Wells Fargo'!$A:$A,AU$1,'Wells Fargo'!$B:$B,"&lt;="&amp;'Cash Flow'!AU$3)</f>
        <v>0</v>
      </c>
      <c r="AV25" s="77">
        <f>SUMIFS('Wells Fargo'!$F:$F,'Wells Fargo'!$G:$G,'Cash Flow'!$A25,'Wells Fargo'!$A:$A,AV$1,'Wells Fargo'!$B:$B,"&lt;="&amp;'Cash Flow'!AV$3,'Wells Fargo'!$B:$B,"&gt;"&amp;'Cash Flow'!AU$3)</f>
        <v>0</v>
      </c>
      <c r="AW25" s="77">
        <f>SUMIFS('Wells Fargo'!$F:$F,'Wells Fargo'!$G:$G,'Cash Flow'!$A25,'Wells Fargo'!$A:$A,AW$1,'Wells Fargo'!$B:$B,"&lt;="&amp;'Cash Flow'!AW$3,'Wells Fargo'!$B:$B,"&gt;"&amp;'Cash Flow'!AV$3)</f>
        <v>0</v>
      </c>
      <c r="AX25" s="77">
        <f>SUMIFS('Wells Fargo'!$F:$F,'Wells Fargo'!$G:$G,'Cash Flow'!$A25,'Wells Fargo'!$A:$A,AX$1,'Wells Fargo'!$B:$B,"&lt;="&amp;'Cash Flow'!AX$3,'Wells Fargo'!$B:$B,"&gt;"&amp;'Cash Flow'!AW$3)</f>
        <v>0</v>
      </c>
      <c r="AY25" s="77">
        <f>SUMIFS('Wells Fargo'!$F:$F,'Wells Fargo'!$G:$G,'Cash Flow'!$A25,'Wells Fargo'!$A:$A,AY$1,'Wells Fargo'!$B:$B,"&lt;="&amp;'Cash Flow'!AY$3,'Wells Fargo'!$B:$B,"&gt;"&amp;'Cash Flow'!AX$3)</f>
        <v>0</v>
      </c>
      <c r="AZ25" s="111">
        <f>SUMIFS('Wells Fargo'!$F:$F,'Wells Fargo'!$G:$G,'Cash Flow'!$A25,'Wells Fargo'!$A:$A,AZ$1,'Wells Fargo'!$B:$B,"&lt;="&amp;'Cash Flow'!AZ$3)</f>
        <v>0</v>
      </c>
      <c r="BA25" s="77">
        <f>SUMIFS('Wells Fargo'!$F:$F,'Wells Fargo'!$G:$G,'Cash Flow'!$A25,'Wells Fargo'!$A:$A,BA$1,'Wells Fargo'!$B:$B,"&lt;="&amp;'Cash Flow'!BA$3,'Wells Fargo'!$B:$B,"&gt;"&amp;'Cash Flow'!AZ$3)</f>
        <v>0</v>
      </c>
      <c r="BB25" s="77">
        <f>SUMIFS('Wells Fargo'!$F:$F,'Wells Fargo'!$G:$G,'Cash Flow'!$A25,'Wells Fargo'!$A:$A,BB$1,'Wells Fargo'!$B:$B,"&lt;="&amp;'Cash Flow'!BB$3,'Wells Fargo'!$B:$B,"&gt;"&amp;'Cash Flow'!BA$3)</f>
        <v>0</v>
      </c>
      <c r="BC25" s="77">
        <f>SUMIFS('Wells Fargo'!$F:$F,'Wells Fargo'!$G:$G,'Cash Flow'!$A25,'Wells Fargo'!$A:$A,BC$1,'Wells Fargo'!$B:$B,"&lt;="&amp;'Cash Flow'!BC$3,'Wells Fargo'!$B:$B,"&gt;"&amp;'Cash Flow'!BB$3)</f>
        <v>0</v>
      </c>
      <c r="BD25" s="77">
        <f>SUMIFS('Wells Fargo'!$F:$F,'Wells Fargo'!$G:$G,'Cash Flow'!$A25,'Wells Fargo'!$A:$A,BD$1,'Wells Fargo'!$B:$B,"&lt;="&amp;'Cash Flow'!BD$3,'Wells Fargo'!$B:$B,"&gt;"&amp;'Cash Flow'!BC$3)</f>
        <v>0</v>
      </c>
      <c r="BE25" s="111">
        <f>SUMIFS('Wells Fargo'!$F:$F,'Wells Fargo'!$G:$G,'Cash Flow'!$A25,'Wells Fargo'!$A:$A,BE$1,'Wells Fargo'!$B:$B,"&lt;="&amp;'Cash Flow'!BE$3)</f>
        <v>0</v>
      </c>
      <c r="BF25" s="77">
        <f>SUMIFS('Wells Fargo'!$F:$F,'Wells Fargo'!$G:$G,'Cash Flow'!$A25,'Wells Fargo'!$A:$A,BF$1,'Wells Fargo'!$B:$B,"&lt;="&amp;'Cash Flow'!BF$3,'Wells Fargo'!$B:$B,"&gt;"&amp;'Cash Flow'!BE$3)</f>
        <v>0</v>
      </c>
      <c r="BG25" s="77">
        <f>SUMIFS('Wells Fargo'!$F:$F,'Wells Fargo'!$G:$G,'Cash Flow'!$A25,'Wells Fargo'!$A:$A,BG$1,'Wells Fargo'!$B:$B,"&lt;="&amp;'Cash Flow'!BG$3,'Wells Fargo'!$B:$B,"&gt;"&amp;'Cash Flow'!BF$3)</f>
        <v>0</v>
      </c>
      <c r="BH25" s="77">
        <f>SUMIFS('Wells Fargo'!$F:$F,'Wells Fargo'!$G:$G,'Cash Flow'!$A25,'Wells Fargo'!$A:$A,BH$1,'Wells Fargo'!$B:$B,"&lt;="&amp;'Cash Flow'!BH$3,'Wells Fargo'!$B:$B,"&gt;"&amp;'Cash Flow'!BG$3)</f>
        <v>0</v>
      </c>
      <c r="BI25" s="77">
        <f>SUMIFS('Wells Fargo'!$F:$F,'Wells Fargo'!$G:$G,'Cash Flow'!$A25,'Wells Fargo'!$A:$A,BI$1,'Wells Fargo'!$B:$B,"&lt;="&amp;'Cash Flow'!BI$3,'Wells Fargo'!$B:$B,"&gt;"&amp;'Cash Flow'!BH$3)</f>
        <v>0</v>
      </c>
    </row>
    <row r="26" spans="1:61" ht="14.5" x14ac:dyDescent="0.5">
      <c r="A26" t="str">
        <v>Matt Bozz</v>
      </c>
      <c r="B26" s="90">
        <f t="shared" si="0"/>
        <v>-2738.5</v>
      </c>
      <c r="C26" s="111">
        <f>SUMIFS('Wells Fargo'!$F:$F,'Wells Fargo'!$G:$G,'Cash Flow'!$A26,'Wells Fargo'!$A:$A,C$1,'Wells Fargo'!$B:$B,"&lt;="&amp;'Cash Flow'!C$3)</f>
        <v>0</v>
      </c>
      <c r="D26" s="77">
        <f>SUMIFS('Wells Fargo'!$F:$F,'Wells Fargo'!$G:$G,'Cash Flow'!$A26,'Wells Fargo'!$A:$A,D$1,'Wells Fargo'!$B:$B,"&lt;="&amp;'Cash Flow'!D$3,'Wells Fargo'!$B:$B,"&gt;"&amp;'Cash Flow'!C$3)</f>
        <v>0</v>
      </c>
      <c r="E26" s="77">
        <f>SUMIFS('Wells Fargo'!$F:$F,'Wells Fargo'!$G:$G,'Cash Flow'!$A26,'Wells Fargo'!$A:$A,E$1,'Wells Fargo'!$B:$B,"&lt;="&amp;'Cash Flow'!E$3,'Wells Fargo'!$B:$B,"&gt;"&amp;'Cash Flow'!D$3)</f>
        <v>0</v>
      </c>
      <c r="F26" s="77">
        <f>SUMIFS('Wells Fargo'!$F:$F,'Wells Fargo'!$G:$G,'Cash Flow'!$A26,'Wells Fargo'!$A:$A,F$1,'Wells Fargo'!$B:$B,"&lt;="&amp;'Cash Flow'!F$3,'Wells Fargo'!$B:$B,"&gt;"&amp;'Cash Flow'!E$3)</f>
        <v>0</v>
      </c>
      <c r="G26" s="77">
        <f>SUMIFS('Wells Fargo'!$F:$F,'Wells Fargo'!$G:$G,'Cash Flow'!$A26,'Wells Fargo'!$A:$A,G$1,'Wells Fargo'!$B:$B,"&lt;="&amp;'Cash Flow'!G$3,'Wells Fargo'!$B:$B,"&gt;"&amp;'Cash Flow'!F$3)</f>
        <v>0</v>
      </c>
      <c r="H26" s="111">
        <f>SUMIFS('Wells Fargo'!$F:$F,'Wells Fargo'!$G:$G,'Cash Flow'!$A26,'Wells Fargo'!$A:$A,H$1,'Wells Fargo'!$B:$B,"&lt;="&amp;'Cash Flow'!H$3)</f>
        <v>0</v>
      </c>
      <c r="I26" s="77">
        <f>SUMIFS('Wells Fargo'!$F:$F,'Wells Fargo'!$G:$G,'Cash Flow'!$A26,'Wells Fargo'!$A:$A,I$1,'Wells Fargo'!$B:$B,"&lt;="&amp;'Cash Flow'!I$3,'Wells Fargo'!$B:$B,"&gt;"&amp;'Cash Flow'!H$3)</f>
        <v>0</v>
      </c>
      <c r="J26" s="77">
        <f>SUMIFS('Wells Fargo'!$F:$F,'Wells Fargo'!$G:$G,'Cash Flow'!$A26,'Wells Fargo'!$A:$A,J$1,'Wells Fargo'!$B:$B,"&lt;="&amp;'Cash Flow'!J$3,'Wells Fargo'!$B:$B,"&gt;"&amp;'Cash Flow'!I$3)</f>
        <v>0</v>
      </c>
      <c r="K26" s="77">
        <f>SUMIFS('Wells Fargo'!$F:$F,'Wells Fargo'!$G:$G,'Cash Flow'!$A26,'Wells Fargo'!$A:$A,K$1,'Wells Fargo'!$B:$B,"&lt;="&amp;'Cash Flow'!K$3,'Wells Fargo'!$B:$B,"&gt;"&amp;'Cash Flow'!J$3)</f>
        <v>0</v>
      </c>
      <c r="L26" s="111">
        <f>SUMIFS('Wells Fargo'!$F:$F,'Wells Fargo'!$G:$G,'Cash Flow'!$A26,'Wells Fargo'!$A:$A,L$1,'Wells Fargo'!$B:$B,"&lt;="&amp;'Cash Flow'!L$3)</f>
        <v>0</v>
      </c>
      <c r="M26" s="77">
        <f>SUMIFS('Wells Fargo'!$F:$F,'Wells Fargo'!$G:$G,'Cash Flow'!$A26,'Wells Fargo'!$A:$A,M$1,'Wells Fargo'!$B:$B,"&lt;="&amp;'Cash Flow'!M$3,'Wells Fargo'!$B:$B,"&gt;"&amp;'Cash Flow'!L$3)</f>
        <v>0</v>
      </c>
      <c r="N26" s="77">
        <f>SUMIFS('Wells Fargo'!$F:$F,'Wells Fargo'!$G:$G,'Cash Flow'!$A26,'Wells Fargo'!$A:$A,N$1,'Wells Fargo'!$B:$B,"&lt;="&amp;'Cash Flow'!N$3,'Wells Fargo'!$B:$B,"&gt;"&amp;'Cash Flow'!M$3)</f>
        <v>0</v>
      </c>
      <c r="O26" s="77">
        <f>SUMIFS('Wells Fargo'!$F:$F,'Wells Fargo'!$G:$G,'Cash Flow'!$A26,'Wells Fargo'!$A:$A,O$1,'Wells Fargo'!$B:$B,"&lt;="&amp;'Cash Flow'!O$3,'Wells Fargo'!$B:$B,"&gt;"&amp;'Cash Flow'!N$3)</f>
        <v>0</v>
      </c>
      <c r="P26" s="77">
        <f>SUMIFS('Wells Fargo'!$F:$F,'Wells Fargo'!$G:$G,'Cash Flow'!$A26,'Wells Fargo'!$A:$A,P$1,'Wells Fargo'!$B:$B,"&lt;="&amp;'Cash Flow'!P$3,'Wells Fargo'!$B:$B,"&gt;"&amp;'Cash Flow'!O$3)</f>
        <v>0</v>
      </c>
      <c r="Q26" s="111">
        <f>SUMIFS('Wells Fargo'!$F:$F,'Wells Fargo'!$G:$G,'Cash Flow'!$A26,'Wells Fargo'!$A:$A,Q$1,'Wells Fargo'!$B:$B,"&lt;="&amp;'Cash Flow'!Q$3)</f>
        <v>0</v>
      </c>
      <c r="R26" s="77">
        <f>SUMIFS('Wells Fargo'!$F:$F,'Wells Fargo'!$G:$G,'Cash Flow'!$A26,'Wells Fargo'!$A:$A,R$1,'Wells Fargo'!$B:$B,"&lt;="&amp;'Cash Flow'!R$3,'Wells Fargo'!$B:$B,"&gt;"&amp;'Cash Flow'!Q$3)</f>
        <v>0</v>
      </c>
      <c r="S26" s="77">
        <f>SUMIFS('Wells Fargo'!$F:$F,'Wells Fargo'!$G:$G,'Cash Flow'!$A26,'Wells Fargo'!$A:$A,S$1,'Wells Fargo'!$B:$B,"&lt;="&amp;'Cash Flow'!S$3,'Wells Fargo'!$B:$B,"&gt;"&amp;'Cash Flow'!R$3)</f>
        <v>0</v>
      </c>
      <c r="T26" s="77">
        <f>SUMIFS('Wells Fargo'!$F:$F,'Wells Fargo'!$G:$G,'Cash Flow'!$A26,'Wells Fargo'!$A:$A,T$1,'Wells Fargo'!$B:$B,"&lt;="&amp;'Cash Flow'!T$3,'Wells Fargo'!$B:$B,"&gt;"&amp;'Cash Flow'!S$3)</f>
        <v>0</v>
      </c>
      <c r="U26" s="77">
        <f>SUMIFS('Wells Fargo'!$F:$F,'Wells Fargo'!$G:$G,'Cash Flow'!$A26,'Wells Fargo'!$A:$A,U$1,'Wells Fargo'!$B:$B,"&lt;="&amp;'Cash Flow'!U$3,'Wells Fargo'!$B:$B,"&gt;"&amp;'Cash Flow'!T$3)</f>
        <v>0</v>
      </c>
      <c r="V26" s="111">
        <f>SUMIFS('Wells Fargo'!$F:$F,'Wells Fargo'!$G:$G,'Cash Flow'!$A26,'Wells Fargo'!$A:$A,V$1,'Wells Fargo'!$B:$B,"&lt;="&amp;'Cash Flow'!V$3)</f>
        <v>0</v>
      </c>
      <c r="W26" s="77">
        <f>SUMIFS('Wells Fargo'!$F:$F,'Wells Fargo'!$G:$G,'Cash Flow'!$A26,'Wells Fargo'!$A:$A,W$1,'Wells Fargo'!$B:$B,"&lt;="&amp;'Cash Flow'!W$3,'Wells Fargo'!$B:$B,"&gt;"&amp;'Cash Flow'!V$3)</f>
        <v>0</v>
      </c>
      <c r="X26" s="77">
        <f>SUMIFS('Wells Fargo'!$F:$F,'Wells Fargo'!$G:$G,'Cash Flow'!$A26,'Wells Fargo'!$A:$A,X$1,'Wells Fargo'!$B:$B,"&lt;="&amp;'Cash Flow'!X$3,'Wells Fargo'!$B:$B,"&gt;"&amp;'Cash Flow'!W$3)</f>
        <v>0</v>
      </c>
      <c r="Y26" s="77">
        <f>SUMIFS('Wells Fargo'!$F:$F,'Wells Fargo'!$G:$G,'Cash Flow'!$A26,'Wells Fargo'!$A:$A,Y$1,'Wells Fargo'!$B:$B,"&lt;="&amp;'Cash Flow'!Y$3,'Wells Fargo'!$B:$B,"&gt;"&amp;'Cash Flow'!X$3)</f>
        <v>0</v>
      </c>
      <c r="Z26" s="77">
        <f>SUMIFS('Wells Fargo'!$F:$F,'Wells Fargo'!$G:$G,'Cash Flow'!$A26,'Wells Fargo'!$A:$A,Z$1,'Wells Fargo'!$B:$B,"&lt;="&amp;'Cash Flow'!Z$3,'Wells Fargo'!$B:$B,"&gt;"&amp;'Cash Flow'!Y$3)</f>
        <v>0</v>
      </c>
      <c r="AA26" s="111">
        <f>SUMIFS('Wells Fargo'!$F:$F,'Wells Fargo'!$G:$G,'Cash Flow'!$A26,'Wells Fargo'!$A:$A,AA$1,'Wells Fargo'!$B:$B,"&lt;="&amp;'Cash Flow'!AA$3)</f>
        <v>0</v>
      </c>
      <c r="AB26" s="77">
        <f>SUMIFS('Wells Fargo'!$F:$F,'Wells Fargo'!$G:$G,'Cash Flow'!$A26,'Wells Fargo'!$A:$A,AB$1,'Wells Fargo'!$B:$B,"&lt;="&amp;'Cash Flow'!AB$3,'Wells Fargo'!$B:$B,"&gt;"&amp;'Cash Flow'!AA$3)</f>
        <v>0</v>
      </c>
      <c r="AC26" s="77">
        <f>SUMIFS('Wells Fargo'!$F:$F,'Wells Fargo'!$G:$G,'Cash Flow'!$A26,'Wells Fargo'!$A:$A,AC$1,'Wells Fargo'!$B:$B,"&lt;="&amp;'Cash Flow'!AC$3,'Wells Fargo'!$B:$B,"&gt;"&amp;'Cash Flow'!AB$3)</f>
        <v>0</v>
      </c>
      <c r="AD26" s="77">
        <f>SUMIFS('Wells Fargo'!$F:$F,'Wells Fargo'!$G:$G,'Cash Flow'!$A26,'Wells Fargo'!$A:$A,AD$1,'Wells Fargo'!$B:$B,"&lt;="&amp;'Cash Flow'!AD$3,'Wells Fargo'!$B:$B,"&gt;"&amp;'Cash Flow'!AC$3)</f>
        <v>-2738.5</v>
      </c>
      <c r="AE26" s="77">
        <f>SUMIFS('Wells Fargo'!$F:$F,'Wells Fargo'!$G:$G,'Cash Flow'!$A26,'Wells Fargo'!$A:$A,AE$1,'Wells Fargo'!$B:$B,"&lt;="&amp;'Cash Flow'!AE$3,'Wells Fargo'!$B:$B,"&gt;"&amp;'Cash Flow'!AD$3)</f>
        <v>0</v>
      </c>
      <c r="AF26" s="111">
        <f>SUMIFS('Wells Fargo'!$F:$F,'Wells Fargo'!$G:$G,'Cash Flow'!$A26,'Wells Fargo'!$A:$A,AF$1,'Wells Fargo'!$B:$B,"&lt;="&amp;'Cash Flow'!AF$3)</f>
        <v>0</v>
      </c>
      <c r="AG26" s="77">
        <f>SUMIFS('Wells Fargo'!$F:$F,'Wells Fargo'!$G:$G,'Cash Flow'!$A26,'Wells Fargo'!$A:$A,AG$1,'Wells Fargo'!$B:$B,"&lt;="&amp;'Cash Flow'!AG$3,'Wells Fargo'!$B:$B,"&gt;"&amp;'Cash Flow'!AF$3)</f>
        <v>0</v>
      </c>
      <c r="AH26" s="77">
        <f>SUMIFS('Wells Fargo'!$F:$F,'Wells Fargo'!$G:$G,'Cash Flow'!$A26,'Wells Fargo'!$A:$A,AH$1,'Wells Fargo'!$B:$B,"&lt;="&amp;'Cash Flow'!AH$3,'Wells Fargo'!$B:$B,"&gt;"&amp;'Cash Flow'!AG$3)</f>
        <v>0</v>
      </c>
      <c r="AI26" s="77">
        <f>SUMIFS('Wells Fargo'!$F:$F,'Wells Fargo'!$G:$G,'Cash Flow'!$A26,'Wells Fargo'!$A:$A,AI$1,'Wells Fargo'!$B:$B,"&lt;="&amp;'Cash Flow'!AI$3,'Wells Fargo'!$B:$B,"&gt;"&amp;'Cash Flow'!AH$3)</f>
        <v>0</v>
      </c>
      <c r="AJ26" s="77">
        <f>SUMIFS('Wells Fargo'!$F:$F,'Wells Fargo'!$G:$G,'Cash Flow'!$A26,'Wells Fargo'!$A:$A,AJ$1,'Wells Fargo'!$B:$B,"&lt;="&amp;'Cash Flow'!AJ$3,'Wells Fargo'!$B:$B,"&gt;"&amp;'Cash Flow'!AI$3)</f>
        <v>0</v>
      </c>
      <c r="AK26" s="111">
        <f>SUMIFS('Wells Fargo'!$F:$F,'Wells Fargo'!$G:$G,'Cash Flow'!$A26,'Wells Fargo'!$A:$A,AK$1,'Wells Fargo'!$B:$B,"&lt;="&amp;'Cash Flow'!AK$3)</f>
        <v>0</v>
      </c>
      <c r="AL26" s="77">
        <f>SUMIFS('Wells Fargo'!$F:$F,'Wells Fargo'!$G:$G,'Cash Flow'!$A26,'Wells Fargo'!$A:$A,AL$1,'Wells Fargo'!$B:$B,"&lt;="&amp;'Cash Flow'!AL$3,'Wells Fargo'!$B:$B,"&gt;"&amp;'Cash Flow'!AK$3)</f>
        <v>0</v>
      </c>
      <c r="AM26" s="77">
        <f>SUMIFS('Wells Fargo'!$F:$F,'Wells Fargo'!$G:$G,'Cash Flow'!$A26,'Wells Fargo'!$A:$A,AM$1,'Wells Fargo'!$B:$B,"&lt;="&amp;'Cash Flow'!AM$3,'Wells Fargo'!$B:$B,"&gt;"&amp;'Cash Flow'!AL$3)</f>
        <v>0</v>
      </c>
      <c r="AN26" s="77">
        <f>SUMIFS('Wells Fargo'!$F:$F,'Wells Fargo'!$G:$G,'Cash Flow'!$A26,'Wells Fargo'!$A:$A,AN$1,'Wells Fargo'!$B:$B,"&lt;="&amp;'Cash Flow'!AN$3,'Wells Fargo'!$B:$B,"&gt;"&amp;'Cash Flow'!AM$3)</f>
        <v>0</v>
      </c>
      <c r="AO26" s="77">
        <f>SUMIFS('Wells Fargo'!$F:$F,'Wells Fargo'!$G:$G,'Cash Flow'!$A26,'Wells Fargo'!$A:$A,AO$1,'Wells Fargo'!$B:$B,"&lt;="&amp;'Cash Flow'!AO$3,'Wells Fargo'!$B:$B,"&gt;"&amp;'Cash Flow'!AN$3)</f>
        <v>0</v>
      </c>
      <c r="AP26" s="111">
        <f>SUMIFS('Wells Fargo'!$F:$F,'Wells Fargo'!$G:$G,'Cash Flow'!$A26,'Wells Fargo'!$A:$A,AP$1,'Wells Fargo'!$B:$B,"&lt;="&amp;'Cash Flow'!AP$3)</f>
        <v>0</v>
      </c>
      <c r="AQ26" s="77">
        <f>SUMIFS('Wells Fargo'!$F:$F,'Wells Fargo'!$G:$G,'Cash Flow'!$A26,'Wells Fargo'!$A:$A,AQ$1,'Wells Fargo'!$B:$B,"&lt;="&amp;'Cash Flow'!AQ$3,'Wells Fargo'!$B:$B,"&gt;"&amp;'Cash Flow'!AP$3)</f>
        <v>0</v>
      </c>
      <c r="AR26" s="77">
        <f>SUMIFS('Wells Fargo'!$F:$F,'Wells Fargo'!$G:$G,'Cash Flow'!$A26,'Wells Fargo'!$A:$A,AR$1,'Wells Fargo'!$B:$B,"&lt;="&amp;'Cash Flow'!AR$3,'Wells Fargo'!$B:$B,"&gt;"&amp;'Cash Flow'!AQ$3)</f>
        <v>0</v>
      </c>
      <c r="AS26" s="77">
        <f>SUMIFS('Wells Fargo'!$F:$F,'Wells Fargo'!$G:$G,'Cash Flow'!$A26,'Wells Fargo'!$A:$A,AS$1,'Wells Fargo'!$B:$B,"&lt;="&amp;'Cash Flow'!AS$3,'Wells Fargo'!$B:$B,"&gt;"&amp;'Cash Flow'!AR$3)</f>
        <v>0</v>
      </c>
      <c r="AT26" s="77">
        <f>SUMIFS('Wells Fargo'!$F:$F,'Wells Fargo'!$G:$G,'Cash Flow'!$A26,'Wells Fargo'!$A:$A,AT$1,'Wells Fargo'!$B:$B,"&lt;="&amp;'Cash Flow'!AT$3,'Wells Fargo'!$B:$B,"&gt;"&amp;'Cash Flow'!AS$3)</f>
        <v>0</v>
      </c>
      <c r="AU26" s="111">
        <f>SUMIFS('Wells Fargo'!$F:$F,'Wells Fargo'!$G:$G,'Cash Flow'!$A26,'Wells Fargo'!$A:$A,AU$1,'Wells Fargo'!$B:$B,"&lt;="&amp;'Cash Flow'!AU$3)</f>
        <v>0</v>
      </c>
      <c r="AV26" s="77">
        <f>SUMIFS('Wells Fargo'!$F:$F,'Wells Fargo'!$G:$G,'Cash Flow'!$A26,'Wells Fargo'!$A:$A,AV$1,'Wells Fargo'!$B:$B,"&lt;="&amp;'Cash Flow'!AV$3,'Wells Fargo'!$B:$B,"&gt;"&amp;'Cash Flow'!AU$3)</f>
        <v>0</v>
      </c>
      <c r="AW26" s="77">
        <f>SUMIFS('Wells Fargo'!$F:$F,'Wells Fargo'!$G:$G,'Cash Flow'!$A26,'Wells Fargo'!$A:$A,AW$1,'Wells Fargo'!$B:$B,"&lt;="&amp;'Cash Flow'!AW$3,'Wells Fargo'!$B:$B,"&gt;"&amp;'Cash Flow'!AV$3)</f>
        <v>0</v>
      </c>
      <c r="AX26" s="77">
        <f>SUMIFS('Wells Fargo'!$F:$F,'Wells Fargo'!$G:$G,'Cash Flow'!$A26,'Wells Fargo'!$A:$A,AX$1,'Wells Fargo'!$B:$B,"&lt;="&amp;'Cash Flow'!AX$3,'Wells Fargo'!$B:$B,"&gt;"&amp;'Cash Flow'!AW$3)</f>
        <v>0</v>
      </c>
      <c r="AY26" s="77">
        <f>SUMIFS('Wells Fargo'!$F:$F,'Wells Fargo'!$G:$G,'Cash Flow'!$A26,'Wells Fargo'!$A:$A,AY$1,'Wells Fargo'!$B:$B,"&lt;="&amp;'Cash Flow'!AY$3,'Wells Fargo'!$B:$B,"&gt;"&amp;'Cash Flow'!AX$3)</f>
        <v>0</v>
      </c>
      <c r="AZ26" s="111">
        <f>SUMIFS('Wells Fargo'!$F:$F,'Wells Fargo'!$G:$G,'Cash Flow'!$A26,'Wells Fargo'!$A:$A,AZ$1,'Wells Fargo'!$B:$B,"&lt;="&amp;'Cash Flow'!AZ$3)</f>
        <v>0</v>
      </c>
      <c r="BA26" s="77">
        <f>SUMIFS('Wells Fargo'!$F:$F,'Wells Fargo'!$G:$G,'Cash Flow'!$A26,'Wells Fargo'!$A:$A,BA$1,'Wells Fargo'!$B:$B,"&lt;="&amp;'Cash Flow'!BA$3,'Wells Fargo'!$B:$B,"&gt;"&amp;'Cash Flow'!AZ$3)</f>
        <v>0</v>
      </c>
      <c r="BB26" s="77">
        <f>SUMIFS('Wells Fargo'!$F:$F,'Wells Fargo'!$G:$G,'Cash Flow'!$A26,'Wells Fargo'!$A:$A,BB$1,'Wells Fargo'!$B:$B,"&lt;="&amp;'Cash Flow'!BB$3,'Wells Fargo'!$B:$B,"&gt;"&amp;'Cash Flow'!BA$3)</f>
        <v>0</v>
      </c>
      <c r="BC26" s="77">
        <f>SUMIFS('Wells Fargo'!$F:$F,'Wells Fargo'!$G:$G,'Cash Flow'!$A26,'Wells Fargo'!$A:$A,BC$1,'Wells Fargo'!$B:$B,"&lt;="&amp;'Cash Flow'!BC$3,'Wells Fargo'!$B:$B,"&gt;"&amp;'Cash Flow'!BB$3)</f>
        <v>0</v>
      </c>
      <c r="BD26" s="77">
        <f>SUMIFS('Wells Fargo'!$F:$F,'Wells Fargo'!$G:$G,'Cash Flow'!$A26,'Wells Fargo'!$A:$A,BD$1,'Wells Fargo'!$B:$B,"&lt;="&amp;'Cash Flow'!BD$3,'Wells Fargo'!$B:$B,"&gt;"&amp;'Cash Flow'!BC$3)</f>
        <v>0</v>
      </c>
      <c r="BE26" s="111">
        <f>SUMIFS('Wells Fargo'!$F:$F,'Wells Fargo'!$G:$G,'Cash Flow'!$A26,'Wells Fargo'!$A:$A,BE$1,'Wells Fargo'!$B:$B,"&lt;="&amp;'Cash Flow'!BE$3)</f>
        <v>0</v>
      </c>
      <c r="BF26" s="77">
        <f>SUMIFS('Wells Fargo'!$F:$F,'Wells Fargo'!$G:$G,'Cash Flow'!$A26,'Wells Fargo'!$A:$A,BF$1,'Wells Fargo'!$B:$B,"&lt;="&amp;'Cash Flow'!BF$3,'Wells Fargo'!$B:$B,"&gt;"&amp;'Cash Flow'!BE$3)</f>
        <v>0</v>
      </c>
      <c r="BG26" s="77">
        <f>SUMIFS('Wells Fargo'!$F:$F,'Wells Fargo'!$G:$G,'Cash Flow'!$A26,'Wells Fargo'!$A:$A,BG$1,'Wells Fargo'!$B:$B,"&lt;="&amp;'Cash Flow'!BG$3,'Wells Fargo'!$B:$B,"&gt;"&amp;'Cash Flow'!BF$3)</f>
        <v>0</v>
      </c>
      <c r="BH26" s="77">
        <f>SUMIFS('Wells Fargo'!$F:$F,'Wells Fargo'!$G:$G,'Cash Flow'!$A26,'Wells Fargo'!$A:$A,BH$1,'Wells Fargo'!$B:$B,"&lt;="&amp;'Cash Flow'!BH$3,'Wells Fargo'!$B:$B,"&gt;"&amp;'Cash Flow'!BG$3)</f>
        <v>0</v>
      </c>
      <c r="BI26" s="77">
        <f>SUMIFS('Wells Fargo'!$F:$F,'Wells Fargo'!$G:$G,'Cash Flow'!$A26,'Wells Fargo'!$A:$A,BI$1,'Wells Fargo'!$B:$B,"&lt;="&amp;'Cash Flow'!BI$3,'Wells Fargo'!$B:$B,"&gt;"&amp;'Cash Flow'!BH$3)</f>
        <v>0</v>
      </c>
    </row>
    <row r="27" spans="1:61" ht="14.5" x14ac:dyDescent="0.5">
      <c r="A27" t="str">
        <v>Mom</v>
      </c>
      <c r="B27" s="90">
        <f t="shared" si="0"/>
        <v>0</v>
      </c>
      <c r="C27" s="111">
        <f>SUMIFS('Wells Fargo'!$F:$F,'Wells Fargo'!$G:$G,'Cash Flow'!$A27,'Wells Fargo'!$A:$A,C$1,'Wells Fargo'!$B:$B,"&lt;="&amp;'Cash Flow'!C$3)</f>
        <v>0</v>
      </c>
      <c r="D27" s="77">
        <f>SUMIFS('Wells Fargo'!$F:$F,'Wells Fargo'!$G:$G,'Cash Flow'!$A27,'Wells Fargo'!$A:$A,D$1,'Wells Fargo'!$B:$B,"&lt;="&amp;'Cash Flow'!D$3,'Wells Fargo'!$B:$B,"&gt;"&amp;'Cash Flow'!C$3)</f>
        <v>0</v>
      </c>
      <c r="E27" s="77">
        <f>SUMIFS('Wells Fargo'!$F:$F,'Wells Fargo'!$G:$G,'Cash Flow'!$A27,'Wells Fargo'!$A:$A,E$1,'Wells Fargo'!$B:$B,"&lt;="&amp;'Cash Flow'!E$3,'Wells Fargo'!$B:$B,"&gt;"&amp;'Cash Flow'!D$3)</f>
        <v>0</v>
      </c>
      <c r="F27" s="77">
        <f>SUMIFS('Wells Fargo'!$F:$F,'Wells Fargo'!$G:$G,'Cash Flow'!$A27,'Wells Fargo'!$A:$A,F$1,'Wells Fargo'!$B:$B,"&lt;="&amp;'Cash Flow'!F$3,'Wells Fargo'!$B:$B,"&gt;"&amp;'Cash Flow'!E$3)</f>
        <v>0</v>
      </c>
      <c r="G27" s="77">
        <f>SUMIFS('Wells Fargo'!$F:$F,'Wells Fargo'!$G:$G,'Cash Flow'!$A27,'Wells Fargo'!$A:$A,G$1,'Wells Fargo'!$B:$B,"&lt;="&amp;'Cash Flow'!G$3,'Wells Fargo'!$B:$B,"&gt;"&amp;'Cash Flow'!F$3)</f>
        <v>0</v>
      </c>
      <c r="H27" s="111">
        <f>SUMIFS('Wells Fargo'!$F:$F,'Wells Fargo'!$G:$G,'Cash Flow'!$A27,'Wells Fargo'!$A:$A,H$1,'Wells Fargo'!$B:$B,"&lt;="&amp;'Cash Flow'!H$3)</f>
        <v>0</v>
      </c>
      <c r="I27" s="77">
        <f>SUMIFS('Wells Fargo'!$F:$F,'Wells Fargo'!$G:$G,'Cash Flow'!$A27,'Wells Fargo'!$A:$A,I$1,'Wells Fargo'!$B:$B,"&lt;="&amp;'Cash Flow'!I$3,'Wells Fargo'!$B:$B,"&gt;"&amp;'Cash Flow'!H$3)</f>
        <v>0</v>
      </c>
      <c r="J27" s="77">
        <f>SUMIFS('Wells Fargo'!$F:$F,'Wells Fargo'!$G:$G,'Cash Flow'!$A27,'Wells Fargo'!$A:$A,J$1,'Wells Fargo'!$B:$B,"&lt;="&amp;'Cash Flow'!J$3,'Wells Fargo'!$B:$B,"&gt;"&amp;'Cash Flow'!I$3)</f>
        <v>0</v>
      </c>
      <c r="K27" s="77">
        <f>SUMIFS('Wells Fargo'!$F:$F,'Wells Fargo'!$G:$G,'Cash Flow'!$A27,'Wells Fargo'!$A:$A,K$1,'Wells Fargo'!$B:$B,"&lt;="&amp;'Cash Flow'!K$3,'Wells Fargo'!$B:$B,"&gt;"&amp;'Cash Flow'!J$3)</f>
        <v>0</v>
      </c>
      <c r="L27" s="111">
        <f>SUMIFS('Wells Fargo'!$F:$F,'Wells Fargo'!$G:$G,'Cash Flow'!$A27,'Wells Fargo'!$A:$A,L$1,'Wells Fargo'!$B:$B,"&lt;="&amp;'Cash Flow'!L$3)</f>
        <v>0</v>
      </c>
      <c r="M27" s="77">
        <f>SUMIFS('Wells Fargo'!$F:$F,'Wells Fargo'!$G:$G,'Cash Flow'!$A27,'Wells Fargo'!$A:$A,M$1,'Wells Fargo'!$B:$B,"&lt;="&amp;'Cash Flow'!M$3,'Wells Fargo'!$B:$B,"&gt;"&amp;'Cash Flow'!L$3)</f>
        <v>0</v>
      </c>
      <c r="N27" s="77">
        <f>SUMIFS('Wells Fargo'!$F:$F,'Wells Fargo'!$G:$G,'Cash Flow'!$A27,'Wells Fargo'!$A:$A,N$1,'Wells Fargo'!$B:$B,"&lt;="&amp;'Cash Flow'!N$3,'Wells Fargo'!$B:$B,"&gt;"&amp;'Cash Flow'!M$3)</f>
        <v>0</v>
      </c>
      <c r="O27" s="77">
        <f>SUMIFS('Wells Fargo'!$F:$F,'Wells Fargo'!$G:$G,'Cash Flow'!$A27,'Wells Fargo'!$A:$A,O$1,'Wells Fargo'!$B:$B,"&lt;="&amp;'Cash Flow'!O$3,'Wells Fargo'!$B:$B,"&gt;"&amp;'Cash Flow'!N$3)</f>
        <v>0</v>
      </c>
      <c r="P27" s="77">
        <f>SUMIFS('Wells Fargo'!$F:$F,'Wells Fargo'!$G:$G,'Cash Flow'!$A27,'Wells Fargo'!$A:$A,P$1,'Wells Fargo'!$B:$B,"&lt;="&amp;'Cash Flow'!P$3,'Wells Fargo'!$B:$B,"&gt;"&amp;'Cash Flow'!O$3)</f>
        <v>0</v>
      </c>
      <c r="Q27" s="111">
        <f>SUMIFS('Wells Fargo'!$F:$F,'Wells Fargo'!$G:$G,'Cash Flow'!$A27,'Wells Fargo'!$A:$A,Q$1,'Wells Fargo'!$B:$B,"&lt;="&amp;'Cash Flow'!Q$3)</f>
        <v>0</v>
      </c>
      <c r="R27" s="77">
        <f>SUMIFS('Wells Fargo'!$F:$F,'Wells Fargo'!$G:$G,'Cash Flow'!$A27,'Wells Fargo'!$A:$A,R$1,'Wells Fargo'!$B:$B,"&lt;="&amp;'Cash Flow'!R$3,'Wells Fargo'!$B:$B,"&gt;"&amp;'Cash Flow'!Q$3)</f>
        <v>0</v>
      </c>
      <c r="S27" s="77">
        <f>SUMIFS('Wells Fargo'!$F:$F,'Wells Fargo'!$G:$G,'Cash Flow'!$A27,'Wells Fargo'!$A:$A,S$1,'Wells Fargo'!$B:$B,"&lt;="&amp;'Cash Flow'!S$3,'Wells Fargo'!$B:$B,"&gt;"&amp;'Cash Flow'!R$3)</f>
        <v>0</v>
      </c>
      <c r="T27" s="77">
        <f>SUMIFS('Wells Fargo'!$F:$F,'Wells Fargo'!$G:$G,'Cash Flow'!$A27,'Wells Fargo'!$A:$A,T$1,'Wells Fargo'!$B:$B,"&lt;="&amp;'Cash Flow'!T$3,'Wells Fargo'!$B:$B,"&gt;"&amp;'Cash Flow'!S$3)</f>
        <v>0</v>
      </c>
      <c r="U27" s="77">
        <f>SUMIFS('Wells Fargo'!$F:$F,'Wells Fargo'!$G:$G,'Cash Flow'!$A27,'Wells Fargo'!$A:$A,U$1,'Wells Fargo'!$B:$B,"&lt;="&amp;'Cash Flow'!U$3,'Wells Fargo'!$B:$B,"&gt;"&amp;'Cash Flow'!T$3)</f>
        <v>0</v>
      </c>
      <c r="V27" s="111">
        <f>SUMIFS('Wells Fargo'!$F:$F,'Wells Fargo'!$G:$G,'Cash Flow'!$A27,'Wells Fargo'!$A:$A,V$1,'Wells Fargo'!$B:$B,"&lt;="&amp;'Cash Flow'!V$3)</f>
        <v>0</v>
      </c>
      <c r="W27" s="77">
        <f>SUMIFS('Wells Fargo'!$F:$F,'Wells Fargo'!$G:$G,'Cash Flow'!$A27,'Wells Fargo'!$A:$A,W$1,'Wells Fargo'!$B:$B,"&lt;="&amp;'Cash Flow'!W$3,'Wells Fargo'!$B:$B,"&gt;"&amp;'Cash Flow'!V$3)</f>
        <v>0</v>
      </c>
      <c r="X27" s="77">
        <f>SUMIFS('Wells Fargo'!$F:$F,'Wells Fargo'!$G:$G,'Cash Flow'!$A27,'Wells Fargo'!$A:$A,X$1,'Wells Fargo'!$B:$B,"&lt;="&amp;'Cash Flow'!X$3,'Wells Fargo'!$B:$B,"&gt;"&amp;'Cash Flow'!W$3)</f>
        <v>0</v>
      </c>
      <c r="Y27" s="77">
        <f>SUMIFS('Wells Fargo'!$F:$F,'Wells Fargo'!$G:$G,'Cash Flow'!$A27,'Wells Fargo'!$A:$A,Y$1,'Wells Fargo'!$B:$B,"&lt;="&amp;'Cash Flow'!Y$3,'Wells Fargo'!$B:$B,"&gt;"&amp;'Cash Flow'!X$3)</f>
        <v>0</v>
      </c>
      <c r="Z27" s="77">
        <f>SUMIFS('Wells Fargo'!$F:$F,'Wells Fargo'!$G:$G,'Cash Flow'!$A27,'Wells Fargo'!$A:$A,Z$1,'Wells Fargo'!$B:$B,"&lt;="&amp;'Cash Flow'!Z$3,'Wells Fargo'!$B:$B,"&gt;"&amp;'Cash Flow'!Y$3)</f>
        <v>0</v>
      </c>
      <c r="AA27" s="111">
        <f>SUMIFS('Wells Fargo'!$F:$F,'Wells Fargo'!$G:$G,'Cash Flow'!$A27,'Wells Fargo'!$A:$A,AA$1,'Wells Fargo'!$B:$B,"&lt;="&amp;'Cash Flow'!AA$3)</f>
        <v>0</v>
      </c>
      <c r="AB27" s="77">
        <f>SUMIFS('Wells Fargo'!$F:$F,'Wells Fargo'!$G:$G,'Cash Flow'!$A27,'Wells Fargo'!$A:$A,AB$1,'Wells Fargo'!$B:$B,"&lt;="&amp;'Cash Flow'!AB$3,'Wells Fargo'!$B:$B,"&gt;"&amp;'Cash Flow'!AA$3)</f>
        <v>0</v>
      </c>
      <c r="AC27" s="77">
        <f>SUMIFS('Wells Fargo'!$F:$F,'Wells Fargo'!$G:$G,'Cash Flow'!$A27,'Wells Fargo'!$A:$A,AC$1,'Wells Fargo'!$B:$B,"&lt;="&amp;'Cash Flow'!AC$3,'Wells Fargo'!$B:$B,"&gt;"&amp;'Cash Flow'!AB$3)</f>
        <v>0</v>
      </c>
      <c r="AD27" s="77">
        <f>SUMIFS('Wells Fargo'!$F:$F,'Wells Fargo'!$G:$G,'Cash Flow'!$A27,'Wells Fargo'!$A:$A,AD$1,'Wells Fargo'!$B:$B,"&lt;="&amp;'Cash Flow'!AD$3,'Wells Fargo'!$B:$B,"&gt;"&amp;'Cash Flow'!AC$3)</f>
        <v>0</v>
      </c>
      <c r="AE27" s="77">
        <f>SUMIFS('Wells Fargo'!$F:$F,'Wells Fargo'!$G:$G,'Cash Flow'!$A27,'Wells Fargo'!$A:$A,AE$1,'Wells Fargo'!$B:$B,"&lt;="&amp;'Cash Flow'!AE$3,'Wells Fargo'!$B:$B,"&gt;"&amp;'Cash Flow'!AD$3)</f>
        <v>0</v>
      </c>
      <c r="AF27" s="111">
        <f>SUMIFS('Wells Fargo'!$F:$F,'Wells Fargo'!$G:$G,'Cash Flow'!$A27,'Wells Fargo'!$A:$A,AF$1,'Wells Fargo'!$B:$B,"&lt;="&amp;'Cash Flow'!AF$3)</f>
        <v>0</v>
      </c>
      <c r="AG27" s="77">
        <f>SUMIFS('Wells Fargo'!$F:$F,'Wells Fargo'!$G:$G,'Cash Flow'!$A27,'Wells Fargo'!$A:$A,AG$1,'Wells Fargo'!$B:$B,"&lt;="&amp;'Cash Flow'!AG$3,'Wells Fargo'!$B:$B,"&gt;"&amp;'Cash Flow'!AF$3)</f>
        <v>0</v>
      </c>
      <c r="AH27" s="77">
        <f>SUMIFS('Wells Fargo'!$F:$F,'Wells Fargo'!$G:$G,'Cash Flow'!$A27,'Wells Fargo'!$A:$A,AH$1,'Wells Fargo'!$B:$B,"&lt;="&amp;'Cash Flow'!AH$3,'Wells Fargo'!$B:$B,"&gt;"&amp;'Cash Flow'!AG$3)</f>
        <v>0</v>
      </c>
      <c r="AI27" s="77">
        <f>SUMIFS('Wells Fargo'!$F:$F,'Wells Fargo'!$G:$G,'Cash Flow'!$A27,'Wells Fargo'!$A:$A,AI$1,'Wells Fargo'!$B:$B,"&lt;="&amp;'Cash Flow'!AI$3,'Wells Fargo'!$B:$B,"&gt;"&amp;'Cash Flow'!AH$3)</f>
        <v>0</v>
      </c>
      <c r="AJ27" s="77">
        <f>SUMIFS('Wells Fargo'!$F:$F,'Wells Fargo'!$G:$G,'Cash Flow'!$A27,'Wells Fargo'!$A:$A,AJ$1,'Wells Fargo'!$B:$B,"&lt;="&amp;'Cash Flow'!AJ$3,'Wells Fargo'!$B:$B,"&gt;"&amp;'Cash Flow'!AI$3)</f>
        <v>0</v>
      </c>
      <c r="AK27" s="111">
        <f>SUMIFS('Wells Fargo'!$F:$F,'Wells Fargo'!$G:$G,'Cash Flow'!$A27,'Wells Fargo'!$A:$A,AK$1,'Wells Fargo'!$B:$B,"&lt;="&amp;'Cash Flow'!AK$3)</f>
        <v>0</v>
      </c>
      <c r="AL27" s="77">
        <f>SUMIFS('Wells Fargo'!$F:$F,'Wells Fargo'!$G:$G,'Cash Flow'!$A27,'Wells Fargo'!$A:$A,AL$1,'Wells Fargo'!$B:$B,"&lt;="&amp;'Cash Flow'!AL$3,'Wells Fargo'!$B:$B,"&gt;"&amp;'Cash Flow'!AK$3)</f>
        <v>0</v>
      </c>
      <c r="AM27" s="77">
        <f>SUMIFS('Wells Fargo'!$F:$F,'Wells Fargo'!$G:$G,'Cash Flow'!$A27,'Wells Fargo'!$A:$A,AM$1,'Wells Fargo'!$B:$B,"&lt;="&amp;'Cash Flow'!AM$3,'Wells Fargo'!$B:$B,"&gt;"&amp;'Cash Flow'!AL$3)</f>
        <v>0</v>
      </c>
      <c r="AN27" s="77">
        <f>SUMIFS('Wells Fargo'!$F:$F,'Wells Fargo'!$G:$G,'Cash Flow'!$A27,'Wells Fargo'!$A:$A,AN$1,'Wells Fargo'!$B:$B,"&lt;="&amp;'Cash Flow'!AN$3,'Wells Fargo'!$B:$B,"&gt;"&amp;'Cash Flow'!AM$3)</f>
        <v>0</v>
      </c>
      <c r="AO27" s="77">
        <f>SUMIFS('Wells Fargo'!$F:$F,'Wells Fargo'!$G:$G,'Cash Flow'!$A27,'Wells Fargo'!$A:$A,AO$1,'Wells Fargo'!$B:$B,"&lt;="&amp;'Cash Flow'!AO$3,'Wells Fargo'!$B:$B,"&gt;"&amp;'Cash Flow'!AN$3)</f>
        <v>0</v>
      </c>
      <c r="AP27" s="111">
        <f>SUMIFS('Wells Fargo'!$F:$F,'Wells Fargo'!$G:$G,'Cash Flow'!$A27,'Wells Fargo'!$A:$A,AP$1,'Wells Fargo'!$B:$B,"&lt;="&amp;'Cash Flow'!AP$3)</f>
        <v>0</v>
      </c>
      <c r="AQ27" s="77">
        <f>SUMIFS('Wells Fargo'!$F:$F,'Wells Fargo'!$G:$G,'Cash Flow'!$A27,'Wells Fargo'!$A:$A,AQ$1,'Wells Fargo'!$B:$B,"&lt;="&amp;'Cash Flow'!AQ$3,'Wells Fargo'!$B:$B,"&gt;"&amp;'Cash Flow'!AP$3)</f>
        <v>0</v>
      </c>
      <c r="AR27" s="77">
        <f>SUMIFS('Wells Fargo'!$F:$F,'Wells Fargo'!$G:$G,'Cash Flow'!$A27,'Wells Fargo'!$A:$A,AR$1,'Wells Fargo'!$B:$B,"&lt;="&amp;'Cash Flow'!AR$3,'Wells Fargo'!$B:$B,"&gt;"&amp;'Cash Flow'!AQ$3)</f>
        <v>0</v>
      </c>
      <c r="AS27" s="77">
        <f>SUMIFS('Wells Fargo'!$F:$F,'Wells Fargo'!$G:$G,'Cash Flow'!$A27,'Wells Fargo'!$A:$A,AS$1,'Wells Fargo'!$B:$B,"&lt;="&amp;'Cash Flow'!AS$3,'Wells Fargo'!$B:$B,"&gt;"&amp;'Cash Flow'!AR$3)</f>
        <v>0</v>
      </c>
      <c r="AT27" s="77">
        <f>SUMIFS('Wells Fargo'!$F:$F,'Wells Fargo'!$G:$G,'Cash Flow'!$A27,'Wells Fargo'!$A:$A,AT$1,'Wells Fargo'!$B:$B,"&lt;="&amp;'Cash Flow'!AT$3,'Wells Fargo'!$B:$B,"&gt;"&amp;'Cash Flow'!AS$3)</f>
        <v>0</v>
      </c>
      <c r="AU27" s="111">
        <f>SUMIFS('Wells Fargo'!$F:$F,'Wells Fargo'!$G:$G,'Cash Flow'!$A27,'Wells Fargo'!$A:$A,AU$1,'Wells Fargo'!$B:$B,"&lt;="&amp;'Cash Flow'!AU$3)</f>
        <v>0</v>
      </c>
      <c r="AV27" s="77">
        <f>SUMIFS('Wells Fargo'!$F:$F,'Wells Fargo'!$G:$G,'Cash Flow'!$A27,'Wells Fargo'!$A:$A,AV$1,'Wells Fargo'!$B:$B,"&lt;="&amp;'Cash Flow'!AV$3,'Wells Fargo'!$B:$B,"&gt;"&amp;'Cash Flow'!AU$3)</f>
        <v>0</v>
      </c>
      <c r="AW27" s="77">
        <f>SUMIFS('Wells Fargo'!$F:$F,'Wells Fargo'!$G:$G,'Cash Flow'!$A27,'Wells Fargo'!$A:$A,AW$1,'Wells Fargo'!$B:$B,"&lt;="&amp;'Cash Flow'!AW$3,'Wells Fargo'!$B:$B,"&gt;"&amp;'Cash Flow'!AV$3)</f>
        <v>0</v>
      </c>
      <c r="AX27" s="77">
        <f>SUMIFS('Wells Fargo'!$F:$F,'Wells Fargo'!$G:$G,'Cash Flow'!$A27,'Wells Fargo'!$A:$A,AX$1,'Wells Fargo'!$B:$B,"&lt;="&amp;'Cash Flow'!AX$3,'Wells Fargo'!$B:$B,"&gt;"&amp;'Cash Flow'!AW$3)</f>
        <v>0</v>
      </c>
      <c r="AY27" s="77">
        <f>SUMIFS('Wells Fargo'!$F:$F,'Wells Fargo'!$G:$G,'Cash Flow'!$A27,'Wells Fargo'!$A:$A,AY$1,'Wells Fargo'!$B:$B,"&lt;="&amp;'Cash Flow'!AY$3,'Wells Fargo'!$B:$B,"&gt;"&amp;'Cash Flow'!AX$3)</f>
        <v>0</v>
      </c>
      <c r="AZ27" s="111">
        <f>SUMIFS('Wells Fargo'!$F:$F,'Wells Fargo'!$G:$G,'Cash Flow'!$A27,'Wells Fargo'!$A:$A,AZ$1,'Wells Fargo'!$B:$B,"&lt;="&amp;'Cash Flow'!AZ$3)</f>
        <v>0</v>
      </c>
      <c r="BA27" s="77">
        <f>SUMIFS('Wells Fargo'!$F:$F,'Wells Fargo'!$G:$G,'Cash Flow'!$A27,'Wells Fargo'!$A:$A,BA$1,'Wells Fargo'!$B:$B,"&lt;="&amp;'Cash Flow'!BA$3,'Wells Fargo'!$B:$B,"&gt;"&amp;'Cash Flow'!AZ$3)</f>
        <v>0</v>
      </c>
      <c r="BB27" s="77">
        <f>SUMIFS('Wells Fargo'!$F:$F,'Wells Fargo'!$G:$G,'Cash Flow'!$A27,'Wells Fargo'!$A:$A,BB$1,'Wells Fargo'!$B:$B,"&lt;="&amp;'Cash Flow'!BB$3,'Wells Fargo'!$B:$B,"&gt;"&amp;'Cash Flow'!BA$3)</f>
        <v>0</v>
      </c>
      <c r="BC27" s="77">
        <f>SUMIFS('Wells Fargo'!$F:$F,'Wells Fargo'!$G:$G,'Cash Flow'!$A27,'Wells Fargo'!$A:$A,BC$1,'Wells Fargo'!$B:$B,"&lt;="&amp;'Cash Flow'!BC$3,'Wells Fargo'!$B:$B,"&gt;"&amp;'Cash Flow'!BB$3)</f>
        <v>0</v>
      </c>
      <c r="BD27" s="77">
        <f>SUMIFS('Wells Fargo'!$F:$F,'Wells Fargo'!$G:$G,'Cash Flow'!$A27,'Wells Fargo'!$A:$A,BD$1,'Wells Fargo'!$B:$B,"&lt;="&amp;'Cash Flow'!BD$3,'Wells Fargo'!$B:$B,"&gt;"&amp;'Cash Flow'!BC$3)</f>
        <v>0</v>
      </c>
      <c r="BE27" s="111">
        <f>SUMIFS('Wells Fargo'!$F:$F,'Wells Fargo'!$G:$G,'Cash Flow'!$A27,'Wells Fargo'!$A:$A,BE$1,'Wells Fargo'!$B:$B,"&lt;="&amp;'Cash Flow'!BE$3)</f>
        <v>0</v>
      </c>
      <c r="BF27" s="77">
        <f>SUMIFS('Wells Fargo'!$F:$F,'Wells Fargo'!$G:$G,'Cash Flow'!$A27,'Wells Fargo'!$A:$A,BF$1,'Wells Fargo'!$B:$B,"&lt;="&amp;'Cash Flow'!BF$3,'Wells Fargo'!$B:$B,"&gt;"&amp;'Cash Flow'!BE$3)</f>
        <v>0</v>
      </c>
      <c r="BG27" s="77">
        <f>SUMIFS('Wells Fargo'!$F:$F,'Wells Fargo'!$G:$G,'Cash Flow'!$A27,'Wells Fargo'!$A:$A,BG$1,'Wells Fargo'!$B:$B,"&lt;="&amp;'Cash Flow'!BG$3,'Wells Fargo'!$B:$B,"&gt;"&amp;'Cash Flow'!BF$3)</f>
        <v>0</v>
      </c>
      <c r="BH27" s="77">
        <f>SUMIFS('Wells Fargo'!$F:$F,'Wells Fargo'!$G:$G,'Cash Flow'!$A27,'Wells Fargo'!$A:$A,BH$1,'Wells Fargo'!$B:$B,"&lt;="&amp;'Cash Flow'!BH$3,'Wells Fargo'!$B:$B,"&gt;"&amp;'Cash Flow'!BG$3)</f>
        <v>0</v>
      </c>
      <c r="BI27" s="77">
        <f>SUMIFS('Wells Fargo'!$F:$F,'Wells Fargo'!$G:$G,'Cash Flow'!$A27,'Wells Fargo'!$A:$A,BI$1,'Wells Fargo'!$B:$B,"&lt;="&amp;'Cash Flow'!BI$3,'Wells Fargo'!$B:$B,"&gt;"&amp;'Cash Flow'!BH$3)</f>
        <v>0</v>
      </c>
    </row>
    <row r="28" spans="1:61" ht="14.5" x14ac:dyDescent="0.5">
      <c r="A28" t="str">
        <v>Nate</v>
      </c>
      <c r="B28" s="90">
        <f t="shared" si="0"/>
        <v>-250</v>
      </c>
      <c r="C28" s="111">
        <f>SUMIFS('Wells Fargo'!$F:$F,'Wells Fargo'!$G:$G,'Cash Flow'!$A28,'Wells Fargo'!$A:$A,C$1,'Wells Fargo'!$B:$B,"&lt;="&amp;'Cash Flow'!C$3)</f>
        <v>0</v>
      </c>
      <c r="D28" s="77">
        <f>SUMIFS('Wells Fargo'!$F:$F,'Wells Fargo'!$G:$G,'Cash Flow'!$A28,'Wells Fargo'!$A:$A,D$1,'Wells Fargo'!$B:$B,"&lt;="&amp;'Cash Flow'!D$3,'Wells Fargo'!$B:$B,"&gt;"&amp;'Cash Flow'!C$3)</f>
        <v>0</v>
      </c>
      <c r="E28" s="77">
        <f>SUMIFS('Wells Fargo'!$F:$F,'Wells Fargo'!$G:$G,'Cash Flow'!$A28,'Wells Fargo'!$A:$A,E$1,'Wells Fargo'!$B:$B,"&lt;="&amp;'Cash Flow'!E$3,'Wells Fargo'!$B:$B,"&gt;"&amp;'Cash Flow'!D$3)</f>
        <v>0</v>
      </c>
      <c r="F28" s="77">
        <f>SUMIFS('Wells Fargo'!$F:$F,'Wells Fargo'!$G:$G,'Cash Flow'!$A28,'Wells Fargo'!$A:$A,F$1,'Wells Fargo'!$B:$B,"&lt;="&amp;'Cash Flow'!F$3,'Wells Fargo'!$B:$B,"&gt;"&amp;'Cash Flow'!E$3)</f>
        <v>0</v>
      </c>
      <c r="G28" s="77">
        <f>SUMIFS('Wells Fargo'!$F:$F,'Wells Fargo'!$G:$G,'Cash Flow'!$A28,'Wells Fargo'!$A:$A,G$1,'Wells Fargo'!$B:$B,"&lt;="&amp;'Cash Flow'!G$3,'Wells Fargo'!$B:$B,"&gt;"&amp;'Cash Flow'!F$3)</f>
        <v>0</v>
      </c>
      <c r="H28" s="111">
        <f>SUMIFS('Wells Fargo'!$F:$F,'Wells Fargo'!$G:$G,'Cash Flow'!$A28,'Wells Fargo'!$A:$A,H$1,'Wells Fargo'!$B:$B,"&lt;="&amp;'Cash Flow'!H$3)</f>
        <v>0</v>
      </c>
      <c r="I28" s="77">
        <f>SUMIFS('Wells Fargo'!$F:$F,'Wells Fargo'!$G:$G,'Cash Flow'!$A28,'Wells Fargo'!$A:$A,I$1,'Wells Fargo'!$B:$B,"&lt;="&amp;'Cash Flow'!I$3,'Wells Fargo'!$B:$B,"&gt;"&amp;'Cash Flow'!H$3)</f>
        <v>0</v>
      </c>
      <c r="J28" s="77">
        <f>SUMIFS('Wells Fargo'!$F:$F,'Wells Fargo'!$G:$G,'Cash Flow'!$A28,'Wells Fargo'!$A:$A,J$1,'Wells Fargo'!$B:$B,"&lt;="&amp;'Cash Flow'!J$3,'Wells Fargo'!$B:$B,"&gt;"&amp;'Cash Flow'!I$3)</f>
        <v>0</v>
      </c>
      <c r="K28" s="77">
        <f>SUMIFS('Wells Fargo'!$F:$F,'Wells Fargo'!$G:$G,'Cash Flow'!$A28,'Wells Fargo'!$A:$A,K$1,'Wells Fargo'!$B:$B,"&lt;="&amp;'Cash Flow'!K$3,'Wells Fargo'!$B:$B,"&gt;"&amp;'Cash Flow'!J$3)</f>
        <v>0</v>
      </c>
      <c r="L28" s="111">
        <f>SUMIFS('Wells Fargo'!$F:$F,'Wells Fargo'!$G:$G,'Cash Flow'!$A28,'Wells Fargo'!$A:$A,L$1,'Wells Fargo'!$B:$B,"&lt;="&amp;'Cash Flow'!L$3)</f>
        <v>0</v>
      </c>
      <c r="M28" s="77">
        <f>SUMIFS('Wells Fargo'!$F:$F,'Wells Fargo'!$G:$G,'Cash Flow'!$A28,'Wells Fargo'!$A:$A,M$1,'Wells Fargo'!$B:$B,"&lt;="&amp;'Cash Flow'!M$3,'Wells Fargo'!$B:$B,"&gt;"&amp;'Cash Flow'!L$3)</f>
        <v>0</v>
      </c>
      <c r="N28" s="77">
        <f>SUMIFS('Wells Fargo'!$F:$F,'Wells Fargo'!$G:$G,'Cash Flow'!$A28,'Wells Fargo'!$A:$A,N$1,'Wells Fargo'!$B:$B,"&lt;="&amp;'Cash Flow'!N$3,'Wells Fargo'!$B:$B,"&gt;"&amp;'Cash Flow'!M$3)</f>
        <v>0</v>
      </c>
      <c r="O28" s="77">
        <f>SUMIFS('Wells Fargo'!$F:$F,'Wells Fargo'!$G:$G,'Cash Flow'!$A28,'Wells Fargo'!$A:$A,O$1,'Wells Fargo'!$B:$B,"&lt;="&amp;'Cash Flow'!O$3,'Wells Fargo'!$B:$B,"&gt;"&amp;'Cash Flow'!N$3)</f>
        <v>0</v>
      </c>
      <c r="P28" s="77">
        <f>SUMIFS('Wells Fargo'!$F:$F,'Wells Fargo'!$G:$G,'Cash Flow'!$A28,'Wells Fargo'!$A:$A,P$1,'Wells Fargo'!$B:$B,"&lt;="&amp;'Cash Flow'!P$3,'Wells Fargo'!$B:$B,"&gt;"&amp;'Cash Flow'!O$3)</f>
        <v>0</v>
      </c>
      <c r="Q28" s="111">
        <f>SUMIFS('Wells Fargo'!$F:$F,'Wells Fargo'!$G:$G,'Cash Flow'!$A28,'Wells Fargo'!$A:$A,Q$1,'Wells Fargo'!$B:$B,"&lt;="&amp;'Cash Flow'!Q$3)</f>
        <v>0</v>
      </c>
      <c r="R28" s="77">
        <f>SUMIFS('Wells Fargo'!$F:$F,'Wells Fargo'!$G:$G,'Cash Flow'!$A28,'Wells Fargo'!$A:$A,R$1,'Wells Fargo'!$B:$B,"&lt;="&amp;'Cash Flow'!R$3,'Wells Fargo'!$B:$B,"&gt;"&amp;'Cash Flow'!Q$3)</f>
        <v>0</v>
      </c>
      <c r="S28" s="77">
        <f>SUMIFS('Wells Fargo'!$F:$F,'Wells Fargo'!$G:$G,'Cash Flow'!$A28,'Wells Fargo'!$A:$A,S$1,'Wells Fargo'!$B:$B,"&lt;="&amp;'Cash Flow'!S$3,'Wells Fargo'!$B:$B,"&gt;"&amp;'Cash Flow'!R$3)</f>
        <v>0</v>
      </c>
      <c r="T28" s="77">
        <f>SUMIFS('Wells Fargo'!$F:$F,'Wells Fargo'!$G:$G,'Cash Flow'!$A28,'Wells Fargo'!$A:$A,T$1,'Wells Fargo'!$B:$B,"&lt;="&amp;'Cash Flow'!T$3,'Wells Fargo'!$B:$B,"&gt;"&amp;'Cash Flow'!S$3)</f>
        <v>0</v>
      </c>
      <c r="U28" s="77">
        <f>SUMIFS('Wells Fargo'!$F:$F,'Wells Fargo'!$G:$G,'Cash Flow'!$A28,'Wells Fargo'!$A:$A,U$1,'Wells Fargo'!$B:$B,"&lt;="&amp;'Cash Flow'!U$3,'Wells Fargo'!$B:$B,"&gt;"&amp;'Cash Flow'!T$3)</f>
        <v>0</v>
      </c>
      <c r="V28" s="111">
        <f>SUMIFS('Wells Fargo'!$F:$F,'Wells Fargo'!$G:$G,'Cash Flow'!$A28,'Wells Fargo'!$A:$A,V$1,'Wells Fargo'!$B:$B,"&lt;="&amp;'Cash Flow'!V$3)</f>
        <v>0</v>
      </c>
      <c r="W28" s="77">
        <f>SUMIFS('Wells Fargo'!$F:$F,'Wells Fargo'!$G:$G,'Cash Flow'!$A28,'Wells Fargo'!$A:$A,W$1,'Wells Fargo'!$B:$B,"&lt;="&amp;'Cash Flow'!W$3,'Wells Fargo'!$B:$B,"&gt;"&amp;'Cash Flow'!V$3)</f>
        <v>0</v>
      </c>
      <c r="X28" s="77">
        <f>SUMIFS('Wells Fargo'!$F:$F,'Wells Fargo'!$G:$G,'Cash Flow'!$A28,'Wells Fargo'!$A:$A,X$1,'Wells Fargo'!$B:$B,"&lt;="&amp;'Cash Flow'!X$3,'Wells Fargo'!$B:$B,"&gt;"&amp;'Cash Flow'!W$3)</f>
        <v>0</v>
      </c>
      <c r="Y28" s="77">
        <f>SUMIFS('Wells Fargo'!$F:$F,'Wells Fargo'!$G:$G,'Cash Flow'!$A28,'Wells Fargo'!$A:$A,Y$1,'Wells Fargo'!$B:$B,"&lt;="&amp;'Cash Flow'!Y$3,'Wells Fargo'!$B:$B,"&gt;"&amp;'Cash Flow'!X$3)</f>
        <v>-50</v>
      </c>
      <c r="Z28" s="77">
        <f>SUMIFS('Wells Fargo'!$F:$F,'Wells Fargo'!$G:$G,'Cash Flow'!$A28,'Wells Fargo'!$A:$A,Z$1,'Wells Fargo'!$B:$B,"&lt;="&amp;'Cash Flow'!Z$3,'Wells Fargo'!$B:$B,"&gt;"&amp;'Cash Flow'!Y$3)</f>
        <v>0</v>
      </c>
      <c r="AA28" s="111">
        <f>SUMIFS('Wells Fargo'!$F:$F,'Wells Fargo'!$G:$G,'Cash Flow'!$A28,'Wells Fargo'!$A:$A,AA$1,'Wells Fargo'!$B:$B,"&lt;="&amp;'Cash Flow'!AA$3)</f>
        <v>0</v>
      </c>
      <c r="AB28" s="77">
        <f>SUMIFS('Wells Fargo'!$F:$F,'Wells Fargo'!$G:$G,'Cash Flow'!$A28,'Wells Fargo'!$A:$A,AB$1,'Wells Fargo'!$B:$B,"&lt;="&amp;'Cash Flow'!AB$3,'Wells Fargo'!$B:$B,"&gt;"&amp;'Cash Flow'!AA$3)</f>
        <v>0</v>
      </c>
      <c r="AC28" s="77">
        <f>SUMIFS('Wells Fargo'!$F:$F,'Wells Fargo'!$G:$G,'Cash Flow'!$A28,'Wells Fargo'!$A:$A,AC$1,'Wells Fargo'!$B:$B,"&lt;="&amp;'Cash Flow'!AC$3,'Wells Fargo'!$B:$B,"&gt;"&amp;'Cash Flow'!AB$3)</f>
        <v>-200</v>
      </c>
      <c r="AD28" s="77">
        <f>SUMIFS('Wells Fargo'!$F:$F,'Wells Fargo'!$G:$G,'Cash Flow'!$A28,'Wells Fargo'!$A:$A,AD$1,'Wells Fargo'!$B:$B,"&lt;="&amp;'Cash Flow'!AD$3,'Wells Fargo'!$B:$B,"&gt;"&amp;'Cash Flow'!AC$3)</f>
        <v>0</v>
      </c>
      <c r="AE28" s="77">
        <f>SUMIFS('Wells Fargo'!$F:$F,'Wells Fargo'!$G:$G,'Cash Flow'!$A28,'Wells Fargo'!$A:$A,AE$1,'Wells Fargo'!$B:$B,"&lt;="&amp;'Cash Flow'!AE$3,'Wells Fargo'!$B:$B,"&gt;"&amp;'Cash Flow'!AD$3)</f>
        <v>0</v>
      </c>
      <c r="AF28" s="111">
        <f>SUMIFS('Wells Fargo'!$F:$F,'Wells Fargo'!$G:$G,'Cash Flow'!$A28,'Wells Fargo'!$A:$A,AF$1,'Wells Fargo'!$B:$B,"&lt;="&amp;'Cash Flow'!AF$3)</f>
        <v>0</v>
      </c>
      <c r="AG28" s="77">
        <f>SUMIFS('Wells Fargo'!$F:$F,'Wells Fargo'!$G:$G,'Cash Flow'!$A28,'Wells Fargo'!$A:$A,AG$1,'Wells Fargo'!$B:$B,"&lt;="&amp;'Cash Flow'!AG$3,'Wells Fargo'!$B:$B,"&gt;"&amp;'Cash Flow'!AF$3)</f>
        <v>0</v>
      </c>
      <c r="AH28" s="77">
        <f>SUMIFS('Wells Fargo'!$F:$F,'Wells Fargo'!$G:$G,'Cash Flow'!$A28,'Wells Fargo'!$A:$A,AH$1,'Wells Fargo'!$B:$B,"&lt;="&amp;'Cash Flow'!AH$3,'Wells Fargo'!$B:$B,"&gt;"&amp;'Cash Flow'!AG$3)</f>
        <v>0</v>
      </c>
      <c r="AI28" s="77">
        <f>SUMIFS('Wells Fargo'!$F:$F,'Wells Fargo'!$G:$G,'Cash Flow'!$A28,'Wells Fargo'!$A:$A,AI$1,'Wells Fargo'!$B:$B,"&lt;="&amp;'Cash Flow'!AI$3,'Wells Fargo'!$B:$B,"&gt;"&amp;'Cash Flow'!AH$3)</f>
        <v>0</v>
      </c>
      <c r="AJ28" s="77">
        <f>SUMIFS('Wells Fargo'!$F:$F,'Wells Fargo'!$G:$G,'Cash Flow'!$A28,'Wells Fargo'!$A:$A,AJ$1,'Wells Fargo'!$B:$B,"&lt;="&amp;'Cash Flow'!AJ$3,'Wells Fargo'!$B:$B,"&gt;"&amp;'Cash Flow'!AI$3)</f>
        <v>0</v>
      </c>
      <c r="AK28" s="111">
        <f>SUMIFS('Wells Fargo'!$F:$F,'Wells Fargo'!$G:$G,'Cash Flow'!$A28,'Wells Fargo'!$A:$A,AK$1,'Wells Fargo'!$B:$B,"&lt;="&amp;'Cash Flow'!AK$3)</f>
        <v>0</v>
      </c>
      <c r="AL28" s="77">
        <f>SUMIFS('Wells Fargo'!$F:$F,'Wells Fargo'!$G:$G,'Cash Flow'!$A28,'Wells Fargo'!$A:$A,AL$1,'Wells Fargo'!$B:$B,"&lt;="&amp;'Cash Flow'!AL$3,'Wells Fargo'!$B:$B,"&gt;"&amp;'Cash Flow'!AK$3)</f>
        <v>0</v>
      </c>
      <c r="AM28" s="77">
        <f>SUMIFS('Wells Fargo'!$F:$F,'Wells Fargo'!$G:$G,'Cash Flow'!$A28,'Wells Fargo'!$A:$A,AM$1,'Wells Fargo'!$B:$B,"&lt;="&amp;'Cash Flow'!AM$3,'Wells Fargo'!$B:$B,"&gt;"&amp;'Cash Flow'!AL$3)</f>
        <v>0</v>
      </c>
      <c r="AN28" s="77">
        <f>SUMIFS('Wells Fargo'!$F:$F,'Wells Fargo'!$G:$G,'Cash Flow'!$A28,'Wells Fargo'!$A:$A,AN$1,'Wells Fargo'!$B:$B,"&lt;="&amp;'Cash Flow'!AN$3,'Wells Fargo'!$B:$B,"&gt;"&amp;'Cash Flow'!AM$3)</f>
        <v>0</v>
      </c>
      <c r="AO28" s="77">
        <f>SUMIFS('Wells Fargo'!$F:$F,'Wells Fargo'!$G:$G,'Cash Flow'!$A28,'Wells Fargo'!$A:$A,AO$1,'Wells Fargo'!$B:$B,"&lt;="&amp;'Cash Flow'!AO$3,'Wells Fargo'!$B:$B,"&gt;"&amp;'Cash Flow'!AN$3)</f>
        <v>0</v>
      </c>
      <c r="AP28" s="111">
        <f>SUMIFS('Wells Fargo'!$F:$F,'Wells Fargo'!$G:$G,'Cash Flow'!$A28,'Wells Fargo'!$A:$A,AP$1,'Wells Fargo'!$B:$B,"&lt;="&amp;'Cash Flow'!AP$3)</f>
        <v>0</v>
      </c>
      <c r="AQ28" s="77">
        <f>SUMIFS('Wells Fargo'!$F:$F,'Wells Fargo'!$G:$G,'Cash Flow'!$A28,'Wells Fargo'!$A:$A,AQ$1,'Wells Fargo'!$B:$B,"&lt;="&amp;'Cash Flow'!AQ$3,'Wells Fargo'!$B:$B,"&gt;"&amp;'Cash Flow'!AP$3)</f>
        <v>0</v>
      </c>
      <c r="AR28" s="77">
        <f>SUMIFS('Wells Fargo'!$F:$F,'Wells Fargo'!$G:$G,'Cash Flow'!$A28,'Wells Fargo'!$A:$A,AR$1,'Wells Fargo'!$B:$B,"&lt;="&amp;'Cash Flow'!AR$3,'Wells Fargo'!$B:$B,"&gt;"&amp;'Cash Flow'!AQ$3)</f>
        <v>0</v>
      </c>
      <c r="AS28" s="77">
        <f>SUMIFS('Wells Fargo'!$F:$F,'Wells Fargo'!$G:$G,'Cash Flow'!$A28,'Wells Fargo'!$A:$A,AS$1,'Wells Fargo'!$B:$B,"&lt;="&amp;'Cash Flow'!AS$3,'Wells Fargo'!$B:$B,"&gt;"&amp;'Cash Flow'!AR$3)</f>
        <v>0</v>
      </c>
      <c r="AT28" s="77">
        <f>SUMIFS('Wells Fargo'!$F:$F,'Wells Fargo'!$G:$G,'Cash Flow'!$A28,'Wells Fargo'!$A:$A,AT$1,'Wells Fargo'!$B:$B,"&lt;="&amp;'Cash Flow'!AT$3,'Wells Fargo'!$B:$B,"&gt;"&amp;'Cash Flow'!AS$3)</f>
        <v>0</v>
      </c>
      <c r="AU28" s="111">
        <f>SUMIFS('Wells Fargo'!$F:$F,'Wells Fargo'!$G:$G,'Cash Flow'!$A28,'Wells Fargo'!$A:$A,AU$1,'Wells Fargo'!$B:$B,"&lt;="&amp;'Cash Flow'!AU$3)</f>
        <v>0</v>
      </c>
      <c r="AV28" s="77">
        <f>SUMIFS('Wells Fargo'!$F:$F,'Wells Fargo'!$G:$G,'Cash Flow'!$A28,'Wells Fargo'!$A:$A,AV$1,'Wells Fargo'!$B:$B,"&lt;="&amp;'Cash Flow'!AV$3,'Wells Fargo'!$B:$B,"&gt;"&amp;'Cash Flow'!AU$3)</f>
        <v>0</v>
      </c>
      <c r="AW28" s="77">
        <f>SUMIFS('Wells Fargo'!$F:$F,'Wells Fargo'!$G:$G,'Cash Flow'!$A28,'Wells Fargo'!$A:$A,AW$1,'Wells Fargo'!$B:$B,"&lt;="&amp;'Cash Flow'!AW$3,'Wells Fargo'!$B:$B,"&gt;"&amp;'Cash Flow'!AV$3)</f>
        <v>0</v>
      </c>
      <c r="AX28" s="77">
        <f>SUMIFS('Wells Fargo'!$F:$F,'Wells Fargo'!$G:$G,'Cash Flow'!$A28,'Wells Fargo'!$A:$A,AX$1,'Wells Fargo'!$B:$B,"&lt;="&amp;'Cash Flow'!AX$3,'Wells Fargo'!$B:$B,"&gt;"&amp;'Cash Flow'!AW$3)</f>
        <v>0</v>
      </c>
      <c r="AY28" s="77">
        <f>SUMIFS('Wells Fargo'!$F:$F,'Wells Fargo'!$G:$G,'Cash Flow'!$A28,'Wells Fargo'!$A:$A,AY$1,'Wells Fargo'!$B:$B,"&lt;="&amp;'Cash Flow'!AY$3,'Wells Fargo'!$B:$B,"&gt;"&amp;'Cash Flow'!AX$3)</f>
        <v>0</v>
      </c>
      <c r="AZ28" s="111">
        <f>SUMIFS('Wells Fargo'!$F:$F,'Wells Fargo'!$G:$G,'Cash Flow'!$A28,'Wells Fargo'!$A:$A,AZ$1,'Wells Fargo'!$B:$B,"&lt;="&amp;'Cash Flow'!AZ$3)</f>
        <v>0</v>
      </c>
      <c r="BA28" s="77">
        <f>SUMIFS('Wells Fargo'!$F:$F,'Wells Fargo'!$G:$G,'Cash Flow'!$A28,'Wells Fargo'!$A:$A,BA$1,'Wells Fargo'!$B:$B,"&lt;="&amp;'Cash Flow'!BA$3,'Wells Fargo'!$B:$B,"&gt;"&amp;'Cash Flow'!AZ$3)</f>
        <v>0</v>
      </c>
      <c r="BB28" s="77">
        <f>SUMIFS('Wells Fargo'!$F:$F,'Wells Fargo'!$G:$G,'Cash Flow'!$A28,'Wells Fargo'!$A:$A,BB$1,'Wells Fargo'!$B:$B,"&lt;="&amp;'Cash Flow'!BB$3,'Wells Fargo'!$B:$B,"&gt;"&amp;'Cash Flow'!BA$3)</f>
        <v>0</v>
      </c>
      <c r="BC28" s="77">
        <f>SUMIFS('Wells Fargo'!$F:$F,'Wells Fargo'!$G:$G,'Cash Flow'!$A28,'Wells Fargo'!$A:$A,BC$1,'Wells Fargo'!$B:$B,"&lt;="&amp;'Cash Flow'!BC$3,'Wells Fargo'!$B:$B,"&gt;"&amp;'Cash Flow'!BB$3)</f>
        <v>0</v>
      </c>
      <c r="BD28" s="77">
        <f>SUMIFS('Wells Fargo'!$F:$F,'Wells Fargo'!$G:$G,'Cash Flow'!$A28,'Wells Fargo'!$A:$A,BD$1,'Wells Fargo'!$B:$B,"&lt;="&amp;'Cash Flow'!BD$3,'Wells Fargo'!$B:$B,"&gt;"&amp;'Cash Flow'!BC$3)</f>
        <v>0</v>
      </c>
      <c r="BE28" s="111">
        <f>SUMIFS('Wells Fargo'!$F:$F,'Wells Fargo'!$G:$G,'Cash Flow'!$A28,'Wells Fargo'!$A:$A,BE$1,'Wells Fargo'!$B:$B,"&lt;="&amp;'Cash Flow'!BE$3)</f>
        <v>0</v>
      </c>
      <c r="BF28" s="77">
        <f>SUMIFS('Wells Fargo'!$F:$F,'Wells Fargo'!$G:$G,'Cash Flow'!$A28,'Wells Fargo'!$A:$A,BF$1,'Wells Fargo'!$B:$B,"&lt;="&amp;'Cash Flow'!BF$3,'Wells Fargo'!$B:$B,"&gt;"&amp;'Cash Flow'!BE$3)</f>
        <v>0</v>
      </c>
      <c r="BG28" s="77">
        <f>SUMIFS('Wells Fargo'!$F:$F,'Wells Fargo'!$G:$G,'Cash Flow'!$A28,'Wells Fargo'!$A:$A,BG$1,'Wells Fargo'!$B:$B,"&lt;="&amp;'Cash Flow'!BG$3,'Wells Fargo'!$B:$B,"&gt;"&amp;'Cash Flow'!BF$3)</f>
        <v>0</v>
      </c>
      <c r="BH28" s="77">
        <f>SUMIFS('Wells Fargo'!$F:$F,'Wells Fargo'!$G:$G,'Cash Flow'!$A28,'Wells Fargo'!$A:$A,BH$1,'Wells Fargo'!$B:$B,"&lt;="&amp;'Cash Flow'!BH$3,'Wells Fargo'!$B:$B,"&gt;"&amp;'Cash Flow'!BG$3)</f>
        <v>0</v>
      </c>
      <c r="BI28" s="77">
        <f>SUMIFS('Wells Fargo'!$F:$F,'Wells Fargo'!$G:$G,'Cash Flow'!$A28,'Wells Fargo'!$A:$A,BI$1,'Wells Fargo'!$B:$B,"&lt;="&amp;'Cash Flow'!BI$3,'Wells Fargo'!$B:$B,"&gt;"&amp;'Cash Flow'!BH$3)</f>
        <v>0</v>
      </c>
    </row>
    <row r="29" spans="1:61" ht="14.5" x14ac:dyDescent="0.5">
      <c r="A29" t="str">
        <v>Nationwide</v>
      </c>
      <c r="B29" s="90">
        <f t="shared" si="0"/>
        <v>6020.19</v>
      </c>
      <c r="C29" s="111">
        <f>SUMIFS('Wells Fargo'!$F:$F,'Wells Fargo'!$G:$G,'Cash Flow'!$A29,'Wells Fargo'!$A:$A,C$1,'Wells Fargo'!$B:$B,"&lt;="&amp;'Cash Flow'!C$3)</f>
        <v>0</v>
      </c>
      <c r="D29" s="77">
        <f>SUMIFS('Wells Fargo'!$F:$F,'Wells Fargo'!$G:$G,'Cash Flow'!$A29,'Wells Fargo'!$A:$A,D$1,'Wells Fargo'!$B:$B,"&lt;="&amp;'Cash Flow'!D$3,'Wells Fargo'!$B:$B,"&gt;"&amp;'Cash Flow'!C$3)</f>
        <v>0</v>
      </c>
      <c r="E29" s="77">
        <f>SUMIFS('Wells Fargo'!$F:$F,'Wells Fargo'!$G:$G,'Cash Flow'!$A29,'Wells Fargo'!$A:$A,E$1,'Wells Fargo'!$B:$B,"&lt;="&amp;'Cash Flow'!E$3,'Wells Fargo'!$B:$B,"&gt;"&amp;'Cash Flow'!D$3)</f>
        <v>0</v>
      </c>
      <c r="F29" s="77">
        <f>SUMIFS('Wells Fargo'!$F:$F,'Wells Fargo'!$G:$G,'Cash Flow'!$A29,'Wells Fargo'!$A:$A,F$1,'Wells Fargo'!$B:$B,"&lt;="&amp;'Cash Flow'!F$3,'Wells Fargo'!$B:$B,"&gt;"&amp;'Cash Flow'!E$3)</f>
        <v>0</v>
      </c>
      <c r="G29" s="77">
        <f>SUMIFS('Wells Fargo'!$F:$F,'Wells Fargo'!$G:$G,'Cash Flow'!$A29,'Wells Fargo'!$A:$A,G$1,'Wells Fargo'!$B:$B,"&lt;="&amp;'Cash Flow'!G$3,'Wells Fargo'!$B:$B,"&gt;"&amp;'Cash Flow'!F$3)</f>
        <v>0</v>
      </c>
      <c r="H29" s="111">
        <f>SUMIFS('Wells Fargo'!$F:$F,'Wells Fargo'!$G:$G,'Cash Flow'!$A29,'Wells Fargo'!$A:$A,H$1,'Wells Fargo'!$B:$B,"&lt;="&amp;'Cash Flow'!H$3)</f>
        <v>0</v>
      </c>
      <c r="I29" s="77">
        <f>SUMIFS('Wells Fargo'!$F:$F,'Wells Fargo'!$G:$G,'Cash Flow'!$A29,'Wells Fargo'!$A:$A,I$1,'Wells Fargo'!$B:$B,"&lt;="&amp;'Cash Flow'!I$3,'Wells Fargo'!$B:$B,"&gt;"&amp;'Cash Flow'!H$3)</f>
        <v>0</v>
      </c>
      <c r="J29" s="77">
        <f>SUMIFS('Wells Fargo'!$F:$F,'Wells Fargo'!$G:$G,'Cash Flow'!$A29,'Wells Fargo'!$A:$A,J$1,'Wells Fargo'!$B:$B,"&lt;="&amp;'Cash Flow'!J$3,'Wells Fargo'!$B:$B,"&gt;"&amp;'Cash Flow'!I$3)</f>
        <v>0</v>
      </c>
      <c r="K29" s="77">
        <f>SUMIFS('Wells Fargo'!$F:$F,'Wells Fargo'!$G:$G,'Cash Flow'!$A29,'Wells Fargo'!$A:$A,K$1,'Wells Fargo'!$B:$B,"&lt;="&amp;'Cash Flow'!K$3,'Wells Fargo'!$B:$B,"&gt;"&amp;'Cash Flow'!J$3)</f>
        <v>0</v>
      </c>
      <c r="L29" s="111">
        <f>SUMIFS('Wells Fargo'!$F:$F,'Wells Fargo'!$G:$G,'Cash Flow'!$A29,'Wells Fargo'!$A:$A,L$1,'Wells Fargo'!$B:$B,"&lt;="&amp;'Cash Flow'!L$3)</f>
        <v>0</v>
      </c>
      <c r="M29" s="77">
        <f>SUMIFS('Wells Fargo'!$F:$F,'Wells Fargo'!$G:$G,'Cash Flow'!$A29,'Wells Fargo'!$A:$A,M$1,'Wells Fargo'!$B:$B,"&lt;="&amp;'Cash Flow'!M$3,'Wells Fargo'!$B:$B,"&gt;"&amp;'Cash Flow'!L$3)</f>
        <v>0</v>
      </c>
      <c r="N29" s="77">
        <f>SUMIFS('Wells Fargo'!$F:$F,'Wells Fargo'!$G:$G,'Cash Flow'!$A29,'Wells Fargo'!$A:$A,N$1,'Wells Fargo'!$B:$B,"&lt;="&amp;'Cash Flow'!N$3,'Wells Fargo'!$B:$B,"&gt;"&amp;'Cash Flow'!M$3)</f>
        <v>0</v>
      </c>
      <c r="O29" s="77">
        <f>SUMIFS('Wells Fargo'!$F:$F,'Wells Fargo'!$G:$G,'Cash Flow'!$A29,'Wells Fargo'!$A:$A,O$1,'Wells Fargo'!$B:$B,"&lt;="&amp;'Cash Flow'!O$3,'Wells Fargo'!$B:$B,"&gt;"&amp;'Cash Flow'!N$3)</f>
        <v>0</v>
      </c>
      <c r="P29" s="77">
        <f>SUMIFS('Wells Fargo'!$F:$F,'Wells Fargo'!$G:$G,'Cash Flow'!$A29,'Wells Fargo'!$A:$A,P$1,'Wells Fargo'!$B:$B,"&lt;="&amp;'Cash Flow'!P$3,'Wells Fargo'!$B:$B,"&gt;"&amp;'Cash Flow'!O$3)</f>
        <v>0</v>
      </c>
      <c r="Q29" s="111">
        <f>SUMIFS('Wells Fargo'!$F:$F,'Wells Fargo'!$G:$G,'Cash Flow'!$A29,'Wells Fargo'!$A:$A,Q$1,'Wells Fargo'!$B:$B,"&lt;="&amp;'Cash Flow'!Q$3)</f>
        <v>0</v>
      </c>
      <c r="R29" s="77">
        <f>SUMIFS('Wells Fargo'!$F:$F,'Wells Fargo'!$G:$G,'Cash Flow'!$A29,'Wells Fargo'!$A:$A,R$1,'Wells Fargo'!$B:$B,"&lt;="&amp;'Cash Flow'!R$3,'Wells Fargo'!$B:$B,"&gt;"&amp;'Cash Flow'!Q$3)</f>
        <v>0</v>
      </c>
      <c r="S29" s="77">
        <f>SUMIFS('Wells Fargo'!$F:$F,'Wells Fargo'!$G:$G,'Cash Flow'!$A29,'Wells Fargo'!$A:$A,S$1,'Wells Fargo'!$B:$B,"&lt;="&amp;'Cash Flow'!S$3,'Wells Fargo'!$B:$B,"&gt;"&amp;'Cash Flow'!R$3)</f>
        <v>0</v>
      </c>
      <c r="T29" s="77">
        <f>SUMIFS('Wells Fargo'!$F:$F,'Wells Fargo'!$G:$G,'Cash Flow'!$A29,'Wells Fargo'!$A:$A,T$1,'Wells Fargo'!$B:$B,"&lt;="&amp;'Cash Flow'!T$3,'Wells Fargo'!$B:$B,"&gt;"&amp;'Cash Flow'!S$3)</f>
        <v>0</v>
      </c>
      <c r="U29" s="77">
        <f>SUMIFS('Wells Fargo'!$F:$F,'Wells Fargo'!$G:$G,'Cash Flow'!$A29,'Wells Fargo'!$A:$A,U$1,'Wells Fargo'!$B:$B,"&lt;="&amp;'Cash Flow'!U$3,'Wells Fargo'!$B:$B,"&gt;"&amp;'Cash Flow'!T$3)</f>
        <v>0</v>
      </c>
      <c r="V29" s="111">
        <f>SUMIFS('Wells Fargo'!$F:$F,'Wells Fargo'!$G:$G,'Cash Flow'!$A29,'Wells Fargo'!$A:$A,V$1,'Wells Fargo'!$B:$B,"&lt;="&amp;'Cash Flow'!V$3)</f>
        <v>0</v>
      </c>
      <c r="W29" s="77">
        <f>SUMIFS('Wells Fargo'!$F:$F,'Wells Fargo'!$G:$G,'Cash Flow'!$A29,'Wells Fargo'!$A:$A,W$1,'Wells Fargo'!$B:$B,"&lt;="&amp;'Cash Flow'!W$3,'Wells Fargo'!$B:$B,"&gt;"&amp;'Cash Flow'!V$3)</f>
        <v>0</v>
      </c>
      <c r="X29" s="77">
        <f>SUMIFS('Wells Fargo'!$F:$F,'Wells Fargo'!$G:$G,'Cash Flow'!$A29,'Wells Fargo'!$A:$A,X$1,'Wells Fargo'!$B:$B,"&lt;="&amp;'Cash Flow'!X$3,'Wells Fargo'!$B:$B,"&gt;"&amp;'Cash Flow'!W$3)</f>
        <v>0</v>
      </c>
      <c r="Y29" s="77">
        <f>SUMIFS('Wells Fargo'!$F:$F,'Wells Fargo'!$G:$G,'Cash Flow'!$A29,'Wells Fargo'!$A:$A,Y$1,'Wells Fargo'!$B:$B,"&lt;="&amp;'Cash Flow'!Y$3,'Wells Fargo'!$B:$B,"&gt;"&amp;'Cash Flow'!X$3)</f>
        <v>0</v>
      </c>
      <c r="Z29" s="77">
        <f>SUMIFS('Wells Fargo'!$F:$F,'Wells Fargo'!$G:$G,'Cash Flow'!$A29,'Wells Fargo'!$A:$A,Z$1,'Wells Fargo'!$B:$B,"&lt;="&amp;'Cash Flow'!Z$3,'Wells Fargo'!$B:$B,"&gt;"&amp;'Cash Flow'!Y$3)</f>
        <v>0</v>
      </c>
      <c r="AA29" s="111">
        <f>SUMIFS('Wells Fargo'!$F:$F,'Wells Fargo'!$G:$G,'Cash Flow'!$A29,'Wells Fargo'!$A:$A,AA$1,'Wells Fargo'!$B:$B,"&lt;="&amp;'Cash Flow'!AA$3)</f>
        <v>0</v>
      </c>
      <c r="AB29" s="77">
        <f>SUMIFS('Wells Fargo'!$F:$F,'Wells Fargo'!$G:$G,'Cash Flow'!$A29,'Wells Fargo'!$A:$A,AB$1,'Wells Fargo'!$B:$B,"&lt;="&amp;'Cash Flow'!AB$3,'Wells Fargo'!$B:$B,"&gt;"&amp;'Cash Flow'!AA$3)</f>
        <v>0</v>
      </c>
      <c r="AC29" s="77">
        <f>SUMIFS('Wells Fargo'!$F:$F,'Wells Fargo'!$G:$G,'Cash Flow'!$A29,'Wells Fargo'!$A:$A,AC$1,'Wells Fargo'!$B:$B,"&lt;="&amp;'Cash Flow'!AC$3,'Wells Fargo'!$B:$B,"&gt;"&amp;'Cash Flow'!AB$3)</f>
        <v>4436.57</v>
      </c>
      <c r="AD29" s="77">
        <f>SUMIFS('Wells Fargo'!$F:$F,'Wells Fargo'!$G:$G,'Cash Flow'!$A29,'Wells Fargo'!$A:$A,AD$1,'Wells Fargo'!$B:$B,"&lt;="&amp;'Cash Flow'!AD$3,'Wells Fargo'!$B:$B,"&gt;"&amp;'Cash Flow'!AC$3)</f>
        <v>0</v>
      </c>
      <c r="AE29" s="77">
        <f>SUMIFS('Wells Fargo'!$F:$F,'Wells Fargo'!$G:$G,'Cash Flow'!$A29,'Wells Fargo'!$A:$A,AE$1,'Wells Fargo'!$B:$B,"&lt;="&amp;'Cash Flow'!AE$3,'Wells Fargo'!$B:$B,"&gt;"&amp;'Cash Flow'!AD$3)</f>
        <v>0</v>
      </c>
      <c r="AF29" s="111">
        <f>SUMIFS('Wells Fargo'!$F:$F,'Wells Fargo'!$G:$G,'Cash Flow'!$A29,'Wells Fargo'!$A:$A,AF$1,'Wells Fargo'!$B:$B,"&lt;="&amp;'Cash Flow'!AF$3)</f>
        <v>1583.62</v>
      </c>
      <c r="AG29" s="77">
        <f>SUMIFS('Wells Fargo'!$F:$F,'Wells Fargo'!$G:$G,'Cash Flow'!$A29,'Wells Fargo'!$A:$A,AG$1,'Wells Fargo'!$B:$B,"&lt;="&amp;'Cash Flow'!AG$3,'Wells Fargo'!$B:$B,"&gt;"&amp;'Cash Flow'!AF$3)</f>
        <v>0</v>
      </c>
      <c r="AH29" s="77">
        <f>SUMIFS('Wells Fargo'!$F:$F,'Wells Fargo'!$G:$G,'Cash Flow'!$A29,'Wells Fargo'!$A:$A,AH$1,'Wells Fargo'!$B:$B,"&lt;="&amp;'Cash Flow'!AH$3,'Wells Fargo'!$B:$B,"&gt;"&amp;'Cash Flow'!AG$3)</f>
        <v>0</v>
      </c>
      <c r="AI29" s="77">
        <f>SUMIFS('Wells Fargo'!$F:$F,'Wells Fargo'!$G:$G,'Cash Flow'!$A29,'Wells Fargo'!$A:$A,AI$1,'Wells Fargo'!$B:$B,"&lt;="&amp;'Cash Flow'!AI$3,'Wells Fargo'!$B:$B,"&gt;"&amp;'Cash Flow'!AH$3)</f>
        <v>0</v>
      </c>
      <c r="AJ29" s="77">
        <f>SUMIFS('Wells Fargo'!$F:$F,'Wells Fargo'!$G:$G,'Cash Flow'!$A29,'Wells Fargo'!$A:$A,AJ$1,'Wells Fargo'!$B:$B,"&lt;="&amp;'Cash Flow'!AJ$3,'Wells Fargo'!$B:$B,"&gt;"&amp;'Cash Flow'!AI$3)</f>
        <v>0</v>
      </c>
      <c r="AK29" s="111">
        <f>SUMIFS('Wells Fargo'!$F:$F,'Wells Fargo'!$G:$G,'Cash Flow'!$A29,'Wells Fargo'!$A:$A,AK$1,'Wells Fargo'!$B:$B,"&lt;="&amp;'Cash Flow'!AK$3)</f>
        <v>0</v>
      </c>
      <c r="AL29" s="77">
        <f>SUMIFS('Wells Fargo'!$F:$F,'Wells Fargo'!$G:$G,'Cash Flow'!$A29,'Wells Fargo'!$A:$A,AL$1,'Wells Fargo'!$B:$B,"&lt;="&amp;'Cash Flow'!AL$3,'Wells Fargo'!$B:$B,"&gt;"&amp;'Cash Flow'!AK$3)</f>
        <v>0</v>
      </c>
      <c r="AM29" s="77">
        <f>SUMIFS('Wells Fargo'!$F:$F,'Wells Fargo'!$G:$G,'Cash Flow'!$A29,'Wells Fargo'!$A:$A,AM$1,'Wells Fargo'!$B:$B,"&lt;="&amp;'Cash Flow'!AM$3,'Wells Fargo'!$B:$B,"&gt;"&amp;'Cash Flow'!AL$3)</f>
        <v>0</v>
      </c>
      <c r="AN29" s="77">
        <f>SUMIFS('Wells Fargo'!$F:$F,'Wells Fargo'!$G:$G,'Cash Flow'!$A29,'Wells Fargo'!$A:$A,AN$1,'Wells Fargo'!$B:$B,"&lt;="&amp;'Cash Flow'!AN$3,'Wells Fargo'!$B:$B,"&gt;"&amp;'Cash Flow'!AM$3)</f>
        <v>0</v>
      </c>
      <c r="AO29" s="77">
        <f>SUMIFS('Wells Fargo'!$F:$F,'Wells Fargo'!$G:$G,'Cash Flow'!$A29,'Wells Fargo'!$A:$A,AO$1,'Wells Fargo'!$B:$B,"&lt;="&amp;'Cash Flow'!AO$3,'Wells Fargo'!$B:$B,"&gt;"&amp;'Cash Flow'!AN$3)</f>
        <v>0</v>
      </c>
      <c r="AP29" s="111">
        <f>SUMIFS('Wells Fargo'!$F:$F,'Wells Fargo'!$G:$G,'Cash Flow'!$A29,'Wells Fargo'!$A:$A,AP$1,'Wells Fargo'!$B:$B,"&lt;="&amp;'Cash Flow'!AP$3)</f>
        <v>0</v>
      </c>
      <c r="AQ29" s="77">
        <f>SUMIFS('Wells Fargo'!$F:$F,'Wells Fargo'!$G:$G,'Cash Flow'!$A29,'Wells Fargo'!$A:$A,AQ$1,'Wells Fargo'!$B:$B,"&lt;="&amp;'Cash Flow'!AQ$3,'Wells Fargo'!$B:$B,"&gt;"&amp;'Cash Flow'!AP$3)</f>
        <v>0</v>
      </c>
      <c r="AR29" s="77">
        <f>SUMIFS('Wells Fargo'!$F:$F,'Wells Fargo'!$G:$G,'Cash Flow'!$A29,'Wells Fargo'!$A:$A,AR$1,'Wells Fargo'!$B:$B,"&lt;="&amp;'Cash Flow'!AR$3,'Wells Fargo'!$B:$B,"&gt;"&amp;'Cash Flow'!AQ$3)</f>
        <v>0</v>
      </c>
      <c r="AS29" s="77">
        <f>SUMIFS('Wells Fargo'!$F:$F,'Wells Fargo'!$G:$G,'Cash Flow'!$A29,'Wells Fargo'!$A:$A,AS$1,'Wells Fargo'!$B:$B,"&lt;="&amp;'Cash Flow'!AS$3,'Wells Fargo'!$B:$B,"&gt;"&amp;'Cash Flow'!AR$3)</f>
        <v>0</v>
      </c>
      <c r="AT29" s="77">
        <f>SUMIFS('Wells Fargo'!$F:$F,'Wells Fargo'!$G:$G,'Cash Flow'!$A29,'Wells Fargo'!$A:$A,AT$1,'Wells Fargo'!$B:$B,"&lt;="&amp;'Cash Flow'!AT$3,'Wells Fargo'!$B:$B,"&gt;"&amp;'Cash Flow'!AS$3)</f>
        <v>0</v>
      </c>
      <c r="AU29" s="111">
        <f>SUMIFS('Wells Fargo'!$F:$F,'Wells Fargo'!$G:$G,'Cash Flow'!$A29,'Wells Fargo'!$A:$A,AU$1,'Wells Fargo'!$B:$B,"&lt;="&amp;'Cash Flow'!AU$3)</f>
        <v>0</v>
      </c>
      <c r="AV29" s="77">
        <f>SUMIFS('Wells Fargo'!$F:$F,'Wells Fargo'!$G:$G,'Cash Flow'!$A29,'Wells Fargo'!$A:$A,AV$1,'Wells Fargo'!$B:$B,"&lt;="&amp;'Cash Flow'!AV$3,'Wells Fargo'!$B:$B,"&gt;"&amp;'Cash Flow'!AU$3)</f>
        <v>0</v>
      </c>
      <c r="AW29" s="77">
        <f>SUMIFS('Wells Fargo'!$F:$F,'Wells Fargo'!$G:$G,'Cash Flow'!$A29,'Wells Fargo'!$A:$A,AW$1,'Wells Fargo'!$B:$B,"&lt;="&amp;'Cash Flow'!AW$3,'Wells Fargo'!$B:$B,"&gt;"&amp;'Cash Flow'!AV$3)</f>
        <v>0</v>
      </c>
      <c r="AX29" s="77">
        <f>SUMIFS('Wells Fargo'!$F:$F,'Wells Fargo'!$G:$G,'Cash Flow'!$A29,'Wells Fargo'!$A:$A,AX$1,'Wells Fargo'!$B:$B,"&lt;="&amp;'Cash Flow'!AX$3,'Wells Fargo'!$B:$B,"&gt;"&amp;'Cash Flow'!AW$3)</f>
        <v>0</v>
      </c>
      <c r="AY29" s="77">
        <f>SUMIFS('Wells Fargo'!$F:$F,'Wells Fargo'!$G:$G,'Cash Flow'!$A29,'Wells Fargo'!$A:$A,AY$1,'Wells Fargo'!$B:$B,"&lt;="&amp;'Cash Flow'!AY$3,'Wells Fargo'!$B:$B,"&gt;"&amp;'Cash Flow'!AX$3)</f>
        <v>0</v>
      </c>
      <c r="AZ29" s="111">
        <f>SUMIFS('Wells Fargo'!$F:$F,'Wells Fargo'!$G:$G,'Cash Flow'!$A29,'Wells Fargo'!$A:$A,AZ$1,'Wells Fargo'!$B:$B,"&lt;="&amp;'Cash Flow'!AZ$3)</f>
        <v>0</v>
      </c>
      <c r="BA29" s="77">
        <f>SUMIFS('Wells Fargo'!$F:$F,'Wells Fargo'!$G:$G,'Cash Flow'!$A29,'Wells Fargo'!$A:$A,BA$1,'Wells Fargo'!$B:$B,"&lt;="&amp;'Cash Flow'!BA$3,'Wells Fargo'!$B:$B,"&gt;"&amp;'Cash Flow'!AZ$3)</f>
        <v>0</v>
      </c>
      <c r="BB29" s="77">
        <f>SUMIFS('Wells Fargo'!$F:$F,'Wells Fargo'!$G:$G,'Cash Flow'!$A29,'Wells Fargo'!$A:$A,BB$1,'Wells Fargo'!$B:$B,"&lt;="&amp;'Cash Flow'!BB$3,'Wells Fargo'!$B:$B,"&gt;"&amp;'Cash Flow'!BA$3)</f>
        <v>0</v>
      </c>
      <c r="BC29" s="77">
        <f>SUMIFS('Wells Fargo'!$F:$F,'Wells Fargo'!$G:$G,'Cash Flow'!$A29,'Wells Fargo'!$A:$A,BC$1,'Wells Fargo'!$B:$B,"&lt;="&amp;'Cash Flow'!BC$3,'Wells Fargo'!$B:$B,"&gt;"&amp;'Cash Flow'!BB$3)</f>
        <v>0</v>
      </c>
      <c r="BD29" s="77">
        <f>SUMIFS('Wells Fargo'!$F:$F,'Wells Fargo'!$G:$G,'Cash Flow'!$A29,'Wells Fargo'!$A:$A,BD$1,'Wells Fargo'!$B:$B,"&lt;="&amp;'Cash Flow'!BD$3,'Wells Fargo'!$B:$B,"&gt;"&amp;'Cash Flow'!BC$3)</f>
        <v>0</v>
      </c>
      <c r="BE29" s="111">
        <f>SUMIFS('Wells Fargo'!$F:$F,'Wells Fargo'!$G:$G,'Cash Flow'!$A29,'Wells Fargo'!$A:$A,BE$1,'Wells Fargo'!$B:$B,"&lt;="&amp;'Cash Flow'!BE$3)</f>
        <v>0</v>
      </c>
      <c r="BF29" s="77">
        <f>SUMIFS('Wells Fargo'!$F:$F,'Wells Fargo'!$G:$G,'Cash Flow'!$A29,'Wells Fargo'!$A:$A,BF$1,'Wells Fargo'!$B:$B,"&lt;="&amp;'Cash Flow'!BF$3,'Wells Fargo'!$B:$B,"&gt;"&amp;'Cash Flow'!BE$3)</f>
        <v>0</v>
      </c>
      <c r="BG29" s="77">
        <f>SUMIFS('Wells Fargo'!$F:$F,'Wells Fargo'!$G:$G,'Cash Flow'!$A29,'Wells Fargo'!$A:$A,BG$1,'Wells Fargo'!$B:$B,"&lt;="&amp;'Cash Flow'!BG$3,'Wells Fargo'!$B:$B,"&gt;"&amp;'Cash Flow'!BF$3)</f>
        <v>0</v>
      </c>
      <c r="BH29" s="77">
        <f>SUMIFS('Wells Fargo'!$F:$F,'Wells Fargo'!$G:$G,'Cash Flow'!$A29,'Wells Fargo'!$A:$A,BH$1,'Wells Fargo'!$B:$B,"&lt;="&amp;'Cash Flow'!BH$3,'Wells Fargo'!$B:$B,"&gt;"&amp;'Cash Flow'!BG$3)</f>
        <v>0</v>
      </c>
      <c r="BI29" s="77">
        <f>SUMIFS('Wells Fargo'!$F:$F,'Wells Fargo'!$G:$G,'Cash Flow'!$A29,'Wells Fargo'!$A:$A,BI$1,'Wells Fargo'!$B:$B,"&lt;="&amp;'Cash Flow'!BI$3,'Wells Fargo'!$B:$B,"&gt;"&amp;'Cash Flow'!BH$3)</f>
        <v>0</v>
      </c>
    </row>
    <row r="30" spans="1:61" ht="14.5" x14ac:dyDescent="0.5">
      <c r="A30" t="str">
        <v>New Manchester - Fee</v>
      </c>
      <c r="B30" s="90">
        <f t="shared" si="0"/>
        <v>-200</v>
      </c>
      <c r="C30" s="111">
        <f>SUMIFS('Wells Fargo'!$F:$F,'Wells Fargo'!$G:$G,'Cash Flow'!$A30,'Wells Fargo'!$A:$A,C$1,'Wells Fargo'!$B:$B,"&lt;="&amp;'Cash Flow'!C$3)</f>
        <v>0</v>
      </c>
      <c r="D30" s="77">
        <f>SUMIFS('Wells Fargo'!$F:$F,'Wells Fargo'!$G:$G,'Cash Flow'!$A30,'Wells Fargo'!$A:$A,D$1,'Wells Fargo'!$B:$B,"&lt;="&amp;'Cash Flow'!D$3,'Wells Fargo'!$B:$B,"&gt;"&amp;'Cash Flow'!C$3)</f>
        <v>0</v>
      </c>
      <c r="E30" s="77">
        <f>SUMIFS('Wells Fargo'!$F:$F,'Wells Fargo'!$G:$G,'Cash Flow'!$A30,'Wells Fargo'!$A:$A,E$1,'Wells Fargo'!$B:$B,"&lt;="&amp;'Cash Flow'!E$3,'Wells Fargo'!$B:$B,"&gt;"&amp;'Cash Flow'!D$3)</f>
        <v>0</v>
      </c>
      <c r="F30" s="77">
        <f>SUMIFS('Wells Fargo'!$F:$F,'Wells Fargo'!$G:$G,'Cash Flow'!$A30,'Wells Fargo'!$A:$A,F$1,'Wells Fargo'!$B:$B,"&lt;="&amp;'Cash Flow'!F$3,'Wells Fargo'!$B:$B,"&gt;"&amp;'Cash Flow'!E$3)</f>
        <v>0</v>
      </c>
      <c r="G30" s="77">
        <f>SUMIFS('Wells Fargo'!$F:$F,'Wells Fargo'!$G:$G,'Cash Flow'!$A30,'Wells Fargo'!$A:$A,G$1,'Wells Fargo'!$B:$B,"&lt;="&amp;'Cash Flow'!G$3,'Wells Fargo'!$B:$B,"&gt;"&amp;'Cash Flow'!F$3)</f>
        <v>0</v>
      </c>
      <c r="H30" s="111">
        <f>SUMIFS('Wells Fargo'!$F:$F,'Wells Fargo'!$G:$G,'Cash Flow'!$A30,'Wells Fargo'!$A:$A,H$1,'Wells Fargo'!$B:$B,"&lt;="&amp;'Cash Flow'!H$3)</f>
        <v>0</v>
      </c>
      <c r="I30" s="77">
        <f>SUMIFS('Wells Fargo'!$F:$F,'Wells Fargo'!$G:$G,'Cash Flow'!$A30,'Wells Fargo'!$A:$A,I$1,'Wells Fargo'!$B:$B,"&lt;="&amp;'Cash Flow'!I$3,'Wells Fargo'!$B:$B,"&gt;"&amp;'Cash Flow'!H$3)</f>
        <v>0</v>
      </c>
      <c r="J30" s="77">
        <f>SUMIFS('Wells Fargo'!$F:$F,'Wells Fargo'!$G:$G,'Cash Flow'!$A30,'Wells Fargo'!$A:$A,J$1,'Wells Fargo'!$B:$B,"&lt;="&amp;'Cash Flow'!J$3,'Wells Fargo'!$B:$B,"&gt;"&amp;'Cash Flow'!I$3)</f>
        <v>0</v>
      </c>
      <c r="K30" s="77">
        <f>SUMIFS('Wells Fargo'!$F:$F,'Wells Fargo'!$G:$G,'Cash Flow'!$A30,'Wells Fargo'!$A:$A,K$1,'Wells Fargo'!$B:$B,"&lt;="&amp;'Cash Flow'!K$3,'Wells Fargo'!$B:$B,"&gt;"&amp;'Cash Flow'!J$3)</f>
        <v>0</v>
      </c>
      <c r="L30" s="111">
        <f>SUMIFS('Wells Fargo'!$F:$F,'Wells Fargo'!$G:$G,'Cash Flow'!$A30,'Wells Fargo'!$A:$A,L$1,'Wells Fargo'!$B:$B,"&lt;="&amp;'Cash Flow'!L$3)</f>
        <v>0</v>
      </c>
      <c r="M30" s="77">
        <f>SUMIFS('Wells Fargo'!$F:$F,'Wells Fargo'!$G:$G,'Cash Flow'!$A30,'Wells Fargo'!$A:$A,M$1,'Wells Fargo'!$B:$B,"&lt;="&amp;'Cash Flow'!M$3,'Wells Fargo'!$B:$B,"&gt;"&amp;'Cash Flow'!L$3)</f>
        <v>0</v>
      </c>
      <c r="N30" s="77">
        <f>SUMIFS('Wells Fargo'!$F:$F,'Wells Fargo'!$G:$G,'Cash Flow'!$A30,'Wells Fargo'!$A:$A,N$1,'Wells Fargo'!$B:$B,"&lt;="&amp;'Cash Flow'!N$3,'Wells Fargo'!$B:$B,"&gt;"&amp;'Cash Flow'!M$3)</f>
        <v>0</v>
      </c>
      <c r="O30" s="77">
        <f>SUMIFS('Wells Fargo'!$F:$F,'Wells Fargo'!$G:$G,'Cash Flow'!$A30,'Wells Fargo'!$A:$A,O$1,'Wells Fargo'!$B:$B,"&lt;="&amp;'Cash Flow'!O$3,'Wells Fargo'!$B:$B,"&gt;"&amp;'Cash Flow'!N$3)</f>
        <v>0</v>
      </c>
      <c r="P30" s="77">
        <f>SUMIFS('Wells Fargo'!$F:$F,'Wells Fargo'!$G:$G,'Cash Flow'!$A30,'Wells Fargo'!$A:$A,P$1,'Wells Fargo'!$B:$B,"&lt;="&amp;'Cash Flow'!P$3,'Wells Fargo'!$B:$B,"&gt;"&amp;'Cash Flow'!O$3)</f>
        <v>0</v>
      </c>
      <c r="Q30" s="111">
        <f>SUMIFS('Wells Fargo'!$F:$F,'Wells Fargo'!$G:$G,'Cash Flow'!$A30,'Wells Fargo'!$A:$A,Q$1,'Wells Fargo'!$B:$B,"&lt;="&amp;'Cash Flow'!Q$3)</f>
        <v>0</v>
      </c>
      <c r="R30" s="77">
        <f>SUMIFS('Wells Fargo'!$F:$F,'Wells Fargo'!$G:$G,'Cash Flow'!$A30,'Wells Fargo'!$A:$A,R$1,'Wells Fargo'!$B:$B,"&lt;="&amp;'Cash Flow'!R$3,'Wells Fargo'!$B:$B,"&gt;"&amp;'Cash Flow'!Q$3)</f>
        <v>0</v>
      </c>
      <c r="S30" s="77">
        <f>SUMIFS('Wells Fargo'!$F:$F,'Wells Fargo'!$G:$G,'Cash Flow'!$A30,'Wells Fargo'!$A:$A,S$1,'Wells Fargo'!$B:$B,"&lt;="&amp;'Cash Flow'!S$3,'Wells Fargo'!$B:$B,"&gt;"&amp;'Cash Flow'!R$3)</f>
        <v>0</v>
      </c>
      <c r="T30" s="77">
        <f>SUMIFS('Wells Fargo'!$F:$F,'Wells Fargo'!$G:$G,'Cash Flow'!$A30,'Wells Fargo'!$A:$A,T$1,'Wells Fargo'!$B:$B,"&lt;="&amp;'Cash Flow'!T$3,'Wells Fargo'!$B:$B,"&gt;"&amp;'Cash Flow'!S$3)</f>
        <v>0</v>
      </c>
      <c r="U30" s="77">
        <f>SUMIFS('Wells Fargo'!$F:$F,'Wells Fargo'!$G:$G,'Cash Flow'!$A30,'Wells Fargo'!$A:$A,U$1,'Wells Fargo'!$B:$B,"&lt;="&amp;'Cash Flow'!U$3,'Wells Fargo'!$B:$B,"&gt;"&amp;'Cash Flow'!T$3)</f>
        <v>0</v>
      </c>
      <c r="V30" s="111">
        <f>SUMIFS('Wells Fargo'!$F:$F,'Wells Fargo'!$G:$G,'Cash Flow'!$A30,'Wells Fargo'!$A:$A,V$1,'Wells Fargo'!$B:$B,"&lt;="&amp;'Cash Flow'!V$3)</f>
        <v>-200</v>
      </c>
      <c r="W30" s="77">
        <f>SUMIFS('Wells Fargo'!$F:$F,'Wells Fargo'!$G:$G,'Cash Flow'!$A30,'Wells Fargo'!$A:$A,W$1,'Wells Fargo'!$B:$B,"&lt;="&amp;'Cash Flow'!W$3,'Wells Fargo'!$B:$B,"&gt;"&amp;'Cash Flow'!V$3)</f>
        <v>0</v>
      </c>
      <c r="X30" s="77">
        <f>SUMIFS('Wells Fargo'!$F:$F,'Wells Fargo'!$G:$G,'Cash Flow'!$A30,'Wells Fargo'!$A:$A,X$1,'Wells Fargo'!$B:$B,"&lt;="&amp;'Cash Flow'!X$3,'Wells Fargo'!$B:$B,"&gt;"&amp;'Cash Flow'!W$3)</f>
        <v>0</v>
      </c>
      <c r="Y30" s="77">
        <f>SUMIFS('Wells Fargo'!$F:$F,'Wells Fargo'!$G:$G,'Cash Flow'!$A30,'Wells Fargo'!$A:$A,Y$1,'Wells Fargo'!$B:$B,"&lt;="&amp;'Cash Flow'!Y$3,'Wells Fargo'!$B:$B,"&gt;"&amp;'Cash Flow'!X$3)</f>
        <v>0</v>
      </c>
      <c r="Z30" s="77">
        <f>SUMIFS('Wells Fargo'!$F:$F,'Wells Fargo'!$G:$G,'Cash Flow'!$A30,'Wells Fargo'!$A:$A,Z$1,'Wells Fargo'!$B:$B,"&lt;="&amp;'Cash Flow'!Z$3,'Wells Fargo'!$B:$B,"&gt;"&amp;'Cash Flow'!Y$3)</f>
        <v>0</v>
      </c>
      <c r="AA30" s="111">
        <f>SUMIFS('Wells Fargo'!$F:$F,'Wells Fargo'!$G:$G,'Cash Flow'!$A30,'Wells Fargo'!$A:$A,AA$1,'Wells Fargo'!$B:$B,"&lt;="&amp;'Cash Flow'!AA$3)</f>
        <v>0</v>
      </c>
      <c r="AB30" s="77">
        <f>SUMIFS('Wells Fargo'!$F:$F,'Wells Fargo'!$G:$G,'Cash Flow'!$A30,'Wells Fargo'!$A:$A,AB$1,'Wells Fargo'!$B:$B,"&lt;="&amp;'Cash Flow'!AB$3,'Wells Fargo'!$B:$B,"&gt;"&amp;'Cash Flow'!AA$3)</f>
        <v>0</v>
      </c>
      <c r="AC30" s="77">
        <f>SUMIFS('Wells Fargo'!$F:$F,'Wells Fargo'!$G:$G,'Cash Flow'!$A30,'Wells Fargo'!$A:$A,AC$1,'Wells Fargo'!$B:$B,"&lt;="&amp;'Cash Flow'!AC$3,'Wells Fargo'!$B:$B,"&gt;"&amp;'Cash Flow'!AB$3)</f>
        <v>0</v>
      </c>
      <c r="AD30" s="77">
        <f>SUMIFS('Wells Fargo'!$F:$F,'Wells Fargo'!$G:$G,'Cash Flow'!$A30,'Wells Fargo'!$A:$A,AD$1,'Wells Fargo'!$B:$B,"&lt;="&amp;'Cash Flow'!AD$3,'Wells Fargo'!$B:$B,"&gt;"&amp;'Cash Flow'!AC$3)</f>
        <v>0</v>
      </c>
      <c r="AE30" s="77">
        <f>SUMIFS('Wells Fargo'!$F:$F,'Wells Fargo'!$G:$G,'Cash Flow'!$A30,'Wells Fargo'!$A:$A,AE$1,'Wells Fargo'!$B:$B,"&lt;="&amp;'Cash Flow'!AE$3,'Wells Fargo'!$B:$B,"&gt;"&amp;'Cash Flow'!AD$3)</f>
        <v>0</v>
      </c>
      <c r="AF30" s="111">
        <f>SUMIFS('Wells Fargo'!$F:$F,'Wells Fargo'!$G:$G,'Cash Flow'!$A30,'Wells Fargo'!$A:$A,AF$1,'Wells Fargo'!$B:$B,"&lt;="&amp;'Cash Flow'!AF$3)</f>
        <v>0</v>
      </c>
      <c r="AG30" s="77">
        <f>SUMIFS('Wells Fargo'!$F:$F,'Wells Fargo'!$G:$G,'Cash Flow'!$A30,'Wells Fargo'!$A:$A,AG$1,'Wells Fargo'!$B:$B,"&lt;="&amp;'Cash Flow'!AG$3,'Wells Fargo'!$B:$B,"&gt;"&amp;'Cash Flow'!AF$3)</f>
        <v>0</v>
      </c>
      <c r="AH30" s="77">
        <f>SUMIFS('Wells Fargo'!$F:$F,'Wells Fargo'!$G:$G,'Cash Flow'!$A30,'Wells Fargo'!$A:$A,AH$1,'Wells Fargo'!$B:$B,"&lt;="&amp;'Cash Flow'!AH$3,'Wells Fargo'!$B:$B,"&gt;"&amp;'Cash Flow'!AG$3)</f>
        <v>0</v>
      </c>
      <c r="AI30" s="77">
        <f>SUMIFS('Wells Fargo'!$F:$F,'Wells Fargo'!$G:$G,'Cash Flow'!$A30,'Wells Fargo'!$A:$A,AI$1,'Wells Fargo'!$B:$B,"&lt;="&amp;'Cash Flow'!AI$3,'Wells Fargo'!$B:$B,"&gt;"&amp;'Cash Flow'!AH$3)</f>
        <v>0</v>
      </c>
      <c r="AJ30" s="77">
        <f>SUMIFS('Wells Fargo'!$F:$F,'Wells Fargo'!$G:$G,'Cash Flow'!$A30,'Wells Fargo'!$A:$A,AJ$1,'Wells Fargo'!$B:$B,"&lt;="&amp;'Cash Flow'!AJ$3,'Wells Fargo'!$B:$B,"&gt;"&amp;'Cash Flow'!AI$3)</f>
        <v>0</v>
      </c>
      <c r="AK30" s="111">
        <f>SUMIFS('Wells Fargo'!$F:$F,'Wells Fargo'!$G:$G,'Cash Flow'!$A30,'Wells Fargo'!$A:$A,AK$1,'Wells Fargo'!$B:$B,"&lt;="&amp;'Cash Flow'!AK$3)</f>
        <v>0</v>
      </c>
      <c r="AL30" s="77">
        <f>SUMIFS('Wells Fargo'!$F:$F,'Wells Fargo'!$G:$G,'Cash Flow'!$A30,'Wells Fargo'!$A:$A,AL$1,'Wells Fargo'!$B:$B,"&lt;="&amp;'Cash Flow'!AL$3,'Wells Fargo'!$B:$B,"&gt;"&amp;'Cash Flow'!AK$3)</f>
        <v>0</v>
      </c>
      <c r="AM30" s="77">
        <f>SUMIFS('Wells Fargo'!$F:$F,'Wells Fargo'!$G:$G,'Cash Flow'!$A30,'Wells Fargo'!$A:$A,AM$1,'Wells Fargo'!$B:$B,"&lt;="&amp;'Cash Flow'!AM$3,'Wells Fargo'!$B:$B,"&gt;"&amp;'Cash Flow'!AL$3)</f>
        <v>0</v>
      </c>
      <c r="AN30" s="77">
        <f>SUMIFS('Wells Fargo'!$F:$F,'Wells Fargo'!$G:$G,'Cash Flow'!$A30,'Wells Fargo'!$A:$A,AN$1,'Wells Fargo'!$B:$B,"&lt;="&amp;'Cash Flow'!AN$3,'Wells Fargo'!$B:$B,"&gt;"&amp;'Cash Flow'!AM$3)</f>
        <v>0</v>
      </c>
      <c r="AO30" s="77">
        <f>SUMIFS('Wells Fargo'!$F:$F,'Wells Fargo'!$G:$G,'Cash Flow'!$A30,'Wells Fargo'!$A:$A,AO$1,'Wells Fargo'!$B:$B,"&lt;="&amp;'Cash Flow'!AO$3,'Wells Fargo'!$B:$B,"&gt;"&amp;'Cash Flow'!AN$3)</f>
        <v>0</v>
      </c>
      <c r="AP30" s="111">
        <f>SUMIFS('Wells Fargo'!$F:$F,'Wells Fargo'!$G:$G,'Cash Flow'!$A30,'Wells Fargo'!$A:$A,AP$1,'Wells Fargo'!$B:$B,"&lt;="&amp;'Cash Flow'!AP$3)</f>
        <v>0</v>
      </c>
      <c r="AQ30" s="77">
        <f>SUMIFS('Wells Fargo'!$F:$F,'Wells Fargo'!$G:$G,'Cash Flow'!$A30,'Wells Fargo'!$A:$A,AQ$1,'Wells Fargo'!$B:$B,"&lt;="&amp;'Cash Flow'!AQ$3,'Wells Fargo'!$B:$B,"&gt;"&amp;'Cash Flow'!AP$3)</f>
        <v>0</v>
      </c>
      <c r="AR30" s="77">
        <f>SUMIFS('Wells Fargo'!$F:$F,'Wells Fargo'!$G:$G,'Cash Flow'!$A30,'Wells Fargo'!$A:$A,AR$1,'Wells Fargo'!$B:$B,"&lt;="&amp;'Cash Flow'!AR$3,'Wells Fargo'!$B:$B,"&gt;"&amp;'Cash Flow'!AQ$3)</f>
        <v>0</v>
      </c>
      <c r="AS30" s="77">
        <f>SUMIFS('Wells Fargo'!$F:$F,'Wells Fargo'!$G:$G,'Cash Flow'!$A30,'Wells Fargo'!$A:$A,AS$1,'Wells Fargo'!$B:$B,"&lt;="&amp;'Cash Flow'!AS$3,'Wells Fargo'!$B:$B,"&gt;"&amp;'Cash Flow'!AR$3)</f>
        <v>0</v>
      </c>
      <c r="AT30" s="77">
        <f>SUMIFS('Wells Fargo'!$F:$F,'Wells Fargo'!$G:$G,'Cash Flow'!$A30,'Wells Fargo'!$A:$A,AT$1,'Wells Fargo'!$B:$B,"&lt;="&amp;'Cash Flow'!AT$3,'Wells Fargo'!$B:$B,"&gt;"&amp;'Cash Flow'!AS$3)</f>
        <v>0</v>
      </c>
      <c r="AU30" s="111">
        <f>SUMIFS('Wells Fargo'!$F:$F,'Wells Fargo'!$G:$G,'Cash Flow'!$A30,'Wells Fargo'!$A:$A,AU$1,'Wells Fargo'!$B:$B,"&lt;="&amp;'Cash Flow'!AU$3)</f>
        <v>0</v>
      </c>
      <c r="AV30" s="77">
        <f>SUMIFS('Wells Fargo'!$F:$F,'Wells Fargo'!$G:$G,'Cash Flow'!$A30,'Wells Fargo'!$A:$A,AV$1,'Wells Fargo'!$B:$B,"&lt;="&amp;'Cash Flow'!AV$3,'Wells Fargo'!$B:$B,"&gt;"&amp;'Cash Flow'!AU$3)</f>
        <v>0</v>
      </c>
      <c r="AW30" s="77">
        <f>SUMIFS('Wells Fargo'!$F:$F,'Wells Fargo'!$G:$G,'Cash Flow'!$A30,'Wells Fargo'!$A:$A,AW$1,'Wells Fargo'!$B:$B,"&lt;="&amp;'Cash Flow'!AW$3,'Wells Fargo'!$B:$B,"&gt;"&amp;'Cash Flow'!AV$3)</f>
        <v>0</v>
      </c>
      <c r="AX30" s="77">
        <f>SUMIFS('Wells Fargo'!$F:$F,'Wells Fargo'!$G:$G,'Cash Flow'!$A30,'Wells Fargo'!$A:$A,AX$1,'Wells Fargo'!$B:$B,"&lt;="&amp;'Cash Flow'!AX$3,'Wells Fargo'!$B:$B,"&gt;"&amp;'Cash Flow'!AW$3)</f>
        <v>0</v>
      </c>
      <c r="AY30" s="77">
        <f>SUMIFS('Wells Fargo'!$F:$F,'Wells Fargo'!$G:$G,'Cash Flow'!$A30,'Wells Fargo'!$A:$A,AY$1,'Wells Fargo'!$B:$B,"&lt;="&amp;'Cash Flow'!AY$3,'Wells Fargo'!$B:$B,"&gt;"&amp;'Cash Flow'!AX$3)</f>
        <v>0</v>
      </c>
      <c r="AZ30" s="111">
        <f>SUMIFS('Wells Fargo'!$F:$F,'Wells Fargo'!$G:$G,'Cash Flow'!$A30,'Wells Fargo'!$A:$A,AZ$1,'Wells Fargo'!$B:$B,"&lt;="&amp;'Cash Flow'!AZ$3)</f>
        <v>0</v>
      </c>
      <c r="BA30" s="77">
        <f>SUMIFS('Wells Fargo'!$F:$F,'Wells Fargo'!$G:$G,'Cash Flow'!$A30,'Wells Fargo'!$A:$A,BA$1,'Wells Fargo'!$B:$B,"&lt;="&amp;'Cash Flow'!BA$3,'Wells Fargo'!$B:$B,"&gt;"&amp;'Cash Flow'!AZ$3)</f>
        <v>0</v>
      </c>
      <c r="BB30" s="77">
        <f>SUMIFS('Wells Fargo'!$F:$F,'Wells Fargo'!$G:$G,'Cash Flow'!$A30,'Wells Fargo'!$A:$A,BB$1,'Wells Fargo'!$B:$B,"&lt;="&amp;'Cash Flow'!BB$3,'Wells Fargo'!$B:$B,"&gt;"&amp;'Cash Flow'!BA$3)</f>
        <v>0</v>
      </c>
      <c r="BC30" s="77">
        <f>SUMIFS('Wells Fargo'!$F:$F,'Wells Fargo'!$G:$G,'Cash Flow'!$A30,'Wells Fargo'!$A:$A,BC$1,'Wells Fargo'!$B:$B,"&lt;="&amp;'Cash Flow'!BC$3,'Wells Fargo'!$B:$B,"&gt;"&amp;'Cash Flow'!BB$3)</f>
        <v>0</v>
      </c>
      <c r="BD30" s="77">
        <f>SUMIFS('Wells Fargo'!$F:$F,'Wells Fargo'!$G:$G,'Cash Flow'!$A30,'Wells Fargo'!$A:$A,BD$1,'Wells Fargo'!$B:$B,"&lt;="&amp;'Cash Flow'!BD$3,'Wells Fargo'!$B:$B,"&gt;"&amp;'Cash Flow'!BC$3)</f>
        <v>0</v>
      </c>
      <c r="BE30" s="111">
        <f>SUMIFS('Wells Fargo'!$F:$F,'Wells Fargo'!$G:$G,'Cash Flow'!$A30,'Wells Fargo'!$A:$A,BE$1,'Wells Fargo'!$B:$B,"&lt;="&amp;'Cash Flow'!BE$3)</f>
        <v>0</v>
      </c>
      <c r="BF30" s="77">
        <f>SUMIFS('Wells Fargo'!$F:$F,'Wells Fargo'!$G:$G,'Cash Flow'!$A30,'Wells Fargo'!$A:$A,BF$1,'Wells Fargo'!$B:$B,"&lt;="&amp;'Cash Flow'!BF$3,'Wells Fargo'!$B:$B,"&gt;"&amp;'Cash Flow'!BE$3)</f>
        <v>0</v>
      </c>
      <c r="BG30" s="77">
        <f>SUMIFS('Wells Fargo'!$F:$F,'Wells Fargo'!$G:$G,'Cash Flow'!$A30,'Wells Fargo'!$A:$A,BG$1,'Wells Fargo'!$B:$B,"&lt;="&amp;'Cash Flow'!BG$3,'Wells Fargo'!$B:$B,"&gt;"&amp;'Cash Flow'!BF$3)</f>
        <v>0</v>
      </c>
      <c r="BH30" s="77">
        <f>SUMIFS('Wells Fargo'!$F:$F,'Wells Fargo'!$G:$G,'Cash Flow'!$A30,'Wells Fargo'!$A:$A,BH$1,'Wells Fargo'!$B:$B,"&lt;="&amp;'Cash Flow'!BH$3,'Wells Fargo'!$B:$B,"&gt;"&amp;'Cash Flow'!BG$3)</f>
        <v>0</v>
      </c>
      <c r="BI30" s="77">
        <f>SUMIFS('Wells Fargo'!$F:$F,'Wells Fargo'!$G:$G,'Cash Flow'!$A30,'Wells Fargo'!$A:$A,BI$1,'Wells Fargo'!$B:$B,"&lt;="&amp;'Cash Flow'!BI$3,'Wells Fargo'!$B:$B,"&gt;"&amp;'Cash Flow'!BH$3)</f>
        <v>0</v>
      </c>
    </row>
    <row r="31" spans="1:61" ht="14.5" x14ac:dyDescent="0.5">
      <c r="A31" t="str">
        <v>New Manchester - Rent</v>
      </c>
      <c r="B31" s="90">
        <f t="shared" si="0"/>
        <v>-3846</v>
      </c>
      <c r="C31" s="111">
        <f>SUMIFS('Wells Fargo'!$F:$F,'Wells Fargo'!$G:$G,'Cash Flow'!$A31,'Wells Fargo'!$A:$A,C$1,'Wells Fargo'!$B:$B,"&lt;="&amp;'Cash Flow'!C$3)</f>
        <v>0</v>
      </c>
      <c r="D31" s="77">
        <f>SUMIFS('Wells Fargo'!$F:$F,'Wells Fargo'!$G:$G,'Cash Flow'!$A31,'Wells Fargo'!$A:$A,D$1,'Wells Fargo'!$B:$B,"&lt;="&amp;'Cash Flow'!D$3,'Wells Fargo'!$B:$B,"&gt;"&amp;'Cash Flow'!C$3)</f>
        <v>0</v>
      </c>
      <c r="E31" s="77">
        <f>SUMIFS('Wells Fargo'!$F:$F,'Wells Fargo'!$G:$G,'Cash Flow'!$A31,'Wells Fargo'!$A:$A,E$1,'Wells Fargo'!$B:$B,"&lt;="&amp;'Cash Flow'!E$3,'Wells Fargo'!$B:$B,"&gt;"&amp;'Cash Flow'!D$3)</f>
        <v>0</v>
      </c>
      <c r="F31" s="77">
        <f>SUMIFS('Wells Fargo'!$F:$F,'Wells Fargo'!$G:$G,'Cash Flow'!$A31,'Wells Fargo'!$A:$A,F$1,'Wells Fargo'!$B:$B,"&lt;="&amp;'Cash Flow'!F$3,'Wells Fargo'!$B:$B,"&gt;"&amp;'Cash Flow'!E$3)</f>
        <v>0</v>
      </c>
      <c r="G31" s="77">
        <f>SUMIFS('Wells Fargo'!$F:$F,'Wells Fargo'!$G:$G,'Cash Flow'!$A31,'Wells Fargo'!$A:$A,G$1,'Wells Fargo'!$B:$B,"&lt;="&amp;'Cash Flow'!G$3,'Wells Fargo'!$B:$B,"&gt;"&amp;'Cash Flow'!F$3)</f>
        <v>0</v>
      </c>
      <c r="H31" s="111">
        <f>SUMIFS('Wells Fargo'!$F:$F,'Wells Fargo'!$G:$G,'Cash Flow'!$A31,'Wells Fargo'!$A:$A,H$1,'Wells Fargo'!$B:$B,"&lt;="&amp;'Cash Flow'!H$3)</f>
        <v>0</v>
      </c>
      <c r="I31" s="77">
        <f>SUMIFS('Wells Fargo'!$F:$F,'Wells Fargo'!$G:$G,'Cash Flow'!$A31,'Wells Fargo'!$A:$A,I$1,'Wells Fargo'!$B:$B,"&lt;="&amp;'Cash Flow'!I$3,'Wells Fargo'!$B:$B,"&gt;"&amp;'Cash Flow'!H$3)</f>
        <v>0</v>
      </c>
      <c r="J31" s="77">
        <f>SUMIFS('Wells Fargo'!$F:$F,'Wells Fargo'!$G:$G,'Cash Flow'!$A31,'Wells Fargo'!$A:$A,J$1,'Wells Fargo'!$B:$B,"&lt;="&amp;'Cash Flow'!J$3,'Wells Fargo'!$B:$B,"&gt;"&amp;'Cash Flow'!I$3)</f>
        <v>0</v>
      </c>
      <c r="K31" s="77">
        <f>SUMIFS('Wells Fargo'!$F:$F,'Wells Fargo'!$G:$G,'Cash Flow'!$A31,'Wells Fargo'!$A:$A,K$1,'Wells Fargo'!$B:$B,"&lt;="&amp;'Cash Flow'!K$3,'Wells Fargo'!$B:$B,"&gt;"&amp;'Cash Flow'!J$3)</f>
        <v>0</v>
      </c>
      <c r="L31" s="111">
        <f>SUMIFS('Wells Fargo'!$F:$F,'Wells Fargo'!$G:$G,'Cash Flow'!$A31,'Wells Fargo'!$A:$A,L$1,'Wells Fargo'!$B:$B,"&lt;="&amp;'Cash Flow'!L$3)</f>
        <v>0</v>
      </c>
      <c r="M31" s="77">
        <f>SUMIFS('Wells Fargo'!$F:$F,'Wells Fargo'!$G:$G,'Cash Flow'!$A31,'Wells Fargo'!$A:$A,M$1,'Wells Fargo'!$B:$B,"&lt;="&amp;'Cash Flow'!M$3,'Wells Fargo'!$B:$B,"&gt;"&amp;'Cash Flow'!L$3)</f>
        <v>0</v>
      </c>
      <c r="N31" s="77">
        <f>SUMIFS('Wells Fargo'!$F:$F,'Wells Fargo'!$G:$G,'Cash Flow'!$A31,'Wells Fargo'!$A:$A,N$1,'Wells Fargo'!$B:$B,"&lt;="&amp;'Cash Flow'!N$3,'Wells Fargo'!$B:$B,"&gt;"&amp;'Cash Flow'!M$3)</f>
        <v>0</v>
      </c>
      <c r="O31" s="77">
        <f>SUMIFS('Wells Fargo'!$F:$F,'Wells Fargo'!$G:$G,'Cash Flow'!$A31,'Wells Fargo'!$A:$A,O$1,'Wells Fargo'!$B:$B,"&lt;="&amp;'Cash Flow'!O$3,'Wells Fargo'!$B:$B,"&gt;"&amp;'Cash Flow'!N$3)</f>
        <v>0</v>
      </c>
      <c r="P31" s="77">
        <f>SUMIFS('Wells Fargo'!$F:$F,'Wells Fargo'!$G:$G,'Cash Flow'!$A31,'Wells Fargo'!$A:$A,P$1,'Wells Fargo'!$B:$B,"&lt;="&amp;'Cash Flow'!P$3,'Wells Fargo'!$B:$B,"&gt;"&amp;'Cash Flow'!O$3)</f>
        <v>0</v>
      </c>
      <c r="Q31" s="111">
        <f>SUMIFS('Wells Fargo'!$F:$F,'Wells Fargo'!$G:$G,'Cash Flow'!$A31,'Wells Fargo'!$A:$A,Q$1,'Wells Fargo'!$B:$B,"&lt;="&amp;'Cash Flow'!Q$3)</f>
        <v>0</v>
      </c>
      <c r="R31" s="77">
        <f>SUMIFS('Wells Fargo'!$F:$F,'Wells Fargo'!$G:$G,'Cash Flow'!$A31,'Wells Fargo'!$A:$A,R$1,'Wells Fargo'!$B:$B,"&lt;="&amp;'Cash Flow'!R$3,'Wells Fargo'!$B:$B,"&gt;"&amp;'Cash Flow'!Q$3)</f>
        <v>0</v>
      </c>
      <c r="S31" s="77">
        <f>SUMIFS('Wells Fargo'!$F:$F,'Wells Fargo'!$G:$G,'Cash Flow'!$A31,'Wells Fargo'!$A:$A,S$1,'Wells Fargo'!$B:$B,"&lt;="&amp;'Cash Flow'!S$3,'Wells Fargo'!$B:$B,"&gt;"&amp;'Cash Flow'!R$3)</f>
        <v>0</v>
      </c>
      <c r="T31" s="77">
        <f>SUMIFS('Wells Fargo'!$F:$F,'Wells Fargo'!$G:$G,'Cash Flow'!$A31,'Wells Fargo'!$A:$A,T$1,'Wells Fargo'!$B:$B,"&lt;="&amp;'Cash Flow'!T$3,'Wells Fargo'!$B:$B,"&gt;"&amp;'Cash Flow'!S$3)</f>
        <v>0</v>
      </c>
      <c r="U31" s="77">
        <f>SUMIFS('Wells Fargo'!$F:$F,'Wells Fargo'!$G:$G,'Cash Flow'!$A31,'Wells Fargo'!$A:$A,U$1,'Wells Fargo'!$B:$B,"&lt;="&amp;'Cash Flow'!U$3,'Wells Fargo'!$B:$B,"&gt;"&amp;'Cash Flow'!T$3)</f>
        <v>0</v>
      </c>
      <c r="V31" s="111">
        <f>SUMIFS('Wells Fargo'!$F:$F,'Wells Fargo'!$G:$G,'Cash Flow'!$A31,'Wells Fargo'!$A:$A,V$1,'Wells Fargo'!$B:$B,"&lt;="&amp;'Cash Flow'!V$3)</f>
        <v>0</v>
      </c>
      <c r="W31" s="77">
        <f>SUMIFS('Wells Fargo'!$F:$F,'Wells Fargo'!$G:$G,'Cash Flow'!$A31,'Wells Fargo'!$A:$A,W$1,'Wells Fargo'!$B:$B,"&lt;="&amp;'Cash Flow'!W$3,'Wells Fargo'!$B:$B,"&gt;"&amp;'Cash Flow'!V$3)</f>
        <v>0</v>
      </c>
      <c r="X31" s="77">
        <f>SUMIFS('Wells Fargo'!$F:$F,'Wells Fargo'!$G:$G,'Cash Flow'!$A31,'Wells Fargo'!$A:$A,X$1,'Wells Fargo'!$B:$B,"&lt;="&amp;'Cash Flow'!X$3,'Wells Fargo'!$B:$B,"&gt;"&amp;'Cash Flow'!W$3)</f>
        <v>0</v>
      </c>
      <c r="Y31" s="77">
        <f>SUMIFS('Wells Fargo'!$F:$F,'Wells Fargo'!$G:$G,'Cash Flow'!$A31,'Wells Fargo'!$A:$A,Y$1,'Wells Fargo'!$B:$B,"&lt;="&amp;'Cash Flow'!Y$3,'Wells Fargo'!$B:$B,"&gt;"&amp;'Cash Flow'!X$3)</f>
        <v>0</v>
      </c>
      <c r="Z31" s="77">
        <f>SUMIFS('Wells Fargo'!$F:$F,'Wells Fargo'!$G:$G,'Cash Flow'!$A31,'Wells Fargo'!$A:$A,Z$1,'Wells Fargo'!$B:$B,"&lt;="&amp;'Cash Flow'!Z$3,'Wells Fargo'!$B:$B,"&gt;"&amp;'Cash Flow'!Y$3)</f>
        <v>0</v>
      </c>
      <c r="AA31" s="111">
        <f>SUMIFS('Wells Fargo'!$F:$F,'Wells Fargo'!$G:$G,'Cash Flow'!$A31,'Wells Fargo'!$A:$A,AA$1,'Wells Fargo'!$B:$B,"&lt;="&amp;'Cash Flow'!AA$3)</f>
        <v>-2041.66</v>
      </c>
      <c r="AB31" s="77">
        <f>SUMIFS('Wells Fargo'!$F:$F,'Wells Fargo'!$G:$G,'Cash Flow'!$A31,'Wells Fargo'!$A:$A,AB$1,'Wells Fargo'!$B:$B,"&lt;="&amp;'Cash Flow'!AB$3,'Wells Fargo'!$B:$B,"&gt;"&amp;'Cash Flow'!AA$3)</f>
        <v>0</v>
      </c>
      <c r="AC31" s="77">
        <f>SUMIFS('Wells Fargo'!$F:$F,'Wells Fargo'!$G:$G,'Cash Flow'!$A31,'Wells Fargo'!$A:$A,AC$1,'Wells Fargo'!$B:$B,"&lt;="&amp;'Cash Flow'!AC$3,'Wells Fargo'!$B:$B,"&gt;"&amp;'Cash Flow'!AB$3)</f>
        <v>0</v>
      </c>
      <c r="AD31" s="77">
        <f>SUMIFS('Wells Fargo'!$F:$F,'Wells Fargo'!$G:$G,'Cash Flow'!$A31,'Wells Fargo'!$A:$A,AD$1,'Wells Fargo'!$B:$B,"&lt;="&amp;'Cash Flow'!AD$3,'Wells Fargo'!$B:$B,"&gt;"&amp;'Cash Flow'!AC$3)</f>
        <v>0</v>
      </c>
      <c r="AE31" s="77">
        <f>SUMIFS('Wells Fargo'!$F:$F,'Wells Fargo'!$G:$G,'Cash Flow'!$A31,'Wells Fargo'!$A:$A,AE$1,'Wells Fargo'!$B:$B,"&lt;="&amp;'Cash Flow'!AE$3,'Wells Fargo'!$B:$B,"&gt;"&amp;'Cash Flow'!AD$3)</f>
        <v>-1804.34</v>
      </c>
      <c r="AF31" s="111">
        <f>SUMIFS('Wells Fargo'!$F:$F,'Wells Fargo'!$G:$G,'Cash Flow'!$A31,'Wells Fargo'!$A:$A,AF$1,'Wells Fargo'!$B:$B,"&lt;="&amp;'Cash Flow'!AF$3)</f>
        <v>0</v>
      </c>
      <c r="AG31" s="77">
        <f>SUMIFS('Wells Fargo'!$F:$F,'Wells Fargo'!$G:$G,'Cash Flow'!$A31,'Wells Fargo'!$A:$A,AG$1,'Wells Fargo'!$B:$B,"&lt;="&amp;'Cash Flow'!AG$3,'Wells Fargo'!$B:$B,"&gt;"&amp;'Cash Flow'!AF$3)</f>
        <v>0</v>
      </c>
      <c r="AH31" s="77">
        <f>SUMIFS('Wells Fargo'!$F:$F,'Wells Fargo'!$G:$G,'Cash Flow'!$A31,'Wells Fargo'!$A:$A,AH$1,'Wells Fargo'!$B:$B,"&lt;="&amp;'Cash Flow'!AH$3,'Wells Fargo'!$B:$B,"&gt;"&amp;'Cash Flow'!AG$3)</f>
        <v>0</v>
      </c>
      <c r="AI31" s="77">
        <f>SUMIFS('Wells Fargo'!$F:$F,'Wells Fargo'!$G:$G,'Cash Flow'!$A31,'Wells Fargo'!$A:$A,AI$1,'Wells Fargo'!$B:$B,"&lt;="&amp;'Cash Flow'!AI$3,'Wells Fargo'!$B:$B,"&gt;"&amp;'Cash Flow'!AH$3)</f>
        <v>0</v>
      </c>
      <c r="AJ31" s="77">
        <f>SUMIFS('Wells Fargo'!$F:$F,'Wells Fargo'!$G:$G,'Cash Flow'!$A31,'Wells Fargo'!$A:$A,AJ$1,'Wells Fargo'!$B:$B,"&lt;="&amp;'Cash Flow'!AJ$3,'Wells Fargo'!$B:$B,"&gt;"&amp;'Cash Flow'!AI$3)</f>
        <v>0</v>
      </c>
      <c r="AK31" s="111">
        <f>SUMIFS('Wells Fargo'!$F:$F,'Wells Fargo'!$G:$G,'Cash Flow'!$A31,'Wells Fargo'!$A:$A,AK$1,'Wells Fargo'!$B:$B,"&lt;="&amp;'Cash Flow'!AK$3)</f>
        <v>0</v>
      </c>
      <c r="AL31" s="77">
        <f>SUMIFS('Wells Fargo'!$F:$F,'Wells Fargo'!$G:$G,'Cash Flow'!$A31,'Wells Fargo'!$A:$A,AL$1,'Wells Fargo'!$B:$B,"&lt;="&amp;'Cash Flow'!AL$3,'Wells Fargo'!$B:$B,"&gt;"&amp;'Cash Flow'!AK$3)</f>
        <v>0</v>
      </c>
      <c r="AM31" s="77">
        <f>SUMIFS('Wells Fargo'!$F:$F,'Wells Fargo'!$G:$G,'Cash Flow'!$A31,'Wells Fargo'!$A:$A,AM$1,'Wells Fargo'!$B:$B,"&lt;="&amp;'Cash Flow'!AM$3,'Wells Fargo'!$B:$B,"&gt;"&amp;'Cash Flow'!AL$3)</f>
        <v>0</v>
      </c>
      <c r="AN31" s="77">
        <f>SUMIFS('Wells Fargo'!$F:$F,'Wells Fargo'!$G:$G,'Cash Flow'!$A31,'Wells Fargo'!$A:$A,AN$1,'Wells Fargo'!$B:$B,"&lt;="&amp;'Cash Flow'!AN$3,'Wells Fargo'!$B:$B,"&gt;"&amp;'Cash Flow'!AM$3)</f>
        <v>0</v>
      </c>
      <c r="AO31" s="77">
        <f>SUMIFS('Wells Fargo'!$F:$F,'Wells Fargo'!$G:$G,'Cash Flow'!$A31,'Wells Fargo'!$A:$A,AO$1,'Wells Fargo'!$B:$B,"&lt;="&amp;'Cash Flow'!AO$3,'Wells Fargo'!$B:$B,"&gt;"&amp;'Cash Flow'!AN$3)</f>
        <v>0</v>
      </c>
      <c r="AP31" s="111">
        <f>SUMIFS('Wells Fargo'!$F:$F,'Wells Fargo'!$G:$G,'Cash Flow'!$A31,'Wells Fargo'!$A:$A,AP$1,'Wells Fargo'!$B:$B,"&lt;="&amp;'Cash Flow'!AP$3)</f>
        <v>0</v>
      </c>
      <c r="AQ31" s="77">
        <f>SUMIFS('Wells Fargo'!$F:$F,'Wells Fargo'!$G:$G,'Cash Flow'!$A31,'Wells Fargo'!$A:$A,AQ$1,'Wells Fargo'!$B:$B,"&lt;="&amp;'Cash Flow'!AQ$3,'Wells Fargo'!$B:$B,"&gt;"&amp;'Cash Flow'!AP$3)</f>
        <v>0</v>
      </c>
      <c r="AR31" s="77">
        <f>SUMIFS('Wells Fargo'!$F:$F,'Wells Fargo'!$G:$G,'Cash Flow'!$A31,'Wells Fargo'!$A:$A,AR$1,'Wells Fargo'!$B:$B,"&lt;="&amp;'Cash Flow'!AR$3,'Wells Fargo'!$B:$B,"&gt;"&amp;'Cash Flow'!AQ$3)</f>
        <v>0</v>
      </c>
      <c r="AS31" s="77">
        <f>SUMIFS('Wells Fargo'!$F:$F,'Wells Fargo'!$G:$G,'Cash Flow'!$A31,'Wells Fargo'!$A:$A,AS$1,'Wells Fargo'!$B:$B,"&lt;="&amp;'Cash Flow'!AS$3,'Wells Fargo'!$B:$B,"&gt;"&amp;'Cash Flow'!AR$3)</f>
        <v>0</v>
      </c>
      <c r="AT31" s="77">
        <f>SUMIFS('Wells Fargo'!$F:$F,'Wells Fargo'!$G:$G,'Cash Flow'!$A31,'Wells Fargo'!$A:$A,AT$1,'Wells Fargo'!$B:$B,"&lt;="&amp;'Cash Flow'!AT$3,'Wells Fargo'!$B:$B,"&gt;"&amp;'Cash Flow'!AS$3)</f>
        <v>0</v>
      </c>
      <c r="AU31" s="111">
        <f>SUMIFS('Wells Fargo'!$F:$F,'Wells Fargo'!$G:$G,'Cash Flow'!$A31,'Wells Fargo'!$A:$A,AU$1,'Wells Fargo'!$B:$B,"&lt;="&amp;'Cash Flow'!AU$3)</f>
        <v>0</v>
      </c>
      <c r="AV31" s="77">
        <f>SUMIFS('Wells Fargo'!$F:$F,'Wells Fargo'!$G:$G,'Cash Flow'!$A31,'Wells Fargo'!$A:$A,AV$1,'Wells Fargo'!$B:$B,"&lt;="&amp;'Cash Flow'!AV$3,'Wells Fargo'!$B:$B,"&gt;"&amp;'Cash Flow'!AU$3)</f>
        <v>0</v>
      </c>
      <c r="AW31" s="77">
        <f>SUMIFS('Wells Fargo'!$F:$F,'Wells Fargo'!$G:$G,'Cash Flow'!$A31,'Wells Fargo'!$A:$A,AW$1,'Wells Fargo'!$B:$B,"&lt;="&amp;'Cash Flow'!AW$3,'Wells Fargo'!$B:$B,"&gt;"&amp;'Cash Flow'!AV$3)</f>
        <v>0</v>
      </c>
      <c r="AX31" s="77">
        <f>SUMIFS('Wells Fargo'!$F:$F,'Wells Fargo'!$G:$G,'Cash Flow'!$A31,'Wells Fargo'!$A:$A,AX$1,'Wells Fargo'!$B:$B,"&lt;="&amp;'Cash Flow'!AX$3,'Wells Fargo'!$B:$B,"&gt;"&amp;'Cash Flow'!AW$3)</f>
        <v>0</v>
      </c>
      <c r="AY31" s="77">
        <f>SUMIFS('Wells Fargo'!$F:$F,'Wells Fargo'!$G:$G,'Cash Flow'!$A31,'Wells Fargo'!$A:$A,AY$1,'Wells Fargo'!$B:$B,"&lt;="&amp;'Cash Flow'!AY$3,'Wells Fargo'!$B:$B,"&gt;"&amp;'Cash Flow'!AX$3)</f>
        <v>0</v>
      </c>
      <c r="AZ31" s="111">
        <f>SUMIFS('Wells Fargo'!$F:$F,'Wells Fargo'!$G:$G,'Cash Flow'!$A31,'Wells Fargo'!$A:$A,AZ$1,'Wells Fargo'!$B:$B,"&lt;="&amp;'Cash Flow'!AZ$3)</f>
        <v>0</v>
      </c>
      <c r="BA31" s="77">
        <f>SUMIFS('Wells Fargo'!$F:$F,'Wells Fargo'!$G:$G,'Cash Flow'!$A31,'Wells Fargo'!$A:$A,BA$1,'Wells Fargo'!$B:$B,"&lt;="&amp;'Cash Flow'!BA$3,'Wells Fargo'!$B:$B,"&gt;"&amp;'Cash Flow'!AZ$3)</f>
        <v>0</v>
      </c>
      <c r="BB31" s="77">
        <f>SUMIFS('Wells Fargo'!$F:$F,'Wells Fargo'!$G:$G,'Cash Flow'!$A31,'Wells Fargo'!$A:$A,BB$1,'Wells Fargo'!$B:$B,"&lt;="&amp;'Cash Flow'!BB$3,'Wells Fargo'!$B:$B,"&gt;"&amp;'Cash Flow'!BA$3)</f>
        <v>0</v>
      </c>
      <c r="BC31" s="77">
        <f>SUMIFS('Wells Fargo'!$F:$F,'Wells Fargo'!$G:$G,'Cash Flow'!$A31,'Wells Fargo'!$A:$A,BC$1,'Wells Fargo'!$B:$B,"&lt;="&amp;'Cash Flow'!BC$3,'Wells Fargo'!$B:$B,"&gt;"&amp;'Cash Flow'!BB$3)</f>
        <v>0</v>
      </c>
      <c r="BD31" s="77">
        <f>SUMIFS('Wells Fargo'!$F:$F,'Wells Fargo'!$G:$G,'Cash Flow'!$A31,'Wells Fargo'!$A:$A,BD$1,'Wells Fargo'!$B:$B,"&lt;="&amp;'Cash Flow'!BD$3,'Wells Fargo'!$B:$B,"&gt;"&amp;'Cash Flow'!BC$3)</f>
        <v>0</v>
      </c>
      <c r="BE31" s="111">
        <f>SUMIFS('Wells Fargo'!$F:$F,'Wells Fargo'!$G:$G,'Cash Flow'!$A31,'Wells Fargo'!$A:$A,BE$1,'Wells Fargo'!$B:$B,"&lt;="&amp;'Cash Flow'!BE$3)</f>
        <v>0</v>
      </c>
      <c r="BF31" s="77">
        <f>SUMIFS('Wells Fargo'!$F:$F,'Wells Fargo'!$G:$G,'Cash Flow'!$A31,'Wells Fargo'!$A:$A,BF$1,'Wells Fargo'!$B:$B,"&lt;="&amp;'Cash Flow'!BF$3,'Wells Fargo'!$B:$B,"&gt;"&amp;'Cash Flow'!BE$3)</f>
        <v>0</v>
      </c>
      <c r="BG31" s="77">
        <f>SUMIFS('Wells Fargo'!$F:$F,'Wells Fargo'!$G:$G,'Cash Flow'!$A31,'Wells Fargo'!$A:$A,BG$1,'Wells Fargo'!$B:$B,"&lt;="&amp;'Cash Flow'!BG$3,'Wells Fargo'!$B:$B,"&gt;"&amp;'Cash Flow'!BF$3)</f>
        <v>0</v>
      </c>
      <c r="BH31" s="77">
        <f>SUMIFS('Wells Fargo'!$F:$F,'Wells Fargo'!$G:$G,'Cash Flow'!$A31,'Wells Fargo'!$A:$A,BH$1,'Wells Fargo'!$B:$B,"&lt;="&amp;'Cash Flow'!BH$3,'Wells Fargo'!$B:$B,"&gt;"&amp;'Cash Flow'!BG$3)</f>
        <v>0</v>
      </c>
      <c r="BI31" s="77">
        <f>SUMIFS('Wells Fargo'!$F:$F,'Wells Fargo'!$G:$G,'Cash Flow'!$A31,'Wells Fargo'!$A:$A,BI$1,'Wells Fargo'!$B:$B,"&lt;="&amp;'Cash Flow'!BI$3,'Wells Fargo'!$B:$B,"&gt;"&amp;'Cash Flow'!BH$3)</f>
        <v>0</v>
      </c>
    </row>
    <row r="32" spans="1:61" ht="14.5" x14ac:dyDescent="0.5">
      <c r="A32" t="str">
        <v>New Manchester Deposit</v>
      </c>
      <c r="B32" s="90">
        <f t="shared" si="0"/>
        <v>-200</v>
      </c>
      <c r="C32" s="111">
        <f>SUMIFS('Wells Fargo'!$F:$F,'Wells Fargo'!$G:$G,'Cash Flow'!$A32,'Wells Fargo'!$A:$A,C$1,'Wells Fargo'!$B:$B,"&lt;="&amp;'Cash Flow'!C$3)</f>
        <v>0</v>
      </c>
      <c r="D32" s="77">
        <f>SUMIFS('Wells Fargo'!$F:$F,'Wells Fargo'!$G:$G,'Cash Flow'!$A32,'Wells Fargo'!$A:$A,D$1,'Wells Fargo'!$B:$B,"&lt;="&amp;'Cash Flow'!D$3,'Wells Fargo'!$B:$B,"&gt;"&amp;'Cash Flow'!C$3)</f>
        <v>0</v>
      </c>
      <c r="E32" s="77">
        <f>SUMIFS('Wells Fargo'!$F:$F,'Wells Fargo'!$G:$G,'Cash Flow'!$A32,'Wells Fargo'!$A:$A,E$1,'Wells Fargo'!$B:$B,"&lt;="&amp;'Cash Flow'!E$3,'Wells Fargo'!$B:$B,"&gt;"&amp;'Cash Flow'!D$3)</f>
        <v>0</v>
      </c>
      <c r="F32" s="77">
        <f>SUMIFS('Wells Fargo'!$F:$F,'Wells Fargo'!$G:$G,'Cash Flow'!$A32,'Wells Fargo'!$A:$A,F$1,'Wells Fargo'!$B:$B,"&lt;="&amp;'Cash Flow'!F$3,'Wells Fargo'!$B:$B,"&gt;"&amp;'Cash Flow'!E$3)</f>
        <v>0</v>
      </c>
      <c r="G32" s="77">
        <f>SUMIFS('Wells Fargo'!$F:$F,'Wells Fargo'!$G:$G,'Cash Flow'!$A32,'Wells Fargo'!$A:$A,G$1,'Wells Fargo'!$B:$B,"&lt;="&amp;'Cash Flow'!G$3,'Wells Fargo'!$B:$B,"&gt;"&amp;'Cash Flow'!F$3)</f>
        <v>0</v>
      </c>
      <c r="H32" s="111">
        <f>SUMIFS('Wells Fargo'!$F:$F,'Wells Fargo'!$G:$G,'Cash Flow'!$A32,'Wells Fargo'!$A:$A,H$1,'Wells Fargo'!$B:$B,"&lt;="&amp;'Cash Flow'!H$3)</f>
        <v>0</v>
      </c>
      <c r="I32" s="77">
        <f>SUMIFS('Wells Fargo'!$F:$F,'Wells Fargo'!$G:$G,'Cash Flow'!$A32,'Wells Fargo'!$A:$A,I$1,'Wells Fargo'!$B:$B,"&lt;="&amp;'Cash Flow'!I$3,'Wells Fargo'!$B:$B,"&gt;"&amp;'Cash Flow'!H$3)</f>
        <v>0</v>
      </c>
      <c r="J32" s="77">
        <f>SUMIFS('Wells Fargo'!$F:$F,'Wells Fargo'!$G:$G,'Cash Flow'!$A32,'Wells Fargo'!$A:$A,J$1,'Wells Fargo'!$B:$B,"&lt;="&amp;'Cash Flow'!J$3,'Wells Fargo'!$B:$B,"&gt;"&amp;'Cash Flow'!I$3)</f>
        <v>0</v>
      </c>
      <c r="K32" s="77">
        <f>SUMIFS('Wells Fargo'!$F:$F,'Wells Fargo'!$G:$G,'Cash Flow'!$A32,'Wells Fargo'!$A:$A,K$1,'Wells Fargo'!$B:$B,"&lt;="&amp;'Cash Flow'!K$3,'Wells Fargo'!$B:$B,"&gt;"&amp;'Cash Flow'!J$3)</f>
        <v>0</v>
      </c>
      <c r="L32" s="111">
        <f>SUMIFS('Wells Fargo'!$F:$F,'Wells Fargo'!$G:$G,'Cash Flow'!$A32,'Wells Fargo'!$A:$A,L$1,'Wells Fargo'!$B:$B,"&lt;="&amp;'Cash Flow'!L$3)</f>
        <v>0</v>
      </c>
      <c r="M32" s="77">
        <f>SUMIFS('Wells Fargo'!$F:$F,'Wells Fargo'!$G:$G,'Cash Flow'!$A32,'Wells Fargo'!$A:$A,M$1,'Wells Fargo'!$B:$B,"&lt;="&amp;'Cash Flow'!M$3,'Wells Fargo'!$B:$B,"&gt;"&amp;'Cash Flow'!L$3)</f>
        <v>0</v>
      </c>
      <c r="N32" s="77">
        <f>SUMIFS('Wells Fargo'!$F:$F,'Wells Fargo'!$G:$G,'Cash Flow'!$A32,'Wells Fargo'!$A:$A,N$1,'Wells Fargo'!$B:$B,"&lt;="&amp;'Cash Flow'!N$3,'Wells Fargo'!$B:$B,"&gt;"&amp;'Cash Flow'!M$3)</f>
        <v>0</v>
      </c>
      <c r="O32" s="77">
        <f>SUMIFS('Wells Fargo'!$F:$F,'Wells Fargo'!$G:$G,'Cash Flow'!$A32,'Wells Fargo'!$A:$A,O$1,'Wells Fargo'!$B:$B,"&lt;="&amp;'Cash Flow'!O$3,'Wells Fargo'!$B:$B,"&gt;"&amp;'Cash Flow'!N$3)</f>
        <v>0</v>
      </c>
      <c r="P32" s="77">
        <f>SUMIFS('Wells Fargo'!$F:$F,'Wells Fargo'!$G:$G,'Cash Flow'!$A32,'Wells Fargo'!$A:$A,P$1,'Wells Fargo'!$B:$B,"&lt;="&amp;'Cash Flow'!P$3,'Wells Fargo'!$B:$B,"&gt;"&amp;'Cash Flow'!O$3)</f>
        <v>0</v>
      </c>
      <c r="Q32" s="111">
        <f>SUMIFS('Wells Fargo'!$F:$F,'Wells Fargo'!$G:$G,'Cash Flow'!$A32,'Wells Fargo'!$A:$A,Q$1,'Wells Fargo'!$B:$B,"&lt;="&amp;'Cash Flow'!Q$3)</f>
        <v>0</v>
      </c>
      <c r="R32" s="77">
        <f>SUMIFS('Wells Fargo'!$F:$F,'Wells Fargo'!$G:$G,'Cash Flow'!$A32,'Wells Fargo'!$A:$A,R$1,'Wells Fargo'!$B:$B,"&lt;="&amp;'Cash Flow'!R$3,'Wells Fargo'!$B:$B,"&gt;"&amp;'Cash Flow'!Q$3)</f>
        <v>0</v>
      </c>
      <c r="S32" s="77">
        <f>SUMIFS('Wells Fargo'!$F:$F,'Wells Fargo'!$G:$G,'Cash Flow'!$A32,'Wells Fargo'!$A:$A,S$1,'Wells Fargo'!$B:$B,"&lt;="&amp;'Cash Flow'!S$3,'Wells Fargo'!$B:$B,"&gt;"&amp;'Cash Flow'!R$3)</f>
        <v>0</v>
      </c>
      <c r="T32" s="77">
        <f>SUMIFS('Wells Fargo'!$F:$F,'Wells Fargo'!$G:$G,'Cash Flow'!$A32,'Wells Fargo'!$A:$A,T$1,'Wells Fargo'!$B:$B,"&lt;="&amp;'Cash Flow'!T$3,'Wells Fargo'!$B:$B,"&gt;"&amp;'Cash Flow'!S$3)</f>
        <v>0</v>
      </c>
      <c r="U32" s="77">
        <f>SUMIFS('Wells Fargo'!$F:$F,'Wells Fargo'!$G:$G,'Cash Flow'!$A32,'Wells Fargo'!$A:$A,U$1,'Wells Fargo'!$B:$B,"&lt;="&amp;'Cash Flow'!U$3,'Wells Fargo'!$B:$B,"&gt;"&amp;'Cash Flow'!T$3)</f>
        <v>0</v>
      </c>
      <c r="V32" s="111">
        <f>SUMIFS('Wells Fargo'!$F:$F,'Wells Fargo'!$G:$G,'Cash Flow'!$A32,'Wells Fargo'!$A:$A,V$1,'Wells Fargo'!$B:$B,"&lt;="&amp;'Cash Flow'!V$3)</f>
        <v>-200</v>
      </c>
      <c r="W32" s="77">
        <f>SUMIFS('Wells Fargo'!$F:$F,'Wells Fargo'!$G:$G,'Cash Flow'!$A32,'Wells Fargo'!$A:$A,W$1,'Wells Fargo'!$B:$B,"&lt;="&amp;'Cash Flow'!W$3,'Wells Fargo'!$B:$B,"&gt;"&amp;'Cash Flow'!V$3)</f>
        <v>0</v>
      </c>
      <c r="X32" s="77">
        <f>SUMIFS('Wells Fargo'!$F:$F,'Wells Fargo'!$G:$G,'Cash Flow'!$A32,'Wells Fargo'!$A:$A,X$1,'Wells Fargo'!$B:$B,"&lt;="&amp;'Cash Flow'!X$3,'Wells Fargo'!$B:$B,"&gt;"&amp;'Cash Flow'!W$3)</f>
        <v>0</v>
      </c>
      <c r="Y32" s="77">
        <f>SUMIFS('Wells Fargo'!$F:$F,'Wells Fargo'!$G:$G,'Cash Flow'!$A32,'Wells Fargo'!$A:$A,Y$1,'Wells Fargo'!$B:$B,"&lt;="&amp;'Cash Flow'!Y$3,'Wells Fargo'!$B:$B,"&gt;"&amp;'Cash Flow'!X$3)</f>
        <v>0</v>
      </c>
      <c r="Z32" s="77">
        <f>SUMIFS('Wells Fargo'!$F:$F,'Wells Fargo'!$G:$G,'Cash Flow'!$A32,'Wells Fargo'!$A:$A,Z$1,'Wells Fargo'!$B:$B,"&lt;="&amp;'Cash Flow'!Z$3,'Wells Fargo'!$B:$B,"&gt;"&amp;'Cash Flow'!Y$3)</f>
        <v>0</v>
      </c>
      <c r="AA32" s="111">
        <f>SUMIFS('Wells Fargo'!$F:$F,'Wells Fargo'!$G:$G,'Cash Flow'!$A32,'Wells Fargo'!$A:$A,AA$1,'Wells Fargo'!$B:$B,"&lt;="&amp;'Cash Flow'!AA$3)</f>
        <v>0</v>
      </c>
      <c r="AB32" s="77">
        <f>SUMIFS('Wells Fargo'!$F:$F,'Wells Fargo'!$G:$G,'Cash Flow'!$A32,'Wells Fargo'!$A:$A,AB$1,'Wells Fargo'!$B:$B,"&lt;="&amp;'Cash Flow'!AB$3,'Wells Fargo'!$B:$B,"&gt;"&amp;'Cash Flow'!AA$3)</f>
        <v>0</v>
      </c>
      <c r="AC32" s="77">
        <f>SUMIFS('Wells Fargo'!$F:$F,'Wells Fargo'!$G:$G,'Cash Flow'!$A32,'Wells Fargo'!$A:$A,AC$1,'Wells Fargo'!$B:$B,"&lt;="&amp;'Cash Flow'!AC$3,'Wells Fargo'!$B:$B,"&gt;"&amp;'Cash Flow'!AB$3)</f>
        <v>0</v>
      </c>
      <c r="AD32" s="77">
        <f>SUMIFS('Wells Fargo'!$F:$F,'Wells Fargo'!$G:$G,'Cash Flow'!$A32,'Wells Fargo'!$A:$A,AD$1,'Wells Fargo'!$B:$B,"&lt;="&amp;'Cash Flow'!AD$3,'Wells Fargo'!$B:$B,"&gt;"&amp;'Cash Flow'!AC$3)</f>
        <v>0</v>
      </c>
      <c r="AE32" s="77">
        <f>SUMIFS('Wells Fargo'!$F:$F,'Wells Fargo'!$G:$G,'Cash Flow'!$A32,'Wells Fargo'!$A:$A,AE$1,'Wells Fargo'!$B:$B,"&lt;="&amp;'Cash Flow'!AE$3,'Wells Fargo'!$B:$B,"&gt;"&amp;'Cash Flow'!AD$3)</f>
        <v>0</v>
      </c>
      <c r="AF32" s="111">
        <f>SUMIFS('Wells Fargo'!$F:$F,'Wells Fargo'!$G:$G,'Cash Flow'!$A32,'Wells Fargo'!$A:$A,AF$1,'Wells Fargo'!$B:$B,"&lt;="&amp;'Cash Flow'!AF$3)</f>
        <v>0</v>
      </c>
      <c r="AG32" s="77">
        <f>SUMIFS('Wells Fargo'!$F:$F,'Wells Fargo'!$G:$G,'Cash Flow'!$A32,'Wells Fargo'!$A:$A,AG$1,'Wells Fargo'!$B:$B,"&lt;="&amp;'Cash Flow'!AG$3,'Wells Fargo'!$B:$B,"&gt;"&amp;'Cash Flow'!AF$3)</f>
        <v>0</v>
      </c>
      <c r="AH32" s="77">
        <f>SUMIFS('Wells Fargo'!$F:$F,'Wells Fargo'!$G:$G,'Cash Flow'!$A32,'Wells Fargo'!$A:$A,AH$1,'Wells Fargo'!$B:$B,"&lt;="&amp;'Cash Flow'!AH$3,'Wells Fargo'!$B:$B,"&gt;"&amp;'Cash Flow'!AG$3)</f>
        <v>0</v>
      </c>
      <c r="AI32" s="77">
        <f>SUMIFS('Wells Fargo'!$F:$F,'Wells Fargo'!$G:$G,'Cash Flow'!$A32,'Wells Fargo'!$A:$A,AI$1,'Wells Fargo'!$B:$B,"&lt;="&amp;'Cash Flow'!AI$3,'Wells Fargo'!$B:$B,"&gt;"&amp;'Cash Flow'!AH$3)</f>
        <v>0</v>
      </c>
      <c r="AJ32" s="77">
        <f>SUMIFS('Wells Fargo'!$F:$F,'Wells Fargo'!$G:$G,'Cash Flow'!$A32,'Wells Fargo'!$A:$A,AJ$1,'Wells Fargo'!$B:$B,"&lt;="&amp;'Cash Flow'!AJ$3,'Wells Fargo'!$B:$B,"&gt;"&amp;'Cash Flow'!AI$3)</f>
        <v>0</v>
      </c>
      <c r="AK32" s="111">
        <f>SUMIFS('Wells Fargo'!$F:$F,'Wells Fargo'!$G:$G,'Cash Flow'!$A32,'Wells Fargo'!$A:$A,AK$1,'Wells Fargo'!$B:$B,"&lt;="&amp;'Cash Flow'!AK$3)</f>
        <v>0</v>
      </c>
      <c r="AL32" s="77">
        <f>SUMIFS('Wells Fargo'!$F:$F,'Wells Fargo'!$G:$G,'Cash Flow'!$A32,'Wells Fargo'!$A:$A,AL$1,'Wells Fargo'!$B:$B,"&lt;="&amp;'Cash Flow'!AL$3,'Wells Fargo'!$B:$B,"&gt;"&amp;'Cash Flow'!AK$3)</f>
        <v>0</v>
      </c>
      <c r="AM32" s="77">
        <f>SUMIFS('Wells Fargo'!$F:$F,'Wells Fargo'!$G:$G,'Cash Flow'!$A32,'Wells Fargo'!$A:$A,AM$1,'Wells Fargo'!$B:$B,"&lt;="&amp;'Cash Flow'!AM$3,'Wells Fargo'!$B:$B,"&gt;"&amp;'Cash Flow'!AL$3)</f>
        <v>0</v>
      </c>
      <c r="AN32" s="77">
        <f>SUMIFS('Wells Fargo'!$F:$F,'Wells Fargo'!$G:$G,'Cash Flow'!$A32,'Wells Fargo'!$A:$A,AN$1,'Wells Fargo'!$B:$B,"&lt;="&amp;'Cash Flow'!AN$3,'Wells Fargo'!$B:$B,"&gt;"&amp;'Cash Flow'!AM$3)</f>
        <v>0</v>
      </c>
      <c r="AO32" s="77">
        <f>SUMIFS('Wells Fargo'!$F:$F,'Wells Fargo'!$G:$G,'Cash Flow'!$A32,'Wells Fargo'!$A:$A,AO$1,'Wells Fargo'!$B:$B,"&lt;="&amp;'Cash Flow'!AO$3,'Wells Fargo'!$B:$B,"&gt;"&amp;'Cash Flow'!AN$3)</f>
        <v>0</v>
      </c>
      <c r="AP32" s="111">
        <f>SUMIFS('Wells Fargo'!$F:$F,'Wells Fargo'!$G:$G,'Cash Flow'!$A32,'Wells Fargo'!$A:$A,AP$1,'Wells Fargo'!$B:$B,"&lt;="&amp;'Cash Flow'!AP$3)</f>
        <v>0</v>
      </c>
      <c r="AQ32" s="77">
        <f>SUMIFS('Wells Fargo'!$F:$F,'Wells Fargo'!$G:$G,'Cash Flow'!$A32,'Wells Fargo'!$A:$A,AQ$1,'Wells Fargo'!$B:$B,"&lt;="&amp;'Cash Flow'!AQ$3,'Wells Fargo'!$B:$B,"&gt;"&amp;'Cash Flow'!AP$3)</f>
        <v>0</v>
      </c>
      <c r="AR32" s="77">
        <f>SUMIFS('Wells Fargo'!$F:$F,'Wells Fargo'!$G:$G,'Cash Flow'!$A32,'Wells Fargo'!$A:$A,AR$1,'Wells Fargo'!$B:$B,"&lt;="&amp;'Cash Flow'!AR$3,'Wells Fargo'!$B:$B,"&gt;"&amp;'Cash Flow'!AQ$3)</f>
        <v>0</v>
      </c>
      <c r="AS32" s="77">
        <f>SUMIFS('Wells Fargo'!$F:$F,'Wells Fargo'!$G:$G,'Cash Flow'!$A32,'Wells Fargo'!$A:$A,AS$1,'Wells Fargo'!$B:$B,"&lt;="&amp;'Cash Flow'!AS$3,'Wells Fargo'!$B:$B,"&gt;"&amp;'Cash Flow'!AR$3)</f>
        <v>0</v>
      </c>
      <c r="AT32" s="77">
        <f>SUMIFS('Wells Fargo'!$F:$F,'Wells Fargo'!$G:$G,'Cash Flow'!$A32,'Wells Fargo'!$A:$A,AT$1,'Wells Fargo'!$B:$B,"&lt;="&amp;'Cash Flow'!AT$3,'Wells Fargo'!$B:$B,"&gt;"&amp;'Cash Flow'!AS$3)</f>
        <v>0</v>
      </c>
      <c r="AU32" s="111">
        <f>SUMIFS('Wells Fargo'!$F:$F,'Wells Fargo'!$G:$G,'Cash Flow'!$A32,'Wells Fargo'!$A:$A,AU$1,'Wells Fargo'!$B:$B,"&lt;="&amp;'Cash Flow'!AU$3)</f>
        <v>0</v>
      </c>
      <c r="AV32" s="77">
        <f>SUMIFS('Wells Fargo'!$F:$F,'Wells Fargo'!$G:$G,'Cash Flow'!$A32,'Wells Fargo'!$A:$A,AV$1,'Wells Fargo'!$B:$B,"&lt;="&amp;'Cash Flow'!AV$3,'Wells Fargo'!$B:$B,"&gt;"&amp;'Cash Flow'!AU$3)</f>
        <v>0</v>
      </c>
      <c r="AW32" s="77">
        <f>SUMIFS('Wells Fargo'!$F:$F,'Wells Fargo'!$G:$G,'Cash Flow'!$A32,'Wells Fargo'!$A:$A,AW$1,'Wells Fargo'!$B:$B,"&lt;="&amp;'Cash Flow'!AW$3,'Wells Fargo'!$B:$B,"&gt;"&amp;'Cash Flow'!AV$3)</f>
        <v>0</v>
      </c>
      <c r="AX32" s="77">
        <f>SUMIFS('Wells Fargo'!$F:$F,'Wells Fargo'!$G:$G,'Cash Flow'!$A32,'Wells Fargo'!$A:$A,AX$1,'Wells Fargo'!$B:$B,"&lt;="&amp;'Cash Flow'!AX$3,'Wells Fargo'!$B:$B,"&gt;"&amp;'Cash Flow'!AW$3)</f>
        <v>0</v>
      </c>
      <c r="AY32" s="77">
        <f>SUMIFS('Wells Fargo'!$F:$F,'Wells Fargo'!$G:$G,'Cash Flow'!$A32,'Wells Fargo'!$A:$A,AY$1,'Wells Fargo'!$B:$B,"&lt;="&amp;'Cash Flow'!AY$3,'Wells Fargo'!$B:$B,"&gt;"&amp;'Cash Flow'!AX$3)</f>
        <v>0</v>
      </c>
      <c r="AZ32" s="111">
        <f>SUMIFS('Wells Fargo'!$F:$F,'Wells Fargo'!$G:$G,'Cash Flow'!$A32,'Wells Fargo'!$A:$A,AZ$1,'Wells Fargo'!$B:$B,"&lt;="&amp;'Cash Flow'!AZ$3)</f>
        <v>0</v>
      </c>
      <c r="BA32" s="77">
        <f>SUMIFS('Wells Fargo'!$F:$F,'Wells Fargo'!$G:$G,'Cash Flow'!$A32,'Wells Fargo'!$A:$A,BA$1,'Wells Fargo'!$B:$B,"&lt;="&amp;'Cash Flow'!BA$3,'Wells Fargo'!$B:$B,"&gt;"&amp;'Cash Flow'!AZ$3)</f>
        <v>0</v>
      </c>
      <c r="BB32" s="77">
        <f>SUMIFS('Wells Fargo'!$F:$F,'Wells Fargo'!$G:$G,'Cash Flow'!$A32,'Wells Fargo'!$A:$A,BB$1,'Wells Fargo'!$B:$B,"&lt;="&amp;'Cash Flow'!BB$3,'Wells Fargo'!$B:$B,"&gt;"&amp;'Cash Flow'!BA$3)</f>
        <v>0</v>
      </c>
      <c r="BC32" s="77">
        <f>SUMIFS('Wells Fargo'!$F:$F,'Wells Fargo'!$G:$G,'Cash Flow'!$A32,'Wells Fargo'!$A:$A,BC$1,'Wells Fargo'!$B:$B,"&lt;="&amp;'Cash Flow'!BC$3,'Wells Fargo'!$B:$B,"&gt;"&amp;'Cash Flow'!BB$3)</f>
        <v>0</v>
      </c>
      <c r="BD32" s="77">
        <f>SUMIFS('Wells Fargo'!$F:$F,'Wells Fargo'!$G:$G,'Cash Flow'!$A32,'Wells Fargo'!$A:$A,BD$1,'Wells Fargo'!$B:$B,"&lt;="&amp;'Cash Flow'!BD$3,'Wells Fargo'!$B:$B,"&gt;"&amp;'Cash Flow'!BC$3)</f>
        <v>0</v>
      </c>
      <c r="BE32" s="111">
        <f>SUMIFS('Wells Fargo'!$F:$F,'Wells Fargo'!$G:$G,'Cash Flow'!$A32,'Wells Fargo'!$A:$A,BE$1,'Wells Fargo'!$B:$B,"&lt;="&amp;'Cash Flow'!BE$3)</f>
        <v>0</v>
      </c>
      <c r="BF32" s="77">
        <f>SUMIFS('Wells Fargo'!$F:$F,'Wells Fargo'!$G:$G,'Cash Flow'!$A32,'Wells Fargo'!$A:$A,BF$1,'Wells Fargo'!$B:$B,"&lt;="&amp;'Cash Flow'!BF$3,'Wells Fargo'!$B:$B,"&gt;"&amp;'Cash Flow'!BE$3)</f>
        <v>0</v>
      </c>
      <c r="BG32" s="77">
        <f>SUMIFS('Wells Fargo'!$F:$F,'Wells Fargo'!$G:$G,'Cash Flow'!$A32,'Wells Fargo'!$A:$A,BG$1,'Wells Fargo'!$B:$B,"&lt;="&amp;'Cash Flow'!BG$3,'Wells Fargo'!$B:$B,"&gt;"&amp;'Cash Flow'!BF$3)</f>
        <v>0</v>
      </c>
      <c r="BH32" s="77">
        <f>SUMIFS('Wells Fargo'!$F:$F,'Wells Fargo'!$G:$G,'Cash Flow'!$A32,'Wells Fargo'!$A:$A,BH$1,'Wells Fargo'!$B:$B,"&lt;="&amp;'Cash Flow'!BH$3,'Wells Fargo'!$B:$B,"&gt;"&amp;'Cash Flow'!BG$3)</f>
        <v>0</v>
      </c>
      <c r="BI32" s="77">
        <f>SUMIFS('Wells Fargo'!$F:$F,'Wells Fargo'!$G:$G,'Cash Flow'!$A32,'Wells Fargo'!$A:$A,BI$1,'Wells Fargo'!$B:$B,"&lt;="&amp;'Cash Flow'!BI$3,'Wells Fargo'!$B:$B,"&gt;"&amp;'Cash Flow'!BH$3)</f>
        <v>0</v>
      </c>
    </row>
    <row r="33" spans="1:61" ht="14.5" x14ac:dyDescent="0.5">
      <c r="A33" t="str">
        <v>Principal retirement</v>
      </c>
      <c r="B33" s="90">
        <f t="shared" si="0"/>
        <v>4165.5599999999995</v>
      </c>
      <c r="C33" s="111">
        <f>SUMIFS('Wells Fargo'!$F:$F,'Wells Fargo'!$G:$G,'Cash Flow'!$A33,'Wells Fargo'!$A:$A,C$1,'Wells Fargo'!$B:$B,"&lt;="&amp;'Cash Flow'!C$3)</f>
        <v>0</v>
      </c>
      <c r="D33" s="77">
        <f>SUMIFS('Wells Fargo'!$F:$F,'Wells Fargo'!$G:$G,'Cash Flow'!$A33,'Wells Fargo'!$A:$A,D$1,'Wells Fargo'!$B:$B,"&lt;="&amp;'Cash Flow'!D$3,'Wells Fargo'!$B:$B,"&gt;"&amp;'Cash Flow'!C$3)</f>
        <v>0</v>
      </c>
      <c r="E33" s="77">
        <f>SUMIFS('Wells Fargo'!$F:$F,'Wells Fargo'!$G:$G,'Cash Flow'!$A33,'Wells Fargo'!$A:$A,E$1,'Wells Fargo'!$B:$B,"&lt;="&amp;'Cash Flow'!E$3,'Wells Fargo'!$B:$B,"&gt;"&amp;'Cash Flow'!D$3)</f>
        <v>0</v>
      </c>
      <c r="F33" s="77">
        <f>SUMIFS('Wells Fargo'!$F:$F,'Wells Fargo'!$G:$G,'Cash Flow'!$A33,'Wells Fargo'!$A:$A,F$1,'Wells Fargo'!$B:$B,"&lt;="&amp;'Cash Flow'!F$3,'Wells Fargo'!$B:$B,"&gt;"&amp;'Cash Flow'!E$3)</f>
        <v>0</v>
      </c>
      <c r="G33" s="77">
        <f>SUMIFS('Wells Fargo'!$F:$F,'Wells Fargo'!$G:$G,'Cash Flow'!$A33,'Wells Fargo'!$A:$A,G$1,'Wells Fargo'!$B:$B,"&lt;="&amp;'Cash Flow'!G$3,'Wells Fargo'!$B:$B,"&gt;"&amp;'Cash Flow'!F$3)</f>
        <v>0</v>
      </c>
      <c r="H33" s="111">
        <f>SUMIFS('Wells Fargo'!$F:$F,'Wells Fargo'!$G:$G,'Cash Flow'!$A33,'Wells Fargo'!$A:$A,H$1,'Wells Fargo'!$B:$B,"&lt;="&amp;'Cash Flow'!H$3)</f>
        <v>0</v>
      </c>
      <c r="I33" s="77">
        <f>SUMIFS('Wells Fargo'!$F:$F,'Wells Fargo'!$G:$G,'Cash Flow'!$A33,'Wells Fargo'!$A:$A,I$1,'Wells Fargo'!$B:$B,"&lt;="&amp;'Cash Flow'!I$3,'Wells Fargo'!$B:$B,"&gt;"&amp;'Cash Flow'!H$3)</f>
        <v>0</v>
      </c>
      <c r="J33" s="77">
        <f>SUMIFS('Wells Fargo'!$F:$F,'Wells Fargo'!$G:$G,'Cash Flow'!$A33,'Wells Fargo'!$A:$A,J$1,'Wells Fargo'!$B:$B,"&lt;="&amp;'Cash Flow'!J$3,'Wells Fargo'!$B:$B,"&gt;"&amp;'Cash Flow'!I$3)</f>
        <v>0</v>
      </c>
      <c r="K33" s="77">
        <f>SUMIFS('Wells Fargo'!$F:$F,'Wells Fargo'!$G:$G,'Cash Flow'!$A33,'Wells Fargo'!$A:$A,K$1,'Wells Fargo'!$B:$B,"&lt;="&amp;'Cash Flow'!K$3,'Wells Fargo'!$B:$B,"&gt;"&amp;'Cash Flow'!J$3)</f>
        <v>0</v>
      </c>
      <c r="L33" s="111">
        <f>SUMIFS('Wells Fargo'!$F:$F,'Wells Fargo'!$G:$G,'Cash Flow'!$A33,'Wells Fargo'!$A:$A,L$1,'Wells Fargo'!$B:$B,"&lt;="&amp;'Cash Flow'!L$3)</f>
        <v>0</v>
      </c>
      <c r="M33" s="77">
        <f>SUMIFS('Wells Fargo'!$F:$F,'Wells Fargo'!$G:$G,'Cash Flow'!$A33,'Wells Fargo'!$A:$A,M$1,'Wells Fargo'!$B:$B,"&lt;="&amp;'Cash Flow'!M$3,'Wells Fargo'!$B:$B,"&gt;"&amp;'Cash Flow'!L$3)</f>
        <v>0</v>
      </c>
      <c r="N33" s="77">
        <f>SUMIFS('Wells Fargo'!$F:$F,'Wells Fargo'!$G:$G,'Cash Flow'!$A33,'Wells Fargo'!$A:$A,N$1,'Wells Fargo'!$B:$B,"&lt;="&amp;'Cash Flow'!N$3,'Wells Fargo'!$B:$B,"&gt;"&amp;'Cash Flow'!M$3)</f>
        <v>0</v>
      </c>
      <c r="O33" s="77">
        <f>SUMIFS('Wells Fargo'!$F:$F,'Wells Fargo'!$G:$G,'Cash Flow'!$A33,'Wells Fargo'!$A:$A,O$1,'Wells Fargo'!$B:$B,"&lt;="&amp;'Cash Flow'!O$3,'Wells Fargo'!$B:$B,"&gt;"&amp;'Cash Flow'!N$3)</f>
        <v>0</v>
      </c>
      <c r="P33" s="77">
        <f>SUMIFS('Wells Fargo'!$F:$F,'Wells Fargo'!$G:$G,'Cash Flow'!$A33,'Wells Fargo'!$A:$A,P$1,'Wells Fargo'!$B:$B,"&lt;="&amp;'Cash Flow'!P$3,'Wells Fargo'!$B:$B,"&gt;"&amp;'Cash Flow'!O$3)</f>
        <v>0</v>
      </c>
      <c r="Q33" s="111">
        <f>SUMIFS('Wells Fargo'!$F:$F,'Wells Fargo'!$G:$G,'Cash Flow'!$A33,'Wells Fargo'!$A:$A,Q$1,'Wells Fargo'!$B:$B,"&lt;="&amp;'Cash Flow'!Q$3)</f>
        <v>0</v>
      </c>
      <c r="R33" s="77">
        <f>SUMIFS('Wells Fargo'!$F:$F,'Wells Fargo'!$G:$G,'Cash Flow'!$A33,'Wells Fargo'!$A:$A,R$1,'Wells Fargo'!$B:$B,"&lt;="&amp;'Cash Flow'!R$3,'Wells Fargo'!$B:$B,"&gt;"&amp;'Cash Flow'!Q$3)</f>
        <v>0</v>
      </c>
      <c r="S33" s="77">
        <f>SUMIFS('Wells Fargo'!$F:$F,'Wells Fargo'!$G:$G,'Cash Flow'!$A33,'Wells Fargo'!$A:$A,S$1,'Wells Fargo'!$B:$B,"&lt;="&amp;'Cash Flow'!S$3,'Wells Fargo'!$B:$B,"&gt;"&amp;'Cash Flow'!R$3)</f>
        <v>0</v>
      </c>
      <c r="T33" s="77">
        <f>SUMIFS('Wells Fargo'!$F:$F,'Wells Fargo'!$G:$G,'Cash Flow'!$A33,'Wells Fargo'!$A:$A,T$1,'Wells Fargo'!$B:$B,"&lt;="&amp;'Cash Flow'!T$3,'Wells Fargo'!$B:$B,"&gt;"&amp;'Cash Flow'!S$3)</f>
        <v>0</v>
      </c>
      <c r="U33" s="77">
        <f>SUMIFS('Wells Fargo'!$F:$F,'Wells Fargo'!$G:$G,'Cash Flow'!$A33,'Wells Fargo'!$A:$A,U$1,'Wells Fargo'!$B:$B,"&lt;="&amp;'Cash Flow'!U$3,'Wells Fargo'!$B:$B,"&gt;"&amp;'Cash Flow'!T$3)</f>
        <v>0</v>
      </c>
      <c r="V33" s="111">
        <f>SUMIFS('Wells Fargo'!$F:$F,'Wells Fargo'!$G:$G,'Cash Flow'!$A33,'Wells Fargo'!$A:$A,V$1,'Wells Fargo'!$B:$B,"&lt;="&amp;'Cash Flow'!V$3)</f>
        <v>0</v>
      </c>
      <c r="W33" s="77">
        <f>SUMIFS('Wells Fargo'!$F:$F,'Wells Fargo'!$G:$G,'Cash Flow'!$A33,'Wells Fargo'!$A:$A,W$1,'Wells Fargo'!$B:$B,"&lt;="&amp;'Cash Flow'!W$3,'Wells Fargo'!$B:$B,"&gt;"&amp;'Cash Flow'!V$3)</f>
        <v>0</v>
      </c>
      <c r="X33" s="77">
        <f>SUMIFS('Wells Fargo'!$F:$F,'Wells Fargo'!$G:$G,'Cash Flow'!$A33,'Wells Fargo'!$A:$A,X$1,'Wells Fargo'!$B:$B,"&lt;="&amp;'Cash Flow'!X$3,'Wells Fargo'!$B:$B,"&gt;"&amp;'Cash Flow'!W$3)</f>
        <v>0</v>
      </c>
      <c r="Y33" s="77">
        <f>SUMIFS('Wells Fargo'!$F:$F,'Wells Fargo'!$G:$G,'Cash Flow'!$A33,'Wells Fargo'!$A:$A,Y$1,'Wells Fargo'!$B:$B,"&lt;="&amp;'Cash Flow'!Y$3,'Wells Fargo'!$B:$B,"&gt;"&amp;'Cash Flow'!X$3)</f>
        <v>0</v>
      </c>
      <c r="Z33" s="77">
        <f>SUMIFS('Wells Fargo'!$F:$F,'Wells Fargo'!$G:$G,'Cash Flow'!$A33,'Wells Fargo'!$A:$A,Z$1,'Wells Fargo'!$B:$B,"&lt;="&amp;'Cash Flow'!Z$3,'Wells Fargo'!$B:$B,"&gt;"&amp;'Cash Flow'!Y$3)</f>
        <v>0</v>
      </c>
      <c r="AA33" s="111">
        <f>SUMIFS('Wells Fargo'!$F:$F,'Wells Fargo'!$G:$G,'Cash Flow'!$A33,'Wells Fargo'!$A:$A,AA$1,'Wells Fargo'!$B:$B,"&lt;="&amp;'Cash Flow'!AA$3)</f>
        <v>0</v>
      </c>
      <c r="AB33" s="77">
        <f>SUMIFS('Wells Fargo'!$F:$F,'Wells Fargo'!$G:$G,'Cash Flow'!$A33,'Wells Fargo'!$A:$A,AB$1,'Wells Fargo'!$B:$B,"&lt;="&amp;'Cash Flow'!AB$3,'Wells Fargo'!$B:$B,"&gt;"&amp;'Cash Flow'!AA$3)</f>
        <v>0</v>
      </c>
      <c r="AC33" s="77">
        <f>SUMIFS('Wells Fargo'!$F:$F,'Wells Fargo'!$G:$G,'Cash Flow'!$A33,'Wells Fargo'!$A:$A,AC$1,'Wells Fargo'!$B:$B,"&lt;="&amp;'Cash Flow'!AC$3,'Wells Fargo'!$B:$B,"&gt;"&amp;'Cash Flow'!AB$3)</f>
        <v>3967.1</v>
      </c>
      <c r="AD33" s="77">
        <f>SUMIFS('Wells Fargo'!$F:$F,'Wells Fargo'!$G:$G,'Cash Flow'!$A33,'Wells Fargo'!$A:$A,AD$1,'Wells Fargo'!$B:$B,"&lt;="&amp;'Cash Flow'!AD$3,'Wells Fargo'!$B:$B,"&gt;"&amp;'Cash Flow'!AC$3)</f>
        <v>198.46</v>
      </c>
      <c r="AE33" s="77">
        <f>SUMIFS('Wells Fargo'!$F:$F,'Wells Fargo'!$G:$G,'Cash Flow'!$A33,'Wells Fargo'!$A:$A,AE$1,'Wells Fargo'!$B:$B,"&lt;="&amp;'Cash Flow'!AE$3,'Wells Fargo'!$B:$B,"&gt;"&amp;'Cash Flow'!AD$3)</f>
        <v>0</v>
      </c>
      <c r="AF33" s="111">
        <f>SUMIFS('Wells Fargo'!$F:$F,'Wells Fargo'!$G:$G,'Cash Flow'!$A33,'Wells Fargo'!$A:$A,AF$1,'Wells Fargo'!$B:$B,"&lt;="&amp;'Cash Flow'!AF$3)</f>
        <v>0</v>
      </c>
      <c r="AG33" s="77">
        <f>SUMIFS('Wells Fargo'!$F:$F,'Wells Fargo'!$G:$G,'Cash Flow'!$A33,'Wells Fargo'!$A:$A,AG$1,'Wells Fargo'!$B:$B,"&lt;="&amp;'Cash Flow'!AG$3,'Wells Fargo'!$B:$B,"&gt;"&amp;'Cash Flow'!AF$3)</f>
        <v>0</v>
      </c>
      <c r="AH33" s="77">
        <f>SUMIFS('Wells Fargo'!$F:$F,'Wells Fargo'!$G:$G,'Cash Flow'!$A33,'Wells Fargo'!$A:$A,AH$1,'Wells Fargo'!$B:$B,"&lt;="&amp;'Cash Flow'!AH$3,'Wells Fargo'!$B:$B,"&gt;"&amp;'Cash Flow'!AG$3)</f>
        <v>0</v>
      </c>
      <c r="AI33" s="77">
        <f>SUMIFS('Wells Fargo'!$F:$F,'Wells Fargo'!$G:$G,'Cash Flow'!$A33,'Wells Fargo'!$A:$A,AI$1,'Wells Fargo'!$B:$B,"&lt;="&amp;'Cash Flow'!AI$3,'Wells Fargo'!$B:$B,"&gt;"&amp;'Cash Flow'!AH$3)</f>
        <v>0</v>
      </c>
      <c r="AJ33" s="77">
        <f>SUMIFS('Wells Fargo'!$F:$F,'Wells Fargo'!$G:$G,'Cash Flow'!$A33,'Wells Fargo'!$A:$A,AJ$1,'Wells Fargo'!$B:$B,"&lt;="&amp;'Cash Flow'!AJ$3,'Wells Fargo'!$B:$B,"&gt;"&amp;'Cash Flow'!AI$3)</f>
        <v>0</v>
      </c>
      <c r="AK33" s="111">
        <f>SUMIFS('Wells Fargo'!$F:$F,'Wells Fargo'!$G:$G,'Cash Flow'!$A33,'Wells Fargo'!$A:$A,AK$1,'Wells Fargo'!$B:$B,"&lt;="&amp;'Cash Flow'!AK$3)</f>
        <v>0</v>
      </c>
      <c r="AL33" s="77">
        <f>SUMIFS('Wells Fargo'!$F:$F,'Wells Fargo'!$G:$G,'Cash Flow'!$A33,'Wells Fargo'!$A:$A,AL$1,'Wells Fargo'!$B:$B,"&lt;="&amp;'Cash Flow'!AL$3,'Wells Fargo'!$B:$B,"&gt;"&amp;'Cash Flow'!AK$3)</f>
        <v>0</v>
      </c>
      <c r="AM33" s="77">
        <f>SUMIFS('Wells Fargo'!$F:$F,'Wells Fargo'!$G:$G,'Cash Flow'!$A33,'Wells Fargo'!$A:$A,AM$1,'Wells Fargo'!$B:$B,"&lt;="&amp;'Cash Flow'!AM$3,'Wells Fargo'!$B:$B,"&gt;"&amp;'Cash Flow'!AL$3)</f>
        <v>0</v>
      </c>
      <c r="AN33" s="77">
        <f>SUMIFS('Wells Fargo'!$F:$F,'Wells Fargo'!$G:$G,'Cash Flow'!$A33,'Wells Fargo'!$A:$A,AN$1,'Wells Fargo'!$B:$B,"&lt;="&amp;'Cash Flow'!AN$3,'Wells Fargo'!$B:$B,"&gt;"&amp;'Cash Flow'!AM$3)</f>
        <v>0</v>
      </c>
      <c r="AO33" s="77">
        <f>SUMIFS('Wells Fargo'!$F:$F,'Wells Fargo'!$G:$G,'Cash Flow'!$A33,'Wells Fargo'!$A:$A,AO$1,'Wells Fargo'!$B:$B,"&lt;="&amp;'Cash Flow'!AO$3,'Wells Fargo'!$B:$B,"&gt;"&amp;'Cash Flow'!AN$3)</f>
        <v>0</v>
      </c>
      <c r="AP33" s="111">
        <f>SUMIFS('Wells Fargo'!$F:$F,'Wells Fargo'!$G:$G,'Cash Flow'!$A33,'Wells Fargo'!$A:$A,AP$1,'Wells Fargo'!$B:$B,"&lt;="&amp;'Cash Flow'!AP$3)</f>
        <v>0</v>
      </c>
      <c r="AQ33" s="77">
        <f>SUMIFS('Wells Fargo'!$F:$F,'Wells Fargo'!$G:$G,'Cash Flow'!$A33,'Wells Fargo'!$A:$A,AQ$1,'Wells Fargo'!$B:$B,"&lt;="&amp;'Cash Flow'!AQ$3,'Wells Fargo'!$B:$B,"&gt;"&amp;'Cash Flow'!AP$3)</f>
        <v>0</v>
      </c>
      <c r="AR33" s="77">
        <f>SUMIFS('Wells Fargo'!$F:$F,'Wells Fargo'!$G:$G,'Cash Flow'!$A33,'Wells Fargo'!$A:$A,AR$1,'Wells Fargo'!$B:$B,"&lt;="&amp;'Cash Flow'!AR$3,'Wells Fargo'!$B:$B,"&gt;"&amp;'Cash Flow'!AQ$3)</f>
        <v>0</v>
      </c>
      <c r="AS33" s="77">
        <f>SUMIFS('Wells Fargo'!$F:$F,'Wells Fargo'!$G:$G,'Cash Flow'!$A33,'Wells Fargo'!$A:$A,AS$1,'Wells Fargo'!$B:$B,"&lt;="&amp;'Cash Flow'!AS$3,'Wells Fargo'!$B:$B,"&gt;"&amp;'Cash Flow'!AR$3)</f>
        <v>0</v>
      </c>
      <c r="AT33" s="77">
        <f>SUMIFS('Wells Fargo'!$F:$F,'Wells Fargo'!$G:$G,'Cash Flow'!$A33,'Wells Fargo'!$A:$A,AT$1,'Wells Fargo'!$B:$B,"&lt;="&amp;'Cash Flow'!AT$3,'Wells Fargo'!$B:$B,"&gt;"&amp;'Cash Flow'!AS$3)</f>
        <v>0</v>
      </c>
      <c r="AU33" s="111">
        <f>SUMIFS('Wells Fargo'!$F:$F,'Wells Fargo'!$G:$G,'Cash Flow'!$A33,'Wells Fargo'!$A:$A,AU$1,'Wells Fargo'!$B:$B,"&lt;="&amp;'Cash Flow'!AU$3)</f>
        <v>0</v>
      </c>
      <c r="AV33" s="77">
        <f>SUMIFS('Wells Fargo'!$F:$F,'Wells Fargo'!$G:$G,'Cash Flow'!$A33,'Wells Fargo'!$A:$A,AV$1,'Wells Fargo'!$B:$B,"&lt;="&amp;'Cash Flow'!AV$3,'Wells Fargo'!$B:$B,"&gt;"&amp;'Cash Flow'!AU$3)</f>
        <v>0</v>
      </c>
      <c r="AW33" s="77">
        <f>SUMIFS('Wells Fargo'!$F:$F,'Wells Fargo'!$G:$G,'Cash Flow'!$A33,'Wells Fargo'!$A:$A,AW$1,'Wells Fargo'!$B:$B,"&lt;="&amp;'Cash Flow'!AW$3,'Wells Fargo'!$B:$B,"&gt;"&amp;'Cash Flow'!AV$3)</f>
        <v>0</v>
      </c>
      <c r="AX33" s="77">
        <f>SUMIFS('Wells Fargo'!$F:$F,'Wells Fargo'!$G:$G,'Cash Flow'!$A33,'Wells Fargo'!$A:$A,AX$1,'Wells Fargo'!$B:$B,"&lt;="&amp;'Cash Flow'!AX$3,'Wells Fargo'!$B:$B,"&gt;"&amp;'Cash Flow'!AW$3)</f>
        <v>0</v>
      </c>
      <c r="AY33" s="77">
        <f>SUMIFS('Wells Fargo'!$F:$F,'Wells Fargo'!$G:$G,'Cash Flow'!$A33,'Wells Fargo'!$A:$A,AY$1,'Wells Fargo'!$B:$B,"&lt;="&amp;'Cash Flow'!AY$3,'Wells Fargo'!$B:$B,"&gt;"&amp;'Cash Flow'!AX$3)</f>
        <v>0</v>
      </c>
      <c r="AZ33" s="111">
        <f>SUMIFS('Wells Fargo'!$F:$F,'Wells Fargo'!$G:$G,'Cash Flow'!$A33,'Wells Fargo'!$A:$A,AZ$1,'Wells Fargo'!$B:$B,"&lt;="&amp;'Cash Flow'!AZ$3)</f>
        <v>0</v>
      </c>
      <c r="BA33" s="77">
        <f>SUMIFS('Wells Fargo'!$F:$F,'Wells Fargo'!$G:$G,'Cash Flow'!$A33,'Wells Fargo'!$A:$A,BA$1,'Wells Fargo'!$B:$B,"&lt;="&amp;'Cash Flow'!BA$3,'Wells Fargo'!$B:$B,"&gt;"&amp;'Cash Flow'!AZ$3)</f>
        <v>0</v>
      </c>
      <c r="BB33" s="77">
        <f>SUMIFS('Wells Fargo'!$F:$F,'Wells Fargo'!$G:$G,'Cash Flow'!$A33,'Wells Fargo'!$A:$A,BB$1,'Wells Fargo'!$B:$B,"&lt;="&amp;'Cash Flow'!BB$3,'Wells Fargo'!$B:$B,"&gt;"&amp;'Cash Flow'!BA$3)</f>
        <v>0</v>
      </c>
      <c r="BC33" s="77">
        <f>SUMIFS('Wells Fargo'!$F:$F,'Wells Fargo'!$G:$G,'Cash Flow'!$A33,'Wells Fargo'!$A:$A,BC$1,'Wells Fargo'!$B:$B,"&lt;="&amp;'Cash Flow'!BC$3,'Wells Fargo'!$B:$B,"&gt;"&amp;'Cash Flow'!BB$3)</f>
        <v>0</v>
      </c>
      <c r="BD33" s="77">
        <f>SUMIFS('Wells Fargo'!$F:$F,'Wells Fargo'!$G:$G,'Cash Flow'!$A33,'Wells Fargo'!$A:$A,BD$1,'Wells Fargo'!$B:$B,"&lt;="&amp;'Cash Flow'!BD$3,'Wells Fargo'!$B:$B,"&gt;"&amp;'Cash Flow'!BC$3)</f>
        <v>0</v>
      </c>
      <c r="BE33" s="111">
        <f>SUMIFS('Wells Fargo'!$F:$F,'Wells Fargo'!$G:$G,'Cash Flow'!$A33,'Wells Fargo'!$A:$A,BE$1,'Wells Fargo'!$B:$B,"&lt;="&amp;'Cash Flow'!BE$3)</f>
        <v>0</v>
      </c>
      <c r="BF33" s="77">
        <f>SUMIFS('Wells Fargo'!$F:$F,'Wells Fargo'!$G:$G,'Cash Flow'!$A33,'Wells Fargo'!$A:$A,BF$1,'Wells Fargo'!$B:$B,"&lt;="&amp;'Cash Flow'!BF$3,'Wells Fargo'!$B:$B,"&gt;"&amp;'Cash Flow'!BE$3)</f>
        <v>0</v>
      </c>
      <c r="BG33" s="77">
        <f>SUMIFS('Wells Fargo'!$F:$F,'Wells Fargo'!$G:$G,'Cash Flow'!$A33,'Wells Fargo'!$A:$A,BG$1,'Wells Fargo'!$B:$B,"&lt;="&amp;'Cash Flow'!BG$3,'Wells Fargo'!$B:$B,"&gt;"&amp;'Cash Flow'!BF$3)</f>
        <v>0</v>
      </c>
      <c r="BH33" s="77">
        <f>SUMIFS('Wells Fargo'!$F:$F,'Wells Fargo'!$G:$G,'Cash Flow'!$A33,'Wells Fargo'!$A:$A,BH$1,'Wells Fargo'!$B:$B,"&lt;="&amp;'Cash Flow'!BH$3,'Wells Fargo'!$B:$B,"&gt;"&amp;'Cash Flow'!BG$3)</f>
        <v>0</v>
      </c>
      <c r="BI33" s="77">
        <f>SUMIFS('Wells Fargo'!$F:$F,'Wells Fargo'!$G:$G,'Cash Flow'!$A33,'Wells Fargo'!$A:$A,BI$1,'Wells Fargo'!$B:$B,"&lt;="&amp;'Cash Flow'!BI$3,'Wells Fargo'!$B:$B,"&gt;"&amp;'Cash Flow'!BH$3)</f>
        <v>0</v>
      </c>
    </row>
    <row r="34" spans="1:61" ht="14.5" x14ac:dyDescent="0.5">
      <c r="A34" t="str">
        <v>Purchase</v>
      </c>
      <c r="B34" s="90">
        <f t="shared" si="0"/>
        <v>-59.610000000000007</v>
      </c>
      <c r="C34" s="111">
        <f>SUMIFS('Wells Fargo'!$F:$F,'Wells Fargo'!$G:$G,'Cash Flow'!$A34,'Wells Fargo'!$A:$A,C$1,'Wells Fargo'!$B:$B,"&lt;="&amp;'Cash Flow'!C$3)</f>
        <v>0</v>
      </c>
      <c r="D34" s="77">
        <f>SUMIFS('Wells Fargo'!$F:$F,'Wells Fargo'!$G:$G,'Cash Flow'!$A34,'Wells Fargo'!$A:$A,D$1,'Wells Fargo'!$B:$B,"&lt;="&amp;'Cash Flow'!D$3,'Wells Fargo'!$B:$B,"&gt;"&amp;'Cash Flow'!C$3)</f>
        <v>0</v>
      </c>
      <c r="E34" s="77">
        <f>SUMIFS('Wells Fargo'!$F:$F,'Wells Fargo'!$G:$G,'Cash Flow'!$A34,'Wells Fargo'!$A:$A,E$1,'Wells Fargo'!$B:$B,"&lt;="&amp;'Cash Flow'!E$3,'Wells Fargo'!$B:$B,"&gt;"&amp;'Cash Flow'!D$3)</f>
        <v>0</v>
      </c>
      <c r="F34" s="77">
        <f>SUMIFS('Wells Fargo'!$F:$F,'Wells Fargo'!$G:$G,'Cash Flow'!$A34,'Wells Fargo'!$A:$A,F$1,'Wells Fargo'!$B:$B,"&lt;="&amp;'Cash Flow'!F$3,'Wells Fargo'!$B:$B,"&gt;"&amp;'Cash Flow'!E$3)</f>
        <v>0</v>
      </c>
      <c r="G34" s="77">
        <f>SUMIFS('Wells Fargo'!$F:$F,'Wells Fargo'!$G:$G,'Cash Flow'!$A34,'Wells Fargo'!$A:$A,G$1,'Wells Fargo'!$B:$B,"&lt;="&amp;'Cash Flow'!G$3,'Wells Fargo'!$B:$B,"&gt;"&amp;'Cash Flow'!F$3)</f>
        <v>0</v>
      </c>
      <c r="H34" s="111">
        <f>SUMIFS('Wells Fargo'!$F:$F,'Wells Fargo'!$G:$G,'Cash Flow'!$A34,'Wells Fargo'!$A:$A,H$1,'Wells Fargo'!$B:$B,"&lt;="&amp;'Cash Flow'!H$3)</f>
        <v>-36.840000000000003</v>
      </c>
      <c r="I34" s="77">
        <f>SUMIFS('Wells Fargo'!$F:$F,'Wells Fargo'!$G:$G,'Cash Flow'!$A34,'Wells Fargo'!$A:$A,I$1,'Wells Fargo'!$B:$B,"&lt;="&amp;'Cash Flow'!I$3,'Wells Fargo'!$B:$B,"&gt;"&amp;'Cash Flow'!H$3)</f>
        <v>0</v>
      </c>
      <c r="J34" s="77">
        <f>SUMIFS('Wells Fargo'!$F:$F,'Wells Fargo'!$G:$G,'Cash Flow'!$A34,'Wells Fargo'!$A:$A,J$1,'Wells Fargo'!$B:$B,"&lt;="&amp;'Cash Flow'!J$3,'Wells Fargo'!$B:$B,"&gt;"&amp;'Cash Flow'!I$3)</f>
        <v>0</v>
      </c>
      <c r="K34" s="77">
        <f>SUMIFS('Wells Fargo'!$F:$F,'Wells Fargo'!$G:$G,'Cash Flow'!$A34,'Wells Fargo'!$A:$A,K$1,'Wells Fargo'!$B:$B,"&lt;="&amp;'Cash Flow'!K$3,'Wells Fargo'!$B:$B,"&gt;"&amp;'Cash Flow'!J$3)</f>
        <v>0</v>
      </c>
      <c r="L34" s="111">
        <f>SUMIFS('Wells Fargo'!$F:$F,'Wells Fargo'!$G:$G,'Cash Flow'!$A34,'Wells Fargo'!$A:$A,L$1,'Wells Fargo'!$B:$B,"&lt;="&amp;'Cash Flow'!L$3)</f>
        <v>0</v>
      </c>
      <c r="M34" s="77">
        <f>SUMIFS('Wells Fargo'!$F:$F,'Wells Fargo'!$G:$G,'Cash Flow'!$A34,'Wells Fargo'!$A:$A,M$1,'Wells Fargo'!$B:$B,"&lt;="&amp;'Cash Flow'!M$3,'Wells Fargo'!$B:$B,"&gt;"&amp;'Cash Flow'!L$3)</f>
        <v>0</v>
      </c>
      <c r="N34" s="77">
        <f>SUMIFS('Wells Fargo'!$F:$F,'Wells Fargo'!$G:$G,'Cash Flow'!$A34,'Wells Fargo'!$A:$A,N$1,'Wells Fargo'!$B:$B,"&lt;="&amp;'Cash Flow'!N$3,'Wells Fargo'!$B:$B,"&gt;"&amp;'Cash Flow'!M$3)</f>
        <v>0</v>
      </c>
      <c r="O34" s="77">
        <f>SUMIFS('Wells Fargo'!$F:$F,'Wells Fargo'!$G:$G,'Cash Flow'!$A34,'Wells Fargo'!$A:$A,O$1,'Wells Fargo'!$B:$B,"&lt;="&amp;'Cash Flow'!O$3,'Wells Fargo'!$B:$B,"&gt;"&amp;'Cash Flow'!N$3)</f>
        <v>0</v>
      </c>
      <c r="P34" s="77">
        <f>SUMIFS('Wells Fargo'!$F:$F,'Wells Fargo'!$G:$G,'Cash Flow'!$A34,'Wells Fargo'!$A:$A,P$1,'Wells Fargo'!$B:$B,"&lt;="&amp;'Cash Flow'!P$3,'Wells Fargo'!$B:$B,"&gt;"&amp;'Cash Flow'!O$3)</f>
        <v>0</v>
      </c>
      <c r="Q34" s="111">
        <f>SUMIFS('Wells Fargo'!$F:$F,'Wells Fargo'!$G:$G,'Cash Flow'!$A34,'Wells Fargo'!$A:$A,Q$1,'Wells Fargo'!$B:$B,"&lt;="&amp;'Cash Flow'!Q$3)</f>
        <v>0</v>
      </c>
      <c r="R34" s="77">
        <f>SUMIFS('Wells Fargo'!$F:$F,'Wells Fargo'!$G:$G,'Cash Flow'!$A34,'Wells Fargo'!$A:$A,R$1,'Wells Fargo'!$B:$B,"&lt;="&amp;'Cash Flow'!R$3,'Wells Fargo'!$B:$B,"&gt;"&amp;'Cash Flow'!Q$3)</f>
        <v>0</v>
      </c>
      <c r="S34" s="77">
        <f>SUMIFS('Wells Fargo'!$F:$F,'Wells Fargo'!$G:$G,'Cash Flow'!$A34,'Wells Fargo'!$A:$A,S$1,'Wells Fargo'!$B:$B,"&lt;="&amp;'Cash Flow'!S$3,'Wells Fargo'!$B:$B,"&gt;"&amp;'Cash Flow'!R$3)</f>
        <v>0</v>
      </c>
      <c r="T34" s="77">
        <f>SUMIFS('Wells Fargo'!$F:$F,'Wells Fargo'!$G:$G,'Cash Flow'!$A34,'Wells Fargo'!$A:$A,T$1,'Wells Fargo'!$B:$B,"&lt;="&amp;'Cash Flow'!T$3,'Wells Fargo'!$B:$B,"&gt;"&amp;'Cash Flow'!S$3)</f>
        <v>-10.6</v>
      </c>
      <c r="U34" s="77">
        <f>SUMIFS('Wells Fargo'!$F:$F,'Wells Fargo'!$G:$G,'Cash Flow'!$A34,'Wells Fargo'!$A:$A,U$1,'Wells Fargo'!$B:$B,"&lt;="&amp;'Cash Flow'!U$3,'Wells Fargo'!$B:$B,"&gt;"&amp;'Cash Flow'!T$3)</f>
        <v>0</v>
      </c>
      <c r="V34" s="111">
        <f>SUMIFS('Wells Fargo'!$F:$F,'Wells Fargo'!$G:$G,'Cash Flow'!$A34,'Wells Fargo'!$A:$A,V$1,'Wells Fargo'!$B:$B,"&lt;="&amp;'Cash Flow'!V$3)</f>
        <v>0</v>
      </c>
      <c r="W34" s="77">
        <f>SUMIFS('Wells Fargo'!$F:$F,'Wells Fargo'!$G:$G,'Cash Flow'!$A34,'Wells Fargo'!$A:$A,W$1,'Wells Fargo'!$B:$B,"&lt;="&amp;'Cash Flow'!W$3,'Wells Fargo'!$B:$B,"&gt;"&amp;'Cash Flow'!V$3)</f>
        <v>0</v>
      </c>
      <c r="X34" s="77">
        <f>SUMIFS('Wells Fargo'!$F:$F,'Wells Fargo'!$G:$G,'Cash Flow'!$A34,'Wells Fargo'!$A:$A,X$1,'Wells Fargo'!$B:$B,"&lt;="&amp;'Cash Flow'!X$3,'Wells Fargo'!$B:$B,"&gt;"&amp;'Cash Flow'!W$3)</f>
        <v>0</v>
      </c>
      <c r="Y34" s="77">
        <f>SUMIFS('Wells Fargo'!$F:$F,'Wells Fargo'!$G:$G,'Cash Flow'!$A34,'Wells Fargo'!$A:$A,Y$1,'Wells Fargo'!$B:$B,"&lt;="&amp;'Cash Flow'!Y$3,'Wells Fargo'!$B:$B,"&gt;"&amp;'Cash Flow'!X$3)</f>
        <v>0</v>
      </c>
      <c r="Z34" s="77">
        <f>SUMIFS('Wells Fargo'!$F:$F,'Wells Fargo'!$G:$G,'Cash Flow'!$A34,'Wells Fargo'!$A:$A,Z$1,'Wells Fargo'!$B:$B,"&lt;="&amp;'Cash Flow'!Z$3,'Wells Fargo'!$B:$B,"&gt;"&amp;'Cash Flow'!Y$3)</f>
        <v>0</v>
      </c>
      <c r="AA34" s="111">
        <f>SUMIFS('Wells Fargo'!$F:$F,'Wells Fargo'!$G:$G,'Cash Flow'!$A34,'Wells Fargo'!$A:$A,AA$1,'Wells Fargo'!$B:$B,"&lt;="&amp;'Cash Flow'!AA$3)</f>
        <v>0</v>
      </c>
      <c r="AB34" s="77">
        <f>SUMIFS('Wells Fargo'!$F:$F,'Wells Fargo'!$G:$G,'Cash Flow'!$A34,'Wells Fargo'!$A:$A,AB$1,'Wells Fargo'!$B:$B,"&lt;="&amp;'Cash Flow'!AB$3,'Wells Fargo'!$B:$B,"&gt;"&amp;'Cash Flow'!AA$3)</f>
        <v>-12.17</v>
      </c>
      <c r="AC34" s="77">
        <f>SUMIFS('Wells Fargo'!$F:$F,'Wells Fargo'!$G:$G,'Cash Flow'!$A34,'Wells Fargo'!$A:$A,AC$1,'Wells Fargo'!$B:$B,"&lt;="&amp;'Cash Flow'!AC$3,'Wells Fargo'!$B:$B,"&gt;"&amp;'Cash Flow'!AB$3)</f>
        <v>0</v>
      </c>
      <c r="AD34" s="77">
        <f>SUMIFS('Wells Fargo'!$F:$F,'Wells Fargo'!$G:$G,'Cash Flow'!$A34,'Wells Fargo'!$A:$A,AD$1,'Wells Fargo'!$B:$B,"&lt;="&amp;'Cash Flow'!AD$3,'Wells Fargo'!$B:$B,"&gt;"&amp;'Cash Flow'!AC$3)</f>
        <v>0</v>
      </c>
      <c r="AE34" s="77">
        <f>SUMIFS('Wells Fargo'!$F:$F,'Wells Fargo'!$G:$G,'Cash Flow'!$A34,'Wells Fargo'!$A:$A,AE$1,'Wells Fargo'!$B:$B,"&lt;="&amp;'Cash Flow'!AE$3,'Wells Fargo'!$B:$B,"&gt;"&amp;'Cash Flow'!AD$3)</f>
        <v>0</v>
      </c>
      <c r="AF34" s="111">
        <f>SUMIFS('Wells Fargo'!$F:$F,'Wells Fargo'!$G:$G,'Cash Flow'!$A34,'Wells Fargo'!$A:$A,AF$1,'Wells Fargo'!$B:$B,"&lt;="&amp;'Cash Flow'!AF$3)</f>
        <v>0</v>
      </c>
      <c r="AG34" s="77">
        <f>SUMIFS('Wells Fargo'!$F:$F,'Wells Fargo'!$G:$G,'Cash Flow'!$A34,'Wells Fargo'!$A:$A,AG$1,'Wells Fargo'!$B:$B,"&lt;="&amp;'Cash Flow'!AG$3,'Wells Fargo'!$B:$B,"&gt;"&amp;'Cash Flow'!AF$3)</f>
        <v>0</v>
      </c>
      <c r="AH34" s="77">
        <f>SUMIFS('Wells Fargo'!$F:$F,'Wells Fargo'!$G:$G,'Cash Flow'!$A34,'Wells Fargo'!$A:$A,AH$1,'Wells Fargo'!$B:$B,"&lt;="&amp;'Cash Flow'!AH$3,'Wells Fargo'!$B:$B,"&gt;"&amp;'Cash Flow'!AG$3)</f>
        <v>0</v>
      </c>
      <c r="AI34" s="77">
        <f>SUMIFS('Wells Fargo'!$F:$F,'Wells Fargo'!$G:$G,'Cash Flow'!$A34,'Wells Fargo'!$A:$A,AI$1,'Wells Fargo'!$B:$B,"&lt;="&amp;'Cash Flow'!AI$3,'Wells Fargo'!$B:$B,"&gt;"&amp;'Cash Flow'!AH$3)</f>
        <v>0</v>
      </c>
      <c r="AJ34" s="77">
        <f>SUMIFS('Wells Fargo'!$F:$F,'Wells Fargo'!$G:$G,'Cash Flow'!$A34,'Wells Fargo'!$A:$A,AJ$1,'Wells Fargo'!$B:$B,"&lt;="&amp;'Cash Flow'!AJ$3,'Wells Fargo'!$B:$B,"&gt;"&amp;'Cash Flow'!AI$3)</f>
        <v>0</v>
      </c>
      <c r="AK34" s="111">
        <f>SUMIFS('Wells Fargo'!$F:$F,'Wells Fargo'!$G:$G,'Cash Flow'!$A34,'Wells Fargo'!$A:$A,AK$1,'Wells Fargo'!$B:$B,"&lt;="&amp;'Cash Flow'!AK$3)</f>
        <v>0</v>
      </c>
      <c r="AL34" s="77">
        <f>SUMIFS('Wells Fargo'!$F:$F,'Wells Fargo'!$G:$G,'Cash Flow'!$A34,'Wells Fargo'!$A:$A,AL$1,'Wells Fargo'!$B:$B,"&lt;="&amp;'Cash Flow'!AL$3,'Wells Fargo'!$B:$B,"&gt;"&amp;'Cash Flow'!AK$3)</f>
        <v>0</v>
      </c>
      <c r="AM34" s="77">
        <f>SUMIFS('Wells Fargo'!$F:$F,'Wells Fargo'!$G:$G,'Cash Flow'!$A34,'Wells Fargo'!$A:$A,AM$1,'Wells Fargo'!$B:$B,"&lt;="&amp;'Cash Flow'!AM$3,'Wells Fargo'!$B:$B,"&gt;"&amp;'Cash Flow'!AL$3)</f>
        <v>0</v>
      </c>
      <c r="AN34" s="77">
        <f>SUMIFS('Wells Fargo'!$F:$F,'Wells Fargo'!$G:$G,'Cash Flow'!$A34,'Wells Fargo'!$A:$A,AN$1,'Wells Fargo'!$B:$B,"&lt;="&amp;'Cash Flow'!AN$3,'Wells Fargo'!$B:$B,"&gt;"&amp;'Cash Flow'!AM$3)</f>
        <v>0</v>
      </c>
      <c r="AO34" s="77">
        <f>SUMIFS('Wells Fargo'!$F:$F,'Wells Fargo'!$G:$G,'Cash Flow'!$A34,'Wells Fargo'!$A:$A,AO$1,'Wells Fargo'!$B:$B,"&lt;="&amp;'Cash Flow'!AO$3,'Wells Fargo'!$B:$B,"&gt;"&amp;'Cash Flow'!AN$3)</f>
        <v>0</v>
      </c>
      <c r="AP34" s="111">
        <f>SUMIFS('Wells Fargo'!$F:$F,'Wells Fargo'!$G:$G,'Cash Flow'!$A34,'Wells Fargo'!$A:$A,AP$1,'Wells Fargo'!$B:$B,"&lt;="&amp;'Cash Flow'!AP$3)</f>
        <v>0</v>
      </c>
      <c r="AQ34" s="77">
        <f>SUMIFS('Wells Fargo'!$F:$F,'Wells Fargo'!$G:$G,'Cash Flow'!$A34,'Wells Fargo'!$A:$A,AQ$1,'Wells Fargo'!$B:$B,"&lt;="&amp;'Cash Flow'!AQ$3,'Wells Fargo'!$B:$B,"&gt;"&amp;'Cash Flow'!AP$3)</f>
        <v>0</v>
      </c>
      <c r="AR34" s="77">
        <f>SUMIFS('Wells Fargo'!$F:$F,'Wells Fargo'!$G:$G,'Cash Flow'!$A34,'Wells Fargo'!$A:$A,AR$1,'Wells Fargo'!$B:$B,"&lt;="&amp;'Cash Flow'!AR$3,'Wells Fargo'!$B:$B,"&gt;"&amp;'Cash Flow'!AQ$3)</f>
        <v>0</v>
      </c>
      <c r="AS34" s="77">
        <f>SUMIFS('Wells Fargo'!$F:$F,'Wells Fargo'!$G:$G,'Cash Flow'!$A34,'Wells Fargo'!$A:$A,AS$1,'Wells Fargo'!$B:$B,"&lt;="&amp;'Cash Flow'!AS$3,'Wells Fargo'!$B:$B,"&gt;"&amp;'Cash Flow'!AR$3)</f>
        <v>0</v>
      </c>
      <c r="AT34" s="77">
        <f>SUMIFS('Wells Fargo'!$F:$F,'Wells Fargo'!$G:$G,'Cash Flow'!$A34,'Wells Fargo'!$A:$A,AT$1,'Wells Fargo'!$B:$B,"&lt;="&amp;'Cash Flow'!AT$3,'Wells Fargo'!$B:$B,"&gt;"&amp;'Cash Flow'!AS$3)</f>
        <v>0</v>
      </c>
      <c r="AU34" s="111">
        <f>SUMIFS('Wells Fargo'!$F:$F,'Wells Fargo'!$G:$G,'Cash Flow'!$A34,'Wells Fargo'!$A:$A,AU$1,'Wells Fargo'!$B:$B,"&lt;="&amp;'Cash Flow'!AU$3)</f>
        <v>0</v>
      </c>
      <c r="AV34" s="77">
        <f>SUMIFS('Wells Fargo'!$F:$F,'Wells Fargo'!$G:$G,'Cash Flow'!$A34,'Wells Fargo'!$A:$A,AV$1,'Wells Fargo'!$B:$B,"&lt;="&amp;'Cash Flow'!AV$3,'Wells Fargo'!$B:$B,"&gt;"&amp;'Cash Flow'!AU$3)</f>
        <v>0</v>
      </c>
      <c r="AW34" s="77">
        <f>SUMIFS('Wells Fargo'!$F:$F,'Wells Fargo'!$G:$G,'Cash Flow'!$A34,'Wells Fargo'!$A:$A,AW$1,'Wells Fargo'!$B:$B,"&lt;="&amp;'Cash Flow'!AW$3,'Wells Fargo'!$B:$B,"&gt;"&amp;'Cash Flow'!AV$3)</f>
        <v>0</v>
      </c>
      <c r="AX34" s="77">
        <f>SUMIFS('Wells Fargo'!$F:$F,'Wells Fargo'!$G:$G,'Cash Flow'!$A34,'Wells Fargo'!$A:$A,AX$1,'Wells Fargo'!$B:$B,"&lt;="&amp;'Cash Flow'!AX$3,'Wells Fargo'!$B:$B,"&gt;"&amp;'Cash Flow'!AW$3)</f>
        <v>0</v>
      </c>
      <c r="AY34" s="77">
        <f>SUMIFS('Wells Fargo'!$F:$F,'Wells Fargo'!$G:$G,'Cash Flow'!$A34,'Wells Fargo'!$A:$A,AY$1,'Wells Fargo'!$B:$B,"&lt;="&amp;'Cash Flow'!AY$3,'Wells Fargo'!$B:$B,"&gt;"&amp;'Cash Flow'!AX$3)</f>
        <v>0</v>
      </c>
      <c r="AZ34" s="111">
        <f>SUMIFS('Wells Fargo'!$F:$F,'Wells Fargo'!$G:$G,'Cash Flow'!$A34,'Wells Fargo'!$A:$A,AZ$1,'Wells Fargo'!$B:$B,"&lt;="&amp;'Cash Flow'!AZ$3)</f>
        <v>0</v>
      </c>
      <c r="BA34" s="77">
        <f>SUMIFS('Wells Fargo'!$F:$F,'Wells Fargo'!$G:$G,'Cash Flow'!$A34,'Wells Fargo'!$A:$A,BA$1,'Wells Fargo'!$B:$B,"&lt;="&amp;'Cash Flow'!BA$3,'Wells Fargo'!$B:$B,"&gt;"&amp;'Cash Flow'!AZ$3)</f>
        <v>0</v>
      </c>
      <c r="BB34" s="77">
        <f>SUMIFS('Wells Fargo'!$F:$F,'Wells Fargo'!$G:$G,'Cash Flow'!$A34,'Wells Fargo'!$A:$A,BB$1,'Wells Fargo'!$B:$B,"&lt;="&amp;'Cash Flow'!BB$3,'Wells Fargo'!$B:$B,"&gt;"&amp;'Cash Flow'!BA$3)</f>
        <v>0</v>
      </c>
      <c r="BC34" s="77">
        <f>SUMIFS('Wells Fargo'!$F:$F,'Wells Fargo'!$G:$G,'Cash Flow'!$A34,'Wells Fargo'!$A:$A,BC$1,'Wells Fargo'!$B:$B,"&lt;="&amp;'Cash Flow'!BC$3,'Wells Fargo'!$B:$B,"&gt;"&amp;'Cash Flow'!BB$3)</f>
        <v>0</v>
      </c>
      <c r="BD34" s="77">
        <f>SUMIFS('Wells Fargo'!$F:$F,'Wells Fargo'!$G:$G,'Cash Flow'!$A34,'Wells Fargo'!$A:$A,BD$1,'Wells Fargo'!$B:$B,"&lt;="&amp;'Cash Flow'!BD$3,'Wells Fargo'!$B:$B,"&gt;"&amp;'Cash Flow'!BC$3)</f>
        <v>0</v>
      </c>
      <c r="BE34" s="111">
        <f>SUMIFS('Wells Fargo'!$F:$F,'Wells Fargo'!$G:$G,'Cash Flow'!$A34,'Wells Fargo'!$A:$A,BE$1,'Wells Fargo'!$B:$B,"&lt;="&amp;'Cash Flow'!BE$3)</f>
        <v>0</v>
      </c>
      <c r="BF34" s="77">
        <f>SUMIFS('Wells Fargo'!$F:$F,'Wells Fargo'!$G:$G,'Cash Flow'!$A34,'Wells Fargo'!$A:$A,BF$1,'Wells Fargo'!$B:$B,"&lt;="&amp;'Cash Flow'!BF$3,'Wells Fargo'!$B:$B,"&gt;"&amp;'Cash Flow'!BE$3)</f>
        <v>0</v>
      </c>
      <c r="BG34" s="77">
        <f>SUMIFS('Wells Fargo'!$F:$F,'Wells Fargo'!$G:$G,'Cash Flow'!$A34,'Wells Fargo'!$A:$A,BG$1,'Wells Fargo'!$B:$B,"&lt;="&amp;'Cash Flow'!BG$3,'Wells Fargo'!$B:$B,"&gt;"&amp;'Cash Flow'!BF$3)</f>
        <v>0</v>
      </c>
      <c r="BH34" s="77">
        <f>SUMIFS('Wells Fargo'!$F:$F,'Wells Fargo'!$G:$G,'Cash Flow'!$A34,'Wells Fargo'!$A:$A,BH$1,'Wells Fargo'!$B:$B,"&lt;="&amp;'Cash Flow'!BH$3,'Wells Fargo'!$B:$B,"&gt;"&amp;'Cash Flow'!BG$3)</f>
        <v>0</v>
      </c>
      <c r="BI34" s="77">
        <f>SUMIFS('Wells Fargo'!$F:$F,'Wells Fargo'!$G:$G,'Cash Flow'!$A34,'Wells Fargo'!$A:$A,BI$1,'Wells Fargo'!$B:$B,"&lt;="&amp;'Cash Flow'!BI$3,'Wells Fargo'!$B:$B,"&gt;"&amp;'Cash Flow'!BH$3)</f>
        <v>0</v>
      </c>
    </row>
    <row r="35" spans="1:61" ht="14.5" x14ac:dyDescent="0.5">
      <c r="A35" t="str">
        <v>Resteraunt</v>
      </c>
      <c r="B35" s="90">
        <f t="shared" si="0"/>
        <v>-88.57</v>
      </c>
      <c r="C35" s="111">
        <f>SUMIFS('Wells Fargo'!$F:$F,'Wells Fargo'!$G:$G,'Cash Flow'!$A35,'Wells Fargo'!$A:$A,C$1,'Wells Fargo'!$B:$B,"&lt;="&amp;'Cash Flow'!C$3)</f>
        <v>0</v>
      </c>
      <c r="D35" s="77">
        <f>SUMIFS('Wells Fargo'!$F:$F,'Wells Fargo'!$G:$G,'Cash Flow'!$A35,'Wells Fargo'!$A:$A,D$1,'Wells Fargo'!$B:$B,"&lt;="&amp;'Cash Flow'!D$3,'Wells Fargo'!$B:$B,"&gt;"&amp;'Cash Flow'!C$3)</f>
        <v>0</v>
      </c>
      <c r="E35" s="77">
        <f>SUMIFS('Wells Fargo'!$F:$F,'Wells Fargo'!$G:$G,'Cash Flow'!$A35,'Wells Fargo'!$A:$A,E$1,'Wells Fargo'!$B:$B,"&lt;="&amp;'Cash Flow'!E$3,'Wells Fargo'!$B:$B,"&gt;"&amp;'Cash Flow'!D$3)</f>
        <v>0</v>
      </c>
      <c r="F35" s="77">
        <f>SUMIFS('Wells Fargo'!$F:$F,'Wells Fargo'!$G:$G,'Cash Flow'!$A35,'Wells Fargo'!$A:$A,F$1,'Wells Fargo'!$B:$B,"&lt;="&amp;'Cash Flow'!F$3,'Wells Fargo'!$B:$B,"&gt;"&amp;'Cash Flow'!E$3)</f>
        <v>0</v>
      </c>
      <c r="G35" s="77">
        <f>SUMIFS('Wells Fargo'!$F:$F,'Wells Fargo'!$G:$G,'Cash Flow'!$A35,'Wells Fargo'!$A:$A,G$1,'Wells Fargo'!$B:$B,"&lt;="&amp;'Cash Flow'!G$3,'Wells Fargo'!$B:$B,"&gt;"&amp;'Cash Flow'!F$3)</f>
        <v>0</v>
      </c>
      <c r="H35" s="111">
        <f>SUMIFS('Wells Fargo'!$F:$F,'Wells Fargo'!$G:$G,'Cash Flow'!$A35,'Wells Fargo'!$A:$A,H$1,'Wells Fargo'!$B:$B,"&lt;="&amp;'Cash Flow'!H$3)</f>
        <v>0</v>
      </c>
      <c r="I35" s="77">
        <f>SUMIFS('Wells Fargo'!$F:$F,'Wells Fargo'!$G:$G,'Cash Flow'!$A35,'Wells Fargo'!$A:$A,I$1,'Wells Fargo'!$B:$B,"&lt;="&amp;'Cash Flow'!I$3,'Wells Fargo'!$B:$B,"&gt;"&amp;'Cash Flow'!H$3)</f>
        <v>0</v>
      </c>
      <c r="J35" s="77">
        <f>SUMIFS('Wells Fargo'!$F:$F,'Wells Fargo'!$G:$G,'Cash Flow'!$A35,'Wells Fargo'!$A:$A,J$1,'Wells Fargo'!$B:$B,"&lt;="&amp;'Cash Flow'!J$3,'Wells Fargo'!$B:$B,"&gt;"&amp;'Cash Flow'!I$3)</f>
        <v>0</v>
      </c>
      <c r="K35" s="77">
        <f>SUMIFS('Wells Fargo'!$F:$F,'Wells Fargo'!$G:$G,'Cash Flow'!$A35,'Wells Fargo'!$A:$A,K$1,'Wells Fargo'!$B:$B,"&lt;="&amp;'Cash Flow'!K$3,'Wells Fargo'!$B:$B,"&gt;"&amp;'Cash Flow'!J$3)</f>
        <v>0</v>
      </c>
      <c r="L35" s="111">
        <f>SUMIFS('Wells Fargo'!$F:$F,'Wells Fargo'!$G:$G,'Cash Flow'!$A35,'Wells Fargo'!$A:$A,L$1,'Wells Fargo'!$B:$B,"&lt;="&amp;'Cash Flow'!L$3)</f>
        <v>0</v>
      </c>
      <c r="M35" s="77">
        <f>SUMIFS('Wells Fargo'!$F:$F,'Wells Fargo'!$G:$G,'Cash Flow'!$A35,'Wells Fargo'!$A:$A,M$1,'Wells Fargo'!$B:$B,"&lt;="&amp;'Cash Flow'!M$3,'Wells Fargo'!$B:$B,"&gt;"&amp;'Cash Flow'!L$3)</f>
        <v>0</v>
      </c>
      <c r="N35" s="77">
        <f>SUMIFS('Wells Fargo'!$F:$F,'Wells Fargo'!$G:$G,'Cash Flow'!$A35,'Wells Fargo'!$A:$A,N$1,'Wells Fargo'!$B:$B,"&lt;="&amp;'Cash Flow'!N$3,'Wells Fargo'!$B:$B,"&gt;"&amp;'Cash Flow'!M$3)</f>
        <v>0</v>
      </c>
      <c r="O35" s="77">
        <f>SUMIFS('Wells Fargo'!$F:$F,'Wells Fargo'!$G:$G,'Cash Flow'!$A35,'Wells Fargo'!$A:$A,O$1,'Wells Fargo'!$B:$B,"&lt;="&amp;'Cash Flow'!O$3,'Wells Fargo'!$B:$B,"&gt;"&amp;'Cash Flow'!N$3)</f>
        <v>0</v>
      </c>
      <c r="P35" s="77">
        <f>SUMIFS('Wells Fargo'!$F:$F,'Wells Fargo'!$G:$G,'Cash Flow'!$A35,'Wells Fargo'!$A:$A,P$1,'Wells Fargo'!$B:$B,"&lt;="&amp;'Cash Flow'!P$3,'Wells Fargo'!$B:$B,"&gt;"&amp;'Cash Flow'!O$3)</f>
        <v>0</v>
      </c>
      <c r="Q35" s="111">
        <f>SUMIFS('Wells Fargo'!$F:$F,'Wells Fargo'!$G:$G,'Cash Flow'!$A35,'Wells Fargo'!$A:$A,Q$1,'Wells Fargo'!$B:$B,"&lt;="&amp;'Cash Flow'!Q$3)</f>
        <v>0</v>
      </c>
      <c r="R35" s="77">
        <f>SUMIFS('Wells Fargo'!$F:$F,'Wells Fargo'!$G:$G,'Cash Flow'!$A35,'Wells Fargo'!$A:$A,R$1,'Wells Fargo'!$B:$B,"&lt;="&amp;'Cash Flow'!R$3,'Wells Fargo'!$B:$B,"&gt;"&amp;'Cash Flow'!Q$3)</f>
        <v>0</v>
      </c>
      <c r="S35" s="77">
        <f>SUMIFS('Wells Fargo'!$F:$F,'Wells Fargo'!$G:$G,'Cash Flow'!$A35,'Wells Fargo'!$A:$A,S$1,'Wells Fargo'!$B:$B,"&lt;="&amp;'Cash Flow'!S$3,'Wells Fargo'!$B:$B,"&gt;"&amp;'Cash Flow'!R$3)</f>
        <v>0</v>
      </c>
      <c r="T35" s="77">
        <f>SUMIFS('Wells Fargo'!$F:$F,'Wells Fargo'!$G:$G,'Cash Flow'!$A35,'Wells Fargo'!$A:$A,T$1,'Wells Fargo'!$B:$B,"&lt;="&amp;'Cash Flow'!T$3,'Wells Fargo'!$B:$B,"&gt;"&amp;'Cash Flow'!S$3)</f>
        <v>0</v>
      </c>
      <c r="U35" s="77">
        <f>SUMIFS('Wells Fargo'!$F:$F,'Wells Fargo'!$G:$G,'Cash Flow'!$A35,'Wells Fargo'!$A:$A,U$1,'Wells Fargo'!$B:$B,"&lt;="&amp;'Cash Flow'!U$3,'Wells Fargo'!$B:$B,"&gt;"&amp;'Cash Flow'!T$3)</f>
        <v>0</v>
      </c>
      <c r="V35" s="111">
        <f>SUMIFS('Wells Fargo'!$F:$F,'Wells Fargo'!$G:$G,'Cash Flow'!$A35,'Wells Fargo'!$A:$A,V$1,'Wells Fargo'!$B:$B,"&lt;="&amp;'Cash Flow'!V$3)</f>
        <v>0</v>
      </c>
      <c r="W35" s="77">
        <f>SUMIFS('Wells Fargo'!$F:$F,'Wells Fargo'!$G:$G,'Cash Flow'!$A35,'Wells Fargo'!$A:$A,W$1,'Wells Fargo'!$B:$B,"&lt;="&amp;'Cash Flow'!W$3,'Wells Fargo'!$B:$B,"&gt;"&amp;'Cash Flow'!V$3)</f>
        <v>0</v>
      </c>
      <c r="X35" s="77">
        <f>SUMIFS('Wells Fargo'!$F:$F,'Wells Fargo'!$G:$G,'Cash Flow'!$A35,'Wells Fargo'!$A:$A,X$1,'Wells Fargo'!$B:$B,"&lt;="&amp;'Cash Flow'!X$3,'Wells Fargo'!$B:$B,"&gt;"&amp;'Cash Flow'!W$3)</f>
        <v>0</v>
      </c>
      <c r="Y35" s="77">
        <f>SUMIFS('Wells Fargo'!$F:$F,'Wells Fargo'!$G:$G,'Cash Flow'!$A35,'Wells Fargo'!$A:$A,Y$1,'Wells Fargo'!$B:$B,"&lt;="&amp;'Cash Flow'!Y$3,'Wells Fargo'!$B:$B,"&gt;"&amp;'Cash Flow'!X$3)</f>
        <v>0</v>
      </c>
      <c r="Z35" s="77">
        <f>SUMIFS('Wells Fargo'!$F:$F,'Wells Fargo'!$G:$G,'Cash Flow'!$A35,'Wells Fargo'!$A:$A,Z$1,'Wells Fargo'!$B:$B,"&lt;="&amp;'Cash Flow'!Z$3,'Wells Fargo'!$B:$B,"&gt;"&amp;'Cash Flow'!Y$3)</f>
        <v>0</v>
      </c>
      <c r="AA35" s="111">
        <f>SUMIFS('Wells Fargo'!$F:$F,'Wells Fargo'!$G:$G,'Cash Flow'!$A35,'Wells Fargo'!$A:$A,AA$1,'Wells Fargo'!$B:$B,"&lt;="&amp;'Cash Flow'!AA$3)</f>
        <v>0</v>
      </c>
      <c r="AB35" s="77">
        <f>SUMIFS('Wells Fargo'!$F:$F,'Wells Fargo'!$G:$G,'Cash Flow'!$A35,'Wells Fargo'!$A:$A,AB$1,'Wells Fargo'!$B:$B,"&lt;="&amp;'Cash Flow'!AB$3,'Wells Fargo'!$B:$B,"&gt;"&amp;'Cash Flow'!AA$3)</f>
        <v>0</v>
      </c>
      <c r="AC35" s="77">
        <f>SUMIFS('Wells Fargo'!$F:$F,'Wells Fargo'!$G:$G,'Cash Flow'!$A35,'Wells Fargo'!$A:$A,AC$1,'Wells Fargo'!$B:$B,"&lt;="&amp;'Cash Flow'!AC$3,'Wells Fargo'!$B:$B,"&gt;"&amp;'Cash Flow'!AB$3)</f>
        <v>0</v>
      </c>
      <c r="AD35" s="77">
        <f>SUMIFS('Wells Fargo'!$F:$F,'Wells Fargo'!$G:$G,'Cash Flow'!$A35,'Wells Fargo'!$A:$A,AD$1,'Wells Fargo'!$B:$B,"&lt;="&amp;'Cash Flow'!AD$3,'Wells Fargo'!$B:$B,"&gt;"&amp;'Cash Flow'!AC$3)</f>
        <v>-58.57</v>
      </c>
      <c r="AE35" s="77">
        <f>SUMIFS('Wells Fargo'!$F:$F,'Wells Fargo'!$G:$G,'Cash Flow'!$A35,'Wells Fargo'!$A:$A,AE$1,'Wells Fargo'!$B:$B,"&lt;="&amp;'Cash Flow'!AE$3,'Wells Fargo'!$B:$B,"&gt;"&amp;'Cash Flow'!AD$3)</f>
        <v>0</v>
      </c>
      <c r="AF35" s="111">
        <f>SUMIFS('Wells Fargo'!$F:$F,'Wells Fargo'!$G:$G,'Cash Flow'!$A35,'Wells Fargo'!$A:$A,AF$1,'Wells Fargo'!$B:$B,"&lt;="&amp;'Cash Flow'!AF$3)</f>
        <v>0</v>
      </c>
      <c r="AG35" s="77">
        <f>SUMIFS('Wells Fargo'!$F:$F,'Wells Fargo'!$G:$G,'Cash Flow'!$A35,'Wells Fargo'!$A:$A,AG$1,'Wells Fargo'!$B:$B,"&lt;="&amp;'Cash Flow'!AG$3,'Wells Fargo'!$B:$B,"&gt;"&amp;'Cash Flow'!AF$3)</f>
        <v>-30</v>
      </c>
      <c r="AH35" s="77">
        <f>SUMIFS('Wells Fargo'!$F:$F,'Wells Fargo'!$G:$G,'Cash Flow'!$A35,'Wells Fargo'!$A:$A,AH$1,'Wells Fargo'!$B:$B,"&lt;="&amp;'Cash Flow'!AH$3,'Wells Fargo'!$B:$B,"&gt;"&amp;'Cash Flow'!AG$3)</f>
        <v>0</v>
      </c>
      <c r="AI35" s="77">
        <f>SUMIFS('Wells Fargo'!$F:$F,'Wells Fargo'!$G:$G,'Cash Flow'!$A35,'Wells Fargo'!$A:$A,AI$1,'Wells Fargo'!$B:$B,"&lt;="&amp;'Cash Flow'!AI$3,'Wells Fargo'!$B:$B,"&gt;"&amp;'Cash Flow'!AH$3)</f>
        <v>0</v>
      </c>
      <c r="AJ35" s="77">
        <f>SUMIFS('Wells Fargo'!$F:$F,'Wells Fargo'!$G:$G,'Cash Flow'!$A35,'Wells Fargo'!$A:$A,AJ$1,'Wells Fargo'!$B:$B,"&lt;="&amp;'Cash Flow'!AJ$3,'Wells Fargo'!$B:$B,"&gt;"&amp;'Cash Flow'!AI$3)</f>
        <v>0</v>
      </c>
      <c r="AK35" s="111">
        <f>SUMIFS('Wells Fargo'!$F:$F,'Wells Fargo'!$G:$G,'Cash Flow'!$A35,'Wells Fargo'!$A:$A,AK$1,'Wells Fargo'!$B:$B,"&lt;="&amp;'Cash Flow'!AK$3)</f>
        <v>0</v>
      </c>
      <c r="AL35" s="77">
        <f>SUMIFS('Wells Fargo'!$F:$F,'Wells Fargo'!$G:$G,'Cash Flow'!$A35,'Wells Fargo'!$A:$A,AL$1,'Wells Fargo'!$B:$B,"&lt;="&amp;'Cash Flow'!AL$3,'Wells Fargo'!$B:$B,"&gt;"&amp;'Cash Flow'!AK$3)</f>
        <v>0</v>
      </c>
      <c r="AM35" s="77">
        <f>SUMIFS('Wells Fargo'!$F:$F,'Wells Fargo'!$G:$G,'Cash Flow'!$A35,'Wells Fargo'!$A:$A,AM$1,'Wells Fargo'!$B:$B,"&lt;="&amp;'Cash Flow'!AM$3,'Wells Fargo'!$B:$B,"&gt;"&amp;'Cash Flow'!AL$3)</f>
        <v>0</v>
      </c>
      <c r="AN35" s="77">
        <f>SUMIFS('Wells Fargo'!$F:$F,'Wells Fargo'!$G:$G,'Cash Flow'!$A35,'Wells Fargo'!$A:$A,AN$1,'Wells Fargo'!$B:$B,"&lt;="&amp;'Cash Flow'!AN$3,'Wells Fargo'!$B:$B,"&gt;"&amp;'Cash Flow'!AM$3)</f>
        <v>0</v>
      </c>
      <c r="AO35" s="77">
        <f>SUMIFS('Wells Fargo'!$F:$F,'Wells Fargo'!$G:$G,'Cash Flow'!$A35,'Wells Fargo'!$A:$A,AO$1,'Wells Fargo'!$B:$B,"&lt;="&amp;'Cash Flow'!AO$3,'Wells Fargo'!$B:$B,"&gt;"&amp;'Cash Flow'!AN$3)</f>
        <v>0</v>
      </c>
      <c r="AP35" s="111">
        <f>SUMIFS('Wells Fargo'!$F:$F,'Wells Fargo'!$G:$G,'Cash Flow'!$A35,'Wells Fargo'!$A:$A,AP$1,'Wells Fargo'!$B:$B,"&lt;="&amp;'Cash Flow'!AP$3)</f>
        <v>0</v>
      </c>
      <c r="AQ35" s="77">
        <f>SUMIFS('Wells Fargo'!$F:$F,'Wells Fargo'!$G:$G,'Cash Flow'!$A35,'Wells Fargo'!$A:$A,AQ$1,'Wells Fargo'!$B:$B,"&lt;="&amp;'Cash Flow'!AQ$3,'Wells Fargo'!$B:$B,"&gt;"&amp;'Cash Flow'!AP$3)</f>
        <v>0</v>
      </c>
      <c r="AR35" s="77">
        <f>SUMIFS('Wells Fargo'!$F:$F,'Wells Fargo'!$G:$G,'Cash Flow'!$A35,'Wells Fargo'!$A:$A,AR$1,'Wells Fargo'!$B:$B,"&lt;="&amp;'Cash Flow'!AR$3,'Wells Fargo'!$B:$B,"&gt;"&amp;'Cash Flow'!AQ$3)</f>
        <v>0</v>
      </c>
      <c r="AS35" s="77">
        <f>SUMIFS('Wells Fargo'!$F:$F,'Wells Fargo'!$G:$G,'Cash Flow'!$A35,'Wells Fargo'!$A:$A,AS$1,'Wells Fargo'!$B:$B,"&lt;="&amp;'Cash Flow'!AS$3,'Wells Fargo'!$B:$B,"&gt;"&amp;'Cash Flow'!AR$3)</f>
        <v>0</v>
      </c>
      <c r="AT35" s="77">
        <f>SUMIFS('Wells Fargo'!$F:$F,'Wells Fargo'!$G:$G,'Cash Flow'!$A35,'Wells Fargo'!$A:$A,AT$1,'Wells Fargo'!$B:$B,"&lt;="&amp;'Cash Flow'!AT$3,'Wells Fargo'!$B:$B,"&gt;"&amp;'Cash Flow'!AS$3)</f>
        <v>0</v>
      </c>
      <c r="AU35" s="111">
        <f>SUMIFS('Wells Fargo'!$F:$F,'Wells Fargo'!$G:$G,'Cash Flow'!$A35,'Wells Fargo'!$A:$A,AU$1,'Wells Fargo'!$B:$B,"&lt;="&amp;'Cash Flow'!AU$3)</f>
        <v>0</v>
      </c>
      <c r="AV35" s="77">
        <f>SUMIFS('Wells Fargo'!$F:$F,'Wells Fargo'!$G:$G,'Cash Flow'!$A35,'Wells Fargo'!$A:$A,AV$1,'Wells Fargo'!$B:$B,"&lt;="&amp;'Cash Flow'!AV$3,'Wells Fargo'!$B:$B,"&gt;"&amp;'Cash Flow'!AU$3)</f>
        <v>0</v>
      </c>
      <c r="AW35" s="77">
        <f>SUMIFS('Wells Fargo'!$F:$F,'Wells Fargo'!$G:$G,'Cash Flow'!$A35,'Wells Fargo'!$A:$A,AW$1,'Wells Fargo'!$B:$B,"&lt;="&amp;'Cash Flow'!AW$3,'Wells Fargo'!$B:$B,"&gt;"&amp;'Cash Flow'!AV$3)</f>
        <v>0</v>
      </c>
      <c r="AX35" s="77">
        <f>SUMIFS('Wells Fargo'!$F:$F,'Wells Fargo'!$G:$G,'Cash Flow'!$A35,'Wells Fargo'!$A:$A,AX$1,'Wells Fargo'!$B:$B,"&lt;="&amp;'Cash Flow'!AX$3,'Wells Fargo'!$B:$B,"&gt;"&amp;'Cash Flow'!AW$3)</f>
        <v>0</v>
      </c>
      <c r="AY35" s="77">
        <f>SUMIFS('Wells Fargo'!$F:$F,'Wells Fargo'!$G:$G,'Cash Flow'!$A35,'Wells Fargo'!$A:$A,AY$1,'Wells Fargo'!$B:$B,"&lt;="&amp;'Cash Flow'!AY$3,'Wells Fargo'!$B:$B,"&gt;"&amp;'Cash Flow'!AX$3)</f>
        <v>0</v>
      </c>
      <c r="AZ35" s="111">
        <f>SUMIFS('Wells Fargo'!$F:$F,'Wells Fargo'!$G:$G,'Cash Flow'!$A35,'Wells Fargo'!$A:$A,AZ$1,'Wells Fargo'!$B:$B,"&lt;="&amp;'Cash Flow'!AZ$3)</f>
        <v>0</v>
      </c>
      <c r="BA35" s="77">
        <f>SUMIFS('Wells Fargo'!$F:$F,'Wells Fargo'!$G:$G,'Cash Flow'!$A35,'Wells Fargo'!$A:$A,BA$1,'Wells Fargo'!$B:$B,"&lt;="&amp;'Cash Flow'!BA$3,'Wells Fargo'!$B:$B,"&gt;"&amp;'Cash Flow'!AZ$3)</f>
        <v>0</v>
      </c>
      <c r="BB35" s="77">
        <f>SUMIFS('Wells Fargo'!$F:$F,'Wells Fargo'!$G:$G,'Cash Flow'!$A35,'Wells Fargo'!$A:$A,BB$1,'Wells Fargo'!$B:$B,"&lt;="&amp;'Cash Flow'!BB$3,'Wells Fargo'!$B:$B,"&gt;"&amp;'Cash Flow'!BA$3)</f>
        <v>0</v>
      </c>
      <c r="BC35" s="77">
        <f>SUMIFS('Wells Fargo'!$F:$F,'Wells Fargo'!$G:$G,'Cash Flow'!$A35,'Wells Fargo'!$A:$A,BC$1,'Wells Fargo'!$B:$B,"&lt;="&amp;'Cash Flow'!BC$3,'Wells Fargo'!$B:$B,"&gt;"&amp;'Cash Flow'!BB$3)</f>
        <v>0</v>
      </c>
      <c r="BD35" s="77">
        <f>SUMIFS('Wells Fargo'!$F:$F,'Wells Fargo'!$G:$G,'Cash Flow'!$A35,'Wells Fargo'!$A:$A,BD$1,'Wells Fargo'!$B:$B,"&lt;="&amp;'Cash Flow'!BD$3,'Wells Fargo'!$B:$B,"&gt;"&amp;'Cash Flow'!BC$3)</f>
        <v>0</v>
      </c>
      <c r="BE35" s="111">
        <f>SUMIFS('Wells Fargo'!$F:$F,'Wells Fargo'!$G:$G,'Cash Flow'!$A35,'Wells Fargo'!$A:$A,BE$1,'Wells Fargo'!$B:$B,"&lt;="&amp;'Cash Flow'!BE$3)</f>
        <v>0</v>
      </c>
      <c r="BF35" s="77">
        <f>SUMIFS('Wells Fargo'!$F:$F,'Wells Fargo'!$G:$G,'Cash Flow'!$A35,'Wells Fargo'!$A:$A,BF$1,'Wells Fargo'!$B:$B,"&lt;="&amp;'Cash Flow'!BF$3,'Wells Fargo'!$B:$B,"&gt;"&amp;'Cash Flow'!BE$3)</f>
        <v>0</v>
      </c>
      <c r="BG35" s="77">
        <f>SUMIFS('Wells Fargo'!$F:$F,'Wells Fargo'!$G:$G,'Cash Flow'!$A35,'Wells Fargo'!$A:$A,BG$1,'Wells Fargo'!$B:$B,"&lt;="&amp;'Cash Flow'!BG$3,'Wells Fargo'!$B:$B,"&gt;"&amp;'Cash Flow'!BF$3)</f>
        <v>0</v>
      </c>
      <c r="BH35" s="77">
        <f>SUMIFS('Wells Fargo'!$F:$F,'Wells Fargo'!$G:$G,'Cash Flow'!$A35,'Wells Fargo'!$A:$A,BH$1,'Wells Fargo'!$B:$B,"&lt;="&amp;'Cash Flow'!BH$3,'Wells Fargo'!$B:$B,"&gt;"&amp;'Cash Flow'!BG$3)</f>
        <v>0</v>
      </c>
      <c r="BI35" s="77">
        <f>SUMIFS('Wells Fargo'!$F:$F,'Wells Fargo'!$G:$G,'Cash Flow'!$A35,'Wells Fargo'!$A:$A,BI$1,'Wells Fargo'!$B:$B,"&lt;="&amp;'Cash Flow'!BI$3,'Wells Fargo'!$B:$B,"&gt;"&amp;'Cash Flow'!BH$3)</f>
        <v>0</v>
      </c>
    </row>
    <row r="36" spans="1:61" ht="14.5" x14ac:dyDescent="0.5">
      <c r="A36" t="str">
        <v>Shelley</v>
      </c>
      <c r="B36" s="90">
        <f t="shared" si="0"/>
        <v>-48.33</v>
      </c>
      <c r="C36" s="111">
        <f>SUMIFS('Wells Fargo'!$F:$F,'Wells Fargo'!$G:$G,'Cash Flow'!$A36,'Wells Fargo'!$A:$A,C$1,'Wells Fargo'!$B:$B,"&lt;="&amp;'Cash Flow'!C$3)</f>
        <v>0</v>
      </c>
      <c r="D36" s="77">
        <f>SUMIFS('Wells Fargo'!$F:$F,'Wells Fargo'!$G:$G,'Cash Flow'!$A36,'Wells Fargo'!$A:$A,D$1,'Wells Fargo'!$B:$B,"&lt;="&amp;'Cash Flow'!D$3,'Wells Fargo'!$B:$B,"&gt;"&amp;'Cash Flow'!C$3)</f>
        <v>0</v>
      </c>
      <c r="E36" s="77">
        <f>SUMIFS('Wells Fargo'!$F:$F,'Wells Fargo'!$G:$G,'Cash Flow'!$A36,'Wells Fargo'!$A:$A,E$1,'Wells Fargo'!$B:$B,"&lt;="&amp;'Cash Flow'!E$3,'Wells Fargo'!$B:$B,"&gt;"&amp;'Cash Flow'!D$3)</f>
        <v>0</v>
      </c>
      <c r="F36" s="77">
        <f>SUMIFS('Wells Fargo'!$F:$F,'Wells Fargo'!$G:$G,'Cash Flow'!$A36,'Wells Fargo'!$A:$A,F$1,'Wells Fargo'!$B:$B,"&lt;="&amp;'Cash Flow'!F$3,'Wells Fargo'!$B:$B,"&gt;"&amp;'Cash Flow'!E$3)</f>
        <v>0</v>
      </c>
      <c r="G36" s="77">
        <f>SUMIFS('Wells Fargo'!$F:$F,'Wells Fargo'!$G:$G,'Cash Flow'!$A36,'Wells Fargo'!$A:$A,G$1,'Wells Fargo'!$B:$B,"&lt;="&amp;'Cash Flow'!G$3,'Wells Fargo'!$B:$B,"&gt;"&amp;'Cash Flow'!F$3)</f>
        <v>0</v>
      </c>
      <c r="H36" s="111">
        <f>SUMIFS('Wells Fargo'!$F:$F,'Wells Fargo'!$G:$G,'Cash Flow'!$A36,'Wells Fargo'!$A:$A,H$1,'Wells Fargo'!$B:$B,"&lt;="&amp;'Cash Flow'!H$3)</f>
        <v>0</v>
      </c>
      <c r="I36" s="77">
        <f>SUMIFS('Wells Fargo'!$F:$F,'Wells Fargo'!$G:$G,'Cash Flow'!$A36,'Wells Fargo'!$A:$A,I$1,'Wells Fargo'!$B:$B,"&lt;="&amp;'Cash Flow'!I$3,'Wells Fargo'!$B:$B,"&gt;"&amp;'Cash Flow'!H$3)</f>
        <v>0</v>
      </c>
      <c r="J36" s="77">
        <f>SUMIFS('Wells Fargo'!$F:$F,'Wells Fargo'!$G:$G,'Cash Flow'!$A36,'Wells Fargo'!$A:$A,J$1,'Wells Fargo'!$B:$B,"&lt;="&amp;'Cash Flow'!J$3,'Wells Fargo'!$B:$B,"&gt;"&amp;'Cash Flow'!I$3)</f>
        <v>0</v>
      </c>
      <c r="K36" s="77">
        <f>SUMIFS('Wells Fargo'!$F:$F,'Wells Fargo'!$G:$G,'Cash Flow'!$A36,'Wells Fargo'!$A:$A,K$1,'Wells Fargo'!$B:$B,"&lt;="&amp;'Cash Flow'!K$3,'Wells Fargo'!$B:$B,"&gt;"&amp;'Cash Flow'!J$3)</f>
        <v>0</v>
      </c>
      <c r="L36" s="111">
        <f>SUMIFS('Wells Fargo'!$F:$F,'Wells Fargo'!$G:$G,'Cash Flow'!$A36,'Wells Fargo'!$A:$A,L$1,'Wells Fargo'!$B:$B,"&lt;="&amp;'Cash Flow'!L$3)</f>
        <v>0</v>
      </c>
      <c r="M36" s="77">
        <f>SUMIFS('Wells Fargo'!$F:$F,'Wells Fargo'!$G:$G,'Cash Flow'!$A36,'Wells Fargo'!$A:$A,M$1,'Wells Fargo'!$B:$B,"&lt;="&amp;'Cash Flow'!M$3,'Wells Fargo'!$B:$B,"&gt;"&amp;'Cash Flow'!L$3)</f>
        <v>0</v>
      </c>
      <c r="N36" s="77">
        <f>SUMIFS('Wells Fargo'!$F:$F,'Wells Fargo'!$G:$G,'Cash Flow'!$A36,'Wells Fargo'!$A:$A,N$1,'Wells Fargo'!$B:$B,"&lt;="&amp;'Cash Flow'!N$3,'Wells Fargo'!$B:$B,"&gt;"&amp;'Cash Flow'!M$3)</f>
        <v>0</v>
      </c>
      <c r="O36" s="77">
        <f>SUMIFS('Wells Fargo'!$F:$F,'Wells Fargo'!$G:$G,'Cash Flow'!$A36,'Wells Fargo'!$A:$A,O$1,'Wells Fargo'!$B:$B,"&lt;="&amp;'Cash Flow'!O$3,'Wells Fargo'!$B:$B,"&gt;"&amp;'Cash Flow'!N$3)</f>
        <v>-48.33</v>
      </c>
      <c r="P36" s="77">
        <f>SUMIFS('Wells Fargo'!$F:$F,'Wells Fargo'!$G:$G,'Cash Flow'!$A36,'Wells Fargo'!$A:$A,P$1,'Wells Fargo'!$B:$B,"&lt;="&amp;'Cash Flow'!P$3,'Wells Fargo'!$B:$B,"&gt;"&amp;'Cash Flow'!O$3)</f>
        <v>0</v>
      </c>
      <c r="Q36" s="111">
        <f>SUMIFS('Wells Fargo'!$F:$F,'Wells Fargo'!$G:$G,'Cash Flow'!$A36,'Wells Fargo'!$A:$A,Q$1,'Wells Fargo'!$B:$B,"&lt;="&amp;'Cash Flow'!Q$3)</f>
        <v>0</v>
      </c>
      <c r="R36" s="77">
        <f>SUMIFS('Wells Fargo'!$F:$F,'Wells Fargo'!$G:$G,'Cash Flow'!$A36,'Wells Fargo'!$A:$A,R$1,'Wells Fargo'!$B:$B,"&lt;="&amp;'Cash Flow'!R$3,'Wells Fargo'!$B:$B,"&gt;"&amp;'Cash Flow'!Q$3)</f>
        <v>0</v>
      </c>
      <c r="S36" s="77">
        <f>SUMIFS('Wells Fargo'!$F:$F,'Wells Fargo'!$G:$G,'Cash Flow'!$A36,'Wells Fargo'!$A:$A,S$1,'Wells Fargo'!$B:$B,"&lt;="&amp;'Cash Flow'!S$3,'Wells Fargo'!$B:$B,"&gt;"&amp;'Cash Flow'!R$3)</f>
        <v>0</v>
      </c>
      <c r="T36" s="77">
        <f>SUMIFS('Wells Fargo'!$F:$F,'Wells Fargo'!$G:$G,'Cash Flow'!$A36,'Wells Fargo'!$A:$A,T$1,'Wells Fargo'!$B:$B,"&lt;="&amp;'Cash Flow'!T$3,'Wells Fargo'!$B:$B,"&gt;"&amp;'Cash Flow'!S$3)</f>
        <v>0</v>
      </c>
      <c r="U36" s="77">
        <f>SUMIFS('Wells Fargo'!$F:$F,'Wells Fargo'!$G:$G,'Cash Flow'!$A36,'Wells Fargo'!$A:$A,U$1,'Wells Fargo'!$B:$B,"&lt;="&amp;'Cash Flow'!U$3,'Wells Fargo'!$B:$B,"&gt;"&amp;'Cash Flow'!T$3)</f>
        <v>0</v>
      </c>
      <c r="V36" s="111">
        <f>SUMIFS('Wells Fargo'!$F:$F,'Wells Fargo'!$G:$G,'Cash Flow'!$A36,'Wells Fargo'!$A:$A,V$1,'Wells Fargo'!$B:$B,"&lt;="&amp;'Cash Flow'!V$3)</f>
        <v>0</v>
      </c>
      <c r="W36" s="77">
        <f>SUMIFS('Wells Fargo'!$F:$F,'Wells Fargo'!$G:$G,'Cash Flow'!$A36,'Wells Fargo'!$A:$A,W$1,'Wells Fargo'!$B:$B,"&lt;="&amp;'Cash Flow'!W$3,'Wells Fargo'!$B:$B,"&gt;"&amp;'Cash Flow'!V$3)</f>
        <v>0</v>
      </c>
      <c r="X36" s="77">
        <f>SUMIFS('Wells Fargo'!$F:$F,'Wells Fargo'!$G:$G,'Cash Flow'!$A36,'Wells Fargo'!$A:$A,X$1,'Wells Fargo'!$B:$B,"&lt;="&amp;'Cash Flow'!X$3,'Wells Fargo'!$B:$B,"&gt;"&amp;'Cash Flow'!W$3)</f>
        <v>0</v>
      </c>
      <c r="Y36" s="77">
        <f>SUMIFS('Wells Fargo'!$F:$F,'Wells Fargo'!$G:$G,'Cash Flow'!$A36,'Wells Fargo'!$A:$A,Y$1,'Wells Fargo'!$B:$B,"&lt;="&amp;'Cash Flow'!Y$3,'Wells Fargo'!$B:$B,"&gt;"&amp;'Cash Flow'!X$3)</f>
        <v>0</v>
      </c>
      <c r="Z36" s="77">
        <f>SUMIFS('Wells Fargo'!$F:$F,'Wells Fargo'!$G:$G,'Cash Flow'!$A36,'Wells Fargo'!$A:$A,Z$1,'Wells Fargo'!$B:$B,"&lt;="&amp;'Cash Flow'!Z$3,'Wells Fargo'!$B:$B,"&gt;"&amp;'Cash Flow'!Y$3)</f>
        <v>0</v>
      </c>
      <c r="AA36" s="111">
        <f>SUMIFS('Wells Fargo'!$F:$F,'Wells Fargo'!$G:$G,'Cash Flow'!$A36,'Wells Fargo'!$A:$A,AA$1,'Wells Fargo'!$B:$B,"&lt;="&amp;'Cash Flow'!AA$3)</f>
        <v>0</v>
      </c>
      <c r="AB36" s="77">
        <f>SUMIFS('Wells Fargo'!$F:$F,'Wells Fargo'!$G:$G,'Cash Flow'!$A36,'Wells Fargo'!$A:$A,AB$1,'Wells Fargo'!$B:$B,"&lt;="&amp;'Cash Flow'!AB$3,'Wells Fargo'!$B:$B,"&gt;"&amp;'Cash Flow'!AA$3)</f>
        <v>0</v>
      </c>
      <c r="AC36" s="77">
        <f>SUMIFS('Wells Fargo'!$F:$F,'Wells Fargo'!$G:$G,'Cash Flow'!$A36,'Wells Fargo'!$A:$A,AC$1,'Wells Fargo'!$B:$B,"&lt;="&amp;'Cash Flow'!AC$3,'Wells Fargo'!$B:$B,"&gt;"&amp;'Cash Flow'!AB$3)</f>
        <v>0</v>
      </c>
      <c r="AD36" s="77">
        <f>SUMIFS('Wells Fargo'!$F:$F,'Wells Fargo'!$G:$G,'Cash Flow'!$A36,'Wells Fargo'!$A:$A,AD$1,'Wells Fargo'!$B:$B,"&lt;="&amp;'Cash Flow'!AD$3,'Wells Fargo'!$B:$B,"&gt;"&amp;'Cash Flow'!AC$3)</f>
        <v>0</v>
      </c>
      <c r="AE36" s="77">
        <f>SUMIFS('Wells Fargo'!$F:$F,'Wells Fargo'!$G:$G,'Cash Flow'!$A36,'Wells Fargo'!$A:$A,AE$1,'Wells Fargo'!$B:$B,"&lt;="&amp;'Cash Flow'!AE$3,'Wells Fargo'!$B:$B,"&gt;"&amp;'Cash Flow'!AD$3)</f>
        <v>0</v>
      </c>
      <c r="AF36" s="111">
        <f>SUMIFS('Wells Fargo'!$F:$F,'Wells Fargo'!$G:$G,'Cash Flow'!$A36,'Wells Fargo'!$A:$A,AF$1,'Wells Fargo'!$B:$B,"&lt;="&amp;'Cash Flow'!AF$3)</f>
        <v>0</v>
      </c>
      <c r="AG36" s="77">
        <f>SUMIFS('Wells Fargo'!$F:$F,'Wells Fargo'!$G:$G,'Cash Flow'!$A36,'Wells Fargo'!$A:$A,AG$1,'Wells Fargo'!$B:$B,"&lt;="&amp;'Cash Flow'!AG$3,'Wells Fargo'!$B:$B,"&gt;"&amp;'Cash Flow'!AF$3)</f>
        <v>0</v>
      </c>
      <c r="AH36" s="77">
        <f>SUMIFS('Wells Fargo'!$F:$F,'Wells Fargo'!$G:$G,'Cash Flow'!$A36,'Wells Fargo'!$A:$A,AH$1,'Wells Fargo'!$B:$B,"&lt;="&amp;'Cash Flow'!AH$3,'Wells Fargo'!$B:$B,"&gt;"&amp;'Cash Flow'!AG$3)</f>
        <v>0</v>
      </c>
      <c r="AI36" s="77">
        <f>SUMIFS('Wells Fargo'!$F:$F,'Wells Fargo'!$G:$G,'Cash Flow'!$A36,'Wells Fargo'!$A:$A,AI$1,'Wells Fargo'!$B:$B,"&lt;="&amp;'Cash Flow'!AI$3,'Wells Fargo'!$B:$B,"&gt;"&amp;'Cash Flow'!AH$3)</f>
        <v>0</v>
      </c>
      <c r="AJ36" s="77">
        <f>SUMIFS('Wells Fargo'!$F:$F,'Wells Fargo'!$G:$G,'Cash Flow'!$A36,'Wells Fargo'!$A:$A,AJ$1,'Wells Fargo'!$B:$B,"&lt;="&amp;'Cash Flow'!AJ$3,'Wells Fargo'!$B:$B,"&gt;"&amp;'Cash Flow'!AI$3)</f>
        <v>0</v>
      </c>
      <c r="AK36" s="111">
        <f>SUMIFS('Wells Fargo'!$F:$F,'Wells Fargo'!$G:$G,'Cash Flow'!$A36,'Wells Fargo'!$A:$A,AK$1,'Wells Fargo'!$B:$B,"&lt;="&amp;'Cash Flow'!AK$3)</f>
        <v>0</v>
      </c>
      <c r="AL36" s="77">
        <f>SUMIFS('Wells Fargo'!$F:$F,'Wells Fargo'!$G:$G,'Cash Flow'!$A36,'Wells Fargo'!$A:$A,AL$1,'Wells Fargo'!$B:$B,"&lt;="&amp;'Cash Flow'!AL$3,'Wells Fargo'!$B:$B,"&gt;"&amp;'Cash Flow'!AK$3)</f>
        <v>0</v>
      </c>
      <c r="AM36" s="77">
        <f>SUMIFS('Wells Fargo'!$F:$F,'Wells Fargo'!$G:$G,'Cash Flow'!$A36,'Wells Fargo'!$A:$A,AM$1,'Wells Fargo'!$B:$B,"&lt;="&amp;'Cash Flow'!AM$3,'Wells Fargo'!$B:$B,"&gt;"&amp;'Cash Flow'!AL$3)</f>
        <v>0</v>
      </c>
      <c r="AN36" s="77">
        <f>SUMIFS('Wells Fargo'!$F:$F,'Wells Fargo'!$G:$G,'Cash Flow'!$A36,'Wells Fargo'!$A:$A,AN$1,'Wells Fargo'!$B:$B,"&lt;="&amp;'Cash Flow'!AN$3,'Wells Fargo'!$B:$B,"&gt;"&amp;'Cash Flow'!AM$3)</f>
        <v>0</v>
      </c>
      <c r="AO36" s="77">
        <f>SUMIFS('Wells Fargo'!$F:$F,'Wells Fargo'!$G:$G,'Cash Flow'!$A36,'Wells Fargo'!$A:$A,AO$1,'Wells Fargo'!$B:$B,"&lt;="&amp;'Cash Flow'!AO$3,'Wells Fargo'!$B:$B,"&gt;"&amp;'Cash Flow'!AN$3)</f>
        <v>0</v>
      </c>
      <c r="AP36" s="111">
        <f>SUMIFS('Wells Fargo'!$F:$F,'Wells Fargo'!$G:$G,'Cash Flow'!$A36,'Wells Fargo'!$A:$A,AP$1,'Wells Fargo'!$B:$B,"&lt;="&amp;'Cash Flow'!AP$3)</f>
        <v>0</v>
      </c>
      <c r="AQ36" s="77">
        <f>SUMIFS('Wells Fargo'!$F:$F,'Wells Fargo'!$G:$G,'Cash Flow'!$A36,'Wells Fargo'!$A:$A,AQ$1,'Wells Fargo'!$B:$B,"&lt;="&amp;'Cash Flow'!AQ$3,'Wells Fargo'!$B:$B,"&gt;"&amp;'Cash Flow'!AP$3)</f>
        <v>0</v>
      </c>
      <c r="AR36" s="77">
        <f>SUMIFS('Wells Fargo'!$F:$F,'Wells Fargo'!$G:$G,'Cash Flow'!$A36,'Wells Fargo'!$A:$A,AR$1,'Wells Fargo'!$B:$B,"&lt;="&amp;'Cash Flow'!AR$3,'Wells Fargo'!$B:$B,"&gt;"&amp;'Cash Flow'!AQ$3)</f>
        <v>0</v>
      </c>
      <c r="AS36" s="77">
        <f>SUMIFS('Wells Fargo'!$F:$F,'Wells Fargo'!$G:$G,'Cash Flow'!$A36,'Wells Fargo'!$A:$A,AS$1,'Wells Fargo'!$B:$B,"&lt;="&amp;'Cash Flow'!AS$3,'Wells Fargo'!$B:$B,"&gt;"&amp;'Cash Flow'!AR$3)</f>
        <v>0</v>
      </c>
      <c r="AT36" s="77">
        <f>SUMIFS('Wells Fargo'!$F:$F,'Wells Fargo'!$G:$G,'Cash Flow'!$A36,'Wells Fargo'!$A:$A,AT$1,'Wells Fargo'!$B:$B,"&lt;="&amp;'Cash Flow'!AT$3,'Wells Fargo'!$B:$B,"&gt;"&amp;'Cash Flow'!AS$3)</f>
        <v>0</v>
      </c>
      <c r="AU36" s="111">
        <f>SUMIFS('Wells Fargo'!$F:$F,'Wells Fargo'!$G:$G,'Cash Flow'!$A36,'Wells Fargo'!$A:$A,AU$1,'Wells Fargo'!$B:$B,"&lt;="&amp;'Cash Flow'!AU$3)</f>
        <v>0</v>
      </c>
      <c r="AV36" s="77">
        <f>SUMIFS('Wells Fargo'!$F:$F,'Wells Fargo'!$G:$G,'Cash Flow'!$A36,'Wells Fargo'!$A:$A,AV$1,'Wells Fargo'!$B:$B,"&lt;="&amp;'Cash Flow'!AV$3,'Wells Fargo'!$B:$B,"&gt;"&amp;'Cash Flow'!AU$3)</f>
        <v>0</v>
      </c>
      <c r="AW36" s="77">
        <f>SUMIFS('Wells Fargo'!$F:$F,'Wells Fargo'!$G:$G,'Cash Flow'!$A36,'Wells Fargo'!$A:$A,AW$1,'Wells Fargo'!$B:$B,"&lt;="&amp;'Cash Flow'!AW$3,'Wells Fargo'!$B:$B,"&gt;"&amp;'Cash Flow'!AV$3)</f>
        <v>0</v>
      </c>
      <c r="AX36" s="77">
        <f>SUMIFS('Wells Fargo'!$F:$F,'Wells Fargo'!$G:$G,'Cash Flow'!$A36,'Wells Fargo'!$A:$A,AX$1,'Wells Fargo'!$B:$B,"&lt;="&amp;'Cash Flow'!AX$3,'Wells Fargo'!$B:$B,"&gt;"&amp;'Cash Flow'!AW$3)</f>
        <v>0</v>
      </c>
      <c r="AY36" s="77">
        <f>SUMIFS('Wells Fargo'!$F:$F,'Wells Fargo'!$G:$G,'Cash Flow'!$A36,'Wells Fargo'!$A:$A,AY$1,'Wells Fargo'!$B:$B,"&lt;="&amp;'Cash Flow'!AY$3,'Wells Fargo'!$B:$B,"&gt;"&amp;'Cash Flow'!AX$3)</f>
        <v>0</v>
      </c>
      <c r="AZ36" s="111">
        <f>SUMIFS('Wells Fargo'!$F:$F,'Wells Fargo'!$G:$G,'Cash Flow'!$A36,'Wells Fargo'!$A:$A,AZ$1,'Wells Fargo'!$B:$B,"&lt;="&amp;'Cash Flow'!AZ$3)</f>
        <v>0</v>
      </c>
      <c r="BA36" s="77">
        <f>SUMIFS('Wells Fargo'!$F:$F,'Wells Fargo'!$G:$G,'Cash Flow'!$A36,'Wells Fargo'!$A:$A,BA$1,'Wells Fargo'!$B:$B,"&lt;="&amp;'Cash Flow'!BA$3,'Wells Fargo'!$B:$B,"&gt;"&amp;'Cash Flow'!AZ$3)</f>
        <v>0</v>
      </c>
      <c r="BB36" s="77">
        <f>SUMIFS('Wells Fargo'!$F:$F,'Wells Fargo'!$G:$G,'Cash Flow'!$A36,'Wells Fargo'!$A:$A,BB$1,'Wells Fargo'!$B:$B,"&lt;="&amp;'Cash Flow'!BB$3,'Wells Fargo'!$B:$B,"&gt;"&amp;'Cash Flow'!BA$3)</f>
        <v>0</v>
      </c>
      <c r="BC36" s="77">
        <f>SUMIFS('Wells Fargo'!$F:$F,'Wells Fargo'!$G:$G,'Cash Flow'!$A36,'Wells Fargo'!$A:$A,BC$1,'Wells Fargo'!$B:$B,"&lt;="&amp;'Cash Flow'!BC$3,'Wells Fargo'!$B:$B,"&gt;"&amp;'Cash Flow'!BB$3)</f>
        <v>0</v>
      </c>
      <c r="BD36" s="77">
        <f>SUMIFS('Wells Fargo'!$F:$F,'Wells Fargo'!$G:$G,'Cash Flow'!$A36,'Wells Fargo'!$A:$A,BD$1,'Wells Fargo'!$B:$B,"&lt;="&amp;'Cash Flow'!BD$3,'Wells Fargo'!$B:$B,"&gt;"&amp;'Cash Flow'!BC$3)</f>
        <v>0</v>
      </c>
      <c r="BE36" s="111">
        <f>SUMIFS('Wells Fargo'!$F:$F,'Wells Fargo'!$G:$G,'Cash Flow'!$A36,'Wells Fargo'!$A:$A,BE$1,'Wells Fargo'!$B:$B,"&lt;="&amp;'Cash Flow'!BE$3)</f>
        <v>0</v>
      </c>
      <c r="BF36" s="77">
        <f>SUMIFS('Wells Fargo'!$F:$F,'Wells Fargo'!$G:$G,'Cash Flow'!$A36,'Wells Fargo'!$A:$A,BF$1,'Wells Fargo'!$B:$B,"&lt;="&amp;'Cash Flow'!BF$3,'Wells Fargo'!$B:$B,"&gt;"&amp;'Cash Flow'!BE$3)</f>
        <v>0</v>
      </c>
      <c r="BG36" s="77">
        <f>SUMIFS('Wells Fargo'!$F:$F,'Wells Fargo'!$G:$G,'Cash Flow'!$A36,'Wells Fargo'!$A:$A,BG$1,'Wells Fargo'!$B:$B,"&lt;="&amp;'Cash Flow'!BG$3,'Wells Fargo'!$B:$B,"&gt;"&amp;'Cash Flow'!BF$3)</f>
        <v>0</v>
      </c>
      <c r="BH36" s="77">
        <f>SUMIFS('Wells Fargo'!$F:$F,'Wells Fargo'!$G:$G,'Cash Flow'!$A36,'Wells Fargo'!$A:$A,BH$1,'Wells Fargo'!$B:$B,"&lt;="&amp;'Cash Flow'!BH$3,'Wells Fargo'!$B:$B,"&gt;"&amp;'Cash Flow'!BG$3)</f>
        <v>0</v>
      </c>
      <c r="BI36" s="77">
        <f>SUMIFS('Wells Fargo'!$F:$F,'Wells Fargo'!$G:$G,'Cash Flow'!$A36,'Wells Fargo'!$A:$A,BI$1,'Wells Fargo'!$B:$B,"&lt;="&amp;'Cash Flow'!BI$3,'Wells Fargo'!$B:$B,"&gt;"&amp;'Cash Flow'!BH$3)</f>
        <v>0</v>
      </c>
    </row>
    <row r="37" spans="1:61" ht="14.5" x14ac:dyDescent="0.5">
      <c r="A37" t="str">
        <v>Shevon</v>
      </c>
      <c r="B37" s="90">
        <f t="shared" ref="B37:B40" si="1">SUM(C37:BI37)</f>
        <v>-411.95</v>
      </c>
      <c r="C37" s="111">
        <f>SUMIFS('Wells Fargo'!$F:$F,'Wells Fargo'!$G:$G,'Cash Flow'!$A37,'Wells Fargo'!$A:$A,C$1,'Wells Fargo'!$B:$B,"&lt;="&amp;'Cash Flow'!C$3)</f>
        <v>0</v>
      </c>
      <c r="D37" s="77">
        <f>SUMIFS('Wells Fargo'!$F:$F,'Wells Fargo'!$G:$G,'Cash Flow'!$A37,'Wells Fargo'!$A:$A,D$1,'Wells Fargo'!$B:$B,"&lt;="&amp;'Cash Flow'!D$3,'Wells Fargo'!$B:$B,"&gt;"&amp;'Cash Flow'!C$3)</f>
        <v>0</v>
      </c>
      <c r="E37" s="77">
        <f>SUMIFS('Wells Fargo'!$F:$F,'Wells Fargo'!$G:$G,'Cash Flow'!$A37,'Wells Fargo'!$A:$A,E$1,'Wells Fargo'!$B:$B,"&lt;="&amp;'Cash Flow'!E$3,'Wells Fargo'!$B:$B,"&gt;"&amp;'Cash Flow'!D$3)</f>
        <v>0</v>
      </c>
      <c r="F37" s="77">
        <f>SUMIFS('Wells Fargo'!$F:$F,'Wells Fargo'!$G:$G,'Cash Flow'!$A37,'Wells Fargo'!$A:$A,F$1,'Wells Fargo'!$B:$B,"&lt;="&amp;'Cash Flow'!F$3,'Wells Fargo'!$B:$B,"&gt;"&amp;'Cash Flow'!E$3)</f>
        <v>0</v>
      </c>
      <c r="G37" s="77">
        <f>SUMIFS('Wells Fargo'!$F:$F,'Wells Fargo'!$G:$G,'Cash Flow'!$A37,'Wells Fargo'!$A:$A,G$1,'Wells Fargo'!$B:$B,"&lt;="&amp;'Cash Flow'!G$3,'Wells Fargo'!$B:$B,"&gt;"&amp;'Cash Flow'!F$3)</f>
        <v>0</v>
      </c>
      <c r="H37" s="111">
        <f>SUMIFS('Wells Fargo'!$F:$F,'Wells Fargo'!$G:$G,'Cash Flow'!$A37,'Wells Fargo'!$A:$A,H$1,'Wells Fargo'!$B:$B,"&lt;="&amp;'Cash Flow'!H$3)</f>
        <v>0</v>
      </c>
      <c r="I37" s="77">
        <f>SUMIFS('Wells Fargo'!$F:$F,'Wells Fargo'!$G:$G,'Cash Flow'!$A37,'Wells Fargo'!$A:$A,I$1,'Wells Fargo'!$B:$B,"&lt;="&amp;'Cash Flow'!I$3,'Wells Fargo'!$B:$B,"&gt;"&amp;'Cash Flow'!H$3)</f>
        <v>0</v>
      </c>
      <c r="J37" s="77">
        <f>SUMIFS('Wells Fargo'!$F:$F,'Wells Fargo'!$G:$G,'Cash Flow'!$A37,'Wells Fargo'!$A:$A,J$1,'Wells Fargo'!$B:$B,"&lt;="&amp;'Cash Flow'!J$3,'Wells Fargo'!$B:$B,"&gt;"&amp;'Cash Flow'!I$3)</f>
        <v>0</v>
      </c>
      <c r="K37" s="77">
        <f>SUMIFS('Wells Fargo'!$F:$F,'Wells Fargo'!$G:$G,'Cash Flow'!$A37,'Wells Fargo'!$A:$A,K$1,'Wells Fargo'!$B:$B,"&lt;="&amp;'Cash Flow'!K$3,'Wells Fargo'!$B:$B,"&gt;"&amp;'Cash Flow'!J$3)</f>
        <v>0</v>
      </c>
      <c r="L37" s="111">
        <f>SUMIFS('Wells Fargo'!$F:$F,'Wells Fargo'!$G:$G,'Cash Flow'!$A37,'Wells Fargo'!$A:$A,L$1,'Wells Fargo'!$B:$B,"&lt;="&amp;'Cash Flow'!L$3)</f>
        <v>0</v>
      </c>
      <c r="M37" s="77">
        <f>SUMIFS('Wells Fargo'!$F:$F,'Wells Fargo'!$G:$G,'Cash Flow'!$A37,'Wells Fargo'!$A:$A,M$1,'Wells Fargo'!$B:$B,"&lt;="&amp;'Cash Flow'!M$3,'Wells Fargo'!$B:$B,"&gt;"&amp;'Cash Flow'!L$3)</f>
        <v>0</v>
      </c>
      <c r="N37" s="77">
        <f>SUMIFS('Wells Fargo'!$F:$F,'Wells Fargo'!$G:$G,'Cash Flow'!$A37,'Wells Fargo'!$A:$A,N$1,'Wells Fargo'!$B:$B,"&lt;="&amp;'Cash Flow'!N$3,'Wells Fargo'!$B:$B,"&gt;"&amp;'Cash Flow'!M$3)</f>
        <v>0</v>
      </c>
      <c r="O37" s="77">
        <f>SUMIFS('Wells Fargo'!$F:$F,'Wells Fargo'!$G:$G,'Cash Flow'!$A37,'Wells Fargo'!$A:$A,O$1,'Wells Fargo'!$B:$B,"&lt;="&amp;'Cash Flow'!O$3,'Wells Fargo'!$B:$B,"&gt;"&amp;'Cash Flow'!N$3)</f>
        <v>0</v>
      </c>
      <c r="P37" s="77">
        <f>SUMIFS('Wells Fargo'!$F:$F,'Wells Fargo'!$G:$G,'Cash Flow'!$A37,'Wells Fargo'!$A:$A,P$1,'Wells Fargo'!$B:$B,"&lt;="&amp;'Cash Flow'!P$3,'Wells Fargo'!$B:$B,"&gt;"&amp;'Cash Flow'!O$3)</f>
        <v>0</v>
      </c>
      <c r="Q37" s="111">
        <f>SUMIFS('Wells Fargo'!$F:$F,'Wells Fargo'!$G:$G,'Cash Flow'!$A37,'Wells Fargo'!$A:$A,Q$1,'Wells Fargo'!$B:$B,"&lt;="&amp;'Cash Flow'!Q$3)</f>
        <v>-400</v>
      </c>
      <c r="R37" s="77">
        <f>SUMIFS('Wells Fargo'!$F:$F,'Wells Fargo'!$G:$G,'Cash Flow'!$A37,'Wells Fargo'!$A:$A,R$1,'Wells Fargo'!$B:$B,"&lt;="&amp;'Cash Flow'!R$3,'Wells Fargo'!$B:$B,"&gt;"&amp;'Cash Flow'!Q$3)</f>
        <v>0</v>
      </c>
      <c r="S37" s="77">
        <f>SUMIFS('Wells Fargo'!$F:$F,'Wells Fargo'!$G:$G,'Cash Flow'!$A37,'Wells Fargo'!$A:$A,S$1,'Wells Fargo'!$B:$B,"&lt;="&amp;'Cash Flow'!S$3,'Wells Fargo'!$B:$B,"&gt;"&amp;'Cash Flow'!R$3)</f>
        <v>0</v>
      </c>
      <c r="T37" s="77">
        <f>SUMIFS('Wells Fargo'!$F:$F,'Wells Fargo'!$G:$G,'Cash Flow'!$A37,'Wells Fargo'!$A:$A,T$1,'Wells Fargo'!$B:$B,"&lt;="&amp;'Cash Flow'!T$3,'Wells Fargo'!$B:$B,"&gt;"&amp;'Cash Flow'!S$3)</f>
        <v>0</v>
      </c>
      <c r="U37" s="77">
        <f>SUMIFS('Wells Fargo'!$F:$F,'Wells Fargo'!$G:$G,'Cash Flow'!$A37,'Wells Fargo'!$A:$A,U$1,'Wells Fargo'!$B:$B,"&lt;="&amp;'Cash Flow'!U$3,'Wells Fargo'!$B:$B,"&gt;"&amp;'Cash Flow'!T$3)</f>
        <v>0</v>
      </c>
      <c r="V37" s="111">
        <f>SUMIFS('Wells Fargo'!$F:$F,'Wells Fargo'!$G:$G,'Cash Flow'!$A37,'Wells Fargo'!$A:$A,V$1,'Wells Fargo'!$B:$B,"&lt;="&amp;'Cash Flow'!V$3)</f>
        <v>0</v>
      </c>
      <c r="W37" s="77">
        <f>SUMIFS('Wells Fargo'!$F:$F,'Wells Fargo'!$G:$G,'Cash Flow'!$A37,'Wells Fargo'!$A:$A,W$1,'Wells Fargo'!$B:$B,"&lt;="&amp;'Cash Flow'!W$3,'Wells Fargo'!$B:$B,"&gt;"&amp;'Cash Flow'!V$3)</f>
        <v>0</v>
      </c>
      <c r="X37" s="77">
        <f>SUMIFS('Wells Fargo'!$F:$F,'Wells Fargo'!$G:$G,'Cash Flow'!$A37,'Wells Fargo'!$A:$A,X$1,'Wells Fargo'!$B:$B,"&lt;="&amp;'Cash Flow'!X$3,'Wells Fargo'!$B:$B,"&gt;"&amp;'Cash Flow'!W$3)</f>
        <v>0</v>
      </c>
      <c r="Y37" s="77">
        <f>SUMIFS('Wells Fargo'!$F:$F,'Wells Fargo'!$G:$G,'Cash Flow'!$A37,'Wells Fargo'!$A:$A,Y$1,'Wells Fargo'!$B:$B,"&lt;="&amp;'Cash Flow'!Y$3,'Wells Fargo'!$B:$B,"&gt;"&amp;'Cash Flow'!X$3)</f>
        <v>-140</v>
      </c>
      <c r="Z37" s="77">
        <f>SUMIFS('Wells Fargo'!$F:$F,'Wells Fargo'!$G:$G,'Cash Flow'!$A37,'Wells Fargo'!$A:$A,Z$1,'Wells Fargo'!$B:$B,"&lt;="&amp;'Cash Flow'!Z$3,'Wells Fargo'!$B:$B,"&gt;"&amp;'Cash Flow'!Y$3)</f>
        <v>0</v>
      </c>
      <c r="AA37" s="111">
        <f>SUMIFS('Wells Fargo'!$F:$F,'Wells Fargo'!$G:$G,'Cash Flow'!$A37,'Wells Fargo'!$A:$A,AA$1,'Wells Fargo'!$B:$B,"&lt;="&amp;'Cash Flow'!AA$3)</f>
        <v>0</v>
      </c>
      <c r="AB37" s="77">
        <f>SUMIFS('Wells Fargo'!$F:$F,'Wells Fargo'!$G:$G,'Cash Flow'!$A37,'Wells Fargo'!$A:$A,AB$1,'Wells Fargo'!$B:$B,"&lt;="&amp;'Cash Flow'!AB$3,'Wells Fargo'!$B:$B,"&gt;"&amp;'Cash Flow'!AA$3)</f>
        <v>128.05000000000001</v>
      </c>
      <c r="AC37" s="77">
        <f>SUMIFS('Wells Fargo'!$F:$F,'Wells Fargo'!$G:$G,'Cash Flow'!$A37,'Wells Fargo'!$A:$A,AC$1,'Wells Fargo'!$B:$B,"&lt;="&amp;'Cash Flow'!AC$3,'Wells Fargo'!$B:$B,"&gt;"&amp;'Cash Flow'!AB$3)</f>
        <v>0</v>
      </c>
      <c r="AD37" s="77">
        <f>SUMIFS('Wells Fargo'!$F:$F,'Wells Fargo'!$G:$G,'Cash Flow'!$A37,'Wells Fargo'!$A:$A,AD$1,'Wells Fargo'!$B:$B,"&lt;="&amp;'Cash Flow'!AD$3,'Wells Fargo'!$B:$B,"&gt;"&amp;'Cash Flow'!AC$3)</f>
        <v>0</v>
      </c>
      <c r="AE37" s="77">
        <f>SUMIFS('Wells Fargo'!$F:$F,'Wells Fargo'!$G:$G,'Cash Flow'!$A37,'Wells Fargo'!$A:$A,AE$1,'Wells Fargo'!$B:$B,"&lt;="&amp;'Cash Flow'!AE$3,'Wells Fargo'!$B:$B,"&gt;"&amp;'Cash Flow'!AD$3)</f>
        <v>0</v>
      </c>
      <c r="AF37" s="111">
        <f>SUMIFS('Wells Fargo'!$F:$F,'Wells Fargo'!$G:$G,'Cash Flow'!$A37,'Wells Fargo'!$A:$A,AF$1,'Wells Fargo'!$B:$B,"&lt;="&amp;'Cash Flow'!AF$3)</f>
        <v>0</v>
      </c>
      <c r="AG37" s="77">
        <f>SUMIFS('Wells Fargo'!$F:$F,'Wells Fargo'!$G:$G,'Cash Flow'!$A37,'Wells Fargo'!$A:$A,AG$1,'Wells Fargo'!$B:$B,"&lt;="&amp;'Cash Flow'!AG$3,'Wells Fargo'!$B:$B,"&gt;"&amp;'Cash Flow'!AF$3)</f>
        <v>0</v>
      </c>
      <c r="AH37" s="77">
        <f>SUMIFS('Wells Fargo'!$F:$F,'Wells Fargo'!$G:$G,'Cash Flow'!$A37,'Wells Fargo'!$A:$A,AH$1,'Wells Fargo'!$B:$B,"&lt;="&amp;'Cash Flow'!AH$3,'Wells Fargo'!$B:$B,"&gt;"&amp;'Cash Flow'!AG$3)</f>
        <v>0</v>
      </c>
      <c r="AI37" s="77">
        <f>SUMIFS('Wells Fargo'!$F:$F,'Wells Fargo'!$G:$G,'Cash Flow'!$A37,'Wells Fargo'!$A:$A,AI$1,'Wells Fargo'!$B:$B,"&lt;="&amp;'Cash Flow'!AI$3,'Wells Fargo'!$B:$B,"&gt;"&amp;'Cash Flow'!AH$3)</f>
        <v>0</v>
      </c>
      <c r="AJ37" s="77">
        <f>SUMIFS('Wells Fargo'!$F:$F,'Wells Fargo'!$G:$G,'Cash Flow'!$A37,'Wells Fargo'!$A:$A,AJ$1,'Wells Fargo'!$B:$B,"&lt;="&amp;'Cash Flow'!AJ$3,'Wells Fargo'!$B:$B,"&gt;"&amp;'Cash Flow'!AI$3)</f>
        <v>0</v>
      </c>
      <c r="AK37" s="111">
        <f>SUMIFS('Wells Fargo'!$F:$F,'Wells Fargo'!$G:$G,'Cash Flow'!$A37,'Wells Fargo'!$A:$A,AK$1,'Wells Fargo'!$B:$B,"&lt;="&amp;'Cash Flow'!AK$3)</f>
        <v>0</v>
      </c>
      <c r="AL37" s="77">
        <f>SUMIFS('Wells Fargo'!$F:$F,'Wells Fargo'!$G:$G,'Cash Flow'!$A37,'Wells Fargo'!$A:$A,AL$1,'Wells Fargo'!$B:$B,"&lt;="&amp;'Cash Flow'!AL$3,'Wells Fargo'!$B:$B,"&gt;"&amp;'Cash Flow'!AK$3)</f>
        <v>0</v>
      </c>
      <c r="AM37" s="77">
        <f>SUMIFS('Wells Fargo'!$F:$F,'Wells Fargo'!$G:$G,'Cash Flow'!$A37,'Wells Fargo'!$A:$A,AM$1,'Wells Fargo'!$B:$B,"&lt;="&amp;'Cash Flow'!AM$3,'Wells Fargo'!$B:$B,"&gt;"&amp;'Cash Flow'!AL$3)</f>
        <v>0</v>
      </c>
      <c r="AN37" s="77">
        <f>SUMIFS('Wells Fargo'!$F:$F,'Wells Fargo'!$G:$G,'Cash Flow'!$A37,'Wells Fargo'!$A:$A,AN$1,'Wells Fargo'!$B:$B,"&lt;="&amp;'Cash Flow'!AN$3,'Wells Fargo'!$B:$B,"&gt;"&amp;'Cash Flow'!AM$3)</f>
        <v>0</v>
      </c>
      <c r="AO37" s="77">
        <f>SUMIFS('Wells Fargo'!$F:$F,'Wells Fargo'!$G:$G,'Cash Flow'!$A37,'Wells Fargo'!$A:$A,AO$1,'Wells Fargo'!$B:$B,"&lt;="&amp;'Cash Flow'!AO$3,'Wells Fargo'!$B:$B,"&gt;"&amp;'Cash Flow'!AN$3)</f>
        <v>0</v>
      </c>
      <c r="AP37" s="111">
        <f>SUMIFS('Wells Fargo'!$F:$F,'Wells Fargo'!$G:$G,'Cash Flow'!$A37,'Wells Fargo'!$A:$A,AP$1,'Wells Fargo'!$B:$B,"&lt;="&amp;'Cash Flow'!AP$3)</f>
        <v>0</v>
      </c>
      <c r="AQ37" s="77">
        <f>SUMIFS('Wells Fargo'!$F:$F,'Wells Fargo'!$G:$G,'Cash Flow'!$A37,'Wells Fargo'!$A:$A,AQ$1,'Wells Fargo'!$B:$B,"&lt;="&amp;'Cash Flow'!AQ$3,'Wells Fargo'!$B:$B,"&gt;"&amp;'Cash Flow'!AP$3)</f>
        <v>0</v>
      </c>
      <c r="AR37" s="77">
        <f>SUMIFS('Wells Fargo'!$F:$F,'Wells Fargo'!$G:$G,'Cash Flow'!$A37,'Wells Fargo'!$A:$A,AR$1,'Wells Fargo'!$B:$B,"&lt;="&amp;'Cash Flow'!AR$3,'Wells Fargo'!$B:$B,"&gt;"&amp;'Cash Flow'!AQ$3)</f>
        <v>0</v>
      </c>
      <c r="AS37" s="77">
        <f>SUMIFS('Wells Fargo'!$F:$F,'Wells Fargo'!$G:$G,'Cash Flow'!$A37,'Wells Fargo'!$A:$A,AS$1,'Wells Fargo'!$B:$B,"&lt;="&amp;'Cash Flow'!AS$3,'Wells Fargo'!$B:$B,"&gt;"&amp;'Cash Flow'!AR$3)</f>
        <v>0</v>
      </c>
      <c r="AT37" s="77">
        <f>SUMIFS('Wells Fargo'!$F:$F,'Wells Fargo'!$G:$G,'Cash Flow'!$A37,'Wells Fargo'!$A:$A,AT$1,'Wells Fargo'!$B:$B,"&lt;="&amp;'Cash Flow'!AT$3,'Wells Fargo'!$B:$B,"&gt;"&amp;'Cash Flow'!AS$3)</f>
        <v>0</v>
      </c>
      <c r="AU37" s="111">
        <f>SUMIFS('Wells Fargo'!$F:$F,'Wells Fargo'!$G:$G,'Cash Flow'!$A37,'Wells Fargo'!$A:$A,AU$1,'Wells Fargo'!$B:$B,"&lt;="&amp;'Cash Flow'!AU$3)</f>
        <v>0</v>
      </c>
      <c r="AV37" s="77">
        <f>SUMIFS('Wells Fargo'!$F:$F,'Wells Fargo'!$G:$G,'Cash Flow'!$A37,'Wells Fargo'!$A:$A,AV$1,'Wells Fargo'!$B:$B,"&lt;="&amp;'Cash Flow'!AV$3,'Wells Fargo'!$B:$B,"&gt;"&amp;'Cash Flow'!AU$3)</f>
        <v>0</v>
      </c>
      <c r="AW37" s="77">
        <f>SUMIFS('Wells Fargo'!$F:$F,'Wells Fargo'!$G:$G,'Cash Flow'!$A37,'Wells Fargo'!$A:$A,AW$1,'Wells Fargo'!$B:$B,"&lt;="&amp;'Cash Flow'!AW$3,'Wells Fargo'!$B:$B,"&gt;"&amp;'Cash Flow'!AV$3)</f>
        <v>0</v>
      </c>
      <c r="AX37" s="77">
        <f>SUMIFS('Wells Fargo'!$F:$F,'Wells Fargo'!$G:$G,'Cash Flow'!$A37,'Wells Fargo'!$A:$A,AX$1,'Wells Fargo'!$B:$B,"&lt;="&amp;'Cash Flow'!AX$3,'Wells Fargo'!$B:$B,"&gt;"&amp;'Cash Flow'!AW$3)</f>
        <v>0</v>
      </c>
      <c r="AY37" s="77">
        <f>SUMIFS('Wells Fargo'!$F:$F,'Wells Fargo'!$G:$G,'Cash Flow'!$A37,'Wells Fargo'!$A:$A,AY$1,'Wells Fargo'!$B:$B,"&lt;="&amp;'Cash Flow'!AY$3,'Wells Fargo'!$B:$B,"&gt;"&amp;'Cash Flow'!AX$3)</f>
        <v>0</v>
      </c>
      <c r="AZ37" s="111">
        <f>SUMIFS('Wells Fargo'!$F:$F,'Wells Fargo'!$G:$G,'Cash Flow'!$A37,'Wells Fargo'!$A:$A,AZ$1,'Wells Fargo'!$B:$B,"&lt;="&amp;'Cash Flow'!AZ$3)</f>
        <v>0</v>
      </c>
      <c r="BA37" s="77">
        <f>SUMIFS('Wells Fargo'!$F:$F,'Wells Fargo'!$G:$G,'Cash Flow'!$A37,'Wells Fargo'!$A:$A,BA$1,'Wells Fargo'!$B:$B,"&lt;="&amp;'Cash Flow'!BA$3,'Wells Fargo'!$B:$B,"&gt;"&amp;'Cash Flow'!AZ$3)</f>
        <v>0</v>
      </c>
      <c r="BB37" s="77">
        <f>SUMIFS('Wells Fargo'!$F:$F,'Wells Fargo'!$G:$G,'Cash Flow'!$A37,'Wells Fargo'!$A:$A,BB$1,'Wells Fargo'!$B:$B,"&lt;="&amp;'Cash Flow'!BB$3,'Wells Fargo'!$B:$B,"&gt;"&amp;'Cash Flow'!BA$3)</f>
        <v>0</v>
      </c>
      <c r="BC37" s="77">
        <f>SUMIFS('Wells Fargo'!$F:$F,'Wells Fargo'!$G:$G,'Cash Flow'!$A37,'Wells Fargo'!$A:$A,BC$1,'Wells Fargo'!$B:$B,"&lt;="&amp;'Cash Flow'!BC$3,'Wells Fargo'!$B:$B,"&gt;"&amp;'Cash Flow'!BB$3)</f>
        <v>0</v>
      </c>
      <c r="BD37" s="77">
        <f>SUMIFS('Wells Fargo'!$F:$F,'Wells Fargo'!$G:$G,'Cash Flow'!$A37,'Wells Fargo'!$A:$A,BD$1,'Wells Fargo'!$B:$B,"&lt;="&amp;'Cash Flow'!BD$3,'Wells Fargo'!$B:$B,"&gt;"&amp;'Cash Flow'!BC$3)</f>
        <v>0</v>
      </c>
      <c r="BE37" s="111">
        <f>SUMIFS('Wells Fargo'!$F:$F,'Wells Fargo'!$G:$G,'Cash Flow'!$A37,'Wells Fargo'!$A:$A,BE$1,'Wells Fargo'!$B:$B,"&lt;="&amp;'Cash Flow'!BE$3)</f>
        <v>0</v>
      </c>
      <c r="BF37" s="77">
        <f>SUMIFS('Wells Fargo'!$F:$F,'Wells Fargo'!$G:$G,'Cash Flow'!$A37,'Wells Fargo'!$A:$A,BF$1,'Wells Fargo'!$B:$B,"&lt;="&amp;'Cash Flow'!BF$3,'Wells Fargo'!$B:$B,"&gt;"&amp;'Cash Flow'!BE$3)</f>
        <v>0</v>
      </c>
      <c r="BG37" s="77">
        <f>SUMIFS('Wells Fargo'!$F:$F,'Wells Fargo'!$G:$G,'Cash Flow'!$A37,'Wells Fargo'!$A:$A,BG$1,'Wells Fargo'!$B:$B,"&lt;="&amp;'Cash Flow'!BG$3,'Wells Fargo'!$B:$B,"&gt;"&amp;'Cash Flow'!BF$3)</f>
        <v>0</v>
      </c>
      <c r="BH37" s="77">
        <f>SUMIFS('Wells Fargo'!$F:$F,'Wells Fargo'!$G:$G,'Cash Flow'!$A37,'Wells Fargo'!$A:$A,BH$1,'Wells Fargo'!$B:$B,"&lt;="&amp;'Cash Flow'!BH$3,'Wells Fargo'!$B:$B,"&gt;"&amp;'Cash Flow'!BG$3)</f>
        <v>0</v>
      </c>
      <c r="BI37" s="77">
        <f>SUMIFS('Wells Fargo'!$F:$F,'Wells Fargo'!$G:$G,'Cash Flow'!$A37,'Wells Fargo'!$A:$A,BI$1,'Wells Fargo'!$B:$B,"&lt;="&amp;'Cash Flow'!BI$3,'Wells Fargo'!$B:$B,"&gt;"&amp;'Cash Flow'!BH$3)</f>
        <v>0</v>
      </c>
    </row>
    <row r="38" spans="1:61" ht="14.5" x14ac:dyDescent="0.5">
      <c r="A38" t="str">
        <v>SOA</v>
      </c>
      <c r="B38" s="90">
        <f t="shared" si="1"/>
        <v>-75</v>
      </c>
      <c r="C38" s="111">
        <f>SUMIFS('Wells Fargo'!$F:$F,'Wells Fargo'!$G:$G,'Cash Flow'!$A38,'Wells Fargo'!$A:$A,C$1,'Wells Fargo'!$B:$B,"&lt;="&amp;'Cash Flow'!C$3)</f>
        <v>0</v>
      </c>
      <c r="D38" s="77">
        <f>SUMIFS('Wells Fargo'!$F:$F,'Wells Fargo'!$G:$G,'Cash Flow'!$A38,'Wells Fargo'!$A:$A,D$1,'Wells Fargo'!$B:$B,"&lt;="&amp;'Cash Flow'!D$3,'Wells Fargo'!$B:$B,"&gt;"&amp;'Cash Flow'!C$3)</f>
        <v>0</v>
      </c>
      <c r="E38" s="77">
        <f>SUMIFS('Wells Fargo'!$F:$F,'Wells Fargo'!$G:$G,'Cash Flow'!$A38,'Wells Fargo'!$A:$A,E$1,'Wells Fargo'!$B:$B,"&lt;="&amp;'Cash Flow'!E$3,'Wells Fargo'!$B:$B,"&gt;"&amp;'Cash Flow'!D$3)</f>
        <v>0</v>
      </c>
      <c r="F38" s="77">
        <f>SUMIFS('Wells Fargo'!$F:$F,'Wells Fargo'!$G:$G,'Cash Flow'!$A38,'Wells Fargo'!$A:$A,F$1,'Wells Fargo'!$B:$B,"&lt;="&amp;'Cash Flow'!F$3,'Wells Fargo'!$B:$B,"&gt;"&amp;'Cash Flow'!E$3)</f>
        <v>-75</v>
      </c>
      <c r="G38" s="77">
        <f>SUMIFS('Wells Fargo'!$F:$F,'Wells Fargo'!$G:$G,'Cash Flow'!$A38,'Wells Fargo'!$A:$A,G$1,'Wells Fargo'!$B:$B,"&lt;="&amp;'Cash Flow'!G$3,'Wells Fargo'!$B:$B,"&gt;"&amp;'Cash Flow'!F$3)</f>
        <v>0</v>
      </c>
      <c r="H38" s="111">
        <f>SUMIFS('Wells Fargo'!$F:$F,'Wells Fargo'!$G:$G,'Cash Flow'!$A38,'Wells Fargo'!$A:$A,H$1,'Wells Fargo'!$B:$B,"&lt;="&amp;'Cash Flow'!H$3)</f>
        <v>0</v>
      </c>
      <c r="I38" s="77">
        <f>SUMIFS('Wells Fargo'!$F:$F,'Wells Fargo'!$G:$G,'Cash Flow'!$A38,'Wells Fargo'!$A:$A,I$1,'Wells Fargo'!$B:$B,"&lt;="&amp;'Cash Flow'!I$3,'Wells Fargo'!$B:$B,"&gt;"&amp;'Cash Flow'!H$3)</f>
        <v>0</v>
      </c>
      <c r="J38" s="77">
        <f>SUMIFS('Wells Fargo'!$F:$F,'Wells Fargo'!$G:$G,'Cash Flow'!$A38,'Wells Fargo'!$A:$A,J$1,'Wells Fargo'!$B:$B,"&lt;="&amp;'Cash Flow'!J$3,'Wells Fargo'!$B:$B,"&gt;"&amp;'Cash Flow'!I$3)</f>
        <v>0</v>
      </c>
      <c r="K38" s="77">
        <f>SUMIFS('Wells Fargo'!$F:$F,'Wells Fargo'!$G:$G,'Cash Flow'!$A38,'Wells Fargo'!$A:$A,K$1,'Wells Fargo'!$B:$B,"&lt;="&amp;'Cash Flow'!K$3,'Wells Fargo'!$B:$B,"&gt;"&amp;'Cash Flow'!J$3)</f>
        <v>0</v>
      </c>
      <c r="L38" s="111">
        <f>SUMIFS('Wells Fargo'!$F:$F,'Wells Fargo'!$G:$G,'Cash Flow'!$A38,'Wells Fargo'!$A:$A,L$1,'Wells Fargo'!$B:$B,"&lt;="&amp;'Cash Flow'!L$3)</f>
        <v>0</v>
      </c>
      <c r="M38" s="77">
        <f>SUMIFS('Wells Fargo'!$F:$F,'Wells Fargo'!$G:$G,'Cash Flow'!$A38,'Wells Fargo'!$A:$A,M$1,'Wells Fargo'!$B:$B,"&lt;="&amp;'Cash Flow'!M$3,'Wells Fargo'!$B:$B,"&gt;"&amp;'Cash Flow'!L$3)</f>
        <v>0</v>
      </c>
      <c r="N38" s="77">
        <f>SUMIFS('Wells Fargo'!$F:$F,'Wells Fargo'!$G:$G,'Cash Flow'!$A38,'Wells Fargo'!$A:$A,N$1,'Wells Fargo'!$B:$B,"&lt;="&amp;'Cash Flow'!N$3,'Wells Fargo'!$B:$B,"&gt;"&amp;'Cash Flow'!M$3)</f>
        <v>0</v>
      </c>
      <c r="O38" s="77">
        <f>SUMIFS('Wells Fargo'!$F:$F,'Wells Fargo'!$G:$G,'Cash Flow'!$A38,'Wells Fargo'!$A:$A,O$1,'Wells Fargo'!$B:$B,"&lt;="&amp;'Cash Flow'!O$3,'Wells Fargo'!$B:$B,"&gt;"&amp;'Cash Flow'!N$3)</f>
        <v>0</v>
      </c>
      <c r="P38" s="77">
        <f>SUMIFS('Wells Fargo'!$F:$F,'Wells Fargo'!$G:$G,'Cash Flow'!$A38,'Wells Fargo'!$A:$A,P$1,'Wells Fargo'!$B:$B,"&lt;="&amp;'Cash Flow'!P$3,'Wells Fargo'!$B:$B,"&gt;"&amp;'Cash Flow'!O$3)</f>
        <v>0</v>
      </c>
      <c r="Q38" s="111">
        <f>SUMIFS('Wells Fargo'!$F:$F,'Wells Fargo'!$G:$G,'Cash Flow'!$A38,'Wells Fargo'!$A:$A,Q$1,'Wells Fargo'!$B:$B,"&lt;="&amp;'Cash Flow'!Q$3)</f>
        <v>0</v>
      </c>
      <c r="R38" s="77">
        <f>SUMIFS('Wells Fargo'!$F:$F,'Wells Fargo'!$G:$G,'Cash Flow'!$A38,'Wells Fargo'!$A:$A,R$1,'Wells Fargo'!$B:$B,"&lt;="&amp;'Cash Flow'!R$3,'Wells Fargo'!$B:$B,"&gt;"&amp;'Cash Flow'!Q$3)</f>
        <v>0</v>
      </c>
      <c r="S38" s="77">
        <f>SUMIFS('Wells Fargo'!$F:$F,'Wells Fargo'!$G:$G,'Cash Flow'!$A38,'Wells Fargo'!$A:$A,S$1,'Wells Fargo'!$B:$B,"&lt;="&amp;'Cash Flow'!S$3,'Wells Fargo'!$B:$B,"&gt;"&amp;'Cash Flow'!R$3)</f>
        <v>0</v>
      </c>
      <c r="T38" s="77">
        <f>SUMIFS('Wells Fargo'!$F:$F,'Wells Fargo'!$G:$G,'Cash Flow'!$A38,'Wells Fargo'!$A:$A,T$1,'Wells Fargo'!$B:$B,"&lt;="&amp;'Cash Flow'!T$3,'Wells Fargo'!$B:$B,"&gt;"&amp;'Cash Flow'!S$3)</f>
        <v>0</v>
      </c>
      <c r="U38" s="77">
        <f>SUMIFS('Wells Fargo'!$F:$F,'Wells Fargo'!$G:$G,'Cash Flow'!$A38,'Wells Fargo'!$A:$A,U$1,'Wells Fargo'!$B:$B,"&lt;="&amp;'Cash Flow'!U$3,'Wells Fargo'!$B:$B,"&gt;"&amp;'Cash Flow'!T$3)</f>
        <v>0</v>
      </c>
      <c r="V38" s="111">
        <f>SUMIFS('Wells Fargo'!$F:$F,'Wells Fargo'!$G:$G,'Cash Flow'!$A38,'Wells Fargo'!$A:$A,V$1,'Wells Fargo'!$B:$B,"&lt;="&amp;'Cash Flow'!V$3)</f>
        <v>0</v>
      </c>
      <c r="W38" s="77">
        <f>SUMIFS('Wells Fargo'!$F:$F,'Wells Fargo'!$G:$G,'Cash Flow'!$A38,'Wells Fargo'!$A:$A,W$1,'Wells Fargo'!$B:$B,"&lt;="&amp;'Cash Flow'!W$3,'Wells Fargo'!$B:$B,"&gt;"&amp;'Cash Flow'!V$3)</f>
        <v>0</v>
      </c>
      <c r="X38" s="77">
        <f>SUMIFS('Wells Fargo'!$F:$F,'Wells Fargo'!$G:$G,'Cash Flow'!$A38,'Wells Fargo'!$A:$A,X$1,'Wells Fargo'!$B:$B,"&lt;="&amp;'Cash Flow'!X$3,'Wells Fargo'!$B:$B,"&gt;"&amp;'Cash Flow'!W$3)</f>
        <v>0</v>
      </c>
      <c r="Y38" s="77">
        <f>SUMIFS('Wells Fargo'!$F:$F,'Wells Fargo'!$G:$G,'Cash Flow'!$A38,'Wells Fargo'!$A:$A,Y$1,'Wells Fargo'!$B:$B,"&lt;="&amp;'Cash Flow'!Y$3,'Wells Fargo'!$B:$B,"&gt;"&amp;'Cash Flow'!X$3)</f>
        <v>0</v>
      </c>
      <c r="Z38" s="77">
        <f>SUMIFS('Wells Fargo'!$F:$F,'Wells Fargo'!$G:$G,'Cash Flow'!$A38,'Wells Fargo'!$A:$A,Z$1,'Wells Fargo'!$B:$B,"&lt;="&amp;'Cash Flow'!Z$3,'Wells Fargo'!$B:$B,"&gt;"&amp;'Cash Flow'!Y$3)</f>
        <v>0</v>
      </c>
      <c r="AA38" s="111">
        <f>SUMIFS('Wells Fargo'!$F:$F,'Wells Fargo'!$G:$G,'Cash Flow'!$A38,'Wells Fargo'!$A:$A,AA$1,'Wells Fargo'!$B:$B,"&lt;="&amp;'Cash Flow'!AA$3)</f>
        <v>0</v>
      </c>
      <c r="AB38" s="77">
        <f>SUMIFS('Wells Fargo'!$F:$F,'Wells Fargo'!$G:$G,'Cash Flow'!$A38,'Wells Fargo'!$A:$A,AB$1,'Wells Fargo'!$B:$B,"&lt;="&amp;'Cash Flow'!AB$3,'Wells Fargo'!$B:$B,"&gt;"&amp;'Cash Flow'!AA$3)</f>
        <v>0</v>
      </c>
      <c r="AC38" s="77">
        <f>SUMIFS('Wells Fargo'!$F:$F,'Wells Fargo'!$G:$G,'Cash Flow'!$A38,'Wells Fargo'!$A:$A,AC$1,'Wells Fargo'!$B:$B,"&lt;="&amp;'Cash Flow'!AC$3,'Wells Fargo'!$B:$B,"&gt;"&amp;'Cash Flow'!AB$3)</f>
        <v>0</v>
      </c>
      <c r="AD38" s="77">
        <f>SUMIFS('Wells Fargo'!$F:$F,'Wells Fargo'!$G:$G,'Cash Flow'!$A38,'Wells Fargo'!$A:$A,AD$1,'Wells Fargo'!$B:$B,"&lt;="&amp;'Cash Flow'!AD$3,'Wells Fargo'!$B:$B,"&gt;"&amp;'Cash Flow'!AC$3)</f>
        <v>0</v>
      </c>
      <c r="AE38" s="77">
        <f>SUMIFS('Wells Fargo'!$F:$F,'Wells Fargo'!$G:$G,'Cash Flow'!$A38,'Wells Fargo'!$A:$A,AE$1,'Wells Fargo'!$B:$B,"&lt;="&amp;'Cash Flow'!AE$3,'Wells Fargo'!$B:$B,"&gt;"&amp;'Cash Flow'!AD$3)</f>
        <v>0</v>
      </c>
      <c r="AF38" s="111">
        <f>SUMIFS('Wells Fargo'!$F:$F,'Wells Fargo'!$G:$G,'Cash Flow'!$A38,'Wells Fargo'!$A:$A,AF$1,'Wells Fargo'!$B:$B,"&lt;="&amp;'Cash Flow'!AF$3)</f>
        <v>0</v>
      </c>
      <c r="AG38" s="77">
        <f>SUMIFS('Wells Fargo'!$F:$F,'Wells Fargo'!$G:$G,'Cash Flow'!$A38,'Wells Fargo'!$A:$A,AG$1,'Wells Fargo'!$B:$B,"&lt;="&amp;'Cash Flow'!AG$3,'Wells Fargo'!$B:$B,"&gt;"&amp;'Cash Flow'!AF$3)</f>
        <v>0</v>
      </c>
      <c r="AH38" s="77">
        <f>SUMIFS('Wells Fargo'!$F:$F,'Wells Fargo'!$G:$G,'Cash Flow'!$A38,'Wells Fargo'!$A:$A,AH$1,'Wells Fargo'!$B:$B,"&lt;="&amp;'Cash Flow'!AH$3,'Wells Fargo'!$B:$B,"&gt;"&amp;'Cash Flow'!AG$3)</f>
        <v>0</v>
      </c>
      <c r="AI38" s="77">
        <f>SUMIFS('Wells Fargo'!$F:$F,'Wells Fargo'!$G:$G,'Cash Flow'!$A38,'Wells Fargo'!$A:$A,AI$1,'Wells Fargo'!$B:$B,"&lt;="&amp;'Cash Flow'!AI$3,'Wells Fargo'!$B:$B,"&gt;"&amp;'Cash Flow'!AH$3)</f>
        <v>0</v>
      </c>
      <c r="AJ38" s="77">
        <f>SUMIFS('Wells Fargo'!$F:$F,'Wells Fargo'!$G:$G,'Cash Flow'!$A38,'Wells Fargo'!$A:$A,AJ$1,'Wells Fargo'!$B:$B,"&lt;="&amp;'Cash Flow'!AJ$3,'Wells Fargo'!$B:$B,"&gt;"&amp;'Cash Flow'!AI$3)</f>
        <v>0</v>
      </c>
      <c r="AK38" s="111">
        <f>SUMIFS('Wells Fargo'!$F:$F,'Wells Fargo'!$G:$G,'Cash Flow'!$A38,'Wells Fargo'!$A:$A,AK$1,'Wells Fargo'!$B:$B,"&lt;="&amp;'Cash Flow'!AK$3)</f>
        <v>0</v>
      </c>
      <c r="AL38" s="77">
        <f>SUMIFS('Wells Fargo'!$F:$F,'Wells Fargo'!$G:$G,'Cash Flow'!$A38,'Wells Fargo'!$A:$A,AL$1,'Wells Fargo'!$B:$B,"&lt;="&amp;'Cash Flow'!AL$3,'Wells Fargo'!$B:$B,"&gt;"&amp;'Cash Flow'!AK$3)</f>
        <v>0</v>
      </c>
      <c r="AM38" s="77">
        <f>SUMIFS('Wells Fargo'!$F:$F,'Wells Fargo'!$G:$G,'Cash Flow'!$A38,'Wells Fargo'!$A:$A,AM$1,'Wells Fargo'!$B:$B,"&lt;="&amp;'Cash Flow'!AM$3,'Wells Fargo'!$B:$B,"&gt;"&amp;'Cash Flow'!AL$3)</f>
        <v>0</v>
      </c>
      <c r="AN38" s="77">
        <f>SUMIFS('Wells Fargo'!$F:$F,'Wells Fargo'!$G:$G,'Cash Flow'!$A38,'Wells Fargo'!$A:$A,AN$1,'Wells Fargo'!$B:$B,"&lt;="&amp;'Cash Flow'!AN$3,'Wells Fargo'!$B:$B,"&gt;"&amp;'Cash Flow'!AM$3)</f>
        <v>0</v>
      </c>
      <c r="AO38" s="77">
        <f>SUMIFS('Wells Fargo'!$F:$F,'Wells Fargo'!$G:$G,'Cash Flow'!$A38,'Wells Fargo'!$A:$A,AO$1,'Wells Fargo'!$B:$B,"&lt;="&amp;'Cash Flow'!AO$3,'Wells Fargo'!$B:$B,"&gt;"&amp;'Cash Flow'!AN$3)</f>
        <v>0</v>
      </c>
      <c r="AP38" s="111">
        <f>SUMIFS('Wells Fargo'!$F:$F,'Wells Fargo'!$G:$G,'Cash Flow'!$A38,'Wells Fargo'!$A:$A,AP$1,'Wells Fargo'!$B:$B,"&lt;="&amp;'Cash Flow'!AP$3)</f>
        <v>0</v>
      </c>
      <c r="AQ38" s="77">
        <f>SUMIFS('Wells Fargo'!$F:$F,'Wells Fargo'!$G:$G,'Cash Flow'!$A38,'Wells Fargo'!$A:$A,AQ$1,'Wells Fargo'!$B:$B,"&lt;="&amp;'Cash Flow'!AQ$3,'Wells Fargo'!$B:$B,"&gt;"&amp;'Cash Flow'!AP$3)</f>
        <v>0</v>
      </c>
      <c r="AR38" s="77">
        <f>SUMIFS('Wells Fargo'!$F:$F,'Wells Fargo'!$G:$G,'Cash Flow'!$A38,'Wells Fargo'!$A:$A,AR$1,'Wells Fargo'!$B:$B,"&lt;="&amp;'Cash Flow'!AR$3,'Wells Fargo'!$B:$B,"&gt;"&amp;'Cash Flow'!AQ$3)</f>
        <v>0</v>
      </c>
      <c r="AS38" s="77">
        <f>SUMIFS('Wells Fargo'!$F:$F,'Wells Fargo'!$G:$G,'Cash Flow'!$A38,'Wells Fargo'!$A:$A,AS$1,'Wells Fargo'!$B:$B,"&lt;="&amp;'Cash Flow'!AS$3,'Wells Fargo'!$B:$B,"&gt;"&amp;'Cash Flow'!AR$3)</f>
        <v>0</v>
      </c>
      <c r="AT38" s="77">
        <f>SUMIFS('Wells Fargo'!$F:$F,'Wells Fargo'!$G:$G,'Cash Flow'!$A38,'Wells Fargo'!$A:$A,AT$1,'Wells Fargo'!$B:$B,"&lt;="&amp;'Cash Flow'!AT$3,'Wells Fargo'!$B:$B,"&gt;"&amp;'Cash Flow'!AS$3)</f>
        <v>0</v>
      </c>
      <c r="AU38" s="111">
        <f>SUMIFS('Wells Fargo'!$F:$F,'Wells Fargo'!$G:$G,'Cash Flow'!$A38,'Wells Fargo'!$A:$A,AU$1,'Wells Fargo'!$B:$B,"&lt;="&amp;'Cash Flow'!AU$3)</f>
        <v>0</v>
      </c>
      <c r="AV38" s="77">
        <f>SUMIFS('Wells Fargo'!$F:$F,'Wells Fargo'!$G:$G,'Cash Flow'!$A38,'Wells Fargo'!$A:$A,AV$1,'Wells Fargo'!$B:$B,"&lt;="&amp;'Cash Flow'!AV$3,'Wells Fargo'!$B:$B,"&gt;"&amp;'Cash Flow'!AU$3)</f>
        <v>0</v>
      </c>
      <c r="AW38" s="77">
        <f>SUMIFS('Wells Fargo'!$F:$F,'Wells Fargo'!$G:$G,'Cash Flow'!$A38,'Wells Fargo'!$A:$A,AW$1,'Wells Fargo'!$B:$B,"&lt;="&amp;'Cash Flow'!AW$3,'Wells Fargo'!$B:$B,"&gt;"&amp;'Cash Flow'!AV$3)</f>
        <v>0</v>
      </c>
      <c r="AX38" s="77">
        <f>SUMIFS('Wells Fargo'!$F:$F,'Wells Fargo'!$G:$G,'Cash Flow'!$A38,'Wells Fargo'!$A:$A,AX$1,'Wells Fargo'!$B:$B,"&lt;="&amp;'Cash Flow'!AX$3,'Wells Fargo'!$B:$B,"&gt;"&amp;'Cash Flow'!AW$3)</f>
        <v>0</v>
      </c>
      <c r="AY38" s="77">
        <f>SUMIFS('Wells Fargo'!$F:$F,'Wells Fargo'!$G:$G,'Cash Flow'!$A38,'Wells Fargo'!$A:$A,AY$1,'Wells Fargo'!$B:$B,"&lt;="&amp;'Cash Flow'!AY$3,'Wells Fargo'!$B:$B,"&gt;"&amp;'Cash Flow'!AX$3)</f>
        <v>0</v>
      </c>
      <c r="AZ38" s="111">
        <f>SUMIFS('Wells Fargo'!$F:$F,'Wells Fargo'!$G:$G,'Cash Flow'!$A38,'Wells Fargo'!$A:$A,AZ$1,'Wells Fargo'!$B:$B,"&lt;="&amp;'Cash Flow'!AZ$3)</f>
        <v>0</v>
      </c>
      <c r="BA38" s="77">
        <f>SUMIFS('Wells Fargo'!$F:$F,'Wells Fargo'!$G:$G,'Cash Flow'!$A38,'Wells Fargo'!$A:$A,BA$1,'Wells Fargo'!$B:$B,"&lt;="&amp;'Cash Flow'!BA$3,'Wells Fargo'!$B:$B,"&gt;"&amp;'Cash Flow'!AZ$3)</f>
        <v>0</v>
      </c>
      <c r="BB38" s="77">
        <f>SUMIFS('Wells Fargo'!$F:$F,'Wells Fargo'!$G:$G,'Cash Flow'!$A38,'Wells Fargo'!$A:$A,BB$1,'Wells Fargo'!$B:$B,"&lt;="&amp;'Cash Flow'!BB$3,'Wells Fargo'!$B:$B,"&gt;"&amp;'Cash Flow'!BA$3)</f>
        <v>0</v>
      </c>
      <c r="BC38" s="77">
        <f>SUMIFS('Wells Fargo'!$F:$F,'Wells Fargo'!$G:$G,'Cash Flow'!$A38,'Wells Fargo'!$A:$A,BC$1,'Wells Fargo'!$B:$B,"&lt;="&amp;'Cash Flow'!BC$3,'Wells Fargo'!$B:$B,"&gt;"&amp;'Cash Flow'!BB$3)</f>
        <v>0</v>
      </c>
      <c r="BD38" s="77">
        <f>SUMIFS('Wells Fargo'!$F:$F,'Wells Fargo'!$G:$G,'Cash Flow'!$A38,'Wells Fargo'!$A:$A,BD$1,'Wells Fargo'!$B:$B,"&lt;="&amp;'Cash Flow'!BD$3,'Wells Fargo'!$B:$B,"&gt;"&amp;'Cash Flow'!BC$3)</f>
        <v>0</v>
      </c>
      <c r="BE38" s="111">
        <f>SUMIFS('Wells Fargo'!$F:$F,'Wells Fargo'!$G:$G,'Cash Flow'!$A38,'Wells Fargo'!$A:$A,BE$1,'Wells Fargo'!$B:$B,"&lt;="&amp;'Cash Flow'!BE$3)</f>
        <v>0</v>
      </c>
      <c r="BF38" s="77">
        <f>SUMIFS('Wells Fargo'!$F:$F,'Wells Fargo'!$G:$G,'Cash Flow'!$A38,'Wells Fargo'!$A:$A,BF$1,'Wells Fargo'!$B:$B,"&lt;="&amp;'Cash Flow'!BF$3,'Wells Fargo'!$B:$B,"&gt;"&amp;'Cash Flow'!BE$3)</f>
        <v>0</v>
      </c>
      <c r="BG38" s="77">
        <f>SUMIFS('Wells Fargo'!$F:$F,'Wells Fargo'!$G:$G,'Cash Flow'!$A38,'Wells Fargo'!$A:$A,BG$1,'Wells Fargo'!$B:$B,"&lt;="&amp;'Cash Flow'!BG$3,'Wells Fargo'!$B:$B,"&gt;"&amp;'Cash Flow'!BF$3)</f>
        <v>0</v>
      </c>
      <c r="BH38" s="77">
        <f>SUMIFS('Wells Fargo'!$F:$F,'Wells Fargo'!$G:$G,'Cash Flow'!$A38,'Wells Fargo'!$A:$A,BH$1,'Wells Fargo'!$B:$B,"&lt;="&amp;'Cash Flow'!BH$3,'Wells Fargo'!$B:$B,"&gt;"&amp;'Cash Flow'!BG$3)</f>
        <v>0</v>
      </c>
      <c r="BI38" s="77">
        <f>SUMIFS('Wells Fargo'!$F:$F,'Wells Fargo'!$G:$G,'Cash Flow'!$A38,'Wells Fargo'!$A:$A,BI$1,'Wells Fargo'!$B:$B,"&lt;="&amp;'Cash Flow'!BI$3,'Wells Fargo'!$B:$B,"&gt;"&amp;'Cash Flow'!BH$3)</f>
        <v>0</v>
      </c>
    </row>
    <row r="39" spans="1:61" ht="14.5" x14ac:dyDescent="0.5">
      <c r="A39" t="str">
        <v>Stimulus 1</v>
      </c>
      <c r="B39" s="90">
        <f t="shared" si="1"/>
        <v>600</v>
      </c>
      <c r="C39" s="111">
        <f>SUMIFS('Wells Fargo'!$F:$F,'Wells Fargo'!$G:$G,'Cash Flow'!$A39,'Wells Fargo'!$A:$A,C$1,'Wells Fargo'!$B:$B,"&lt;="&amp;'Cash Flow'!C$3)</f>
        <v>0</v>
      </c>
      <c r="D39" s="77">
        <f>SUMIFS('Wells Fargo'!$F:$F,'Wells Fargo'!$G:$G,'Cash Flow'!$A39,'Wells Fargo'!$A:$A,D$1,'Wells Fargo'!$B:$B,"&lt;="&amp;'Cash Flow'!D$3,'Wells Fargo'!$B:$B,"&gt;"&amp;'Cash Flow'!C$3)</f>
        <v>600</v>
      </c>
      <c r="E39" s="77">
        <f>SUMIFS('Wells Fargo'!$F:$F,'Wells Fargo'!$G:$G,'Cash Flow'!$A39,'Wells Fargo'!$A:$A,E$1,'Wells Fargo'!$B:$B,"&lt;="&amp;'Cash Flow'!E$3,'Wells Fargo'!$B:$B,"&gt;"&amp;'Cash Flow'!D$3)</f>
        <v>0</v>
      </c>
      <c r="F39" s="77">
        <f>SUMIFS('Wells Fargo'!$F:$F,'Wells Fargo'!$G:$G,'Cash Flow'!$A39,'Wells Fargo'!$A:$A,F$1,'Wells Fargo'!$B:$B,"&lt;="&amp;'Cash Flow'!F$3,'Wells Fargo'!$B:$B,"&gt;"&amp;'Cash Flow'!E$3)</f>
        <v>0</v>
      </c>
      <c r="G39" s="77">
        <f>SUMIFS('Wells Fargo'!$F:$F,'Wells Fargo'!$G:$G,'Cash Flow'!$A39,'Wells Fargo'!$A:$A,G$1,'Wells Fargo'!$B:$B,"&lt;="&amp;'Cash Flow'!G$3,'Wells Fargo'!$B:$B,"&gt;"&amp;'Cash Flow'!F$3)</f>
        <v>0</v>
      </c>
      <c r="H39" s="111">
        <f>SUMIFS('Wells Fargo'!$F:$F,'Wells Fargo'!$G:$G,'Cash Flow'!$A39,'Wells Fargo'!$A:$A,H$1,'Wells Fargo'!$B:$B,"&lt;="&amp;'Cash Flow'!H$3)</f>
        <v>0</v>
      </c>
      <c r="I39" s="77">
        <f>SUMIFS('Wells Fargo'!$F:$F,'Wells Fargo'!$G:$G,'Cash Flow'!$A39,'Wells Fargo'!$A:$A,I$1,'Wells Fargo'!$B:$B,"&lt;="&amp;'Cash Flow'!I$3,'Wells Fargo'!$B:$B,"&gt;"&amp;'Cash Flow'!H$3)</f>
        <v>0</v>
      </c>
      <c r="J39" s="77">
        <f>SUMIFS('Wells Fargo'!$F:$F,'Wells Fargo'!$G:$G,'Cash Flow'!$A39,'Wells Fargo'!$A:$A,J$1,'Wells Fargo'!$B:$B,"&lt;="&amp;'Cash Flow'!J$3,'Wells Fargo'!$B:$B,"&gt;"&amp;'Cash Flow'!I$3)</f>
        <v>0</v>
      </c>
      <c r="K39" s="77">
        <f>SUMIFS('Wells Fargo'!$F:$F,'Wells Fargo'!$G:$G,'Cash Flow'!$A39,'Wells Fargo'!$A:$A,K$1,'Wells Fargo'!$B:$B,"&lt;="&amp;'Cash Flow'!K$3,'Wells Fargo'!$B:$B,"&gt;"&amp;'Cash Flow'!J$3)</f>
        <v>0</v>
      </c>
      <c r="L39" s="111">
        <f>SUMIFS('Wells Fargo'!$F:$F,'Wells Fargo'!$G:$G,'Cash Flow'!$A39,'Wells Fargo'!$A:$A,L$1,'Wells Fargo'!$B:$B,"&lt;="&amp;'Cash Flow'!L$3)</f>
        <v>0</v>
      </c>
      <c r="M39" s="77">
        <f>SUMIFS('Wells Fargo'!$F:$F,'Wells Fargo'!$G:$G,'Cash Flow'!$A39,'Wells Fargo'!$A:$A,M$1,'Wells Fargo'!$B:$B,"&lt;="&amp;'Cash Flow'!M$3,'Wells Fargo'!$B:$B,"&gt;"&amp;'Cash Flow'!L$3)</f>
        <v>0</v>
      </c>
      <c r="N39" s="77">
        <f>SUMIFS('Wells Fargo'!$F:$F,'Wells Fargo'!$G:$G,'Cash Flow'!$A39,'Wells Fargo'!$A:$A,N$1,'Wells Fargo'!$B:$B,"&lt;="&amp;'Cash Flow'!N$3,'Wells Fargo'!$B:$B,"&gt;"&amp;'Cash Flow'!M$3)</f>
        <v>0</v>
      </c>
      <c r="O39" s="77">
        <f>SUMIFS('Wells Fargo'!$F:$F,'Wells Fargo'!$G:$G,'Cash Flow'!$A39,'Wells Fargo'!$A:$A,O$1,'Wells Fargo'!$B:$B,"&lt;="&amp;'Cash Flow'!O$3,'Wells Fargo'!$B:$B,"&gt;"&amp;'Cash Flow'!N$3)</f>
        <v>0</v>
      </c>
      <c r="P39" s="77">
        <f>SUMIFS('Wells Fargo'!$F:$F,'Wells Fargo'!$G:$G,'Cash Flow'!$A39,'Wells Fargo'!$A:$A,P$1,'Wells Fargo'!$B:$B,"&lt;="&amp;'Cash Flow'!P$3,'Wells Fargo'!$B:$B,"&gt;"&amp;'Cash Flow'!O$3)</f>
        <v>0</v>
      </c>
      <c r="Q39" s="111">
        <f>SUMIFS('Wells Fargo'!$F:$F,'Wells Fargo'!$G:$G,'Cash Flow'!$A39,'Wells Fargo'!$A:$A,Q$1,'Wells Fargo'!$B:$B,"&lt;="&amp;'Cash Flow'!Q$3)</f>
        <v>0</v>
      </c>
      <c r="R39" s="77">
        <f>SUMIFS('Wells Fargo'!$F:$F,'Wells Fargo'!$G:$G,'Cash Flow'!$A39,'Wells Fargo'!$A:$A,R$1,'Wells Fargo'!$B:$B,"&lt;="&amp;'Cash Flow'!R$3,'Wells Fargo'!$B:$B,"&gt;"&amp;'Cash Flow'!Q$3)</f>
        <v>0</v>
      </c>
      <c r="S39" s="77">
        <f>SUMIFS('Wells Fargo'!$F:$F,'Wells Fargo'!$G:$G,'Cash Flow'!$A39,'Wells Fargo'!$A:$A,S$1,'Wells Fargo'!$B:$B,"&lt;="&amp;'Cash Flow'!S$3,'Wells Fargo'!$B:$B,"&gt;"&amp;'Cash Flow'!R$3)</f>
        <v>0</v>
      </c>
      <c r="T39" s="77">
        <f>SUMIFS('Wells Fargo'!$F:$F,'Wells Fargo'!$G:$G,'Cash Flow'!$A39,'Wells Fargo'!$A:$A,T$1,'Wells Fargo'!$B:$B,"&lt;="&amp;'Cash Flow'!T$3,'Wells Fargo'!$B:$B,"&gt;"&amp;'Cash Flow'!S$3)</f>
        <v>0</v>
      </c>
      <c r="U39" s="77">
        <f>SUMIFS('Wells Fargo'!$F:$F,'Wells Fargo'!$G:$G,'Cash Flow'!$A39,'Wells Fargo'!$A:$A,U$1,'Wells Fargo'!$B:$B,"&lt;="&amp;'Cash Flow'!U$3,'Wells Fargo'!$B:$B,"&gt;"&amp;'Cash Flow'!T$3)</f>
        <v>0</v>
      </c>
      <c r="V39" s="111">
        <f>SUMIFS('Wells Fargo'!$F:$F,'Wells Fargo'!$G:$G,'Cash Flow'!$A39,'Wells Fargo'!$A:$A,V$1,'Wells Fargo'!$B:$B,"&lt;="&amp;'Cash Flow'!V$3)</f>
        <v>0</v>
      </c>
      <c r="W39" s="77">
        <f>SUMIFS('Wells Fargo'!$F:$F,'Wells Fargo'!$G:$G,'Cash Flow'!$A39,'Wells Fargo'!$A:$A,W$1,'Wells Fargo'!$B:$B,"&lt;="&amp;'Cash Flow'!W$3,'Wells Fargo'!$B:$B,"&gt;"&amp;'Cash Flow'!V$3)</f>
        <v>0</v>
      </c>
      <c r="X39" s="77">
        <f>SUMIFS('Wells Fargo'!$F:$F,'Wells Fargo'!$G:$G,'Cash Flow'!$A39,'Wells Fargo'!$A:$A,X$1,'Wells Fargo'!$B:$B,"&lt;="&amp;'Cash Flow'!X$3,'Wells Fargo'!$B:$B,"&gt;"&amp;'Cash Flow'!W$3)</f>
        <v>0</v>
      </c>
      <c r="Y39" s="77">
        <f>SUMIFS('Wells Fargo'!$F:$F,'Wells Fargo'!$G:$G,'Cash Flow'!$A39,'Wells Fargo'!$A:$A,Y$1,'Wells Fargo'!$B:$B,"&lt;="&amp;'Cash Flow'!Y$3,'Wells Fargo'!$B:$B,"&gt;"&amp;'Cash Flow'!X$3)</f>
        <v>0</v>
      </c>
      <c r="Z39" s="77">
        <f>SUMIFS('Wells Fargo'!$F:$F,'Wells Fargo'!$G:$G,'Cash Flow'!$A39,'Wells Fargo'!$A:$A,Z$1,'Wells Fargo'!$B:$B,"&lt;="&amp;'Cash Flow'!Z$3,'Wells Fargo'!$B:$B,"&gt;"&amp;'Cash Flow'!Y$3)</f>
        <v>0</v>
      </c>
      <c r="AA39" s="111">
        <f>SUMIFS('Wells Fargo'!$F:$F,'Wells Fargo'!$G:$G,'Cash Flow'!$A39,'Wells Fargo'!$A:$A,AA$1,'Wells Fargo'!$B:$B,"&lt;="&amp;'Cash Flow'!AA$3)</f>
        <v>0</v>
      </c>
      <c r="AB39" s="77">
        <f>SUMIFS('Wells Fargo'!$F:$F,'Wells Fargo'!$G:$G,'Cash Flow'!$A39,'Wells Fargo'!$A:$A,AB$1,'Wells Fargo'!$B:$B,"&lt;="&amp;'Cash Flow'!AB$3,'Wells Fargo'!$B:$B,"&gt;"&amp;'Cash Flow'!AA$3)</f>
        <v>0</v>
      </c>
      <c r="AC39" s="77">
        <f>SUMIFS('Wells Fargo'!$F:$F,'Wells Fargo'!$G:$G,'Cash Flow'!$A39,'Wells Fargo'!$A:$A,AC$1,'Wells Fargo'!$B:$B,"&lt;="&amp;'Cash Flow'!AC$3,'Wells Fargo'!$B:$B,"&gt;"&amp;'Cash Flow'!AB$3)</f>
        <v>0</v>
      </c>
      <c r="AD39" s="77">
        <f>SUMIFS('Wells Fargo'!$F:$F,'Wells Fargo'!$G:$G,'Cash Flow'!$A39,'Wells Fargo'!$A:$A,AD$1,'Wells Fargo'!$B:$B,"&lt;="&amp;'Cash Flow'!AD$3,'Wells Fargo'!$B:$B,"&gt;"&amp;'Cash Flow'!AC$3)</f>
        <v>0</v>
      </c>
      <c r="AE39" s="77">
        <f>SUMIFS('Wells Fargo'!$F:$F,'Wells Fargo'!$G:$G,'Cash Flow'!$A39,'Wells Fargo'!$A:$A,AE$1,'Wells Fargo'!$B:$B,"&lt;="&amp;'Cash Flow'!AE$3,'Wells Fargo'!$B:$B,"&gt;"&amp;'Cash Flow'!AD$3)</f>
        <v>0</v>
      </c>
      <c r="AF39" s="111">
        <f>SUMIFS('Wells Fargo'!$F:$F,'Wells Fargo'!$G:$G,'Cash Flow'!$A39,'Wells Fargo'!$A:$A,AF$1,'Wells Fargo'!$B:$B,"&lt;="&amp;'Cash Flow'!AF$3)</f>
        <v>0</v>
      </c>
      <c r="AG39" s="77">
        <f>SUMIFS('Wells Fargo'!$F:$F,'Wells Fargo'!$G:$G,'Cash Flow'!$A39,'Wells Fargo'!$A:$A,AG$1,'Wells Fargo'!$B:$B,"&lt;="&amp;'Cash Flow'!AG$3,'Wells Fargo'!$B:$B,"&gt;"&amp;'Cash Flow'!AF$3)</f>
        <v>0</v>
      </c>
      <c r="AH39" s="77">
        <f>SUMIFS('Wells Fargo'!$F:$F,'Wells Fargo'!$G:$G,'Cash Flow'!$A39,'Wells Fargo'!$A:$A,AH$1,'Wells Fargo'!$B:$B,"&lt;="&amp;'Cash Flow'!AH$3,'Wells Fargo'!$B:$B,"&gt;"&amp;'Cash Flow'!AG$3)</f>
        <v>0</v>
      </c>
      <c r="AI39" s="77">
        <f>SUMIFS('Wells Fargo'!$F:$F,'Wells Fargo'!$G:$G,'Cash Flow'!$A39,'Wells Fargo'!$A:$A,AI$1,'Wells Fargo'!$B:$B,"&lt;="&amp;'Cash Flow'!AI$3,'Wells Fargo'!$B:$B,"&gt;"&amp;'Cash Flow'!AH$3)</f>
        <v>0</v>
      </c>
      <c r="AJ39" s="77">
        <f>SUMIFS('Wells Fargo'!$F:$F,'Wells Fargo'!$G:$G,'Cash Flow'!$A39,'Wells Fargo'!$A:$A,AJ$1,'Wells Fargo'!$B:$B,"&lt;="&amp;'Cash Flow'!AJ$3,'Wells Fargo'!$B:$B,"&gt;"&amp;'Cash Flow'!AI$3)</f>
        <v>0</v>
      </c>
      <c r="AK39" s="111">
        <f>SUMIFS('Wells Fargo'!$F:$F,'Wells Fargo'!$G:$G,'Cash Flow'!$A39,'Wells Fargo'!$A:$A,AK$1,'Wells Fargo'!$B:$B,"&lt;="&amp;'Cash Flow'!AK$3)</f>
        <v>0</v>
      </c>
      <c r="AL39" s="77">
        <f>SUMIFS('Wells Fargo'!$F:$F,'Wells Fargo'!$G:$G,'Cash Flow'!$A39,'Wells Fargo'!$A:$A,AL$1,'Wells Fargo'!$B:$B,"&lt;="&amp;'Cash Flow'!AL$3,'Wells Fargo'!$B:$B,"&gt;"&amp;'Cash Flow'!AK$3)</f>
        <v>0</v>
      </c>
      <c r="AM39" s="77">
        <f>SUMIFS('Wells Fargo'!$F:$F,'Wells Fargo'!$G:$G,'Cash Flow'!$A39,'Wells Fargo'!$A:$A,AM$1,'Wells Fargo'!$B:$B,"&lt;="&amp;'Cash Flow'!AM$3,'Wells Fargo'!$B:$B,"&gt;"&amp;'Cash Flow'!AL$3)</f>
        <v>0</v>
      </c>
      <c r="AN39" s="77">
        <f>SUMIFS('Wells Fargo'!$F:$F,'Wells Fargo'!$G:$G,'Cash Flow'!$A39,'Wells Fargo'!$A:$A,AN$1,'Wells Fargo'!$B:$B,"&lt;="&amp;'Cash Flow'!AN$3,'Wells Fargo'!$B:$B,"&gt;"&amp;'Cash Flow'!AM$3)</f>
        <v>0</v>
      </c>
      <c r="AO39" s="77">
        <f>SUMIFS('Wells Fargo'!$F:$F,'Wells Fargo'!$G:$G,'Cash Flow'!$A39,'Wells Fargo'!$A:$A,AO$1,'Wells Fargo'!$B:$B,"&lt;="&amp;'Cash Flow'!AO$3,'Wells Fargo'!$B:$B,"&gt;"&amp;'Cash Flow'!AN$3)</f>
        <v>0</v>
      </c>
      <c r="AP39" s="111">
        <f>SUMIFS('Wells Fargo'!$F:$F,'Wells Fargo'!$G:$G,'Cash Flow'!$A39,'Wells Fargo'!$A:$A,AP$1,'Wells Fargo'!$B:$B,"&lt;="&amp;'Cash Flow'!AP$3)</f>
        <v>0</v>
      </c>
      <c r="AQ39" s="77">
        <f>SUMIFS('Wells Fargo'!$F:$F,'Wells Fargo'!$G:$G,'Cash Flow'!$A39,'Wells Fargo'!$A:$A,AQ$1,'Wells Fargo'!$B:$B,"&lt;="&amp;'Cash Flow'!AQ$3,'Wells Fargo'!$B:$B,"&gt;"&amp;'Cash Flow'!AP$3)</f>
        <v>0</v>
      </c>
      <c r="AR39" s="77">
        <f>SUMIFS('Wells Fargo'!$F:$F,'Wells Fargo'!$G:$G,'Cash Flow'!$A39,'Wells Fargo'!$A:$A,AR$1,'Wells Fargo'!$B:$B,"&lt;="&amp;'Cash Flow'!AR$3,'Wells Fargo'!$B:$B,"&gt;"&amp;'Cash Flow'!AQ$3)</f>
        <v>0</v>
      </c>
      <c r="AS39" s="77">
        <f>SUMIFS('Wells Fargo'!$F:$F,'Wells Fargo'!$G:$G,'Cash Flow'!$A39,'Wells Fargo'!$A:$A,AS$1,'Wells Fargo'!$B:$B,"&lt;="&amp;'Cash Flow'!AS$3,'Wells Fargo'!$B:$B,"&gt;"&amp;'Cash Flow'!AR$3)</f>
        <v>0</v>
      </c>
      <c r="AT39" s="77">
        <f>SUMIFS('Wells Fargo'!$F:$F,'Wells Fargo'!$G:$G,'Cash Flow'!$A39,'Wells Fargo'!$A:$A,AT$1,'Wells Fargo'!$B:$B,"&lt;="&amp;'Cash Flow'!AT$3,'Wells Fargo'!$B:$B,"&gt;"&amp;'Cash Flow'!AS$3)</f>
        <v>0</v>
      </c>
      <c r="AU39" s="111">
        <f>SUMIFS('Wells Fargo'!$F:$F,'Wells Fargo'!$G:$G,'Cash Flow'!$A39,'Wells Fargo'!$A:$A,AU$1,'Wells Fargo'!$B:$B,"&lt;="&amp;'Cash Flow'!AU$3)</f>
        <v>0</v>
      </c>
      <c r="AV39" s="77">
        <f>SUMIFS('Wells Fargo'!$F:$F,'Wells Fargo'!$G:$G,'Cash Flow'!$A39,'Wells Fargo'!$A:$A,AV$1,'Wells Fargo'!$B:$B,"&lt;="&amp;'Cash Flow'!AV$3,'Wells Fargo'!$B:$B,"&gt;"&amp;'Cash Flow'!AU$3)</f>
        <v>0</v>
      </c>
      <c r="AW39" s="77">
        <f>SUMIFS('Wells Fargo'!$F:$F,'Wells Fargo'!$G:$G,'Cash Flow'!$A39,'Wells Fargo'!$A:$A,AW$1,'Wells Fargo'!$B:$B,"&lt;="&amp;'Cash Flow'!AW$3,'Wells Fargo'!$B:$B,"&gt;"&amp;'Cash Flow'!AV$3)</f>
        <v>0</v>
      </c>
      <c r="AX39" s="77">
        <f>SUMIFS('Wells Fargo'!$F:$F,'Wells Fargo'!$G:$G,'Cash Flow'!$A39,'Wells Fargo'!$A:$A,AX$1,'Wells Fargo'!$B:$B,"&lt;="&amp;'Cash Flow'!AX$3,'Wells Fargo'!$B:$B,"&gt;"&amp;'Cash Flow'!AW$3)</f>
        <v>0</v>
      </c>
      <c r="AY39" s="77">
        <f>SUMIFS('Wells Fargo'!$F:$F,'Wells Fargo'!$G:$G,'Cash Flow'!$A39,'Wells Fargo'!$A:$A,AY$1,'Wells Fargo'!$B:$B,"&lt;="&amp;'Cash Flow'!AY$3,'Wells Fargo'!$B:$B,"&gt;"&amp;'Cash Flow'!AX$3)</f>
        <v>0</v>
      </c>
      <c r="AZ39" s="111">
        <f>SUMIFS('Wells Fargo'!$F:$F,'Wells Fargo'!$G:$G,'Cash Flow'!$A39,'Wells Fargo'!$A:$A,AZ$1,'Wells Fargo'!$B:$B,"&lt;="&amp;'Cash Flow'!AZ$3)</f>
        <v>0</v>
      </c>
      <c r="BA39" s="77">
        <f>SUMIFS('Wells Fargo'!$F:$F,'Wells Fargo'!$G:$G,'Cash Flow'!$A39,'Wells Fargo'!$A:$A,BA$1,'Wells Fargo'!$B:$B,"&lt;="&amp;'Cash Flow'!BA$3,'Wells Fargo'!$B:$B,"&gt;"&amp;'Cash Flow'!AZ$3)</f>
        <v>0</v>
      </c>
      <c r="BB39" s="77">
        <f>SUMIFS('Wells Fargo'!$F:$F,'Wells Fargo'!$G:$G,'Cash Flow'!$A39,'Wells Fargo'!$A:$A,BB$1,'Wells Fargo'!$B:$B,"&lt;="&amp;'Cash Flow'!BB$3,'Wells Fargo'!$B:$B,"&gt;"&amp;'Cash Flow'!BA$3)</f>
        <v>0</v>
      </c>
      <c r="BC39" s="77">
        <f>SUMIFS('Wells Fargo'!$F:$F,'Wells Fargo'!$G:$G,'Cash Flow'!$A39,'Wells Fargo'!$A:$A,BC$1,'Wells Fargo'!$B:$B,"&lt;="&amp;'Cash Flow'!BC$3,'Wells Fargo'!$B:$B,"&gt;"&amp;'Cash Flow'!BB$3)</f>
        <v>0</v>
      </c>
      <c r="BD39" s="77">
        <f>SUMIFS('Wells Fargo'!$F:$F,'Wells Fargo'!$G:$G,'Cash Flow'!$A39,'Wells Fargo'!$A:$A,BD$1,'Wells Fargo'!$B:$B,"&lt;="&amp;'Cash Flow'!BD$3,'Wells Fargo'!$B:$B,"&gt;"&amp;'Cash Flow'!BC$3)</f>
        <v>0</v>
      </c>
      <c r="BE39" s="111">
        <f>SUMIFS('Wells Fargo'!$F:$F,'Wells Fargo'!$G:$G,'Cash Flow'!$A39,'Wells Fargo'!$A:$A,BE$1,'Wells Fargo'!$B:$B,"&lt;="&amp;'Cash Flow'!BE$3)</f>
        <v>0</v>
      </c>
      <c r="BF39" s="77">
        <f>SUMIFS('Wells Fargo'!$F:$F,'Wells Fargo'!$G:$G,'Cash Flow'!$A39,'Wells Fargo'!$A:$A,BF$1,'Wells Fargo'!$B:$B,"&lt;="&amp;'Cash Flow'!BF$3,'Wells Fargo'!$B:$B,"&gt;"&amp;'Cash Flow'!BE$3)</f>
        <v>0</v>
      </c>
      <c r="BG39" s="77">
        <f>SUMIFS('Wells Fargo'!$F:$F,'Wells Fargo'!$G:$G,'Cash Flow'!$A39,'Wells Fargo'!$A:$A,BG$1,'Wells Fargo'!$B:$B,"&lt;="&amp;'Cash Flow'!BG$3,'Wells Fargo'!$B:$B,"&gt;"&amp;'Cash Flow'!BF$3)</f>
        <v>0</v>
      </c>
      <c r="BH39" s="77">
        <f>SUMIFS('Wells Fargo'!$F:$F,'Wells Fargo'!$G:$G,'Cash Flow'!$A39,'Wells Fargo'!$A:$A,BH$1,'Wells Fargo'!$B:$B,"&lt;="&amp;'Cash Flow'!BH$3,'Wells Fargo'!$B:$B,"&gt;"&amp;'Cash Flow'!BG$3)</f>
        <v>0</v>
      </c>
      <c r="BI39" s="77">
        <f>SUMIFS('Wells Fargo'!$F:$F,'Wells Fargo'!$G:$G,'Cash Flow'!$A39,'Wells Fargo'!$A:$A,BI$1,'Wells Fargo'!$B:$B,"&lt;="&amp;'Cash Flow'!BI$3,'Wells Fargo'!$B:$B,"&gt;"&amp;'Cash Flow'!BH$3)</f>
        <v>0</v>
      </c>
    </row>
    <row r="40" spans="1:61" ht="14.5" x14ac:dyDescent="0.5">
      <c r="A40" t="str">
        <v>Stimulus 2</v>
      </c>
      <c r="B40" s="90">
        <f t="shared" si="1"/>
        <v>2800</v>
      </c>
      <c r="C40" s="111">
        <f>SUMIFS('Wells Fargo'!$F:$F,'Wells Fargo'!$G:$G,'Cash Flow'!$A40,'Wells Fargo'!$A:$A,C$1,'Wells Fargo'!$B:$B,"&lt;="&amp;'Cash Flow'!C$3)</f>
        <v>0</v>
      </c>
      <c r="D40" s="77">
        <f>SUMIFS('Wells Fargo'!$F:$F,'Wells Fargo'!$G:$G,'Cash Flow'!$A40,'Wells Fargo'!$A:$A,D$1,'Wells Fargo'!$B:$B,"&lt;="&amp;'Cash Flow'!D$3,'Wells Fargo'!$B:$B,"&gt;"&amp;'Cash Flow'!C$3)</f>
        <v>0</v>
      </c>
      <c r="E40" s="77">
        <f>SUMIFS('Wells Fargo'!$F:$F,'Wells Fargo'!$G:$G,'Cash Flow'!$A40,'Wells Fargo'!$A:$A,E$1,'Wells Fargo'!$B:$B,"&lt;="&amp;'Cash Flow'!E$3,'Wells Fargo'!$B:$B,"&gt;"&amp;'Cash Flow'!D$3)</f>
        <v>0</v>
      </c>
      <c r="F40" s="77">
        <f>SUMIFS('Wells Fargo'!$F:$F,'Wells Fargo'!$G:$G,'Cash Flow'!$A40,'Wells Fargo'!$A:$A,F$1,'Wells Fargo'!$B:$B,"&lt;="&amp;'Cash Flow'!F$3,'Wells Fargo'!$B:$B,"&gt;"&amp;'Cash Flow'!E$3)</f>
        <v>0</v>
      </c>
      <c r="G40" s="77">
        <f>SUMIFS('Wells Fargo'!$F:$F,'Wells Fargo'!$G:$G,'Cash Flow'!$A40,'Wells Fargo'!$A:$A,G$1,'Wells Fargo'!$B:$B,"&lt;="&amp;'Cash Flow'!G$3,'Wells Fargo'!$B:$B,"&gt;"&amp;'Cash Flow'!F$3)</f>
        <v>0</v>
      </c>
      <c r="H40" s="111">
        <f>SUMIFS('Wells Fargo'!$F:$F,'Wells Fargo'!$G:$G,'Cash Flow'!$A40,'Wells Fargo'!$A:$A,H$1,'Wells Fargo'!$B:$B,"&lt;="&amp;'Cash Flow'!H$3)</f>
        <v>0</v>
      </c>
      <c r="I40" s="77">
        <f>SUMIFS('Wells Fargo'!$F:$F,'Wells Fargo'!$G:$G,'Cash Flow'!$A40,'Wells Fargo'!$A:$A,I$1,'Wells Fargo'!$B:$B,"&lt;="&amp;'Cash Flow'!I$3,'Wells Fargo'!$B:$B,"&gt;"&amp;'Cash Flow'!H$3)</f>
        <v>0</v>
      </c>
      <c r="J40" s="77">
        <f>SUMIFS('Wells Fargo'!$F:$F,'Wells Fargo'!$G:$G,'Cash Flow'!$A40,'Wells Fargo'!$A:$A,J$1,'Wells Fargo'!$B:$B,"&lt;="&amp;'Cash Flow'!J$3,'Wells Fargo'!$B:$B,"&gt;"&amp;'Cash Flow'!I$3)</f>
        <v>0</v>
      </c>
      <c r="K40" s="77">
        <f>SUMIFS('Wells Fargo'!$F:$F,'Wells Fargo'!$G:$G,'Cash Flow'!$A40,'Wells Fargo'!$A:$A,K$1,'Wells Fargo'!$B:$B,"&lt;="&amp;'Cash Flow'!K$3,'Wells Fargo'!$B:$B,"&gt;"&amp;'Cash Flow'!J$3)</f>
        <v>0</v>
      </c>
      <c r="L40" s="111">
        <f>SUMIFS('Wells Fargo'!$F:$F,'Wells Fargo'!$G:$G,'Cash Flow'!$A40,'Wells Fargo'!$A:$A,L$1,'Wells Fargo'!$B:$B,"&lt;="&amp;'Cash Flow'!L$3)</f>
        <v>0</v>
      </c>
      <c r="M40" s="77">
        <f>SUMIFS('Wells Fargo'!$F:$F,'Wells Fargo'!$G:$G,'Cash Flow'!$A40,'Wells Fargo'!$A:$A,M$1,'Wells Fargo'!$B:$B,"&lt;="&amp;'Cash Flow'!M$3,'Wells Fargo'!$B:$B,"&gt;"&amp;'Cash Flow'!L$3)</f>
        <v>0</v>
      </c>
      <c r="N40" s="77">
        <f>SUMIFS('Wells Fargo'!$F:$F,'Wells Fargo'!$G:$G,'Cash Flow'!$A40,'Wells Fargo'!$A:$A,N$1,'Wells Fargo'!$B:$B,"&lt;="&amp;'Cash Flow'!N$3,'Wells Fargo'!$B:$B,"&gt;"&amp;'Cash Flow'!M$3)</f>
        <v>2800</v>
      </c>
      <c r="O40" s="77">
        <f>SUMIFS('Wells Fargo'!$F:$F,'Wells Fargo'!$G:$G,'Cash Flow'!$A40,'Wells Fargo'!$A:$A,O$1,'Wells Fargo'!$B:$B,"&lt;="&amp;'Cash Flow'!O$3,'Wells Fargo'!$B:$B,"&gt;"&amp;'Cash Flow'!N$3)</f>
        <v>0</v>
      </c>
      <c r="P40" s="77">
        <f>SUMIFS('Wells Fargo'!$F:$F,'Wells Fargo'!$G:$G,'Cash Flow'!$A40,'Wells Fargo'!$A:$A,P$1,'Wells Fargo'!$B:$B,"&lt;="&amp;'Cash Flow'!P$3,'Wells Fargo'!$B:$B,"&gt;"&amp;'Cash Flow'!O$3)</f>
        <v>0</v>
      </c>
      <c r="Q40" s="111">
        <f>SUMIFS('Wells Fargo'!$F:$F,'Wells Fargo'!$G:$G,'Cash Flow'!$A40,'Wells Fargo'!$A:$A,Q$1,'Wells Fargo'!$B:$B,"&lt;="&amp;'Cash Flow'!Q$3)</f>
        <v>0</v>
      </c>
      <c r="R40" s="77">
        <f>SUMIFS('Wells Fargo'!$F:$F,'Wells Fargo'!$G:$G,'Cash Flow'!$A40,'Wells Fargo'!$A:$A,R$1,'Wells Fargo'!$B:$B,"&lt;="&amp;'Cash Flow'!R$3,'Wells Fargo'!$B:$B,"&gt;"&amp;'Cash Flow'!Q$3)</f>
        <v>0</v>
      </c>
      <c r="S40" s="77">
        <f>SUMIFS('Wells Fargo'!$F:$F,'Wells Fargo'!$G:$G,'Cash Flow'!$A40,'Wells Fargo'!$A:$A,S$1,'Wells Fargo'!$B:$B,"&lt;="&amp;'Cash Flow'!S$3,'Wells Fargo'!$B:$B,"&gt;"&amp;'Cash Flow'!R$3)</f>
        <v>0</v>
      </c>
      <c r="T40" s="77">
        <f>SUMIFS('Wells Fargo'!$F:$F,'Wells Fargo'!$G:$G,'Cash Flow'!$A40,'Wells Fargo'!$A:$A,T$1,'Wells Fargo'!$B:$B,"&lt;="&amp;'Cash Flow'!T$3,'Wells Fargo'!$B:$B,"&gt;"&amp;'Cash Flow'!S$3)</f>
        <v>0</v>
      </c>
      <c r="U40" s="77">
        <f>SUMIFS('Wells Fargo'!$F:$F,'Wells Fargo'!$G:$G,'Cash Flow'!$A40,'Wells Fargo'!$A:$A,U$1,'Wells Fargo'!$B:$B,"&lt;="&amp;'Cash Flow'!U$3,'Wells Fargo'!$B:$B,"&gt;"&amp;'Cash Flow'!T$3)</f>
        <v>0</v>
      </c>
      <c r="V40" s="111">
        <f>SUMIFS('Wells Fargo'!$F:$F,'Wells Fargo'!$G:$G,'Cash Flow'!$A40,'Wells Fargo'!$A:$A,V$1,'Wells Fargo'!$B:$B,"&lt;="&amp;'Cash Flow'!V$3)</f>
        <v>0</v>
      </c>
      <c r="W40" s="77">
        <f>SUMIFS('Wells Fargo'!$F:$F,'Wells Fargo'!$G:$G,'Cash Flow'!$A40,'Wells Fargo'!$A:$A,W$1,'Wells Fargo'!$B:$B,"&lt;="&amp;'Cash Flow'!W$3,'Wells Fargo'!$B:$B,"&gt;"&amp;'Cash Flow'!V$3)</f>
        <v>0</v>
      </c>
      <c r="X40" s="77">
        <f>SUMIFS('Wells Fargo'!$F:$F,'Wells Fargo'!$G:$G,'Cash Flow'!$A40,'Wells Fargo'!$A:$A,X$1,'Wells Fargo'!$B:$B,"&lt;="&amp;'Cash Flow'!X$3,'Wells Fargo'!$B:$B,"&gt;"&amp;'Cash Flow'!W$3)</f>
        <v>0</v>
      </c>
      <c r="Y40" s="77">
        <f>SUMIFS('Wells Fargo'!$F:$F,'Wells Fargo'!$G:$G,'Cash Flow'!$A40,'Wells Fargo'!$A:$A,Y$1,'Wells Fargo'!$B:$B,"&lt;="&amp;'Cash Flow'!Y$3,'Wells Fargo'!$B:$B,"&gt;"&amp;'Cash Flow'!X$3)</f>
        <v>0</v>
      </c>
      <c r="Z40" s="77">
        <f>SUMIFS('Wells Fargo'!$F:$F,'Wells Fargo'!$G:$G,'Cash Flow'!$A40,'Wells Fargo'!$A:$A,Z$1,'Wells Fargo'!$B:$B,"&lt;="&amp;'Cash Flow'!Z$3,'Wells Fargo'!$B:$B,"&gt;"&amp;'Cash Flow'!Y$3)</f>
        <v>0</v>
      </c>
      <c r="AA40" s="111">
        <f>SUMIFS('Wells Fargo'!$F:$F,'Wells Fargo'!$G:$G,'Cash Flow'!$A40,'Wells Fargo'!$A:$A,AA$1,'Wells Fargo'!$B:$B,"&lt;="&amp;'Cash Flow'!AA$3)</f>
        <v>0</v>
      </c>
      <c r="AB40" s="77">
        <f>SUMIFS('Wells Fargo'!$F:$F,'Wells Fargo'!$G:$G,'Cash Flow'!$A40,'Wells Fargo'!$A:$A,AB$1,'Wells Fargo'!$B:$B,"&lt;="&amp;'Cash Flow'!AB$3,'Wells Fargo'!$B:$B,"&gt;"&amp;'Cash Flow'!AA$3)</f>
        <v>0</v>
      </c>
      <c r="AC40" s="77">
        <f>SUMIFS('Wells Fargo'!$F:$F,'Wells Fargo'!$G:$G,'Cash Flow'!$A40,'Wells Fargo'!$A:$A,AC$1,'Wells Fargo'!$B:$B,"&lt;="&amp;'Cash Flow'!AC$3,'Wells Fargo'!$B:$B,"&gt;"&amp;'Cash Flow'!AB$3)</f>
        <v>0</v>
      </c>
      <c r="AD40" s="77">
        <f>SUMIFS('Wells Fargo'!$F:$F,'Wells Fargo'!$G:$G,'Cash Flow'!$A40,'Wells Fargo'!$A:$A,AD$1,'Wells Fargo'!$B:$B,"&lt;="&amp;'Cash Flow'!AD$3,'Wells Fargo'!$B:$B,"&gt;"&amp;'Cash Flow'!AC$3)</f>
        <v>0</v>
      </c>
      <c r="AE40" s="77">
        <f>SUMIFS('Wells Fargo'!$F:$F,'Wells Fargo'!$G:$G,'Cash Flow'!$A40,'Wells Fargo'!$A:$A,AE$1,'Wells Fargo'!$B:$B,"&lt;="&amp;'Cash Flow'!AE$3,'Wells Fargo'!$B:$B,"&gt;"&amp;'Cash Flow'!AD$3)</f>
        <v>0</v>
      </c>
      <c r="AF40" s="111">
        <f>SUMIFS('Wells Fargo'!$F:$F,'Wells Fargo'!$G:$G,'Cash Flow'!$A40,'Wells Fargo'!$A:$A,AF$1,'Wells Fargo'!$B:$B,"&lt;="&amp;'Cash Flow'!AF$3)</f>
        <v>0</v>
      </c>
      <c r="AG40" s="77">
        <f>SUMIFS('Wells Fargo'!$F:$F,'Wells Fargo'!$G:$G,'Cash Flow'!$A40,'Wells Fargo'!$A:$A,AG$1,'Wells Fargo'!$B:$B,"&lt;="&amp;'Cash Flow'!AG$3,'Wells Fargo'!$B:$B,"&gt;"&amp;'Cash Flow'!AF$3)</f>
        <v>0</v>
      </c>
      <c r="AH40" s="77">
        <f>SUMIFS('Wells Fargo'!$F:$F,'Wells Fargo'!$G:$G,'Cash Flow'!$A40,'Wells Fargo'!$A:$A,AH$1,'Wells Fargo'!$B:$B,"&lt;="&amp;'Cash Flow'!AH$3,'Wells Fargo'!$B:$B,"&gt;"&amp;'Cash Flow'!AG$3)</f>
        <v>0</v>
      </c>
      <c r="AI40" s="77">
        <f>SUMIFS('Wells Fargo'!$F:$F,'Wells Fargo'!$G:$G,'Cash Flow'!$A40,'Wells Fargo'!$A:$A,AI$1,'Wells Fargo'!$B:$B,"&lt;="&amp;'Cash Flow'!AI$3,'Wells Fargo'!$B:$B,"&gt;"&amp;'Cash Flow'!AH$3)</f>
        <v>0</v>
      </c>
      <c r="AJ40" s="77">
        <f>SUMIFS('Wells Fargo'!$F:$F,'Wells Fargo'!$G:$G,'Cash Flow'!$A40,'Wells Fargo'!$A:$A,AJ$1,'Wells Fargo'!$B:$B,"&lt;="&amp;'Cash Flow'!AJ$3,'Wells Fargo'!$B:$B,"&gt;"&amp;'Cash Flow'!AI$3)</f>
        <v>0</v>
      </c>
      <c r="AK40" s="111">
        <f>SUMIFS('Wells Fargo'!$F:$F,'Wells Fargo'!$G:$G,'Cash Flow'!$A40,'Wells Fargo'!$A:$A,AK$1,'Wells Fargo'!$B:$B,"&lt;="&amp;'Cash Flow'!AK$3)</f>
        <v>0</v>
      </c>
      <c r="AL40" s="77">
        <f>SUMIFS('Wells Fargo'!$F:$F,'Wells Fargo'!$G:$G,'Cash Flow'!$A40,'Wells Fargo'!$A:$A,AL$1,'Wells Fargo'!$B:$B,"&lt;="&amp;'Cash Flow'!AL$3,'Wells Fargo'!$B:$B,"&gt;"&amp;'Cash Flow'!AK$3)</f>
        <v>0</v>
      </c>
      <c r="AM40" s="77">
        <f>SUMIFS('Wells Fargo'!$F:$F,'Wells Fargo'!$G:$G,'Cash Flow'!$A40,'Wells Fargo'!$A:$A,AM$1,'Wells Fargo'!$B:$B,"&lt;="&amp;'Cash Flow'!AM$3,'Wells Fargo'!$B:$B,"&gt;"&amp;'Cash Flow'!AL$3)</f>
        <v>0</v>
      </c>
      <c r="AN40" s="77">
        <f>SUMIFS('Wells Fargo'!$F:$F,'Wells Fargo'!$G:$G,'Cash Flow'!$A40,'Wells Fargo'!$A:$A,AN$1,'Wells Fargo'!$B:$B,"&lt;="&amp;'Cash Flow'!AN$3,'Wells Fargo'!$B:$B,"&gt;"&amp;'Cash Flow'!AM$3)</f>
        <v>0</v>
      </c>
      <c r="AO40" s="77">
        <f>SUMIFS('Wells Fargo'!$F:$F,'Wells Fargo'!$G:$G,'Cash Flow'!$A40,'Wells Fargo'!$A:$A,AO$1,'Wells Fargo'!$B:$B,"&lt;="&amp;'Cash Flow'!AO$3,'Wells Fargo'!$B:$B,"&gt;"&amp;'Cash Flow'!AN$3)</f>
        <v>0</v>
      </c>
      <c r="AP40" s="111">
        <f>SUMIFS('Wells Fargo'!$F:$F,'Wells Fargo'!$G:$G,'Cash Flow'!$A40,'Wells Fargo'!$A:$A,AP$1,'Wells Fargo'!$B:$B,"&lt;="&amp;'Cash Flow'!AP$3)</f>
        <v>0</v>
      </c>
      <c r="AQ40" s="77">
        <f>SUMIFS('Wells Fargo'!$F:$F,'Wells Fargo'!$G:$G,'Cash Flow'!$A40,'Wells Fargo'!$A:$A,AQ$1,'Wells Fargo'!$B:$B,"&lt;="&amp;'Cash Flow'!AQ$3,'Wells Fargo'!$B:$B,"&gt;"&amp;'Cash Flow'!AP$3)</f>
        <v>0</v>
      </c>
      <c r="AR40" s="77">
        <f>SUMIFS('Wells Fargo'!$F:$F,'Wells Fargo'!$G:$G,'Cash Flow'!$A40,'Wells Fargo'!$A:$A,AR$1,'Wells Fargo'!$B:$B,"&lt;="&amp;'Cash Flow'!AR$3,'Wells Fargo'!$B:$B,"&gt;"&amp;'Cash Flow'!AQ$3)</f>
        <v>0</v>
      </c>
      <c r="AS40" s="77">
        <f>SUMIFS('Wells Fargo'!$F:$F,'Wells Fargo'!$G:$G,'Cash Flow'!$A40,'Wells Fargo'!$A:$A,AS$1,'Wells Fargo'!$B:$B,"&lt;="&amp;'Cash Flow'!AS$3,'Wells Fargo'!$B:$B,"&gt;"&amp;'Cash Flow'!AR$3)</f>
        <v>0</v>
      </c>
      <c r="AT40" s="77">
        <f>SUMIFS('Wells Fargo'!$F:$F,'Wells Fargo'!$G:$G,'Cash Flow'!$A40,'Wells Fargo'!$A:$A,AT$1,'Wells Fargo'!$B:$B,"&lt;="&amp;'Cash Flow'!AT$3,'Wells Fargo'!$B:$B,"&gt;"&amp;'Cash Flow'!AS$3)</f>
        <v>0</v>
      </c>
      <c r="AU40" s="111">
        <f>SUMIFS('Wells Fargo'!$F:$F,'Wells Fargo'!$G:$G,'Cash Flow'!$A40,'Wells Fargo'!$A:$A,AU$1,'Wells Fargo'!$B:$B,"&lt;="&amp;'Cash Flow'!AU$3)</f>
        <v>0</v>
      </c>
      <c r="AV40" s="77">
        <f>SUMIFS('Wells Fargo'!$F:$F,'Wells Fargo'!$G:$G,'Cash Flow'!$A40,'Wells Fargo'!$A:$A,AV$1,'Wells Fargo'!$B:$B,"&lt;="&amp;'Cash Flow'!AV$3,'Wells Fargo'!$B:$B,"&gt;"&amp;'Cash Flow'!AU$3)</f>
        <v>0</v>
      </c>
      <c r="AW40" s="77">
        <f>SUMIFS('Wells Fargo'!$F:$F,'Wells Fargo'!$G:$G,'Cash Flow'!$A40,'Wells Fargo'!$A:$A,AW$1,'Wells Fargo'!$B:$B,"&lt;="&amp;'Cash Flow'!AW$3,'Wells Fargo'!$B:$B,"&gt;"&amp;'Cash Flow'!AV$3)</f>
        <v>0</v>
      </c>
      <c r="AX40" s="77">
        <f>SUMIFS('Wells Fargo'!$F:$F,'Wells Fargo'!$G:$G,'Cash Flow'!$A40,'Wells Fargo'!$A:$A,AX$1,'Wells Fargo'!$B:$B,"&lt;="&amp;'Cash Flow'!AX$3,'Wells Fargo'!$B:$B,"&gt;"&amp;'Cash Flow'!AW$3)</f>
        <v>0</v>
      </c>
      <c r="AY40" s="77">
        <f>SUMIFS('Wells Fargo'!$F:$F,'Wells Fargo'!$G:$G,'Cash Flow'!$A40,'Wells Fargo'!$A:$A,AY$1,'Wells Fargo'!$B:$B,"&lt;="&amp;'Cash Flow'!AY$3,'Wells Fargo'!$B:$B,"&gt;"&amp;'Cash Flow'!AX$3)</f>
        <v>0</v>
      </c>
      <c r="AZ40" s="111">
        <f>SUMIFS('Wells Fargo'!$F:$F,'Wells Fargo'!$G:$G,'Cash Flow'!$A40,'Wells Fargo'!$A:$A,AZ$1,'Wells Fargo'!$B:$B,"&lt;="&amp;'Cash Flow'!AZ$3)</f>
        <v>0</v>
      </c>
      <c r="BA40" s="77">
        <f>SUMIFS('Wells Fargo'!$F:$F,'Wells Fargo'!$G:$G,'Cash Flow'!$A40,'Wells Fargo'!$A:$A,BA$1,'Wells Fargo'!$B:$B,"&lt;="&amp;'Cash Flow'!BA$3,'Wells Fargo'!$B:$B,"&gt;"&amp;'Cash Flow'!AZ$3)</f>
        <v>0</v>
      </c>
      <c r="BB40" s="77">
        <f>SUMIFS('Wells Fargo'!$F:$F,'Wells Fargo'!$G:$G,'Cash Flow'!$A40,'Wells Fargo'!$A:$A,BB$1,'Wells Fargo'!$B:$B,"&lt;="&amp;'Cash Flow'!BB$3,'Wells Fargo'!$B:$B,"&gt;"&amp;'Cash Flow'!BA$3)</f>
        <v>0</v>
      </c>
      <c r="BC40" s="77">
        <f>SUMIFS('Wells Fargo'!$F:$F,'Wells Fargo'!$G:$G,'Cash Flow'!$A40,'Wells Fargo'!$A:$A,BC$1,'Wells Fargo'!$B:$B,"&lt;="&amp;'Cash Flow'!BC$3,'Wells Fargo'!$B:$B,"&gt;"&amp;'Cash Flow'!BB$3)</f>
        <v>0</v>
      </c>
      <c r="BD40" s="77">
        <f>SUMIFS('Wells Fargo'!$F:$F,'Wells Fargo'!$G:$G,'Cash Flow'!$A40,'Wells Fargo'!$A:$A,BD$1,'Wells Fargo'!$B:$B,"&lt;="&amp;'Cash Flow'!BD$3,'Wells Fargo'!$B:$B,"&gt;"&amp;'Cash Flow'!BC$3)</f>
        <v>0</v>
      </c>
      <c r="BE40" s="111">
        <f>SUMIFS('Wells Fargo'!$F:$F,'Wells Fargo'!$G:$G,'Cash Flow'!$A40,'Wells Fargo'!$A:$A,BE$1,'Wells Fargo'!$B:$B,"&lt;="&amp;'Cash Flow'!BE$3)</f>
        <v>0</v>
      </c>
      <c r="BF40" s="77">
        <f>SUMIFS('Wells Fargo'!$F:$F,'Wells Fargo'!$G:$G,'Cash Flow'!$A40,'Wells Fargo'!$A:$A,BF$1,'Wells Fargo'!$B:$B,"&lt;="&amp;'Cash Flow'!BF$3,'Wells Fargo'!$B:$B,"&gt;"&amp;'Cash Flow'!BE$3)</f>
        <v>0</v>
      </c>
      <c r="BG40" s="77">
        <f>SUMIFS('Wells Fargo'!$F:$F,'Wells Fargo'!$G:$G,'Cash Flow'!$A40,'Wells Fargo'!$A:$A,BG$1,'Wells Fargo'!$B:$B,"&lt;="&amp;'Cash Flow'!BG$3,'Wells Fargo'!$B:$B,"&gt;"&amp;'Cash Flow'!BF$3)</f>
        <v>0</v>
      </c>
      <c r="BH40" s="77">
        <f>SUMIFS('Wells Fargo'!$F:$F,'Wells Fargo'!$G:$G,'Cash Flow'!$A40,'Wells Fargo'!$A:$A,BH$1,'Wells Fargo'!$B:$B,"&lt;="&amp;'Cash Flow'!BH$3,'Wells Fargo'!$B:$B,"&gt;"&amp;'Cash Flow'!BG$3)</f>
        <v>0</v>
      </c>
      <c r="BI40" s="77">
        <f>SUMIFS('Wells Fargo'!$F:$F,'Wells Fargo'!$G:$G,'Cash Flow'!$A40,'Wells Fargo'!$A:$A,BI$1,'Wells Fargo'!$B:$B,"&lt;="&amp;'Cash Flow'!BI$3,'Wells Fargo'!$B:$B,"&gt;"&amp;'Cash Flow'!BH$3)</f>
        <v>0</v>
      </c>
    </row>
    <row r="41" spans="1:61" ht="14.5" x14ac:dyDescent="0.5">
      <c r="A41" t="str">
        <v>Stranger</v>
      </c>
      <c r="B41" s="90">
        <f>SUM(B4:B40)</f>
        <v>1283.71</v>
      </c>
      <c r="C41" s="111">
        <f>SUMIFS('Wells Fargo'!$F:$F,'Wells Fargo'!$G:$G,'Cash Flow'!$A41,'Wells Fargo'!$A:$A,C$1,'Wells Fargo'!$B:$B,"&lt;="&amp;'Cash Flow'!C$3)</f>
        <v>0</v>
      </c>
      <c r="D41" s="77">
        <f>SUMIFS('Wells Fargo'!$F:$F,'Wells Fargo'!$G:$G,'Cash Flow'!$A41,'Wells Fargo'!$A:$A,D$1,'Wells Fargo'!$B:$B,"&lt;="&amp;'Cash Flow'!D$3,'Wells Fargo'!$B:$B,"&gt;"&amp;'Cash Flow'!C$3)</f>
        <v>0</v>
      </c>
      <c r="E41" s="77">
        <f>SUMIFS('Wells Fargo'!$F:$F,'Wells Fargo'!$G:$G,'Cash Flow'!$A41,'Wells Fargo'!$A:$A,E$1,'Wells Fargo'!$B:$B,"&lt;="&amp;'Cash Flow'!E$3,'Wells Fargo'!$B:$B,"&gt;"&amp;'Cash Flow'!D$3)</f>
        <v>0</v>
      </c>
      <c r="F41" s="77">
        <f>SUMIFS('Wells Fargo'!$F:$F,'Wells Fargo'!$G:$G,'Cash Flow'!$A41,'Wells Fargo'!$A:$A,F$1,'Wells Fargo'!$B:$B,"&lt;="&amp;'Cash Flow'!F$3,'Wells Fargo'!$B:$B,"&gt;"&amp;'Cash Flow'!E$3)</f>
        <v>0</v>
      </c>
      <c r="G41" s="77">
        <f>SUMIFS('Wells Fargo'!$F:$F,'Wells Fargo'!$G:$G,'Cash Flow'!$A41,'Wells Fargo'!$A:$A,G$1,'Wells Fargo'!$B:$B,"&lt;="&amp;'Cash Flow'!G$3,'Wells Fargo'!$B:$B,"&gt;"&amp;'Cash Flow'!F$3)</f>
        <v>0</v>
      </c>
      <c r="H41" s="111">
        <f>SUMIFS('Wells Fargo'!$F:$F,'Wells Fargo'!$G:$G,'Cash Flow'!$A41,'Wells Fargo'!$A:$A,H$1,'Wells Fargo'!$B:$B,"&lt;="&amp;'Cash Flow'!H$3)</f>
        <v>0</v>
      </c>
      <c r="I41" s="77">
        <f>SUMIFS('Wells Fargo'!$F:$F,'Wells Fargo'!$G:$G,'Cash Flow'!$A41,'Wells Fargo'!$A:$A,I$1,'Wells Fargo'!$B:$B,"&lt;="&amp;'Cash Flow'!I$3,'Wells Fargo'!$B:$B,"&gt;"&amp;'Cash Flow'!H$3)</f>
        <v>0</v>
      </c>
      <c r="J41" s="77">
        <f>SUMIFS('Wells Fargo'!$F:$F,'Wells Fargo'!$G:$G,'Cash Flow'!$A41,'Wells Fargo'!$A:$A,J$1,'Wells Fargo'!$B:$B,"&lt;="&amp;'Cash Flow'!J$3,'Wells Fargo'!$B:$B,"&gt;"&amp;'Cash Flow'!I$3)</f>
        <v>0</v>
      </c>
      <c r="K41" s="77">
        <f>SUMIFS('Wells Fargo'!$F:$F,'Wells Fargo'!$G:$G,'Cash Flow'!$A41,'Wells Fargo'!$A:$A,K$1,'Wells Fargo'!$B:$B,"&lt;="&amp;'Cash Flow'!K$3,'Wells Fargo'!$B:$B,"&gt;"&amp;'Cash Flow'!J$3)</f>
        <v>0</v>
      </c>
      <c r="L41" s="111">
        <f>SUMIFS('Wells Fargo'!$F:$F,'Wells Fargo'!$G:$G,'Cash Flow'!$A41,'Wells Fargo'!$A:$A,L$1,'Wells Fargo'!$B:$B,"&lt;="&amp;'Cash Flow'!L$3)</f>
        <v>0</v>
      </c>
      <c r="M41" s="77">
        <f>SUMIFS('Wells Fargo'!$F:$F,'Wells Fargo'!$G:$G,'Cash Flow'!$A41,'Wells Fargo'!$A:$A,M$1,'Wells Fargo'!$B:$B,"&lt;="&amp;'Cash Flow'!M$3,'Wells Fargo'!$B:$B,"&gt;"&amp;'Cash Flow'!L$3)</f>
        <v>0</v>
      </c>
      <c r="N41" s="77">
        <f>SUMIFS('Wells Fargo'!$F:$F,'Wells Fargo'!$G:$G,'Cash Flow'!$A41,'Wells Fargo'!$A:$A,N$1,'Wells Fargo'!$B:$B,"&lt;="&amp;'Cash Flow'!N$3,'Wells Fargo'!$B:$B,"&gt;"&amp;'Cash Flow'!M$3)</f>
        <v>0</v>
      </c>
      <c r="O41" s="77">
        <f>SUMIFS('Wells Fargo'!$F:$F,'Wells Fargo'!$G:$G,'Cash Flow'!$A41,'Wells Fargo'!$A:$A,O$1,'Wells Fargo'!$B:$B,"&lt;="&amp;'Cash Flow'!O$3,'Wells Fargo'!$B:$B,"&gt;"&amp;'Cash Flow'!N$3)</f>
        <v>0</v>
      </c>
      <c r="P41" s="77">
        <f>SUMIFS('Wells Fargo'!$F:$F,'Wells Fargo'!$G:$G,'Cash Flow'!$A41,'Wells Fargo'!$A:$A,P$1,'Wells Fargo'!$B:$B,"&lt;="&amp;'Cash Flow'!P$3,'Wells Fargo'!$B:$B,"&gt;"&amp;'Cash Flow'!O$3)</f>
        <v>0</v>
      </c>
      <c r="Q41" s="111">
        <f>SUMIFS('Wells Fargo'!$F:$F,'Wells Fargo'!$G:$G,'Cash Flow'!$A41,'Wells Fargo'!$A:$A,Q$1,'Wells Fargo'!$B:$B,"&lt;="&amp;'Cash Flow'!Q$3)</f>
        <v>0</v>
      </c>
      <c r="R41" s="77">
        <f>SUMIFS('Wells Fargo'!$F:$F,'Wells Fargo'!$G:$G,'Cash Flow'!$A41,'Wells Fargo'!$A:$A,R$1,'Wells Fargo'!$B:$B,"&lt;="&amp;'Cash Flow'!R$3,'Wells Fargo'!$B:$B,"&gt;"&amp;'Cash Flow'!Q$3)</f>
        <v>0</v>
      </c>
      <c r="S41" s="77">
        <f>SUMIFS('Wells Fargo'!$F:$F,'Wells Fargo'!$G:$G,'Cash Flow'!$A41,'Wells Fargo'!$A:$A,S$1,'Wells Fargo'!$B:$B,"&lt;="&amp;'Cash Flow'!S$3,'Wells Fargo'!$B:$B,"&gt;"&amp;'Cash Flow'!R$3)</f>
        <v>0</v>
      </c>
      <c r="T41" s="77">
        <f>SUMIFS('Wells Fargo'!$F:$F,'Wells Fargo'!$G:$G,'Cash Flow'!$A41,'Wells Fargo'!$A:$A,T$1,'Wells Fargo'!$B:$B,"&lt;="&amp;'Cash Flow'!T$3,'Wells Fargo'!$B:$B,"&gt;"&amp;'Cash Flow'!S$3)</f>
        <v>0</v>
      </c>
      <c r="U41" s="77">
        <f>SUMIFS('Wells Fargo'!$F:$F,'Wells Fargo'!$G:$G,'Cash Flow'!$A41,'Wells Fargo'!$A:$A,U$1,'Wells Fargo'!$B:$B,"&lt;="&amp;'Cash Flow'!U$3,'Wells Fargo'!$B:$B,"&gt;"&amp;'Cash Flow'!T$3)</f>
        <v>0</v>
      </c>
      <c r="V41" s="111">
        <f>SUMIFS('Wells Fargo'!$F:$F,'Wells Fargo'!$G:$G,'Cash Flow'!$A41,'Wells Fargo'!$A:$A,V$1,'Wells Fargo'!$B:$B,"&lt;="&amp;'Cash Flow'!V$3)</f>
        <v>0</v>
      </c>
      <c r="W41" s="77">
        <f>SUMIFS('Wells Fargo'!$F:$F,'Wells Fargo'!$G:$G,'Cash Flow'!$A41,'Wells Fargo'!$A:$A,W$1,'Wells Fargo'!$B:$B,"&lt;="&amp;'Cash Flow'!W$3,'Wells Fargo'!$B:$B,"&gt;"&amp;'Cash Flow'!V$3)</f>
        <v>0</v>
      </c>
      <c r="X41" s="77">
        <f>SUMIFS('Wells Fargo'!$F:$F,'Wells Fargo'!$G:$G,'Cash Flow'!$A41,'Wells Fargo'!$A:$A,X$1,'Wells Fargo'!$B:$B,"&lt;="&amp;'Cash Flow'!X$3,'Wells Fargo'!$B:$B,"&gt;"&amp;'Cash Flow'!W$3)</f>
        <v>0</v>
      </c>
      <c r="Y41" s="77">
        <f>SUMIFS('Wells Fargo'!$F:$F,'Wells Fargo'!$G:$G,'Cash Flow'!$A41,'Wells Fargo'!$A:$A,Y$1,'Wells Fargo'!$B:$B,"&lt;="&amp;'Cash Flow'!Y$3,'Wells Fargo'!$B:$B,"&gt;"&amp;'Cash Flow'!X$3)</f>
        <v>-50</v>
      </c>
      <c r="Z41" s="77">
        <f>SUMIFS('Wells Fargo'!$F:$F,'Wells Fargo'!$G:$G,'Cash Flow'!$A41,'Wells Fargo'!$A:$A,Z$1,'Wells Fargo'!$B:$B,"&lt;="&amp;'Cash Flow'!Z$3,'Wells Fargo'!$B:$B,"&gt;"&amp;'Cash Flow'!Y$3)</f>
        <v>0</v>
      </c>
      <c r="AA41" s="111">
        <f>SUMIFS('Wells Fargo'!$F:$F,'Wells Fargo'!$G:$G,'Cash Flow'!$A41,'Wells Fargo'!$A:$A,AA$1,'Wells Fargo'!$B:$B,"&lt;="&amp;'Cash Flow'!AA$3)</f>
        <v>0</v>
      </c>
      <c r="AB41" s="77">
        <f>SUMIFS('Wells Fargo'!$F:$F,'Wells Fargo'!$G:$G,'Cash Flow'!$A41,'Wells Fargo'!$A:$A,AB$1,'Wells Fargo'!$B:$B,"&lt;="&amp;'Cash Flow'!AB$3,'Wells Fargo'!$B:$B,"&gt;"&amp;'Cash Flow'!AA$3)</f>
        <v>0</v>
      </c>
      <c r="AC41" s="77">
        <f>SUMIFS('Wells Fargo'!$F:$F,'Wells Fargo'!$G:$G,'Cash Flow'!$A41,'Wells Fargo'!$A:$A,AC$1,'Wells Fargo'!$B:$B,"&lt;="&amp;'Cash Flow'!AC$3,'Wells Fargo'!$B:$B,"&gt;"&amp;'Cash Flow'!AB$3)</f>
        <v>0</v>
      </c>
      <c r="AD41" s="77">
        <f>SUMIFS('Wells Fargo'!$F:$F,'Wells Fargo'!$G:$G,'Cash Flow'!$A41,'Wells Fargo'!$A:$A,AD$1,'Wells Fargo'!$B:$B,"&lt;="&amp;'Cash Flow'!AD$3,'Wells Fargo'!$B:$B,"&gt;"&amp;'Cash Flow'!AC$3)</f>
        <v>0</v>
      </c>
      <c r="AE41" s="77">
        <f>SUMIFS('Wells Fargo'!$F:$F,'Wells Fargo'!$G:$G,'Cash Flow'!$A41,'Wells Fargo'!$A:$A,AE$1,'Wells Fargo'!$B:$B,"&lt;="&amp;'Cash Flow'!AE$3,'Wells Fargo'!$B:$B,"&gt;"&amp;'Cash Flow'!AD$3)</f>
        <v>0</v>
      </c>
      <c r="AF41" s="111">
        <f>SUMIFS('Wells Fargo'!$F:$F,'Wells Fargo'!$G:$G,'Cash Flow'!$A41,'Wells Fargo'!$A:$A,AF$1,'Wells Fargo'!$B:$B,"&lt;="&amp;'Cash Flow'!AF$3)</f>
        <v>0</v>
      </c>
      <c r="AG41" s="77">
        <f>SUMIFS('Wells Fargo'!$F:$F,'Wells Fargo'!$G:$G,'Cash Flow'!$A41,'Wells Fargo'!$A:$A,AG$1,'Wells Fargo'!$B:$B,"&lt;="&amp;'Cash Flow'!AG$3,'Wells Fargo'!$B:$B,"&gt;"&amp;'Cash Flow'!AF$3)</f>
        <v>0</v>
      </c>
      <c r="AH41" s="77">
        <f>SUMIFS('Wells Fargo'!$F:$F,'Wells Fargo'!$G:$G,'Cash Flow'!$A41,'Wells Fargo'!$A:$A,AH$1,'Wells Fargo'!$B:$B,"&lt;="&amp;'Cash Flow'!AH$3,'Wells Fargo'!$B:$B,"&gt;"&amp;'Cash Flow'!AG$3)</f>
        <v>0</v>
      </c>
      <c r="AI41" s="77">
        <f>SUMIFS('Wells Fargo'!$F:$F,'Wells Fargo'!$G:$G,'Cash Flow'!$A41,'Wells Fargo'!$A:$A,AI$1,'Wells Fargo'!$B:$B,"&lt;="&amp;'Cash Flow'!AI$3,'Wells Fargo'!$B:$B,"&gt;"&amp;'Cash Flow'!AH$3)</f>
        <v>0</v>
      </c>
      <c r="AJ41" s="77">
        <f>SUMIFS('Wells Fargo'!$F:$F,'Wells Fargo'!$G:$G,'Cash Flow'!$A41,'Wells Fargo'!$A:$A,AJ$1,'Wells Fargo'!$B:$B,"&lt;="&amp;'Cash Flow'!AJ$3,'Wells Fargo'!$B:$B,"&gt;"&amp;'Cash Flow'!AI$3)</f>
        <v>0</v>
      </c>
      <c r="AK41" s="111">
        <f>SUMIFS('Wells Fargo'!$F:$F,'Wells Fargo'!$G:$G,'Cash Flow'!$A41,'Wells Fargo'!$A:$A,AK$1,'Wells Fargo'!$B:$B,"&lt;="&amp;'Cash Flow'!AK$3)</f>
        <v>0</v>
      </c>
      <c r="AL41" s="77">
        <f>SUMIFS('Wells Fargo'!$F:$F,'Wells Fargo'!$G:$G,'Cash Flow'!$A41,'Wells Fargo'!$A:$A,AL$1,'Wells Fargo'!$B:$B,"&lt;="&amp;'Cash Flow'!AL$3,'Wells Fargo'!$B:$B,"&gt;"&amp;'Cash Flow'!AK$3)</f>
        <v>0</v>
      </c>
      <c r="AM41" s="77">
        <f>SUMIFS('Wells Fargo'!$F:$F,'Wells Fargo'!$G:$G,'Cash Flow'!$A41,'Wells Fargo'!$A:$A,AM$1,'Wells Fargo'!$B:$B,"&lt;="&amp;'Cash Flow'!AM$3,'Wells Fargo'!$B:$B,"&gt;"&amp;'Cash Flow'!AL$3)</f>
        <v>0</v>
      </c>
      <c r="AN41" s="77">
        <f>SUMIFS('Wells Fargo'!$F:$F,'Wells Fargo'!$G:$G,'Cash Flow'!$A41,'Wells Fargo'!$A:$A,AN$1,'Wells Fargo'!$B:$B,"&lt;="&amp;'Cash Flow'!AN$3,'Wells Fargo'!$B:$B,"&gt;"&amp;'Cash Flow'!AM$3)</f>
        <v>0</v>
      </c>
      <c r="AO41" s="77">
        <f>SUMIFS('Wells Fargo'!$F:$F,'Wells Fargo'!$G:$G,'Cash Flow'!$A41,'Wells Fargo'!$A:$A,AO$1,'Wells Fargo'!$B:$B,"&lt;="&amp;'Cash Flow'!AO$3,'Wells Fargo'!$B:$B,"&gt;"&amp;'Cash Flow'!AN$3)</f>
        <v>0</v>
      </c>
      <c r="AP41" s="111">
        <f>SUMIFS('Wells Fargo'!$F:$F,'Wells Fargo'!$G:$G,'Cash Flow'!$A41,'Wells Fargo'!$A:$A,AP$1,'Wells Fargo'!$B:$B,"&lt;="&amp;'Cash Flow'!AP$3)</f>
        <v>0</v>
      </c>
      <c r="AQ41" s="77">
        <f>SUMIFS('Wells Fargo'!$F:$F,'Wells Fargo'!$G:$G,'Cash Flow'!$A41,'Wells Fargo'!$A:$A,AQ$1,'Wells Fargo'!$B:$B,"&lt;="&amp;'Cash Flow'!AQ$3,'Wells Fargo'!$B:$B,"&gt;"&amp;'Cash Flow'!AP$3)</f>
        <v>0</v>
      </c>
      <c r="AR41" s="77">
        <f>SUMIFS('Wells Fargo'!$F:$F,'Wells Fargo'!$G:$G,'Cash Flow'!$A41,'Wells Fargo'!$A:$A,AR$1,'Wells Fargo'!$B:$B,"&lt;="&amp;'Cash Flow'!AR$3,'Wells Fargo'!$B:$B,"&gt;"&amp;'Cash Flow'!AQ$3)</f>
        <v>0</v>
      </c>
      <c r="AS41" s="77">
        <f>SUMIFS('Wells Fargo'!$F:$F,'Wells Fargo'!$G:$G,'Cash Flow'!$A41,'Wells Fargo'!$A:$A,AS$1,'Wells Fargo'!$B:$B,"&lt;="&amp;'Cash Flow'!AS$3,'Wells Fargo'!$B:$B,"&gt;"&amp;'Cash Flow'!AR$3)</f>
        <v>0</v>
      </c>
      <c r="AT41" s="77">
        <f>SUMIFS('Wells Fargo'!$F:$F,'Wells Fargo'!$G:$G,'Cash Flow'!$A41,'Wells Fargo'!$A:$A,AT$1,'Wells Fargo'!$B:$B,"&lt;="&amp;'Cash Flow'!AT$3,'Wells Fargo'!$B:$B,"&gt;"&amp;'Cash Flow'!AS$3)</f>
        <v>0</v>
      </c>
      <c r="AU41" s="111">
        <f>SUMIFS('Wells Fargo'!$F:$F,'Wells Fargo'!$G:$G,'Cash Flow'!$A41,'Wells Fargo'!$A:$A,AU$1,'Wells Fargo'!$B:$B,"&lt;="&amp;'Cash Flow'!AU$3)</f>
        <v>0</v>
      </c>
      <c r="AV41" s="77">
        <f>SUMIFS('Wells Fargo'!$F:$F,'Wells Fargo'!$G:$G,'Cash Flow'!$A41,'Wells Fargo'!$A:$A,AV$1,'Wells Fargo'!$B:$B,"&lt;="&amp;'Cash Flow'!AV$3,'Wells Fargo'!$B:$B,"&gt;"&amp;'Cash Flow'!AU$3)</f>
        <v>0</v>
      </c>
      <c r="AW41" s="77">
        <f>SUMIFS('Wells Fargo'!$F:$F,'Wells Fargo'!$G:$G,'Cash Flow'!$A41,'Wells Fargo'!$A:$A,AW$1,'Wells Fargo'!$B:$B,"&lt;="&amp;'Cash Flow'!AW$3,'Wells Fargo'!$B:$B,"&gt;"&amp;'Cash Flow'!AV$3)</f>
        <v>0</v>
      </c>
      <c r="AX41" s="77">
        <f>SUMIFS('Wells Fargo'!$F:$F,'Wells Fargo'!$G:$G,'Cash Flow'!$A41,'Wells Fargo'!$A:$A,AX$1,'Wells Fargo'!$B:$B,"&lt;="&amp;'Cash Flow'!AX$3,'Wells Fargo'!$B:$B,"&gt;"&amp;'Cash Flow'!AW$3)</f>
        <v>0</v>
      </c>
      <c r="AY41" s="77">
        <f>SUMIFS('Wells Fargo'!$F:$F,'Wells Fargo'!$G:$G,'Cash Flow'!$A41,'Wells Fargo'!$A:$A,AY$1,'Wells Fargo'!$B:$B,"&lt;="&amp;'Cash Flow'!AY$3,'Wells Fargo'!$B:$B,"&gt;"&amp;'Cash Flow'!AX$3)</f>
        <v>0</v>
      </c>
      <c r="AZ41" s="111">
        <f>SUMIFS('Wells Fargo'!$F:$F,'Wells Fargo'!$G:$G,'Cash Flow'!$A41,'Wells Fargo'!$A:$A,AZ$1,'Wells Fargo'!$B:$B,"&lt;="&amp;'Cash Flow'!AZ$3)</f>
        <v>0</v>
      </c>
      <c r="BA41" s="77">
        <f>SUMIFS('Wells Fargo'!$F:$F,'Wells Fargo'!$G:$G,'Cash Flow'!$A41,'Wells Fargo'!$A:$A,BA$1,'Wells Fargo'!$B:$B,"&lt;="&amp;'Cash Flow'!BA$3,'Wells Fargo'!$B:$B,"&gt;"&amp;'Cash Flow'!AZ$3)</f>
        <v>0</v>
      </c>
      <c r="BB41" s="77">
        <f>SUMIFS('Wells Fargo'!$F:$F,'Wells Fargo'!$G:$G,'Cash Flow'!$A41,'Wells Fargo'!$A:$A,BB$1,'Wells Fargo'!$B:$B,"&lt;="&amp;'Cash Flow'!BB$3,'Wells Fargo'!$B:$B,"&gt;"&amp;'Cash Flow'!BA$3)</f>
        <v>0</v>
      </c>
      <c r="BC41" s="77">
        <f>SUMIFS('Wells Fargo'!$F:$F,'Wells Fargo'!$G:$G,'Cash Flow'!$A41,'Wells Fargo'!$A:$A,BC$1,'Wells Fargo'!$B:$B,"&lt;="&amp;'Cash Flow'!BC$3,'Wells Fargo'!$B:$B,"&gt;"&amp;'Cash Flow'!BB$3)</f>
        <v>0</v>
      </c>
      <c r="BD41" s="77">
        <f>SUMIFS('Wells Fargo'!$F:$F,'Wells Fargo'!$G:$G,'Cash Flow'!$A41,'Wells Fargo'!$A:$A,BD$1,'Wells Fargo'!$B:$B,"&lt;="&amp;'Cash Flow'!BD$3,'Wells Fargo'!$B:$B,"&gt;"&amp;'Cash Flow'!BC$3)</f>
        <v>0</v>
      </c>
      <c r="BE41" s="111">
        <f>SUMIFS('Wells Fargo'!$F:$F,'Wells Fargo'!$G:$G,'Cash Flow'!$A41,'Wells Fargo'!$A:$A,BE$1,'Wells Fargo'!$B:$B,"&lt;="&amp;'Cash Flow'!BE$3)</f>
        <v>0</v>
      </c>
      <c r="BF41" s="77">
        <f>SUMIFS('Wells Fargo'!$F:$F,'Wells Fargo'!$G:$G,'Cash Flow'!$A41,'Wells Fargo'!$A:$A,BF$1,'Wells Fargo'!$B:$B,"&lt;="&amp;'Cash Flow'!BF$3,'Wells Fargo'!$B:$B,"&gt;"&amp;'Cash Flow'!BE$3)</f>
        <v>0</v>
      </c>
      <c r="BG41" s="77">
        <f>SUMIFS('Wells Fargo'!$F:$F,'Wells Fargo'!$G:$G,'Cash Flow'!$A41,'Wells Fargo'!$A:$A,BG$1,'Wells Fargo'!$B:$B,"&lt;="&amp;'Cash Flow'!BG$3,'Wells Fargo'!$B:$B,"&gt;"&amp;'Cash Flow'!BF$3)</f>
        <v>0</v>
      </c>
      <c r="BH41" s="77">
        <f>SUMIFS('Wells Fargo'!$F:$F,'Wells Fargo'!$G:$G,'Cash Flow'!$A41,'Wells Fargo'!$A:$A,BH$1,'Wells Fargo'!$B:$B,"&lt;="&amp;'Cash Flow'!BH$3,'Wells Fargo'!$B:$B,"&gt;"&amp;'Cash Flow'!BG$3)</f>
        <v>0</v>
      </c>
      <c r="BI41" s="77">
        <f>SUMIFS('Wells Fargo'!$F:$F,'Wells Fargo'!$G:$G,'Cash Flow'!$A41,'Wells Fargo'!$A:$A,BI$1,'Wells Fargo'!$B:$B,"&lt;="&amp;'Cash Flow'!BI$3,'Wells Fargo'!$B:$B,"&gt;"&amp;'Cash Flow'!BH$3)</f>
        <v>0</v>
      </c>
    </row>
    <row r="42" spans="1:61" ht="14.5" x14ac:dyDescent="0.5">
      <c r="A42" t="str">
        <v>Tax Return</v>
      </c>
      <c r="B42" s="90">
        <f t="shared" ref="B42:B48" si="2">SUM(B5:B41)</f>
        <v>3159.9600000000009</v>
      </c>
      <c r="C42" s="111">
        <f>SUMIFS('Wells Fargo'!$F:$F,'Wells Fargo'!$G:$G,'Cash Flow'!$A42,'Wells Fargo'!$A:$A,C$1,'Wells Fargo'!$B:$B,"&lt;="&amp;'Cash Flow'!C$3)</f>
        <v>0</v>
      </c>
      <c r="D42" s="77">
        <f>SUMIFS('Wells Fargo'!$F:$F,'Wells Fargo'!$G:$G,'Cash Flow'!$A42,'Wells Fargo'!$A:$A,D$1,'Wells Fargo'!$B:$B,"&lt;="&amp;'Cash Flow'!D$3,'Wells Fargo'!$B:$B,"&gt;"&amp;'Cash Flow'!C$3)</f>
        <v>0</v>
      </c>
      <c r="E42" s="77">
        <f>SUMIFS('Wells Fargo'!$F:$F,'Wells Fargo'!$G:$G,'Cash Flow'!$A42,'Wells Fargo'!$A:$A,E$1,'Wells Fargo'!$B:$B,"&lt;="&amp;'Cash Flow'!E$3,'Wells Fargo'!$B:$B,"&gt;"&amp;'Cash Flow'!D$3)</f>
        <v>0</v>
      </c>
      <c r="F42" s="77">
        <f>SUMIFS('Wells Fargo'!$F:$F,'Wells Fargo'!$G:$G,'Cash Flow'!$A42,'Wells Fargo'!$A:$A,F$1,'Wells Fargo'!$B:$B,"&lt;="&amp;'Cash Flow'!F$3,'Wells Fargo'!$B:$B,"&gt;"&amp;'Cash Flow'!E$3)</f>
        <v>0</v>
      </c>
      <c r="G42" s="77">
        <f>SUMIFS('Wells Fargo'!$F:$F,'Wells Fargo'!$G:$G,'Cash Flow'!$A42,'Wells Fargo'!$A:$A,G$1,'Wells Fargo'!$B:$B,"&lt;="&amp;'Cash Flow'!G$3,'Wells Fargo'!$B:$B,"&gt;"&amp;'Cash Flow'!F$3)</f>
        <v>0</v>
      </c>
      <c r="H42" s="111">
        <f>SUMIFS('Wells Fargo'!$F:$F,'Wells Fargo'!$G:$G,'Cash Flow'!$A42,'Wells Fargo'!$A:$A,H$1,'Wells Fargo'!$B:$B,"&lt;="&amp;'Cash Flow'!H$3)</f>
        <v>0</v>
      </c>
      <c r="I42" s="77">
        <f>SUMIFS('Wells Fargo'!$F:$F,'Wells Fargo'!$G:$G,'Cash Flow'!$A42,'Wells Fargo'!$A:$A,I$1,'Wells Fargo'!$B:$B,"&lt;="&amp;'Cash Flow'!I$3,'Wells Fargo'!$B:$B,"&gt;"&amp;'Cash Flow'!H$3)</f>
        <v>0</v>
      </c>
      <c r="J42" s="77">
        <f>SUMIFS('Wells Fargo'!$F:$F,'Wells Fargo'!$G:$G,'Cash Flow'!$A42,'Wells Fargo'!$A:$A,J$1,'Wells Fargo'!$B:$B,"&lt;="&amp;'Cash Flow'!J$3,'Wells Fargo'!$B:$B,"&gt;"&amp;'Cash Flow'!I$3)</f>
        <v>0</v>
      </c>
      <c r="K42" s="77">
        <f>SUMIFS('Wells Fargo'!$F:$F,'Wells Fargo'!$G:$G,'Cash Flow'!$A42,'Wells Fargo'!$A:$A,K$1,'Wells Fargo'!$B:$B,"&lt;="&amp;'Cash Flow'!K$3,'Wells Fargo'!$B:$B,"&gt;"&amp;'Cash Flow'!J$3)</f>
        <v>2420</v>
      </c>
      <c r="L42" s="111">
        <f>SUMIFS('Wells Fargo'!$F:$F,'Wells Fargo'!$G:$G,'Cash Flow'!$A42,'Wells Fargo'!$A:$A,L$1,'Wells Fargo'!$B:$B,"&lt;="&amp;'Cash Flow'!L$3)</f>
        <v>0</v>
      </c>
      <c r="M42" s="77">
        <f>SUMIFS('Wells Fargo'!$F:$F,'Wells Fargo'!$G:$G,'Cash Flow'!$A42,'Wells Fargo'!$A:$A,M$1,'Wells Fargo'!$B:$B,"&lt;="&amp;'Cash Flow'!M$3,'Wells Fargo'!$B:$B,"&gt;"&amp;'Cash Flow'!L$3)</f>
        <v>55</v>
      </c>
      <c r="N42" s="77">
        <f>SUMIFS('Wells Fargo'!$F:$F,'Wells Fargo'!$G:$G,'Cash Flow'!$A42,'Wells Fargo'!$A:$A,N$1,'Wells Fargo'!$B:$B,"&lt;="&amp;'Cash Flow'!N$3,'Wells Fargo'!$B:$B,"&gt;"&amp;'Cash Flow'!M$3)</f>
        <v>0</v>
      </c>
      <c r="O42" s="77">
        <f>SUMIFS('Wells Fargo'!$F:$F,'Wells Fargo'!$G:$G,'Cash Flow'!$A42,'Wells Fargo'!$A:$A,O$1,'Wells Fargo'!$B:$B,"&lt;="&amp;'Cash Flow'!O$3,'Wells Fargo'!$B:$B,"&gt;"&amp;'Cash Flow'!N$3)</f>
        <v>0</v>
      </c>
      <c r="P42" s="77">
        <f>SUMIFS('Wells Fargo'!$F:$F,'Wells Fargo'!$G:$G,'Cash Flow'!$A42,'Wells Fargo'!$A:$A,P$1,'Wells Fargo'!$B:$B,"&lt;="&amp;'Cash Flow'!P$3,'Wells Fargo'!$B:$B,"&gt;"&amp;'Cash Flow'!O$3)</f>
        <v>0</v>
      </c>
      <c r="Q42" s="111">
        <f>SUMIFS('Wells Fargo'!$F:$F,'Wells Fargo'!$G:$G,'Cash Flow'!$A42,'Wells Fargo'!$A:$A,Q$1,'Wells Fargo'!$B:$B,"&lt;="&amp;'Cash Flow'!Q$3)</f>
        <v>0</v>
      </c>
      <c r="R42" s="77">
        <f>SUMIFS('Wells Fargo'!$F:$F,'Wells Fargo'!$G:$G,'Cash Flow'!$A42,'Wells Fargo'!$A:$A,R$1,'Wells Fargo'!$B:$B,"&lt;="&amp;'Cash Flow'!R$3,'Wells Fargo'!$B:$B,"&gt;"&amp;'Cash Flow'!Q$3)</f>
        <v>0</v>
      </c>
      <c r="S42" s="77">
        <f>SUMIFS('Wells Fargo'!$F:$F,'Wells Fargo'!$G:$G,'Cash Flow'!$A42,'Wells Fargo'!$A:$A,S$1,'Wells Fargo'!$B:$B,"&lt;="&amp;'Cash Flow'!S$3,'Wells Fargo'!$B:$B,"&gt;"&amp;'Cash Flow'!R$3)</f>
        <v>0</v>
      </c>
      <c r="T42" s="77">
        <f>SUMIFS('Wells Fargo'!$F:$F,'Wells Fargo'!$G:$G,'Cash Flow'!$A42,'Wells Fargo'!$A:$A,T$1,'Wells Fargo'!$B:$B,"&lt;="&amp;'Cash Flow'!T$3,'Wells Fargo'!$B:$B,"&gt;"&amp;'Cash Flow'!S$3)</f>
        <v>0</v>
      </c>
      <c r="U42" s="77">
        <f>SUMIFS('Wells Fargo'!$F:$F,'Wells Fargo'!$G:$G,'Cash Flow'!$A42,'Wells Fargo'!$A:$A,U$1,'Wells Fargo'!$B:$B,"&lt;="&amp;'Cash Flow'!U$3,'Wells Fargo'!$B:$B,"&gt;"&amp;'Cash Flow'!T$3)</f>
        <v>0</v>
      </c>
      <c r="V42" s="111">
        <f>SUMIFS('Wells Fargo'!$F:$F,'Wells Fargo'!$G:$G,'Cash Flow'!$A42,'Wells Fargo'!$A:$A,V$1,'Wells Fargo'!$B:$B,"&lt;="&amp;'Cash Flow'!V$3)</f>
        <v>0</v>
      </c>
      <c r="W42" s="77">
        <f>SUMIFS('Wells Fargo'!$F:$F,'Wells Fargo'!$G:$G,'Cash Flow'!$A42,'Wells Fargo'!$A:$A,W$1,'Wells Fargo'!$B:$B,"&lt;="&amp;'Cash Flow'!W$3,'Wells Fargo'!$B:$B,"&gt;"&amp;'Cash Flow'!V$3)</f>
        <v>0</v>
      </c>
      <c r="X42" s="77">
        <f>SUMIFS('Wells Fargo'!$F:$F,'Wells Fargo'!$G:$G,'Cash Flow'!$A42,'Wells Fargo'!$A:$A,X$1,'Wells Fargo'!$B:$B,"&lt;="&amp;'Cash Flow'!X$3,'Wells Fargo'!$B:$B,"&gt;"&amp;'Cash Flow'!W$3)</f>
        <v>0</v>
      </c>
      <c r="Y42" s="77">
        <f>SUMIFS('Wells Fargo'!$F:$F,'Wells Fargo'!$G:$G,'Cash Flow'!$A42,'Wells Fargo'!$A:$A,Y$1,'Wells Fargo'!$B:$B,"&lt;="&amp;'Cash Flow'!Y$3,'Wells Fargo'!$B:$B,"&gt;"&amp;'Cash Flow'!X$3)</f>
        <v>0</v>
      </c>
      <c r="Z42" s="77">
        <f>SUMIFS('Wells Fargo'!$F:$F,'Wells Fargo'!$G:$G,'Cash Flow'!$A42,'Wells Fargo'!$A:$A,Z$1,'Wells Fargo'!$B:$B,"&lt;="&amp;'Cash Flow'!Z$3,'Wells Fargo'!$B:$B,"&gt;"&amp;'Cash Flow'!Y$3)</f>
        <v>0</v>
      </c>
      <c r="AA42" s="111">
        <f>SUMIFS('Wells Fargo'!$F:$F,'Wells Fargo'!$G:$G,'Cash Flow'!$A42,'Wells Fargo'!$A:$A,AA$1,'Wells Fargo'!$B:$B,"&lt;="&amp;'Cash Flow'!AA$3)</f>
        <v>0</v>
      </c>
      <c r="AB42" s="77">
        <f>SUMIFS('Wells Fargo'!$F:$F,'Wells Fargo'!$G:$G,'Cash Flow'!$A42,'Wells Fargo'!$A:$A,AB$1,'Wells Fargo'!$B:$B,"&lt;="&amp;'Cash Flow'!AB$3,'Wells Fargo'!$B:$B,"&gt;"&amp;'Cash Flow'!AA$3)</f>
        <v>0</v>
      </c>
      <c r="AC42" s="77">
        <f>SUMIFS('Wells Fargo'!$F:$F,'Wells Fargo'!$G:$G,'Cash Flow'!$A42,'Wells Fargo'!$A:$A,AC$1,'Wells Fargo'!$B:$B,"&lt;="&amp;'Cash Flow'!AC$3,'Wells Fargo'!$B:$B,"&gt;"&amp;'Cash Flow'!AB$3)</f>
        <v>0</v>
      </c>
      <c r="AD42" s="77">
        <f>SUMIFS('Wells Fargo'!$F:$F,'Wells Fargo'!$G:$G,'Cash Flow'!$A42,'Wells Fargo'!$A:$A,AD$1,'Wells Fargo'!$B:$B,"&lt;="&amp;'Cash Flow'!AD$3,'Wells Fargo'!$B:$B,"&gt;"&amp;'Cash Flow'!AC$3)</f>
        <v>0</v>
      </c>
      <c r="AE42" s="77">
        <f>SUMIFS('Wells Fargo'!$F:$F,'Wells Fargo'!$G:$G,'Cash Flow'!$A42,'Wells Fargo'!$A:$A,AE$1,'Wells Fargo'!$B:$B,"&lt;="&amp;'Cash Flow'!AE$3,'Wells Fargo'!$B:$B,"&gt;"&amp;'Cash Flow'!AD$3)</f>
        <v>0</v>
      </c>
      <c r="AF42" s="111">
        <f>SUMIFS('Wells Fargo'!$F:$F,'Wells Fargo'!$G:$G,'Cash Flow'!$A42,'Wells Fargo'!$A:$A,AF$1,'Wells Fargo'!$B:$B,"&lt;="&amp;'Cash Flow'!AF$3)</f>
        <v>0</v>
      </c>
      <c r="AG42" s="77">
        <f>SUMIFS('Wells Fargo'!$F:$F,'Wells Fargo'!$G:$G,'Cash Flow'!$A42,'Wells Fargo'!$A:$A,AG$1,'Wells Fargo'!$B:$B,"&lt;="&amp;'Cash Flow'!AG$3,'Wells Fargo'!$B:$B,"&gt;"&amp;'Cash Flow'!AF$3)</f>
        <v>0</v>
      </c>
      <c r="AH42" s="77">
        <f>SUMIFS('Wells Fargo'!$F:$F,'Wells Fargo'!$G:$G,'Cash Flow'!$A42,'Wells Fargo'!$A:$A,AH$1,'Wells Fargo'!$B:$B,"&lt;="&amp;'Cash Flow'!AH$3,'Wells Fargo'!$B:$B,"&gt;"&amp;'Cash Flow'!AG$3)</f>
        <v>0</v>
      </c>
      <c r="AI42" s="77">
        <f>SUMIFS('Wells Fargo'!$F:$F,'Wells Fargo'!$G:$G,'Cash Flow'!$A42,'Wells Fargo'!$A:$A,AI$1,'Wells Fargo'!$B:$B,"&lt;="&amp;'Cash Flow'!AI$3,'Wells Fargo'!$B:$B,"&gt;"&amp;'Cash Flow'!AH$3)</f>
        <v>0</v>
      </c>
      <c r="AJ42" s="77">
        <f>SUMIFS('Wells Fargo'!$F:$F,'Wells Fargo'!$G:$G,'Cash Flow'!$A42,'Wells Fargo'!$A:$A,AJ$1,'Wells Fargo'!$B:$B,"&lt;="&amp;'Cash Flow'!AJ$3,'Wells Fargo'!$B:$B,"&gt;"&amp;'Cash Flow'!AI$3)</f>
        <v>0</v>
      </c>
      <c r="AK42" s="111">
        <f>SUMIFS('Wells Fargo'!$F:$F,'Wells Fargo'!$G:$G,'Cash Flow'!$A42,'Wells Fargo'!$A:$A,AK$1,'Wells Fargo'!$B:$B,"&lt;="&amp;'Cash Flow'!AK$3)</f>
        <v>0</v>
      </c>
      <c r="AL42" s="77">
        <f>SUMIFS('Wells Fargo'!$F:$F,'Wells Fargo'!$G:$G,'Cash Flow'!$A42,'Wells Fargo'!$A:$A,AL$1,'Wells Fargo'!$B:$B,"&lt;="&amp;'Cash Flow'!AL$3,'Wells Fargo'!$B:$B,"&gt;"&amp;'Cash Flow'!AK$3)</f>
        <v>0</v>
      </c>
      <c r="AM42" s="77">
        <f>SUMIFS('Wells Fargo'!$F:$F,'Wells Fargo'!$G:$G,'Cash Flow'!$A42,'Wells Fargo'!$A:$A,AM$1,'Wells Fargo'!$B:$B,"&lt;="&amp;'Cash Flow'!AM$3,'Wells Fargo'!$B:$B,"&gt;"&amp;'Cash Flow'!AL$3)</f>
        <v>0</v>
      </c>
      <c r="AN42" s="77">
        <f>SUMIFS('Wells Fargo'!$F:$F,'Wells Fargo'!$G:$G,'Cash Flow'!$A42,'Wells Fargo'!$A:$A,AN$1,'Wells Fargo'!$B:$B,"&lt;="&amp;'Cash Flow'!AN$3,'Wells Fargo'!$B:$B,"&gt;"&amp;'Cash Flow'!AM$3)</f>
        <v>0</v>
      </c>
      <c r="AO42" s="77">
        <f>SUMIFS('Wells Fargo'!$F:$F,'Wells Fargo'!$G:$G,'Cash Flow'!$A42,'Wells Fargo'!$A:$A,AO$1,'Wells Fargo'!$B:$B,"&lt;="&amp;'Cash Flow'!AO$3,'Wells Fargo'!$B:$B,"&gt;"&amp;'Cash Flow'!AN$3)</f>
        <v>0</v>
      </c>
      <c r="AP42" s="111">
        <f>SUMIFS('Wells Fargo'!$F:$F,'Wells Fargo'!$G:$G,'Cash Flow'!$A42,'Wells Fargo'!$A:$A,AP$1,'Wells Fargo'!$B:$B,"&lt;="&amp;'Cash Flow'!AP$3)</f>
        <v>0</v>
      </c>
      <c r="AQ42" s="77">
        <f>SUMIFS('Wells Fargo'!$F:$F,'Wells Fargo'!$G:$G,'Cash Flow'!$A42,'Wells Fargo'!$A:$A,AQ$1,'Wells Fargo'!$B:$B,"&lt;="&amp;'Cash Flow'!AQ$3,'Wells Fargo'!$B:$B,"&gt;"&amp;'Cash Flow'!AP$3)</f>
        <v>0</v>
      </c>
      <c r="AR42" s="77">
        <f>SUMIFS('Wells Fargo'!$F:$F,'Wells Fargo'!$G:$G,'Cash Flow'!$A42,'Wells Fargo'!$A:$A,AR$1,'Wells Fargo'!$B:$B,"&lt;="&amp;'Cash Flow'!AR$3,'Wells Fargo'!$B:$B,"&gt;"&amp;'Cash Flow'!AQ$3)</f>
        <v>0</v>
      </c>
      <c r="AS42" s="77">
        <f>SUMIFS('Wells Fargo'!$F:$F,'Wells Fargo'!$G:$G,'Cash Flow'!$A42,'Wells Fargo'!$A:$A,AS$1,'Wells Fargo'!$B:$B,"&lt;="&amp;'Cash Flow'!AS$3,'Wells Fargo'!$B:$B,"&gt;"&amp;'Cash Flow'!AR$3)</f>
        <v>0</v>
      </c>
      <c r="AT42" s="77">
        <f>SUMIFS('Wells Fargo'!$F:$F,'Wells Fargo'!$G:$G,'Cash Flow'!$A42,'Wells Fargo'!$A:$A,AT$1,'Wells Fargo'!$B:$B,"&lt;="&amp;'Cash Flow'!AT$3,'Wells Fargo'!$B:$B,"&gt;"&amp;'Cash Flow'!AS$3)</f>
        <v>0</v>
      </c>
      <c r="AU42" s="111">
        <f>SUMIFS('Wells Fargo'!$F:$F,'Wells Fargo'!$G:$G,'Cash Flow'!$A42,'Wells Fargo'!$A:$A,AU$1,'Wells Fargo'!$B:$B,"&lt;="&amp;'Cash Flow'!AU$3)</f>
        <v>0</v>
      </c>
      <c r="AV42" s="77">
        <f>SUMIFS('Wells Fargo'!$F:$F,'Wells Fargo'!$G:$G,'Cash Flow'!$A42,'Wells Fargo'!$A:$A,AV$1,'Wells Fargo'!$B:$B,"&lt;="&amp;'Cash Flow'!AV$3,'Wells Fargo'!$B:$B,"&gt;"&amp;'Cash Flow'!AU$3)</f>
        <v>0</v>
      </c>
      <c r="AW42" s="77">
        <f>SUMIFS('Wells Fargo'!$F:$F,'Wells Fargo'!$G:$G,'Cash Flow'!$A42,'Wells Fargo'!$A:$A,AW$1,'Wells Fargo'!$B:$B,"&lt;="&amp;'Cash Flow'!AW$3,'Wells Fargo'!$B:$B,"&gt;"&amp;'Cash Flow'!AV$3)</f>
        <v>0</v>
      </c>
      <c r="AX42" s="77">
        <f>SUMIFS('Wells Fargo'!$F:$F,'Wells Fargo'!$G:$G,'Cash Flow'!$A42,'Wells Fargo'!$A:$A,AX$1,'Wells Fargo'!$B:$B,"&lt;="&amp;'Cash Flow'!AX$3,'Wells Fargo'!$B:$B,"&gt;"&amp;'Cash Flow'!AW$3)</f>
        <v>0</v>
      </c>
      <c r="AY42" s="77">
        <f>SUMIFS('Wells Fargo'!$F:$F,'Wells Fargo'!$G:$G,'Cash Flow'!$A42,'Wells Fargo'!$A:$A,AY$1,'Wells Fargo'!$B:$B,"&lt;="&amp;'Cash Flow'!AY$3,'Wells Fargo'!$B:$B,"&gt;"&amp;'Cash Flow'!AX$3)</f>
        <v>0</v>
      </c>
      <c r="AZ42" s="111">
        <f>SUMIFS('Wells Fargo'!$F:$F,'Wells Fargo'!$G:$G,'Cash Flow'!$A42,'Wells Fargo'!$A:$A,AZ$1,'Wells Fargo'!$B:$B,"&lt;="&amp;'Cash Flow'!AZ$3)</f>
        <v>0</v>
      </c>
      <c r="BA42" s="77">
        <f>SUMIFS('Wells Fargo'!$F:$F,'Wells Fargo'!$G:$G,'Cash Flow'!$A42,'Wells Fargo'!$A:$A,BA$1,'Wells Fargo'!$B:$B,"&lt;="&amp;'Cash Flow'!BA$3,'Wells Fargo'!$B:$B,"&gt;"&amp;'Cash Flow'!AZ$3)</f>
        <v>0</v>
      </c>
      <c r="BB42" s="77">
        <f>SUMIFS('Wells Fargo'!$F:$F,'Wells Fargo'!$G:$G,'Cash Flow'!$A42,'Wells Fargo'!$A:$A,BB$1,'Wells Fargo'!$B:$B,"&lt;="&amp;'Cash Flow'!BB$3,'Wells Fargo'!$B:$B,"&gt;"&amp;'Cash Flow'!BA$3)</f>
        <v>0</v>
      </c>
      <c r="BC42" s="77">
        <f>SUMIFS('Wells Fargo'!$F:$F,'Wells Fargo'!$G:$G,'Cash Flow'!$A42,'Wells Fargo'!$A:$A,BC$1,'Wells Fargo'!$B:$B,"&lt;="&amp;'Cash Flow'!BC$3,'Wells Fargo'!$B:$B,"&gt;"&amp;'Cash Flow'!BB$3)</f>
        <v>0</v>
      </c>
      <c r="BD42" s="77">
        <f>SUMIFS('Wells Fargo'!$F:$F,'Wells Fargo'!$G:$G,'Cash Flow'!$A42,'Wells Fargo'!$A:$A,BD$1,'Wells Fargo'!$B:$B,"&lt;="&amp;'Cash Flow'!BD$3,'Wells Fargo'!$B:$B,"&gt;"&amp;'Cash Flow'!BC$3)</f>
        <v>0</v>
      </c>
      <c r="BE42" s="111">
        <f>SUMIFS('Wells Fargo'!$F:$F,'Wells Fargo'!$G:$G,'Cash Flow'!$A42,'Wells Fargo'!$A:$A,BE$1,'Wells Fargo'!$B:$B,"&lt;="&amp;'Cash Flow'!BE$3)</f>
        <v>0</v>
      </c>
      <c r="BF42" s="77">
        <f>SUMIFS('Wells Fargo'!$F:$F,'Wells Fargo'!$G:$G,'Cash Flow'!$A42,'Wells Fargo'!$A:$A,BF$1,'Wells Fargo'!$B:$B,"&lt;="&amp;'Cash Flow'!BF$3,'Wells Fargo'!$B:$B,"&gt;"&amp;'Cash Flow'!BE$3)</f>
        <v>0</v>
      </c>
      <c r="BG42" s="77">
        <f>SUMIFS('Wells Fargo'!$F:$F,'Wells Fargo'!$G:$G,'Cash Flow'!$A42,'Wells Fargo'!$A:$A,BG$1,'Wells Fargo'!$B:$B,"&lt;="&amp;'Cash Flow'!BG$3,'Wells Fargo'!$B:$B,"&gt;"&amp;'Cash Flow'!BF$3)</f>
        <v>0</v>
      </c>
      <c r="BH42" s="77">
        <f>SUMIFS('Wells Fargo'!$F:$F,'Wells Fargo'!$G:$G,'Cash Flow'!$A42,'Wells Fargo'!$A:$A,BH$1,'Wells Fargo'!$B:$B,"&lt;="&amp;'Cash Flow'!BH$3,'Wells Fargo'!$B:$B,"&gt;"&amp;'Cash Flow'!BG$3)</f>
        <v>0</v>
      </c>
      <c r="BI42" s="77">
        <f>SUMIFS('Wells Fargo'!$F:$F,'Wells Fargo'!$G:$G,'Cash Flow'!$A42,'Wells Fargo'!$A:$A,BI$1,'Wells Fargo'!$B:$B,"&lt;="&amp;'Cash Flow'!BI$3,'Wells Fargo'!$B:$B,"&gt;"&amp;'Cash Flow'!BH$3)</f>
        <v>0</v>
      </c>
    </row>
    <row r="43" spans="1:61" ht="14.5" x14ac:dyDescent="0.5">
      <c r="A43" t="str">
        <v>Utility</v>
      </c>
      <c r="B43" s="90">
        <f t="shared" si="2"/>
        <v>9119.9200000000019</v>
      </c>
      <c r="C43" s="111">
        <f>SUMIFS('Wells Fargo'!$F:$F,'Wells Fargo'!$G:$G,'Cash Flow'!$A43,'Wells Fargo'!$A:$A,C$1,'Wells Fargo'!$B:$B,"&lt;="&amp;'Cash Flow'!C$3)</f>
        <v>0</v>
      </c>
      <c r="D43" s="77">
        <f>SUMIFS('Wells Fargo'!$F:$F,'Wells Fargo'!$G:$G,'Cash Flow'!$A43,'Wells Fargo'!$A:$A,D$1,'Wells Fargo'!$B:$B,"&lt;="&amp;'Cash Flow'!D$3,'Wells Fargo'!$B:$B,"&gt;"&amp;'Cash Flow'!C$3)</f>
        <v>0</v>
      </c>
      <c r="E43" s="77">
        <f>SUMIFS('Wells Fargo'!$F:$F,'Wells Fargo'!$G:$G,'Cash Flow'!$A43,'Wells Fargo'!$A:$A,E$1,'Wells Fargo'!$B:$B,"&lt;="&amp;'Cash Flow'!E$3,'Wells Fargo'!$B:$B,"&gt;"&amp;'Cash Flow'!D$3)</f>
        <v>0</v>
      </c>
      <c r="F43" s="77">
        <f>SUMIFS('Wells Fargo'!$F:$F,'Wells Fargo'!$G:$G,'Cash Flow'!$A43,'Wells Fargo'!$A:$A,F$1,'Wells Fargo'!$B:$B,"&lt;="&amp;'Cash Flow'!F$3,'Wells Fargo'!$B:$B,"&gt;"&amp;'Cash Flow'!E$3)</f>
        <v>0</v>
      </c>
      <c r="G43" s="77">
        <f>SUMIFS('Wells Fargo'!$F:$F,'Wells Fargo'!$G:$G,'Cash Flow'!$A43,'Wells Fargo'!$A:$A,G$1,'Wells Fargo'!$B:$B,"&lt;="&amp;'Cash Flow'!G$3,'Wells Fargo'!$B:$B,"&gt;"&amp;'Cash Flow'!F$3)</f>
        <v>0</v>
      </c>
      <c r="H43" s="111">
        <f>SUMIFS('Wells Fargo'!$F:$F,'Wells Fargo'!$G:$G,'Cash Flow'!$A43,'Wells Fargo'!$A:$A,H$1,'Wells Fargo'!$B:$B,"&lt;="&amp;'Cash Flow'!H$3)</f>
        <v>0</v>
      </c>
      <c r="I43" s="77">
        <f>SUMIFS('Wells Fargo'!$F:$F,'Wells Fargo'!$G:$G,'Cash Flow'!$A43,'Wells Fargo'!$A:$A,I$1,'Wells Fargo'!$B:$B,"&lt;="&amp;'Cash Flow'!I$3,'Wells Fargo'!$B:$B,"&gt;"&amp;'Cash Flow'!H$3)</f>
        <v>0</v>
      </c>
      <c r="J43" s="77">
        <f>SUMIFS('Wells Fargo'!$F:$F,'Wells Fargo'!$G:$G,'Cash Flow'!$A43,'Wells Fargo'!$A:$A,J$1,'Wells Fargo'!$B:$B,"&lt;="&amp;'Cash Flow'!J$3,'Wells Fargo'!$B:$B,"&gt;"&amp;'Cash Flow'!I$3)</f>
        <v>0</v>
      </c>
      <c r="K43" s="77">
        <f>SUMIFS('Wells Fargo'!$F:$F,'Wells Fargo'!$G:$G,'Cash Flow'!$A43,'Wells Fargo'!$A:$A,K$1,'Wells Fargo'!$B:$B,"&lt;="&amp;'Cash Flow'!K$3,'Wells Fargo'!$B:$B,"&gt;"&amp;'Cash Flow'!J$3)</f>
        <v>0</v>
      </c>
      <c r="L43" s="111">
        <f>SUMIFS('Wells Fargo'!$F:$F,'Wells Fargo'!$G:$G,'Cash Flow'!$A43,'Wells Fargo'!$A:$A,L$1,'Wells Fargo'!$B:$B,"&lt;="&amp;'Cash Flow'!L$3)</f>
        <v>0</v>
      </c>
      <c r="M43" s="77">
        <f>SUMIFS('Wells Fargo'!$F:$F,'Wells Fargo'!$G:$G,'Cash Flow'!$A43,'Wells Fargo'!$A:$A,M$1,'Wells Fargo'!$B:$B,"&lt;="&amp;'Cash Flow'!M$3,'Wells Fargo'!$B:$B,"&gt;"&amp;'Cash Flow'!L$3)</f>
        <v>0</v>
      </c>
      <c r="N43" s="77">
        <f>SUMIFS('Wells Fargo'!$F:$F,'Wells Fargo'!$G:$G,'Cash Flow'!$A43,'Wells Fargo'!$A:$A,N$1,'Wells Fargo'!$B:$B,"&lt;="&amp;'Cash Flow'!N$3,'Wells Fargo'!$B:$B,"&gt;"&amp;'Cash Flow'!M$3)</f>
        <v>0</v>
      </c>
      <c r="O43" s="77">
        <f>SUMIFS('Wells Fargo'!$F:$F,'Wells Fargo'!$G:$G,'Cash Flow'!$A43,'Wells Fargo'!$A:$A,O$1,'Wells Fargo'!$B:$B,"&lt;="&amp;'Cash Flow'!O$3,'Wells Fargo'!$B:$B,"&gt;"&amp;'Cash Flow'!N$3)</f>
        <v>0</v>
      </c>
      <c r="P43" s="77">
        <f>SUMIFS('Wells Fargo'!$F:$F,'Wells Fargo'!$G:$G,'Cash Flow'!$A43,'Wells Fargo'!$A:$A,P$1,'Wells Fargo'!$B:$B,"&lt;="&amp;'Cash Flow'!P$3,'Wells Fargo'!$B:$B,"&gt;"&amp;'Cash Flow'!O$3)</f>
        <v>0</v>
      </c>
      <c r="Q43" s="111">
        <f>SUMIFS('Wells Fargo'!$F:$F,'Wells Fargo'!$G:$G,'Cash Flow'!$A43,'Wells Fargo'!$A:$A,Q$1,'Wells Fargo'!$B:$B,"&lt;="&amp;'Cash Flow'!Q$3)</f>
        <v>0</v>
      </c>
      <c r="R43" s="77">
        <f>SUMIFS('Wells Fargo'!$F:$F,'Wells Fargo'!$G:$G,'Cash Flow'!$A43,'Wells Fargo'!$A:$A,R$1,'Wells Fargo'!$B:$B,"&lt;="&amp;'Cash Flow'!R$3,'Wells Fargo'!$B:$B,"&gt;"&amp;'Cash Flow'!Q$3)</f>
        <v>0</v>
      </c>
      <c r="S43" s="77">
        <f>SUMIFS('Wells Fargo'!$F:$F,'Wells Fargo'!$G:$G,'Cash Flow'!$A43,'Wells Fargo'!$A:$A,S$1,'Wells Fargo'!$B:$B,"&lt;="&amp;'Cash Flow'!S$3,'Wells Fargo'!$B:$B,"&gt;"&amp;'Cash Flow'!R$3)</f>
        <v>0</v>
      </c>
      <c r="T43" s="77">
        <f>SUMIFS('Wells Fargo'!$F:$F,'Wells Fargo'!$G:$G,'Cash Flow'!$A43,'Wells Fargo'!$A:$A,T$1,'Wells Fargo'!$B:$B,"&lt;="&amp;'Cash Flow'!T$3,'Wells Fargo'!$B:$B,"&gt;"&amp;'Cash Flow'!S$3)</f>
        <v>0</v>
      </c>
      <c r="U43" s="77">
        <f>SUMIFS('Wells Fargo'!$F:$F,'Wells Fargo'!$G:$G,'Cash Flow'!$A43,'Wells Fargo'!$A:$A,U$1,'Wells Fargo'!$B:$B,"&lt;="&amp;'Cash Flow'!U$3,'Wells Fargo'!$B:$B,"&gt;"&amp;'Cash Flow'!T$3)</f>
        <v>0</v>
      </c>
      <c r="V43" s="111">
        <f>SUMIFS('Wells Fargo'!$F:$F,'Wells Fargo'!$G:$G,'Cash Flow'!$A43,'Wells Fargo'!$A:$A,V$1,'Wells Fargo'!$B:$B,"&lt;="&amp;'Cash Flow'!V$3)</f>
        <v>0</v>
      </c>
      <c r="W43" s="77">
        <f>SUMIFS('Wells Fargo'!$F:$F,'Wells Fargo'!$G:$G,'Cash Flow'!$A43,'Wells Fargo'!$A:$A,W$1,'Wells Fargo'!$B:$B,"&lt;="&amp;'Cash Flow'!W$3,'Wells Fargo'!$B:$B,"&gt;"&amp;'Cash Flow'!V$3)</f>
        <v>0</v>
      </c>
      <c r="X43" s="77">
        <f>SUMIFS('Wells Fargo'!$F:$F,'Wells Fargo'!$G:$G,'Cash Flow'!$A43,'Wells Fargo'!$A:$A,X$1,'Wells Fargo'!$B:$B,"&lt;="&amp;'Cash Flow'!X$3,'Wells Fargo'!$B:$B,"&gt;"&amp;'Cash Flow'!W$3)</f>
        <v>0</v>
      </c>
      <c r="Y43" s="77">
        <f>SUMIFS('Wells Fargo'!$F:$F,'Wells Fargo'!$G:$G,'Cash Flow'!$A43,'Wells Fargo'!$A:$A,Y$1,'Wells Fargo'!$B:$B,"&lt;="&amp;'Cash Flow'!Y$3,'Wells Fargo'!$B:$B,"&gt;"&amp;'Cash Flow'!X$3)</f>
        <v>0</v>
      </c>
      <c r="Z43" s="77">
        <f>SUMIFS('Wells Fargo'!$F:$F,'Wells Fargo'!$G:$G,'Cash Flow'!$A43,'Wells Fargo'!$A:$A,Z$1,'Wells Fargo'!$B:$B,"&lt;="&amp;'Cash Flow'!Z$3,'Wells Fargo'!$B:$B,"&gt;"&amp;'Cash Flow'!Y$3)</f>
        <v>0</v>
      </c>
      <c r="AA43" s="111">
        <f>SUMIFS('Wells Fargo'!$F:$F,'Wells Fargo'!$G:$G,'Cash Flow'!$A43,'Wells Fargo'!$A:$A,AA$1,'Wells Fargo'!$B:$B,"&lt;="&amp;'Cash Flow'!AA$3)</f>
        <v>0</v>
      </c>
      <c r="AB43" s="77">
        <f>SUMIFS('Wells Fargo'!$F:$F,'Wells Fargo'!$G:$G,'Cash Flow'!$A43,'Wells Fargo'!$A:$A,AB$1,'Wells Fargo'!$B:$B,"&lt;="&amp;'Cash Flow'!AB$3,'Wells Fargo'!$B:$B,"&gt;"&amp;'Cash Flow'!AA$3)</f>
        <v>0</v>
      </c>
      <c r="AC43" s="77">
        <f>SUMIFS('Wells Fargo'!$F:$F,'Wells Fargo'!$G:$G,'Cash Flow'!$A43,'Wells Fargo'!$A:$A,AC$1,'Wells Fargo'!$B:$B,"&lt;="&amp;'Cash Flow'!AC$3,'Wells Fargo'!$B:$B,"&gt;"&amp;'Cash Flow'!AB$3)</f>
        <v>-33.61</v>
      </c>
      <c r="AD43" s="77">
        <f>SUMIFS('Wells Fargo'!$F:$F,'Wells Fargo'!$G:$G,'Cash Flow'!$A43,'Wells Fargo'!$A:$A,AD$1,'Wells Fargo'!$B:$B,"&lt;="&amp;'Cash Flow'!AD$3,'Wells Fargo'!$B:$B,"&gt;"&amp;'Cash Flow'!AC$3)</f>
        <v>0</v>
      </c>
      <c r="AE43" s="77">
        <f>SUMIFS('Wells Fargo'!$F:$F,'Wells Fargo'!$G:$G,'Cash Flow'!$A43,'Wells Fargo'!$A:$A,AE$1,'Wells Fargo'!$B:$B,"&lt;="&amp;'Cash Flow'!AE$3,'Wells Fargo'!$B:$B,"&gt;"&amp;'Cash Flow'!AD$3)</f>
        <v>0</v>
      </c>
      <c r="AF43" s="111">
        <f>SUMIFS('Wells Fargo'!$F:$F,'Wells Fargo'!$G:$G,'Cash Flow'!$A43,'Wells Fargo'!$A:$A,AF$1,'Wells Fargo'!$B:$B,"&lt;="&amp;'Cash Flow'!AF$3)</f>
        <v>0</v>
      </c>
      <c r="AG43" s="77">
        <f>SUMIFS('Wells Fargo'!$F:$F,'Wells Fargo'!$G:$G,'Cash Flow'!$A43,'Wells Fargo'!$A:$A,AG$1,'Wells Fargo'!$B:$B,"&lt;="&amp;'Cash Flow'!AG$3,'Wells Fargo'!$B:$B,"&gt;"&amp;'Cash Flow'!AF$3)</f>
        <v>0</v>
      </c>
      <c r="AH43" s="77">
        <f>SUMIFS('Wells Fargo'!$F:$F,'Wells Fargo'!$G:$G,'Cash Flow'!$A43,'Wells Fargo'!$A:$A,AH$1,'Wells Fargo'!$B:$B,"&lt;="&amp;'Cash Flow'!AH$3,'Wells Fargo'!$B:$B,"&gt;"&amp;'Cash Flow'!AG$3)</f>
        <v>0</v>
      </c>
      <c r="AI43" s="77">
        <f>SUMIFS('Wells Fargo'!$F:$F,'Wells Fargo'!$G:$G,'Cash Flow'!$A43,'Wells Fargo'!$A:$A,AI$1,'Wells Fargo'!$B:$B,"&lt;="&amp;'Cash Flow'!AI$3,'Wells Fargo'!$B:$B,"&gt;"&amp;'Cash Flow'!AH$3)</f>
        <v>0</v>
      </c>
      <c r="AJ43" s="77">
        <f>SUMIFS('Wells Fargo'!$F:$F,'Wells Fargo'!$G:$G,'Cash Flow'!$A43,'Wells Fargo'!$A:$A,AJ$1,'Wells Fargo'!$B:$B,"&lt;="&amp;'Cash Flow'!AJ$3,'Wells Fargo'!$B:$B,"&gt;"&amp;'Cash Flow'!AI$3)</f>
        <v>0</v>
      </c>
      <c r="AK43" s="111">
        <f>SUMIFS('Wells Fargo'!$F:$F,'Wells Fargo'!$G:$G,'Cash Flow'!$A43,'Wells Fargo'!$A:$A,AK$1,'Wells Fargo'!$B:$B,"&lt;="&amp;'Cash Flow'!AK$3)</f>
        <v>0</v>
      </c>
      <c r="AL43" s="77">
        <f>SUMIFS('Wells Fargo'!$F:$F,'Wells Fargo'!$G:$G,'Cash Flow'!$A43,'Wells Fargo'!$A:$A,AL$1,'Wells Fargo'!$B:$B,"&lt;="&amp;'Cash Flow'!AL$3,'Wells Fargo'!$B:$B,"&gt;"&amp;'Cash Flow'!AK$3)</f>
        <v>0</v>
      </c>
      <c r="AM43" s="77">
        <f>SUMIFS('Wells Fargo'!$F:$F,'Wells Fargo'!$G:$G,'Cash Flow'!$A43,'Wells Fargo'!$A:$A,AM$1,'Wells Fargo'!$B:$B,"&lt;="&amp;'Cash Flow'!AM$3,'Wells Fargo'!$B:$B,"&gt;"&amp;'Cash Flow'!AL$3)</f>
        <v>0</v>
      </c>
      <c r="AN43" s="77">
        <f>SUMIFS('Wells Fargo'!$F:$F,'Wells Fargo'!$G:$G,'Cash Flow'!$A43,'Wells Fargo'!$A:$A,AN$1,'Wells Fargo'!$B:$B,"&lt;="&amp;'Cash Flow'!AN$3,'Wells Fargo'!$B:$B,"&gt;"&amp;'Cash Flow'!AM$3)</f>
        <v>0</v>
      </c>
      <c r="AO43" s="77">
        <f>SUMIFS('Wells Fargo'!$F:$F,'Wells Fargo'!$G:$G,'Cash Flow'!$A43,'Wells Fargo'!$A:$A,AO$1,'Wells Fargo'!$B:$B,"&lt;="&amp;'Cash Flow'!AO$3,'Wells Fargo'!$B:$B,"&gt;"&amp;'Cash Flow'!AN$3)</f>
        <v>0</v>
      </c>
      <c r="AP43" s="111">
        <f>SUMIFS('Wells Fargo'!$F:$F,'Wells Fargo'!$G:$G,'Cash Flow'!$A43,'Wells Fargo'!$A:$A,AP$1,'Wells Fargo'!$B:$B,"&lt;="&amp;'Cash Flow'!AP$3)</f>
        <v>0</v>
      </c>
      <c r="AQ43" s="77">
        <f>SUMIFS('Wells Fargo'!$F:$F,'Wells Fargo'!$G:$G,'Cash Flow'!$A43,'Wells Fargo'!$A:$A,AQ$1,'Wells Fargo'!$B:$B,"&lt;="&amp;'Cash Flow'!AQ$3,'Wells Fargo'!$B:$B,"&gt;"&amp;'Cash Flow'!AP$3)</f>
        <v>0</v>
      </c>
      <c r="AR43" s="77">
        <f>SUMIFS('Wells Fargo'!$F:$F,'Wells Fargo'!$G:$G,'Cash Flow'!$A43,'Wells Fargo'!$A:$A,AR$1,'Wells Fargo'!$B:$B,"&lt;="&amp;'Cash Flow'!AR$3,'Wells Fargo'!$B:$B,"&gt;"&amp;'Cash Flow'!AQ$3)</f>
        <v>0</v>
      </c>
      <c r="AS43" s="77">
        <f>SUMIFS('Wells Fargo'!$F:$F,'Wells Fargo'!$G:$G,'Cash Flow'!$A43,'Wells Fargo'!$A:$A,AS$1,'Wells Fargo'!$B:$B,"&lt;="&amp;'Cash Flow'!AS$3,'Wells Fargo'!$B:$B,"&gt;"&amp;'Cash Flow'!AR$3)</f>
        <v>0</v>
      </c>
      <c r="AT43" s="77">
        <f>SUMIFS('Wells Fargo'!$F:$F,'Wells Fargo'!$G:$G,'Cash Flow'!$A43,'Wells Fargo'!$A:$A,AT$1,'Wells Fargo'!$B:$B,"&lt;="&amp;'Cash Flow'!AT$3,'Wells Fargo'!$B:$B,"&gt;"&amp;'Cash Flow'!AS$3)</f>
        <v>0</v>
      </c>
      <c r="AU43" s="111">
        <f>SUMIFS('Wells Fargo'!$F:$F,'Wells Fargo'!$G:$G,'Cash Flow'!$A43,'Wells Fargo'!$A:$A,AU$1,'Wells Fargo'!$B:$B,"&lt;="&amp;'Cash Flow'!AU$3)</f>
        <v>0</v>
      </c>
      <c r="AV43" s="77">
        <f>SUMIFS('Wells Fargo'!$F:$F,'Wells Fargo'!$G:$G,'Cash Flow'!$A43,'Wells Fargo'!$A:$A,AV$1,'Wells Fargo'!$B:$B,"&lt;="&amp;'Cash Flow'!AV$3,'Wells Fargo'!$B:$B,"&gt;"&amp;'Cash Flow'!AU$3)</f>
        <v>0</v>
      </c>
      <c r="AW43" s="77">
        <f>SUMIFS('Wells Fargo'!$F:$F,'Wells Fargo'!$G:$G,'Cash Flow'!$A43,'Wells Fargo'!$A:$A,AW$1,'Wells Fargo'!$B:$B,"&lt;="&amp;'Cash Flow'!AW$3,'Wells Fargo'!$B:$B,"&gt;"&amp;'Cash Flow'!AV$3)</f>
        <v>0</v>
      </c>
      <c r="AX43" s="77">
        <f>SUMIFS('Wells Fargo'!$F:$F,'Wells Fargo'!$G:$G,'Cash Flow'!$A43,'Wells Fargo'!$A:$A,AX$1,'Wells Fargo'!$B:$B,"&lt;="&amp;'Cash Flow'!AX$3,'Wells Fargo'!$B:$B,"&gt;"&amp;'Cash Flow'!AW$3)</f>
        <v>0</v>
      </c>
      <c r="AY43" s="77">
        <f>SUMIFS('Wells Fargo'!$F:$F,'Wells Fargo'!$G:$G,'Cash Flow'!$A43,'Wells Fargo'!$A:$A,AY$1,'Wells Fargo'!$B:$B,"&lt;="&amp;'Cash Flow'!AY$3,'Wells Fargo'!$B:$B,"&gt;"&amp;'Cash Flow'!AX$3)</f>
        <v>0</v>
      </c>
      <c r="AZ43" s="111">
        <f>SUMIFS('Wells Fargo'!$F:$F,'Wells Fargo'!$G:$G,'Cash Flow'!$A43,'Wells Fargo'!$A:$A,AZ$1,'Wells Fargo'!$B:$B,"&lt;="&amp;'Cash Flow'!AZ$3)</f>
        <v>0</v>
      </c>
      <c r="BA43" s="77">
        <f>SUMIFS('Wells Fargo'!$F:$F,'Wells Fargo'!$G:$G,'Cash Flow'!$A43,'Wells Fargo'!$A:$A,BA$1,'Wells Fargo'!$B:$B,"&lt;="&amp;'Cash Flow'!BA$3,'Wells Fargo'!$B:$B,"&gt;"&amp;'Cash Flow'!AZ$3)</f>
        <v>0</v>
      </c>
      <c r="BB43" s="77">
        <f>SUMIFS('Wells Fargo'!$F:$F,'Wells Fargo'!$G:$G,'Cash Flow'!$A43,'Wells Fargo'!$A:$A,BB$1,'Wells Fargo'!$B:$B,"&lt;="&amp;'Cash Flow'!BB$3,'Wells Fargo'!$B:$B,"&gt;"&amp;'Cash Flow'!BA$3)</f>
        <v>0</v>
      </c>
      <c r="BC43" s="77">
        <f>SUMIFS('Wells Fargo'!$F:$F,'Wells Fargo'!$G:$G,'Cash Flow'!$A43,'Wells Fargo'!$A:$A,BC$1,'Wells Fargo'!$B:$B,"&lt;="&amp;'Cash Flow'!BC$3,'Wells Fargo'!$B:$B,"&gt;"&amp;'Cash Flow'!BB$3)</f>
        <v>0</v>
      </c>
      <c r="BD43" s="77">
        <f>SUMIFS('Wells Fargo'!$F:$F,'Wells Fargo'!$G:$G,'Cash Flow'!$A43,'Wells Fargo'!$A:$A,BD$1,'Wells Fargo'!$B:$B,"&lt;="&amp;'Cash Flow'!BD$3,'Wells Fargo'!$B:$B,"&gt;"&amp;'Cash Flow'!BC$3)</f>
        <v>0</v>
      </c>
      <c r="BE43" s="111">
        <f>SUMIFS('Wells Fargo'!$F:$F,'Wells Fargo'!$G:$G,'Cash Flow'!$A43,'Wells Fargo'!$A:$A,BE$1,'Wells Fargo'!$B:$B,"&lt;="&amp;'Cash Flow'!BE$3)</f>
        <v>0</v>
      </c>
      <c r="BF43" s="77">
        <f>SUMIFS('Wells Fargo'!$F:$F,'Wells Fargo'!$G:$G,'Cash Flow'!$A43,'Wells Fargo'!$A:$A,BF$1,'Wells Fargo'!$B:$B,"&lt;="&amp;'Cash Flow'!BF$3,'Wells Fargo'!$B:$B,"&gt;"&amp;'Cash Flow'!BE$3)</f>
        <v>0</v>
      </c>
      <c r="BG43" s="77">
        <f>SUMIFS('Wells Fargo'!$F:$F,'Wells Fargo'!$G:$G,'Cash Flow'!$A43,'Wells Fargo'!$A:$A,BG$1,'Wells Fargo'!$B:$B,"&lt;="&amp;'Cash Flow'!BG$3,'Wells Fargo'!$B:$B,"&gt;"&amp;'Cash Flow'!BF$3)</f>
        <v>0</v>
      </c>
      <c r="BH43" s="77">
        <f>SUMIFS('Wells Fargo'!$F:$F,'Wells Fargo'!$G:$G,'Cash Flow'!$A43,'Wells Fargo'!$A:$A,BH$1,'Wells Fargo'!$B:$B,"&lt;="&amp;'Cash Flow'!BH$3,'Wells Fargo'!$B:$B,"&gt;"&amp;'Cash Flow'!BG$3)</f>
        <v>0</v>
      </c>
      <c r="BI43" s="77">
        <f>SUMIFS('Wells Fargo'!$F:$F,'Wells Fargo'!$G:$G,'Cash Flow'!$A43,'Wells Fargo'!$A:$A,BI$1,'Wells Fargo'!$B:$B,"&lt;="&amp;'Cash Flow'!BI$3,'Wells Fargo'!$B:$B,"&gt;"&amp;'Cash Flow'!BH$3)</f>
        <v>0</v>
      </c>
    </row>
    <row r="44" spans="1:61" ht="14.5" x14ac:dyDescent="0.5">
      <c r="A44" t="str">
        <v>Venmo Cash Out</v>
      </c>
      <c r="B44" s="90">
        <f t="shared" si="2"/>
        <v>18639.840000000004</v>
      </c>
      <c r="C44" s="111">
        <f>SUMIFS('Wells Fargo'!$F:$F,'Wells Fargo'!$G:$G,'Cash Flow'!$A44,'Wells Fargo'!$A:$A,C$1,'Wells Fargo'!$B:$B,"&lt;="&amp;'Cash Flow'!C$3)</f>
        <v>0</v>
      </c>
      <c r="D44" s="77">
        <f>SUMIFS('Wells Fargo'!$F:$F,'Wells Fargo'!$G:$G,'Cash Flow'!$A44,'Wells Fargo'!$A:$A,D$1,'Wells Fargo'!$B:$B,"&lt;="&amp;'Cash Flow'!D$3,'Wells Fargo'!$B:$B,"&gt;"&amp;'Cash Flow'!C$3)</f>
        <v>0</v>
      </c>
      <c r="E44" s="77">
        <f>SUMIFS('Wells Fargo'!$F:$F,'Wells Fargo'!$G:$G,'Cash Flow'!$A44,'Wells Fargo'!$A:$A,E$1,'Wells Fargo'!$B:$B,"&lt;="&amp;'Cash Flow'!E$3,'Wells Fargo'!$B:$B,"&gt;"&amp;'Cash Flow'!D$3)</f>
        <v>0</v>
      </c>
      <c r="F44" s="77">
        <f>SUMIFS('Wells Fargo'!$F:$F,'Wells Fargo'!$G:$G,'Cash Flow'!$A44,'Wells Fargo'!$A:$A,F$1,'Wells Fargo'!$B:$B,"&lt;="&amp;'Cash Flow'!F$3,'Wells Fargo'!$B:$B,"&gt;"&amp;'Cash Flow'!E$3)</f>
        <v>150</v>
      </c>
      <c r="G44" s="77">
        <f>SUMIFS('Wells Fargo'!$F:$F,'Wells Fargo'!$G:$G,'Cash Flow'!$A44,'Wells Fargo'!$A:$A,G$1,'Wells Fargo'!$B:$B,"&lt;="&amp;'Cash Flow'!G$3,'Wells Fargo'!$B:$B,"&gt;"&amp;'Cash Flow'!F$3)</f>
        <v>0</v>
      </c>
      <c r="H44" s="111">
        <f>SUMIFS('Wells Fargo'!$F:$F,'Wells Fargo'!$G:$G,'Cash Flow'!$A44,'Wells Fargo'!$A:$A,H$1,'Wells Fargo'!$B:$B,"&lt;="&amp;'Cash Flow'!H$3)</f>
        <v>0</v>
      </c>
      <c r="I44" s="77">
        <f>SUMIFS('Wells Fargo'!$F:$F,'Wells Fargo'!$G:$G,'Cash Flow'!$A44,'Wells Fargo'!$A:$A,I$1,'Wells Fargo'!$B:$B,"&lt;="&amp;'Cash Flow'!I$3,'Wells Fargo'!$B:$B,"&gt;"&amp;'Cash Flow'!H$3)</f>
        <v>0</v>
      </c>
      <c r="J44" s="77">
        <f>SUMIFS('Wells Fargo'!$F:$F,'Wells Fargo'!$G:$G,'Cash Flow'!$A44,'Wells Fargo'!$A:$A,J$1,'Wells Fargo'!$B:$B,"&lt;="&amp;'Cash Flow'!J$3,'Wells Fargo'!$B:$B,"&gt;"&amp;'Cash Flow'!I$3)</f>
        <v>0</v>
      </c>
      <c r="K44" s="77">
        <f>SUMIFS('Wells Fargo'!$F:$F,'Wells Fargo'!$G:$G,'Cash Flow'!$A44,'Wells Fargo'!$A:$A,K$1,'Wells Fargo'!$B:$B,"&lt;="&amp;'Cash Flow'!K$3,'Wells Fargo'!$B:$B,"&gt;"&amp;'Cash Flow'!J$3)</f>
        <v>0</v>
      </c>
      <c r="L44" s="111">
        <f>SUMIFS('Wells Fargo'!$F:$F,'Wells Fargo'!$G:$G,'Cash Flow'!$A44,'Wells Fargo'!$A:$A,L$1,'Wells Fargo'!$B:$B,"&lt;="&amp;'Cash Flow'!L$3)</f>
        <v>0</v>
      </c>
      <c r="M44" s="77">
        <f>SUMIFS('Wells Fargo'!$F:$F,'Wells Fargo'!$G:$G,'Cash Flow'!$A44,'Wells Fargo'!$A:$A,M$1,'Wells Fargo'!$B:$B,"&lt;="&amp;'Cash Flow'!M$3,'Wells Fargo'!$B:$B,"&gt;"&amp;'Cash Flow'!L$3)</f>
        <v>0</v>
      </c>
      <c r="N44" s="77">
        <f>SUMIFS('Wells Fargo'!$F:$F,'Wells Fargo'!$G:$G,'Cash Flow'!$A44,'Wells Fargo'!$A:$A,N$1,'Wells Fargo'!$B:$B,"&lt;="&amp;'Cash Flow'!N$3,'Wells Fargo'!$B:$B,"&gt;"&amp;'Cash Flow'!M$3)</f>
        <v>0</v>
      </c>
      <c r="O44" s="77">
        <f>SUMIFS('Wells Fargo'!$F:$F,'Wells Fargo'!$G:$G,'Cash Flow'!$A44,'Wells Fargo'!$A:$A,O$1,'Wells Fargo'!$B:$B,"&lt;="&amp;'Cash Flow'!O$3,'Wells Fargo'!$B:$B,"&gt;"&amp;'Cash Flow'!N$3)</f>
        <v>0</v>
      </c>
      <c r="P44" s="77">
        <f>SUMIFS('Wells Fargo'!$F:$F,'Wells Fargo'!$G:$G,'Cash Flow'!$A44,'Wells Fargo'!$A:$A,P$1,'Wells Fargo'!$B:$B,"&lt;="&amp;'Cash Flow'!P$3,'Wells Fargo'!$B:$B,"&gt;"&amp;'Cash Flow'!O$3)</f>
        <v>0</v>
      </c>
      <c r="Q44" s="111">
        <f>SUMIFS('Wells Fargo'!$F:$F,'Wells Fargo'!$G:$G,'Cash Flow'!$A44,'Wells Fargo'!$A:$A,Q$1,'Wells Fargo'!$B:$B,"&lt;="&amp;'Cash Flow'!Q$3)</f>
        <v>0</v>
      </c>
      <c r="R44" s="77">
        <f>SUMIFS('Wells Fargo'!$F:$F,'Wells Fargo'!$G:$G,'Cash Flow'!$A44,'Wells Fargo'!$A:$A,R$1,'Wells Fargo'!$B:$B,"&lt;="&amp;'Cash Flow'!R$3,'Wells Fargo'!$B:$B,"&gt;"&amp;'Cash Flow'!Q$3)</f>
        <v>0</v>
      </c>
      <c r="S44" s="77">
        <f>SUMIFS('Wells Fargo'!$F:$F,'Wells Fargo'!$G:$G,'Cash Flow'!$A44,'Wells Fargo'!$A:$A,S$1,'Wells Fargo'!$B:$B,"&lt;="&amp;'Cash Flow'!S$3,'Wells Fargo'!$B:$B,"&gt;"&amp;'Cash Flow'!R$3)</f>
        <v>0</v>
      </c>
      <c r="T44" s="77">
        <f>SUMIFS('Wells Fargo'!$F:$F,'Wells Fargo'!$G:$G,'Cash Flow'!$A44,'Wells Fargo'!$A:$A,T$1,'Wells Fargo'!$B:$B,"&lt;="&amp;'Cash Flow'!T$3,'Wells Fargo'!$B:$B,"&gt;"&amp;'Cash Flow'!S$3)</f>
        <v>50</v>
      </c>
      <c r="U44" s="77">
        <f>SUMIFS('Wells Fargo'!$F:$F,'Wells Fargo'!$G:$G,'Cash Flow'!$A44,'Wells Fargo'!$A:$A,U$1,'Wells Fargo'!$B:$B,"&lt;="&amp;'Cash Flow'!U$3,'Wells Fargo'!$B:$B,"&gt;"&amp;'Cash Flow'!T$3)</f>
        <v>0</v>
      </c>
      <c r="V44" s="111">
        <f>SUMIFS('Wells Fargo'!$F:$F,'Wells Fargo'!$G:$G,'Cash Flow'!$A44,'Wells Fargo'!$A:$A,V$1,'Wells Fargo'!$B:$B,"&lt;="&amp;'Cash Flow'!V$3)</f>
        <v>0</v>
      </c>
      <c r="W44" s="77">
        <f>SUMIFS('Wells Fargo'!$F:$F,'Wells Fargo'!$G:$G,'Cash Flow'!$A44,'Wells Fargo'!$A:$A,W$1,'Wells Fargo'!$B:$B,"&lt;="&amp;'Cash Flow'!W$3,'Wells Fargo'!$B:$B,"&gt;"&amp;'Cash Flow'!V$3)</f>
        <v>150</v>
      </c>
      <c r="X44" s="77">
        <f>SUMIFS('Wells Fargo'!$F:$F,'Wells Fargo'!$G:$G,'Cash Flow'!$A44,'Wells Fargo'!$A:$A,X$1,'Wells Fargo'!$B:$B,"&lt;="&amp;'Cash Flow'!X$3,'Wells Fargo'!$B:$B,"&gt;"&amp;'Cash Flow'!W$3)</f>
        <v>0</v>
      </c>
      <c r="Y44" s="77">
        <f>SUMIFS('Wells Fargo'!$F:$F,'Wells Fargo'!$G:$G,'Cash Flow'!$A44,'Wells Fargo'!$A:$A,Y$1,'Wells Fargo'!$B:$B,"&lt;="&amp;'Cash Flow'!Y$3,'Wells Fargo'!$B:$B,"&gt;"&amp;'Cash Flow'!X$3)</f>
        <v>0</v>
      </c>
      <c r="Z44" s="77">
        <f>SUMIFS('Wells Fargo'!$F:$F,'Wells Fargo'!$G:$G,'Cash Flow'!$A44,'Wells Fargo'!$A:$A,Z$1,'Wells Fargo'!$B:$B,"&lt;="&amp;'Cash Flow'!Z$3,'Wells Fargo'!$B:$B,"&gt;"&amp;'Cash Flow'!Y$3)</f>
        <v>0</v>
      </c>
      <c r="AA44" s="111">
        <f>SUMIFS('Wells Fargo'!$F:$F,'Wells Fargo'!$G:$G,'Cash Flow'!$A44,'Wells Fargo'!$A:$A,AA$1,'Wells Fargo'!$B:$B,"&lt;="&amp;'Cash Flow'!AA$3)</f>
        <v>0</v>
      </c>
      <c r="AB44" s="77">
        <f>SUMIFS('Wells Fargo'!$F:$F,'Wells Fargo'!$G:$G,'Cash Flow'!$A44,'Wells Fargo'!$A:$A,AB$1,'Wells Fargo'!$B:$B,"&lt;="&amp;'Cash Flow'!AB$3,'Wells Fargo'!$B:$B,"&gt;"&amp;'Cash Flow'!AA$3)</f>
        <v>0</v>
      </c>
      <c r="AC44" s="77">
        <f>SUMIFS('Wells Fargo'!$F:$F,'Wells Fargo'!$G:$G,'Cash Flow'!$A44,'Wells Fargo'!$A:$A,AC$1,'Wells Fargo'!$B:$B,"&lt;="&amp;'Cash Flow'!AC$3,'Wells Fargo'!$B:$B,"&gt;"&amp;'Cash Flow'!AB$3)</f>
        <v>0</v>
      </c>
      <c r="AD44" s="77">
        <f>SUMIFS('Wells Fargo'!$F:$F,'Wells Fargo'!$G:$G,'Cash Flow'!$A44,'Wells Fargo'!$A:$A,AD$1,'Wells Fargo'!$B:$B,"&lt;="&amp;'Cash Flow'!AD$3,'Wells Fargo'!$B:$B,"&gt;"&amp;'Cash Flow'!AC$3)</f>
        <v>0</v>
      </c>
      <c r="AE44" s="77">
        <f>SUMIFS('Wells Fargo'!$F:$F,'Wells Fargo'!$G:$G,'Cash Flow'!$A44,'Wells Fargo'!$A:$A,AE$1,'Wells Fargo'!$B:$B,"&lt;="&amp;'Cash Flow'!AE$3,'Wells Fargo'!$B:$B,"&gt;"&amp;'Cash Flow'!AD$3)</f>
        <v>0</v>
      </c>
      <c r="AF44" s="111">
        <f>SUMIFS('Wells Fargo'!$F:$F,'Wells Fargo'!$G:$G,'Cash Flow'!$A44,'Wells Fargo'!$A:$A,AF$1,'Wells Fargo'!$B:$B,"&lt;="&amp;'Cash Flow'!AF$3)</f>
        <v>0</v>
      </c>
      <c r="AG44" s="77">
        <f>SUMIFS('Wells Fargo'!$F:$F,'Wells Fargo'!$G:$G,'Cash Flow'!$A44,'Wells Fargo'!$A:$A,AG$1,'Wells Fargo'!$B:$B,"&lt;="&amp;'Cash Flow'!AG$3,'Wells Fargo'!$B:$B,"&gt;"&amp;'Cash Flow'!AF$3)</f>
        <v>0</v>
      </c>
      <c r="AH44" s="77">
        <f>SUMIFS('Wells Fargo'!$F:$F,'Wells Fargo'!$G:$G,'Cash Flow'!$A44,'Wells Fargo'!$A:$A,AH$1,'Wells Fargo'!$B:$B,"&lt;="&amp;'Cash Flow'!AH$3,'Wells Fargo'!$B:$B,"&gt;"&amp;'Cash Flow'!AG$3)</f>
        <v>0</v>
      </c>
      <c r="AI44" s="77">
        <f>SUMIFS('Wells Fargo'!$F:$F,'Wells Fargo'!$G:$G,'Cash Flow'!$A44,'Wells Fargo'!$A:$A,AI$1,'Wells Fargo'!$B:$B,"&lt;="&amp;'Cash Flow'!AI$3,'Wells Fargo'!$B:$B,"&gt;"&amp;'Cash Flow'!AH$3)</f>
        <v>0</v>
      </c>
      <c r="AJ44" s="77">
        <f>SUMIFS('Wells Fargo'!$F:$F,'Wells Fargo'!$G:$G,'Cash Flow'!$A44,'Wells Fargo'!$A:$A,AJ$1,'Wells Fargo'!$B:$B,"&lt;="&amp;'Cash Flow'!AJ$3,'Wells Fargo'!$B:$B,"&gt;"&amp;'Cash Flow'!AI$3)</f>
        <v>0</v>
      </c>
      <c r="AK44" s="111">
        <f>SUMIFS('Wells Fargo'!$F:$F,'Wells Fargo'!$G:$G,'Cash Flow'!$A44,'Wells Fargo'!$A:$A,AK$1,'Wells Fargo'!$B:$B,"&lt;="&amp;'Cash Flow'!AK$3)</f>
        <v>0</v>
      </c>
      <c r="AL44" s="77">
        <f>SUMIFS('Wells Fargo'!$F:$F,'Wells Fargo'!$G:$G,'Cash Flow'!$A44,'Wells Fargo'!$A:$A,AL$1,'Wells Fargo'!$B:$B,"&lt;="&amp;'Cash Flow'!AL$3,'Wells Fargo'!$B:$B,"&gt;"&amp;'Cash Flow'!AK$3)</f>
        <v>0</v>
      </c>
      <c r="AM44" s="77">
        <f>SUMIFS('Wells Fargo'!$F:$F,'Wells Fargo'!$G:$G,'Cash Flow'!$A44,'Wells Fargo'!$A:$A,AM$1,'Wells Fargo'!$B:$B,"&lt;="&amp;'Cash Flow'!AM$3,'Wells Fargo'!$B:$B,"&gt;"&amp;'Cash Flow'!AL$3)</f>
        <v>0</v>
      </c>
      <c r="AN44" s="77">
        <f>SUMIFS('Wells Fargo'!$F:$F,'Wells Fargo'!$G:$G,'Cash Flow'!$A44,'Wells Fargo'!$A:$A,AN$1,'Wells Fargo'!$B:$B,"&lt;="&amp;'Cash Flow'!AN$3,'Wells Fargo'!$B:$B,"&gt;"&amp;'Cash Flow'!AM$3)</f>
        <v>0</v>
      </c>
      <c r="AO44" s="77">
        <f>SUMIFS('Wells Fargo'!$F:$F,'Wells Fargo'!$G:$G,'Cash Flow'!$A44,'Wells Fargo'!$A:$A,AO$1,'Wells Fargo'!$B:$B,"&lt;="&amp;'Cash Flow'!AO$3,'Wells Fargo'!$B:$B,"&gt;"&amp;'Cash Flow'!AN$3)</f>
        <v>0</v>
      </c>
      <c r="AP44" s="111">
        <f>SUMIFS('Wells Fargo'!$F:$F,'Wells Fargo'!$G:$G,'Cash Flow'!$A44,'Wells Fargo'!$A:$A,AP$1,'Wells Fargo'!$B:$B,"&lt;="&amp;'Cash Flow'!AP$3)</f>
        <v>0</v>
      </c>
      <c r="AQ44" s="77">
        <f>SUMIFS('Wells Fargo'!$F:$F,'Wells Fargo'!$G:$G,'Cash Flow'!$A44,'Wells Fargo'!$A:$A,AQ$1,'Wells Fargo'!$B:$B,"&lt;="&amp;'Cash Flow'!AQ$3,'Wells Fargo'!$B:$B,"&gt;"&amp;'Cash Flow'!AP$3)</f>
        <v>0</v>
      </c>
      <c r="AR44" s="77">
        <f>SUMIFS('Wells Fargo'!$F:$F,'Wells Fargo'!$G:$G,'Cash Flow'!$A44,'Wells Fargo'!$A:$A,AR$1,'Wells Fargo'!$B:$B,"&lt;="&amp;'Cash Flow'!AR$3,'Wells Fargo'!$B:$B,"&gt;"&amp;'Cash Flow'!AQ$3)</f>
        <v>0</v>
      </c>
      <c r="AS44" s="77">
        <f>SUMIFS('Wells Fargo'!$F:$F,'Wells Fargo'!$G:$G,'Cash Flow'!$A44,'Wells Fargo'!$A:$A,AS$1,'Wells Fargo'!$B:$B,"&lt;="&amp;'Cash Flow'!AS$3,'Wells Fargo'!$B:$B,"&gt;"&amp;'Cash Flow'!AR$3)</f>
        <v>0</v>
      </c>
      <c r="AT44" s="77">
        <f>SUMIFS('Wells Fargo'!$F:$F,'Wells Fargo'!$G:$G,'Cash Flow'!$A44,'Wells Fargo'!$A:$A,AT$1,'Wells Fargo'!$B:$B,"&lt;="&amp;'Cash Flow'!AT$3,'Wells Fargo'!$B:$B,"&gt;"&amp;'Cash Flow'!AS$3)</f>
        <v>0</v>
      </c>
      <c r="AU44" s="111">
        <f>SUMIFS('Wells Fargo'!$F:$F,'Wells Fargo'!$G:$G,'Cash Flow'!$A44,'Wells Fargo'!$A:$A,AU$1,'Wells Fargo'!$B:$B,"&lt;="&amp;'Cash Flow'!AU$3)</f>
        <v>0</v>
      </c>
      <c r="AV44" s="77">
        <f>SUMIFS('Wells Fargo'!$F:$F,'Wells Fargo'!$G:$G,'Cash Flow'!$A44,'Wells Fargo'!$A:$A,AV$1,'Wells Fargo'!$B:$B,"&lt;="&amp;'Cash Flow'!AV$3,'Wells Fargo'!$B:$B,"&gt;"&amp;'Cash Flow'!AU$3)</f>
        <v>0</v>
      </c>
      <c r="AW44" s="77">
        <f>SUMIFS('Wells Fargo'!$F:$F,'Wells Fargo'!$G:$G,'Cash Flow'!$A44,'Wells Fargo'!$A:$A,AW$1,'Wells Fargo'!$B:$B,"&lt;="&amp;'Cash Flow'!AW$3,'Wells Fargo'!$B:$B,"&gt;"&amp;'Cash Flow'!AV$3)</f>
        <v>0</v>
      </c>
      <c r="AX44" s="77">
        <f>SUMIFS('Wells Fargo'!$F:$F,'Wells Fargo'!$G:$G,'Cash Flow'!$A44,'Wells Fargo'!$A:$A,AX$1,'Wells Fargo'!$B:$B,"&lt;="&amp;'Cash Flow'!AX$3,'Wells Fargo'!$B:$B,"&gt;"&amp;'Cash Flow'!AW$3)</f>
        <v>0</v>
      </c>
      <c r="AY44" s="77">
        <f>SUMIFS('Wells Fargo'!$F:$F,'Wells Fargo'!$G:$G,'Cash Flow'!$A44,'Wells Fargo'!$A:$A,AY$1,'Wells Fargo'!$B:$B,"&lt;="&amp;'Cash Flow'!AY$3,'Wells Fargo'!$B:$B,"&gt;"&amp;'Cash Flow'!AX$3)</f>
        <v>0</v>
      </c>
      <c r="AZ44" s="111">
        <f>SUMIFS('Wells Fargo'!$F:$F,'Wells Fargo'!$G:$G,'Cash Flow'!$A44,'Wells Fargo'!$A:$A,AZ$1,'Wells Fargo'!$B:$B,"&lt;="&amp;'Cash Flow'!AZ$3)</f>
        <v>0</v>
      </c>
      <c r="BA44" s="77">
        <f>SUMIFS('Wells Fargo'!$F:$F,'Wells Fargo'!$G:$G,'Cash Flow'!$A44,'Wells Fargo'!$A:$A,BA$1,'Wells Fargo'!$B:$B,"&lt;="&amp;'Cash Flow'!BA$3,'Wells Fargo'!$B:$B,"&gt;"&amp;'Cash Flow'!AZ$3)</f>
        <v>0</v>
      </c>
      <c r="BB44" s="77">
        <f>SUMIFS('Wells Fargo'!$F:$F,'Wells Fargo'!$G:$G,'Cash Flow'!$A44,'Wells Fargo'!$A:$A,BB$1,'Wells Fargo'!$B:$B,"&lt;="&amp;'Cash Flow'!BB$3,'Wells Fargo'!$B:$B,"&gt;"&amp;'Cash Flow'!BA$3)</f>
        <v>0</v>
      </c>
      <c r="BC44" s="77">
        <f>SUMIFS('Wells Fargo'!$F:$F,'Wells Fargo'!$G:$G,'Cash Flow'!$A44,'Wells Fargo'!$A:$A,BC$1,'Wells Fargo'!$B:$B,"&lt;="&amp;'Cash Flow'!BC$3,'Wells Fargo'!$B:$B,"&gt;"&amp;'Cash Flow'!BB$3)</f>
        <v>0</v>
      </c>
      <c r="BD44" s="77">
        <f>SUMIFS('Wells Fargo'!$F:$F,'Wells Fargo'!$G:$G,'Cash Flow'!$A44,'Wells Fargo'!$A:$A,BD$1,'Wells Fargo'!$B:$B,"&lt;="&amp;'Cash Flow'!BD$3,'Wells Fargo'!$B:$B,"&gt;"&amp;'Cash Flow'!BC$3)</f>
        <v>0</v>
      </c>
      <c r="BE44" s="111">
        <f>SUMIFS('Wells Fargo'!$F:$F,'Wells Fargo'!$G:$G,'Cash Flow'!$A44,'Wells Fargo'!$A:$A,BE$1,'Wells Fargo'!$B:$B,"&lt;="&amp;'Cash Flow'!BE$3)</f>
        <v>0</v>
      </c>
      <c r="BF44" s="77">
        <f>SUMIFS('Wells Fargo'!$F:$F,'Wells Fargo'!$G:$G,'Cash Flow'!$A44,'Wells Fargo'!$A:$A,BF$1,'Wells Fargo'!$B:$B,"&lt;="&amp;'Cash Flow'!BF$3,'Wells Fargo'!$B:$B,"&gt;"&amp;'Cash Flow'!BE$3)</f>
        <v>0</v>
      </c>
      <c r="BG44" s="77">
        <f>SUMIFS('Wells Fargo'!$F:$F,'Wells Fargo'!$G:$G,'Cash Flow'!$A44,'Wells Fargo'!$A:$A,BG$1,'Wells Fargo'!$B:$B,"&lt;="&amp;'Cash Flow'!BG$3,'Wells Fargo'!$B:$B,"&gt;"&amp;'Cash Flow'!BF$3)</f>
        <v>0</v>
      </c>
      <c r="BH44" s="77">
        <f>SUMIFS('Wells Fargo'!$F:$F,'Wells Fargo'!$G:$G,'Cash Flow'!$A44,'Wells Fargo'!$A:$A,BH$1,'Wells Fargo'!$B:$B,"&lt;="&amp;'Cash Flow'!BH$3,'Wells Fargo'!$B:$B,"&gt;"&amp;'Cash Flow'!BG$3)</f>
        <v>0</v>
      </c>
      <c r="BI44" s="77">
        <f>SUMIFS('Wells Fargo'!$F:$F,'Wells Fargo'!$G:$G,'Cash Flow'!$A44,'Wells Fargo'!$A:$A,BI$1,'Wells Fargo'!$B:$B,"&lt;="&amp;'Cash Flow'!BI$3,'Wells Fargo'!$B:$B,"&gt;"&amp;'Cash Flow'!BH$3)</f>
        <v>0</v>
      </c>
    </row>
    <row r="45" spans="1:61" ht="14.5" x14ac:dyDescent="0.5">
      <c r="A45" t="str">
        <v>Vincent</v>
      </c>
      <c r="B45" s="90">
        <f t="shared" si="2"/>
        <v>37894.680000000008</v>
      </c>
      <c r="C45" s="111">
        <f>SUMIFS('Wells Fargo'!$F:$F,'Wells Fargo'!$G:$G,'Cash Flow'!$A45,'Wells Fargo'!$A:$A,C$1,'Wells Fargo'!$B:$B,"&lt;="&amp;'Cash Flow'!C$3)</f>
        <v>0</v>
      </c>
      <c r="D45" s="77">
        <f>SUMIFS('Wells Fargo'!$F:$F,'Wells Fargo'!$G:$G,'Cash Flow'!$A45,'Wells Fargo'!$A:$A,D$1,'Wells Fargo'!$B:$B,"&lt;="&amp;'Cash Flow'!D$3,'Wells Fargo'!$B:$B,"&gt;"&amp;'Cash Flow'!C$3)</f>
        <v>0</v>
      </c>
      <c r="E45" s="77">
        <f>SUMIFS('Wells Fargo'!$F:$F,'Wells Fargo'!$G:$G,'Cash Flow'!$A45,'Wells Fargo'!$A:$A,E$1,'Wells Fargo'!$B:$B,"&lt;="&amp;'Cash Flow'!E$3,'Wells Fargo'!$B:$B,"&gt;"&amp;'Cash Flow'!D$3)</f>
        <v>0</v>
      </c>
      <c r="F45" s="77">
        <f>SUMIFS('Wells Fargo'!$F:$F,'Wells Fargo'!$G:$G,'Cash Flow'!$A45,'Wells Fargo'!$A:$A,F$1,'Wells Fargo'!$B:$B,"&lt;="&amp;'Cash Flow'!F$3,'Wells Fargo'!$B:$B,"&gt;"&amp;'Cash Flow'!E$3)</f>
        <v>-569.12</v>
      </c>
      <c r="G45" s="77">
        <f>SUMIFS('Wells Fargo'!$F:$F,'Wells Fargo'!$G:$G,'Cash Flow'!$A45,'Wells Fargo'!$A:$A,G$1,'Wells Fargo'!$B:$B,"&lt;="&amp;'Cash Flow'!G$3,'Wells Fargo'!$B:$B,"&gt;"&amp;'Cash Flow'!F$3)</f>
        <v>-728.15</v>
      </c>
      <c r="H45" s="111">
        <f>SUMIFS('Wells Fargo'!$F:$F,'Wells Fargo'!$G:$G,'Cash Flow'!$A45,'Wells Fargo'!$A:$A,H$1,'Wells Fargo'!$B:$B,"&lt;="&amp;'Cash Flow'!H$3)</f>
        <v>495</v>
      </c>
      <c r="I45" s="77">
        <f>SUMIFS('Wells Fargo'!$F:$F,'Wells Fargo'!$G:$G,'Cash Flow'!$A45,'Wells Fargo'!$A:$A,I$1,'Wells Fargo'!$B:$B,"&lt;="&amp;'Cash Flow'!I$3,'Wells Fargo'!$B:$B,"&gt;"&amp;'Cash Flow'!H$3)</f>
        <v>-350</v>
      </c>
      <c r="J45" s="77">
        <f>SUMIFS('Wells Fargo'!$F:$F,'Wells Fargo'!$G:$G,'Cash Flow'!$A45,'Wells Fargo'!$A:$A,J$1,'Wells Fargo'!$B:$B,"&lt;="&amp;'Cash Flow'!J$3,'Wells Fargo'!$B:$B,"&gt;"&amp;'Cash Flow'!I$3)</f>
        <v>-500</v>
      </c>
      <c r="K45" s="77">
        <f>SUMIFS('Wells Fargo'!$F:$F,'Wells Fargo'!$G:$G,'Cash Flow'!$A45,'Wells Fargo'!$A:$A,K$1,'Wells Fargo'!$B:$B,"&lt;="&amp;'Cash Flow'!K$3,'Wells Fargo'!$B:$B,"&gt;"&amp;'Cash Flow'!J$3)</f>
        <v>0</v>
      </c>
      <c r="L45" s="111">
        <f>SUMIFS('Wells Fargo'!$F:$F,'Wells Fargo'!$G:$G,'Cash Flow'!$A45,'Wells Fargo'!$A:$A,L$1,'Wells Fargo'!$B:$B,"&lt;="&amp;'Cash Flow'!L$3)</f>
        <v>0</v>
      </c>
      <c r="M45" s="77">
        <f>SUMIFS('Wells Fargo'!$F:$F,'Wells Fargo'!$G:$G,'Cash Flow'!$A45,'Wells Fargo'!$A:$A,M$1,'Wells Fargo'!$B:$B,"&lt;="&amp;'Cash Flow'!M$3,'Wells Fargo'!$B:$B,"&gt;"&amp;'Cash Flow'!L$3)</f>
        <v>0</v>
      </c>
      <c r="N45" s="77">
        <f>SUMIFS('Wells Fargo'!$F:$F,'Wells Fargo'!$G:$G,'Cash Flow'!$A45,'Wells Fargo'!$A:$A,N$1,'Wells Fargo'!$B:$B,"&lt;="&amp;'Cash Flow'!N$3,'Wells Fargo'!$B:$B,"&gt;"&amp;'Cash Flow'!M$3)</f>
        <v>0</v>
      </c>
      <c r="O45" s="77">
        <f>SUMIFS('Wells Fargo'!$F:$F,'Wells Fargo'!$G:$G,'Cash Flow'!$A45,'Wells Fargo'!$A:$A,O$1,'Wells Fargo'!$B:$B,"&lt;="&amp;'Cash Flow'!O$3,'Wells Fargo'!$B:$B,"&gt;"&amp;'Cash Flow'!N$3)</f>
        <v>-59</v>
      </c>
      <c r="P45" s="77">
        <f>SUMIFS('Wells Fargo'!$F:$F,'Wells Fargo'!$G:$G,'Cash Flow'!$A45,'Wells Fargo'!$A:$A,P$1,'Wells Fargo'!$B:$B,"&lt;="&amp;'Cash Flow'!P$3,'Wells Fargo'!$B:$B,"&gt;"&amp;'Cash Flow'!O$3)</f>
        <v>0</v>
      </c>
      <c r="Q45" s="111">
        <f>SUMIFS('Wells Fargo'!$F:$F,'Wells Fargo'!$G:$G,'Cash Flow'!$A45,'Wells Fargo'!$A:$A,Q$1,'Wells Fargo'!$B:$B,"&lt;="&amp;'Cash Flow'!Q$3)</f>
        <v>0</v>
      </c>
      <c r="R45" s="77">
        <f>SUMIFS('Wells Fargo'!$F:$F,'Wells Fargo'!$G:$G,'Cash Flow'!$A45,'Wells Fargo'!$A:$A,R$1,'Wells Fargo'!$B:$B,"&lt;="&amp;'Cash Flow'!R$3,'Wells Fargo'!$B:$B,"&gt;"&amp;'Cash Flow'!Q$3)</f>
        <v>0</v>
      </c>
      <c r="S45" s="77">
        <f>SUMIFS('Wells Fargo'!$F:$F,'Wells Fargo'!$G:$G,'Cash Flow'!$A45,'Wells Fargo'!$A:$A,S$1,'Wells Fargo'!$B:$B,"&lt;="&amp;'Cash Flow'!S$3,'Wells Fargo'!$B:$B,"&gt;"&amp;'Cash Flow'!R$3)</f>
        <v>0</v>
      </c>
      <c r="T45" s="77">
        <f>SUMIFS('Wells Fargo'!$F:$F,'Wells Fargo'!$G:$G,'Cash Flow'!$A45,'Wells Fargo'!$A:$A,T$1,'Wells Fargo'!$B:$B,"&lt;="&amp;'Cash Flow'!T$3,'Wells Fargo'!$B:$B,"&gt;"&amp;'Cash Flow'!S$3)</f>
        <v>0</v>
      </c>
      <c r="U45" s="77">
        <f>SUMIFS('Wells Fargo'!$F:$F,'Wells Fargo'!$G:$G,'Cash Flow'!$A45,'Wells Fargo'!$A:$A,U$1,'Wells Fargo'!$B:$B,"&lt;="&amp;'Cash Flow'!U$3,'Wells Fargo'!$B:$B,"&gt;"&amp;'Cash Flow'!T$3)</f>
        <v>0</v>
      </c>
      <c r="V45" s="111">
        <f>SUMIFS('Wells Fargo'!$F:$F,'Wells Fargo'!$G:$G,'Cash Flow'!$A45,'Wells Fargo'!$A:$A,V$1,'Wells Fargo'!$B:$B,"&lt;="&amp;'Cash Flow'!V$3)</f>
        <v>0</v>
      </c>
      <c r="W45" s="77">
        <f>SUMIFS('Wells Fargo'!$F:$F,'Wells Fargo'!$G:$G,'Cash Flow'!$A45,'Wells Fargo'!$A:$A,W$1,'Wells Fargo'!$B:$B,"&lt;="&amp;'Cash Flow'!W$3,'Wells Fargo'!$B:$B,"&gt;"&amp;'Cash Flow'!V$3)</f>
        <v>0</v>
      </c>
      <c r="X45" s="77">
        <f>SUMIFS('Wells Fargo'!$F:$F,'Wells Fargo'!$G:$G,'Cash Flow'!$A45,'Wells Fargo'!$A:$A,X$1,'Wells Fargo'!$B:$B,"&lt;="&amp;'Cash Flow'!X$3,'Wells Fargo'!$B:$B,"&gt;"&amp;'Cash Flow'!W$3)</f>
        <v>-305</v>
      </c>
      <c r="Y45" s="77">
        <f>SUMIFS('Wells Fargo'!$F:$F,'Wells Fargo'!$G:$G,'Cash Flow'!$A45,'Wells Fargo'!$A:$A,Y$1,'Wells Fargo'!$B:$B,"&lt;="&amp;'Cash Flow'!Y$3,'Wells Fargo'!$B:$B,"&gt;"&amp;'Cash Flow'!X$3)</f>
        <v>600.36</v>
      </c>
      <c r="Z45" s="77">
        <f>SUMIFS('Wells Fargo'!$F:$F,'Wells Fargo'!$G:$G,'Cash Flow'!$A45,'Wells Fargo'!$A:$A,Z$1,'Wells Fargo'!$B:$B,"&lt;="&amp;'Cash Flow'!Z$3,'Wells Fargo'!$B:$B,"&gt;"&amp;'Cash Flow'!Y$3)</f>
        <v>0</v>
      </c>
      <c r="AA45" s="111">
        <f>SUMIFS('Wells Fargo'!$F:$F,'Wells Fargo'!$G:$G,'Cash Flow'!$A45,'Wells Fargo'!$A:$A,AA$1,'Wells Fargo'!$B:$B,"&lt;="&amp;'Cash Flow'!AA$3)</f>
        <v>0</v>
      </c>
      <c r="AB45" s="77">
        <f>SUMIFS('Wells Fargo'!$F:$F,'Wells Fargo'!$G:$G,'Cash Flow'!$A45,'Wells Fargo'!$A:$A,AB$1,'Wells Fargo'!$B:$B,"&lt;="&amp;'Cash Flow'!AB$3,'Wells Fargo'!$B:$B,"&gt;"&amp;'Cash Flow'!AA$3)</f>
        <v>0</v>
      </c>
      <c r="AC45" s="77">
        <f>SUMIFS('Wells Fargo'!$F:$F,'Wells Fargo'!$G:$G,'Cash Flow'!$A45,'Wells Fargo'!$A:$A,AC$1,'Wells Fargo'!$B:$B,"&lt;="&amp;'Cash Flow'!AC$3,'Wells Fargo'!$B:$B,"&gt;"&amp;'Cash Flow'!AB$3)</f>
        <v>0</v>
      </c>
      <c r="AD45" s="77">
        <f>SUMIFS('Wells Fargo'!$F:$F,'Wells Fargo'!$G:$G,'Cash Flow'!$A45,'Wells Fargo'!$A:$A,AD$1,'Wells Fargo'!$B:$B,"&lt;="&amp;'Cash Flow'!AD$3,'Wells Fargo'!$B:$B,"&gt;"&amp;'Cash Flow'!AC$3)</f>
        <v>0</v>
      </c>
      <c r="AE45" s="77">
        <f>SUMIFS('Wells Fargo'!$F:$F,'Wells Fargo'!$G:$G,'Cash Flow'!$A45,'Wells Fargo'!$A:$A,AE$1,'Wells Fargo'!$B:$B,"&lt;="&amp;'Cash Flow'!AE$3,'Wells Fargo'!$B:$B,"&gt;"&amp;'Cash Flow'!AD$3)</f>
        <v>0</v>
      </c>
      <c r="AF45" s="111">
        <f>SUMIFS('Wells Fargo'!$F:$F,'Wells Fargo'!$G:$G,'Cash Flow'!$A45,'Wells Fargo'!$A:$A,AF$1,'Wells Fargo'!$B:$B,"&lt;="&amp;'Cash Flow'!AF$3)</f>
        <v>0</v>
      </c>
      <c r="AG45" s="77">
        <f>SUMIFS('Wells Fargo'!$F:$F,'Wells Fargo'!$G:$G,'Cash Flow'!$A45,'Wells Fargo'!$A:$A,AG$1,'Wells Fargo'!$B:$B,"&lt;="&amp;'Cash Flow'!AG$3,'Wells Fargo'!$B:$B,"&gt;"&amp;'Cash Flow'!AF$3)</f>
        <v>0</v>
      </c>
      <c r="AH45" s="77">
        <f>SUMIFS('Wells Fargo'!$F:$F,'Wells Fargo'!$G:$G,'Cash Flow'!$A45,'Wells Fargo'!$A:$A,AH$1,'Wells Fargo'!$B:$B,"&lt;="&amp;'Cash Flow'!AH$3,'Wells Fargo'!$B:$B,"&gt;"&amp;'Cash Flow'!AG$3)</f>
        <v>0</v>
      </c>
      <c r="AI45" s="77">
        <f>SUMIFS('Wells Fargo'!$F:$F,'Wells Fargo'!$G:$G,'Cash Flow'!$A45,'Wells Fargo'!$A:$A,AI$1,'Wells Fargo'!$B:$B,"&lt;="&amp;'Cash Flow'!AI$3,'Wells Fargo'!$B:$B,"&gt;"&amp;'Cash Flow'!AH$3)</f>
        <v>0</v>
      </c>
      <c r="AJ45" s="77">
        <f>SUMIFS('Wells Fargo'!$F:$F,'Wells Fargo'!$G:$G,'Cash Flow'!$A45,'Wells Fargo'!$A:$A,AJ$1,'Wells Fargo'!$B:$B,"&lt;="&amp;'Cash Flow'!AJ$3,'Wells Fargo'!$B:$B,"&gt;"&amp;'Cash Flow'!AI$3)</f>
        <v>0</v>
      </c>
      <c r="AK45" s="111">
        <f>SUMIFS('Wells Fargo'!$F:$F,'Wells Fargo'!$G:$G,'Cash Flow'!$A45,'Wells Fargo'!$A:$A,AK$1,'Wells Fargo'!$B:$B,"&lt;="&amp;'Cash Flow'!AK$3)</f>
        <v>0</v>
      </c>
      <c r="AL45" s="77">
        <f>SUMIFS('Wells Fargo'!$F:$F,'Wells Fargo'!$G:$G,'Cash Flow'!$A45,'Wells Fargo'!$A:$A,AL$1,'Wells Fargo'!$B:$B,"&lt;="&amp;'Cash Flow'!AL$3,'Wells Fargo'!$B:$B,"&gt;"&amp;'Cash Flow'!AK$3)</f>
        <v>0</v>
      </c>
      <c r="AM45" s="77">
        <f>SUMIFS('Wells Fargo'!$F:$F,'Wells Fargo'!$G:$G,'Cash Flow'!$A45,'Wells Fargo'!$A:$A,AM$1,'Wells Fargo'!$B:$B,"&lt;="&amp;'Cash Flow'!AM$3,'Wells Fargo'!$B:$B,"&gt;"&amp;'Cash Flow'!AL$3)</f>
        <v>0</v>
      </c>
      <c r="AN45" s="77">
        <f>SUMIFS('Wells Fargo'!$F:$F,'Wells Fargo'!$G:$G,'Cash Flow'!$A45,'Wells Fargo'!$A:$A,AN$1,'Wells Fargo'!$B:$B,"&lt;="&amp;'Cash Flow'!AN$3,'Wells Fargo'!$B:$B,"&gt;"&amp;'Cash Flow'!AM$3)</f>
        <v>0</v>
      </c>
      <c r="AO45" s="77">
        <f>SUMIFS('Wells Fargo'!$F:$F,'Wells Fargo'!$G:$G,'Cash Flow'!$A45,'Wells Fargo'!$A:$A,AO$1,'Wells Fargo'!$B:$B,"&lt;="&amp;'Cash Flow'!AO$3,'Wells Fargo'!$B:$B,"&gt;"&amp;'Cash Flow'!AN$3)</f>
        <v>0</v>
      </c>
      <c r="AP45" s="111">
        <f>SUMIFS('Wells Fargo'!$F:$F,'Wells Fargo'!$G:$G,'Cash Flow'!$A45,'Wells Fargo'!$A:$A,AP$1,'Wells Fargo'!$B:$B,"&lt;="&amp;'Cash Flow'!AP$3)</f>
        <v>0</v>
      </c>
      <c r="AQ45" s="77">
        <f>SUMIFS('Wells Fargo'!$F:$F,'Wells Fargo'!$G:$G,'Cash Flow'!$A45,'Wells Fargo'!$A:$A,AQ$1,'Wells Fargo'!$B:$B,"&lt;="&amp;'Cash Flow'!AQ$3,'Wells Fargo'!$B:$B,"&gt;"&amp;'Cash Flow'!AP$3)</f>
        <v>0</v>
      </c>
      <c r="AR45" s="77">
        <f>SUMIFS('Wells Fargo'!$F:$F,'Wells Fargo'!$G:$G,'Cash Flow'!$A45,'Wells Fargo'!$A:$A,AR$1,'Wells Fargo'!$B:$B,"&lt;="&amp;'Cash Flow'!AR$3,'Wells Fargo'!$B:$B,"&gt;"&amp;'Cash Flow'!AQ$3)</f>
        <v>0</v>
      </c>
      <c r="AS45" s="77">
        <f>SUMIFS('Wells Fargo'!$F:$F,'Wells Fargo'!$G:$G,'Cash Flow'!$A45,'Wells Fargo'!$A:$A,AS$1,'Wells Fargo'!$B:$B,"&lt;="&amp;'Cash Flow'!AS$3,'Wells Fargo'!$B:$B,"&gt;"&amp;'Cash Flow'!AR$3)</f>
        <v>0</v>
      </c>
      <c r="AT45" s="77">
        <f>SUMIFS('Wells Fargo'!$F:$F,'Wells Fargo'!$G:$G,'Cash Flow'!$A45,'Wells Fargo'!$A:$A,AT$1,'Wells Fargo'!$B:$B,"&lt;="&amp;'Cash Flow'!AT$3,'Wells Fargo'!$B:$B,"&gt;"&amp;'Cash Flow'!AS$3)</f>
        <v>0</v>
      </c>
      <c r="AU45" s="111">
        <f>SUMIFS('Wells Fargo'!$F:$F,'Wells Fargo'!$G:$G,'Cash Flow'!$A45,'Wells Fargo'!$A:$A,AU$1,'Wells Fargo'!$B:$B,"&lt;="&amp;'Cash Flow'!AU$3)</f>
        <v>0</v>
      </c>
      <c r="AV45" s="77">
        <f>SUMIFS('Wells Fargo'!$F:$F,'Wells Fargo'!$G:$G,'Cash Flow'!$A45,'Wells Fargo'!$A:$A,AV$1,'Wells Fargo'!$B:$B,"&lt;="&amp;'Cash Flow'!AV$3,'Wells Fargo'!$B:$B,"&gt;"&amp;'Cash Flow'!AU$3)</f>
        <v>0</v>
      </c>
      <c r="AW45" s="77">
        <f>SUMIFS('Wells Fargo'!$F:$F,'Wells Fargo'!$G:$G,'Cash Flow'!$A45,'Wells Fargo'!$A:$A,AW$1,'Wells Fargo'!$B:$B,"&lt;="&amp;'Cash Flow'!AW$3,'Wells Fargo'!$B:$B,"&gt;"&amp;'Cash Flow'!AV$3)</f>
        <v>0</v>
      </c>
      <c r="AX45" s="77">
        <f>SUMIFS('Wells Fargo'!$F:$F,'Wells Fargo'!$G:$G,'Cash Flow'!$A45,'Wells Fargo'!$A:$A,AX$1,'Wells Fargo'!$B:$B,"&lt;="&amp;'Cash Flow'!AX$3,'Wells Fargo'!$B:$B,"&gt;"&amp;'Cash Flow'!AW$3)</f>
        <v>0</v>
      </c>
      <c r="AY45" s="77">
        <f>SUMIFS('Wells Fargo'!$F:$F,'Wells Fargo'!$G:$G,'Cash Flow'!$A45,'Wells Fargo'!$A:$A,AY$1,'Wells Fargo'!$B:$B,"&lt;="&amp;'Cash Flow'!AY$3,'Wells Fargo'!$B:$B,"&gt;"&amp;'Cash Flow'!AX$3)</f>
        <v>0</v>
      </c>
      <c r="AZ45" s="111">
        <f>SUMIFS('Wells Fargo'!$F:$F,'Wells Fargo'!$G:$G,'Cash Flow'!$A45,'Wells Fargo'!$A:$A,AZ$1,'Wells Fargo'!$B:$B,"&lt;="&amp;'Cash Flow'!AZ$3)</f>
        <v>0</v>
      </c>
      <c r="BA45" s="77">
        <f>SUMIFS('Wells Fargo'!$F:$F,'Wells Fargo'!$G:$G,'Cash Flow'!$A45,'Wells Fargo'!$A:$A,BA$1,'Wells Fargo'!$B:$B,"&lt;="&amp;'Cash Flow'!BA$3,'Wells Fargo'!$B:$B,"&gt;"&amp;'Cash Flow'!AZ$3)</f>
        <v>0</v>
      </c>
      <c r="BB45" s="77">
        <f>SUMIFS('Wells Fargo'!$F:$F,'Wells Fargo'!$G:$G,'Cash Flow'!$A45,'Wells Fargo'!$A:$A,BB$1,'Wells Fargo'!$B:$B,"&lt;="&amp;'Cash Flow'!BB$3,'Wells Fargo'!$B:$B,"&gt;"&amp;'Cash Flow'!BA$3)</f>
        <v>0</v>
      </c>
      <c r="BC45" s="77">
        <f>SUMIFS('Wells Fargo'!$F:$F,'Wells Fargo'!$G:$G,'Cash Flow'!$A45,'Wells Fargo'!$A:$A,BC$1,'Wells Fargo'!$B:$B,"&lt;="&amp;'Cash Flow'!BC$3,'Wells Fargo'!$B:$B,"&gt;"&amp;'Cash Flow'!BB$3)</f>
        <v>0</v>
      </c>
      <c r="BD45" s="77">
        <f>SUMIFS('Wells Fargo'!$F:$F,'Wells Fargo'!$G:$G,'Cash Flow'!$A45,'Wells Fargo'!$A:$A,BD$1,'Wells Fargo'!$B:$B,"&lt;="&amp;'Cash Flow'!BD$3,'Wells Fargo'!$B:$B,"&gt;"&amp;'Cash Flow'!BC$3)</f>
        <v>0</v>
      </c>
      <c r="BE45" s="111">
        <f>SUMIFS('Wells Fargo'!$F:$F,'Wells Fargo'!$G:$G,'Cash Flow'!$A45,'Wells Fargo'!$A:$A,BE$1,'Wells Fargo'!$B:$B,"&lt;="&amp;'Cash Flow'!BE$3)</f>
        <v>0</v>
      </c>
      <c r="BF45" s="77">
        <f>SUMIFS('Wells Fargo'!$F:$F,'Wells Fargo'!$G:$G,'Cash Flow'!$A45,'Wells Fargo'!$A:$A,BF$1,'Wells Fargo'!$B:$B,"&lt;="&amp;'Cash Flow'!BF$3,'Wells Fargo'!$B:$B,"&gt;"&amp;'Cash Flow'!BE$3)</f>
        <v>0</v>
      </c>
      <c r="BG45" s="77">
        <f>SUMIFS('Wells Fargo'!$F:$F,'Wells Fargo'!$G:$G,'Cash Flow'!$A45,'Wells Fargo'!$A:$A,BG$1,'Wells Fargo'!$B:$B,"&lt;="&amp;'Cash Flow'!BG$3,'Wells Fargo'!$B:$B,"&gt;"&amp;'Cash Flow'!BF$3)</f>
        <v>0</v>
      </c>
      <c r="BH45" s="77">
        <f>SUMIFS('Wells Fargo'!$F:$F,'Wells Fargo'!$G:$G,'Cash Flow'!$A45,'Wells Fargo'!$A:$A,BH$1,'Wells Fargo'!$B:$B,"&lt;="&amp;'Cash Flow'!BH$3,'Wells Fargo'!$B:$B,"&gt;"&amp;'Cash Flow'!BG$3)</f>
        <v>0</v>
      </c>
      <c r="BI45" s="77">
        <f>SUMIFS('Wells Fargo'!$F:$F,'Wells Fargo'!$G:$G,'Cash Flow'!$A45,'Wells Fargo'!$A:$A,BI$1,'Wells Fargo'!$B:$B,"&lt;="&amp;'Cash Flow'!BI$3,'Wells Fargo'!$B:$B,"&gt;"&amp;'Cash Flow'!BH$3)</f>
        <v>0</v>
      </c>
    </row>
    <row r="46" spans="1:61" ht="14.5" x14ac:dyDescent="0.5">
      <c r="A46" t="str">
        <v>Vincent - Rent + Brooklyn</v>
      </c>
      <c r="B46" s="90">
        <f t="shared" si="2"/>
        <v>76741.49000000002</v>
      </c>
      <c r="C46" s="111">
        <f>SUMIFS('Wells Fargo'!$F:$F,'Wells Fargo'!$G:$G,'Cash Flow'!$A46,'Wells Fargo'!$A:$A,C$1,'Wells Fargo'!$B:$B,"&lt;="&amp;'Cash Flow'!C$3)</f>
        <v>0</v>
      </c>
      <c r="D46" s="77">
        <f>SUMIFS('Wells Fargo'!$F:$F,'Wells Fargo'!$G:$G,'Cash Flow'!$A46,'Wells Fargo'!$A:$A,D$1,'Wells Fargo'!$B:$B,"&lt;="&amp;'Cash Flow'!D$3,'Wells Fargo'!$B:$B,"&gt;"&amp;'Cash Flow'!C$3)</f>
        <v>0</v>
      </c>
      <c r="E46" s="77">
        <f>SUMIFS('Wells Fargo'!$F:$F,'Wells Fargo'!$G:$G,'Cash Flow'!$A46,'Wells Fargo'!$A:$A,E$1,'Wells Fargo'!$B:$B,"&lt;="&amp;'Cash Flow'!E$3,'Wells Fargo'!$B:$B,"&gt;"&amp;'Cash Flow'!D$3)</f>
        <v>0</v>
      </c>
      <c r="F46" s="77">
        <f>SUMIFS('Wells Fargo'!$F:$F,'Wells Fargo'!$G:$G,'Cash Flow'!$A46,'Wells Fargo'!$A:$A,F$1,'Wells Fargo'!$B:$B,"&lt;="&amp;'Cash Flow'!F$3,'Wells Fargo'!$B:$B,"&gt;"&amp;'Cash Flow'!E$3)</f>
        <v>0</v>
      </c>
      <c r="G46" s="77">
        <f>SUMIFS('Wells Fargo'!$F:$F,'Wells Fargo'!$G:$G,'Cash Flow'!$A46,'Wells Fargo'!$A:$A,G$1,'Wells Fargo'!$B:$B,"&lt;="&amp;'Cash Flow'!G$3,'Wells Fargo'!$B:$B,"&gt;"&amp;'Cash Flow'!F$3)</f>
        <v>0</v>
      </c>
      <c r="H46" s="111">
        <f>SUMIFS('Wells Fargo'!$F:$F,'Wells Fargo'!$G:$G,'Cash Flow'!$A46,'Wells Fargo'!$A:$A,H$1,'Wells Fargo'!$B:$B,"&lt;="&amp;'Cash Flow'!H$3)</f>
        <v>0</v>
      </c>
      <c r="I46" s="77">
        <f>SUMIFS('Wells Fargo'!$F:$F,'Wells Fargo'!$G:$G,'Cash Flow'!$A46,'Wells Fargo'!$A:$A,I$1,'Wells Fargo'!$B:$B,"&lt;="&amp;'Cash Flow'!I$3,'Wells Fargo'!$B:$B,"&gt;"&amp;'Cash Flow'!H$3)</f>
        <v>0</v>
      </c>
      <c r="J46" s="77">
        <f>SUMIFS('Wells Fargo'!$F:$F,'Wells Fargo'!$G:$G,'Cash Flow'!$A46,'Wells Fargo'!$A:$A,J$1,'Wells Fargo'!$B:$B,"&lt;="&amp;'Cash Flow'!J$3,'Wells Fargo'!$B:$B,"&gt;"&amp;'Cash Flow'!I$3)</f>
        <v>0</v>
      </c>
      <c r="K46" s="77">
        <f>SUMIFS('Wells Fargo'!$F:$F,'Wells Fargo'!$G:$G,'Cash Flow'!$A46,'Wells Fargo'!$A:$A,K$1,'Wells Fargo'!$B:$B,"&lt;="&amp;'Cash Flow'!K$3,'Wells Fargo'!$B:$B,"&gt;"&amp;'Cash Flow'!J$3)</f>
        <v>0</v>
      </c>
      <c r="L46" s="111">
        <f>SUMIFS('Wells Fargo'!$F:$F,'Wells Fargo'!$G:$G,'Cash Flow'!$A46,'Wells Fargo'!$A:$A,L$1,'Wells Fargo'!$B:$B,"&lt;="&amp;'Cash Flow'!L$3)</f>
        <v>0</v>
      </c>
      <c r="M46" s="77">
        <f>SUMIFS('Wells Fargo'!$F:$F,'Wells Fargo'!$G:$G,'Cash Flow'!$A46,'Wells Fargo'!$A:$A,M$1,'Wells Fargo'!$B:$B,"&lt;="&amp;'Cash Flow'!M$3,'Wells Fargo'!$B:$B,"&gt;"&amp;'Cash Flow'!L$3)</f>
        <v>0</v>
      </c>
      <c r="N46" s="77">
        <f>SUMIFS('Wells Fargo'!$F:$F,'Wells Fargo'!$G:$G,'Cash Flow'!$A46,'Wells Fargo'!$A:$A,N$1,'Wells Fargo'!$B:$B,"&lt;="&amp;'Cash Flow'!N$3,'Wells Fargo'!$B:$B,"&gt;"&amp;'Cash Flow'!M$3)</f>
        <v>0</v>
      </c>
      <c r="O46" s="77">
        <f>SUMIFS('Wells Fargo'!$F:$F,'Wells Fargo'!$G:$G,'Cash Flow'!$A46,'Wells Fargo'!$A:$A,O$1,'Wells Fargo'!$B:$B,"&lt;="&amp;'Cash Flow'!O$3,'Wells Fargo'!$B:$B,"&gt;"&amp;'Cash Flow'!N$3)</f>
        <v>0</v>
      </c>
      <c r="P46" s="77">
        <f>SUMIFS('Wells Fargo'!$F:$F,'Wells Fargo'!$G:$G,'Cash Flow'!$A46,'Wells Fargo'!$A:$A,P$1,'Wells Fargo'!$B:$B,"&lt;="&amp;'Cash Flow'!P$3,'Wells Fargo'!$B:$B,"&gt;"&amp;'Cash Flow'!O$3)</f>
        <v>0</v>
      </c>
      <c r="Q46" s="111">
        <f>SUMIFS('Wells Fargo'!$F:$F,'Wells Fargo'!$G:$G,'Cash Flow'!$A46,'Wells Fargo'!$A:$A,Q$1,'Wells Fargo'!$B:$B,"&lt;="&amp;'Cash Flow'!Q$3)</f>
        <v>0</v>
      </c>
      <c r="R46" s="77">
        <f>SUMIFS('Wells Fargo'!$F:$F,'Wells Fargo'!$G:$G,'Cash Flow'!$A46,'Wells Fargo'!$A:$A,R$1,'Wells Fargo'!$B:$B,"&lt;="&amp;'Cash Flow'!R$3,'Wells Fargo'!$B:$B,"&gt;"&amp;'Cash Flow'!Q$3)</f>
        <v>0</v>
      </c>
      <c r="S46" s="77">
        <f>SUMIFS('Wells Fargo'!$F:$F,'Wells Fargo'!$G:$G,'Cash Flow'!$A46,'Wells Fargo'!$A:$A,S$1,'Wells Fargo'!$B:$B,"&lt;="&amp;'Cash Flow'!S$3,'Wells Fargo'!$B:$B,"&gt;"&amp;'Cash Flow'!R$3)</f>
        <v>0</v>
      </c>
      <c r="T46" s="77">
        <f>SUMIFS('Wells Fargo'!$F:$F,'Wells Fargo'!$G:$G,'Cash Flow'!$A46,'Wells Fargo'!$A:$A,T$1,'Wells Fargo'!$B:$B,"&lt;="&amp;'Cash Flow'!T$3,'Wells Fargo'!$B:$B,"&gt;"&amp;'Cash Flow'!S$3)</f>
        <v>0</v>
      </c>
      <c r="U46" s="77">
        <f>SUMIFS('Wells Fargo'!$F:$F,'Wells Fargo'!$G:$G,'Cash Flow'!$A46,'Wells Fargo'!$A:$A,U$1,'Wells Fargo'!$B:$B,"&lt;="&amp;'Cash Flow'!U$3,'Wells Fargo'!$B:$B,"&gt;"&amp;'Cash Flow'!T$3)</f>
        <v>0</v>
      </c>
      <c r="V46" s="111">
        <f>SUMIFS('Wells Fargo'!$F:$F,'Wells Fargo'!$G:$G,'Cash Flow'!$A46,'Wells Fargo'!$A:$A,V$1,'Wells Fargo'!$B:$B,"&lt;="&amp;'Cash Flow'!V$3)</f>
        <v>0</v>
      </c>
      <c r="W46" s="77">
        <f>SUMIFS('Wells Fargo'!$F:$F,'Wells Fargo'!$G:$G,'Cash Flow'!$A46,'Wells Fargo'!$A:$A,W$1,'Wells Fargo'!$B:$B,"&lt;="&amp;'Cash Flow'!W$3,'Wells Fargo'!$B:$B,"&gt;"&amp;'Cash Flow'!V$3)</f>
        <v>0</v>
      </c>
      <c r="X46" s="77">
        <f>SUMIFS('Wells Fargo'!$F:$F,'Wells Fargo'!$G:$G,'Cash Flow'!$A46,'Wells Fargo'!$A:$A,X$1,'Wells Fargo'!$B:$B,"&lt;="&amp;'Cash Flow'!X$3,'Wells Fargo'!$B:$B,"&gt;"&amp;'Cash Flow'!W$3)</f>
        <v>0</v>
      </c>
      <c r="Y46" s="77">
        <f>SUMIFS('Wells Fargo'!$F:$F,'Wells Fargo'!$G:$G,'Cash Flow'!$A46,'Wells Fargo'!$A:$A,Y$1,'Wells Fargo'!$B:$B,"&lt;="&amp;'Cash Flow'!Y$3,'Wells Fargo'!$B:$B,"&gt;"&amp;'Cash Flow'!X$3)</f>
        <v>0</v>
      </c>
      <c r="Z46" s="77">
        <f>SUMIFS('Wells Fargo'!$F:$F,'Wells Fargo'!$G:$G,'Cash Flow'!$A46,'Wells Fargo'!$A:$A,Z$1,'Wells Fargo'!$B:$B,"&lt;="&amp;'Cash Flow'!Z$3,'Wells Fargo'!$B:$B,"&gt;"&amp;'Cash Flow'!Y$3)</f>
        <v>0</v>
      </c>
      <c r="AA46" s="111">
        <f>SUMIFS('Wells Fargo'!$F:$F,'Wells Fargo'!$G:$G,'Cash Flow'!$A46,'Wells Fargo'!$A:$A,AA$1,'Wells Fargo'!$B:$B,"&lt;="&amp;'Cash Flow'!AA$3)</f>
        <v>0</v>
      </c>
      <c r="AB46" s="77">
        <f>SUMIFS('Wells Fargo'!$F:$F,'Wells Fargo'!$G:$G,'Cash Flow'!$A46,'Wells Fargo'!$A:$A,AB$1,'Wells Fargo'!$B:$B,"&lt;="&amp;'Cash Flow'!AB$3,'Wells Fargo'!$B:$B,"&gt;"&amp;'Cash Flow'!AA$3)</f>
        <v>0</v>
      </c>
      <c r="AC46" s="77">
        <f>SUMIFS('Wells Fargo'!$F:$F,'Wells Fargo'!$G:$G,'Cash Flow'!$A46,'Wells Fargo'!$A:$A,AC$1,'Wells Fargo'!$B:$B,"&lt;="&amp;'Cash Flow'!AC$3,'Wells Fargo'!$B:$B,"&gt;"&amp;'Cash Flow'!AB$3)</f>
        <v>0</v>
      </c>
      <c r="AD46" s="77">
        <f>SUMIFS('Wells Fargo'!$F:$F,'Wells Fargo'!$G:$G,'Cash Flow'!$A46,'Wells Fargo'!$A:$A,AD$1,'Wells Fargo'!$B:$B,"&lt;="&amp;'Cash Flow'!AD$3,'Wells Fargo'!$B:$B,"&gt;"&amp;'Cash Flow'!AC$3)</f>
        <v>0</v>
      </c>
      <c r="AE46" s="77">
        <f>SUMIFS('Wells Fargo'!$F:$F,'Wells Fargo'!$G:$G,'Cash Flow'!$A46,'Wells Fargo'!$A:$A,AE$1,'Wells Fargo'!$B:$B,"&lt;="&amp;'Cash Flow'!AE$3,'Wells Fargo'!$B:$B,"&gt;"&amp;'Cash Flow'!AD$3)</f>
        <v>0</v>
      </c>
      <c r="AF46" s="111">
        <f>SUMIFS('Wells Fargo'!$F:$F,'Wells Fargo'!$G:$G,'Cash Flow'!$A46,'Wells Fargo'!$A:$A,AF$1,'Wells Fargo'!$B:$B,"&lt;="&amp;'Cash Flow'!AF$3)</f>
        <v>0</v>
      </c>
      <c r="AG46" s="77">
        <f>SUMIFS('Wells Fargo'!$F:$F,'Wells Fargo'!$G:$G,'Cash Flow'!$A46,'Wells Fargo'!$A:$A,AG$1,'Wells Fargo'!$B:$B,"&lt;="&amp;'Cash Flow'!AG$3,'Wells Fargo'!$B:$B,"&gt;"&amp;'Cash Flow'!AF$3)</f>
        <v>1076.8800000000001</v>
      </c>
      <c r="AH46" s="77">
        <f>SUMIFS('Wells Fargo'!$F:$F,'Wells Fargo'!$G:$G,'Cash Flow'!$A46,'Wells Fargo'!$A:$A,AH$1,'Wells Fargo'!$B:$B,"&lt;="&amp;'Cash Flow'!AH$3,'Wells Fargo'!$B:$B,"&gt;"&amp;'Cash Flow'!AG$3)</f>
        <v>0</v>
      </c>
      <c r="AI46" s="77">
        <f>SUMIFS('Wells Fargo'!$F:$F,'Wells Fargo'!$G:$G,'Cash Flow'!$A46,'Wells Fargo'!$A:$A,AI$1,'Wells Fargo'!$B:$B,"&lt;="&amp;'Cash Flow'!AI$3,'Wells Fargo'!$B:$B,"&gt;"&amp;'Cash Flow'!AH$3)</f>
        <v>0</v>
      </c>
      <c r="AJ46" s="77">
        <f>SUMIFS('Wells Fargo'!$F:$F,'Wells Fargo'!$G:$G,'Cash Flow'!$A46,'Wells Fargo'!$A:$A,AJ$1,'Wells Fargo'!$B:$B,"&lt;="&amp;'Cash Flow'!AJ$3,'Wells Fargo'!$B:$B,"&gt;"&amp;'Cash Flow'!AI$3)</f>
        <v>0</v>
      </c>
      <c r="AK46" s="111">
        <f>SUMIFS('Wells Fargo'!$F:$F,'Wells Fargo'!$G:$G,'Cash Flow'!$A46,'Wells Fargo'!$A:$A,AK$1,'Wells Fargo'!$B:$B,"&lt;="&amp;'Cash Flow'!AK$3)</f>
        <v>0</v>
      </c>
      <c r="AL46" s="77">
        <f>SUMIFS('Wells Fargo'!$F:$F,'Wells Fargo'!$G:$G,'Cash Flow'!$A46,'Wells Fargo'!$A:$A,AL$1,'Wells Fargo'!$B:$B,"&lt;="&amp;'Cash Flow'!AL$3,'Wells Fargo'!$B:$B,"&gt;"&amp;'Cash Flow'!AK$3)</f>
        <v>0</v>
      </c>
      <c r="AM46" s="77">
        <f>SUMIFS('Wells Fargo'!$F:$F,'Wells Fargo'!$G:$G,'Cash Flow'!$A46,'Wells Fargo'!$A:$A,AM$1,'Wells Fargo'!$B:$B,"&lt;="&amp;'Cash Flow'!AM$3,'Wells Fargo'!$B:$B,"&gt;"&amp;'Cash Flow'!AL$3)</f>
        <v>0</v>
      </c>
      <c r="AN46" s="77">
        <f>SUMIFS('Wells Fargo'!$F:$F,'Wells Fargo'!$G:$G,'Cash Flow'!$A46,'Wells Fargo'!$A:$A,AN$1,'Wells Fargo'!$B:$B,"&lt;="&amp;'Cash Flow'!AN$3,'Wells Fargo'!$B:$B,"&gt;"&amp;'Cash Flow'!AM$3)</f>
        <v>0</v>
      </c>
      <c r="AO46" s="77">
        <f>SUMIFS('Wells Fargo'!$F:$F,'Wells Fargo'!$G:$G,'Cash Flow'!$A46,'Wells Fargo'!$A:$A,AO$1,'Wells Fargo'!$B:$B,"&lt;="&amp;'Cash Flow'!AO$3,'Wells Fargo'!$B:$B,"&gt;"&amp;'Cash Flow'!AN$3)</f>
        <v>0</v>
      </c>
      <c r="AP46" s="111">
        <f>SUMIFS('Wells Fargo'!$F:$F,'Wells Fargo'!$G:$G,'Cash Flow'!$A46,'Wells Fargo'!$A:$A,AP$1,'Wells Fargo'!$B:$B,"&lt;="&amp;'Cash Flow'!AP$3)</f>
        <v>0</v>
      </c>
      <c r="AQ46" s="77">
        <f>SUMIFS('Wells Fargo'!$F:$F,'Wells Fargo'!$G:$G,'Cash Flow'!$A46,'Wells Fargo'!$A:$A,AQ$1,'Wells Fargo'!$B:$B,"&lt;="&amp;'Cash Flow'!AQ$3,'Wells Fargo'!$B:$B,"&gt;"&amp;'Cash Flow'!AP$3)</f>
        <v>0</v>
      </c>
      <c r="AR46" s="77">
        <f>SUMIFS('Wells Fargo'!$F:$F,'Wells Fargo'!$G:$G,'Cash Flow'!$A46,'Wells Fargo'!$A:$A,AR$1,'Wells Fargo'!$B:$B,"&lt;="&amp;'Cash Flow'!AR$3,'Wells Fargo'!$B:$B,"&gt;"&amp;'Cash Flow'!AQ$3)</f>
        <v>0</v>
      </c>
      <c r="AS46" s="77">
        <f>SUMIFS('Wells Fargo'!$F:$F,'Wells Fargo'!$G:$G,'Cash Flow'!$A46,'Wells Fargo'!$A:$A,AS$1,'Wells Fargo'!$B:$B,"&lt;="&amp;'Cash Flow'!AS$3,'Wells Fargo'!$B:$B,"&gt;"&amp;'Cash Flow'!AR$3)</f>
        <v>0</v>
      </c>
      <c r="AT46" s="77">
        <f>SUMIFS('Wells Fargo'!$F:$F,'Wells Fargo'!$G:$G,'Cash Flow'!$A46,'Wells Fargo'!$A:$A,AT$1,'Wells Fargo'!$B:$B,"&lt;="&amp;'Cash Flow'!AT$3,'Wells Fargo'!$B:$B,"&gt;"&amp;'Cash Flow'!AS$3)</f>
        <v>0</v>
      </c>
      <c r="AU46" s="111">
        <f>SUMIFS('Wells Fargo'!$F:$F,'Wells Fargo'!$G:$G,'Cash Flow'!$A46,'Wells Fargo'!$A:$A,AU$1,'Wells Fargo'!$B:$B,"&lt;="&amp;'Cash Flow'!AU$3)</f>
        <v>0</v>
      </c>
      <c r="AV46" s="77">
        <f>SUMIFS('Wells Fargo'!$F:$F,'Wells Fargo'!$G:$G,'Cash Flow'!$A46,'Wells Fargo'!$A:$A,AV$1,'Wells Fargo'!$B:$B,"&lt;="&amp;'Cash Flow'!AV$3,'Wells Fargo'!$B:$B,"&gt;"&amp;'Cash Flow'!AU$3)</f>
        <v>0</v>
      </c>
      <c r="AW46" s="77">
        <f>SUMIFS('Wells Fargo'!$F:$F,'Wells Fargo'!$G:$G,'Cash Flow'!$A46,'Wells Fargo'!$A:$A,AW$1,'Wells Fargo'!$B:$B,"&lt;="&amp;'Cash Flow'!AW$3,'Wells Fargo'!$B:$B,"&gt;"&amp;'Cash Flow'!AV$3)</f>
        <v>0</v>
      </c>
      <c r="AX46" s="77">
        <f>SUMIFS('Wells Fargo'!$F:$F,'Wells Fargo'!$G:$G,'Cash Flow'!$A46,'Wells Fargo'!$A:$A,AX$1,'Wells Fargo'!$B:$B,"&lt;="&amp;'Cash Flow'!AX$3,'Wells Fargo'!$B:$B,"&gt;"&amp;'Cash Flow'!AW$3)</f>
        <v>0</v>
      </c>
      <c r="AY46" s="77">
        <f>SUMIFS('Wells Fargo'!$F:$F,'Wells Fargo'!$G:$G,'Cash Flow'!$A46,'Wells Fargo'!$A:$A,AY$1,'Wells Fargo'!$B:$B,"&lt;="&amp;'Cash Flow'!AY$3,'Wells Fargo'!$B:$B,"&gt;"&amp;'Cash Flow'!AX$3)</f>
        <v>0</v>
      </c>
      <c r="AZ46" s="111">
        <f>SUMIFS('Wells Fargo'!$F:$F,'Wells Fargo'!$G:$G,'Cash Flow'!$A46,'Wells Fargo'!$A:$A,AZ$1,'Wells Fargo'!$B:$B,"&lt;="&amp;'Cash Flow'!AZ$3)</f>
        <v>0</v>
      </c>
      <c r="BA46" s="77">
        <f>SUMIFS('Wells Fargo'!$F:$F,'Wells Fargo'!$G:$G,'Cash Flow'!$A46,'Wells Fargo'!$A:$A,BA$1,'Wells Fargo'!$B:$B,"&lt;="&amp;'Cash Flow'!BA$3,'Wells Fargo'!$B:$B,"&gt;"&amp;'Cash Flow'!AZ$3)</f>
        <v>0</v>
      </c>
      <c r="BB46" s="77">
        <f>SUMIFS('Wells Fargo'!$F:$F,'Wells Fargo'!$G:$G,'Cash Flow'!$A46,'Wells Fargo'!$A:$A,BB$1,'Wells Fargo'!$B:$B,"&lt;="&amp;'Cash Flow'!BB$3,'Wells Fargo'!$B:$B,"&gt;"&amp;'Cash Flow'!BA$3)</f>
        <v>0</v>
      </c>
      <c r="BC46" s="77">
        <f>SUMIFS('Wells Fargo'!$F:$F,'Wells Fargo'!$G:$G,'Cash Flow'!$A46,'Wells Fargo'!$A:$A,BC$1,'Wells Fargo'!$B:$B,"&lt;="&amp;'Cash Flow'!BC$3,'Wells Fargo'!$B:$B,"&gt;"&amp;'Cash Flow'!BB$3)</f>
        <v>0</v>
      </c>
      <c r="BD46" s="77">
        <f>SUMIFS('Wells Fargo'!$F:$F,'Wells Fargo'!$G:$G,'Cash Flow'!$A46,'Wells Fargo'!$A:$A,BD$1,'Wells Fargo'!$B:$B,"&lt;="&amp;'Cash Flow'!BD$3,'Wells Fargo'!$B:$B,"&gt;"&amp;'Cash Flow'!BC$3)</f>
        <v>0</v>
      </c>
      <c r="BE46" s="111">
        <f>SUMIFS('Wells Fargo'!$F:$F,'Wells Fargo'!$G:$G,'Cash Flow'!$A46,'Wells Fargo'!$A:$A,BE$1,'Wells Fargo'!$B:$B,"&lt;="&amp;'Cash Flow'!BE$3)</f>
        <v>0</v>
      </c>
      <c r="BF46" s="77">
        <f>SUMIFS('Wells Fargo'!$F:$F,'Wells Fargo'!$G:$G,'Cash Flow'!$A46,'Wells Fargo'!$A:$A,BF$1,'Wells Fargo'!$B:$B,"&lt;="&amp;'Cash Flow'!BF$3,'Wells Fargo'!$B:$B,"&gt;"&amp;'Cash Flow'!BE$3)</f>
        <v>0</v>
      </c>
      <c r="BG46" s="77">
        <f>SUMIFS('Wells Fargo'!$F:$F,'Wells Fargo'!$G:$G,'Cash Flow'!$A46,'Wells Fargo'!$A:$A,BG$1,'Wells Fargo'!$B:$B,"&lt;="&amp;'Cash Flow'!BG$3,'Wells Fargo'!$B:$B,"&gt;"&amp;'Cash Flow'!BF$3)</f>
        <v>0</v>
      </c>
      <c r="BH46" s="77">
        <f>SUMIFS('Wells Fargo'!$F:$F,'Wells Fargo'!$G:$G,'Cash Flow'!$A46,'Wells Fargo'!$A:$A,BH$1,'Wells Fargo'!$B:$B,"&lt;="&amp;'Cash Flow'!BH$3,'Wells Fargo'!$B:$B,"&gt;"&amp;'Cash Flow'!BG$3)</f>
        <v>0</v>
      </c>
      <c r="BI46" s="77">
        <f>SUMIFS('Wells Fargo'!$F:$F,'Wells Fargo'!$G:$G,'Cash Flow'!$A46,'Wells Fargo'!$A:$A,BI$1,'Wells Fargo'!$B:$B,"&lt;="&amp;'Cash Flow'!BI$3,'Wells Fargo'!$B:$B,"&gt;"&amp;'Cash Flow'!BH$3)</f>
        <v>0</v>
      </c>
    </row>
    <row r="47" spans="1:61" x14ac:dyDescent="0.5">
      <c r="B47" s="90">
        <f t="shared" si="2"/>
        <v>153482.98000000004</v>
      </c>
      <c r="C47" s="90">
        <f>SUM(C4:C46)</f>
        <v>0</v>
      </c>
      <c r="D47" s="90">
        <f t="shared" ref="D47:AG47" si="3">SUM(D4:D46)</f>
        <v>-100</v>
      </c>
      <c r="E47" s="90">
        <f t="shared" si="3"/>
        <v>730.42000000000007</v>
      </c>
      <c r="F47" s="90">
        <f t="shared" si="3"/>
        <v>-727.98</v>
      </c>
      <c r="G47" s="90">
        <f t="shared" si="3"/>
        <v>424.96000000000015</v>
      </c>
      <c r="H47" s="90">
        <f t="shared" si="3"/>
        <v>-350.31000000000006</v>
      </c>
      <c r="I47" s="90">
        <f t="shared" si="3"/>
        <v>732.76000000000022</v>
      </c>
      <c r="J47" s="90">
        <f t="shared" si="3"/>
        <v>-612.29</v>
      </c>
      <c r="K47" s="90">
        <f t="shared" si="3"/>
        <v>2327.7800000000002</v>
      </c>
      <c r="L47" s="90">
        <f t="shared" si="3"/>
        <v>-2261.5299999999997</v>
      </c>
      <c r="M47" s="90">
        <f t="shared" si="3"/>
        <v>231.60999999999999</v>
      </c>
      <c r="N47" s="90">
        <f t="shared" si="3"/>
        <v>1513.1200000000001</v>
      </c>
      <c r="O47" s="90">
        <f t="shared" si="3"/>
        <v>1085.8899999999999</v>
      </c>
      <c r="P47" s="90">
        <f t="shared" si="3"/>
        <v>-485.03</v>
      </c>
      <c r="Q47" s="90">
        <f t="shared" si="3"/>
        <v>-400</v>
      </c>
      <c r="R47" s="90">
        <f t="shared" si="3"/>
        <v>792.8</v>
      </c>
      <c r="S47" s="90">
        <f t="shared" si="3"/>
        <v>-488.52</v>
      </c>
      <c r="T47" s="90">
        <f t="shared" si="3"/>
        <v>732.91</v>
      </c>
      <c r="U47" s="90">
        <f t="shared" si="3"/>
        <v>-50</v>
      </c>
      <c r="V47" s="90">
        <f t="shared" si="3"/>
        <v>124.33000000000004</v>
      </c>
      <c r="W47" s="90">
        <f t="shared" si="3"/>
        <v>-50.319999999999993</v>
      </c>
      <c r="X47" s="90">
        <f t="shared" si="3"/>
        <v>697.98</v>
      </c>
      <c r="Y47" s="90">
        <f t="shared" si="3"/>
        <v>-1171.96</v>
      </c>
      <c r="Z47" s="90">
        <f t="shared" si="3"/>
        <v>0</v>
      </c>
      <c r="AA47" s="90">
        <f t="shared" si="3"/>
        <v>514.85000000000014</v>
      </c>
      <c r="AB47" s="90">
        <f t="shared" si="3"/>
        <v>-592.83999999999992</v>
      </c>
      <c r="AC47" s="90">
        <f t="shared" si="3"/>
        <v>8850.08</v>
      </c>
      <c r="AD47" s="90">
        <f t="shared" si="3"/>
        <v>-5102.6099999999997</v>
      </c>
      <c r="AE47" s="90">
        <f t="shared" si="3"/>
        <v>-1804.34</v>
      </c>
      <c r="AF47" s="90">
        <f t="shared" si="3"/>
        <v>711.65999999999985</v>
      </c>
      <c r="AG47" s="90">
        <f t="shared" si="3"/>
        <v>-1587.35</v>
      </c>
    </row>
    <row r="48" spans="1:61" x14ac:dyDescent="0.5">
      <c r="B48" s="90">
        <f t="shared" si="2"/>
        <v>322143.29000000004</v>
      </c>
      <c r="C48">
        <f>B2</f>
        <v>167.58</v>
      </c>
      <c r="D48" s="90">
        <f>$B$2+D47</f>
        <v>67.580000000000013</v>
      </c>
      <c r="E48" s="90">
        <f>D48+E47</f>
        <v>798.00000000000011</v>
      </c>
      <c r="F48" s="90">
        <f>E48+F47</f>
        <v>70.020000000000095</v>
      </c>
      <c r="G48" s="90">
        <f>F48+G47</f>
        <v>494.98000000000025</v>
      </c>
      <c r="H48" s="90">
        <f>G48+H47</f>
        <v>144.67000000000019</v>
      </c>
      <c r="I48" s="90">
        <f>H48+I47</f>
        <v>877.4300000000004</v>
      </c>
      <c r="J48" s="90">
        <f>I48+J47</f>
        <v>265.14000000000044</v>
      </c>
      <c r="K48" s="90">
        <f>J48+K47</f>
        <v>2592.9200000000005</v>
      </c>
      <c r="L48" s="90">
        <f>K48+L47</f>
        <v>331.39000000000078</v>
      </c>
      <c r="M48" s="90">
        <f>L48+M47</f>
        <v>563.0000000000008</v>
      </c>
      <c r="N48" s="90">
        <f>M48+N47</f>
        <v>2076.1200000000008</v>
      </c>
      <c r="O48" s="90">
        <f>N48+O47</f>
        <v>3162.0100000000007</v>
      </c>
      <c r="P48" s="90">
        <f>O48+P47</f>
        <v>2676.9800000000005</v>
      </c>
      <c r="Q48" s="90">
        <f>P48+Q47</f>
        <v>2276.9800000000005</v>
      </c>
      <c r="R48" s="90">
        <f>Q48+R47</f>
        <v>3069.7800000000007</v>
      </c>
      <c r="S48" s="90">
        <f>R48+S47</f>
        <v>2581.2600000000007</v>
      </c>
      <c r="T48" s="90">
        <f>S48+T47</f>
        <v>3314.1700000000005</v>
      </c>
      <c r="U48" s="90">
        <f>T48+U47</f>
        <v>3264.1700000000005</v>
      </c>
      <c r="V48" s="90">
        <f>U48+V47</f>
        <v>3388.5000000000005</v>
      </c>
      <c r="W48" s="90">
        <f>V48+W47</f>
        <v>3338.1800000000003</v>
      </c>
      <c r="X48" s="90">
        <f>W48+X47</f>
        <v>4036.1600000000003</v>
      </c>
      <c r="Y48" s="90">
        <f>X48+Y47</f>
        <v>2864.2000000000003</v>
      </c>
      <c r="Z48" s="90">
        <f>Y48+Z47</f>
        <v>2864.2000000000003</v>
      </c>
      <c r="AA48" s="90">
        <f>Z48+AA47</f>
        <v>3379.05</v>
      </c>
      <c r="AB48" s="90">
        <f>AA48+AB47</f>
        <v>2786.21</v>
      </c>
      <c r="AC48" s="90">
        <f>AB48+AC47</f>
        <v>11636.29</v>
      </c>
      <c r="AD48" s="90">
        <f t="shared" ref="AD48" si="4">AC48+AD47</f>
        <v>6533.6800000000012</v>
      </c>
      <c r="AE48" s="90">
        <f t="shared" ref="AE48" si="5">AD48+AE47</f>
        <v>4729.3400000000011</v>
      </c>
      <c r="AF48" s="90">
        <f t="shared" ref="AF48" si="6">AE48+AF47</f>
        <v>5441.0000000000009</v>
      </c>
      <c r="AG48" s="90">
        <f t="shared" ref="AG48" si="7">AF48+AG47</f>
        <v>3853.650000000001</v>
      </c>
    </row>
  </sheetData>
  <mergeCells count="12">
    <mergeCell ref="C2:G2"/>
    <mergeCell ref="H2:K2"/>
    <mergeCell ref="L2:P2"/>
    <mergeCell ref="V2:Z2"/>
    <mergeCell ref="Q2:U2"/>
    <mergeCell ref="BE2:BI2"/>
    <mergeCell ref="AA2:AE2"/>
    <mergeCell ref="AF2:AJ2"/>
    <mergeCell ref="AK2:AO2"/>
    <mergeCell ref="AP2:AT2"/>
    <mergeCell ref="AU2:AY2"/>
    <mergeCell ref="AZ2:BD2"/>
  </mergeCells>
  <conditionalFormatting sqref="D47:AC47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3939-21ED-4E9A-AC2A-CED62F4E19B6}">
  <sheetPr>
    <tabColor rgb="FF00CC99"/>
  </sheetPr>
  <dimension ref="A1:K60"/>
  <sheetViews>
    <sheetView tabSelected="1" topLeftCell="A13" zoomScale="55" zoomScaleNormal="55" workbookViewId="0">
      <selection activeCell="I56" sqref="I56"/>
    </sheetView>
  </sheetViews>
  <sheetFormatPr defaultRowHeight="10.5" x14ac:dyDescent="0.5"/>
  <cols>
    <col min="3" max="3" width="9.77734375" style="2" bestFit="1" customWidth="1"/>
    <col min="4" max="4" width="10.609375" style="2" bestFit="1" customWidth="1"/>
    <col min="5" max="5" width="9.0546875" style="2"/>
    <col min="7" max="7" width="14.6640625" bestFit="1" customWidth="1"/>
  </cols>
  <sheetData>
    <row r="1" spans="1:11" x14ac:dyDescent="0.5">
      <c r="C1" s="2" t="s">
        <v>480</v>
      </c>
      <c r="D1" s="2" t="s">
        <v>5</v>
      </c>
      <c r="E1" s="2" t="s">
        <v>19</v>
      </c>
      <c r="H1" s="2" t="s">
        <v>531</v>
      </c>
      <c r="I1" s="2" t="s">
        <v>528</v>
      </c>
      <c r="J1" s="2" t="s">
        <v>529</v>
      </c>
      <c r="K1" s="2" t="s">
        <v>530</v>
      </c>
    </row>
    <row r="2" spans="1:11" x14ac:dyDescent="0.5">
      <c r="A2" s="2">
        <v>1</v>
      </c>
      <c r="B2" s="2">
        <v>1</v>
      </c>
      <c r="C2" s="114">
        <f>DATE(2021,A2,B2)</f>
        <v>44197</v>
      </c>
      <c r="D2" s="113">
        <f ca="1">OFFSET('Cash Flow'!$C$47,0, ROW()-2)</f>
        <v>0</v>
      </c>
      <c r="E2" s="113">
        <f ca="1">OFFSET('Cash Flow'!$C$47,1, ROW()-2)</f>
        <v>167.58</v>
      </c>
      <c r="G2" s="1" t="s">
        <v>532</v>
      </c>
      <c r="H2" s="115">
        <f t="shared" ref="H2" ca="1" si="0">E2</f>
        <v>167.58</v>
      </c>
      <c r="I2" s="115"/>
      <c r="J2" s="115"/>
      <c r="K2" s="115"/>
    </row>
    <row r="3" spans="1:11" x14ac:dyDescent="0.5">
      <c r="A3" s="2">
        <v>1</v>
      </c>
      <c r="B3" s="2">
        <v>8</v>
      </c>
      <c r="C3" s="114">
        <f t="shared" ref="C3:C60" si="1">DATE(2021,A3,B3)</f>
        <v>44204</v>
      </c>
      <c r="D3" s="113">
        <f ca="1">OFFSET('Cash Flow'!$C$47,0, ROW()-2)</f>
        <v>-100</v>
      </c>
      <c r="E3" s="113">
        <f ca="1">OFFSET('Cash Flow'!$C$47,1, ROW()-2)</f>
        <v>67.580000000000013</v>
      </c>
      <c r="G3" s="1">
        <f>C3</f>
        <v>44204</v>
      </c>
      <c r="H3" s="115">
        <f ca="1">H2+J2-I3</f>
        <v>67.580000000000013</v>
      </c>
      <c r="I3" s="115">
        <f ca="1">MIN(K3,0)*-1</f>
        <v>100</v>
      </c>
      <c r="J3" s="115">
        <f t="shared" ref="J3:J32" ca="1" si="2">MAX(K3,0)</f>
        <v>0</v>
      </c>
      <c r="K3" s="115">
        <f t="shared" ref="K3:K32" ca="1" si="3">E3-E2</f>
        <v>-100</v>
      </c>
    </row>
    <row r="4" spans="1:11" x14ac:dyDescent="0.5">
      <c r="A4" s="2">
        <v>1</v>
      </c>
      <c r="B4" s="2">
        <v>15</v>
      </c>
      <c r="C4" s="114">
        <f t="shared" si="1"/>
        <v>44211</v>
      </c>
      <c r="D4" s="113">
        <f ca="1">OFFSET('Cash Flow'!$C$47,0, ROW()-2)</f>
        <v>730.42000000000007</v>
      </c>
      <c r="E4" s="113">
        <f ca="1">OFFSET('Cash Flow'!$C$47,1, ROW()-2)</f>
        <v>798.00000000000011</v>
      </c>
      <c r="G4" s="1">
        <f t="shared" ref="G4:G32" si="4">C4</f>
        <v>44211</v>
      </c>
      <c r="H4" s="115">
        <f t="shared" ref="H4:H33" ca="1" si="5">H3+J3-I4</f>
        <v>67.580000000000013</v>
      </c>
      <c r="I4" s="115">
        <f t="shared" ref="I4:I32" ca="1" si="6">MIN(K4,0)*-1</f>
        <v>0</v>
      </c>
      <c r="J4" s="115">
        <f t="shared" ca="1" si="2"/>
        <v>730.42000000000007</v>
      </c>
      <c r="K4" s="115">
        <f t="shared" ca="1" si="3"/>
        <v>730.42000000000007</v>
      </c>
    </row>
    <row r="5" spans="1:11" x14ac:dyDescent="0.5">
      <c r="A5" s="2">
        <v>1</v>
      </c>
      <c r="B5" s="2">
        <v>22</v>
      </c>
      <c r="C5" s="114">
        <f t="shared" si="1"/>
        <v>44218</v>
      </c>
      <c r="D5" s="113">
        <f ca="1">OFFSET('Cash Flow'!$C$47,0, ROW()-2)</f>
        <v>-727.98</v>
      </c>
      <c r="E5" s="113">
        <f ca="1">OFFSET('Cash Flow'!$C$47,1, ROW()-2)</f>
        <v>70.020000000000095</v>
      </c>
      <c r="G5" s="1">
        <f t="shared" si="4"/>
        <v>44218</v>
      </c>
      <c r="H5" s="115">
        <f t="shared" ca="1" si="5"/>
        <v>70.020000000000095</v>
      </c>
      <c r="I5" s="115">
        <f t="shared" ca="1" si="6"/>
        <v>727.98</v>
      </c>
      <c r="J5" s="115">
        <f t="shared" ca="1" si="2"/>
        <v>0</v>
      </c>
      <c r="K5" s="115">
        <f t="shared" ca="1" si="3"/>
        <v>-727.98</v>
      </c>
    </row>
    <row r="6" spans="1:11" x14ac:dyDescent="0.5">
      <c r="A6" s="2">
        <v>1</v>
      </c>
      <c r="B6" s="2">
        <v>31</v>
      </c>
      <c r="C6" s="114">
        <f t="shared" si="1"/>
        <v>44227</v>
      </c>
      <c r="D6" s="113">
        <f ca="1">OFFSET('Cash Flow'!$C$47,0, ROW()-2)</f>
        <v>424.96000000000015</v>
      </c>
      <c r="E6" s="113">
        <f ca="1">OFFSET('Cash Flow'!$C$47,1, ROW()-2)</f>
        <v>494.98000000000025</v>
      </c>
      <c r="G6" s="1">
        <f t="shared" si="4"/>
        <v>44227</v>
      </c>
      <c r="H6" s="115">
        <f t="shared" ca="1" si="5"/>
        <v>70.020000000000095</v>
      </c>
      <c r="I6" s="115">
        <f t="shared" ca="1" si="6"/>
        <v>0</v>
      </c>
      <c r="J6" s="115">
        <f t="shared" ca="1" si="2"/>
        <v>424.96000000000015</v>
      </c>
      <c r="K6" s="115">
        <f t="shared" ca="1" si="3"/>
        <v>424.96000000000015</v>
      </c>
    </row>
    <row r="7" spans="1:11" x14ac:dyDescent="0.5">
      <c r="A7" s="2">
        <v>2</v>
      </c>
      <c r="B7" s="2">
        <v>5</v>
      </c>
      <c r="C7" s="114">
        <f t="shared" si="1"/>
        <v>44232</v>
      </c>
      <c r="D7" s="113">
        <f ca="1">OFFSET('Cash Flow'!$C$47,0, ROW()-2)</f>
        <v>-350.31000000000006</v>
      </c>
      <c r="E7" s="113">
        <f ca="1">OFFSET('Cash Flow'!$C$47,1, ROW()-2)</f>
        <v>144.67000000000019</v>
      </c>
      <c r="G7" s="1">
        <f t="shared" si="4"/>
        <v>44232</v>
      </c>
      <c r="H7" s="115">
        <f t="shared" ca="1" si="5"/>
        <v>144.67000000000019</v>
      </c>
      <c r="I7" s="115">
        <f t="shared" ca="1" si="6"/>
        <v>350.31000000000006</v>
      </c>
      <c r="J7" s="115">
        <f t="shared" ca="1" si="2"/>
        <v>0</v>
      </c>
      <c r="K7" s="115">
        <f t="shared" ca="1" si="3"/>
        <v>-350.31000000000006</v>
      </c>
    </row>
    <row r="8" spans="1:11" x14ac:dyDescent="0.5">
      <c r="A8" s="2">
        <v>2</v>
      </c>
      <c r="B8" s="2">
        <v>12</v>
      </c>
      <c r="C8" s="114">
        <f t="shared" si="1"/>
        <v>44239</v>
      </c>
      <c r="D8" s="113">
        <f ca="1">OFFSET('Cash Flow'!$C$47,0, ROW()-2)</f>
        <v>732.76000000000022</v>
      </c>
      <c r="E8" s="113">
        <f ca="1">OFFSET('Cash Flow'!$C$47,1, ROW()-2)</f>
        <v>877.4300000000004</v>
      </c>
      <c r="G8" s="1">
        <f t="shared" si="4"/>
        <v>44239</v>
      </c>
      <c r="H8" s="115">
        <f t="shared" ca="1" si="5"/>
        <v>144.67000000000019</v>
      </c>
      <c r="I8" s="115">
        <f t="shared" ca="1" si="6"/>
        <v>0</v>
      </c>
      <c r="J8" s="115">
        <f t="shared" ca="1" si="2"/>
        <v>732.76000000000022</v>
      </c>
      <c r="K8" s="115">
        <f t="shared" ca="1" si="3"/>
        <v>732.76000000000022</v>
      </c>
    </row>
    <row r="9" spans="1:11" x14ac:dyDescent="0.5">
      <c r="A9" s="2">
        <v>2</v>
      </c>
      <c r="B9" s="2">
        <v>19</v>
      </c>
      <c r="C9" s="114">
        <f t="shared" si="1"/>
        <v>44246</v>
      </c>
      <c r="D9" s="113">
        <f ca="1">OFFSET('Cash Flow'!$C$47,0, ROW()-2)</f>
        <v>-612.29</v>
      </c>
      <c r="E9" s="113">
        <f ca="1">OFFSET('Cash Flow'!$C$47,1, ROW()-2)</f>
        <v>265.14000000000044</v>
      </c>
      <c r="G9" s="1">
        <f t="shared" si="4"/>
        <v>44246</v>
      </c>
      <c r="H9" s="115">
        <f t="shared" ca="1" si="5"/>
        <v>265.14000000000044</v>
      </c>
      <c r="I9" s="115">
        <f t="shared" ca="1" si="6"/>
        <v>612.29</v>
      </c>
      <c r="J9" s="115">
        <f t="shared" ca="1" si="2"/>
        <v>0</v>
      </c>
      <c r="K9" s="115">
        <f t="shared" ca="1" si="3"/>
        <v>-612.29</v>
      </c>
    </row>
    <row r="10" spans="1:11" x14ac:dyDescent="0.5">
      <c r="A10" s="2">
        <v>2</v>
      </c>
      <c r="B10" s="2">
        <v>28</v>
      </c>
      <c r="C10" s="114">
        <f t="shared" si="1"/>
        <v>44255</v>
      </c>
      <c r="D10" s="113">
        <f ca="1">OFFSET('Cash Flow'!$C$47,0, ROW()-2)</f>
        <v>2327.7800000000002</v>
      </c>
      <c r="E10" s="113">
        <f ca="1">OFFSET('Cash Flow'!$C$47,1, ROW()-2)</f>
        <v>2592.9200000000005</v>
      </c>
      <c r="G10" s="1">
        <f t="shared" si="4"/>
        <v>44255</v>
      </c>
      <c r="H10" s="115">
        <f t="shared" ca="1" si="5"/>
        <v>265.14000000000044</v>
      </c>
      <c r="I10" s="115">
        <f t="shared" ca="1" si="6"/>
        <v>0</v>
      </c>
      <c r="J10" s="115">
        <f t="shared" ca="1" si="2"/>
        <v>2327.7800000000002</v>
      </c>
      <c r="K10" s="115">
        <f t="shared" ca="1" si="3"/>
        <v>2327.7800000000002</v>
      </c>
    </row>
    <row r="11" spans="1:11" x14ac:dyDescent="0.5">
      <c r="A11" s="2">
        <v>3</v>
      </c>
      <c r="B11" s="2">
        <v>5</v>
      </c>
      <c r="C11" s="114">
        <f t="shared" si="1"/>
        <v>44260</v>
      </c>
      <c r="D11" s="113">
        <f ca="1">OFFSET('Cash Flow'!$C$47,0, ROW()-2)</f>
        <v>-2261.5299999999997</v>
      </c>
      <c r="E11" s="113">
        <f ca="1">OFFSET('Cash Flow'!$C$47,1, ROW()-2)</f>
        <v>331.39000000000078</v>
      </c>
      <c r="G11" s="1">
        <f t="shared" si="4"/>
        <v>44260</v>
      </c>
      <c r="H11" s="115">
        <f t="shared" ca="1" si="5"/>
        <v>331.39000000000078</v>
      </c>
      <c r="I11" s="115">
        <f t="shared" ca="1" si="6"/>
        <v>2261.5299999999997</v>
      </c>
      <c r="J11" s="115">
        <f t="shared" ca="1" si="2"/>
        <v>0</v>
      </c>
      <c r="K11" s="115">
        <f t="shared" ca="1" si="3"/>
        <v>-2261.5299999999997</v>
      </c>
    </row>
    <row r="12" spans="1:11" x14ac:dyDescent="0.5">
      <c r="A12" s="2">
        <v>3</v>
      </c>
      <c r="B12" s="2">
        <v>12</v>
      </c>
      <c r="C12" s="114">
        <f t="shared" si="1"/>
        <v>44267</v>
      </c>
      <c r="D12" s="113">
        <f ca="1">OFFSET('Cash Flow'!$C$47,0, ROW()-2)</f>
        <v>231.60999999999999</v>
      </c>
      <c r="E12" s="113">
        <f ca="1">OFFSET('Cash Flow'!$C$47,1, ROW()-2)</f>
        <v>563.0000000000008</v>
      </c>
      <c r="G12" s="1">
        <f t="shared" si="4"/>
        <v>44267</v>
      </c>
      <c r="H12" s="115">
        <f t="shared" ca="1" si="5"/>
        <v>331.39000000000078</v>
      </c>
      <c r="I12" s="115">
        <f t="shared" ca="1" si="6"/>
        <v>0</v>
      </c>
      <c r="J12" s="115">
        <f t="shared" ca="1" si="2"/>
        <v>231.61</v>
      </c>
      <c r="K12" s="115">
        <f t="shared" ca="1" si="3"/>
        <v>231.61</v>
      </c>
    </row>
    <row r="13" spans="1:11" x14ac:dyDescent="0.5">
      <c r="A13" s="2">
        <v>3</v>
      </c>
      <c r="B13" s="2">
        <v>19</v>
      </c>
      <c r="C13" s="114">
        <f t="shared" si="1"/>
        <v>44274</v>
      </c>
      <c r="D13" s="113">
        <f ca="1">OFFSET('Cash Flow'!$C$47,0, ROW()-2)</f>
        <v>1513.1200000000001</v>
      </c>
      <c r="E13" s="113">
        <f ca="1">OFFSET('Cash Flow'!$C$47,1, ROW()-2)</f>
        <v>2076.1200000000008</v>
      </c>
      <c r="G13" s="1">
        <f t="shared" si="4"/>
        <v>44274</v>
      </c>
      <c r="H13" s="115">
        <f t="shared" ca="1" si="5"/>
        <v>563.0000000000008</v>
      </c>
      <c r="I13" s="115">
        <f t="shared" ca="1" si="6"/>
        <v>0</v>
      </c>
      <c r="J13" s="115">
        <f t="shared" ca="1" si="2"/>
        <v>1513.12</v>
      </c>
      <c r="K13" s="115">
        <f t="shared" ca="1" si="3"/>
        <v>1513.12</v>
      </c>
    </row>
    <row r="14" spans="1:11" x14ac:dyDescent="0.5">
      <c r="A14" s="2">
        <v>3</v>
      </c>
      <c r="B14" s="2">
        <v>26</v>
      </c>
      <c r="C14" s="114">
        <f t="shared" si="1"/>
        <v>44281</v>
      </c>
      <c r="D14" s="113">
        <f ca="1">OFFSET('Cash Flow'!$C$47,0, ROW()-2)</f>
        <v>1085.8899999999999</v>
      </c>
      <c r="E14" s="113">
        <f ca="1">OFFSET('Cash Flow'!$C$47,1, ROW()-2)</f>
        <v>3162.0100000000007</v>
      </c>
      <c r="G14" s="1">
        <f t="shared" si="4"/>
        <v>44281</v>
      </c>
      <c r="H14" s="115">
        <f t="shared" ca="1" si="5"/>
        <v>2076.1200000000008</v>
      </c>
      <c r="I14" s="115">
        <f t="shared" ca="1" si="6"/>
        <v>0</v>
      </c>
      <c r="J14" s="115">
        <f t="shared" ca="1" si="2"/>
        <v>1085.8899999999999</v>
      </c>
      <c r="K14" s="115">
        <f t="shared" ca="1" si="3"/>
        <v>1085.8899999999999</v>
      </c>
    </row>
    <row r="15" spans="1:11" x14ac:dyDescent="0.5">
      <c r="A15" s="2">
        <v>3</v>
      </c>
      <c r="B15" s="2">
        <v>31</v>
      </c>
      <c r="C15" s="114">
        <f t="shared" si="1"/>
        <v>44286</v>
      </c>
      <c r="D15" s="113">
        <f ca="1">OFFSET('Cash Flow'!$C$47,0, ROW()-2)</f>
        <v>-485.03</v>
      </c>
      <c r="E15" s="113">
        <f ca="1">OFFSET('Cash Flow'!$C$47,1, ROW()-2)</f>
        <v>2676.9800000000005</v>
      </c>
      <c r="G15" s="1">
        <f t="shared" si="4"/>
        <v>44286</v>
      </c>
      <c r="H15" s="115">
        <f t="shared" ca="1" si="5"/>
        <v>2676.9800000000005</v>
      </c>
      <c r="I15" s="115">
        <f t="shared" ca="1" si="6"/>
        <v>485.0300000000002</v>
      </c>
      <c r="J15" s="115">
        <f t="shared" ca="1" si="2"/>
        <v>0</v>
      </c>
      <c r="K15" s="115">
        <f t="shared" ca="1" si="3"/>
        <v>-485.0300000000002</v>
      </c>
    </row>
    <row r="16" spans="1:11" x14ac:dyDescent="0.5">
      <c r="A16" s="2">
        <v>4</v>
      </c>
      <c r="B16" s="2">
        <v>2</v>
      </c>
      <c r="C16" s="114">
        <f t="shared" si="1"/>
        <v>44288</v>
      </c>
      <c r="D16" s="113">
        <f ca="1">OFFSET('Cash Flow'!$C$47,0, ROW()-2)</f>
        <v>-400</v>
      </c>
      <c r="E16" s="113">
        <f ca="1">OFFSET('Cash Flow'!$C$47,1, ROW()-2)</f>
        <v>2276.9800000000005</v>
      </c>
      <c r="G16" s="1">
        <f t="shared" si="4"/>
        <v>44288</v>
      </c>
      <c r="H16" s="115">
        <f t="shared" ca="1" si="5"/>
        <v>2276.9800000000005</v>
      </c>
      <c r="I16" s="115">
        <f t="shared" ca="1" si="6"/>
        <v>400</v>
      </c>
      <c r="J16" s="115">
        <f t="shared" ca="1" si="2"/>
        <v>0</v>
      </c>
      <c r="K16" s="115">
        <f t="shared" ca="1" si="3"/>
        <v>-400</v>
      </c>
    </row>
    <row r="17" spans="1:11" x14ac:dyDescent="0.5">
      <c r="A17" s="2">
        <v>4</v>
      </c>
      <c r="B17" s="2">
        <v>9</v>
      </c>
      <c r="C17" s="114">
        <f t="shared" si="1"/>
        <v>44295</v>
      </c>
      <c r="D17" s="113">
        <f ca="1">OFFSET('Cash Flow'!$C$47,0, ROW()-2)</f>
        <v>792.8</v>
      </c>
      <c r="E17" s="113">
        <f ca="1">OFFSET('Cash Flow'!$C$47,1, ROW()-2)</f>
        <v>3069.7800000000007</v>
      </c>
      <c r="G17" s="1">
        <f t="shared" si="4"/>
        <v>44295</v>
      </c>
      <c r="H17" s="115">
        <f t="shared" ca="1" si="5"/>
        <v>2276.9800000000005</v>
      </c>
      <c r="I17" s="115">
        <f t="shared" ca="1" si="6"/>
        <v>0</v>
      </c>
      <c r="J17" s="115">
        <f t="shared" ca="1" si="2"/>
        <v>792.80000000000018</v>
      </c>
      <c r="K17" s="115">
        <f t="shared" ca="1" si="3"/>
        <v>792.80000000000018</v>
      </c>
    </row>
    <row r="18" spans="1:11" x14ac:dyDescent="0.5">
      <c r="A18" s="2">
        <v>4</v>
      </c>
      <c r="B18" s="2">
        <v>16</v>
      </c>
      <c r="C18" s="114">
        <f t="shared" si="1"/>
        <v>44302</v>
      </c>
      <c r="D18" s="113">
        <f ca="1">OFFSET('Cash Flow'!$C$47,0, ROW()-2)</f>
        <v>-488.52</v>
      </c>
      <c r="E18" s="113">
        <f ca="1">OFFSET('Cash Flow'!$C$47,1, ROW()-2)</f>
        <v>2581.2600000000007</v>
      </c>
      <c r="G18" s="1">
        <f t="shared" si="4"/>
        <v>44302</v>
      </c>
      <c r="H18" s="115">
        <f t="shared" ca="1" si="5"/>
        <v>2581.2600000000007</v>
      </c>
      <c r="I18" s="115">
        <f t="shared" ca="1" si="6"/>
        <v>488.52</v>
      </c>
      <c r="J18" s="115">
        <f t="shared" ca="1" si="2"/>
        <v>0</v>
      </c>
      <c r="K18" s="115">
        <f t="shared" ca="1" si="3"/>
        <v>-488.52</v>
      </c>
    </row>
    <row r="19" spans="1:11" x14ac:dyDescent="0.5">
      <c r="A19" s="2">
        <v>4</v>
      </c>
      <c r="B19" s="2">
        <v>23</v>
      </c>
      <c r="C19" s="114">
        <f t="shared" si="1"/>
        <v>44309</v>
      </c>
      <c r="D19" s="113">
        <f ca="1">OFFSET('Cash Flow'!$C$47,0, ROW()-2)</f>
        <v>732.91</v>
      </c>
      <c r="E19" s="113">
        <f ca="1">OFFSET('Cash Flow'!$C$47,1, ROW()-2)</f>
        <v>3314.1700000000005</v>
      </c>
      <c r="G19" s="1">
        <f t="shared" si="4"/>
        <v>44309</v>
      </c>
      <c r="H19" s="115">
        <f t="shared" ca="1" si="5"/>
        <v>2581.2600000000007</v>
      </c>
      <c r="I19" s="115">
        <f t="shared" ca="1" si="6"/>
        <v>0</v>
      </c>
      <c r="J19" s="115">
        <f t="shared" ca="1" si="2"/>
        <v>732.90999999999985</v>
      </c>
      <c r="K19" s="115">
        <f t="shared" ca="1" si="3"/>
        <v>732.90999999999985</v>
      </c>
    </row>
    <row r="20" spans="1:11" x14ac:dyDescent="0.5">
      <c r="A20" s="2">
        <v>4</v>
      </c>
      <c r="B20" s="2">
        <v>30</v>
      </c>
      <c r="C20" s="114">
        <f t="shared" si="1"/>
        <v>44316</v>
      </c>
      <c r="D20" s="113">
        <f ca="1">OFFSET('Cash Flow'!$C$47,0, ROW()-2)</f>
        <v>-50</v>
      </c>
      <c r="E20" s="113">
        <f ca="1">OFFSET('Cash Flow'!$C$47,1, ROW()-2)</f>
        <v>3264.1700000000005</v>
      </c>
      <c r="G20" s="1">
        <f t="shared" si="4"/>
        <v>44316</v>
      </c>
      <c r="H20" s="115">
        <f t="shared" ca="1" si="5"/>
        <v>3264.1700000000005</v>
      </c>
      <c r="I20" s="115">
        <f t="shared" ca="1" si="6"/>
        <v>50</v>
      </c>
      <c r="J20" s="115">
        <f t="shared" ca="1" si="2"/>
        <v>0</v>
      </c>
      <c r="K20" s="115">
        <f t="shared" ca="1" si="3"/>
        <v>-50</v>
      </c>
    </row>
    <row r="21" spans="1:11" x14ac:dyDescent="0.5">
      <c r="A21" s="2">
        <v>5</v>
      </c>
      <c r="B21" s="2">
        <v>7</v>
      </c>
      <c r="C21" s="114">
        <f t="shared" si="1"/>
        <v>44323</v>
      </c>
      <c r="D21" s="113">
        <f ca="1">OFFSET('Cash Flow'!$C$47,0, ROW()-2)</f>
        <v>124.33000000000004</v>
      </c>
      <c r="E21" s="113">
        <f ca="1">OFFSET('Cash Flow'!$C$47,1, ROW()-2)</f>
        <v>3388.5000000000005</v>
      </c>
      <c r="G21" s="1">
        <f t="shared" si="4"/>
        <v>44323</v>
      </c>
      <c r="H21" s="115">
        <f t="shared" ca="1" si="5"/>
        <v>3264.1700000000005</v>
      </c>
      <c r="I21" s="115">
        <f t="shared" ca="1" si="6"/>
        <v>0</v>
      </c>
      <c r="J21" s="115">
        <f t="shared" ca="1" si="2"/>
        <v>124.32999999999993</v>
      </c>
      <c r="K21" s="115">
        <f t="shared" ca="1" si="3"/>
        <v>124.32999999999993</v>
      </c>
    </row>
    <row r="22" spans="1:11" x14ac:dyDescent="0.5">
      <c r="A22" s="2">
        <v>5</v>
      </c>
      <c r="B22" s="2">
        <v>14</v>
      </c>
      <c r="C22" s="114">
        <f t="shared" si="1"/>
        <v>44330</v>
      </c>
      <c r="D22" s="113">
        <f ca="1">OFFSET('Cash Flow'!$C$47,0, ROW()-2)</f>
        <v>-50.319999999999993</v>
      </c>
      <c r="E22" s="113">
        <f ca="1">OFFSET('Cash Flow'!$C$47,1, ROW()-2)</f>
        <v>3338.1800000000003</v>
      </c>
      <c r="G22" s="1">
        <f t="shared" si="4"/>
        <v>44330</v>
      </c>
      <c r="H22" s="115">
        <f t="shared" ca="1" si="5"/>
        <v>3338.1800000000003</v>
      </c>
      <c r="I22" s="115">
        <f t="shared" ca="1" si="6"/>
        <v>50.320000000000164</v>
      </c>
      <c r="J22" s="115">
        <f t="shared" ca="1" si="2"/>
        <v>0</v>
      </c>
      <c r="K22" s="115">
        <f t="shared" ca="1" si="3"/>
        <v>-50.320000000000164</v>
      </c>
    </row>
    <row r="23" spans="1:11" x14ac:dyDescent="0.5">
      <c r="A23" s="2">
        <v>5</v>
      </c>
      <c r="B23" s="2">
        <v>21</v>
      </c>
      <c r="C23" s="114">
        <f t="shared" si="1"/>
        <v>44337</v>
      </c>
      <c r="D23" s="113">
        <f ca="1">OFFSET('Cash Flow'!$C$47,0, ROW()-2)</f>
        <v>697.98</v>
      </c>
      <c r="E23" s="113">
        <f ca="1">OFFSET('Cash Flow'!$C$47,1, ROW()-2)</f>
        <v>4036.1600000000003</v>
      </c>
      <c r="G23" s="1">
        <f t="shared" si="4"/>
        <v>44337</v>
      </c>
      <c r="H23" s="115">
        <f t="shared" ca="1" si="5"/>
        <v>3338.1800000000003</v>
      </c>
      <c r="I23" s="115">
        <f t="shared" ca="1" si="6"/>
        <v>0</v>
      </c>
      <c r="J23" s="115">
        <f t="shared" ca="1" si="2"/>
        <v>697.98</v>
      </c>
      <c r="K23" s="115">
        <f t="shared" ca="1" si="3"/>
        <v>697.98</v>
      </c>
    </row>
    <row r="24" spans="1:11" x14ac:dyDescent="0.5">
      <c r="A24" s="2">
        <v>5</v>
      </c>
      <c r="B24" s="2">
        <v>28</v>
      </c>
      <c r="C24" s="114">
        <f t="shared" si="1"/>
        <v>44344</v>
      </c>
      <c r="D24" s="113">
        <f ca="1">OFFSET('Cash Flow'!$C$47,0, ROW()-2)</f>
        <v>-1171.96</v>
      </c>
      <c r="E24" s="113">
        <f ca="1">OFFSET('Cash Flow'!$C$47,1, ROW()-2)</f>
        <v>2864.2000000000003</v>
      </c>
      <c r="G24" s="1">
        <f t="shared" si="4"/>
        <v>44344</v>
      </c>
      <c r="H24" s="115">
        <f t="shared" ca="1" si="5"/>
        <v>2864.2000000000003</v>
      </c>
      <c r="I24" s="115">
        <f t="shared" ca="1" si="6"/>
        <v>1171.96</v>
      </c>
      <c r="J24" s="115">
        <f t="shared" ca="1" si="2"/>
        <v>0</v>
      </c>
      <c r="K24" s="115">
        <f t="shared" ca="1" si="3"/>
        <v>-1171.96</v>
      </c>
    </row>
    <row r="25" spans="1:11" x14ac:dyDescent="0.5">
      <c r="A25" s="2">
        <v>5</v>
      </c>
      <c r="B25" s="2">
        <v>31</v>
      </c>
      <c r="C25" s="114">
        <f t="shared" si="1"/>
        <v>44347</v>
      </c>
      <c r="D25" s="113">
        <f ca="1">OFFSET('Cash Flow'!$C$47,0, ROW()-2)</f>
        <v>0</v>
      </c>
      <c r="E25" s="113">
        <f ca="1">OFFSET('Cash Flow'!$C$47,1, ROW()-2)</f>
        <v>2864.2000000000003</v>
      </c>
      <c r="G25" s="1">
        <f t="shared" si="4"/>
        <v>44347</v>
      </c>
      <c r="H25" s="115">
        <f t="shared" ca="1" si="5"/>
        <v>2864.2000000000003</v>
      </c>
      <c r="I25" s="115">
        <f t="shared" ca="1" si="6"/>
        <v>0</v>
      </c>
      <c r="J25" s="115">
        <f t="shared" ca="1" si="2"/>
        <v>0</v>
      </c>
      <c r="K25" s="115">
        <f t="shared" ca="1" si="3"/>
        <v>0</v>
      </c>
    </row>
    <row r="26" spans="1:11" x14ac:dyDescent="0.5">
      <c r="A26" s="2">
        <v>6</v>
      </c>
      <c r="B26" s="2">
        <v>4</v>
      </c>
      <c r="C26" s="114">
        <f t="shared" si="1"/>
        <v>44351</v>
      </c>
      <c r="D26" s="113">
        <f ca="1">OFFSET('Cash Flow'!$C$47,0, ROW()-2)</f>
        <v>514.85000000000014</v>
      </c>
      <c r="E26" s="113">
        <f ca="1">OFFSET('Cash Flow'!$C$47,1, ROW()-2)</f>
        <v>3379.05</v>
      </c>
      <c r="G26" s="1">
        <f t="shared" si="4"/>
        <v>44351</v>
      </c>
      <c r="H26" s="115">
        <f t="shared" ca="1" si="5"/>
        <v>2864.2000000000003</v>
      </c>
      <c r="I26" s="115">
        <f t="shared" ca="1" si="6"/>
        <v>0</v>
      </c>
      <c r="J26" s="115">
        <f t="shared" ca="1" si="2"/>
        <v>514.84999999999991</v>
      </c>
      <c r="K26" s="115">
        <f t="shared" ca="1" si="3"/>
        <v>514.84999999999991</v>
      </c>
    </row>
    <row r="27" spans="1:11" x14ac:dyDescent="0.5">
      <c r="A27" s="2">
        <v>6</v>
      </c>
      <c r="B27" s="2">
        <v>11</v>
      </c>
      <c r="C27" s="114">
        <f t="shared" si="1"/>
        <v>44358</v>
      </c>
      <c r="D27" s="113">
        <f ca="1">OFFSET('Cash Flow'!$C$47,0, ROW()-2)</f>
        <v>-592.83999999999992</v>
      </c>
      <c r="E27" s="113">
        <f ca="1">OFFSET('Cash Flow'!$C$47,1, ROW()-2)</f>
        <v>2786.21</v>
      </c>
      <c r="G27" s="1">
        <f t="shared" si="4"/>
        <v>44358</v>
      </c>
      <c r="H27" s="115">
        <f t="shared" ca="1" si="5"/>
        <v>2786.21</v>
      </c>
      <c r="I27" s="115">
        <f t="shared" ca="1" si="6"/>
        <v>592.84000000000015</v>
      </c>
      <c r="J27" s="115">
        <f t="shared" ca="1" si="2"/>
        <v>0</v>
      </c>
      <c r="K27" s="115">
        <f t="shared" ca="1" si="3"/>
        <v>-592.84000000000015</v>
      </c>
    </row>
    <row r="28" spans="1:11" x14ac:dyDescent="0.5">
      <c r="A28" s="2">
        <v>6</v>
      </c>
      <c r="B28" s="2">
        <v>18</v>
      </c>
      <c r="C28" s="114">
        <f t="shared" si="1"/>
        <v>44365</v>
      </c>
      <c r="D28" s="113">
        <f ca="1">OFFSET('Cash Flow'!$C$47,0, ROW()-2)</f>
        <v>8850.08</v>
      </c>
      <c r="E28" s="113">
        <f ca="1">OFFSET('Cash Flow'!$C$47,1, ROW()-2)</f>
        <v>11636.29</v>
      </c>
      <c r="G28" s="1">
        <f t="shared" si="4"/>
        <v>44365</v>
      </c>
      <c r="H28" s="115">
        <f t="shared" ca="1" si="5"/>
        <v>2786.21</v>
      </c>
      <c r="I28" s="115">
        <f t="shared" ca="1" si="6"/>
        <v>0</v>
      </c>
      <c r="J28" s="115">
        <f t="shared" ca="1" si="2"/>
        <v>8850.0800000000017</v>
      </c>
      <c r="K28" s="115">
        <f t="shared" ca="1" si="3"/>
        <v>8850.0800000000017</v>
      </c>
    </row>
    <row r="29" spans="1:11" x14ac:dyDescent="0.5">
      <c r="A29" s="2">
        <v>6</v>
      </c>
      <c r="B29" s="2">
        <v>25</v>
      </c>
      <c r="C29" s="114">
        <f t="shared" si="1"/>
        <v>44372</v>
      </c>
      <c r="D29" s="113">
        <f ca="1">OFFSET('Cash Flow'!$C$47,0, ROW()-2)</f>
        <v>-5102.6099999999997</v>
      </c>
      <c r="E29" s="113">
        <f ca="1">OFFSET('Cash Flow'!$C$47,1, ROW()-2)</f>
        <v>6533.6800000000012</v>
      </c>
      <c r="G29" s="1">
        <f t="shared" si="4"/>
        <v>44372</v>
      </c>
      <c r="H29" s="115">
        <f t="shared" ca="1" si="5"/>
        <v>6533.6800000000012</v>
      </c>
      <c r="I29" s="115">
        <f t="shared" ca="1" si="6"/>
        <v>5102.6099999999997</v>
      </c>
      <c r="J29" s="115">
        <f t="shared" ca="1" si="2"/>
        <v>0</v>
      </c>
      <c r="K29" s="115">
        <f t="shared" ca="1" si="3"/>
        <v>-5102.6099999999997</v>
      </c>
    </row>
    <row r="30" spans="1:11" x14ac:dyDescent="0.5">
      <c r="A30" s="2">
        <v>6</v>
      </c>
      <c r="B30" s="2">
        <v>30</v>
      </c>
      <c r="C30" s="114">
        <f t="shared" si="1"/>
        <v>44377</v>
      </c>
      <c r="D30" s="113">
        <f ca="1">OFFSET('Cash Flow'!$C$47,0, ROW()-2)</f>
        <v>-1804.34</v>
      </c>
      <c r="E30" s="113">
        <f ca="1">OFFSET('Cash Flow'!$C$47,1, ROW()-2)</f>
        <v>4729.3400000000011</v>
      </c>
      <c r="G30" s="1">
        <f t="shared" si="4"/>
        <v>44377</v>
      </c>
      <c r="H30" s="115">
        <f t="shared" ca="1" si="5"/>
        <v>4729.3400000000011</v>
      </c>
      <c r="I30" s="115">
        <f t="shared" ca="1" si="6"/>
        <v>1804.3400000000001</v>
      </c>
      <c r="J30" s="115">
        <f t="shared" ca="1" si="2"/>
        <v>0</v>
      </c>
      <c r="K30" s="115">
        <f t="shared" ca="1" si="3"/>
        <v>-1804.3400000000001</v>
      </c>
    </row>
    <row r="31" spans="1:11" x14ac:dyDescent="0.5">
      <c r="A31" s="2">
        <v>7</v>
      </c>
      <c r="B31" s="2">
        <v>2</v>
      </c>
      <c r="C31" s="114">
        <f t="shared" si="1"/>
        <v>44379</v>
      </c>
      <c r="D31" s="113">
        <f ca="1">OFFSET('Cash Flow'!$C$47,0, ROW()-2)</f>
        <v>711.65999999999985</v>
      </c>
      <c r="E31" s="113">
        <f ca="1">OFFSET('Cash Flow'!$C$47,1, ROW()-2)</f>
        <v>5441.0000000000009</v>
      </c>
      <c r="G31" s="1">
        <f t="shared" si="4"/>
        <v>44379</v>
      </c>
      <c r="H31" s="115">
        <f t="shared" ca="1" si="5"/>
        <v>4729.3400000000011</v>
      </c>
      <c r="I31" s="115">
        <f t="shared" ca="1" si="6"/>
        <v>0</v>
      </c>
      <c r="J31" s="115">
        <f t="shared" ca="1" si="2"/>
        <v>711.65999999999985</v>
      </c>
      <c r="K31" s="115">
        <f t="shared" ca="1" si="3"/>
        <v>711.65999999999985</v>
      </c>
    </row>
    <row r="32" spans="1:11" x14ac:dyDescent="0.5">
      <c r="A32" s="2">
        <v>7</v>
      </c>
      <c r="B32" s="2">
        <v>9</v>
      </c>
      <c r="C32" s="114">
        <f t="shared" si="1"/>
        <v>44386</v>
      </c>
      <c r="D32" s="113">
        <f ca="1">OFFSET('Cash Flow'!$C$47,0, ROW()-2)</f>
        <v>-1587.35</v>
      </c>
      <c r="E32" s="113">
        <f ca="1">OFFSET('Cash Flow'!$C$47,1, ROW()-2)</f>
        <v>3853.650000000001</v>
      </c>
      <c r="G32" t="s">
        <v>533</v>
      </c>
      <c r="H32" s="115">
        <f t="shared" ca="1" si="5"/>
        <v>3853.650000000001</v>
      </c>
      <c r="I32" s="115">
        <f t="shared" ca="1" si="6"/>
        <v>1587.35</v>
      </c>
      <c r="J32" s="115">
        <f t="shared" ca="1" si="2"/>
        <v>0</v>
      </c>
      <c r="K32" s="115">
        <f t="shared" ca="1" si="3"/>
        <v>-1587.35</v>
      </c>
    </row>
    <row r="33" spans="1:8" x14ac:dyDescent="0.5">
      <c r="A33" s="2">
        <v>7</v>
      </c>
      <c r="B33" s="2">
        <v>16</v>
      </c>
      <c r="C33" s="114">
        <f t="shared" si="1"/>
        <v>44393</v>
      </c>
      <c r="D33" s="113">
        <f ca="1">OFFSET('Cash Flow'!$C$47,0, ROW()-2)</f>
        <v>0</v>
      </c>
      <c r="E33" s="113">
        <f ca="1">OFFSET('Cash Flow'!$C$47,1, ROW()-2)</f>
        <v>0</v>
      </c>
      <c r="H33" s="115"/>
    </row>
    <row r="34" spans="1:8" x14ac:dyDescent="0.5">
      <c r="A34" s="2">
        <v>7</v>
      </c>
      <c r="B34" s="2">
        <v>23</v>
      </c>
      <c r="C34" s="114">
        <f t="shared" si="1"/>
        <v>44400</v>
      </c>
      <c r="D34" s="113">
        <f ca="1">OFFSET('Cash Flow'!$C$47,0, ROW()-2)</f>
        <v>0</v>
      </c>
      <c r="E34" s="113">
        <f ca="1">OFFSET('Cash Flow'!$C$47,1, ROW()-2)</f>
        <v>0</v>
      </c>
    </row>
    <row r="35" spans="1:8" x14ac:dyDescent="0.5">
      <c r="A35" s="2">
        <v>7</v>
      </c>
      <c r="B35" s="2">
        <v>30</v>
      </c>
      <c r="C35" s="114">
        <f t="shared" si="1"/>
        <v>44407</v>
      </c>
      <c r="D35" s="113">
        <f ca="1">OFFSET('Cash Flow'!$C$47,0, ROW()-2)</f>
        <v>0</v>
      </c>
      <c r="E35" s="113">
        <f ca="1">OFFSET('Cash Flow'!$C$47,1, ROW()-2)</f>
        <v>0</v>
      </c>
    </row>
    <row r="36" spans="1:8" x14ac:dyDescent="0.5">
      <c r="A36" s="2">
        <v>8</v>
      </c>
      <c r="B36" s="2">
        <v>6</v>
      </c>
      <c r="C36" s="114">
        <f t="shared" si="1"/>
        <v>44414</v>
      </c>
      <c r="D36" s="113">
        <f ca="1">OFFSET('Cash Flow'!$C$47,0, ROW()-2)</f>
        <v>0</v>
      </c>
      <c r="E36" s="113">
        <f ca="1">OFFSET('Cash Flow'!$C$47,1, ROW()-2)</f>
        <v>0</v>
      </c>
    </row>
    <row r="37" spans="1:8" x14ac:dyDescent="0.5">
      <c r="A37" s="2">
        <v>8</v>
      </c>
      <c r="B37" s="2">
        <v>13</v>
      </c>
      <c r="C37" s="114">
        <f t="shared" si="1"/>
        <v>44421</v>
      </c>
      <c r="D37" s="113">
        <f ca="1">OFFSET('Cash Flow'!$C$47,0, ROW()-2)</f>
        <v>0</v>
      </c>
      <c r="E37" s="113">
        <f ca="1">OFFSET('Cash Flow'!$C$47,1, ROW()-2)</f>
        <v>0</v>
      </c>
    </row>
    <row r="38" spans="1:8" x14ac:dyDescent="0.5">
      <c r="A38" s="2">
        <v>8</v>
      </c>
      <c r="B38" s="2">
        <v>20</v>
      </c>
      <c r="C38" s="114">
        <f t="shared" si="1"/>
        <v>44428</v>
      </c>
      <c r="D38" s="113">
        <f ca="1">OFFSET('Cash Flow'!$C$47,0, ROW()-2)</f>
        <v>0</v>
      </c>
      <c r="E38" s="113">
        <f ca="1">OFFSET('Cash Flow'!$C$47,1, ROW()-2)</f>
        <v>0</v>
      </c>
    </row>
    <row r="39" spans="1:8" x14ac:dyDescent="0.5">
      <c r="A39" s="2">
        <v>8</v>
      </c>
      <c r="B39" s="2">
        <v>27</v>
      </c>
      <c r="C39" s="114">
        <f t="shared" si="1"/>
        <v>44435</v>
      </c>
      <c r="D39" s="113">
        <f ca="1">OFFSET('Cash Flow'!$C$47,0, ROW()-2)</f>
        <v>0</v>
      </c>
      <c r="E39" s="113">
        <f ca="1">OFFSET('Cash Flow'!$C$47,1, ROW()-2)</f>
        <v>0</v>
      </c>
    </row>
    <row r="40" spans="1:8" x14ac:dyDescent="0.5">
      <c r="A40" s="2">
        <v>8</v>
      </c>
      <c r="B40" s="2">
        <v>31</v>
      </c>
      <c r="C40" s="114">
        <f t="shared" si="1"/>
        <v>44439</v>
      </c>
      <c r="D40" s="113">
        <f ca="1">OFFSET('Cash Flow'!$C$47,0, ROW()-2)</f>
        <v>0</v>
      </c>
      <c r="E40" s="113">
        <f ca="1">OFFSET('Cash Flow'!$C$47,1, ROW()-2)</f>
        <v>0</v>
      </c>
    </row>
    <row r="41" spans="1:8" x14ac:dyDescent="0.5">
      <c r="A41" s="2">
        <v>9</v>
      </c>
      <c r="B41" s="2">
        <v>3</v>
      </c>
      <c r="C41" s="114">
        <f t="shared" si="1"/>
        <v>44442</v>
      </c>
      <c r="D41" s="113">
        <f ca="1">OFFSET('Cash Flow'!$C$47,0, ROW()-2)</f>
        <v>0</v>
      </c>
      <c r="E41" s="113">
        <f ca="1">OFFSET('Cash Flow'!$C$47,1, ROW()-2)</f>
        <v>0</v>
      </c>
    </row>
    <row r="42" spans="1:8" x14ac:dyDescent="0.5">
      <c r="A42" s="2">
        <v>9</v>
      </c>
      <c r="B42" s="2">
        <v>10</v>
      </c>
      <c r="C42" s="114">
        <f t="shared" si="1"/>
        <v>44449</v>
      </c>
      <c r="D42" s="113">
        <f ca="1">OFFSET('Cash Flow'!$C$47,0, ROW()-2)</f>
        <v>0</v>
      </c>
      <c r="E42" s="113">
        <f ca="1">OFFSET('Cash Flow'!$C$47,1, ROW()-2)</f>
        <v>0</v>
      </c>
    </row>
    <row r="43" spans="1:8" x14ac:dyDescent="0.5">
      <c r="A43" s="2">
        <v>9</v>
      </c>
      <c r="B43" s="2">
        <v>17</v>
      </c>
      <c r="C43" s="114">
        <f t="shared" si="1"/>
        <v>44456</v>
      </c>
      <c r="D43" s="113">
        <f ca="1">OFFSET('Cash Flow'!$C$47,0, ROW()-2)</f>
        <v>0</v>
      </c>
      <c r="E43" s="113">
        <f ca="1">OFFSET('Cash Flow'!$C$47,1, ROW()-2)</f>
        <v>0</v>
      </c>
    </row>
    <row r="44" spans="1:8" x14ac:dyDescent="0.5">
      <c r="A44" s="2">
        <v>9</v>
      </c>
      <c r="B44" s="2">
        <v>24</v>
      </c>
      <c r="C44" s="114">
        <f t="shared" si="1"/>
        <v>44463</v>
      </c>
      <c r="D44" s="113">
        <f ca="1">OFFSET('Cash Flow'!$C$47,0, ROW()-2)</f>
        <v>0</v>
      </c>
      <c r="E44" s="113">
        <f ca="1">OFFSET('Cash Flow'!$C$47,1, ROW()-2)</f>
        <v>0</v>
      </c>
    </row>
    <row r="45" spans="1:8" x14ac:dyDescent="0.5">
      <c r="A45" s="2">
        <v>9</v>
      </c>
      <c r="B45" s="2">
        <v>30</v>
      </c>
      <c r="C45" s="114">
        <f t="shared" si="1"/>
        <v>44469</v>
      </c>
      <c r="D45" s="113">
        <f ca="1">OFFSET('Cash Flow'!$C$47,0, ROW()-2)</f>
        <v>0</v>
      </c>
      <c r="E45" s="113">
        <f ca="1">OFFSET('Cash Flow'!$C$47,1, ROW()-2)</f>
        <v>0</v>
      </c>
    </row>
    <row r="46" spans="1:8" x14ac:dyDescent="0.5">
      <c r="A46" s="2">
        <v>10</v>
      </c>
      <c r="B46" s="2">
        <v>1</v>
      </c>
      <c r="C46" s="114">
        <f t="shared" si="1"/>
        <v>44470</v>
      </c>
      <c r="D46" s="113">
        <f ca="1">OFFSET('Cash Flow'!$C$47,0, ROW()-2)</f>
        <v>0</v>
      </c>
      <c r="E46" s="113">
        <f ca="1">OFFSET('Cash Flow'!$C$47,1, ROW()-2)</f>
        <v>0</v>
      </c>
    </row>
    <row r="47" spans="1:8" x14ac:dyDescent="0.5">
      <c r="A47" s="2">
        <v>10</v>
      </c>
      <c r="B47" s="2">
        <v>8</v>
      </c>
      <c r="C47" s="114">
        <f t="shared" si="1"/>
        <v>44477</v>
      </c>
      <c r="D47" s="113">
        <f ca="1">OFFSET('Cash Flow'!$C$47,0, ROW()-2)</f>
        <v>0</v>
      </c>
      <c r="E47" s="113">
        <f ca="1">OFFSET('Cash Flow'!$C$47,1, ROW()-2)</f>
        <v>0</v>
      </c>
    </row>
    <row r="48" spans="1:8" x14ac:dyDescent="0.5">
      <c r="A48" s="2">
        <v>10</v>
      </c>
      <c r="B48" s="2">
        <v>15</v>
      </c>
      <c r="C48" s="114">
        <f t="shared" si="1"/>
        <v>44484</v>
      </c>
      <c r="D48" s="113">
        <f ca="1">OFFSET('Cash Flow'!$C$47,0, ROW()-2)</f>
        <v>0</v>
      </c>
      <c r="E48" s="113">
        <f ca="1">OFFSET('Cash Flow'!$C$47,1, ROW()-2)</f>
        <v>0</v>
      </c>
    </row>
    <row r="49" spans="1:5" x14ac:dyDescent="0.5">
      <c r="A49" s="2">
        <v>10</v>
      </c>
      <c r="B49" s="2">
        <v>22</v>
      </c>
      <c r="C49" s="114">
        <f t="shared" si="1"/>
        <v>44491</v>
      </c>
      <c r="D49" s="113">
        <f ca="1">OFFSET('Cash Flow'!$C$47,0, ROW()-2)</f>
        <v>0</v>
      </c>
      <c r="E49" s="113">
        <f ca="1">OFFSET('Cash Flow'!$C$47,1, ROW()-2)</f>
        <v>0</v>
      </c>
    </row>
    <row r="50" spans="1:5" x14ac:dyDescent="0.5">
      <c r="A50" s="2">
        <v>10</v>
      </c>
      <c r="B50" s="2">
        <v>29</v>
      </c>
      <c r="C50" s="114">
        <f t="shared" si="1"/>
        <v>44498</v>
      </c>
      <c r="D50" s="113">
        <f ca="1">OFFSET('Cash Flow'!$C$47,0, ROW()-2)</f>
        <v>0</v>
      </c>
      <c r="E50" s="113">
        <f ca="1">OFFSET('Cash Flow'!$C$47,1, ROW()-2)</f>
        <v>0</v>
      </c>
    </row>
    <row r="51" spans="1:5" x14ac:dyDescent="0.5">
      <c r="A51" s="2">
        <v>11</v>
      </c>
      <c r="B51" s="2">
        <v>5</v>
      </c>
      <c r="C51" s="114">
        <f t="shared" si="1"/>
        <v>44505</v>
      </c>
      <c r="D51" s="113">
        <f ca="1">OFFSET('Cash Flow'!$C$47,0, ROW()-2)</f>
        <v>0</v>
      </c>
      <c r="E51" s="113">
        <f ca="1">OFFSET('Cash Flow'!$C$47,1, ROW()-2)</f>
        <v>0</v>
      </c>
    </row>
    <row r="52" spans="1:5" x14ac:dyDescent="0.5">
      <c r="A52" s="2">
        <v>11</v>
      </c>
      <c r="B52" s="2">
        <v>12</v>
      </c>
      <c r="C52" s="114">
        <f t="shared" si="1"/>
        <v>44512</v>
      </c>
      <c r="D52" s="113">
        <f ca="1">OFFSET('Cash Flow'!$C$47,0, ROW()-2)</f>
        <v>0</v>
      </c>
      <c r="E52" s="113">
        <f ca="1">OFFSET('Cash Flow'!$C$47,1, ROW()-2)</f>
        <v>0</v>
      </c>
    </row>
    <row r="53" spans="1:5" x14ac:dyDescent="0.5">
      <c r="A53" s="2">
        <v>11</v>
      </c>
      <c r="B53" s="2">
        <v>19</v>
      </c>
      <c r="C53" s="114">
        <f t="shared" si="1"/>
        <v>44519</v>
      </c>
      <c r="D53" s="113">
        <f ca="1">OFFSET('Cash Flow'!$C$47,0, ROW()-2)</f>
        <v>0</v>
      </c>
      <c r="E53" s="113">
        <f ca="1">OFFSET('Cash Flow'!$C$47,1, ROW()-2)</f>
        <v>0</v>
      </c>
    </row>
    <row r="54" spans="1:5" x14ac:dyDescent="0.5">
      <c r="A54" s="2">
        <v>11</v>
      </c>
      <c r="B54" s="2">
        <v>26</v>
      </c>
      <c r="C54" s="114">
        <f t="shared" si="1"/>
        <v>44526</v>
      </c>
      <c r="D54" s="113">
        <f ca="1">OFFSET('Cash Flow'!$C$47,0, ROW()-2)</f>
        <v>0</v>
      </c>
      <c r="E54" s="113">
        <f ca="1">OFFSET('Cash Flow'!$C$47,1, ROW()-2)</f>
        <v>0</v>
      </c>
    </row>
    <row r="55" spans="1:5" x14ac:dyDescent="0.5">
      <c r="A55" s="2">
        <v>11</v>
      </c>
      <c r="B55" s="2">
        <v>30</v>
      </c>
      <c r="C55" s="114">
        <f t="shared" si="1"/>
        <v>44530</v>
      </c>
      <c r="D55" s="113">
        <f ca="1">OFFSET('Cash Flow'!$C$47,0, ROW()-2)</f>
        <v>0</v>
      </c>
      <c r="E55" s="113">
        <f ca="1">OFFSET('Cash Flow'!$C$47,1, ROW()-2)</f>
        <v>0</v>
      </c>
    </row>
    <row r="56" spans="1:5" x14ac:dyDescent="0.5">
      <c r="A56" s="2">
        <v>12</v>
      </c>
      <c r="B56" s="2">
        <v>3</v>
      </c>
      <c r="C56" s="114">
        <f t="shared" si="1"/>
        <v>44533</v>
      </c>
      <c r="D56" s="113">
        <f ca="1">OFFSET('Cash Flow'!$C$47,0, ROW()-2)</f>
        <v>0</v>
      </c>
      <c r="E56" s="113">
        <f ca="1">OFFSET('Cash Flow'!$C$47,1, ROW()-2)</f>
        <v>0</v>
      </c>
    </row>
    <row r="57" spans="1:5" x14ac:dyDescent="0.5">
      <c r="A57" s="2">
        <v>12</v>
      </c>
      <c r="B57" s="2">
        <v>10</v>
      </c>
      <c r="C57" s="114">
        <f t="shared" si="1"/>
        <v>44540</v>
      </c>
      <c r="D57" s="113">
        <f ca="1">OFFSET('Cash Flow'!$C$47,0, ROW()-2)</f>
        <v>0</v>
      </c>
      <c r="E57" s="113">
        <f ca="1">OFFSET('Cash Flow'!$C$47,1, ROW()-2)</f>
        <v>0</v>
      </c>
    </row>
    <row r="58" spans="1:5" x14ac:dyDescent="0.5">
      <c r="A58" s="2">
        <v>12</v>
      </c>
      <c r="B58" s="2">
        <v>17</v>
      </c>
      <c r="C58" s="114">
        <f t="shared" si="1"/>
        <v>44547</v>
      </c>
      <c r="D58" s="113">
        <f ca="1">OFFSET('Cash Flow'!$C$47,0, ROW()-2)</f>
        <v>0</v>
      </c>
      <c r="E58" s="113">
        <f ca="1">OFFSET('Cash Flow'!$C$47,1, ROW()-2)</f>
        <v>0</v>
      </c>
    </row>
    <row r="59" spans="1:5" x14ac:dyDescent="0.5">
      <c r="A59" s="2">
        <v>12</v>
      </c>
      <c r="B59" s="2">
        <v>24</v>
      </c>
      <c r="C59" s="114">
        <f t="shared" si="1"/>
        <v>44554</v>
      </c>
      <c r="D59" s="113">
        <f ca="1">OFFSET('Cash Flow'!$C$47,0, ROW()-2)</f>
        <v>0</v>
      </c>
      <c r="E59" s="113">
        <f ca="1">OFFSET('Cash Flow'!$C$47,1, ROW()-2)</f>
        <v>0</v>
      </c>
    </row>
    <row r="60" spans="1:5" x14ac:dyDescent="0.5">
      <c r="A60" s="2">
        <v>12</v>
      </c>
      <c r="B60" s="2">
        <v>31</v>
      </c>
      <c r="C60" s="114">
        <f t="shared" si="1"/>
        <v>44561</v>
      </c>
      <c r="D60" s="113">
        <f ca="1">OFFSET('Cash Flow'!$C$47,0, ROW()-2)</f>
        <v>0</v>
      </c>
      <c r="E60" s="113">
        <f ca="1">OFFSET('Cash Flow'!$C$47,1, ROW()-2)</f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7C99-3D90-4F6E-90C3-B25A2639D502}">
  <sheetPr>
    <tabColor rgb="FF00CC99"/>
  </sheetPr>
  <dimension ref="A1:S29"/>
  <sheetViews>
    <sheetView workbookViewId="0">
      <selection activeCell="H28" sqref="H28"/>
    </sheetView>
  </sheetViews>
  <sheetFormatPr defaultRowHeight="10.5" x14ac:dyDescent="0.5"/>
  <cols>
    <col min="1" max="1" width="12.77734375" bestFit="1" customWidth="1"/>
    <col min="2" max="2" width="9.38671875" hidden="1" customWidth="1"/>
    <col min="3" max="3" width="9.44140625" hidden="1" customWidth="1"/>
    <col min="4" max="4" width="10.94140625" style="82" hidden="1" customWidth="1"/>
    <col min="5" max="5" width="9.94140625" bestFit="1" customWidth="1"/>
    <col min="7" max="7" width="10" bestFit="1" customWidth="1"/>
    <col min="14" max="14" width="8.88671875" style="82"/>
  </cols>
  <sheetData>
    <row r="1" spans="1:19" x14ac:dyDescent="0.5">
      <c r="A1" s="2" t="s">
        <v>302</v>
      </c>
      <c r="B1" s="2" t="s">
        <v>315</v>
      </c>
      <c r="C1" s="2" t="s">
        <v>317</v>
      </c>
      <c r="D1" s="89" t="s">
        <v>333</v>
      </c>
      <c r="E1" s="2" t="s">
        <v>303</v>
      </c>
      <c r="F1" s="2" t="s">
        <v>304</v>
      </c>
      <c r="G1" s="2" t="s">
        <v>305</v>
      </c>
      <c r="H1" s="2" t="s">
        <v>2</v>
      </c>
      <c r="I1" s="2" t="s">
        <v>306</v>
      </c>
      <c r="J1" s="2" t="s">
        <v>307</v>
      </c>
      <c r="K1" s="2" t="s">
        <v>308</v>
      </c>
      <c r="L1" s="2" t="s">
        <v>309</v>
      </c>
      <c r="M1" s="2" t="s">
        <v>280</v>
      </c>
      <c r="N1" s="89" t="s">
        <v>327</v>
      </c>
      <c r="O1" s="89" t="s">
        <v>329</v>
      </c>
      <c r="P1" s="89" t="s">
        <v>330</v>
      </c>
      <c r="Q1" s="89" t="s">
        <v>328</v>
      </c>
      <c r="R1" s="89" t="s">
        <v>331</v>
      </c>
      <c r="S1" s="89" t="s">
        <v>332</v>
      </c>
    </row>
    <row r="2" spans="1:19" x14ac:dyDescent="0.5">
      <c r="A2" t="str" cm="1">
        <f t="array" ref="A2:A28">_xlfn._xlws.SORT(_xlfn.UNIQUE(_xlfn.UNIQUE(_xlfn._xlws.FILTER(Discover!K:K, (Discover!H:H = "APP")*(Discover!K:K &lt;&gt;0)),1)))</f>
        <v>Bloomberg</v>
      </c>
      <c r="B2" s="77" t="s">
        <v>4</v>
      </c>
      <c r="C2" s="77" t="s">
        <v>318</v>
      </c>
      <c r="D2" s="88" cm="1">
        <f t="array" ref="D2">AVERAGE(DAY(_xlfn.UNIQUE(_xlfn._xlws.FILTER(Discover!C:C, Discover!K:K = A2,0),1)))</f>
        <v>31</v>
      </c>
      <c r="E2" s="77">
        <f>SUMIFS(Discover!G:G,Discover!K:K,Subscriptions!A2)</f>
        <v>37.090000000000003</v>
      </c>
      <c r="F2">
        <f>COUNTIFS(Discover!K:K,Subscriptions!A2,Discover!H:H,"APP")</f>
        <v>1</v>
      </c>
      <c r="G2" s="77">
        <f>E2/F2</f>
        <v>37.090000000000003</v>
      </c>
      <c r="H2" s="77">
        <f>SUMIFS(Discover!$G:$G,Discover!$K:$K,Subscriptions!$A2,Discover!$B:$B,1)</f>
        <v>0</v>
      </c>
      <c r="I2" s="77">
        <f>SUMIFS(Discover!$G:$G,Discover!$K:$K,Subscriptions!$A2,Discover!$B:$B,2)</f>
        <v>0</v>
      </c>
      <c r="J2" s="77">
        <f>SUMIFS(Discover!$G:$G,Discover!$K:$K,Subscriptions!$A2,Discover!$B:$B,3)</f>
        <v>0</v>
      </c>
      <c r="K2" s="77">
        <f>SUMIFS(Discover!$G:$G,Discover!$K:$K,Subscriptions!$A2,Discover!$B:$B,4)</f>
        <v>0</v>
      </c>
      <c r="L2" s="77">
        <f>SUMIFS(Discover!$G:$G,Discover!$K:$K,Subscriptions!$A2,Discover!$B:$B,5)</f>
        <v>37.090000000000003</v>
      </c>
      <c r="M2" s="77">
        <f>SUMIFS(Discover!$G:$G,Discover!$K:$K,Subscriptions!$A2,Discover!$B:$B,6)</f>
        <v>0</v>
      </c>
      <c r="O2" s="82"/>
      <c r="P2" s="82"/>
      <c r="Q2" s="82"/>
      <c r="R2" s="82"/>
      <c r="S2" s="82"/>
    </row>
    <row r="3" spans="1:19" x14ac:dyDescent="0.5">
      <c r="A3" t="str">
        <v>Catan Gold</v>
      </c>
      <c r="B3" s="77" t="s">
        <v>316</v>
      </c>
      <c r="C3" s="77" t="s">
        <v>319</v>
      </c>
      <c r="D3" s="88" cm="1">
        <f t="array" ref="D3">AVERAGE(DAY(_xlfn.UNIQUE(_xlfn._xlws.FILTER(Discover!C:C, Discover!K:K = A3,0),1)))</f>
        <v>26</v>
      </c>
      <c r="E3" s="77">
        <f>SUMIFS(Discover!G:G,Discover!K:K,Subscriptions!A3)</f>
        <v>14.99</v>
      </c>
      <c r="F3">
        <f>COUNTIFS(Discover!K:K,Subscriptions!A3,Discover!H:H,"APP")</f>
        <v>1</v>
      </c>
      <c r="G3" s="77">
        <f t="shared" ref="G3:G21" si="0">E3/F3</f>
        <v>14.99</v>
      </c>
      <c r="H3" s="77">
        <f>SUMIFS(Discover!$G:$G,Discover!$K:$K,Subscriptions!$A3,Discover!$B:$B,1)</f>
        <v>0</v>
      </c>
      <c r="I3" s="77">
        <f>SUMIFS(Discover!$G:$G,Discover!$K:$K,Subscriptions!$A3,Discover!$B:$B,2)</f>
        <v>0</v>
      </c>
      <c r="J3" s="77">
        <f>SUMIFS(Discover!$G:$G,Discover!$K:$K,Subscriptions!$A3,Discover!$B:$B,3)</f>
        <v>14.99</v>
      </c>
      <c r="K3" s="77">
        <f>SUMIFS(Discover!$G:$G,Discover!$K:$K,Subscriptions!$A3,Discover!$B:$B,4)</f>
        <v>0</v>
      </c>
      <c r="L3" s="77">
        <f>SUMIFS(Discover!$G:$G,Discover!$K:$K,Subscriptions!$A3,Discover!$B:$B,5)</f>
        <v>0</v>
      </c>
      <c r="M3" s="77">
        <f>SUMIFS(Discover!$G:$G,Discover!$K:$K,Subscriptions!$A3,Discover!$B:$B,6)</f>
        <v>0</v>
      </c>
      <c r="O3" s="82"/>
      <c r="P3" s="82"/>
      <c r="Q3" s="82"/>
      <c r="R3" s="82"/>
      <c r="S3" s="82"/>
    </row>
    <row r="4" spans="1:19" x14ac:dyDescent="0.5">
      <c r="A4" t="str">
        <v>Couple Cents</v>
      </c>
      <c r="B4" s="77" t="s">
        <v>4</v>
      </c>
      <c r="C4" s="77" t="s">
        <v>319</v>
      </c>
      <c r="D4" s="88" cm="1">
        <f t="array" ref="D4">AVERAGE(DAY(_xlfn.UNIQUE(_xlfn._xlws.FILTER(Discover!C:C, Discover!K:K = A4,0),1)))</f>
        <v>27</v>
      </c>
      <c r="E4" s="77">
        <f>SUMIFS(Discover!G:G,Discover!K:K,Subscriptions!A4)</f>
        <v>39.96</v>
      </c>
      <c r="F4">
        <f>COUNTIFS(Discover!K:K,Subscriptions!A4,Discover!H:H,"APP")</f>
        <v>4</v>
      </c>
      <c r="G4" s="77">
        <f t="shared" si="0"/>
        <v>9.99</v>
      </c>
      <c r="H4" s="77">
        <f>SUMIFS(Discover!$G:$G,Discover!$K:$K,Subscriptions!$A4,Discover!$B:$B,1)</f>
        <v>0</v>
      </c>
      <c r="I4" s="77">
        <f>SUMIFS(Discover!$G:$G,Discover!$K:$K,Subscriptions!$A4,Discover!$B:$B,2)</f>
        <v>9.99</v>
      </c>
      <c r="J4" s="77">
        <f>SUMIFS(Discover!$G:$G,Discover!$K:$K,Subscriptions!$A4,Discover!$B:$B,3)</f>
        <v>9.99</v>
      </c>
      <c r="K4" s="77">
        <f>SUMIFS(Discover!$G:$G,Discover!$K:$K,Subscriptions!$A4,Discover!$B:$B,4)</f>
        <v>9.99</v>
      </c>
      <c r="L4" s="77">
        <f>SUMIFS(Discover!$G:$G,Discover!$K:$K,Subscriptions!$A4,Discover!$B:$B,5)</f>
        <v>9.99</v>
      </c>
      <c r="M4" s="77">
        <f>SUMIFS(Discover!$G:$G,Discover!$K:$K,Subscriptions!$A4,Discover!$B:$B,6)</f>
        <v>0</v>
      </c>
      <c r="O4" s="82"/>
      <c r="P4" s="82"/>
      <c r="Q4" s="82"/>
      <c r="R4" s="82"/>
      <c r="S4" s="82"/>
    </row>
    <row r="5" spans="1:19" x14ac:dyDescent="0.5">
      <c r="A5" t="str">
        <v>Credit Score</v>
      </c>
      <c r="B5" s="77" t="s">
        <v>4</v>
      </c>
      <c r="C5" s="77" t="s">
        <v>318</v>
      </c>
      <c r="D5" s="88" cm="1">
        <f t="array" ref="D5">AVERAGE(DAY(_xlfn.UNIQUE(_xlfn._xlws.FILTER(Discover!C:C, Discover!K:K = A5,0),1)))</f>
        <v>5</v>
      </c>
      <c r="E5" s="77">
        <f>SUMIFS(Discover!G:G,Discover!K:K,Subscriptions!A5)</f>
        <v>39.950000000000003</v>
      </c>
      <c r="F5">
        <f>COUNTIFS(Discover!K:K,Subscriptions!A5,Discover!H:H,"APP")</f>
        <v>1</v>
      </c>
      <c r="G5" s="77">
        <f t="shared" si="0"/>
        <v>39.950000000000003</v>
      </c>
      <c r="H5" s="77">
        <f>SUMIFS(Discover!$G:$G,Discover!$K:$K,Subscriptions!$A5,Discover!$B:$B,1)</f>
        <v>39.950000000000003</v>
      </c>
      <c r="I5" s="77">
        <f>SUMIFS(Discover!$G:$G,Discover!$K:$K,Subscriptions!$A5,Discover!$B:$B,2)</f>
        <v>0</v>
      </c>
      <c r="J5" s="77">
        <f>SUMIFS(Discover!$G:$G,Discover!$K:$K,Subscriptions!$A5,Discover!$B:$B,3)</f>
        <v>0</v>
      </c>
      <c r="K5" s="77">
        <f>SUMIFS(Discover!$G:$G,Discover!$K:$K,Subscriptions!$A5,Discover!$B:$B,4)</f>
        <v>0</v>
      </c>
      <c r="L5" s="77">
        <f>SUMIFS(Discover!$G:$G,Discover!$K:$K,Subscriptions!$A5,Discover!$B:$B,5)</f>
        <v>0</v>
      </c>
      <c r="M5" s="77">
        <f>SUMIFS(Discover!$G:$G,Discover!$K:$K,Subscriptions!$A5,Discover!$B:$B,6)</f>
        <v>0</v>
      </c>
      <c r="O5" s="82"/>
      <c r="P5" s="82"/>
      <c r="Q5" s="82"/>
      <c r="R5" s="82"/>
      <c r="S5" s="82"/>
    </row>
    <row r="6" spans="1:19" x14ac:dyDescent="0.5">
      <c r="A6" t="str">
        <v>Crunch Fitness</v>
      </c>
      <c r="B6" s="77" t="s">
        <v>4</v>
      </c>
      <c r="C6" s="77" t="s">
        <v>318</v>
      </c>
      <c r="D6" s="88" cm="1">
        <f t="array" ref="D6">AVERAGE(DAY(_xlfn.UNIQUE(_xlfn._xlws.FILTER(Discover!C:C, Discover!K:K = A6,0),1)))</f>
        <v>28</v>
      </c>
      <c r="E6" s="77">
        <f>SUMIFS(Discover!G:G,Discover!K:K,Subscriptions!A6)</f>
        <v>29.849999999999998</v>
      </c>
      <c r="F6">
        <f>COUNTIFS(Discover!K:K,Subscriptions!A6,Discover!H:H,"APP")</f>
        <v>3</v>
      </c>
      <c r="G6" s="77">
        <f t="shared" si="0"/>
        <v>9.9499999999999993</v>
      </c>
      <c r="H6" s="77">
        <f>SUMIFS(Discover!$G:$G,Discover!$K:$K,Subscriptions!$A6,Discover!$B:$B,1)</f>
        <v>9.9499999999999993</v>
      </c>
      <c r="I6" s="77">
        <f>SUMIFS(Discover!$G:$G,Discover!$K:$K,Subscriptions!$A6,Discover!$B:$B,2)</f>
        <v>9.9499999999999993</v>
      </c>
      <c r="J6" s="77">
        <f>SUMIFS(Discover!$G:$G,Discover!$K:$K,Subscriptions!$A6,Discover!$B:$B,3)</f>
        <v>9.9499999999999993</v>
      </c>
      <c r="K6" s="77">
        <f>SUMIFS(Discover!$G:$G,Discover!$K:$K,Subscriptions!$A6,Discover!$B:$B,4)</f>
        <v>0</v>
      </c>
      <c r="L6" s="77">
        <f>SUMIFS(Discover!$G:$G,Discover!$K:$K,Subscriptions!$A6,Discover!$B:$B,5)</f>
        <v>0</v>
      </c>
      <c r="M6" s="77">
        <f>SUMIFS(Discover!$G:$G,Discover!$K:$K,Subscriptions!$A6,Discover!$B:$B,6)</f>
        <v>0</v>
      </c>
      <c r="O6" s="82"/>
      <c r="P6" s="82"/>
      <c r="Q6" s="82"/>
      <c r="R6" s="82"/>
      <c r="S6" s="82"/>
    </row>
    <row r="7" spans="1:19" x14ac:dyDescent="0.5">
      <c r="A7" t="str">
        <v>Crunchyroll</v>
      </c>
      <c r="B7" s="77" t="s">
        <v>4</v>
      </c>
      <c r="C7" s="77" t="s">
        <v>319</v>
      </c>
      <c r="D7" s="88" cm="1">
        <f t="array" ref="D7">AVERAGE(DAY(_xlfn.UNIQUE(_xlfn._xlws.FILTER(Discover!C:C, Discover!K:K = A7,0),1)))</f>
        <v>21</v>
      </c>
      <c r="E7" s="77">
        <f>SUMIFS(Discover!G:G,Discover!K:K,Subscriptions!A7)</f>
        <v>39.950000000000003</v>
      </c>
      <c r="F7">
        <f>COUNTIFS(Discover!K:K,Subscriptions!A7,Discover!H:H,"APP")</f>
        <v>5</v>
      </c>
      <c r="G7" s="77">
        <f t="shared" si="0"/>
        <v>7.99</v>
      </c>
      <c r="H7" s="77">
        <f>SUMIFS(Discover!$G:$G,Discover!$K:$K,Subscriptions!$A7,Discover!$B:$B,1)</f>
        <v>7.99</v>
      </c>
      <c r="I7" s="77">
        <f>SUMIFS(Discover!$G:$G,Discover!$K:$K,Subscriptions!$A7,Discover!$B:$B,2)</f>
        <v>7.99</v>
      </c>
      <c r="J7" s="77">
        <f>SUMIFS(Discover!$G:$G,Discover!$K:$K,Subscriptions!$A7,Discover!$B:$B,3)</f>
        <v>7.99</v>
      </c>
      <c r="K7" s="77">
        <f>SUMIFS(Discover!$G:$G,Discover!$K:$K,Subscriptions!$A7,Discover!$B:$B,4)</f>
        <v>7.99</v>
      </c>
      <c r="L7" s="77">
        <f>SUMIFS(Discover!$G:$G,Discover!$K:$K,Subscriptions!$A7,Discover!$B:$B,5)</f>
        <v>7.99</v>
      </c>
      <c r="M7" s="77">
        <f>SUMIFS(Discover!$G:$G,Discover!$K:$K,Subscriptions!$A7,Discover!$B:$B,6)</f>
        <v>0</v>
      </c>
      <c r="O7" s="82"/>
      <c r="P7" s="82"/>
      <c r="Q7" s="82"/>
      <c r="R7" s="82"/>
      <c r="S7" s="82"/>
    </row>
    <row r="8" spans="1:19" x14ac:dyDescent="0.5">
      <c r="A8" t="str">
        <v>Disney</v>
      </c>
      <c r="B8" s="77" t="s">
        <v>320</v>
      </c>
      <c r="C8" s="77" t="s">
        <v>319</v>
      </c>
      <c r="D8" s="88" cm="1">
        <f t="array" ref="D8">AVERAGE(DAY(_xlfn.UNIQUE(_xlfn._xlws.FILTER(Discover!C:C, Discover!K:K = A8,0),1)))</f>
        <v>1</v>
      </c>
      <c r="E8" s="77">
        <f>SUMIFS(Discover!G:G,Discover!K:K,Subscriptions!A8)</f>
        <v>69.989999999999995</v>
      </c>
      <c r="F8">
        <f>COUNTIFS(Discover!K:K,Subscriptions!A8,Discover!H:H,"APP")</f>
        <v>1</v>
      </c>
      <c r="G8" s="77">
        <f t="shared" si="0"/>
        <v>69.989999999999995</v>
      </c>
      <c r="H8" s="77">
        <f>SUMIFS(Discover!$G:$G,Discover!$K:$K,Subscriptions!$A8,Discover!$B:$B,1)</f>
        <v>0</v>
      </c>
      <c r="I8" s="77">
        <f>SUMIFS(Discover!$G:$G,Discover!$K:$K,Subscriptions!$A8,Discover!$B:$B,2)</f>
        <v>0</v>
      </c>
      <c r="J8" s="77">
        <f>SUMIFS(Discover!$G:$G,Discover!$K:$K,Subscriptions!$A8,Discover!$B:$B,3)</f>
        <v>69.989999999999995</v>
      </c>
      <c r="K8" s="77">
        <f>SUMIFS(Discover!$G:$G,Discover!$K:$K,Subscriptions!$A8,Discover!$B:$B,4)</f>
        <v>0</v>
      </c>
      <c r="L8" s="77">
        <f>SUMIFS(Discover!$G:$G,Discover!$K:$K,Subscriptions!$A8,Discover!$B:$B,5)</f>
        <v>0</v>
      </c>
      <c r="M8" s="77">
        <f>SUMIFS(Discover!$G:$G,Discover!$K:$K,Subscriptions!$A8,Discover!$B:$B,6)</f>
        <v>0</v>
      </c>
      <c r="O8" s="82"/>
      <c r="P8" s="82"/>
      <c r="Q8" s="82"/>
      <c r="R8" s="82"/>
      <c r="S8" s="82"/>
    </row>
    <row r="9" spans="1:19" x14ac:dyDescent="0.5">
      <c r="A9" t="str">
        <v>Family Fitness</v>
      </c>
      <c r="B9" s="77" t="s">
        <v>4</v>
      </c>
      <c r="C9" s="77" t="s">
        <v>318</v>
      </c>
      <c r="D9" s="88" cm="1">
        <f t="array" ref="D9">AVERAGE(DAY(_xlfn.UNIQUE(_xlfn._xlws.FILTER(Discover!C:C, Discover!K:K = A9,0),1)))</f>
        <v>5.5</v>
      </c>
      <c r="E9" s="77">
        <f>SUMIFS(Discover!G:G,Discover!K:K,Subscriptions!A9)</f>
        <v>323.85000000000002</v>
      </c>
      <c r="F9">
        <f>COUNTIFS(Discover!K:K,Subscriptions!A9,Discover!H:H,"APP")</f>
        <v>4</v>
      </c>
      <c r="G9" s="77">
        <f t="shared" si="0"/>
        <v>80.962500000000006</v>
      </c>
      <c r="H9" s="77">
        <f>SUMIFS(Discover!$G:$G,Discover!$K:$K,Subscriptions!$A9,Discover!$B:$B,1)</f>
        <v>0</v>
      </c>
      <c r="I9" s="77">
        <f>SUMIFS(Discover!$G:$G,Discover!$K:$K,Subscriptions!$A9,Discover!$B:$B,2)</f>
        <v>0</v>
      </c>
      <c r="J9" s="77">
        <f>SUMIFS(Discover!$G:$G,Discover!$K:$K,Subscriptions!$A9,Discover!$B:$B,3)</f>
        <v>0</v>
      </c>
      <c r="K9" s="77">
        <f>SUMIFS(Discover!$G:$G,Discover!$K:$K,Subscriptions!$A9,Discover!$B:$B,4)</f>
        <v>84.95</v>
      </c>
      <c r="L9" s="77">
        <f>SUMIFS(Discover!$G:$G,Discover!$K:$K,Subscriptions!$A9,Discover!$B:$B,5)</f>
        <v>94.95</v>
      </c>
      <c r="M9" s="77">
        <f>SUMIFS(Discover!$G:$G,Discover!$K:$K,Subscriptions!$A9,Discover!$B:$B,6)</f>
        <v>143.94999999999999</v>
      </c>
      <c r="O9" s="82"/>
      <c r="P9" s="82"/>
      <c r="Q9" s="82"/>
      <c r="R9" s="82"/>
      <c r="S9" s="82"/>
    </row>
    <row r="10" spans="1:19" x14ac:dyDescent="0.5">
      <c r="A10" t="str">
        <v xml:space="preserve">Final Fantasy </v>
      </c>
      <c r="B10" s="77" t="s">
        <v>326</v>
      </c>
      <c r="C10" s="77" t="s">
        <v>319</v>
      </c>
      <c r="D10" s="88" cm="1">
        <f t="array" ref="D10">AVERAGE(DAY(_xlfn.UNIQUE(_xlfn._xlws.FILTER(Discover!C:C, Discover!K:K = A10,0),1)))</f>
        <v>9.5</v>
      </c>
      <c r="E10" s="77">
        <f>SUMIFS(Discover!G:G,Discover!K:K,Subscriptions!A10)</f>
        <v>155.88</v>
      </c>
      <c r="F10">
        <f>COUNTIFS(Discover!K:K,Subscriptions!A10,Discover!H:H,"APP")</f>
        <v>2</v>
      </c>
      <c r="G10" s="77">
        <f t="shared" si="0"/>
        <v>77.94</v>
      </c>
      <c r="H10" s="77">
        <f>SUMIFS(Discover!$G:$G,Discover!$K:$K,Subscriptions!$A10,Discover!$B:$B,1)</f>
        <v>0</v>
      </c>
      <c r="I10" s="77">
        <f>SUMIFS(Discover!$G:$G,Discover!$K:$K,Subscriptions!$A10,Discover!$B:$B,2)</f>
        <v>0</v>
      </c>
      <c r="J10" s="77">
        <f>SUMIFS(Discover!$G:$G,Discover!$K:$K,Subscriptions!$A10,Discover!$B:$B,3)</f>
        <v>0</v>
      </c>
      <c r="K10" s="77">
        <f>SUMIFS(Discover!$G:$G,Discover!$K:$K,Subscriptions!$A10,Discover!$B:$B,4)</f>
        <v>0</v>
      </c>
      <c r="L10" s="77">
        <f>SUMIFS(Discover!$G:$G,Discover!$K:$K,Subscriptions!$A10,Discover!$B:$B,5)</f>
        <v>77.94</v>
      </c>
      <c r="M10" s="77">
        <f>SUMIFS(Discover!$G:$G,Discover!$K:$K,Subscriptions!$A10,Discover!$B:$B,6)</f>
        <v>77.94</v>
      </c>
      <c r="O10" s="82"/>
      <c r="P10" s="82"/>
      <c r="Q10" s="82"/>
      <c r="R10" s="82"/>
      <c r="S10" s="82"/>
    </row>
    <row r="11" spans="1:19" x14ac:dyDescent="0.5">
      <c r="A11" t="str">
        <v>Finimize</v>
      </c>
      <c r="B11" s="77" t="s">
        <v>321</v>
      </c>
      <c r="C11" s="77" t="s">
        <v>318</v>
      </c>
      <c r="D11" s="88" cm="1">
        <f t="array" ref="D11">AVERAGE(DAY(_xlfn.UNIQUE(_xlfn._xlws.FILTER(Discover!C:C, Discover!K:K = A11,0),1)))</f>
        <v>14</v>
      </c>
      <c r="E11" s="77">
        <f>SUMIFS(Discover!G:G,Discover!K:K,Subscriptions!A11)</f>
        <v>79.989999999999995</v>
      </c>
      <c r="F11">
        <f>COUNTIFS(Discover!K:K,Subscriptions!A11,Discover!H:H,"APP")</f>
        <v>1</v>
      </c>
      <c r="G11" s="77">
        <f t="shared" si="0"/>
        <v>79.989999999999995</v>
      </c>
      <c r="H11" s="77">
        <f>SUMIFS(Discover!$G:$G,Discover!$K:$K,Subscriptions!$A11,Discover!$B:$B,1)</f>
        <v>0</v>
      </c>
      <c r="I11" s="77">
        <f>SUMIFS(Discover!$G:$G,Discover!$K:$K,Subscriptions!$A11,Discover!$B:$B,2)</f>
        <v>0</v>
      </c>
      <c r="J11" s="77">
        <f>SUMIFS(Discover!$G:$G,Discover!$K:$K,Subscriptions!$A11,Discover!$B:$B,3)</f>
        <v>79.989999999999995</v>
      </c>
      <c r="K11" s="77">
        <f>SUMIFS(Discover!$G:$G,Discover!$K:$K,Subscriptions!$A11,Discover!$B:$B,4)</f>
        <v>0</v>
      </c>
      <c r="L11" s="77">
        <f>SUMIFS(Discover!$G:$G,Discover!$K:$K,Subscriptions!$A11,Discover!$B:$B,5)</f>
        <v>0</v>
      </c>
      <c r="M11" s="77">
        <f>SUMIFS(Discover!$G:$G,Discover!$K:$K,Subscriptions!$A11,Discover!$B:$B,6)</f>
        <v>0</v>
      </c>
      <c r="O11" s="82"/>
      <c r="P11" s="82"/>
      <c r="Q11" s="82"/>
      <c r="R11" s="82"/>
      <c r="S11" s="82"/>
    </row>
    <row r="12" spans="1:19" x14ac:dyDescent="0.5">
      <c r="A12" t="str">
        <v>GuitarTuna</v>
      </c>
      <c r="B12" s="77" t="s">
        <v>322</v>
      </c>
      <c r="C12" s="77" t="s">
        <v>318</v>
      </c>
      <c r="D12" s="88" cm="1">
        <f t="array" ref="D12">AVERAGE(DAY(_xlfn.UNIQUE(_xlfn._xlws.FILTER(Discover!C:C, Discover!K:K = A12,0),1)))</f>
        <v>25</v>
      </c>
      <c r="E12" s="77">
        <f>SUMIFS(Discover!G:G,Discover!K:K,Subscriptions!A12)</f>
        <v>5.29</v>
      </c>
      <c r="F12">
        <f>COUNTIFS(Discover!K:K,Subscriptions!A12,Discover!H:H,"APP")</f>
        <v>1</v>
      </c>
      <c r="G12" s="77">
        <f t="shared" si="0"/>
        <v>5.29</v>
      </c>
      <c r="H12" s="77">
        <f>SUMIFS(Discover!$G:$G,Discover!$K:$K,Subscriptions!$A12,Discover!$B:$B,1)</f>
        <v>0</v>
      </c>
      <c r="I12" s="77">
        <f>SUMIFS(Discover!$G:$G,Discover!$K:$K,Subscriptions!$A12,Discover!$B:$B,2)</f>
        <v>0</v>
      </c>
      <c r="J12" s="77">
        <f>SUMIFS(Discover!$G:$G,Discover!$K:$K,Subscriptions!$A12,Discover!$B:$B,3)</f>
        <v>0</v>
      </c>
      <c r="K12" s="77">
        <f>SUMIFS(Discover!$G:$G,Discover!$K:$K,Subscriptions!$A12,Discover!$B:$B,4)</f>
        <v>0</v>
      </c>
      <c r="L12" s="77">
        <f>SUMIFS(Discover!$G:$G,Discover!$K:$K,Subscriptions!$A12,Discover!$B:$B,5)</f>
        <v>5.29</v>
      </c>
      <c r="M12" s="77">
        <f>SUMIFS(Discover!$G:$G,Discover!$K:$K,Subscriptions!$A12,Discover!$B:$B,6)</f>
        <v>0</v>
      </c>
      <c r="O12" s="82"/>
      <c r="P12" s="82"/>
      <c r="Q12" s="82"/>
      <c r="R12" s="82"/>
      <c r="S12" s="82"/>
    </row>
    <row r="13" spans="1:19" x14ac:dyDescent="0.5">
      <c r="A13" t="str">
        <v>HBO</v>
      </c>
      <c r="B13" s="77" t="s">
        <v>4</v>
      </c>
      <c r="C13" s="77" t="s">
        <v>319</v>
      </c>
      <c r="D13" s="88" cm="1">
        <f t="array" ref="D13">AVERAGE(DAY(_xlfn.UNIQUE(_xlfn._xlws.FILTER(Discover!C:C, Discover!K:K = A13,0),1)))</f>
        <v>11.833333333333334</v>
      </c>
      <c r="E13" s="77">
        <f>SUMIFS(Discover!G:G,Discover!K:K,Subscriptions!A13)</f>
        <v>92.64</v>
      </c>
      <c r="F13">
        <f>COUNTIFS(Discover!K:K,Subscriptions!A13,Discover!H:H,"APP")</f>
        <v>6</v>
      </c>
      <c r="G13" s="77">
        <f t="shared" si="0"/>
        <v>15.44</v>
      </c>
      <c r="H13" s="77">
        <f>SUMIFS(Discover!$G:$G,Discover!$K:$K,Subscriptions!$A13,Discover!$B:$B,1)</f>
        <v>14.99</v>
      </c>
      <c r="I13" s="77">
        <f>SUMIFS(Discover!$G:$G,Discover!$K:$K,Subscriptions!$A13,Discover!$B:$B,2)</f>
        <v>14.99</v>
      </c>
      <c r="J13" s="77">
        <f>SUMIFS(Discover!$G:$G,Discover!$K:$K,Subscriptions!$A13,Discover!$B:$B,3)</f>
        <v>14.99</v>
      </c>
      <c r="K13" s="77">
        <f>SUMIFS(Discover!$G:$G,Discover!$K:$K,Subscriptions!$A13,Discover!$B:$B,4)</f>
        <v>15.89</v>
      </c>
      <c r="L13" s="77">
        <f>SUMIFS(Discover!$G:$G,Discover!$K:$K,Subscriptions!$A13,Discover!$B:$B,5)</f>
        <v>15.89</v>
      </c>
      <c r="M13" s="77">
        <f>SUMIFS(Discover!$G:$G,Discover!$K:$K,Subscriptions!$A13,Discover!$B:$B,6)</f>
        <v>15.89</v>
      </c>
      <c r="O13" s="82"/>
      <c r="P13" s="82"/>
      <c r="Q13" s="82"/>
      <c r="R13" s="82"/>
      <c r="S13" s="82"/>
    </row>
    <row r="14" spans="1:19" x14ac:dyDescent="0.5">
      <c r="A14" t="str">
        <v>Hulu</v>
      </c>
      <c r="B14" s="77" t="s">
        <v>4</v>
      </c>
      <c r="C14" s="77" t="s">
        <v>319</v>
      </c>
      <c r="D14" s="88" cm="1">
        <f t="array" ref="D14">AVERAGE(DAY(_xlfn.UNIQUE(_xlfn._xlws.FILTER(Discover!C:C, Discover!K:K = A14,0),1)))</f>
        <v>3</v>
      </c>
      <c r="E14" s="77">
        <f>SUMIFS(Discover!G:G,Discover!K:K,Subscriptions!A14)</f>
        <v>7.3800000000000008</v>
      </c>
      <c r="F14">
        <f>COUNTIFS(Discover!K:K,Subscriptions!A14,Discover!H:H,"APP")</f>
        <v>3</v>
      </c>
      <c r="G14" s="77">
        <f t="shared" si="0"/>
        <v>2.4600000000000004</v>
      </c>
      <c r="H14" s="77">
        <f>SUMIFS(Discover!$G:$G,Discover!$K:$K,Subscriptions!$A14,Discover!$B:$B,1)</f>
        <v>0</v>
      </c>
      <c r="I14" s="77">
        <f>SUMIFS(Discover!$G:$G,Discover!$K:$K,Subscriptions!$A14,Discover!$B:$B,2)</f>
        <v>0</v>
      </c>
      <c r="J14" s="77">
        <f>SUMIFS(Discover!$G:$G,Discover!$K:$K,Subscriptions!$A14,Discover!$B:$B,3)</f>
        <v>0</v>
      </c>
      <c r="K14" s="77">
        <f>SUMIFS(Discover!$G:$G,Discover!$K:$K,Subscriptions!$A14,Discover!$B:$B,4)</f>
        <v>0.99</v>
      </c>
      <c r="L14" s="77">
        <f>SUMIFS(Discover!$G:$G,Discover!$K:$K,Subscriptions!$A14,Discover!$B:$B,5)</f>
        <v>5.99</v>
      </c>
      <c r="M14" s="77">
        <f>SUMIFS(Discover!$G:$G,Discover!$K:$K,Subscriptions!$A14,Discover!$B:$B,6)</f>
        <v>0.4</v>
      </c>
      <c r="O14" s="82"/>
      <c r="P14" s="82"/>
      <c r="Q14" s="82"/>
      <c r="R14" s="82"/>
      <c r="S14" s="82"/>
    </row>
    <row r="15" spans="1:19" x14ac:dyDescent="0.5">
      <c r="A15" t="str">
        <v>Jayelin</v>
      </c>
      <c r="B15" s="91"/>
      <c r="C15" s="91"/>
      <c r="D15" s="92"/>
      <c r="E15" s="77">
        <f>SUMIFS(Discover!G:G,Discover!K:K,Subscriptions!A15)</f>
        <v>252.84999999999997</v>
      </c>
      <c r="F15">
        <f>COUNTIFS(Discover!K:K,Subscriptions!A15,Discover!H:H,"APP")</f>
        <v>5</v>
      </c>
      <c r="G15" s="77">
        <f t="shared" si="0"/>
        <v>50.569999999999993</v>
      </c>
      <c r="H15" s="77">
        <f>SUMIFS(Discover!$G:$G,Discover!$K:$K,Subscriptions!$A15,Discover!$B:$B,1)</f>
        <v>69.84</v>
      </c>
      <c r="I15" s="77">
        <f>SUMIFS(Discover!$G:$G,Discover!$K:$K,Subscriptions!$A15,Discover!$B:$B,2)</f>
        <v>71.260000000000005</v>
      </c>
      <c r="J15" s="77">
        <f>SUMIFS(Discover!$G:$G,Discover!$K:$K,Subscriptions!$A15,Discover!$B:$B,3)</f>
        <v>9.9499999999999993</v>
      </c>
      <c r="K15" s="77">
        <f>SUMIFS(Discover!$G:$G,Discover!$K:$K,Subscriptions!$A15,Discover!$B:$B,4)</f>
        <v>9.9499999999999993</v>
      </c>
      <c r="L15" s="77">
        <f>SUMIFS(Discover!$G:$G,Discover!$K:$K,Subscriptions!$A15,Discover!$B:$B,5)</f>
        <v>91.85</v>
      </c>
      <c r="M15" s="77">
        <f>SUMIFS(Discover!$G:$G,Discover!$K:$K,Subscriptions!$A15,Discover!$B:$B,6)</f>
        <v>0</v>
      </c>
      <c r="O15" s="82"/>
      <c r="P15" s="82"/>
      <c r="Q15" s="82"/>
      <c r="R15" s="82"/>
      <c r="S15" s="82"/>
    </row>
    <row r="16" spans="1:19" x14ac:dyDescent="0.5">
      <c r="A16" t="str">
        <v>Manga</v>
      </c>
      <c r="B16" s="77" t="s">
        <v>4</v>
      </c>
      <c r="C16" s="77" t="s">
        <v>319</v>
      </c>
      <c r="D16" s="88" cm="1">
        <f t="array" ref="D16">AVERAGE(DAY(_xlfn.UNIQUE(_xlfn._xlws.FILTER(Discover!C:C, Discover!K:K = A16,0),1)))</f>
        <v>14.142857142857142</v>
      </c>
      <c r="E16" s="77">
        <f>SUMIFS(Discover!G:G,Discover!K:K,Subscriptions!A16)</f>
        <v>13.93</v>
      </c>
      <c r="F16">
        <f>COUNTIFS(Discover!K:K,Subscriptions!A16,Discover!H:H,"APP")</f>
        <v>7</v>
      </c>
      <c r="G16" s="77">
        <f t="shared" si="0"/>
        <v>1.99</v>
      </c>
      <c r="H16" s="77">
        <f>SUMIFS(Discover!$G:$G,Discover!$K:$K,Subscriptions!$A16,Discover!$B:$B,1)</f>
        <v>1.99</v>
      </c>
      <c r="I16" s="77">
        <f>SUMIFS(Discover!$G:$G,Discover!$K:$K,Subscriptions!$A16,Discover!$B:$B,2)</f>
        <v>3.98</v>
      </c>
      <c r="J16" s="77">
        <f>SUMIFS(Discover!$G:$G,Discover!$K:$K,Subscriptions!$A16,Discover!$B:$B,3)</f>
        <v>1.99</v>
      </c>
      <c r="K16" s="77">
        <f>SUMIFS(Discover!$G:$G,Discover!$K:$K,Subscriptions!$A16,Discover!$B:$B,4)</f>
        <v>1.99</v>
      </c>
      <c r="L16" s="77">
        <f>SUMIFS(Discover!$G:$G,Discover!$K:$K,Subscriptions!$A16,Discover!$B:$B,5)</f>
        <v>1.99</v>
      </c>
      <c r="M16" s="77">
        <f>SUMIFS(Discover!$G:$G,Discover!$K:$K,Subscriptions!$A16,Discover!$B:$B,6)</f>
        <v>1.99</v>
      </c>
      <c r="O16" s="82"/>
      <c r="P16" s="82"/>
      <c r="Q16" s="82"/>
      <c r="R16" s="82"/>
      <c r="S16" s="82"/>
    </row>
    <row r="17" spans="1:19" x14ac:dyDescent="0.5">
      <c r="A17" t="str">
        <v>Netflix</v>
      </c>
      <c r="B17" s="77" t="s">
        <v>4</v>
      </c>
      <c r="C17" s="77" t="s">
        <v>319</v>
      </c>
      <c r="D17" s="88" cm="1">
        <f t="array" ref="D17">AVERAGE(DAY(_xlfn.UNIQUE(_xlfn._xlws.FILTER(Discover!C:C, Discover!K:K = A17,0),1)))</f>
        <v>1</v>
      </c>
      <c r="E17" s="77">
        <f>SUMIFS(Discover!G:G,Discover!K:K,Subscriptions!A17)</f>
        <v>86.46</v>
      </c>
      <c r="F17">
        <f>COUNTIFS(Discover!K:K,Subscriptions!A17,Discover!H:H,"APP")</f>
        <v>6</v>
      </c>
      <c r="G17" s="77">
        <f t="shared" si="0"/>
        <v>14.409999999999998</v>
      </c>
      <c r="H17" s="77">
        <f>SUMIFS(Discover!$G:$G,Discover!$K:$K,Subscriptions!$A17,Discover!$B:$B,1)</f>
        <v>13.99</v>
      </c>
      <c r="I17" s="77">
        <f>SUMIFS(Discover!$G:$G,Discover!$K:$K,Subscriptions!$A17,Discover!$B:$B,2)</f>
        <v>13.99</v>
      </c>
      <c r="J17" s="77">
        <f>SUMIFS(Discover!$G:$G,Discover!$K:$K,Subscriptions!$A17,Discover!$B:$B,3)</f>
        <v>13.99</v>
      </c>
      <c r="K17" s="77">
        <f>SUMIFS(Discover!$G:$G,Discover!$K:$K,Subscriptions!$A17,Discover!$B:$B,4)</f>
        <v>14.83</v>
      </c>
      <c r="L17" s="77">
        <f>SUMIFS(Discover!$G:$G,Discover!$K:$K,Subscriptions!$A17,Discover!$B:$B,5)</f>
        <v>14.83</v>
      </c>
      <c r="M17" s="77">
        <f>SUMIFS(Discover!$G:$G,Discover!$K:$K,Subscriptions!$A17,Discover!$B:$B,6)</f>
        <v>14.83</v>
      </c>
      <c r="O17" s="82"/>
      <c r="P17" s="82"/>
      <c r="Q17" s="82"/>
      <c r="R17" s="82"/>
      <c r="S17" s="82"/>
    </row>
    <row r="18" spans="1:19" x14ac:dyDescent="0.5">
      <c r="A18" t="str">
        <v>News</v>
      </c>
      <c r="B18" s="77" t="s">
        <v>4</v>
      </c>
      <c r="C18" s="77" t="s">
        <v>319</v>
      </c>
      <c r="D18" s="88" cm="1">
        <f t="array" ref="D18">AVERAGE(DAY(_xlfn.UNIQUE(_xlfn._xlws.FILTER(Discover!C:C, Discover!K:K = A18,0),1)))</f>
        <v>2</v>
      </c>
      <c r="E18" s="77">
        <f>SUMIFS(Discover!G:G,Discover!K:K,Subscriptions!A18)</f>
        <v>10</v>
      </c>
      <c r="F18">
        <f>COUNTIFS(Discover!K:K,Subscriptions!A18,Discover!H:H,"APP")</f>
        <v>1</v>
      </c>
      <c r="G18" s="77">
        <f t="shared" si="0"/>
        <v>10</v>
      </c>
      <c r="H18" s="77">
        <f>SUMIFS(Discover!$G:$G,Discover!$K:$K,Subscriptions!$A18,Discover!$B:$B,1)</f>
        <v>0</v>
      </c>
      <c r="I18" s="77">
        <f>SUMIFS(Discover!$G:$G,Discover!$K:$K,Subscriptions!$A18,Discover!$B:$B,2)</f>
        <v>0</v>
      </c>
      <c r="J18" s="77">
        <f>SUMIFS(Discover!$G:$G,Discover!$K:$K,Subscriptions!$A18,Discover!$B:$B,3)</f>
        <v>0</v>
      </c>
      <c r="K18" s="77">
        <f>SUMIFS(Discover!$G:$G,Discover!$K:$K,Subscriptions!$A18,Discover!$B:$B,4)</f>
        <v>0</v>
      </c>
      <c r="L18" s="77">
        <f>SUMIFS(Discover!$G:$G,Discover!$K:$K,Subscriptions!$A18,Discover!$B:$B,5)</f>
        <v>0</v>
      </c>
      <c r="M18" s="77">
        <f>SUMIFS(Discover!$G:$G,Discover!$K:$K,Subscriptions!$A18,Discover!$B:$B,6)</f>
        <v>10</v>
      </c>
      <c r="O18" s="82"/>
      <c r="P18" s="82"/>
      <c r="Q18" s="82"/>
      <c r="R18" s="82"/>
      <c r="S18" s="82"/>
    </row>
    <row r="19" spans="1:19" x14ac:dyDescent="0.5">
      <c r="A19" t="str">
        <v>Roadtrippers</v>
      </c>
      <c r="B19" s="77" t="s">
        <v>320</v>
      </c>
      <c r="C19" s="77" t="s">
        <v>318</v>
      </c>
      <c r="D19" s="88" cm="1">
        <f t="array" ref="D19">AVERAGE(DAY(_xlfn.UNIQUE(_xlfn._xlws.FILTER(Discover!C:C, Discover!K:K = A19,0),1)))</f>
        <v>16</v>
      </c>
      <c r="E19" s="77">
        <f>SUMIFS(Discover!G:G,Discover!K:K,Subscriptions!A19)</f>
        <v>31.79</v>
      </c>
      <c r="F19">
        <f>COUNTIFS(Discover!K:K,Subscriptions!A19,Discover!H:H,"APP")</f>
        <v>1</v>
      </c>
      <c r="G19" s="77">
        <f t="shared" si="0"/>
        <v>31.79</v>
      </c>
      <c r="H19" s="77">
        <f>SUMIFS(Discover!$G:$G,Discover!$K:$K,Subscriptions!$A19,Discover!$B:$B,1)</f>
        <v>0</v>
      </c>
      <c r="I19" s="77">
        <f>SUMIFS(Discover!$G:$G,Discover!$K:$K,Subscriptions!$A19,Discover!$B:$B,2)</f>
        <v>0</v>
      </c>
      <c r="J19" s="77">
        <f>SUMIFS(Discover!$G:$G,Discover!$K:$K,Subscriptions!$A19,Discover!$B:$B,3)</f>
        <v>0</v>
      </c>
      <c r="K19" s="77">
        <f>SUMIFS(Discover!$G:$G,Discover!$K:$K,Subscriptions!$A19,Discover!$B:$B,4)</f>
        <v>0</v>
      </c>
      <c r="L19" s="77">
        <f>SUMIFS(Discover!$G:$G,Discover!$K:$K,Subscriptions!$A19,Discover!$B:$B,5)</f>
        <v>31.79</v>
      </c>
      <c r="M19" s="77">
        <f>SUMIFS(Discover!$G:$G,Discover!$K:$K,Subscriptions!$A19,Discover!$B:$B,6)</f>
        <v>0</v>
      </c>
      <c r="O19" s="82"/>
      <c r="P19" s="82"/>
      <c r="Q19" s="82"/>
      <c r="R19" s="82"/>
      <c r="S19" s="82"/>
    </row>
    <row r="20" spans="1:19" x14ac:dyDescent="0.5">
      <c r="A20" t="str">
        <v>Spotify</v>
      </c>
      <c r="B20" s="77" t="s">
        <v>4</v>
      </c>
      <c r="C20" s="77" t="s">
        <v>319</v>
      </c>
      <c r="D20" s="88" cm="1">
        <f t="array" ref="D20">AVERAGE(DAY(_xlfn.UNIQUE(_xlfn._xlws.FILTER(Discover!C:C, Discover!K:K = A20,0),1)))</f>
        <v>1.1666666666666667</v>
      </c>
      <c r="E20" s="77">
        <f>SUMIFS(Discover!G:G,Discover!K:K,Subscriptions!A20)</f>
        <v>59.940000000000005</v>
      </c>
      <c r="F20">
        <f>COUNTIFS(Discover!K:K,Subscriptions!A20,Discover!H:H,"APP")</f>
        <v>6</v>
      </c>
      <c r="G20" s="77">
        <f t="shared" si="0"/>
        <v>9.99</v>
      </c>
      <c r="H20" s="77">
        <f>SUMIFS(Discover!$G:$G,Discover!$K:$K,Subscriptions!$A20,Discover!$B:$B,1)</f>
        <v>9.99</v>
      </c>
      <c r="I20" s="77">
        <f>SUMIFS(Discover!$G:$G,Discover!$K:$K,Subscriptions!$A20,Discover!$B:$B,2)</f>
        <v>9.99</v>
      </c>
      <c r="J20" s="77">
        <f>SUMIFS(Discover!$G:$G,Discover!$K:$K,Subscriptions!$A20,Discover!$B:$B,3)</f>
        <v>9.99</v>
      </c>
      <c r="K20" s="77">
        <f>SUMIFS(Discover!$G:$G,Discover!$K:$K,Subscriptions!$A20,Discover!$B:$B,4)</f>
        <v>9.99</v>
      </c>
      <c r="L20" s="77">
        <f>SUMIFS(Discover!$G:$G,Discover!$K:$K,Subscriptions!$A20,Discover!$B:$B,5)</f>
        <v>9.99</v>
      </c>
      <c r="M20" s="77">
        <f>SUMIFS(Discover!$G:$G,Discover!$K:$K,Subscriptions!$A20,Discover!$B:$B,6)</f>
        <v>9.99</v>
      </c>
      <c r="O20" s="82"/>
      <c r="P20" s="82"/>
      <c r="Q20" s="82"/>
      <c r="R20" s="82"/>
      <c r="S20" s="82"/>
    </row>
    <row r="21" spans="1:19" x14ac:dyDescent="0.5">
      <c r="A21" t="str">
        <v>State Farm</v>
      </c>
      <c r="B21" s="77" t="s">
        <v>4</v>
      </c>
      <c r="C21" s="77" t="s">
        <v>325</v>
      </c>
      <c r="D21" s="88" cm="1">
        <f t="array" ref="D21">AVERAGE(DAY(_xlfn.UNIQUE(_xlfn._xlws.FILTER(Discover!C:C, Discover!K:K = A21,0),1)))</f>
        <v>3.6666666666666665</v>
      </c>
      <c r="E21" s="77">
        <f>SUMIFS(Discover!G:G,Discover!K:K,Subscriptions!A21)</f>
        <v>528.78</v>
      </c>
      <c r="F21">
        <f>COUNTIFS(Discover!K:K,Subscriptions!A21,Discover!H:H,"APP")</f>
        <v>6</v>
      </c>
      <c r="G21" s="77">
        <f t="shared" si="0"/>
        <v>88.13</v>
      </c>
      <c r="H21" s="77">
        <f>SUMIFS(Discover!$G:$G,Discover!$K:$K,Subscriptions!$A21,Discover!$B:$B,1)</f>
        <v>91.78</v>
      </c>
      <c r="I21" s="77">
        <f>SUMIFS(Discover!$G:$G,Discover!$K:$K,Subscriptions!$A21,Discover!$B:$B,2)</f>
        <v>91.78</v>
      </c>
      <c r="J21" s="77">
        <f>SUMIFS(Discover!$G:$G,Discover!$K:$K,Subscriptions!$A21,Discover!$B:$B,3)</f>
        <v>91.78</v>
      </c>
      <c r="K21" s="77">
        <f>SUMIFS(Discover!$G:$G,Discover!$K:$K,Subscriptions!$A21,Discover!$B:$B,4)</f>
        <v>91.78</v>
      </c>
      <c r="L21" s="77">
        <f>SUMIFS(Discover!$G:$G,Discover!$K:$K,Subscriptions!$A21,Discover!$B:$B,5)</f>
        <v>91.78</v>
      </c>
      <c r="M21" s="77">
        <f>SUMIFS(Discover!$G:$G,Discover!$K:$K,Subscriptions!$A21,Discover!$B:$B,6)</f>
        <v>69.88</v>
      </c>
      <c r="O21" s="82"/>
      <c r="P21" s="82"/>
      <c r="Q21" s="82"/>
      <c r="R21" s="82"/>
      <c r="S21" s="82"/>
    </row>
    <row r="22" spans="1:19" x14ac:dyDescent="0.5">
      <c r="A22" t="str">
        <v>Storage</v>
      </c>
      <c r="B22" s="77" t="s">
        <v>4</v>
      </c>
      <c r="C22" s="77" t="s">
        <v>318</v>
      </c>
      <c r="D22" s="88" cm="1">
        <f t="array" ref="D22">AVERAGE(DAY(_xlfn.UNIQUE(_xlfn._xlws.FILTER(Discover!C:C, Discover!K:K = A22,0),1)))</f>
        <v>17.2</v>
      </c>
      <c r="E22" s="77">
        <f>SUMIFS(Discover!G:G,Discover!K:K,Subscriptions!A22)</f>
        <v>396.27</v>
      </c>
      <c r="F22">
        <f>COUNTIFS(Discover!K:K,Subscriptions!A22,Discover!H:H,"APP")</f>
        <v>3</v>
      </c>
      <c r="G22" s="77">
        <f t="shared" ref="G22:G25" si="1">E22/F22</f>
        <v>132.09</v>
      </c>
      <c r="H22" s="77">
        <f>SUMIFS(Discover!$G:$G,Discover!$K:$K,Subscriptions!$A22,Discover!$B:$B,1)</f>
        <v>0</v>
      </c>
      <c r="I22" s="77">
        <f>SUMIFS(Discover!$G:$G,Discover!$K:$K,Subscriptions!$A22,Discover!$B:$B,2)</f>
        <v>0</v>
      </c>
      <c r="J22" s="77">
        <f>SUMIFS(Discover!$G:$G,Discover!$K:$K,Subscriptions!$A22,Discover!$B:$B,3)</f>
        <v>0</v>
      </c>
      <c r="K22" s="77">
        <f>SUMIFS(Discover!$G:$G,Discover!$K:$K,Subscriptions!$A22,Discover!$B:$B,4)</f>
        <v>101.39999999999999</v>
      </c>
      <c r="L22" s="77">
        <f>SUMIFS(Discover!$G:$G,Discover!$K:$K,Subscriptions!$A22,Discover!$B:$B,5)</f>
        <v>216.87</v>
      </c>
      <c r="M22" s="77">
        <f>SUMIFS(Discover!$G:$G,Discover!$K:$K,Subscriptions!$A22,Discover!$B:$B,6)</f>
        <v>78</v>
      </c>
      <c r="O22" s="82"/>
      <c r="P22" s="82"/>
      <c r="Q22" s="82"/>
      <c r="R22" s="82"/>
      <c r="S22" s="82"/>
    </row>
    <row r="23" spans="1:19" x14ac:dyDescent="0.5">
      <c r="A23" t="str">
        <v>T-Mobile</v>
      </c>
      <c r="B23" s="77" t="s">
        <v>4</v>
      </c>
      <c r="C23" s="77" t="s">
        <v>319</v>
      </c>
      <c r="D23" s="88" cm="1">
        <f t="array" ref="D23">AVERAGE(DAY(_xlfn.UNIQUE(_xlfn._xlws.FILTER(Discover!C:C, Discover!K:K = A23,0),1)))</f>
        <v>17</v>
      </c>
      <c r="E23" s="77">
        <f>SUMIFS(Discover!G:G,Discover!K:K,Subscriptions!A23)</f>
        <v>172.5</v>
      </c>
      <c r="F23">
        <f>COUNTIFS(Discover!K:K,Subscriptions!A23,Discover!H:H,"APP")</f>
        <v>2</v>
      </c>
      <c r="G23" s="77">
        <f t="shared" si="1"/>
        <v>86.25</v>
      </c>
      <c r="H23" s="77">
        <f>SUMIFS(Discover!$G:$G,Discover!$K:$K,Subscriptions!$A23,Discover!$B:$B,1)</f>
        <v>0</v>
      </c>
      <c r="I23" s="77">
        <f>SUMIFS(Discover!$G:$G,Discover!$K:$K,Subscriptions!$A23,Discover!$B:$B,2)</f>
        <v>86.25</v>
      </c>
      <c r="J23" s="77">
        <f>SUMIFS(Discover!$G:$G,Discover!$K:$K,Subscriptions!$A23,Discover!$B:$B,3)</f>
        <v>86.25</v>
      </c>
      <c r="K23" s="77">
        <f>SUMIFS(Discover!$G:$G,Discover!$K:$K,Subscriptions!$A23,Discover!$B:$B,4)</f>
        <v>0</v>
      </c>
      <c r="L23" s="77">
        <f>SUMIFS(Discover!$G:$G,Discover!$K:$K,Subscriptions!$A23,Discover!$B:$B,5)</f>
        <v>0</v>
      </c>
      <c r="M23" s="77">
        <f>SUMIFS(Discover!$G:$G,Discover!$K:$K,Subscriptions!$A23,Discover!$B:$B,6)</f>
        <v>0</v>
      </c>
      <c r="O23" s="82"/>
      <c r="P23" s="82"/>
      <c r="Q23" s="82"/>
      <c r="R23" s="82"/>
      <c r="S23" s="82"/>
    </row>
    <row r="24" spans="1:19" x14ac:dyDescent="0.5">
      <c r="A24" t="str">
        <v>USTA</v>
      </c>
      <c r="B24" s="77" t="s">
        <v>320</v>
      </c>
      <c r="C24" s="77" t="s">
        <v>319</v>
      </c>
      <c r="D24" s="88" cm="1">
        <f t="array" ref="D24">AVERAGE(DAY(_xlfn.UNIQUE(_xlfn._xlws.FILTER(Discover!C:C, Discover!K:K = A24,0),1)))</f>
        <v>1</v>
      </c>
      <c r="E24" s="77">
        <f>SUMIFS(Discover!G:G,Discover!K:K,Subscriptions!A24)</f>
        <v>44</v>
      </c>
      <c r="F24">
        <f>COUNTIFS(Discover!K:K,Subscriptions!A24,Discover!H:H,"APP")</f>
        <v>1</v>
      </c>
      <c r="G24" s="77">
        <f t="shared" si="1"/>
        <v>44</v>
      </c>
      <c r="H24" s="77">
        <f>SUMIFS(Discover!$G:$G,Discover!$K:$K,Subscriptions!$A24,Discover!$B:$B,1)</f>
        <v>0</v>
      </c>
      <c r="I24" s="77">
        <f>SUMIFS(Discover!$G:$G,Discover!$K:$K,Subscriptions!$A24,Discover!$B:$B,2)</f>
        <v>0</v>
      </c>
      <c r="J24" s="77">
        <f>SUMIFS(Discover!$G:$G,Discover!$K:$K,Subscriptions!$A24,Discover!$B:$B,3)</f>
        <v>0</v>
      </c>
      <c r="K24" s="77">
        <f>SUMIFS(Discover!$G:$G,Discover!$K:$K,Subscriptions!$A24,Discover!$B:$B,4)</f>
        <v>0</v>
      </c>
      <c r="L24" s="77">
        <f>SUMIFS(Discover!$G:$G,Discover!$K:$K,Subscriptions!$A24,Discover!$B:$B,5)</f>
        <v>44</v>
      </c>
      <c r="M24" s="77">
        <f>SUMIFS(Discover!$G:$G,Discover!$K:$K,Subscriptions!$A24,Discover!$B:$B,6)</f>
        <v>0</v>
      </c>
      <c r="O24" s="82"/>
      <c r="P24" s="82"/>
      <c r="Q24" s="82"/>
      <c r="R24" s="82"/>
      <c r="S24" s="82"/>
    </row>
    <row r="25" spans="1:19" x14ac:dyDescent="0.5">
      <c r="A25" t="str">
        <v>Verizon Internet</v>
      </c>
      <c r="B25" s="77" t="s">
        <v>4</v>
      </c>
      <c r="C25" s="77" t="s">
        <v>318</v>
      </c>
      <c r="D25" s="88" cm="1">
        <f t="array" ref="D25">AVERAGE(DAY(_xlfn.UNIQUE(_xlfn._xlws.FILTER(Discover!C:C, Discover!K:K = A25,0),1)))</f>
        <v>17</v>
      </c>
      <c r="E25" s="77">
        <f>SUMIFS(Discover!G:G,Discover!K:K,Subscriptions!A25)</f>
        <v>50</v>
      </c>
      <c r="F25">
        <f>COUNTIFS(Discover!K:K,Subscriptions!A25,Discover!H:H,"APP")</f>
        <v>1</v>
      </c>
      <c r="G25" s="77">
        <f t="shared" si="1"/>
        <v>50</v>
      </c>
      <c r="H25" s="77">
        <f>SUMIFS(Discover!$G:$G,Discover!$K:$K,Subscriptions!$A25,Discover!$B:$B,1)</f>
        <v>0</v>
      </c>
      <c r="I25" s="77">
        <f>SUMIFS(Discover!$G:$G,Discover!$K:$K,Subscriptions!$A25,Discover!$B:$B,2)</f>
        <v>0</v>
      </c>
      <c r="J25" s="77">
        <f>SUMIFS(Discover!$G:$G,Discover!$K:$K,Subscriptions!$A25,Discover!$B:$B,3)</f>
        <v>0</v>
      </c>
      <c r="K25" s="77">
        <f>SUMIFS(Discover!$G:$G,Discover!$K:$K,Subscriptions!$A25,Discover!$B:$B,4)</f>
        <v>0</v>
      </c>
      <c r="L25" s="77">
        <f>SUMIFS(Discover!$G:$G,Discover!$K:$K,Subscriptions!$A25,Discover!$B:$B,5)</f>
        <v>0</v>
      </c>
      <c r="M25" s="77">
        <f>SUMIFS(Discover!$G:$G,Discover!$K:$K,Subscriptions!$A25,Discover!$B:$B,6)</f>
        <v>50</v>
      </c>
      <c r="O25" s="82"/>
      <c r="P25" s="82"/>
      <c r="Q25" s="82"/>
      <c r="R25" s="82"/>
      <c r="S25" s="82"/>
    </row>
    <row r="26" spans="1:19" x14ac:dyDescent="0.5">
      <c r="A26" t="str">
        <v>Webull</v>
      </c>
      <c r="B26" s="77" t="s">
        <v>4</v>
      </c>
      <c r="C26" s="77" t="s">
        <v>318</v>
      </c>
      <c r="D26" s="88" cm="1">
        <f t="array" ref="D26">AVERAGE(DAY(_xlfn.UNIQUE(_xlfn._xlws.FILTER(Discover!C:C, Discover!K:K = A26,0),1)))</f>
        <v>7.25</v>
      </c>
      <c r="E26" s="77">
        <f>SUMIFS(Discover!G:G,Discover!K:K,Subscriptions!A26)</f>
        <v>7.96</v>
      </c>
      <c r="F26">
        <f>COUNTIFS(Discover!K:K,Subscriptions!A26,Discover!H:H,"APP")</f>
        <v>4</v>
      </c>
      <c r="G26" s="77">
        <f t="shared" ref="G26" si="2">E26/F26</f>
        <v>1.99</v>
      </c>
      <c r="H26" s="77">
        <f>SUMIFS(Discover!$G:$G,Discover!$K:$K,Subscriptions!$A26,Discover!$B:$B,1)</f>
        <v>0</v>
      </c>
      <c r="I26" s="77">
        <f>SUMIFS(Discover!$G:$G,Discover!$K:$K,Subscriptions!$A26,Discover!$B:$B,2)</f>
        <v>1.99</v>
      </c>
      <c r="J26" s="77">
        <f>SUMIFS(Discover!$G:$G,Discover!$K:$K,Subscriptions!$A26,Discover!$B:$B,3)</f>
        <v>0</v>
      </c>
      <c r="K26" s="77">
        <f>SUMIFS(Discover!$G:$G,Discover!$K:$K,Subscriptions!$A26,Discover!$B:$B,4)</f>
        <v>1.99</v>
      </c>
      <c r="L26" s="77">
        <f>SUMIFS(Discover!$G:$G,Discover!$K:$K,Subscriptions!$A26,Discover!$B:$B,5)</f>
        <v>1.99</v>
      </c>
      <c r="M26" s="77">
        <f>SUMIFS(Discover!$G:$G,Discover!$K:$K,Subscriptions!$A26,Discover!$B:$B,6)</f>
        <v>1.99</v>
      </c>
      <c r="O26" s="82"/>
      <c r="P26" s="82"/>
      <c r="Q26" s="82"/>
      <c r="R26" s="82"/>
      <c r="S26" s="82"/>
    </row>
    <row r="27" spans="1:19" x14ac:dyDescent="0.5">
      <c r="A27" t="str">
        <v>Wolfram</v>
      </c>
      <c r="D27" s="88" cm="1">
        <f t="array" ref="D27">AVERAGE(DAY(_xlfn.UNIQUE(_xlfn._xlws.FILTER(Discover!C:C, Discover!K:K = A27,0),1)))</f>
        <v>20</v>
      </c>
      <c r="E27" s="77">
        <f>SUMIFS(Discover!G:G,Discover!K:K,Subscriptions!A27)</f>
        <v>13.98</v>
      </c>
      <c r="F27">
        <f>COUNTIFS(Discover!K:K,Subscriptions!A27,Discover!H:H,"APP")</f>
        <v>2</v>
      </c>
      <c r="G27" s="77">
        <f t="shared" ref="G27:G28" si="3">E27/F27</f>
        <v>6.99</v>
      </c>
      <c r="H27" s="77">
        <f>SUMIFS(Discover!$G:$G,Discover!$K:$K,Subscriptions!$A27,Discover!$B:$B,1)</f>
        <v>0</v>
      </c>
      <c r="I27" s="77">
        <f>SUMIFS(Discover!$G:$G,Discover!$K:$K,Subscriptions!$A27,Discover!$B:$B,2)</f>
        <v>0</v>
      </c>
      <c r="J27" s="77">
        <f>SUMIFS(Discover!$G:$G,Discover!$K:$K,Subscriptions!$A27,Discover!$B:$B,3)</f>
        <v>6.99</v>
      </c>
      <c r="K27" s="77">
        <f>SUMIFS(Discover!$G:$G,Discover!$K:$K,Subscriptions!$A27,Discover!$B:$B,4)</f>
        <v>6.99</v>
      </c>
      <c r="L27" s="77">
        <f>SUMIFS(Discover!$G:$G,Discover!$K:$K,Subscriptions!$A27,Discover!$B:$B,5)</f>
        <v>0</v>
      </c>
      <c r="M27" s="77">
        <f>SUMIFS(Discover!$G:$G,Discover!$K:$K,Subscriptions!$A27,Discover!$B:$B,6)</f>
        <v>0</v>
      </c>
      <c r="O27" s="82"/>
      <c r="P27" s="82"/>
      <c r="Q27" s="82"/>
      <c r="R27" s="82"/>
      <c r="S27" s="82"/>
    </row>
    <row r="28" spans="1:19" x14ac:dyDescent="0.5">
      <c r="A28" t="str">
        <v>Youtube TV</v>
      </c>
      <c r="D28" s="88" cm="1">
        <f t="array" ref="D28">AVERAGE(DAY(_xlfn.UNIQUE(_xlfn._xlws.FILTER(Discover!C:C, Discover!K:K = A28,0),1)))</f>
        <v>21</v>
      </c>
      <c r="E28" s="77">
        <f>SUMIFS(Discover!G:G,Discover!K:K,Subscriptions!A28)</f>
        <v>64.989999999999995</v>
      </c>
      <c r="F28">
        <f>COUNTIFS(Discover!K:K,Subscriptions!A28,Discover!H:H,"APP")</f>
        <v>1</v>
      </c>
      <c r="G28" s="77">
        <f t="shared" si="3"/>
        <v>64.989999999999995</v>
      </c>
      <c r="H28" s="77">
        <f>SUMIFS(Discover!$G:$G,Discover!$K:$K,Subscriptions!$A28,Discover!$B:$B,1)</f>
        <v>0</v>
      </c>
      <c r="I28" s="77">
        <f>SUMIFS(Discover!$G:$G,Discover!$K:$K,Subscriptions!$A28,Discover!$B:$B,2)</f>
        <v>0</v>
      </c>
      <c r="J28" s="77">
        <f>SUMIFS(Discover!$G:$G,Discover!$K:$K,Subscriptions!$A28,Discover!$B:$B,3)</f>
        <v>64.989999999999995</v>
      </c>
      <c r="K28" s="77">
        <f>SUMIFS(Discover!$G:$G,Discover!$K:$K,Subscriptions!$A28,Discover!$B:$B,4)</f>
        <v>0</v>
      </c>
      <c r="L28" s="77">
        <f>SUMIFS(Discover!$G:$G,Discover!$K:$K,Subscriptions!$A28,Discover!$B:$B,5)</f>
        <v>0</v>
      </c>
      <c r="M28" s="77">
        <f>SUMIFS(Discover!$G:$G,Discover!$K:$K,Subscriptions!$A28,Discover!$B:$B,6)</f>
        <v>0</v>
      </c>
      <c r="O28" s="82"/>
      <c r="P28" s="82"/>
      <c r="Q28" s="82"/>
      <c r="R28" s="82"/>
      <c r="S28" s="82"/>
    </row>
    <row r="29" spans="1:19" x14ac:dyDescent="0.5">
      <c r="E29" s="90">
        <f>SUM(E2:E28)</f>
        <v>2670.2599999999998</v>
      </c>
      <c r="F29" s="90"/>
      <c r="G29" s="90">
        <f t="shared" ref="G29:M29" si="4">SUM(G2:G28)</f>
        <v>1045.2225000000001</v>
      </c>
      <c r="H29" s="90">
        <f t="shared" si="4"/>
        <v>260.47000000000003</v>
      </c>
      <c r="I29" s="90">
        <f t="shared" si="4"/>
        <v>322.16000000000003</v>
      </c>
      <c r="J29" s="90">
        <f t="shared" si="4"/>
        <v>493.82000000000005</v>
      </c>
      <c r="K29" s="90">
        <f t="shared" si="4"/>
        <v>358.73</v>
      </c>
      <c r="L29" s="90">
        <f t="shared" si="4"/>
        <v>760.22</v>
      </c>
      <c r="M29" s="90">
        <f t="shared" si="4"/>
        <v>474.86</v>
      </c>
      <c r="O29" s="82"/>
      <c r="P29" s="82"/>
      <c r="Q29" s="82"/>
      <c r="R29" s="82"/>
      <c r="S29" s="8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0CD8-7AFB-4E85-9DD5-D03AA1E374BB}">
  <dimension ref="A1:B1"/>
  <sheetViews>
    <sheetView workbookViewId="0">
      <selection activeCell="J25" sqref="J25"/>
    </sheetView>
  </sheetViews>
  <sheetFormatPr defaultRowHeight="10.5" x14ac:dyDescent="0.5"/>
  <sheetData>
    <row r="1" spans="1:2" x14ac:dyDescent="0.5">
      <c r="A1" t="s">
        <v>536</v>
      </c>
      <c r="B1" s="118">
        <v>9462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TM02930058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Wells Fargo</vt:lpstr>
      <vt:lpstr>Discover</vt:lpstr>
      <vt:lpstr>Cash Flow</vt:lpstr>
      <vt:lpstr>Waterfall</vt:lpstr>
      <vt:lpstr>Subscriptions</vt:lpstr>
      <vt:lpstr>Debts</vt:lpstr>
      <vt:lpstr>Expense_Lookup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Sean</dc:creator>
  <cp:keywords/>
  <cp:lastModifiedBy>Sean</cp:lastModifiedBy>
  <cp:lastPrinted>2021-01-24T15:55:36Z</cp:lastPrinted>
  <dcterms:created xsi:type="dcterms:W3CDTF">2018-06-25T05:33:20Z</dcterms:created>
  <dcterms:modified xsi:type="dcterms:W3CDTF">2021-07-10T19:48:56Z</dcterms:modified>
  <cp:version/>
</cp:coreProperties>
</file>