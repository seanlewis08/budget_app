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6.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7.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C:\Users\Sean\Documents\Budget\"/>
    </mc:Choice>
  </mc:AlternateContent>
  <xr:revisionPtr revIDLastSave="0" documentId="13_ncr:1_{4C876B35-9D6D-4193-9B22-DA2F3267E691}" xr6:coauthVersionLast="47" xr6:coauthVersionMax="47" xr10:uidLastSave="{00000000-0000-0000-0000-000000000000}"/>
  <bookViews>
    <workbookView xWindow="-120" yWindow="-120" windowWidth="38640" windowHeight="15990" tabRatio="706" activeTab="1" xr2:uid="{00000000-000D-0000-FFFF-FFFF00000000}"/>
  </bookViews>
  <sheets>
    <sheet name="Wells Fargo" sheetId="16" r:id="rId1"/>
    <sheet name="Discover" sheetId="13" r:id="rId2"/>
    <sheet name="Subscriptions" sheetId="15" r:id="rId3"/>
    <sheet name="Cash Flow" sheetId="17" r:id="rId4"/>
    <sheet name="Waterfall" sheetId="18" r:id="rId5"/>
    <sheet name="Debts" sheetId="19" r:id="rId6"/>
    <sheet name="Avidia Deposits" sheetId="23" r:id="rId7"/>
    <sheet name="Retirement" sheetId="25" r:id="rId8"/>
    <sheet name="Compare Periods" sheetId="26" r:id="rId9"/>
    <sheet name="Categories - WIP" sheetId="24" state="hidden" r:id="rId10"/>
    <sheet name="PERSONAL BUDGET - WIP" sheetId="22" r:id="rId11"/>
    <sheet name="DiscoverPayment Calculator" sheetId="27" r:id="rId12"/>
    <sheet name="BestBuyPaymentCalc" sheetId="28" r:id="rId13"/>
  </sheets>
  <externalReferences>
    <externalReference r:id="rId14"/>
    <externalReference r:id="rId15"/>
  </externalReferences>
  <definedNames>
    <definedName name="_xlnm._FilterDatabase" localSheetId="1" hidden="1">Discover!$A$1:$K$779</definedName>
    <definedName name="_xlnm._FilterDatabase" localSheetId="0" hidden="1">'Wells Fargo'!$A$1:$G$215</definedName>
    <definedName name="allowance">#REF!</definedName>
    <definedName name="AprSun1">DATE(CalendarYear,4,1)-WEEKDAY(DATE(CalendarYear,4,1))</definedName>
    <definedName name="AugSun1">DATE(CalendarYear,8,1)-WEEKDAY(DATE(CalendarYear,8,1))</definedName>
    <definedName name="budget" localSheetId="1">'[1]Pivot (2021)'!$A$2</definedName>
    <definedName name="Budget">#REF!</definedName>
    <definedName name="CalendarYear">[0]!Year1</definedName>
    <definedName name="Categories">[2]!TableAssetAllocation[Category]</definedName>
    <definedName name="chart_balance" localSheetId="12">OFFSET(BestBuyPaymentCalc!$H$21,2,0,BestBuyPaymentCalc!$E$16,1)</definedName>
    <definedName name="chart_balance">OFFSET('DiscoverPayment Calculator'!$H$21,2,0,'DiscoverPayment Calculator'!$E$16,1)</definedName>
    <definedName name="chart_no" localSheetId="12">OFFSET(BestBuyPaymentCalc!$A$21,2,0,BestBuyPaymentCalc!$E$16,1)</definedName>
    <definedName name="chart_no">OFFSET('DiscoverPayment Calculator'!$A$21,2,0,'DiscoverPayment Calculator'!$E$16,1)</definedName>
    <definedName name="chart_payment" localSheetId="12">OFFSET(BestBuyPaymentCalc!$C$21,2,0,BestBuyPaymentCalc!$E$16,1)</definedName>
    <definedName name="chart_payment">OFFSET('DiscoverPayment Calculator'!$C$21,2,0,'DiscoverPayment Calculator'!$E$16,1)</definedName>
    <definedName name="DecSun1">DATE(CalendarYear,12,1)-WEEKDAY(DATE(CalendarYear,12,1))</definedName>
    <definedName name="Expense_Categories">'Categories - WIP'!$A$2:$A$12</definedName>
    <definedName name="Expense_Lookup">Discover!$Q:$R</definedName>
    <definedName name="FebSun1">DATE(CalendarYear,2,1)-WEEKDAY(DATE(CalendarYear,2,1))</definedName>
    <definedName name="fixed">#REF!</definedName>
    <definedName name="income">#REF!</definedName>
    <definedName name="JanSun1">DATE(CalendarYear,1,1)-WEEKDAY(DATE(CalendarYear,1,1))</definedName>
    <definedName name="JulSun1">DATE(CalendarYear,7,1)-WEEKDAY(DATE(CalendarYear,7,1))</definedName>
    <definedName name="JunSun1">DATE(CalendarYear,6,1)-WEEKDAY(DATE(CalendarYear,6,1))</definedName>
    <definedName name="LastCol">COUNTA('PERSONAL BUDGET - WIP'!$4:$4)+1</definedName>
    <definedName name="MarSun1">DATE(CalendarYear,3,1)-WEEKDAY(DATE(CalendarYear,3,1))</definedName>
    <definedName name="MaySun1">DATE(CalendarYear,5,1)-WEEKDAY(DATE(CalendarYear,5,1))</definedName>
    <definedName name="NovSun1">DATE(CalendarYear,11,1)-WEEKDAY(DATE(CalendarYear,11,1))</definedName>
    <definedName name="OctSun1">DATE(CalendarYear,10,1)-WEEKDAY(DATE(CalendarYear,10,1))</definedName>
    <definedName name="plusinterest" localSheetId="12">BestBuyPaymentCalc!$F$8</definedName>
    <definedName name="plusinterest">'DiscoverPayment Calculator'!$F$8</definedName>
    <definedName name="_xlnm.Print_Area" localSheetId="12">OFFSET(BestBuyPaymentCalc!$A$1,0,0,ROW(BestBuyPaymentCalc!$A$21)+1+BestBuyPaymentCalc!$E$16,9)</definedName>
    <definedName name="_xlnm.Print_Area" localSheetId="11">OFFSET('DiscoverPayment Calculator'!$A$1,0,0,ROW('DiscoverPayment Calculator'!$A$21)+1+'DiscoverPayment Calculator'!$E$16,9)</definedName>
    <definedName name="_xlnm.Print_Titles" localSheetId="12">BestBuyPaymentCalc!$21:$21</definedName>
    <definedName name="_xlnm.Print_Titles" localSheetId="11">'DiscoverPayment Calculator'!$21:$21</definedName>
    <definedName name="PrintArea_SET">OFFSET('PERSONAL BUDGET - WIP'!$C$2,,,MATCH(REPT("z",255),'PERSONAL BUDGET - WIP'!$C:$C),LastCol)</definedName>
    <definedName name="Robinhood">#REF!</definedName>
    <definedName name="SepSun1">DATE(CalendarYear,9,1)-WEEKDAY(DATE(CalendarYear,9,1))</definedName>
    <definedName name="StartMonth">#REF!</definedName>
    <definedName name="Tail_Rent">'[1]2021 Income'!#REF!</definedName>
    <definedName name="Title2">#REF!</definedName>
    <definedName name="valdate">#REF!</definedName>
    <definedName name="valuevx">42.314159</definedName>
    <definedName name="vertex42_copyright" hidden="1">"© 2010-2017 Vertex42 LLC"</definedName>
    <definedName name="vertex42_id" hidden="1">"credit-card-payment-calculator.xlsx"</definedName>
    <definedName name="vertex42_title" hidden="1">"Credit Card Payment Calculator"</definedName>
    <definedName name="Year1">VALUE(LEFT(#REF!,4))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777" i="13" l="1"/>
  <c r="B777" i="13"/>
  <c r="A778" i="13"/>
  <c r="B778" i="13"/>
  <c r="A779" i="13"/>
  <c r="B779" i="13"/>
  <c r="K15" i="26"/>
  <c r="F7" i="28" l="1"/>
  <c r="F7" i="27"/>
  <c r="A23" i="28"/>
  <c r="H22" i="28"/>
  <c r="F8" i="28"/>
  <c r="I2" i="28"/>
  <c r="A23" i="27"/>
  <c r="H22" i="27"/>
  <c r="F8" i="27"/>
  <c r="I2" i="27"/>
  <c r="B23" i="28" l="1"/>
  <c r="F23" i="28" s="1"/>
  <c r="B23" i="27"/>
  <c r="F23" i="27" s="1"/>
  <c r="C23" i="28" l="1"/>
  <c r="C23" i="27"/>
  <c r="G23" i="27" s="1"/>
  <c r="G23" i="28" l="1"/>
  <c r="H23" i="28" s="1"/>
  <c r="A24" i="28" s="1"/>
  <c r="E23" i="28"/>
  <c r="H23" i="27"/>
  <c r="A24" i="27" s="1"/>
  <c r="E23" i="27"/>
  <c r="E14" i="28" l="1"/>
  <c r="B24" i="28"/>
  <c r="F24" i="28" s="1"/>
  <c r="E14" i="27"/>
  <c r="B24" i="27"/>
  <c r="F24" i="27" s="1"/>
  <c r="C24" i="27" s="1"/>
  <c r="G24" i="27" s="1"/>
  <c r="H24" i="27" s="1"/>
  <c r="A25" i="27" s="1"/>
  <c r="C24" i="28" l="1"/>
  <c r="B25" i="27"/>
  <c r="F25" i="27" s="1"/>
  <c r="E24" i="27"/>
  <c r="G24" i="28" l="1"/>
  <c r="H24" i="28" s="1"/>
  <c r="A25" i="28" s="1"/>
  <c r="E24" i="28"/>
  <c r="C25" i="27"/>
  <c r="B25" i="28" l="1"/>
  <c r="F25" i="28"/>
  <c r="E25" i="27"/>
  <c r="G25" i="27"/>
  <c r="H25" i="27" s="1"/>
  <c r="A26" i="27" s="1"/>
  <c r="C25" i="28" l="1"/>
  <c r="B26" i="27"/>
  <c r="F26" i="27" s="1"/>
  <c r="C26" i="27" s="1"/>
  <c r="E25" i="28" l="1"/>
  <c r="G25" i="28"/>
  <c r="H25" i="28" s="1"/>
  <c r="A26" i="28" s="1"/>
  <c r="G26" i="27"/>
  <c r="H26" i="27" s="1"/>
  <c r="A27" i="27" s="1"/>
  <c r="E26" i="27"/>
  <c r="B26" i="28" l="1"/>
  <c r="F26" i="28" s="1"/>
  <c r="B27" i="27"/>
  <c r="F27" i="27"/>
  <c r="C27" i="27" s="1"/>
  <c r="G27" i="27" l="1"/>
  <c r="H27" i="27" s="1"/>
  <c r="A28" i="27" s="1"/>
  <c r="E27" i="27"/>
  <c r="C26" i="28"/>
  <c r="B28" i="27" l="1"/>
  <c r="F28" i="27"/>
  <c r="C28" i="27" s="1"/>
  <c r="G26" i="28"/>
  <c r="H26" i="28" s="1"/>
  <c r="A27" i="28" s="1"/>
  <c r="E26" i="28"/>
  <c r="E28" i="27" l="1"/>
  <c r="G28" i="27"/>
  <c r="H28" i="27" s="1"/>
  <c r="A29" i="27" s="1"/>
  <c r="B27" i="28"/>
  <c r="F27" i="28" s="1"/>
  <c r="C27" i="28" s="1"/>
  <c r="B29" i="27" l="1"/>
  <c r="F29" i="27" s="1"/>
  <c r="C29" i="27" s="1"/>
  <c r="E27" i="28"/>
  <c r="G27" i="28"/>
  <c r="H27" i="28" s="1"/>
  <c r="A28" i="28" s="1"/>
  <c r="G29" i="27" l="1"/>
  <c r="H29" i="27" s="1"/>
  <c r="A30" i="27" s="1"/>
  <c r="E29" i="27"/>
  <c r="B28" i="28"/>
  <c r="F28" i="28" s="1"/>
  <c r="C28" i="28" s="1"/>
  <c r="B30" i="27" l="1"/>
  <c r="F30" i="27"/>
  <c r="C30" i="27"/>
  <c r="E30" i="27" s="1"/>
  <c r="G28" i="28"/>
  <c r="H28" i="28" s="1"/>
  <c r="A29" i="28" s="1"/>
  <c r="E28" i="28"/>
  <c r="G30" i="27" l="1"/>
  <c r="H30" i="27" s="1"/>
  <c r="A31" i="27" s="1"/>
  <c r="B29" i="28"/>
  <c r="F29" i="28" s="1"/>
  <c r="C29" i="28" s="1"/>
  <c r="G29" i="28" l="1"/>
  <c r="H29" i="28" s="1"/>
  <c r="A30" i="28" s="1"/>
  <c r="E29" i="28"/>
  <c r="B31" i="27"/>
  <c r="F31" i="27" s="1"/>
  <c r="C31" i="27" s="1"/>
  <c r="B30" i="28"/>
  <c r="F30" i="28" l="1"/>
  <c r="C30" i="28" s="1"/>
  <c r="E30" i="28" s="1"/>
  <c r="G31" i="27"/>
  <c r="H31" i="27" s="1"/>
  <c r="A32" i="27" s="1"/>
  <c r="E31" i="27"/>
  <c r="G30" i="28" l="1"/>
  <c r="H30" i="28" s="1"/>
  <c r="A31" i="28" s="1"/>
  <c r="B32" i="27"/>
  <c r="F32" i="27"/>
  <c r="C32" i="27" s="1"/>
  <c r="B31" i="28" l="1"/>
  <c r="F31" i="28" s="1"/>
  <c r="C31" i="28" s="1"/>
  <c r="E32" i="27"/>
  <c r="G32" i="27"/>
  <c r="H32" i="27" s="1"/>
  <c r="A33" i="27" s="1"/>
  <c r="G31" i="28" l="1"/>
  <c r="H31" i="28" s="1"/>
  <c r="A32" i="28" s="1"/>
  <c r="E31" i="28"/>
  <c r="C33" i="27"/>
  <c r="A34" i="27"/>
  <c r="H33" i="27"/>
  <c r="G33" i="27"/>
  <c r="E33" i="27"/>
  <c r="B33" i="27"/>
  <c r="F33" i="27"/>
  <c r="B32" i="28" l="1"/>
  <c r="F32" i="28" s="1"/>
  <c r="C32" i="28" s="1"/>
  <c r="G34" i="27"/>
  <c r="F34" i="27"/>
  <c r="B34" i="27"/>
  <c r="A35" i="27"/>
  <c r="E34" i="27"/>
  <c r="H34" i="27"/>
  <c r="C34" i="27"/>
  <c r="E32" i="28" l="1"/>
  <c r="G32" i="28"/>
  <c r="H32" i="28" s="1"/>
  <c r="A33" i="28" s="1"/>
  <c r="A36" i="27"/>
  <c r="H35" i="27"/>
  <c r="G35" i="27"/>
  <c r="C35" i="27"/>
  <c r="E35" i="27"/>
  <c r="F35" i="27"/>
  <c r="B35" i="27"/>
  <c r="B33" i="28" l="1"/>
  <c r="F33" i="28" s="1"/>
  <c r="C33" i="28" s="1"/>
  <c r="G36" i="27"/>
  <c r="E36" i="27"/>
  <c r="H36" i="27"/>
  <c r="A37" i="27"/>
  <c r="C36" i="27"/>
  <c r="F36" i="27"/>
  <c r="B36" i="27"/>
  <c r="E33" i="28" l="1"/>
  <c r="G33" i="28"/>
  <c r="H33" i="28" s="1"/>
  <c r="A34" i="28" s="1"/>
  <c r="A38" i="27"/>
  <c r="H37" i="27"/>
  <c r="F37" i="27"/>
  <c r="G37" i="27"/>
  <c r="E37" i="27"/>
  <c r="C37" i="27"/>
  <c r="B37" i="27"/>
  <c r="B34" i="28" l="1"/>
  <c r="F34" i="28" s="1"/>
  <c r="C34" i="28" s="1"/>
  <c r="A39" i="27"/>
  <c r="F38" i="27"/>
  <c r="C38" i="27"/>
  <c r="H38" i="27"/>
  <c r="G38" i="27"/>
  <c r="E38" i="27"/>
  <c r="B38" i="27"/>
  <c r="E34" i="28" l="1"/>
  <c r="G34" i="28"/>
  <c r="H34" i="28" s="1"/>
  <c r="A35" i="28" s="1"/>
  <c r="E39" i="27"/>
  <c r="F39" i="27"/>
  <c r="A40" i="27"/>
  <c r="H39" i="27"/>
  <c r="C39" i="27"/>
  <c r="G39" i="27"/>
  <c r="B39" i="27"/>
  <c r="B35" i="28" l="1"/>
  <c r="F35" i="28"/>
  <c r="C35" i="28" s="1"/>
  <c r="G40" i="27"/>
  <c r="B40" i="27"/>
  <c r="A41" i="27"/>
  <c r="F40" i="27"/>
  <c r="E40" i="27"/>
  <c r="C40" i="27"/>
  <c r="H40" i="27"/>
  <c r="G35" i="28" l="1"/>
  <c r="H35" i="28" s="1"/>
  <c r="A36" i="28" s="1"/>
  <c r="E35" i="28"/>
  <c r="C41" i="27"/>
  <c r="B41" i="27"/>
  <c r="H41" i="27"/>
  <c r="F41" i="27"/>
  <c r="A42" i="27"/>
  <c r="G41" i="27"/>
  <c r="E41" i="27"/>
  <c r="B36" i="28" l="1"/>
  <c r="F36" i="28"/>
  <c r="C36" i="28"/>
  <c r="E36" i="28" s="1"/>
  <c r="G42" i="27"/>
  <c r="C42" i="27"/>
  <c r="B42" i="27"/>
  <c r="F42" i="27"/>
  <c r="E42" i="27"/>
  <c r="A43" i="27"/>
  <c r="H42" i="27"/>
  <c r="G36" i="28" l="1"/>
  <c r="H36" i="28" s="1"/>
  <c r="A37" i="28" s="1"/>
  <c r="F43" i="27"/>
  <c r="E43" i="27"/>
  <c r="B43" i="27"/>
  <c r="A44" i="27"/>
  <c r="C43" i="27"/>
  <c r="G43" i="27"/>
  <c r="H43" i="27"/>
  <c r="G37" i="28" l="1"/>
  <c r="F37" i="28"/>
  <c r="E37" i="28"/>
  <c r="C37" i="28"/>
  <c r="A38" i="28"/>
  <c r="B37" i="28"/>
  <c r="H37" i="28"/>
  <c r="G44" i="27"/>
  <c r="F44" i="27"/>
  <c r="B44" i="27"/>
  <c r="H44" i="27"/>
  <c r="E44" i="27"/>
  <c r="C44" i="27"/>
  <c r="A45" i="27"/>
  <c r="A39" i="28" l="1"/>
  <c r="C38" i="28"/>
  <c r="B38" i="28"/>
  <c r="F38" i="28"/>
  <c r="E38" i="28"/>
  <c r="G38" i="28"/>
  <c r="H38" i="28"/>
  <c r="G45" i="27"/>
  <c r="E45" i="27"/>
  <c r="A46" i="27"/>
  <c r="F45" i="27"/>
  <c r="C45" i="27"/>
  <c r="B45" i="27"/>
  <c r="H45" i="27"/>
  <c r="A40" i="28" l="1"/>
  <c r="H39" i="28"/>
  <c r="G39" i="28"/>
  <c r="B39" i="28"/>
  <c r="F39" i="28"/>
  <c r="C39" i="28"/>
  <c r="E39" i="28"/>
  <c r="A47" i="27"/>
  <c r="H46" i="27"/>
  <c r="F46" i="27"/>
  <c r="E46" i="27"/>
  <c r="B46" i="27"/>
  <c r="G46" i="27"/>
  <c r="C46" i="27"/>
  <c r="G40" i="28" l="1"/>
  <c r="F40" i="28"/>
  <c r="E40" i="28"/>
  <c r="C40" i="28"/>
  <c r="B40" i="28"/>
  <c r="A41" i="28"/>
  <c r="H40" i="28"/>
  <c r="G47" i="27"/>
  <c r="C47" i="27"/>
  <c r="F47" i="27"/>
  <c r="B47" i="27"/>
  <c r="A48" i="27"/>
  <c r="E47" i="27"/>
  <c r="H47" i="27"/>
  <c r="A42" i="28" l="1"/>
  <c r="H41" i="28"/>
  <c r="G41" i="28"/>
  <c r="F41" i="28"/>
  <c r="C41" i="28"/>
  <c r="B41" i="28"/>
  <c r="E41" i="28"/>
  <c r="C48" i="27"/>
  <c r="B48" i="27"/>
  <c r="A49" i="27"/>
  <c r="H48" i="27"/>
  <c r="F48" i="27"/>
  <c r="G48" i="27"/>
  <c r="E48" i="27"/>
  <c r="H42" i="28" l="1"/>
  <c r="G42" i="28"/>
  <c r="C42" i="28"/>
  <c r="A43" i="28"/>
  <c r="F42" i="28"/>
  <c r="E42" i="28"/>
  <c r="B42" i="28"/>
  <c r="G49" i="27"/>
  <c r="E49" i="27"/>
  <c r="F49" i="27"/>
  <c r="C49" i="27"/>
  <c r="B49" i="27"/>
  <c r="H49" i="27"/>
  <c r="A50" i="27"/>
  <c r="C43" i="28" l="1"/>
  <c r="A44" i="28"/>
  <c r="F43" i="28"/>
  <c r="H43" i="28"/>
  <c r="E43" i="28"/>
  <c r="B43" i="28"/>
  <c r="G43" i="28"/>
  <c r="F50" i="27"/>
  <c r="B50" i="27"/>
  <c r="C50" i="27"/>
  <c r="H50" i="27"/>
  <c r="A51" i="27"/>
  <c r="G50" i="27"/>
  <c r="E50" i="27"/>
  <c r="F44" i="28" l="1"/>
  <c r="C44" i="28"/>
  <c r="A45" i="28"/>
  <c r="H44" i="28"/>
  <c r="G44" i="28"/>
  <c r="E44" i="28"/>
  <c r="B44" i="28"/>
  <c r="G51" i="27"/>
  <c r="H51" i="27"/>
  <c r="F51" i="27"/>
  <c r="C51" i="27"/>
  <c r="A52" i="27"/>
  <c r="E51" i="27"/>
  <c r="B51" i="27"/>
  <c r="C45" i="28" l="1"/>
  <c r="B45" i="28"/>
  <c r="H45" i="28"/>
  <c r="G45" i="28"/>
  <c r="F45" i="28"/>
  <c r="E45" i="28"/>
  <c r="A46" i="28"/>
  <c r="G52" i="27"/>
  <c r="F52" i="27"/>
  <c r="E52" i="27"/>
  <c r="H52" i="27"/>
  <c r="C52" i="27"/>
  <c r="B52" i="27"/>
  <c r="A53" i="27"/>
  <c r="A47" i="28" l="1"/>
  <c r="H46" i="28"/>
  <c r="G46" i="28"/>
  <c r="E46" i="28"/>
  <c r="F46" i="28"/>
  <c r="C46" i="28"/>
  <c r="B46" i="28"/>
  <c r="H53" i="27"/>
  <c r="E53" i="27"/>
  <c r="A54" i="27"/>
  <c r="G53" i="27"/>
  <c r="C53" i="27"/>
  <c r="F53" i="27"/>
  <c r="B53" i="27"/>
  <c r="C47" i="28" l="1"/>
  <c r="B47" i="28"/>
  <c r="F47" i="28"/>
  <c r="H47" i="28"/>
  <c r="A48" i="28"/>
  <c r="E47" i="28"/>
  <c r="G47" i="28"/>
  <c r="G54" i="27"/>
  <c r="F54" i="27"/>
  <c r="E54" i="27"/>
  <c r="C54" i="27"/>
  <c r="A55" i="27"/>
  <c r="B54" i="27"/>
  <c r="H54" i="27"/>
  <c r="A49" i="28" l="1"/>
  <c r="H48" i="28"/>
  <c r="G48" i="28"/>
  <c r="F48" i="28"/>
  <c r="B48" i="28"/>
  <c r="E48" i="28"/>
  <c r="C48" i="28"/>
  <c r="E55" i="27"/>
  <c r="G55" i="27"/>
  <c r="A56" i="27"/>
  <c r="H55" i="27"/>
  <c r="F55" i="27"/>
  <c r="C55" i="27"/>
  <c r="B55" i="27"/>
  <c r="F49" i="28" l="1"/>
  <c r="E49" i="28"/>
  <c r="H49" i="28"/>
  <c r="C49" i="28"/>
  <c r="B49" i="28"/>
  <c r="A50" i="28"/>
  <c r="G49" i="28"/>
  <c r="C56" i="27"/>
  <c r="H56" i="27"/>
  <c r="F56" i="27"/>
  <c r="A57" i="27"/>
  <c r="B56" i="27"/>
  <c r="G56" i="27"/>
  <c r="E56" i="27"/>
  <c r="B50" i="28" l="1"/>
  <c r="G50" i="28"/>
  <c r="A51" i="28"/>
  <c r="C50" i="28"/>
  <c r="E50" i="28"/>
  <c r="H50" i="28"/>
  <c r="F50" i="28"/>
  <c r="B57" i="27"/>
  <c r="A58" i="27"/>
  <c r="G57" i="27"/>
  <c r="F57" i="27"/>
  <c r="E57" i="27"/>
  <c r="C57" i="27"/>
  <c r="H57" i="27"/>
  <c r="G51" i="28" l="1"/>
  <c r="F51" i="28"/>
  <c r="H51" i="28"/>
  <c r="E51" i="28"/>
  <c r="B51" i="28"/>
  <c r="C51" i="28"/>
  <c r="A52" i="28"/>
  <c r="F58" i="27"/>
  <c r="C58" i="27"/>
  <c r="B58" i="27"/>
  <c r="E58" i="27"/>
  <c r="G58" i="27"/>
  <c r="A59" i="27"/>
  <c r="H58" i="27"/>
  <c r="B52" i="28" l="1"/>
  <c r="A53" i="28"/>
  <c r="F52" i="28"/>
  <c r="E52" i="28"/>
  <c r="C52" i="28"/>
  <c r="G52" i="28"/>
  <c r="H52" i="28"/>
  <c r="E59" i="27"/>
  <c r="H59" i="27"/>
  <c r="B59" i="27"/>
  <c r="G59" i="27"/>
  <c r="A60" i="27"/>
  <c r="C59" i="27"/>
  <c r="F59" i="27"/>
  <c r="B53" i="28" l="1"/>
  <c r="H53" i="28"/>
  <c r="E53" i="28"/>
  <c r="G53" i="28"/>
  <c r="C53" i="28"/>
  <c r="F53" i="28"/>
  <c r="A54" i="28"/>
  <c r="G60" i="27"/>
  <c r="F60" i="27"/>
  <c r="B60" i="27"/>
  <c r="A61" i="27"/>
  <c r="E60" i="27"/>
  <c r="C60" i="27"/>
  <c r="H60" i="27"/>
  <c r="C54" i="28" l="1"/>
  <c r="B54" i="28"/>
  <c r="G54" i="28"/>
  <c r="E54" i="28"/>
  <c r="H54" i="28"/>
  <c r="F54" i="28"/>
  <c r="A55" i="28"/>
  <c r="G61" i="27"/>
  <c r="E61" i="27"/>
  <c r="B61" i="27"/>
  <c r="F61" i="27"/>
  <c r="A62" i="27"/>
  <c r="C61" i="27"/>
  <c r="H61" i="27"/>
  <c r="H55" i="28" l="1"/>
  <c r="G55" i="28"/>
  <c r="C55" i="28"/>
  <c r="B55" i="28"/>
  <c r="F55" i="28"/>
  <c r="E55" i="28"/>
  <c r="A56" i="28"/>
  <c r="F62" i="27"/>
  <c r="C62" i="27"/>
  <c r="E62" i="27"/>
  <c r="A63" i="27"/>
  <c r="H62" i="27"/>
  <c r="B62" i="27"/>
  <c r="G62" i="27"/>
  <c r="F56" i="28" l="1"/>
  <c r="E56" i="28"/>
  <c r="G56" i="28"/>
  <c r="C56" i="28"/>
  <c r="H56" i="28"/>
  <c r="B56" i="28"/>
  <c r="A57" i="28"/>
  <c r="C63" i="27"/>
  <c r="G63" i="27"/>
  <c r="F63" i="27"/>
  <c r="B63" i="27"/>
  <c r="H63" i="27"/>
  <c r="E63" i="27"/>
  <c r="A64" i="27"/>
  <c r="B57" i="28" l="1"/>
  <c r="G57" i="28"/>
  <c r="H57" i="28"/>
  <c r="A58" i="28"/>
  <c r="F57" i="28"/>
  <c r="E57" i="28"/>
  <c r="C57" i="28"/>
  <c r="A65" i="27"/>
  <c r="G64" i="27"/>
  <c r="F64" i="27"/>
  <c r="B64" i="27"/>
  <c r="H64" i="27"/>
  <c r="E64" i="27"/>
  <c r="C64" i="27"/>
  <c r="G58" i="28" l="1"/>
  <c r="F58" i="28"/>
  <c r="E58" i="28"/>
  <c r="B58" i="28"/>
  <c r="A59" i="28"/>
  <c r="C58" i="28"/>
  <c r="H58" i="28"/>
  <c r="E65" i="27"/>
  <c r="C65" i="27"/>
  <c r="A66" i="27"/>
  <c r="H65" i="27"/>
  <c r="B65" i="27"/>
  <c r="F65" i="27"/>
  <c r="G65" i="27"/>
  <c r="C59" i="28" l="1"/>
  <c r="A60" i="28"/>
  <c r="F59" i="28"/>
  <c r="H59" i="28"/>
  <c r="B59" i="28"/>
  <c r="E59" i="28"/>
  <c r="G59" i="28"/>
  <c r="C66" i="27"/>
  <c r="A67" i="27"/>
  <c r="B66" i="27"/>
  <c r="G66" i="27"/>
  <c r="H66" i="27"/>
  <c r="F66" i="27"/>
  <c r="E66" i="27"/>
  <c r="G60" i="28" l="1"/>
  <c r="F60" i="28"/>
  <c r="E60" i="28"/>
  <c r="B60" i="28"/>
  <c r="A61" i="28"/>
  <c r="C60" i="28"/>
  <c r="H60" i="28"/>
  <c r="G67" i="27"/>
  <c r="F67" i="27"/>
  <c r="E67" i="27"/>
  <c r="C67" i="27"/>
  <c r="H67" i="27"/>
  <c r="B67" i="27"/>
  <c r="A68" i="27"/>
  <c r="F61" i="28" l="1"/>
  <c r="C61" i="28"/>
  <c r="B61" i="28"/>
  <c r="A62" i="28"/>
  <c r="E61" i="28"/>
  <c r="G61" i="28"/>
  <c r="H61" i="28"/>
  <c r="F68" i="27"/>
  <c r="C68" i="27"/>
  <c r="B68" i="27"/>
  <c r="G68" i="27"/>
  <c r="A69" i="27"/>
  <c r="H68" i="27"/>
  <c r="E68" i="27"/>
  <c r="H62" i="28" l="1"/>
  <c r="G62" i="28"/>
  <c r="F62" i="28"/>
  <c r="E62" i="28"/>
  <c r="B62" i="28"/>
  <c r="A63" i="28"/>
  <c r="C62" i="28"/>
  <c r="G69" i="27"/>
  <c r="F69" i="27"/>
  <c r="C69" i="27"/>
  <c r="B69" i="27"/>
  <c r="A70" i="27"/>
  <c r="E69" i="27"/>
  <c r="H69" i="27"/>
  <c r="E63" i="28" l="1"/>
  <c r="C63" i="28"/>
  <c r="B63" i="28"/>
  <c r="F63" i="28"/>
  <c r="H63" i="28"/>
  <c r="A64" i="28"/>
  <c r="G63" i="28"/>
  <c r="C70" i="27"/>
  <c r="G70" i="27"/>
  <c r="F70" i="27"/>
  <c r="B70" i="27"/>
  <c r="H70" i="27"/>
  <c r="E70" i="27"/>
  <c r="A71" i="27"/>
  <c r="A65" i="28" l="1"/>
  <c r="H64" i="28"/>
  <c r="G64" i="28"/>
  <c r="E64" i="28"/>
  <c r="F64" i="28"/>
  <c r="C64" i="28"/>
  <c r="B64" i="28"/>
  <c r="E71" i="27"/>
  <c r="A72" i="27"/>
  <c r="H71" i="27"/>
  <c r="C71" i="27"/>
  <c r="G71" i="27"/>
  <c r="F71" i="27"/>
  <c r="B71" i="27"/>
  <c r="F65" i="28" l="1"/>
  <c r="A66" i="28"/>
  <c r="E65" i="28"/>
  <c r="C65" i="28"/>
  <c r="G65" i="28"/>
  <c r="B65" i="28"/>
  <c r="H65" i="28"/>
  <c r="C72" i="27"/>
  <c r="H72" i="27"/>
  <c r="G72" i="27"/>
  <c r="B72" i="27"/>
  <c r="A73" i="27"/>
  <c r="E72" i="27"/>
  <c r="F72" i="27"/>
  <c r="B66" i="28" l="1"/>
  <c r="A67" i="28"/>
  <c r="C66" i="28"/>
  <c r="E66" i="28"/>
  <c r="H66" i="28"/>
  <c r="G66" i="28"/>
  <c r="F66" i="28"/>
  <c r="B73" i="27"/>
  <c r="A74" i="27"/>
  <c r="G73" i="27"/>
  <c r="F73" i="27"/>
  <c r="H73" i="27"/>
  <c r="E73" i="27"/>
  <c r="C73" i="27"/>
  <c r="G67" i="28" l="1"/>
  <c r="B67" i="28"/>
  <c r="F67" i="28"/>
  <c r="A68" i="28"/>
  <c r="E67" i="28"/>
  <c r="C67" i="28"/>
  <c r="H67" i="28"/>
  <c r="F74" i="27"/>
  <c r="E74" i="27"/>
  <c r="A75" i="27"/>
  <c r="C74" i="27"/>
  <c r="G74" i="27"/>
  <c r="B74" i="27"/>
  <c r="H74" i="27"/>
  <c r="E68" i="28" l="1"/>
  <c r="B68" i="28"/>
  <c r="G68" i="28"/>
  <c r="A69" i="28"/>
  <c r="F68" i="28"/>
  <c r="H68" i="28"/>
  <c r="C68" i="28"/>
  <c r="E75" i="27"/>
  <c r="C75" i="27"/>
  <c r="A76" i="27"/>
  <c r="H75" i="27"/>
  <c r="B75" i="27"/>
  <c r="G75" i="27"/>
  <c r="F75" i="27"/>
  <c r="B69" i="28" l="1"/>
  <c r="H69" i="28"/>
  <c r="F69" i="28"/>
  <c r="E69" i="28"/>
  <c r="A70" i="28"/>
  <c r="G69" i="28"/>
  <c r="C69" i="28"/>
  <c r="G76" i="27"/>
  <c r="F76" i="27"/>
  <c r="E76" i="27"/>
  <c r="C76" i="27"/>
  <c r="B76" i="27"/>
  <c r="A77" i="27"/>
  <c r="H76" i="27"/>
  <c r="E70" i="28" l="1"/>
  <c r="C70" i="28"/>
  <c r="B70" i="28"/>
  <c r="F70" i="28"/>
  <c r="G70" i="28"/>
  <c r="H70" i="28"/>
  <c r="A71" i="28"/>
  <c r="G77" i="27"/>
  <c r="B77" i="27"/>
  <c r="F77" i="27"/>
  <c r="C77" i="27"/>
  <c r="E77" i="27"/>
  <c r="H77" i="27"/>
  <c r="A78" i="27"/>
  <c r="H71" i="28" l="1"/>
  <c r="C71" i="28"/>
  <c r="A72" i="28"/>
  <c r="G71" i="28"/>
  <c r="E71" i="28"/>
  <c r="F71" i="28"/>
  <c r="B71" i="28"/>
  <c r="H78" i="27"/>
  <c r="E78" i="27"/>
  <c r="A79" i="27"/>
  <c r="G78" i="27"/>
  <c r="F78" i="27"/>
  <c r="C78" i="27"/>
  <c r="B78" i="27"/>
  <c r="F72" i="28" l="1"/>
  <c r="E72" i="28"/>
  <c r="H72" i="28"/>
  <c r="A73" i="28"/>
  <c r="C72" i="28"/>
  <c r="G72" i="28"/>
  <c r="B72" i="28"/>
  <c r="C79" i="27"/>
  <c r="B79" i="27"/>
  <c r="E79" i="27"/>
  <c r="F79" i="27"/>
  <c r="H79" i="27"/>
  <c r="A80" i="27"/>
  <c r="G79" i="27"/>
  <c r="B73" i="28" l="1"/>
  <c r="H73" i="28"/>
  <c r="E73" i="28"/>
  <c r="A74" i="28"/>
  <c r="G73" i="28"/>
  <c r="F73" i="28"/>
  <c r="C73" i="28"/>
  <c r="B80" i="27"/>
  <c r="G80" i="27"/>
  <c r="F80" i="27"/>
  <c r="C80" i="27"/>
  <c r="A81" i="27"/>
  <c r="H80" i="27"/>
  <c r="E80" i="27"/>
  <c r="G74" i="28" l="1"/>
  <c r="F74" i="28"/>
  <c r="H74" i="28"/>
  <c r="E74" i="28"/>
  <c r="B74" i="28"/>
  <c r="C74" i="28"/>
  <c r="A75" i="28"/>
  <c r="E81" i="27"/>
  <c r="C81" i="27"/>
  <c r="A82" i="27"/>
  <c r="B81" i="27"/>
  <c r="H81" i="27"/>
  <c r="G81" i="27"/>
  <c r="F81" i="27"/>
  <c r="E75" i="28" l="1"/>
  <c r="A76" i="28"/>
  <c r="B75" i="28"/>
  <c r="C75" i="28"/>
  <c r="G75" i="28"/>
  <c r="H75" i="28"/>
  <c r="F75" i="28"/>
  <c r="E82" i="27"/>
  <c r="C82" i="27"/>
  <c r="A83" i="27"/>
  <c r="F82" i="27"/>
  <c r="H82" i="27"/>
  <c r="B82" i="27"/>
  <c r="G82" i="27"/>
  <c r="G76" i="28" l="1"/>
  <c r="B76" i="28"/>
  <c r="E76" i="28"/>
  <c r="C76" i="28"/>
  <c r="H76" i="28"/>
  <c r="F76" i="28"/>
  <c r="A77" i="28"/>
  <c r="G83" i="27"/>
  <c r="F83" i="27"/>
  <c r="B83" i="27"/>
  <c r="H83" i="27"/>
  <c r="E83" i="27"/>
  <c r="C83" i="27"/>
  <c r="A84" i="27"/>
  <c r="G77" i="28" l="1"/>
  <c r="C77" i="28"/>
  <c r="H77" i="28"/>
  <c r="F77" i="28"/>
  <c r="B77" i="28"/>
  <c r="E77" i="28"/>
  <c r="A78" i="28"/>
  <c r="G84" i="27"/>
  <c r="F84" i="27"/>
  <c r="B84" i="27"/>
  <c r="C84" i="27"/>
  <c r="E84" i="27"/>
  <c r="H84" i="27"/>
  <c r="A85" i="27"/>
  <c r="H78" i="28" l="1"/>
  <c r="G78" i="28"/>
  <c r="F78" i="28"/>
  <c r="C78" i="28"/>
  <c r="B78" i="28"/>
  <c r="A79" i="28"/>
  <c r="E78" i="28"/>
  <c r="G85" i="27"/>
  <c r="A86" i="27"/>
  <c r="F85" i="27"/>
  <c r="H85" i="27"/>
  <c r="E85" i="27"/>
  <c r="C85" i="27"/>
  <c r="B85" i="27"/>
  <c r="F79" i="28" l="1"/>
  <c r="E79" i="28"/>
  <c r="A80" i="28"/>
  <c r="C79" i="28"/>
  <c r="B79" i="28"/>
  <c r="G79" i="28"/>
  <c r="H79" i="28"/>
  <c r="C86" i="27"/>
  <c r="B86" i="27"/>
  <c r="F86" i="27"/>
  <c r="E86" i="27"/>
  <c r="G86" i="27"/>
  <c r="A87" i="27"/>
  <c r="H86" i="27"/>
  <c r="A81" i="28" l="1"/>
  <c r="G80" i="28"/>
  <c r="B80" i="28"/>
  <c r="E80" i="28"/>
  <c r="H80" i="28"/>
  <c r="C80" i="28"/>
  <c r="F80" i="28"/>
  <c r="A88" i="27"/>
  <c r="C87" i="27"/>
  <c r="H87" i="27"/>
  <c r="F87" i="27"/>
  <c r="B87" i="27"/>
  <c r="G87" i="27"/>
  <c r="E87" i="27"/>
  <c r="G81" i="28" l="1"/>
  <c r="F81" i="28"/>
  <c r="E81" i="28"/>
  <c r="B81" i="28"/>
  <c r="A82" i="28"/>
  <c r="C81" i="28"/>
  <c r="H81" i="28"/>
  <c r="C88" i="27"/>
  <c r="A89" i="27"/>
  <c r="E88" i="27"/>
  <c r="B88" i="27"/>
  <c r="G88" i="27"/>
  <c r="F88" i="27"/>
  <c r="H88" i="27"/>
  <c r="C82" i="28" l="1"/>
  <c r="B82" i="28"/>
  <c r="A83" i="28"/>
  <c r="H82" i="28"/>
  <c r="E82" i="28"/>
  <c r="G82" i="28"/>
  <c r="F82" i="28"/>
  <c r="C89" i="27"/>
  <c r="H89" i="27"/>
  <c r="G89" i="27"/>
  <c r="F89" i="27"/>
  <c r="B89" i="27"/>
  <c r="A90" i="27"/>
  <c r="E89" i="27"/>
  <c r="G83" i="28" l="1"/>
  <c r="F83" i="28"/>
  <c r="E83" i="28"/>
  <c r="B83" i="28"/>
  <c r="C83" i="28"/>
  <c r="A84" i="28"/>
  <c r="H83" i="28"/>
  <c r="F90" i="27"/>
  <c r="A91" i="27"/>
  <c r="B90" i="27"/>
  <c r="H90" i="27"/>
  <c r="E90" i="27"/>
  <c r="C90" i="27"/>
  <c r="G90" i="27"/>
  <c r="F84" i="28" l="1"/>
  <c r="E84" i="28"/>
  <c r="C84" i="28"/>
  <c r="A85" i="28"/>
  <c r="B84" i="28"/>
  <c r="H84" i="28"/>
  <c r="G84" i="28"/>
  <c r="F91" i="27"/>
  <c r="E91" i="27"/>
  <c r="C91" i="27"/>
  <c r="B91" i="27"/>
  <c r="H91" i="27"/>
  <c r="A92" i="27"/>
  <c r="G91" i="27"/>
  <c r="G85" i="28" l="1"/>
  <c r="F85" i="28"/>
  <c r="A86" i="28"/>
  <c r="C85" i="28"/>
  <c r="E85" i="28"/>
  <c r="B85" i="28"/>
  <c r="H85" i="28"/>
  <c r="G92" i="27"/>
  <c r="A93" i="27"/>
  <c r="F92" i="27"/>
  <c r="C92" i="27"/>
  <c r="B92" i="27"/>
  <c r="H92" i="27"/>
  <c r="E92" i="27"/>
  <c r="G86" i="28" l="1"/>
  <c r="F86" i="28"/>
  <c r="A87" i="28"/>
  <c r="E86" i="28"/>
  <c r="C86" i="28"/>
  <c r="B86" i="28"/>
  <c r="H86" i="28"/>
  <c r="G93" i="27"/>
  <c r="B93" i="27"/>
  <c r="C93" i="27"/>
  <c r="E93" i="27"/>
  <c r="F93" i="27"/>
  <c r="H93" i="27"/>
  <c r="A94" i="27"/>
  <c r="H87" i="28" l="1"/>
  <c r="F87" i="28"/>
  <c r="B87" i="28"/>
  <c r="E87" i="28"/>
  <c r="G87" i="28"/>
  <c r="C87" i="28"/>
  <c r="A88" i="28"/>
  <c r="H94" i="27"/>
  <c r="G94" i="27"/>
  <c r="F94" i="27"/>
  <c r="B94" i="27"/>
  <c r="E94" i="27"/>
  <c r="C94" i="27"/>
  <c r="A95" i="27"/>
  <c r="G88" i="28" l="1"/>
  <c r="F88" i="28"/>
  <c r="C88" i="28"/>
  <c r="B88" i="28"/>
  <c r="E88" i="28"/>
  <c r="A89" i="28"/>
  <c r="H88" i="28"/>
  <c r="C95" i="27"/>
  <c r="F95" i="27"/>
  <c r="B95" i="27"/>
  <c r="G95" i="27"/>
  <c r="A96" i="27"/>
  <c r="H95" i="27"/>
  <c r="E95" i="27"/>
  <c r="B89" i="28" l="1"/>
  <c r="H89" i="28"/>
  <c r="A90" i="28"/>
  <c r="F89" i="28"/>
  <c r="C89" i="28"/>
  <c r="G89" i="28"/>
  <c r="E89" i="28"/>
  <c r="B96" i="27"/>
  <c r="A97" i="27"/>
  <c r="H96" i="27"/>
  <c r="G96" i="27"/>
  <c r="C96" i="27"/>
  <c r="F96" i="27"/>
  <c r="E96" i="27"/>
  <c r="G90" i="28" l="1"/>
  <c r="F90" i="28"/>
  <c r="E90" i="28"/>
  <c r="C90" i="28"/>
  <c r="B90" i="28"/>
  <c r="A91" i="28"/>
  <c r="H90" i="28"/>
  <c r="E97" i="27"/>
  <c r="C97" i="27"/>
  <c r="G97" i="27"/>
  <c r="H97" i="27"/>
  <c r="B97" i="27"/>
  <c r="A98" i="27"/>
  <c r="F97" i="27"/>
  <c r="E91" i="28" l="1"/>
  <c r="C91" i="28"/>
  <c r="G91" i="28"/>
  <c r="B91" i="28"/>
  <c r="H91" i="28"/>
  <c r="A92" i="28"/>
  <c r="F91" i="28"/>
  <c r="E98" i="27"/>
  <c r="A99" i="27"/>
  <c r="F98" i="27"/>
  <c r="C98" i="27"/>
  <c r="B98" i="27"/>
  <c r="H98" i="27"/>
  <c r="G98" i="27"/>
  <c r="G92" i="28" l="1"/>
  <c r="F92" i="28"/>
  <c r="C92" i="28"/>
  <c r="A93" i="28"/>
  <c r="E92" i="28"/>
  <c r="H92" i="28"/>
  <c r="B92" i="28"/>
  <c r="G99" i="27"/>
  <c r="F99" i="27"/>
  <c r="E99" i="27"/>
  <c r="B99" i="27"/>
  <c r="H99" i="27"/>
  <c r="C99" i="27"/>
  <c r="A100" i="27"/>
  <c r="G93" i="28" l="1"/>
  <c r="F93" i="28"/>
  <c r="E93" i="28"/>
  <c r="A94" i="28"/>
  <c r="H93" i="28"/>
  <c r="C93" i="28"/>
  <c r="B93" i="28"/>
  <c r="G100" i="27"/>
  <c r="F100" i="27"/>
  <c r="E100" i="27"/>
  <c r="C100" i="27"/>
  <c r="B100" i="27"/>
  <c r="H100" i="27"/>
  <c r="A101" i="27"/>
  <c r="G94" i="28" l="1"/>
  <c r="E94" i="28"/>
  <c r="F94" i="28"/>
  <c r="B94" i="28"/>
  <c r="H94" i="28"/>
  <c r="C94" i="28"/>
  <c r="A95" i="28"/>
  <c r="G101" i="27"/>
  <c r="E101" i="27"/>
  <c r="F101" i="27"/>
  <c r="A102" i="27"/>
  <c r="C101" i="27"/>
  <c r="B101" i="27"/>
  <c r="H101" i="27"/>
  <c r="G95" i="28" l="1"/>
  <c r="B95" i="28"/>
  <c r="H95" i="28"/>
  <c r="F95" i="28"/>
  <c r="C95" i="28"/>
  <c r="A96" i="28"/>
  <c r="E95" i="28"/>
  <c r="C102" i="27"/>
  <c r="B102" i="27"/>
  <c r="E102" i="27"/>
  <c r="F102" i="27"/>
  <c r="G102" i="27"/>
  <c r="H102" i="27"/>
  <c r="A103" i="27"/>
  <c r="A97" i="28" l="1"/>
  <c r="F96" i="28"/>
  <c r="B96" i="28"/>
  <c r="G96" i="28"/>
  <c r="H96" i="28"/>
  <c r="E96" i="28"/>
  <c r="C96" i="28"/>
  <c r="A104" i="27"/>
  <c r="H103" i="27"/>
  <c r="G103" i="27"/>
  <c r="F103" i="27"/>
  <c r="C103" i="27"/>
  <c r="B103" i="27"/>
  <c r="E103" i="27"/>
  <c r="G97" i="28" l="1"/>
  <c r="F97" i="28"/>
  <c r="C97" i="28"/>
  <c r="E97" i="28"/>
  <c r="B97" i="28"/>
  <c r="A98" i="28"/>
  <c r="H97" i="28"/>
  <c r="E104" i="27"/>
  <c r="C104" i="27"/>
  <c r="A105" i="27"/>
  <c r="F104" i="27"/>
  <c r="B104" i="27"/>
  <c r="H104" i="27"/>
  <c r="G104" i="27"/>
  <c r="C98" i="28" l="1"/>
  <c r="B98" i="28"/>
  <c r="E98" i="28"/>
  <c r="A99" i="28"/>
  <c r="G98" i="28"/>
  <c r="F98" i="28"/>
  <c r="H98" i="28"/>
  <c r="C105" i="27"/>
  <c r="B105" i="27"/>
  <c r="G105" i="27"/>
  <c r="E105" i="27"/>
  <c r="A106" i="27"/>
  <c r="H105" i="27"/>
  <c r="F105" i="27"/>
  <c r="G99" i="28" l="1"/>
  <c r="F99" i="28"/>
  <c r="E99" i="28"/>
  <c r="C99" i="28"/>
  <c r="B99" i="28"/>
  <c r="H99" i="28"/>
  <c r="A100" i="28"/>
  <c r="F106" i="27"/>
  <c r="E106" i="27"/>
  <c r="H106" i="27"/>
  <c r="C106" i="27"/>
  <c r="A107" i="27"/>
  <c r="G106" i="27"/>
  <c r="B106" i="27"/>
  <c r="F100" i="28" l="1"/>
  <c r="B100" i="28"/>
  <c r="E100" i="28"/>
  <c r="C100" i="28"/>
  <c r="A101" i="28"/>
  <c r="G100" i="28"/>
  <c r="H100" i="28"/>
  <c r="F107" i="27"/>
  <c r="E107" i="27"/>
  <c r="B107" i="27"/>
  <c r="A108" i="27"/>
  <c r="H107" i="27"/>
  <c r="C107" i="27"/>
  <c r="G107" i="27"/>
  <c r="G101" i="28" l="1"/>
  <c r="F101" i="28"/>
  <c r="H101" i="28"/>
  <c r="C101" i="28"/>
  <c r="E101" i="28"/>
  <c r="B101" i="28"/>
  <c r="A102" i="28"/>
  <c r="G108" i="27"/>
  <c r="C108" i="27"/>
  <c r="B108" i="27"/>
  <c r="H108" i="27"/>
  <c r="F108" i="27"/>
  <c r="E108" i="27"/>
  <c r="A109" i="27"/>
  <c r="G102" i="28" l="1"/>
  <c r="F102" i="28"/>
  <c r="C102" i="28"/>
  <c r="B102" i="28"/>
  <c r="A103" i="28"/>
  <c r="E102" i="28"/>
  <c r="H102" i="28"/>
  <c r="G109" i="27"/>
  <c r="E109" i="27"/>
  <c r="B109" i="27"/>
  <c r="H109" i="27"/>
  <c r="C109" i="27"/>
  <c r="F109" i="27"/>
  <c r="A110" i="27"/>
  <c r="H103" i="28" l="1"/>
  <c r="F103" i="28"/>
  <c r="C103" i="28"/>
  <c r="G103" i="28"/>
  <c r="A104" i="28"/>
  <c r="E103" i="28"/>
  <c r="B103" i="28"/>
  <c r="H110" i="27"/>
  <c r="F110" i="27"/>
  <c r="G110" i="27"/>
  <c r="A111" i="27"/>
  <c r="E110" i="27"/>
  <c r="C110" i="27"/>
  <c r="B110" i="27"/>
  <c r="G104" i="28" l="1"/>
  <c r="E104" i="28"/>
  <c r="C104" i="28"/>
  <c r="B104" i="28"/>
  <c r="H104" i="28"/>
  <c r="F104" i="28"/>
  <c r="A105" i="28"/>
  <c r="F111" i="27"/>
  <c r="E111" i="27"/>
  <c r="B111" i="27"/>
  <c r="H111" i="27"/>
  <c r="A112" i="27"/>
  <c r="C111" i="27"/>
  <c r="G111" i="27"/>
  <c r="B105" i="28" l="1"/>
  <c r="H105" i="28"/>
  <c r="F105" i="28"/>
  <c r="A106" i="28"/>
  <c r="G105" i="28"/>
  <c r="C105" i="28"/>
  <c r="E105" i="28"/>
  <c r="B112" i="27"/>
  <c r="A113" i="27"/>
  <c r="H112" i="27"/>
  <c r="F112" i="27"/>
  <c r="C112" i="27"/>
  <c r="G112" i="27"/>
  <c r="E112" i="27"/>
  <c r="G106" i="28" l="1"/>
  <c r="F106" i="28"/>
  <c r="B106" i="28"/>
  <c r="H106" i="28"/>
  <c r="E106" i="28"/>
  <c r="C106" i="28"/>
  <c r="A107" i="28"/>
  <c r="G113" i="27"/>
  <c r="F113" i="27"/>
  <c r="E113" i="27"/>
  <c r="C113" i="27"/>
  <c r="B113" i="27"/>
  <c r="A114" i="27"/>
  <c r="H113" i="27"/>
  <c r="E107" i="28" l="1"/>
  <c r="C107" i="28"/>
  <c r="A108" i="28"/>
  <c r="H107" i="28"/>
  <c r="G107" i="28"/>
  <c r="B107" i="28"/>
  <c r="F107" i="28"/>
  <c r="E114" i="27"/>
  <c r="C114" i="27"/>
  <c r="B114" i="27"/>
  <c r="A115" i="27"/>
  <c r="H114" i="27"/>
  <c r="F114" i="27"/>
  <c r="G114" i="27"/>
  <c r="G108" i="28" l="1"/>
  <c r="F108" i="28"/>
  <c r="C108" i="28"/>
  <c r="H108" i="28"/>
  <c r="B108" i="28"/>
  <c r="E108" i="28"/>
  <c r="A109" i="28"/>
  <c r="G115" i="27"/>
  <c r="F115" i="27"/>
  <c r="A116" i="27"/>
  <c r="E115" i="27"/>
  <c r="C115" i="27"/>
  <c r="B115" i="27"/>
  <c r="H115" i="27"/>
  <c r="G109" i="28" l="1"/>
  <c r="F109" i="28"/>
  <c r="E109" i="28"/>
  <c r="B109" i="28"/>
  <c r="C109" i="28"/>
  <c r="H109" i="28"/>
  <c r="A110" i="28"/>
  <c r="G116" i="27"/>
  <c r="F116" i="27"/>
  <c r="A117" i="27"/>
  <c r="E116" i="27"/>
  <c r="C116" i="27"/>
  <c r="B116" i="27"/>
  <c r="H116" i="27"/>
  <c r="G110" i="28" l="1"/>
  <c r="C110" i="28"/>
  <c r="B110" i="28"/>
  <c r="E110" i="28"/>
  <c r="H110" i="28"/>
  <c r="F110" i="28"/>
  <c r="A111" i="28"/>
  <c r="G117" i="27"/>
  <c r="F117" i="27"/>
  <c r="A118" i="27"/>
  <c r="E117" i="27"/>
  <c r="C117" i="27"/>
  <c r="B117" i="27"/>
  <c r="H117" i="27"/>
  <c r="G111" i="28" l="1"/>
  <c r="F111" i="28"/>
  <c r="H111" i="28"/>
  <c r="E111" i="28"/>
  <c r="B111" i="28"/>
  <c r="A112" i="28"/>
  <c r="C111" i="28"/>
  <c r="G118" i="27"/>
  <c r="F118" i="27"/>
  <c r="B118" i="27"/>
  <c r="A119" i="27"/>
  <c r="E118" i="27"/>
  <c r="C118" i="27"/>
  <c r="H118" i="27"/>
  <c r="A113" i="28" l="1"/>
  <c r="G112" i="28"/>
  <c r="H112" i="28"/>
  <c r="F112" i="28"/>
  <c r="B112" i="28"/>
  <c r="E112" i="28"/>
  <c r="C112" i="28"/>
  <c r="A120" i="27"/>
  <c r="H119" i="27"/>
  <c r="G119" i="27"/>
  <c r="F119" i="27"/>
  <c r="E119" i="27"/>
  <c r="B119" i="27"/>
  <c r="C119" i="27"/>
  <c r="G113" i="28" l="1"/>
  <c r="F113" i="28"/>
  <c r="C113" i="28"/>
  <c r="B113" i="28"/>
  <c r="A114" i="28"/>
  <c r="E113" i="28"/>
  <c r="H113" i="28"/>
  <c r="G120" i="27"/>
  <c r="F120" i="27"/>
  <c r="E120" i="27"/>
  <c r="C120" i="27"/>
  <c r="A121" i="27"/>
  <c r="B120" i="27"/>
  <c r="H120" i="27"/>
  <c r="C114" i="28" l="1"/>
  <c r="H114" i="28"/>
  <c r="G114" i="28"/>
  <c r="B114" i="28"/>
  <c r="F114" i="28"/>
  <c r="A115" i="28"/>
  <c r="E114" i="28"/>
  <c r="C121" i="27"/>
  <c r="B121" i="27"/>
  <c r="A122" i="27"/>
  <c r="E121" i="27"/>
  <c r="H121" i="27"/>
  <c r="G121" i="27"/>
  <c r="F121" i="27"/>
  <c r="G115" i="28" l="1"/>
  <c r="F115" i="28"/>
  <c r="A116" i="28"/>
  <c r="E115" i="28"/>
  <c r="B115" i="28"/>
  <c r="C115" i="28"/>
  <c r="H115" i="28"/>
  <c r="G122" i="27"/>
  <c r="F122" i="27"/>
  <c r="E122" i="27"/>
  <c r="C122" i="27"/>
  <c r="B122" i="27"/>
  <c r="H122" i="27"/>
  <c r="A123" i="27"/>
  <c r="F116" i="28" l="1"/>
  <c r="E116" i="28"/>
  <c r="B116" i="28"/>
  <c r="A117" i="28"/>
  <c r="C116" i="28"/>
  <c r="G116" i="28"/>
  <c r="H116" i="28"/>
  <c r="F123" i="27"/>
  <c r="E123" i="27"/>
  <c r="C123" i="27"/>
  <c r="B123" i="27"/>
  <c r="A124" i="27"/>
  <c r="H123" i="27"/>
  <c r="G123" i="27"/>
  <c r="G117" i="28" l="1"/>
  <c r="F117" i="28"/>
  <c r="B117" i="28"/>
  <c r="E117" i="28"/>
  <c r="A118" i="28"/>
  <c r="C117" i="28"/>
  <c r="H117" i="28"/>
  <c r="G124" i="27"/>
  <c r="F124" i="27"/>
  <c r="C124" i="27"/>
  <c r="B124" i="27"/>
  <c r="A125" i="27"/>
  <c r="E124" i="27"/>
  <c r="H124" i="27"/>
  <c r="G118" i="28" l="1"/>
  <c r="F118" i="28"/>
  <c r="E118" i="28"/>
  <c r="C118" i="28"/>
  <c r="B118" i="28"/>
  <c r="A119" i="28"/>
  <c r="H118" i="28"/>
  <c r="G125" i="27"/>
  <c r="F125" i="27"/>
  <c r="B125" i="27"/>
  <c r="C125" i="27"/>
  <c r="A126" i="27"/>
  <c r="H125" i="27"/>
  <c r="E125" i="27"/>
  <c r="H119" i="28" l="1"/>
  <c r="F119" i="28"/>
  <c r="C119" i="28"/>
  <c r="G119" i="28"/>
  <c r="E119" i="28"/>
  <c r="B119" i="28"/>
  <c r="A120" i="28"/>
  <c r="H126" i="27"/>
  <c r="E126" i="27"/>
  <c r="A127" i="27"/>
  <c r="G126" i="27"/>
  <c r="F126" i="27"/>
  <c r="C126" i="27"/>
  <c r="B126" i="27"/>
  <c r="G120" i="28" l="1"/>
  <c r="F120" i="28"/>
  <c r="E120" i="28"/>
  <c r="C120" i="28"/>
  <c r="B120" i="28"/>
  <c r="A121" i="28"/>
  <c r="H120" i="28"/>
  <c r="G127" i="27"/>
  <c r="F127" i="27"/>
  <c r="C127" i="27"/>
  <c r="B127" i="27"/>
  <c r="A128" i="27"/>
  <c r="E127" i="27"/>
  <c r="H127" i="27"/>
  <c r="B121" i="28" l="1"/>
  <c r="H121" i="28"/>
  <c r="G121" i="28"/>
  <c r="F121" i="28"/>
  <c r="C121" i="28"/>
  <c r="A122" i="28"/>
  <c r="E121" i="28"/>
  <c r="B128" i="27"/>
  <c r="A129" i="27"/>
  <c r="C128" i="27"/>
  <c r="H128" i="27"/>
  <c r="G128" i="27"/>
  <c r="F128" i="27"/>
  <c r="E128" i="27"/>
  <c r="G122" i="28" l="1"/>
  <c r="F122" i="28"/>
  <c r="E122" i="28"/>
  <c r="H122" i="28"/>
  <c r="A123" i="28"/>
  <c r="C122" i="28"/>
  <c r="B122" i="28"/>
  <c r="G129" i="27"/>
  <c r="F129" i="27"/>
  <c r="E129" i="27"/>
  <c r="C129" i="27"/>
  <c r="B129" i="27"/>
  <c r="H129" i="27"/>
  <c r="A130" i="27"/>
  <c r="E123" i="28" l="1"/>
  <c r="C123" i="28"/>
  <c r="B123" i="28"/>
  <c r="H123" i="28"/>
  <c r="F123" i="28"/>
  <c r="A124" i="28"/>
  <c r="G123" i="28"/>
  <c r="E130" i="27"/>
  <c r="C130" i="27"/>
  <c r="H130" i="27"/>
  <c r="G130" i="27"/>
  <c r="B130" i="27"/>
  <c r="A131" i="27"/>
  <c r="F130" i="27"/>
  <c r="G124" i="28" l="1"/>
  <c r="F124" i="28"/>
  <c r="E124" i="28"/>
  <c r="C124" i="28"/>
  <c r="H124" i="28"/>
  <c r="A125" i="28"/>
  <c r="B124" i="28"/>
  <c r="G131" i="27"/>
  <c r="F131" i="27"/>
  <c r="A132" i="27"/>
  <c r="E131" i="27"/>
  <c r="C131" i="27"/>
  <c r="B131" i="27"/>
  <c r="H131" i="27"/>
  <c r="G125" i="28" l="1"/>
  <c r="F125" i="28"/>
  <c r="E125" i="28"/>
  <c r="C125" i="28"/>
  <c r="A126" i="28"/>
  <c r="B125" i="28"/>
  <c r="H125" i="28"/>
  <c r="G132" i="27"/>
  <c r="F132" i="27"/>
  <c r="H132" i="27"/>
  <c r="E132" i="27"/>
  <c r="C132" i="27"/>
  <c r="B132" i="27"/>
  <c r="A133" i="27"/>
  <c r="G126" i="28" l="1"/>
  <c r="E126" i="28"/>
  <c r="F126" i="28"/>
  <c r="C126" i="28"/>
  <c r="B126" i="28"/>
  <c r="A127" i="28"/>
  <c r="H126" i="28"/>
  <c r="G133" i="27"/>
  <c r="C133" i="27"/>
  <c r="F133" i="27"/>
  <c r="A134" i="27"/>
  <c r="E133" i="27"/>
  <c r="B133" i="27"/>
  <c r="H133" i="27"/>
  <c r="G127" i="28" l="1"/>
  <c r="F127" i="28"/>
  <c r="H127" i="28"/>
  <c r="E127" i="28"/>
  <c r="C127" i="28"/>
  <c r="B127" i="28"/>
  <c r="A128" i="28"/>
  <c r="G134" i="27"/>
  <c r="C134" i="27"/>
  <c r="B134" i="27"/>
  <c r="H134" i="27"/>
  <c r="F134" i="27"/>
  <c r="E134" i="27"/>
  <c r="A135" i="27"/>
  <c r="A129" i="28" l="1"/>
  <c r="G128" i="28"/>
  <c r="E128" i="28"/>
  <c r="H128" i="28"/>
  <c r="F128" i="28"/>
  <c r="C128" i="28"/>
  <c r="B128" i="28"/>
  <c r="A136" i="27"/>
  <c r="H135" i="27"/>
  <c r="B135" i="27"/>
  <c r="G135" i="27"/>
  <c r="F135" i="27"/>
  <c r="E135" i="27"/>
  <c r="C135" i="27"/>
  <c r="G129" i="28" l="1"/>
  <c r="C129" i="28"/>
  <c r="B129" i="28"/>
  <c r="F129" i="28"/>
  <c r="H129" i="28"/>
  <c r="E129" i="28"/>
  <c r="A130" i="28"/>
  <c r="G136" i="27"/>
  <c r="C136" i="27"/>
  <c r="B136" i="27"/>
  <c r="A137" i="27"/>
  <c r="F136" i="27"/>
  <c r="E136" i="27"/>
  <c r="H136" i="27"/>
  <c r="C130" i="28" l="1"/>
  <c r="H130" i="28"/>
  <c r="B130" i="28"/>
  <c r="E130" i="28"/>
  <c r="A131" i="28"/>
  <c r="G130" i="28"/>
  <c r="F130" i="28"/>
  <c r="C137" i="27"/>
  <c r="B137" i="27"/>
  <c r="A138" i="27"/>
  <c r="G137" i="27"/>
  <c r="E137" i="27"/>
  <c r="H137" i="27"/>
  <c r="F137" i="27"/>
  <c r="G131" i="28" l="1"/>
  <c r="F131" i="28"/>
  <c r="E131" i="28"/>
  <c r="C131" i="28"/>
  <c r="B131" i="28"/>
  <c r="A132" i="28"/>
  <c r="H131" i="28"/>
  <c r="G138" i="27"/>
  <c r="F138" i="27"/>
  <c r="E138" i="27"/>
  <c r="B138" i="27"/>
  <c r="H138" i="27"/>
  <c r="C138" i="27"/>
  <c r="A139" i="27"/>
  <c r="F132" i="28" l="1"/>
  <c r="B132" i="28"/>
  <c r="G132" i="28"/>
  <c r="E132" i="28"/>
  <c r="H132" i="28"/>
  <c r="C132" i="28"/>
  <c r="A133" i="28"/>
  <c r="F139" i="27"/>
  <c r="E139" i="27"/>
  <c r="C139" i="27"/>
  <c r="A140" i="27"/>
  <c r="H139" i="27"/>
  <c r="G139" i="27"/>
  <c r="B139" i="27"/>
  <c r="G133" i="28" l="1"/>
  <c r="F133" i="28"/>
  <c r="C133" i="28"/>
  <c r="B133" i="28"/>
  <c r="E133" i="28"/>
  <c r="A134" i="28"/>
  <c r="H133" i="28"/>
  <c r="G140" i="27"/>
  <c r="B140" i="27"/>
  <c r="F140" i="27"/>
  <c r="E140" i="27"/>
  <c r="A141" i="27"/>
  <c r="C140" i="27"/>
  <c r="H140" i="27"/>
  <c r="G134" i="28" l="1"/>
  <c r="C134" i="28"/>
  <c r="F134" i="28"/>
  <c r="H134" i="28"/>
  <c r="E134" i="28"/>
  <c r="B134" i="28"/>
  <c r="A135" i="28"/>
  <c r="G141" i="27"/>
  <c r="F141" i="27"/>
  <c r="E141" i="27"/>
  <c r="H141" i="27"/>
  <c r="C141" i="27"/>
  <c r="B141" i="27"/>
  <c r="A142" i="27"/>
  <c r="H135" i="28" l="1"/>
  <c r="F135" i="28"/>
  <c r="E135" i="28"/>
  <c r="C135" i="28"/>
  <c r="A136" i="28"/>
  <c r="G135" i="28"/>
  <c r="B135" i="28"/>
  <c r="H142" i="27"/>
  <c r="F142" i="27"/>
  <c r="E142" i="27"/>
  <c r="G142" i="27"/>
  <c r="C142" i="27"/>
  <c r="A143" i="27"/>
  <c r="B142" i="27"/>
  <c r="G136" i="28" l="1"/>
  <c r="F136" i="28"/>
  <c r="E136" i="28"/>
  <c r="B136" i="28"/>
  <c r="H136" i="28"/>
  <c r="C136" i="28"/>
  <c r="A137" i="28"/>
  <c r="G143" i="27"/>
  <c r="E143" i="27"/>
  <c r="F143" i="27"/>
  <c r="B143" i="27"/>
  <c r="H143" i="27"/>
  <c r="C143" i="27"/>
  <c r="A144" i="27"/>
  <c r="B137" i="28" l="1"/>
  <c r="A138" i="28"/>
  <c r="G137" i="28"/>
  <c r="H137" i="28"/>
  <c r="F137" i="28"/>
  <c r="C137" i="28"/>
  <c r="E137" i="28"/>
  <c r="B144" i="27"/>
  <c r="H144" i="27"/>
  <c r="A145" i="27"/>
  <c r="G144" i="27"/>
  <c r="F144" i="27"/>
  <c r="E144" i="27"/>
  <c r="C144" i="27"/>
  <c r="G138" i="28" l="1"/>
  <c r="F138" i="28"/>
  <c r="C138" i="28"/>
  <c r="B138" i="28"/>
  <c r="H138" i="28"/>
  <c r="E138" i="28"/>
  <c r="A139" i="28"/>
  <c r="G145" i="27"/>
  <c r="F145" i="27"/>
  <c r="C145" i="27"/>
  <c r="A146" i="27"/>
  <c r="E145" i="27"/>
  <c r="B145" i="27"/>
  <c r="H145" i="27"/>
  <c r="E139" i="28" l="1"/>
  <c r="C139" i="28"/>
  <c r="G139" i="28"/>
  <c r="B139" i="28"/>
  <c r="A140" i="28"/>
  <c r="H139" i="28"/>
  <c r="F139" i="28"/>
  <c r="E146" i="27"/>
  <c r="C146" i="27"/>
  <c r="B146" i="27"/>
  <c r="H146" i="27"/>
  <c r="G146" i="27"/>
  <c r="A147" i="27"/>
  <c r="F146" i="27"/>
  <c r="G140" i="28" l="1"/>
  <c r="F140" i="28"/>
  <c r="E140" i="28"/>
  <c r="B140" i="28"/>
  <c r="C140" i="28"/>
  <c r="H140" i="28"/>
  <c r="A141" i="28"/>
  <c r="G147" i="27"/>
  <c r="C147" i="27"/>
  <c r="H147" i="27"/>
  <c r="F147" i="27"/>
  <c r="B147" i="27"/>
  <c r="A148" i="27"/>
  <c r="E147" i="27"/>
  <c r="G141" i="28" l="1"/>
  <c r="F141" i="28"/>
  <c r="E141" i="28"/>
  <c r="B141" i="28"/>
  <c r="C141" i="28"/>
  <c r="A142" i="28"/>
  <c r="H141" i="28"/>
  <c r="G148" i="27"/>
  <c r="F148" i="27"/>
  <c r="C148" i="27"/>
  <c r="B148" i="27"/>
  <c r="E148" i="27"/>
  <c r="A149" i="27"/>
  <c r="H148" i="27"/>
  <c r="G142" i="28" l="1"/>
  <c r="E142" i="28"/>
  <c r="B142" i="28"/>
  <c r="F142" i="28"/>
  <c r="C142" i="28"/>
  <c r="H142" i="28"/>
  <c r="A143" i="28"/>
  <c r="G149" i="27"/>
  <c r="C149" i="27"/>
  <c r="H149" i="27"/>
  <c r="F149" i="27"/>
  <c r="A150" i="27"/>
  <c r="E149" i="27"/>
  <c r="B149" i="27"/>
  <c r="G143" i="28" l="1"/>
  <c r="F143" i="28"/>
  <c r="C143" i="28"/>
  <c r="B143" i="28"/>
  <c r="H143" i="28"/>
  <c r="E143" i="28"/>
  <c r="A144" i="28"/>
  <c r="G150" i="27"/>
  <c r="F150" i="27"/>
  <c r="C150" i="27"/>
  <c r="H150" i="27"/>
  <c r="E150" i="27"/>
  <c r="A151" i="27"/>
  <c r="B150" i="27"/>
  <c r="A145" i="28" l="1"/>
  <c r="G144" i="28"/>
  <c r="C144" i="28"/>
  <c r="H144" i="28"/>
  <c r="F144" i="28"/>
  <c r="E144" i="28"/>
  <c r="B144" i="28"/>
  <c r="A152" i="27"/>
  <c r="H151" i="27"/>
  <c r="G151" i="27"/>
  <c r="F151" i="27"/>
  <c r="E151" i="27"/>
  <c r="B151" i="27"/>
  <c r="C151" i="27"/>
  <c r="G145" i="28" l="1"/>
  <c r="F145" i="28"/>
  <c r="H145" i="28"/>
  <c r="E145" i="28"/>
  <c r="C145" i="28"/>
  <c r="B145" i="28"/>
  <c r="A146" i="28"/>
  <c r="G152" i="27"/>
  <c r="C152" i="27"/>
  <c r="B152" i="27"/>
  <c r="A153" i="27"/>
  <c r="F152" i="27"/>
  <c r="E152" i="27"/>
  <c r="H152" i="27"/>
  <c r="C146" i="28" l="1"/>
  <c r="B146" i="28"/>
  <c r="A147" i="28"/>
  <c r="H146" i="28"/>
  <c r="E146" i="28"/>
  <c r="G146" i="28"/>
  <c r="F146" i="28"/>
  <c r="C153" i="27"/>
  <c r="B153" i="27"/>
  <c r="A154" i="27"/>
  <c r="G153" i="27"/>
  <c r="E153" i="27"/>
  <c r="F153" i="27"/>
  <c r="H153" i="27"/>
  <c r="G147" i="28" l="1"/>
  <c r="A148" i="28"/>
  <c r="F147" i="28"/>
  <c r="C147" i="28"/>
  <c r="E147" i="28"/>
  <c r="B147" i="28"/>
  <c r="H147" i="28"/>
  <c r="G154" i="27"/>
  <c r="F154" i="27"/>
  <c r="C154" i="27"/>
  <c r="B154" i="27"/>
  <c r="A155" i="27"/>
  <c r="H154" i="27"/>
  <c r="E154" i="27"/>
  <c r="F148" i="28" l="1"/>
  <c r="E148" i="28"/>
  <c r="C148" i="28"/>
  <c r="B148" i="28"/>
  <c r="A149" i="28"/>
  <c r="H148" i="28"/>
  <c r="G148" i="28"/>
  <c r="F155" i="27"/>
  <c r="E155" i="27"/>
  <c r="C155" i="27"/>
  <c r="B155" i="27"/>
  <c r="A156" i="27"/>
  <c r="G155" i="27"/>
  <c r="H155" i="27"/>
  <c r="G149" i="28" l="1"/>
  <c r="B149" i="28"/>
  <c r="H149" i="28"/>
  <c r="F149" i="28"/>
  <c r="C149" i="28"/>
  <c r="E149" i="28"/>
  <c r="A150" i="28"/>
  <c r="G156" i="27"/>
  <c r="F156" i="27"/>
  <c r="E156" i="27"/>
  <c r="C156" i="27"/>
  <c r="B156" i="27"/>
  <c r="H156" i="27"/>
  <c r="A157" i="27"/>
  <c r="G150" i="28" l="1"/>
  <c r="F150" i="28"/>
  <c r="H150" i="28"/>
  <c r="E150" i="28"/>
  <c r="C150" i="28"/>
  <c r="B150" i="28"/>
  <c r="A151" i="28"/>
  <c r="G157" i="27"/>
  <c r="F157" i="27"/>
  <c r="B157" i="27"/>
  <c r="E157" i="27"/>
  <c r="C157" i="27"/>
  <c r="A158" i="27"/>
  <c r="H157" i="27"/>
  <c r="H151" i="28" l="1"/>
  <c r="G151" i="28"/>
  <c r="E151" i="28"/>
  <c r="F151" i="28"/>
  <c r="C151" i="28"/>
  <c r="B151" i="28"/>
  <c r="A152" i="28"/>
  <c r="H158" i="27"/>
  <c r="B158" i="27"/>
  <c r="G158" i="27"/>
  <c r="E158" i="27"/>
  <c r="F158" i="27"/>
  <c r="C158" i="27"/>
  <c r="A159" i="27"/>
  <c r="G152" i="28" l="1"/>
  <c r="F152" i="28"/>
  <c r="E152" i="28"/>
  <c r="B152" i="28"/>
  <c r="C152" i="28"/>
  <c r="H152" i="28"/>
  <c r="A153" i="28"/>
  <c r="G159" i="27"/>
  <c r="F159" i="27"/>
  <c r="E159" i="27"/>
  <c r="B159" i="27"/>
  <c r="C159" i="27"/>
  <c r="A160" i="27"/>
  <c r="H159" i="27"/>
  <c r="B153" i="28" l="1"/>
  <c r="H153" i="28"/>
  <c r="G153" i="28"/>
  <c r="F153" i="28"/>
  <c r="E153" i="28"/>
  <c r="A154" i="28"/>
  <c r="C153" i="28"/>
  <c r="B160" i="27"/>
  <c r="A161" i="27"/>
  <c r="H160" i="27"/>
  <c r="F160" i="27"/>
  <c r="E160" i="27"/>
  <c r="G160" i="27"/>
  <c r="C160" i="27"/>
  <c r="G154" i="28" l="1"/>
  <c r="F154" i="28"/>
  <c r="H154" i="28"/>
  <c r="E154" i="28"/>
  <c r="C154" i="28"/>
  <c r="B154" i="28"/>
  <c r="A155" i="28"/>
  <c r="G161" i="27"/>
  <c r="F161" i="27"/>
  <c r="E161" i="27"/>
  <c r="C161" i="27"/>
  <c r="B161" i="27"/>
  <c r="H161" i="27"/>
  <c r="A162" i="27"/>
  <c r="E155" i="28" l="1"/>
  <c r="C155" i="28"/>
  <c r="G155" i="28"/>
  <c r="F155" i="28"/>
  <c r="B155" i="28"/>
  <c r="H155" i="28"/>
  <c r="A156" i="28"/>
  <c r="E162" i="27"/>
  <c r="C162" i="27"/>
  <c r="B162" i="27"/>
  <c r="H162" i="27"/>
  <c r="F162" i="27"/>
  <c r="G162" i="27"/>
  <c r="A163" i="27"/>
  <c r="G156" i="28" l="1"/>
  <c r="F156" i="28"/>
  <c r="E156" i="28"/>
  <c r="B156" i="28"/>
  <c r="C156" i="28"/>
  <c r="A157" i="28"/>
  <c r="H156" i="28"/>
  <c r="G163" i="27"/>
  <c r="F163" i="27"/>
  <c r="E163" i="27"/>
  <c r="C163" i="27"/>
  <c r="H163" i="27"/>
  <c r="B163" i="27"/>
  <c r="A164" i="27"/>
  <c r="G157" i="28" l="1"/>
  <c r="F157" i="28"/>
  <c r="E157" i="28"/>
  <c r="C157" i="28"/>
  <c r="B157" i="28"/>
  <c r="H157" i="28"/>
  <c r="A158" i="28"/>
  <c r="G164" i="27"/>
  <c r="A165" i="27"/>
  <c r="F164" i="27"/>
  <c r="E164" i="27"/>
  <c r="C164" i="27"/>
  <c r="B164" i="27"/>
  <c r="H164" i="27"/>
  <c r="G158" i="28" l="1"/>
  <c r="E158" i="28"/>
  <c r="C158" i="28"/>
  <c r="A159" i="28"/>
  <c r="F158" i="28"/>
  <c r="B158" i="28"/>
  <c r="H158" i="28"/>
  <c r="G165" i="27"/>
  <c r="C165" i="27"/>
  <c r="B165" i="27"/>
  <c r="A166" i="27"/>
  <c r="F165" i="27"/>
  <c r="E165" i="27"/>
  <c r="H165" i="27"/>
  <c r="G159" i="28" l="1"/>
  <c r="F159" i="28"/>
  <c r="B159" i="28"/>
  <c r="H159" i="28"/>
  <c r="E159" i="28"/>
  <c r="C159" i="28"/>
  <c r="A160" i="28"/>
  <c r="G166" i="27"/>
  <c r="C166" i="27"/>
  <c r="B166" i="27"/>
  <c r="F166" i="27"/>
  <c r="H166" i="27"/>
  <c r="E166" i="27"/>
  <c r="A167" i="27"/>
  <c r="A161" i="28" l="1"/>
  <c r="G160" i="28"/>
  <c r="F160" i="28"/>
  <c r="E160" i="28"/>
  <c r="H160" i="28"/>
  <c r="C160" i="28"/>
  <c r="B160" i="28"/>
  <c r="A168" i="27"/>
  <c r="F167" i="27"/>
  <c r="E167" i="27"/>
  <c r="H167" i="27"/>
  <c r="G167" i="27"/>
  <c r="C167" i="27"/>
  <c r="B167" i="27"/>
  <c r="G161" i="28" l="1"/>
  <c r="B161" i="28"/>
  <c r="F161" i="28"/>
  <c r="E161" i="28"/>
  <c r="H161" i="28"/>
  <c r="C161" i="28"/>
  <c r="A162" i="28"/>
  <c r="G168" i="27"/>
  <c r="E168" i="27"/>
  <c r="H168" i="27"/>
  <c r="F168" i="27"/>
  <c r="B168" i="27"/>
  <c r="C168" i="27"/>
  <c r="A169" i="27"/>
  <c r="C162" i="28" l="1"/>
  <c r="F162" i="28"/>
  <c r="B162" i="28"/>
  <c r="A163" i="28"/>
  <c r="H162" i="28"/>
  <c r="G162" i="28"/>
  <c r="E162" i="28"/>
  <c r="C169" i="27"/>
  <c r="A170" i="27"/>
  <c r="H169" i="27"/>
  <c r="E169" i="27"/>
  <c r="B169" i="27"/>
  <c r="F169" i="27"/>
  <c r="G169" i="27"/>
  <c r="G163" i="28" l="1"/>
  <c r="F163" i="28"/>
  <c r="E163" i="28"/>
  <c r="C163" i="28"/>
  <c r="B163" i="28"/>
  <c r="A164" i="28"/>
  <c r="H163" i="28"/>
  <c r="G170" i="27"/>
  <c r="F170" i="27"/>
  <c r="C170" i="27"/>
  <c r="A171" i="27"/>
  <c r="E170" i="27"/>
  <c r="B170" i="27"/>
  <c r="H170" i="27"/>
  <c r="F164" i="28" l="1"/>
  <c r="E164" i="28"/>
  <c r="C164" i="28"/>
  <c r="A165" i="28"/>
  <c r="B164" i="28"/>
  <c r="G164" i="28"/>
  <c r="H164" i="28"/>
  <c r="F171" i="27"/>
  <c r="E171" i="27"/>
  <c r="A172" i="27"/>
  <c r="H171" i="27"/>
  <c r="C171" i="27"/>
  <c r="B171" i="27"/>
  <c r="G171" i="27"/>
  <c r="G165" i="28" l="1"/>
  <c r="C165" i="28"/>
  <c r="F165" i="28"/>
  <c r="E165" i="28"/>
  <c r="A166" i="28"/>
  <c r="B165" i="28"/>
  <c r="H165" i="28"/>
  <c r="G172" i="27"/>
  <c r="E172" i="27"/>
  <c r="C172" i="27"/>
  <c r="H172" i="27"/>
  <c r="F172" i="27"/>
  <c r="B172" i="27"/>
  <c r="A173" i="27"/>
  <c r="G166" i="28" l="1"/>
  <c r="C166" i="28"/>
  <c r="A167" i="28"/>
  <c r="F166" i="28"/>
  <c r="E166" i="28"/>
  <c r="B166" i="28"/>
  <c r="H166" i="28"/>
  <c r="G173" i="27"/>
  <c r="F173" i="27"/>
  <c r="E173" i="27"/>
  <c r="C173" i="27"/>
  <c r="H173" i="27"/>
  <c r="B173" i="27"/>
  <c r="A174" i="27"/>
  <c r="H167" i="28" l="1"/>
  <c r="F167" i="28"/>
  <c r="B167" i="28"/>
  <c r="E167" i="28"/>
  <c r="G167" i="28"/>
  <c r="C167" i="28"/>
  <c r="A168" i="28"/>
  <c r="H174" i="27"/>
  <c r="G174" i="27"/>
  <c r="F174" i="27"/>
  <c r="B174" i="27"/>
  <c r="E174" i="27"/>
  <c r="C174" i="27"/>
  <c r="A175" i="27"/>
  <c r="G168" i="28" l="1"/>
  <c r="F168" i="28"/>
  <c r="E168" i="28"/>
  <c r="B168" i="28"/>
  <c r="A169" i="28"/>
  <c r="H168" i="28"/>
  <c r="C168" i="28"/>
  <c r="G175" i="27"/>
  <c r="E175" i="27"/>
  <c r="B175" i="27"/>
  <c r="H175" i="27"/>
  <c r="F175" i="27"/>
  <c r="C175" i="27"/>
  <c r="A176" i="27"/>
  <c r="B169" i="28" l="1"/>
  <c r="H169" i="28"/>
  <c r="A170" i="28"/>
  <c r="F169" i="28"/>
  <c r="C169" i="28"/>
  <c r="G169" i="28"/>
  <c r="E169" i="28"/>
  <c r="B176" i="27"/>
  <c r="A177" i="27"/>
  <c r="H176" i="27"/>
  <c r="G176" i="27"/>
  <c r="F176" i="27"/>
  <c r="E176" i="27"/>
  <c r="C176" i="27"/>
  <c r="G170" i="28" l="1"/>
  <c r="F170" i="28"/>
  <c r="C170" i="28"/>
  <c r="B170" i="28"/>
  <c r="E170" i="28"/>
  <c r="A171" i="28"/>
  <c r="H170" i="28"/>
  <c r="G177" i="27"/>
  <c r="C177" i="27"/>
  <c r="F177" i="27"/>
  <c r="E177" i="27"/>
  <c r="B177" i="27"/>
  <c r="H177" i="27"/>
  <c r="A178" i="27"/>
  <c r="E171" i="28" l="1"/>
  <c r="B171" i="28"/>
  <c r="H171" i="28"/>
  <c r="C171" i="28"/>
  <c r="A172" i="28"/>
  <c r="F171" i="28"/>
  <c r="G171" i="28"/>
  <c r="E178" i="27"/>
  <c r="C178" i="27"/>
  <c r="B178" i="27"/>
  <c r="A179" i="27"/>
  <c r="F178" i="27"/>
  <c r="H178" i="27"/>
  <c r="G178" i="27"/>
  <c r="G172" i="28" l="1"/>
  <c r="F172" i="28"/>
  <c r="E172" i="28"/>
  <c r="B172" i="28"/>
  <c r="C172" i="28"/>
  <c r="H172" i="28"/>
  <c r="A173" i="28"/>
  <c r="G179" i="27"/>
  <c r="F179" i="27"/>
  <c r="E179" i="27"/>
  <c r="C179" i="27"/>
  <c r="B179" i="27"/>
  <c r="H179" i="27"/>
  <c r="A180" i="27"/>
  <c r="G173" i="28" l="1"/>
  <c r="B173" i="28"/>
  <c r="F173" i="28"/>
  <c r="A174" i="28"/>
  <c r="E173" i="28"/>
  <c r="H173" i="28"/>
  <c r="C173" i="28"/>
  <c r="G180" i="27"/>
  <c r="F180" i="27"/>
  <c r="A181" i="27"/>
  <c r="E180" i="27"/>
  <c r="C180" i="27"/>
  <c r="B180" i="27"/>
  <c r="H180" i="27"/>
  <c r="G174" i="28" l="1"/>
  <c r="E174" i="28"/>
  <c r="A175" i="28"/>
  <c r="F174" i="28"/>
  <c r="C174" i="28"/>
  <c r="B174" i="28"/>
  <c r="H174" i="28"/>
  <c r="G181" i="27"/>
  <c r="F181" i="27"/>
  <c r="E181" i="27"/>
  <c r="B181" i="27"/>
  <c r="H181" i="27"/>
  <c r="C181" i="27"/>
  <c r="A182" i="27"/>
  <c r="G175" i="28" l="1"/>
  <c r="F175" i="28"/>
  <c r="E175" i="28"/>
  <c r="C175" i="28"/>
  <c r="B175" i="28"/>
  <c r="H175" i="28"/>
  <c r="A176" i="28"/>
  <c r="G182" i="27"/>
  <c r="F182" i="27"/>
  <c r="H182" i="27"/>
  <c r="E182" i="27"/>
  <c r="C182" i="27"/>
  <c r="B182" i="27"/>
  <c r="A183" i="27"/>
  <c r="A177" i="28" l="1"/>
  <c r="G176" i="28"/>
  <c r="E176" i="28"/>
  <c r="H176" i="28"/>
  <c r="C176" i="28"/>
  <c r="F176" i="28"/>
  <c r="B176" i="28"/>
  <c r="A184" i="27"/>
  <c r="H183" i="27"/>
  <c r="F183" i="27"/>
  <c r="E183" i="27"/>
  <c r="C183" i="27"/>
  <c r="G183" i="27"/>
  <c r="B183" i="27"/>
  <c r="G177" i="28" l="1"/>
  <c r="H177" i="28"/>
  <c r="F177" i="28"/>
  <c r="E177" i="28"/>
  <c r="C177" i="28"/>
  <c r="B177" i="28"/>
  <c r="A178" i="28"/>
  <c r="G184" i="27"/>
  <c r="C184" i="27"/>
  <c r="B184" i="27"/>
  <c r="A185" i="27"/>
  <c r="F184" i="27"/>
  <c r="E184" i="27"/>
  <c r="H184" i="27"/>
  <c r="C178" i="28" l="1"/>
  <c r="B178" i="28"/>
  <c r="G178" i="28"/>
  <c r="H178" i="28"/>
  <c r="E178" i="28"/>
  <c r="F178" i="28"/>
  <c r="A179" i="28"/>
  <c r="C185" i="27"/>
  <c r="B185" i="27"/>
  <c r="H185" i="27"/>
  <c r="G185" i="27"/>
  <c r="A186" i="27"/>
  <c r="E185" i="27"/>
  <c r="F185" i="27"/>
  <c r="G179" i="28" l="1"/>
  <c r="F179" i="28"/>
  <c r="E179" i="28"/>
  <c r="C179" i="28"/>
  <c r="A180" i="28"/>
  <c r="B179" i="28"/>
  <c r="H179" i="28"/>
  <c r="G186" i="27"/>
  <c r="F186" i="27"/>
  <c r="B186" i="27"/>
  <c r="E186" i="27"/>
  <c r="C186" i="27"/>
  <c r="H186" i="27"/>
  <c r="A187" i="27"/>
  <c r="F180" i="28" l="1"/>
  <c r="E180" i="28"/>
  <c r="A181" i="28"/>
  <c r="C180" i="28"/>
  <c r="G180" i="28"/>
  <c r="B180" i="28"/>
  <c r="H180" i="28"/>
  <c r="F187" i="27"/>
  <c r="E187" i="27"/>
  <c r="C187" i="27"/>
  <c r="A188" i="27"/>
  <c r="H187" i="27"/>
  <c r="B187" i="27"/>
  <c r="G187" i="27"/>
  <c r="G181" i="28" l="1"/>
  <c r="F181" i="28"/>
  <c r="C181" i="28"/>
  <c r="E181" i="28"/>
  <c r="B181" i="28"/>
  <c r="H181" i="28"/>
  <c r="A182" i="28"/>
  <c r="G188" i="27"/>
  <c r="F188" i="27"/>
  <c r="E188" i="27"/>
  <c r="C188" i="27"/>
  <c r="B188" i="27"/>
  <c r="H188" i="27"/>
  <c r="A189" i="27"/>
  <c r="G182" i="28" l="1"/>
  <c r="F182" i="28"/>
  <c r="E182" i="28"/>
  <c r="C182" i="28"/>
  <c r="B182" i="28"/>
  <c r="H182" i="28"/>
  <c r="A183" i="28"/>
  <c r="G189" i="27"/>
  <c r="F189" i="27"/>
  <c r="C189" i="27"/>
  <c r="B189" i="27"/>
  <c r="E189" i="27"/>
  <c r="A190" i="27"/>
  <c r="H189" i="27"/>
  <c r="H183" i="28" l="1"/>
  <c r="F183" i="28"/>
  <c r="C183" i="28"/>
  <c r="G183" i="28"/>
  <c r="E183" i="28"/>
  <c r="A184" i="28"/>
  <c r="B183" i="28"/>
  <c r="B190" i="27"/>
  <c r="F190" i="27"/>
  <c r="C190" i="27"/>
  <c r="A191" i="27"/>
  <c r="H190" i="27"/>
  <c r="G190" i="27"/>
  <c r="E190" i="27"/>
  <c r="G184" i="28" l="1"/>
  <c r="F184" i="28"/>
  <c r="E184" i="28"/>
  <c r="C184" i="28"/>
  <c r="B184" i="28"/>
  <c r="A185" i="28"/>
  <c r="H184" i="28"/>
  <c r="G191" i="27"/>
  <c r="F191" i="27"/>
  <c r="E191" i="27"/>
  <c r="C191" i="27"/>
  <c r="A192" i="27"/>
  <c r="B191" i="27"/>
  <c r="H191" i="27"/>
  <c r="B185" i="28" l="1"/>
  <c r="H185" i="28"/>
  <c r="A186" i="28"/>
  <c r="G185" i="28"/>
  <c r="F185" i="28"/>
  <c r="E185" i="28"/>
  <c r="C185" i="28"/>
  <c r="H192" i="27"/>
  <c r="F192" i="27"/>
  <c r="C192" i="27"/>
  <c r="B192" i="27"/>
  <c r="G192" i="27"/>
  <c r="E192" i="27"/>
  <c r="A193" i="27"/>
  <c r="G186" i="28" l="1"/>
  <c r="F186" i="28"/>
  <c r="E186" i="28"/>
  <c r="A187" i="28"/>
  <c r="C186" i="28"/>
  <c r="B186" i="28"/>
  <c r="H186" i="28"/>
  <c r="G193" i="27"/>
  <c r="F193" i="27"/>
  <c r="E193" i="27"/>
  <c r="C193" i="27"/>
  <c r="B193" i="27"/>
  <c r="A194" i="27"/>
  <c r="H193" i="27"/>
  <c r="E187" i="28" l="1"/>
  <c r="C187" i="28"/>
  <c r="B187" i="28"/>
  <c r="A188" i="28"/>
  <c r="H187" i="28"/>
  <c r="F187" i="28"/>
  <c r="G187" i="28"/>
  <c r="G194" i="27"/>
  <c r="F194" i="27"/>
  <c r="E194" i="27"/>
  <c r="C194" i="27"/>
  <c r="B194" i="27"/>
  <c r="H194" i="27"/>
  <c r="A195" i="27"/>
  <c r="G188" i="28" l="1"/>
  <c r="B188" i="28"/>
  <c r="F188" i="28"/>
  <c r="E188" i="28"/>
  <c r="H188" i="28"/>
  <c r="C188" i="28"/>
  <c r="A189" i="28"/>
  <c r="E195" i="27"/>
  <c r="B195" i="27"/>
  <c r="A196" i="27"/>
  <c r="H195" i="27"/>
  <c r="F195" i="27"/>
  <c r="G195" i="27"/>
  <c r="C195" i="27"/>
  <c r="F189" i="28" l="1"/>
  <c r="C189" i="28"/>
  <c r="A190" i="28"/>
  <c r="G189" i="28"/>
  <c r="B189" i="28"/>
  <c r="E189" i="28"/>
  <c r="H189" i="28"/>
  <c r="G196" i="27"/>
  <c r="F196" i="27"/>
  <c r="E196" i="27"/>
  <c r="H196" i="27"/>
  <c r="C196" i="27"/>
  <c r="B196" i="27"/>
  <c r="A197" i="27"/>
  <c r="C190" i="28" l="1"/>
  <c r="B190" i="28"/>
  <c r="A191" i="28"/>
  <c r="H190" i="28"/>
  <c r="E190" i="28"/>
  <c r="F190" i="28"/>
  <c r="G190" i="28"/>
  <c r="A198" i="27"/>
  <c r="H197" i="27"/>
  <c r="G197" i="27"/>
  <c r="C197" i="27"/>
  <c r="E197" i="27"/>
  <c r="B197" i="27"/>
  <c r="F197" i="27"/>
  <c r="G191" i="28" l="1"/>
  <c r="E191" i="28"/>
  <c r="B191" i="28"/>
  <c r="F191" i="28"/>
  <c r="C191" i="28"/>
  <c r="A192" i="28"/>
  <c r="H191" i="28"/>
  <c r="H198" i="27"/>
  <c r="G198" i="27"/>
  <c r="C198" i="27"/>
  <c r="A199" i="27"/>
  <c r="F198" i="27"/>
  <c r="E198" i="27"/>
  <c r="B198" i="27"/>
  <c r="B192" i="28" l="1"/>
  <c r="E192" i="28"/>
  <c r="A193" i="28"/>
  <c r="G192" i="28"/>
  <c r="F192" i="28"/>
  <c r="H192" i="28"/>
  <c r="C192" i="28"/>
  <c r="A200" i="27"/>
  <c r="G199" i="27"/>
  <c r="C199" i="27"/>
  <c r="B199" i="27"/>
  <c r="E199" i="27"/>
  <c r="H199" i="27"/>
  <c r="F199" i="27"/>
  <c r="B193" i="28" l="1"/>
  <c r="H193" i="28"/>
  <c r="A194" i="28"/>
  <c r="G193" i="28"/>
  <c r="E193" i="28"/>
  <c r="F193" i="28"/>
  <c r="C193" i="28"/>
  <c r="E200" i="27"/>
  <c r="C200" i="27"/>
  <c r="G200" i="27"/>
  <c r="B200" i="27"/>
  <c r="A201" i="27"/>
  <c r="H200" i="27"/>
  <c r="F200" i="27"/>
  <c r="B194" i="28" l="1"/>
  <c r="A195" i="28"/>
  <c r="F194" i="28"/>
  <c r="H194" i="28"/>
  <c r="G194" i="28"/>
  <c r="C194" i="28"/>
  <c r="E194" i="28"/>
  <c r="G201" i="27"/>
  <c r="F201" i="27"/>
  <c r="H201" i="27"/>
  <c r="E201" i="27"/>
  <c r="C201" i="27"/>
  <c r="B201" i="27"/>
  <c r="A202" i="27"/>
  <c r="H195" i="28" l="1"/>
  <c r="G195" i="28"/>
  <c r="F195" i="28"/>
  <c r="E195" i="28"/>
  <c r="C195" i="28"/>
  <c r="B195" i="28"/>
  <c r="A196" i="28"/>
  <c r="A203" i="27"/>
  <c r="H202" i="27"/>
  <c r="F202" i="27"/>
  <c r="E202" i="27"/>
  <c r="G202" i="27"/>
  <c r="C202" i="27"/>
  <c r="B202" i="27"/>
  <c r="E196" i="28" l="1"/>
  <c r="C196" i="28"/>
  <c r="F196" i="28"/>
  <c r="G196" i="28"/>
  <c r="B196" i="28"/>
  <c r="A197" i="28"/>
  <c r="H196" i="28"/>
  <c r="B203" i="27"/>
  <c r="A204" i="27"/>
  <c r="G203" i="27"/>
  <c r="F203" i="27"/>
  <c r="E203" i="27"/>
  <c r="H203" i="27"/>
  <c r="C203" i="27"/>
  <c r="H197" i="28" l="1"/>
  <c r="G197" i="28"/>
  <c r="F197" i="28"/>
  <c r="B197" i="28"/>
  <c r="C197" i="28"/>
  <c r="A198" i="28"/>
  <c r="E197" i="28"/>
  <c r="B204" i="27"/>
  <c r="A205" i="27"/>
  <c r="H204" i="27"/>
  <c r="G204" i="27"/>
  <c r="C204" i="27"/>
  <c r="E204" i="27"/>
  <c r="F204" i="27"/>
  <c r="H198" i="28" l="1"/>
  <c r="F198" i="28"/>
  <c r="C198" i="28"/>
  <c r="B198" i="28"/>
  <c r="E198" i="28"/>
  <c r="G198" i="28"/>
  <c r="A199" i="28"/>
  <c r="G205" i="27"/>
  <c r="F205" i="27"/>
  <c r="C205" i="27"/>
  <c r="B205" i="27"/>
  <c r="H205" i="27"/>
  <c r="E205" i="27"/>
  <c r="A206" i="27"/>
  <c r="F199" i="28" l="1"/>
  <c r="E199" i="28"/>
  <c r="C199" i="28"/>
  <c r="A200" i="28"/>
  <c r="H199" i="28"/>
  <c r="B199" i="28"/>
  <c r="G199" i="28"/>
  <c r="E206" i="27"/>
  <c r="A207" i="27"/>
  <c r="H206" i="27"/>
  <c r="B206" i="27"/>
  <c r="F206" i="27"/>
  <c r="C206" i="27"/>
  <c r="G206" i="27"/>
  <c r="G200" i="28" l="1"/>
  <c r="F200" i="28"/>
  <c r="E200" i="28"/>
  <c r="H200" i="28"/>
  <c r="B200" i="28"/>
  <c r="C200" i="28"/>
  <c r="A201" i="28"/>
  <c r="G207" i="27"/>
  <c r="E207" i="27"/>
  <c r="B207" i="27"/>
  <c r="F207" i="27"/>
  <c r="C207" i="27"/>
  <c r="A208" i="27"/>
  <c r="H207" i="27"/>
  <c r="C201" i="28" l="1"/>
  <c r="H201" i="28"/>
  <c r="A202" i="28"/>
  <c r="G201" i="28"/>
  <c r="F201" i="28"/>
  <c r="E201" i="28"/>
  <c r="B201" i="28"/>
  <c r="H208" i="27"/>
  <c r="E208" i="27"/>
  <c r="B208" i="27"/>
  <c r="A209" i="27"/>
  <c r="F208" i="27"/>
  <c r="C208" i="27"/>
  <c r="G208" i="27"/>
  <c r="C202" i="28" l="1"/>
  <c r="B202" i="28"/>
  <c r="F202" i="28"/>
  <c r="A203" i="28"/>
  <c r="E202" i="28"/>
  <c r="H202" i="28"/>
  <c r="G202" i="28"/>
  <c r="A210" i="27"/>
  <c r="H209" i="27"/>
  <c r="G209" i="27"/>
  <c r="E209" i="27"/>
  <c r="B209" i="27"/>
  <c r="F209" i="27"/>
  <c r="C209" i="27"/>
  <c r="C203" i="28" l="1"/>
  <c r="A204" i="28"/>
  <c r="H203" i="28"/>
  <c r="B203" i="28"/>
  <c r="F203" i="28"/>
  <c r="E203" i="28"/>
  <c r="G203" i="28"/>
  <c r="G210" i="27"/>
  <c r="F210" i="27"/>
  <c r="E210" i="27"/>
  <c r="B210" i="27"/>
  <c r="H210" i="27"/>
  <c r="C210" i="27"/>
  <c r="A211" i="27"/>
  <c r="H204" i="28" l="1"/>
  <c r="G204" i="28"/>
  <c r="F204" i="28"/>
  <c r="E204" i="28"/>
  <c r="B204" i="28"/>
  <c r="C204" i="28"/>
  <c r="A205" i="28"/>
  <c r="A212" i="27"/>
  <c r="F211" i="27"/>
  <c r="B211" i="27"/>
  <c r="H211" i="27"/>
  <c r="G211" i="27"/>
  <c r="E211" i="27"/>
  <c r="C211" i="27"/>
  <c r="F205" i="28" l="1"/>
  <c r="E205" i="28"/>
  <c r="A206" i="28"/>
  <c r="C205" i="28"/>
  <c r="B205" i="28"/>
  <c r="G205" i="28"/>
  <c r="H205" i="28"/>
  <c r="G212" i="27"/>
  <c r="F212" i="27"/>
  <c r="C212" i="27"/>
  <c r="B212" i="27"/>
  <c r="A213" i="27"/>
  <c r="E212" i="27"/>
  <c r="H212" i="27"/>
  <c r="B206" i="28" l="1"/>
  <c r="C206" i="28"/>
  <c r="F206" i="28"/>
  <c r="A207" i="28"/>
  <c r="H206" i="28"/>
  <c r="G206" i="28"/>
  <c r="E206" i="28"/>
  <c r="C213" i="27"/>
  <c r="A214" i="27"/>
  <c r="H213" i="27"/>
  <c r="G213" i="27"/>
  <c r="E213" i="27"/>
  <c r="B213" i="27"/>
  <c r="F213" i="27"/>
  <c r="E207" i="28" l="1"/>
  <c r="G207" i="28"/>
  <c r="F207" i="28"/>
  <c r="C207" i="28"/>
  <c r="B207" i="28"/>
  <c r="A208" i="28"/>
  <c r="H207" i="28"/>
  <c r="E214" i="27"/>
  <c r="C214" i="27"/>
  <c r="A215" i="27"/>
  <c r="H214" i="27"/>
  <c r="B214" i="27"/>
  <c r="F214" i="27"/>
  <c r="G214" i="27"/>
  <c r="E208" i="28" l="1"/>
  <c r="C208" i="28"/>
  <c r="B208" i="28"/>
  <c r="A209" i="28"/>
  <c r="F208" i="28"/>
  <c r="H208" i="28"/>
  <c r="G208" i="28"/>
  <c r="F215" i="27"/>
  <c r="G215" i="27"/>
  <c r="H215" i="27"/>
  <c r="E215" i="27"/>
  <c r="C215" i="27"/>
  <c r="B215" i="27"/>
  <c r="A216" i="27"/>
  <c r="A210" i="28" l="1"/>
  <c r="F209" i="28"/>
  <c r="E209" i="28"/>
  <c r="B209" i="28"/>
  <c r="H209" i="28"/>
  <c r="G209" i="28"/>
  <c r="C209" i="28"/>
  <c r="G216" i="27"/>
  <c r="F216" i="27"/>
  <c r="E216" i="27"/>
  <c r="B216" i="27"/>
  <c r="H216" i="27"/>
  <c r="C216" i="27"/>
  <c r="A217" i="27"/>
  <c r="F210" i="28" l="1"/>
  <c r="E210" i="28"/>
  <c r="C210" i="28"/>
  <c r="H210" i="28"/>
  <c r="G210" i="28"/>
  <c r="B210" i="28"/>
  <c r="A211" i="28"/>
  <c r="C217" i="27"/>
  <c r="B217" i="27"/>
  <c r="G217" i="27"/>
  <c r="F217" i="27"/>
  <c r="A218" i="27"/>
  <c r="H217" i="27"/>
  <c r="E217" i="27"/>
  <c r="H211" i="28" l="1"/>
  <c r="G211" i="28"/>
  <c r="A212" i="28"/>
  <c r="E211" i="28"/>
  <c r="C211" i="28"/>
  <c r="F211" i="28"/>
  <c r="B211" i="28"/>
  <c r="A219" i="27"/>
  <c r="H218" i="27"/>
  <c r="B218" i="27"/>
  <c r="G218" i="27"/>
  <c r="C218" i="27"/>
  <c r="F218" i="27"/>
  <c r="E218" i="27"/>
  <c r="G212" i="28" l="1"/>
  <c r="F212" i="28"/>
  <c r="A213" i="28"/>
  <c r="E212" i="28"/>
  <c r="B212" i="28"/>
  <c r="C212" i="28"/>
  <c r="H212" i="28"/>
  <c r="G219" i="27"/>
  <c r="F219" i="27"/>
  <c r="C219" i="27"/>
  <c r="B219" i="27"/>
  <c r="E219" i="27"/>
  <c r="H219" i="27"/>
  <c r="A220" i="27"/>
  <c r="A214" i="28" l="1"/>
  <c r="H213" i="28"/>
  <c r="F213" i="28"/>
  <c r="B213" i="28"/>
  <c r="C213" i="28"/>
  <c r="G213" i="28"/>
  <c r="E213" i="28"/>
  <c r="B220" i="27"/>
  <c r="C220" i="27"/>
  <c r="A221" i="27"/>
  <c r="H220" i="27"/>
  <c r="G220" i="27"/>
  <c r="E220" i="27"/>
  <c r="F220" i="27"/>
  <c r="G214" i="28" l="1"/>
  <c r="E214" i="28"/>
  <c r="F214" i="28"/>
  <c r="A215" i="28"/>
  <c r="C214" i="28"/>
  <c r="B214" i="28"/>
  <c r="H214" i="28"/>
  <c r="G221" i="27"/>
  <c r="F221" i="27"/>
  <c r="E221" i="27"/>
  <c r="B221" i="27"/>
  <c r="A222" i="27"/>
  <c r="C221" i="27"/>
  <c r="H221" i="27"/>
  <c r="F215" i="28" l="1"/>
  <c r="E215" i="28"/>
  <c r="A216" i="28"/>
  <c r="G215" i="28"/>
  <c r="C215" i="28"/>
  <c r="H215" i="28"/>
  <c r="B215" i="28"/>
  <c r="E222" i="27"/>
  <c r="A223" i="27"/>
  <c r="C222" i="27"/>
  <c r="B222" i="27"/>
  <c r="F222" i="27"/>
  <c r="H222" i="27"/>
  <c r="G222" i="27"/>
  <c r="G216" i="28" l="1"/>
  <c r="F216" i="28"/>
  <c r="E216" i="28"/>
  <c r="C216" i="28"/>
  <c r="B216" i="28"/>
  <c r="A217" i="28"/>
  <c r="H216" i="28"/>
  <c r="A224" i="27"/>
  <c r="H223" i="27"/>
  <c r="F223" i="27"/>
  <c r="E223" i="27"/>
  <c r="G223" i="27"/>
  <c r="C223" i="27"/>
  <c r="B223" i="27"/>
  <c r="G217" i="28" l="1"/>
  <c r="F217" i="28"/>
  <c r="E217" i="28"/>
  <c r="B217" i="28"/>
  <c r="H217" i="28"/>
  <c r="C217" i="28"/>
  <c r="A218" i="28"/>
  <c r="H224" i="27"/>
  <c r="F224" i="27"/>
  <c r="E224" i="27"/>
  <c r="C224" i="27"/>
  <c r="B224" i="27"/>
  <c r="G224" i="27"/>
  <c r="A225" i="27"/>
  <c r="H218" i="28" l="1"/>
  <c r="G218" i="28"/>
  <c r="F218" i="28"/>
  <c r="B218" i="28"/>
  <c r="C218" i="28"/>
  <c r="E218" i="28"/>
  <c r="A219" i="28"/>
  <c r="H225" i="27"/>
  <c r="E225" i="27"/>
  <c r="C225" i="27"/>
  <c r="A226" i="27"/>
  <c r="G225" i="27"/>
  <c r="F225" i="27"/>
  <c r="B225" i="27"/>
  <c r="G219" i="28" l="1"/>
  <c r="F219" i="28"/>
  <c r="E219" i="28"/>
  <c r="C219" i="28"/>
  <c r="B219" i="28"/>
  <c r="H219" i="28"/>
  <c r="A220" i="28"/>
  <c r="G226" i="27"/>
  <c r="F226" i="27"/>
  <c r="A227" i="27"/>
  <c r="E226" i="27"/>
  <c r="B226" i="27"/>
  <c r="H226" i="27"/>
  <c r="C226" i="27"/>
  <c r="C220" i="28" l="1"/>
  <c r="G220" i="28"/>
  <c r="H220" i="28"/>
  <c r="B220" i="28"/>
  <c r="A221" i="28"/>
  <c r="E220" i="28"/>
  <c r="F220" i="28"/>
  <c r="A228" i="27"/>
  <c r="H227" i="27"/>
  <c r="G227" i="27"/>
  <c r="F227" i="27"/>
  <c r="E227" i="27"/>
  <c r="B227" i="27"/>
  <c r="C227" i="27"/>
  <c r="G221" i="28" l="1"/>
  <c r="F221" i="28"/>
  <c r="E221" i="28"/>
  <c r="C221" i="28"/>
  <c r="B221" i="28"/>
  <c r="H221" i="28"/>
  <c r="A222" i="28"/>
  <c r="E228" i="27"/>
  <c r="C228" i="27"/>
  <c r="G228" i="27"/>
  <c r="B228" i="27"/>
  <c r="A229" i="27"/>
  <c r="H228" i="27"/>
  <c r="F228" i="27"/>
  <c r="F222" i="28" l="1"/>
  <c r="E222" i="28"/>
  <c r="A223" i="28"/>
  <c r="C222" i="28"/>
  <c r="H222" i="28"/>
  <c r="B222" i="28"/>
  <c r="G222" i="28"/>
  <c r="C229" i="27"/>
  <c r="A230" i="27"/>
  <c r="H229" i="27"/>
  <c r="B229" i="27"/>
  <c r="F229" i="27"/>
  <c r="E229" i="27"/>
  <c r="G229" i="27"/>
  <c r="G223" i="28" l="1"/>
  <c r="F223" i="28"/>
  <c r="C223" i="28"/>
  <c r="B223" i="28"/>
  <c r="A224" i="28"/>
  <c r="E223" i="28"/>
  <c r="H223" i="28"/>
  <c r="G230" i="27"/>
  <c r="B230" i="27"/>
  <c r="H230" i="27"/>
  <c r="F230" i="27"/>
  <c r="E230" i="27"/>
  <c r="C230" i="27"/>
  <c r="A231" i="27"/>
  <c r="G224" i="28" l="1"/>
  <c r="C224" i="28"/>
  <c r="H224" i="28"/>
  <c r="F224" i="28"/>
  <c r="E224" i="28"/>
  <c r="B224" i="28"/>
  <c r="A225" i="28"/>
  <c r="F231" i="27"/>
  <c r="E231" i="27"/>
  <c r="A232" i="27"/>
  <c r="C231" i="27"/>
  <c r="B231" i="27"/>
  <c r="G231" i="27"/>
  <c r="H231" i="27"/>
  <c r="H225" i="28" l="1"/>
  <c r="G225" i="28"/>
  <c r="F225" i="28"/>
  <c r="B225" i="28"/>
  <c r="E225" i="28"/>
  <c r="C225" i="28"/>
  <c r="A226" i="28"/>
  <c r="G232" i="27"/>
  <c r="F232" i="27"/>
  <c r="C232" i="27"/>
  <c r="B232" i="27"/>
  <c r="A233" i="27"/>
  <c r="E232" i="27"/>
  <c r="H232" i="27"/>
  <c r="G226" i="28" l="1"/>
  <c r="F226" i="28"/>
  <c r="E226" i="28"/>
  <c r="B226" i="28"/>
  <c r="H226" i="28"/>
  <c r="C226" i="28"/>
  <c r="A227" i="28"/>
  <c r="G233" i="27"/>
  <c r="F233" i="27"/>
  <c r="E233" i="27"/>
  <c r="B233" i="27"/>
  <c r="H233" i="27"/>
  <c r="C233" i="27"/>
  <c r="A234" i="27"/>
  <c r="B227" i="28" l="1"/>
  <c r="A228" i="28"/>
  <c r="H227" i="28"/>
  <c r="C227" i="28"/>
  <c r="G227" i="28"/>
  <c r="F227" i="28"/>
  <c r="E227" i="28"/>
  <c r="F234" i="27"/>
  <c r="E234" i="27"/>
  <c r="A235" i="27"/>
  <c r="G234" i="27"/>
  <c r="B234" i="27"/>
  <c r="C234" i="27"/>
  <c r="H234" i="27"/>
  <c r="G228" i="28" l="1"/>
  <c r="F228" i="28"/>
  <c r="E228" i="28"/>
  <c r="B228" i="28"/>
  <c r="A229" i="28"/>
  <c r="C228" i="28"/>
  <c r="H228" i="28"/>
  <c r="H235" i="27"/>
  <c r="F235" i="27"/>
  <c r="A236" i="27"/>
  <c r="E235" i="27"/>
  <c r="C235" i="27"/>
  <c r="G235" i="27"/>
  <c r="B235" i="27"/>
  <c r="E229" i="28" l="1"/>
  <c r="C229" i="28"/>
  <c r="B229" i="28"/>
  <c r="A230" i="28"/>
  <c r="H229" i="28"/>
  <c r="G229" i="28"/>
  <c r="F229" i="28"/>
  <c r="C236" i="27"/>
  <c r="B236" i="27"/>
  <c r="E236" i="27"/>
  <c r="A237" i="27"/>
  <c r="H236" i="27"/>
  <c r="G236" i="27"/>
  <c r="F236" i="27"/>
  <c r="G230" i="28" l="1"/>
  <c r="F230" i="28"/>
  <c r="B230" i="28"/>
  <c r="H230" i="28"/>
  <c r="E230" i="28"/>
  <c r="C230" i="28"/>
  <c r="A231" i="28"/>
  <c r="G237" i="27"/>
  <c r="E237" i="27"/>
  <c r="H237" i="27"/>
  <c r="C237" i="27"/>
  <c r="B237" i="27"/>
  <c r="A238" i="27"/>
  <c r="F237" i="27"/>
  <c r="G231" i="28" l="1"/>
  <c r="F231" i="28"/>
  <c r="E231" i="28"/>
  <c r="A232" i="28"/>
  <c r="C231" i="28"/>
  <c r="H231" i="28"/>
  <c r="B231" i="28"/>
  <c r="F238" i="27"/>
  <c r="E238" i="27"/>
  <c r="C238" i="27"/>
  <c r="G238" i="27"/>
  <c r="A239" i="27"/>
  <c r="B238" i="27"/>
  <c r="H238" i="27"/>
  <c r="G232" i="28" l="1"/>
  <c r="F232" i="28"/>
  <c r="E232" i="28"/>
  <c r="C232" i="28"/>
  <c r="B232" i="28"/>
  <c r="A233" i="28"/>
  <c r="H232" i="28"/>
  <c r="G239" i="27"/>
  <c r="F239" i="27"/>
  <c r="B239" i="27"/>
  <c r="H239" i="27"/>
  <c r="E239" i="27"/>
  <c r="C239" i="27"/>
  <c r="A240" i="27"/>
  <c r="G233" i="28" l="1"/>
  <c r="C233" i="28"/>
  <c r="B233" i="28"/>
  <c r="A234" i="28"/>
  <c r="F233" i="28"/>
  <c r="H233" i="28"/>
  <c r="E233" i="28"/>
  <c r="G240" i="27"/>
  <c r="E240" i="27"/>
  <c r="C240" i="27"/>
  <c r="B240" i="27"/>
  <c r="A241" i="27"/>
  <c r="F240" i="27"/>
  <c r="H240" i="27"/>
  <c r="A235" i="28" l="1"/>
  <c r="H234" i="28"/>
  <c r="B234" i="28"/>
  <c r="G234" i="28"/>
  <c r="C234" i="28"/>
  <c r="F234" i="28"/>
  <c r="E234" i="28"/>
  <c r="G241" i="27"/>
  <c r="F241" i="27"/>
  <c r="E241" i="27"/>
  <c r="A242" i="27"/>
  <c r="H241" i="27"/>
  <c r="C241" i="27"/>
  <c r="B241" i="27"/>
  <c r="G235" i="28" l="1"/>
  <c r="F235" i="28"/>
  <c r="A236" i="28"/>
  <c r="E235" i="28"/>
  <c r="H235" i="28"/>
  <c r="C235" i="28"/>
  <c r="B235" i="28"/>
  <c r="G242" i="27"/>
  <c r="F242" i="27"/>
  <c r="H242" i="27"/>
  <c r="E242" i="27"/>
  <c r="B242" i="27"/>
  <c r="C242" i="27"/>
  <c r="A243" i="27"/>
  <c r="C236" i="28" l="1"/>
  <c r="B236" i="28"/>
  <c r="H236" i="28"/>
  <c r="A237" i="28"/>
  <c r="F236" i="28"/>
  <c r="G236" i="28"/>
  <c r="E236" i="28"/>
  <c r="B243" i="27"/>
  <c r="A244" i="27"/>
  <c r="F243" i="27"/>
  <c r="H243" i="27"/>
  <c r="G243" i="27"/>
  <c r="C243" i="27"/>
  <c r="E243" i="27"/>
  <c r="G237" i="28" l="1"/>
  <c r="F237" i="28"/>
  <c r="E237" i="28"/>
  <c r="C237" i="28"/>
  <c r="B237" i="28"/>
  <c r="H237" i="28"/>
  <c r="A238" i="28"/>
  <c r="G244" i="27"/>
  <c r="F244" i="27"/>
  <c r="H244" i="27"/>
  <c r="E244" i="27"/>
  <c r="C244" i="27"/>
  <c r="B244" i="27"/>
  <c r="A245" i="27"/>
  <c r="F238" i="28" l="1"/>
  <c r="E238" i="28"/>
  <c r="B238" i="28"/>
  <c r="A239" i="28"/>
  <c r="C238" i="28"/>
  <c r="H238" i="28"/>
  <c r="G238" i="28"/>
  <c r="E245" i="27"/>
  <c r="A246" i="27"/>
  <c r="C245" i="27"/>
  <c r="G245" i="27"/>
  <c r="B245" i="27"/>
  <c r="H245" i="27"/>
  <c r="F245" i="27"/>
  <c r="G239" i="28" l="1"/>
  <c r="F239" i="28"/>
  <c r="B239" i="28"/>
  <c r="C239" i="28"/>
  <c r="A240" i="28"/>
  <c r="E239" i="28"/>
  <c r="H239" i="28"/>
  <c r="G246" i="27"/>
  <c r="C246" i="27"/>
  <c r="H246" i="27"/>
  <c r="F246" i="27"/>
  <c r="B246" i="27"/>
  <c r="E246" i="27"/>
  <c r="A247" i="27"/>
  <c r="G240" i="28" l="1"/>
  <c r="B240" i="28"/>
  <c r="F240" i="28"/>
  <c r="E240" i="28"/>
  <c r="C240" i="28"/>
  <c r="A241" i="28"/>
  <c r="H240" i="28"/>
  <c r="G247" i="27"/>
  <c r="F247" i="27"/>
  <c r="C247" i="27"/>
  <c r="B247" i="27"/>
  <c r="E247" i="27"/>
  <c r="A248" i="27"/>
  <c r="H247" i="27"/>
  <c r="H241" i="28" l="1"/>
  <c r="G241" i="28"/>
  <c r="F241" i="28"/>
  <c r="A242" i="28"/>
  <c r="B241" i="28"/>
  <c r="E241" i="28"/>
  <c r="C241" i="28"/>
  <c r="B248" i="27"/>
  <c r="H248" i="27"/>
  <c r="C248" i="27"/>
  <c r="G248" i="27"/>
  <c r="F248" i="27"/>
  <c r="E248" i="27"/>
  <c r="A249" i="27"/>
  <c r="G242" i="28" l="1"/>
  <c r="F242" i="28"/>
  <c r="E242" i="28"/>
  <c r="C242" i="28"/>
  <c r="B242" i="28"/>
  <c r="A243" i="28"/>
  <c r="H242" i="28"/>
  <c r="G249" i="27"/>
  <c r="F249" i="27"/>
  <c r="H249" i="27"/>
  <c r="E249" i="27"/>
  <c r="C249" i="27"/>
  <c r="B249" i="27"/>
  <c r="A250" i="27"/>
  <c r="B243" i="28" l="1"/>
  <c r="A244" i="28"/>
  <c r="C243" i="28"/>
  <c r="H243" i="28"/>
  <c r="F243" i="28"/>
  <c r="G243" i="28"/>
  <c r="E243" i="28"/>
  <c r="A251" i="27"/>
  <c r="H250" i="27"/>
  <c r="G250" i="27"/>
  <c r="F250" i="27"/>
  <c r="C250" i="27"/>
  <c r="E250" i="27"/>
  <c r="B250" i="27"/>
  <c r="G244" i="28" l="1"/>
  <c r="F244" i="28"/>
  <c r="A245" i="28"/>
  <c r="E244" i="28"/>
  <c r="C244" i="28"/>
  <c r="B244" i="28"/>
  <c r="H244" i="28"/>
  <c r="G251" i="27"/>
  <c r="F251" i="27"/>
  <c r="B251" i="27"/>
  <c r="A252" i="27"/>
  <c r="E251" i="27"/>
  <c r="C251" i="27"/>
  <c r="H251" i="27"/>
  <c r="E245" i="28" l="1"/>
  <c r="C245" i="28"/>
  <c r="B245" i="28"/>
  <c r="A246" i="28"/>
  <c r="H245" i="28"/>
  <c r="F245" i="28"/>
  <c r="G245" i="28"/>
  <c r="C252" i="27"/>
  <c r="B252" i="27"/>
  <c r="A253" i="27"/>
  <c r="F252" i="27"/>
  <c r="H252" i="27"/>
  <c r="G252" i="27"/>
  <c r="E252" i="27"/>
  <c r="G246" i="28" l="1"/>
  <c r="F246" i="28"/>
  <c r="B246" i="28"/>
  <c r="E246" i="28"/>
  <c r="C246" i="28"/>
  <c r="H246" i="28"/>
  <c r="A247" i="28"/>
  <c r="G253" i="27"/>
  <c r="F253" i="27"/>
  <c r="A254" i="27"/>
  <c r="E253" i="27"/>
  <c r="C253" i="27"/>
  <c r="B253" i="27"/>
  <c r="H253" i="27"/>
  <c r="G247" i="28" l="1"/>
  <c r="F247" i="28"/>
  <c r="E247" i="28"/>
  <c r="C247" i="28"/>
  <c r="B247" i="28"/>
  <c r="A248" i="28"/>
  <c r="H247" i="28"/>
  <c r="F254" i="27"/>
  <c r="E254" i="27"/>
  <c r="C254" i="27"/>
  <c r="B254" i="27"/>
  <c r="G254" i="27"/>
  <c r="A255" i="27"/>
  <c r="H254" i="27"/>
  <c r="G248" i="28" l="1"/>
  <c r="F248" i="28"/>
  <c r="A249" i="28"/>
  <c r="E248" i="28"/>
  <c r="C248" i="28"/>
  <c r="B248" i="28"/>
  <c r="H248" i="28"/>
  <c r="G255" i="27"/>
  <c r="F255" i="27"/>
  <c r="E255" i="27"/>
  <c r="C255" i="27"/>
  <c r="H255" i="27"/>
  <c r="A256" i="27"/>
  <c r="B255" i="27"/>
  <c r="G249" i="28" l="1"/>
  <c r="F249" i="28"/>
  <c r="A250" i="28"/>
  <c r="E249" i="28"/>
  <c r="C249" i="28"/>
  <c r="B249" i="28"/>
  <c r="H249" i="28"/>
  <c r="G256" i="27"/>
  <c r="F256" i="27"/>
  <c r="C256" i="27"/>
  <c r="B256" i="27"/>
  <c r="H256" i="27"/>
  <c r="E256" i="27"/>
  <c r="A257" i="27"/>
  <c r="A251" i="28" l="1"/>
  <c r="H250" i="28"/>
  <c r="F250" i="28"/>
  <c r="G250" i="28"/>
  <c r="E250" i="28"/>
  <c r="C250" i="28"/>
  <c r="B250" i="28"/>
  <c r="A258" i="27"/>
  <c r="C257" i="27"/>
  <c r="H257" i="27"/>
  <c r="G257" i="27"/>
  <c r="F257" i="27"/>
  <c r="E257" i="27"/>
  <c r="B257" i="27"/>
  <c r="G251" i="28" l="1"/>
  <c r="B251" i="28"/>
  <c r="A252" i="28"/>
  <c r="F251" i="28"/>
  <c r="E251" i="28"/>
  <c r="C251" i="28"/>
  <c r="H251" i="28"/>
  <c r="G258" i="27"/>
  <c r="F258" i="27"/>
  <c r="E258" i="27"/>
  <c r="B258" i="27"/>
  <c r="H258" i="27"/>
  <c r="C258" i="27"/>
  <c r="A259" i="27"/>
  <c r="C252" i="28" l="1"/>
  <c r="B252" i="28"/>
  <c r="A253" i="28"/>
  <c r="H252" i="28"/>
  <c r="G252" i="28"/>
  <c r="F252" i="28"/>
  <c r="E252" i="28"/>
  <c r="B259" i="27"/>
  <c r="A260" i="27"/>
  <c r="H259" i="27"/>
  <c r="G259" i="27"/>
  <c r="F259" i="27"/>
  <c r="E259" i="27"/>
  <c r="C259" i="27"/>
  <c r="G253" i="28" l="1"/>
  <c r="F253" i="28"/>
  <c r="E253" i="28"/>
  <c r="C253" i="28"/>
  <c r="B253" i="28"/>
  <c r="H253" i="28"/>
  <c r="A254" i="28"/>
  <c r="G260" i="27"/>
  <c r="F260" i="27"/>
  <c r="E260" i="27"/>
  <c r="C260" i="27"/>
  <c r="A261" i="27"/>
  <c r="B260" i="27"/>
  <c r="H260" i="27"/>
  <c r="F254" i="28" l="1"/>
  <c r="E254" i="28"/>
  <c r="A255" i="28"/>
  <c r="H254" i="28"/>
  <c r="C254" i="28"/>
  <c r="B254" i="28"/>
  <c r="G254" i="28"/>
  <c r="E261" i="27"/>
  <c r="C261" i="27"/>
  <c r="A262" i="27"/>
  <c r="G261" i="27"/>
  <c r="F261" i="27"/>
  <c r="B261" i="27"/>
  <c r="H261" i="27"/>
  <c r="G255" i="28" l="1"/>
  <c r="F255" i="28"/>
  <c r="H255" i="28"/>
  <c r="E255" i="28"/>
  <c r="C255" i="28"/>
  <c r="B255" i="28"/>
  <c r="A256" i="28"/>
  <c r="G262" i="27"/>
  <c r="E262" i="27"/>
  <c r="C262" i="27"/>
  <c r="B262" i="27"/>
  <c r="F262" i="27"/>
  <c r="H262" i="27"/>
  <c r="A263" i="27"/>
  <c r="G256" i="28" l="1"/>
  <c r="E256" i="28"/>
  <c r="F256" i="28"/>
  <c r="C256" i="28"/>
  <c r="H256" i="28"/>
  <c r="B256" i="28"/>
  <c r="A257" i="28"/>
  <c r="G263" i="27"/>
  <c r="F263" i="27"/>
  <c r="B263" i="27"/>
  <c r="E263" i="27"/>
  <c r="C263" i="27"/>
  <c r="H263" i="27"/>
  <c r="A264" i="27"/>
  <c r="H257" i="28" l="1"/>
  <c r="C257" i="28"/>
  <c r="E257" i="28"/>
  <c r="B257" i="28"/>
  <c r="G257" i="28"/>
  <c r="F257" i="28"/>
  <c r="A258" i="28"/>
  <c r="H264" i="27"/>
  <c r="G264" i="27"/>
  <c r="F264" i="27"/>
  <c r="E264" i="27"/>
  <c r="C264" i="27"/>
  <c r="B264" i="27"/>
  <c r="A265" i="27"/>
  <c r="G258" i="28" l="1"/>
  <c r="F258" i="28"/>
  <c r="B258" i="28"/>
  <c r="E258" i="28"/>
  <c r="H258" i="28"/>
  <c r="C258" i="28"/>
  <c r="A259" i="28"/>
  <c r="G265" i="27"/>
  <c r="F265" i="27"/>
  <c r="E265" i="27"/>
  <c r="B265" i="27"/>
  <c r="A266" i="27"/>
  <c r="C265" i="27"/>
  <c r="H265" i="27"/>
  <c r="B259" i="28" l="1"/>
  <c r="H259" i="28"/>
  <c r="G259" i="28"/>
  <c r="A260" i="28"/>
  <c r="F259" i="28"/>
  <c r="E259" i="28"/>
  <c r="C259" i="28"/>
  <c r="A267" i="27"/>
  <c r="H266" i="27"/>
  <c r="G266" i="27"/>
  <c r="C266" i="27"/>
  <c r="F266" i="27"/>
  <c r="E266" i="27"/>
  <c r="B266" i="27"/>
  <c r="G260" i="28" l="1"/>
  <c r="F260" i="28"/>
  <c r="A261" i="28"/>
  <c r="E260" i="28"/>
  <c r="C260" i="28"/>
  <c r="B260" i="28"/>
  <c r="H260" i="28"/>
  <c r="G267" i="27"/>
  <c r="F267" i="27"/>
  <c r="E267" i="27"/>
  <c r="B267" i="27"/>
  <c r="A268" i="27"/>
  <c r="C267" i="27"/>
  <c r="H267" i="27"/>
  <c r="E261" i="28" l="1"/>
  <c r="C261" i="28"/>
  <c r="B261" i="28"/>
  <c r="A262" i="28"/>
  <c r="G261" i="28"/>
  <c r="F261" i="28"/>
  <c r="H261" i="28"/>
  <c r="C268" i="27"/>
  <c r="B268" i="27"/>
  <c r="H268" i="27"/>
  <c r="A269" i="27"/>
  <c r="E268" i="27"/>
  <c r="G268" i="27"/>
  <c r="F268" i="27"/>
  <c r="G262" i="28" l="1"/>
  <c r="F262" i="28"/>
  <c r="E262" i="28"/>
  <c r="C262" i="28"/>
  <c r="B262" i="28"/>
  <c r="A263" i="28"/>
  <c r="H262" i="28"/>
  <c r="G269" i="27"/>
  <c r="F269" i="27"/>
  <c r="A270" i="27"/>
  <c r="C269" i="27"/>
  <c r="B269" i="27"/>
  <c r="H269" i="27"/>
  <c r="E269" i="27"/>
  <c r="G263" i="28" l="1"/>
  <c r="C263" i="28"/>
  <c r="B263" i="28"/>
  <c r="A264" i="28"/>
  <c r="F263" i="28"/>
  <c r="E263" i="28"/>
  <c r="H263" i="28"/>
  <c r="F270" i="27"/>
  <c r="E270" i="27"/>
  <c r="C270" i="27"/>
  <c r="B270" i="27"/>
  <c r="G270" i="27"/>
  <c r="A271" i="27"/>
  <c r="H270" i="27"/>
  <c r="G264" i="28" l="1"/>
  <c r="F264" i="28"/>
  <c r="E264" i="28"/>
  <c r="C264" i="28"/>
  <c r="B264" i="28"/>
  <c r="H264" i="28"/>
  <c r="A265" i="28"/>
  <c r="F271" i="27"/>
  <c r="E271" i="27"/>
  <c r="G271" i="27"/>
  <c r="B271" i="27"/>
  <c r="H271" i="27"/>
  <c r="C271" i="27"/>
  <c r="A272" i="27"/>
  <c r="G265" i="28" l="1"/>
  <c r="F265" i="28"/>
  <c r="C265" i="28"/>
  <c r="B265" i="28"/>
  <c r="A266" i="28"/>
  <c r="E265" i="28"/>
  <c r="H265" i="28"/>
  <c r="G272" i="27"/>
  <c r="F272" i="27"/>
  <c r="E272" i="27"/>
  <c r="A273" i="27"/>
  <c r="C272" i="27"/>
  <c r="B272" i="27"/>
  <c r="H272" i="27"/>
  <c r="A267" i="28" l="1"/>
  <c r="H266" i="28"/>
  <c r="G266" i="28"/>
  <c r="B266" i="28"/>
  <c r="F266" i="28"/>
  <c r="E266" i="28"/>
  <c r="C266" i="28"/>
  <c r="H273" i="27"/>
  <c r="E273" i="27"/>
  <c r="G273" i="27"/>
  <c r="F273" i="27"/>
  <c r="C273" i="27"/>
  <c r="B273" i="27"/>
  <c r="A274" i="27"/>
  <c r="G267" i="28" l="1"/>
  <c r="F267" i="28"/>
  <c r="A268" i="28"/>
  <c r="E267" i="28"/>
  <c r="C267" i="28"/>
  <c r="B267" i="28"/>
  <c r="H267" i="28"/>
  <c r="G274" i="27"/>
  <c r="F274" i="27"/>
  <c r="E274" i="27"/>
  <c r="A275" i="27"/>
  <c r="C274" i="27"/>
  <c r="B274" i="27"/>
  <c r="H274" i="27"/>
  <c r="C268" i="28" l="1"/>
  <c r="B268" i="28"/>
  <c r="A269" i="28"/>
  <c r="G268" i="28"/>
  <c r="F268" i="28"/>
  <c r="H268" i="28"/>
  <c r="E268" i="28"/>
  <c r="B275" i="27"/>
  <c r="A276" i="27"/>
  <c r="G275" i="27"/>
  <c r="C275" i="27"/>
  <c r="H275" i="27"/>
  <c r="F275" i="27"/>
  <c r="E275" i="27"/>
  <c r="G269" i="28" l="1"/>
  <c r="F269" i="28"/>
  <c r="E269" i="28"/>
  <c r="B269" i="28"/>
  <c r="A270" i="28"/>
  <c r="C269" i="28"/>
  <c r="H269" i="28"/>
  <c r="G276" i="27"/>
  <c r="F276" i="27"/>
  <c r="C276" i="27"/>
  <c r="E276" i="27"/>
  <c r="B276" i="27"/>
  <c r="A277" i="27"/>
  <c r="H276" i="27"/>
  <c r="F270" i="28" l="1"/>
  <c r="E270" i="28"/>
  <c r="A271" i="28"/>
  <c r="C270" i="28"/>
  <c r="B270" i="28"/>
  <c r="H270" i="28"/>
  <c r="G270" i="28"/>
  <c r="E277" i="27"/>
  <c r="C277" i="27"/>
  <c r="B277" i="27"/>
  <c r="H277" i="27"/>
  <c r="F277" i="27"/>
  <c r="A278" i="27"/>
  <c r="G277" i="27"/>
  <c r="G271" i="28" l="1"/>
  <c r="F271" i="28"/>
  <c r="B271" i="28"/>
  <c r="E271" i="28"/>
  <c r="C271" i="28"/>
  <c r="H271" i="28"/>
  <c r="A272" i="28"/>
  <c r="G278" i="27"/>
  <c r="C278" i="27"/>
  <c r="F278" i="27"/>
  <c r="E278" i="27"/>
  <c r="H278" i="27"/>
  <c r="B278" i="27"/>
  <c r="A279" i="27"/>
  <c r="G272" i="28" l="1"/>
  <c r="B272" i="28"/>
  <c r="F272" i="28"/>
  <c r="E272" i="28"/>
  <c r="C272" i="28"/>
  <c r="H272" i="28"/>
  <c r="A273" i="28"/>
  <c r="G279" i="27"/>
  <c r="F279" i="27"/>
  <c r="C279" i="27"/>
  <c r="B279" i="27"/>
  <c r="H279" i="27"/>
  <c r="E279" i="27"/>
  <c r="A280" i="27"/>
  <c r="H273" i="28" l="1"/>
  <c r="G273" i="28"/>
  <c r="E273" i="28"/>
  <c r="F273" i="28"/>
  <c r="C273" i="28"/>
  <c r="B273" i="28"/>
  <c r="A274" i="28"/>
  <c r="G280" i="27"/>
  <c r="F280" i="27"/>
  <c r="C280" i="27"/>
  <c r="E280" i="27"/>
  <c r="A281" i="27"/>
  <c r="B280" i="27"/>
  <c r="H280" i="27"/>
  <c r="G274" i="28" l="1"/>
  <c r="B274" i="28"/>
  <c r="F274" i="28"/>
  <c r="E274" i="28"/>
  <c r="C274" i="28"/>
  <c r="A275" i="28"/>
  <c r="H274" i="28"/>
  <c r="G281" i="27"/>
  <c r="F281" i="27"/>
  <c r="E281" i="27"/>
  <c r="H281" i="27"/>
  <c r="B281" i="27"/>
  <c r="A282" i="27"/>
  <c r="C281" i="27"/>
  <c r="B275" i="28" l="1"/>
  <c r="C275" i="28"/>
  <c r="A276" i="28"/>
  <c r="H275" i="28"/>
  <c r="G275" i="28"/>
  <c r="F275" i="28"/>
  <c r="E275" i="28"/>
  <c r="A283" i="27"/>
  <c r="H282" i="27"/>
  <c r="G282" i="27"/>
  <c r="F282" i="27"/>
  <c r="E282" i="27"/>
  <c r="B282" i="27"/>
  <c r="C282" i="27"/>
  <c r="G276" i="28" l="1"/>
  <c r="F276" i="28"/>
  <c r="C276" i="28"/>
  <c r="B276" i="28"/>
  <c r="E276" i="28"/>
  <c r="H276" i="28"/>
  <c r="A277" i="28"/>
  <c r="G283" i="27"/>
  <c r="F283" i="27"/>
  <c r="E283" i="27"/>
  <c r="C283" i="27"/>
  <c r="B283" i="27"/>
  <c r="H283" i="27"/>
  <c r="A284" i="27"/>
  <c r="E277" i="28" l="1"/>
  <c r="C277" i="28"/>
  <c r="F277" i="28"/>
  <c r="B277" i="28"/>
  <c r="A278" i="28"/>
  <c r="H277" i="28"/>
  <c r="G277" i="28"/>
  <c r="C284" i="27"/>
  <c r="B284" i="27"/>
  <c r="A285" i="27"/>
  <c r="H284" i="27"/>
  <c r="F284" i="27"/>
  <c r="G284" i="27"/>
  <c r="E284" i="27"/>
  <c r="G278" i="28" l="1"/>
  <c r="C278" i="28"/>
  <c r="B278" i="28"/>
  <c r="F278" i="28"/>
  <c r="H278" i="28"/>
  <c r="E278" i="28"/>
  <c r="A279" i="28"/>
  <c r="G285" i="27"/>
  <c r="F285" i="27"/>
  <c r="B285" i="27"/>
  <c r="E285" i="27"/>
  <c r="C285" i="27"/>
  <c r="H285" i="27"/>
  <c r="A286" i="27"/>
  <c r="G279" i="28" l="1"/>
  <c r="F279" i="28"/>
  <c r="E279" i="28"/>
  <c r="C279" i="28"/>
  <c r="B279" i="28"/>
  <c r="H279" i="28"/>
  <c r="A280" i="28"/>
  <c r="F286" i="27"/>
  <c r="E286" i="27"/>
  <c r="C286" i="27"/>
  <c r="A287" i="27"/>
  <c r="H286" i="27"/>
  <c r="B286" i="27"/>
  <c r="G286" i="27"/>
  <c r="G280" i="28" l="1"/>
  <c r="F280" i="28"/>
  <c r="E280" i="28"/>
  <c r="C280" i="28"/>
  <c r="A281" i="28"/>
  <c r="B280" i="28"/>
  <c r="H280" i="28"/>
  <c r="G287" i="27"/>
  <c r="F287" i="27"/>
  <c r="B287" i="27"/>
  <c r="A288" i="27"/>
  <c r="E287" i="27"/>
  <c r="C287" i="27"/>
  <c r="H287" i="27"/>
  <c r="G281" i="28" l="1"/>
  <c r="F281" i="28"/>
  <c r="E281" i="28"/>
  <c r="C281" i="28"/>
  <c r="B281" i="28"/>
  <c r="A282" i="28"/>
  <c r="H281" i="28"/>
  <c r="G288" i="27"/>
  <c r="F288" i="27"/>
  <c r="E288" i="27"/>
  <c r="H288" i="27"/>
  <c r="C288" i="27"/>
  <c r="B288" i="27"/>
  <c r="A289" i="27"/>
  <c r="A283" i="28" l="1"/>
  <c r="H282" i="28"/>
  <c r="G282" i="28"/>
  <c r="F282" i="28"/>
  <c r="E282" i="28"/>
  <c r="B282" i="28"/>
  <c r="C282" i="28"/>
  <c r="H289" i="27"/>
  <c r="G289" i="27"/>
  <c r="F289" i="27"/>
  <c r="C289" i="27"/>
  <c r="B289" i="27"/>
  <c r="E289" i="27"/>
  <c r="A290" i="27"/>
  <c r="G283" i="28" l="1"/>
  <c r="F283" i="28"/>
  <c r="E283" i="28"/>
  <c r="C283" i="28"/>
  <c r="B283" i="28"/>
  <c r="A284" i="28"/>
  <c r="H283" i="28"/>
  <c r="G290" i="27"/>
  <c r="F290" i="27"/>
  <c r="C290" i="27"/>
  <c r="B290" i="27"/>
  <c r="H290" i="27"/>
  <c r="E290" i="27"/>
  <c r="A291" i="27"/>
  <c r="C284" i="28" l="1"/>
  <c r="B284" i="28"/>
  <c r="A285" i="28"/>
  <c r="H284" i="28"/>
  <c r="E284" i="28"/>
  <c r="G284" i="28"/>
  <c r="F284" i="28"/>
  <c r="B291" i="27"/>
  <c r="A292" i="27"/>
  <c r="G291" i="27"/>
  <c r="F291" i="27"/>
  <c r="H291" i="27"/>
  <c r="C291" i="27"/>
  <c r="E291" i="27"/>
  <c r="G285" i="28" l="1"/>
  <c r="C285" i="28"/>
  <c r="B285" i="28"/>
  <c r="F285" i="28"/>
  <c r="E285" i="28"/>
  <c r="A286" i="28"/>
  <c r="H285" i="28"/>
  <c r="G292" i="27"/>
  <c r="F292" i="27"/>
  <c r="E292" i="27"/>
  <c r="B292" i="27"/>
  <c r="A293" i="27"/>
  <c r="H292" i="27"/>
  <c r="C292" i="27"/>
  <c r="F286" i="28" l="1"/>
  <c r="E286" i="28"/>
  <c r="C286" i="28"/>
  <c r="B286" i="28"/>
  <c r="G286" i="28"/>
  <c r="A287" i="28"/>
  <c r="H286" i="28"/>
  <c r="E293" i="27"/>
  <c r="C293" i="27"/>
  <c r="F293" i="27"/>
  <c r="B293" i="27"/>
  <c r="H293" i="27"/>
  <c r="G293" i="27"/>
  <c r="A294" i="27"/>
  <c r="G287" i="28" l="1"/>
  <c r="F287" i="28"/>
  <c r="E287" i="28"/>
  <c r="B287" i="28"/>
  <c r="A288" i="28"/>
  <c r="C287" i="28"/>
  <c r="H287" i="28"/>
  <c r="G294" i="27"/>
  <c r="F294" i="27"/>
  <c r="E294" i="27"/>
  <c r="B294" i="27"/>
  <c r="H294" i="27"/>
  <c r="C294" i="27"/>
  <c r="A295" i="27"/>
  <c r="G288" i="28" l="1"/>
  <c r="F288" i="28"/>
  <c r="E288" i="28"/>
  <c r="H288" i="28"/>
  <c r="C288" i="28"/>
  <c r="B288" i="28"/>
  <c r="A289" i="28"/>
  <c r="G295" i="27"/>
  <c r="F295" i="27"/>
  <c r="E295" i="27"/>
  <c r="B295" i="27"/>
  <c r="H295" i="27"/>
  <c r="C295" i="27"/>
  <c r="A296" i="27"/>
  <c r="H289" i="28" l="1"/>
  <c r="E289" i="28"/>
  <c r="C289" i="28"/>
  <c r="B289" i="28"/>
  <c r="G289" i="28"/>
  <c r="A290" i="28"/>
  <c r="F289" i="28"/>
  <c r="G296" i="27"/>
  <c r="C296" i="27"/>
  <c r="B296" i="27"/>
  <c r="F296" i="27"/>
  <c r="E296" i="27"/>
  <c r="A297" i="27"/>
  <c r="H296" i="27"/>
  <c r="G290" i="28" l="1"/>
  <c r="F290" i="28"/>
  <c r="E290" i="28"/>
  <c r="B290" i="28"/>
  <c r="A291" i="28"/>
  <c r="C290" i="28"/>
  <c r="H290" i="28"/>
  <c r="G297" i="27"/>
  <c r="F297" i="27"/>
  <c r="E297" i="27"/>
  <c r="B297" i="27"/>
  <c r="H297" i="27"/>
  <c r="C297" i="27"/>
  <c r="A298" i="27"/>
  <c r="B291" i="28" l="1"/>
  <c r="C291" i="28"/>
  <c r="A292" i="28"/>
  <c r="H291" i="28"/>
  <c r="E291" i="28"/>
  <c r="G291" i="28"/>
  <c r="F291" i="28"/>
  <c r="A299" i="27"/>
  <c r="G298" i="27"/>
  <c r="F298" i="27"/>
  <c r="H298" i="27"/>
  <c r="E298" i="27"/>
  <c r="C298" i="27"/>
  <c r="B298" i="27"/>
  <c r="G292" i="28" l="1"/>
  <c r="H292" i="28"/>
  <c r="F292" i="28"/>
  <c r="A293" i="28"/>
  <c r="E292" i="28"/>
  <c r="C292" i="28"/>
  <c r="B292" i="28"/>
  <c r="G299" i="27"/>
  <c r="E299" i="27"/>
  <c r="B299" i="27"/>
  <c r="A300" i="27"/>
  <c r="F299" i="27"/>
  <c r="C299" i="27"/>
  <c r="H299" i="27"/>
  <c r="E293" i="28" l="1"/>
  <c r="H293" i="28"/>
  <c r="A294" i="28"/>
  <c r="C293" i="28"/>
  <c r="F293" i="28"/>
  <c r="B293" i="28"/>
  <c r="G293" i="28"/>
  <c r="C300" i="27"/>
  <c r="B300" i="27"/>
  <c r="A301" i="27"/>
  <c r="H300" i="27"/>
  <c r="G300" i="27"/>
  <c r="E300" i="27"/>
  <c r="F300" i="27"/>
  <c r="G294" i="28" l="1"/>
  <c r="C294" i="28"/>
  <c r="H294" i="28"/>
  <c r="F294" i="28"/>
  <c r="E294" i="28"/>
  <c r="B294" i="28"/>
  <c r="A295" i="28"/>
  <c r="G301" i="27"/>
  <c r="H301" i="27"/>
  <c r="F301" i="27"/>
  <c r="E301" i="27"/>
  <c r="C301" i="27"/>
  <c r="B301" i="27"/>
  <c r="A302" i="27"/>
  <c r="G295" i="28" l="1"/>
  <c r="H295" i="28"/>
  <c r="F295" i="28"/>
  <c r="C295" i="28"/>
  <c r="E295" i="28"/>
  <c r="B295" i="28"/>
  <c r="A296" i="28"/>
  <c r="F302" i="27"/>
  <c r="E302" i="27"/>
  <c r="A303" i="27"/>
  <c r="G302" i="27"/>
  <c r="C302" i="27"/>
  <c r="B302" i="27"/>
  <c r="H302" i="27"/>
  <c r="G296" i="28" l="1"/>
  <c r="F296" i="28"/>
  <c r="A297" i="28"/>
  <c r="E296" i="28"/>
  <c r="B296" i="28"/>
  <c r="C296" i="28"/>
  <c r="H296" i="28"/>
  <c r="G303" i="27"/>
  <c r="F303" i="27"/>
  <c r="A304" i="27"/>
  <c r="E303" i="27"/>
  <c r="C303" i="27"/>
  <c r="B303" i="27"/>
  <c r="H303" i="27"/>
  <c r="G297" i="28" l="1"/>
  <c r="F297" i="28"/>
  <c r="E297" i="28"/>
  <c r="B297" i="28"/>
  <c r="H297" i="28"/>
  <c r="C297" i="28"/>
  <c r="A298" i="28"/>
  <c r="G304" i="27"/>
  <c r="F304" i="27"/>
  <c r="B304" i="27"/>
  <c r="H304" i="27"/>
  <c r="E304" i="27"/>
  <c r="C304" i="27"/>
  <c r="A305" i="27"/>
  <c r="A299" i="28" l="1"/>
  <c r="H298" i="28"/>
  <c r="G298" i="28"/>
  <c r="F298" i="28"/>
  <c r="C298" i="28"/>
  <c r="E298" i="28"/>
  <c r="B298" i="28"/>
  <c r="H305" i="27"/>
  <c r="G305" i="27"/>
  <c r="F305" i="27"/>
  <c r="C305" i="27"/>
  <c r="A306" i="27"/>
  <c r="B305" i="27"/>
  <c r="E305" i="27"/>
  <c r="G299" i="28" l="1"/>
  <c r="A300" i="28"/>
  <c r="F299" i="28"/>
  <c r="E299" i="28"/>
  <c r="H299" i="28"/>
  <c r="C299" i="28"/>
  <c r="B299" i="28"/>
  <c r="G306" i="27"/>
  <c r="F306" i="27"/>
  <c r="E306" i="27"/>
  <c r="C306" i="27"/>
  <c r="B306" i="27"/>
  <c r="A307" i="27"/>
  <c r="H306" i="27"/>
  <c r="C300" i="28" l="1"/>
  <c r="B300" i="28"/>
  <c r="G300" i="28"/>
  <c r="A301" i="28"/>
  <c r="H300" i="28"/>
  <c r="E300" i="28"/>
  <c r="F300" i="28"/>
  <c r="B307" i="27"/>
  <c r="A308" i="27"/>
  <c r="G307" i="27"/>
  <c r="H307" i="27"/>
  <c r="E307" i="27"/>
  <c r="F307" i="27"/>
  <c r="C307" i="27"/>
  <c r="G301" i="28" l="1"/>
  <c r="C301" i="28"/>
  <c r="B301" i="28"/>
  <c r="H301" i="28"/>
  <c r="F301" i="28"/>
  <c r="A302" i="28"/>
  <c r="E301" i="28"/>
  <c r="G308" i="27"/>
  <c r="F308" i="27"/>
  <c r="E308" i="27"/>
  <c r="C308" i="27"/>
  <c r="B308" i="27"/>
  <c r="H308" i="27"/>
  <c r="A309" i="27"/>
  <c r="F302" i="28" l="1"/>
  <c r="E302" i="28"/>
  <c r="H302" i="28"/>
  <c r="C302" i="28"/>
  <c r="B302" i="28"/>
  <c r="A303" i="28"/>
  <c r="G302" i="28"/>
  <c r="E309" i="27"/>
  <c r="C309" i="27"/>
  <c r="B309" i="27"/>
  <c r="H309" i="27"/>
  <c r="F309" i="27"/>
  <c r="G309" i="27"/>
  <c r="A310" i="27"/>
  <c r="G303" i="28" l="1"/>
  <c r="B303" i="28"/>
  <c r="F303" i="28"/>
  <c r="E303" i="28"/>
  <c r="C303" i="28"/>
  <c r="A304" i="28"/>
  <c r="H303" i="28"/>
  <c r="G310" i="27"/>
  <c r="C310" i="27"/>
  <c r="A311" i="27"/>
  <c r="F310" i="27"/>
  <c r="B310" i="27"/>
  <c r="H310" i="27"/>
  <c r="E310" i="27"/>
  <c r="G304" i="28" l="1"/>
  <c r="F304" i="28"/>
  <c r="C304" i="28"/>
  <c r="B304" i="28"/>
  <c r="A305" i="28"/>
  <c r="E304" i="28"/>
  <c r="H304" i="28"/>
  <c r="G311" i="27"/>
  <c r="F311" i="27"/>
  <c r="E311" i="27"/>
  <c r="C311" i="27"/>
  <c r="B311" i="27"/>
  <c r="A312" i="27"/>
  <c r="H311" i="27"/>
  <c r="H305" i="28" l="1"/>
  <c r="E305" i="28"/>
  <c r="C305" i="28"/>
  <c r="G305" i="28"/>
  <c r="B305" i="28"/>
  <c r="F305" i="28"/>
  <c r="A306" i="28"/>
  <c r="G312" i="27"/>
  <c r="C312" i="27"/>
  <c r="B312" i="27"/>
  <c r="H312" i="27"/>
  <c r="F312" i="27"/>
  <c r="E312" i="27"/>
  <c r="A313" i="27"/>
  <c r="G306" i="28" l="1"/>
  <c r="E306" i="28"/>
  <c r="C306" i="28"/>
  <c r="A307" i="28"/>
  <c r="F306" i="28"/>
  <c r="B306" i="28"/>
  <c r="H306" i="28"/>
  <c r="G313" i="27"/>
  <c r="F313" i="27"/>
  <c r="E313" i="27"/>
  <c r="C313" i="27"/>
  <c r="B313" i="27"/>
  <c r="H313" i="27"/>
  <c r="A314" i="27"/>
  <c r="B307" i="28" l="1"/>
  <c r="A308" i="28"/>
  <c r="H307" i="28"/>
  <c r="G307" i="28"/>
  <c r="F307" i="28"/>
  <c r="C307" i="28"/>
  <c r="E307" i="28"/>
  <c r="A315" i="27"/>
  <c r="H314" i="27"/>
  <c r="B314" i="27"/>
  <c r="G314" i="27"/>
  <c r="F314" i="27"/>
  <c r="E314" i="27"/>
  <c r="C314" i="27"/>
  <c r="G308" i="28" l="1"/>
  <c r="E308" i="28"/>
  <c r="F308" i="28"/>
  <c r="C308" i="28"/>
  <c r="B308" i="28"/>
  <c r="A309" i="28"/>
  <c r="H308" i="28"/>
  <c r="G315" i="27"/>
  <c r="A316" i="27"/>
  <c r="F315" i="27"/>
  <c r="E315" i="27"/>
  <c r="C315" i="27"/>
  <c r="B315" i="27"/>
  <c r="H315" i="27"/>
  <c r="E309" i="28" l="1"/>
  <c r="C309" i="28"/>
  <c r="B309" i="28"/>
  <c r="G309" i="28"/>
  <c r="A310" i="28"/>
  <c r="H309" i="28"/>
  <c r="F309" i="28"/>
  <c r="C316" i="27"/>
  <c r="B316" i="27"/>
  <c r="H316" i="27"/>
  <c r="G316" i="27"/>
  <c r="A317" i="27"/>
  <c r="E316" i="27"/>
  <c r="F316" i="27"/>
  <c r="G310" i="28" l="1"/>
  <c r="E310" i="28"/>
  <c r="F310" i="28"/>
  <c r="C310" i="28"/>
  <c r="B310" i="28"/>
  <c r="A311" i="28"/>
  <c r="H310" i="28"/>
  <c r="G317" i="27"/>
  <c r="C317" i="27"/>
  <c r="B317" i="27"/>
  <c r="F317" i="27"/>
  <c r="E317" i="27"/>
  <c r="A318" i="27"/>
  <c r="H317" i="27"/>
  <c r="G311" i="28" l="1"/>
  <c r="C311" i="28"/>
  <c r="B311" i="28"/>
  <c r="F311" i="28"/>
  <c r="A312" i="28"/>
  <c r="E311" i="28"/>
  <c r="H311" i="28"/>
  <c r="F318" i="27"/>
  <c r="B318" i="27"/>
  <c r="A319" i="27"/>
  <c r="E318" i="27"/>
  <c r="C318" i="27"/>
  <c r="H318" i="27"/>
  <c r="G318" i="27"/>
  <c r="G312" i="28" l="1"/>
  <c r="F312" i="28"/>
  <c r="E312" i="28"/>
  <c r="H312" i="28"/>
  <c r="B312" i="28"/>
  <c r="C312" i="28"/>
  <c r="A313" i="28"/>
  <c r="G319" i="27"/>
  <c r="E319" i="27"/>
  <c r="C319" i="27"/>
  <c r="A320" i="27"/>
  <c r="F319" i="27"/>
  <c r="B319" i="27"/>
  <c r="H319" i="27"/>
  <c r="G313" i="28" l="1"/>
  <c r="F313" i="28"/>
  <c r="E313" i="28"/>
  <c r="H313" i="28"/>
  <c r="B313" i="28"/>
  <c r="C313" i="28"/>
  <c r="A314" i="28"/>
  <c r="G320" i="27"/>
  <c r="F320" i="27"/>
  <c r="C320" i="27"/>
  <c r="B320" i="27"/>
  <c r="H320" i="27"/>
  <c r="E320" i="27"/>
  <c r="A321" i="27"/>
  <c r="A315" i="28" l="1"/>
  <c r="F314" i="28"/>
  <c r="H314" i="28"/>
  <c r="B314" i="28"/>
  <c r="G314" i="28"/>
  <c r="E314" i="28"/>
  <c r="C314" i="28"/>
  <c r="H321" i="27"/>
  <c r="F321" i="27"/>
  <c r="E321" i="27"/>
  <c r="C321" i="27"/>
  <c r="G321" i="27"/>
  <c r="A322" i="27"/>
  <c r="B321" i="27"/>
  <c r="G315" i="28" l="1"/>
  <c r="F315" i="28"/>
  <c r="E315" i="28"/>
  <c r="C315" i="28"/>
  <c r="A316" i="28"/>
  <c r="B315" i="28"/>
  <c r="H315" i="28"/>
  <c r="G322" i="27"/>
  <c r="H322" i="27"/>
  <c r="F322" i="27"/>
  <c r="C322" i="27"/>
  <c r="B322" i="27"/>
  <c r="E322" i="27"/>
  <c r="A323" i="27"/>
  <c r="C316" i="28" l="1"/>
  <c r="G316" i="28"/>
  <c r="B316" i="28"/>
  <c r="A317" i="28"/>
  <c r="H316" i="28"/>
  <c r="F316" i="28"/>
  <c r="E316" i="28"/>
  <c r="B323" i="27"/>
  <c r="A324" i="27"/>
  <c r="E323" i="27"/>
  <c r="H323" i="27"/>
  <c r="G323" i="27"/>
  <c r="F323" i="27"/>
  <c r="C323" i="27"/>
  <c r="G317" i="28" l="1"/>
  <c r="C317" i="28"/>
  <c r="A318" i="28"/>
  <c r="F317" i="28"/>
  <c r="H317" i="28"/>
  <c r="E317" i="28"/>
  <c r="B317" i="28"/>
  <c r="G324" i="27"/>
  <c r="F324" i="27"/>
  <c r="C324" i="27"/>
  <c r="B324" i="27"/>
  <c r="H324" i="27"/>
  <c r="E324" i="27"/>
  <c r="A325" i="27"/>
  <c r="F318" i="28" l="1"/>
  <c r="B318" i="28"/>
  <c r="A319" i="28"/>
  <c r="E318" i="28"/>
  <c r="C318" i="28"/>
  <c r="H318" i="28"/>
  <c r="G318" i="28"/>
  <c r="E325" i="27"/>
  <c r="C325" i="27"/>
  <c r="B325" i="27"/>
  <c r="G325" i="27"/>
  <c r="A326" i="27"/>
  <c r="H325" i="27"/>
  <c r="F325" i="27"/>
  <c r="G319" i="28" l="1"/>
  <c r="H319" i="28"/>
  <c r="F319" i="28"/>
  <c r="E319" i="28"/>
  <c r="A320" i="28"/>
  <c r="C319" i="28"/>
  <c r="B319" i="28"/>
  <c r="G326" i="27"/>
  <c r="H326" i="27"/>
  <c r="F326" i="27"/>
  <c r="C326" i="27"/>
  <c r="B326" i="27"/>
  <c r="A327" i="27"/>
  <c r="E326" i="27"/>
  <c r="G320" i="28" l="1"/>
  <c r="C320" i="28"/>
  <c r="B320" i="28"/>
  <c r="F320" i="28"/>
  <c r="A321" i="28"/>
  <c r="E320" i="28"/>
  <c r="H320" i="28"/>
  <c r="G327" i="27"/>
  <c r="C327" i="27"/>
  <c r="B327" i="27"/>
  <c r="H327" i="27"/>
  <c r="F327" i="27"/>
  <c r="E327" i="27"/>
  <c r="A328" i="27"/>
  <c r="H321" i="28" l="1"/>
  <c r="C321" i="28"/>
  <c r="G321" i="28"/>
  <c r="E321" i="28"/>
  <c r="B321" i="28"/>
  <c r="F321" i="28"/>
  <c r="A322" i="28"/>
  <c r="G328" i="27"/>
  <c r="F328" i="27"/>
  <c r="E328" i="27"/>
  <c r="C328" i="27"/>
  <c r="B328" i="27"/>
  <c r="A329" i="27"/>
  <c r="H328" i="27"/>
  <c r="G322" i="28" l="1"/>
  <c r="F322" i="28"/>
  <c r="E322" i="28"/>
  <c r="C322" i="28"/>
  <c r="B322" i="28"/>
  <c r="A323" i="28"/>
  <c r="H322" i="28"/>
  <c r="G329" i="27"/>
  <c r="F329" i="27"/>
  <c r="E329" i="27"/>
  <c r="C329" i="27"/>
  <c r="B329" i="27"/>
  <c r="H329" i="27"/>
  <c r="A330" i="27"/>
  <c r="B323" i="28" l="1"/>
  <c r="G323" i="28"/>
  <c r="A324" i="28"/>
  <c r="F323" i="28"/>
  <c r="C323" i="28"/>
  <c r="H323" i="28"/>
  <c r="E323" i="28"/>
  <c r="A331" i="27"/>
  <c r="H330" i="27"/>
  <c r="G330" i="27"/>
  <c r="F330" i="27"/>
  <c r="E330" i="27"/>
  <c r="B330" i="27"/>
  <c r="C330" i="27"/>
  <c r="G324" i="28" l="1"/>
  <c r="E324" i="28"/>
  <c r="C324" i="28"/>
  <c r="H324" i="28"/>
  <c r="F324" i="28"/>
  <c r="B324" i="28"/>
  <c r="A325" i="28"/>
  <c r="G331" i="27"/>
  <c r="F331" i="27"/>
  <c r="E331" i="27"/>
  <c r="C331" i="27"/>
  <c r="B331" i="27"/>
  <c r="A332" i="27"/>
  <c r="H331" i="27"/>
  <c r="E325" i="28" l="1"/>
  <c r="A326" i="28"/>
  <c r="C325" i="28"/>
  <c r="H325" i="28"/>
  <c r="F325" i="28"/>
  <c r="B325" i="28"/>
  <c r="G325" i="28"/>
  <c r="C332" i="27"/>
  <c r="H332" i="27"/>
  <c r="G332" i="27"/>
  <c r="E332" i="27"/>
  <c r="B332" i="27"/>
  <c r="A333" i="27"/>
  <c r="F332" i="27"/>
  <c r="G326" i="28" l="1"/>
  <c r="F326" i="28"/>
  <c r="B326" i="28"/>
  <c r="E326" i="28"/>
  <c r="C326" i="28"/>
  <c r="A327" i="28"/>
  <c r="H326" i="28"/>
  <c r="G333" i="27"/>
  <c r="H333" i="27"/>
  <c r="F333" i="27"/>
  <c r="E333" i="27"/>
  <c r="C333" i="27"/>
  <c r="B333" i="27"/>
  <c r="A334" i="27"/>
  <c r="G327" i="28" l="1"/>
  <c r="C327" i="28"/>
  <c r="H327" i="28"/>
  <c r="F327" i="28"/>
  <c r="A328" i="28"/>
  <c r="E327" i="28"/>
  <c r="B327" i="28"/>
  <c r="F334" i="27"/>
  <c r="E334" i="27"/>
  <c r="C334" i="27"/>
  <c r="B334" i="27"/>
  <c r="A335" i="27"/>
  <c r="G334" i="27"/>
  <c r="H334" i="27"/>
  <c r="G328" i="28" l="1"/>
  <c r="C328" i="28"/>
  <c r="A329" i="28"/>
  <c r="F328" i="28"/>
  <c r="B328" i="28"/>
  <c r="H328" i="28"/>
  <c r="E328" i="28"/>
  <c r="G335" i="27"/>
  <c r="E335" i="27"/>
  <c r="F335" i="27"/>
  <c r="C335" i="27"/>
  <c r="B335" i="27"/>
  <c r="A336" i="27"/>
  <c r="H335" i="27"/>
  <c r="G329" i="28" l="1"/>
  <c r="C329" i="28"/>
  <c r="B329" i="28"/>
  <c r="F329" i="28"/>
  <c r="H329" i="28"/>
  <c r="E329" i="28"/>
  <c r="A330" i="28"/>
  <c r="G336" i="27"/>
  <c r="E336" i="27"/>
  <c r="C336" i="27"/>
  <c r="B336" i="27"/>
  <c r="F336" i="27"/>
  <c r="H336" i="27"/>
  <c r="A337" i="27"/>
  <c r="A331" i="28" l="1"/>
  <c r="G330" i="28"/>
  <c r="E330" i="28"/>
  <c r="F330" i="28"/>
  <c r="B330" i="28"/>
  <c r="H330" i="28"/>
  <c r="C330" i="28"/>
  <c r="H337" i="27"/>
  <c r="G337" i="27"/>
  <c r="F337" i="27"/>
  <c r="E337" i="27"/>
  <c r="C337" i="27"/>
  <c r="A338" i="27"/>
  <c r="B337" i="27"/>
  <c r="G331" i="28" l="1"/>
  <c r="C331" i="28"/>
  <c r="B331" i="28"/>
  <c r="F331" i="28"/>
  <c r="A332" i="28"/>
  <c r="E331" i="28"/>
  <c r="H331" i="28"/>
  <c r="G338" i="27"/>
  <c r="H338" i="27"/>
  <c r="F338" i="27"/>
  <c r="E338" i="27"/>
  <c r="B338" i="27"/>
  <c r="A339" i="27"/>
  <c r="C338" i="27"/>
  <c r="C332" i="28" l="1"/>
  <c r="H332" i="28"/>
  <c r="E332" i="28"/>
  <c r="B332" i="28"/>
  <c r="G332" i="28"/>
  <c r="A333" i="28"/>
  <c r="F332" i="28"/>
  <c r="B339" i="27"/>
  <c r="A340" i="27"/>
  <c r="H339" i="27"/>
  <c r="G339" i="27"/>
  <c r="E339" i="27"/>
  <c r="C339" i="27"/>
  <c r="F339" i="27"/>
  <c r="G333" i="28" l="1"/>
  <c r="F333" i="28"/>
  <c r="E333" i="28"/>
  <c r="B333" i="28"/>
  <c r="H333" i="28"/>
  <c r="C333" i="28"/>
  <c r="A334" i="28"/>
  <c r="G340" i="27"/>
  <c r="F340" i="27"/>
  <c r="B340" i="27"/>
  <c r="H340" i="27"/>
  <c r="E340" i="27"/>
  <c r="C340" i="27"/>
  <c r="A341" i="27"/>
  <c r="F334" i="28" l="1"/>
  <c r="E334" i="28"/>
  <c r="B334" i="28"/>
  <c r="A335" i="28"/>
  <c r="H334" i="28"/>
  <c r="C334" i="28"/>
  <c r="G334" i="28"/>
  <c r="E341" i="27"/>
  <c r="C341" i="27"/>
  <c r="B341" i="27"/>
  <c r="H341" i="27"/>
  <c r="F341" i="27"/>
  <c r="G341" i="27"/>
  <c r="A342" i="27"/>
  <c r="G335" i="28" l="1"/>
  <c r="F335" i="28"/>
  <c r="A336" i="28"/>
  <c r="E335" i="28"/>
  <c r="B335" i="28"/>
  <c r="H335" i="28"/>
  <c r="C335" i="28"/>
  <c r="G342" i="27"/>
  <c r="C342" i="27"/>
  <c r="B342" i="27"/>
  <c r="H342" i="27"/>
  <c r="F342" i="27"/>
  <c r="E342" i="27"/>
  <c r="A343" i="27"/>
  <c r="G336" i="28" l="1"/>
  <c r="C336" i="28"/>
  <c r="A337" i="28"/>
  <c r="F336" i="28"/>
  <c r="H336" i="28"/>
  <c r="E336" i="28"/>
  <c r="B336" i="28"/>
  <c r="G343" i="27"/>
  <c r="F343" i="27"/>
  <c r="E343" i="27"/>
  <c r="B343" i="27"/>
  <c r="A344" i="27"/>
  <c r="C343" i="27"/>
  <c r="H343" i="27"/>
  <c r="H337" i="28" l="1"/>
  <c r="E337" i="28"/>
  <c r="G337" i="28"/>
  <c r="A338" i="28"/>
  <c r="F337" i="28"/>
  <c r="C337" i="28"/>
  <c r="B337" i="28"/>
  <c r="G344" i="27"/>
  <c r="E344" i="27"/>
  <c r="A345" i="27"/>
  <c r="F344" i="27"/>
  <c r="B344" i="27"/>
  <c r="C344" i="27"/>
  <c r="H344" i="27"/>
  <c r="G338" i="28" l="1"/>
  <c r="C338" i="28"/>
  <c r="H338" i="28"/>
  <c r="F338" i="28"/>
  <c r="B338" i="28"/>
  <c r="E338" i="28"/>
  <c r="A339" i="28"/>
  <c r="G345" i="27"/>
  <c r="C345" i="27"/>
  <c r="B345" i="27"/>
  <c r="F345" i="27"/>
  <c r="E345" i="27"/>
  <c r="A346" i="27"/>
  <c r="H345" i="27"/>
  <c r="B339" i="28" l="1"/>
  <c r="A340" i="28"/>
  <c r="F339" i="28"/>
  <c r="C339" i="28"/>
  <c r="H339" i="28"/>
  <c r="E339" i="28"/>
  <c r="G339" i="28"/>
  <c r="A347" i="27"/>
  <c r="F346" i="27"/>
  <c r="H346" i="27"/>
  <c r="B346" i="27"/>
  <c r="G346" i="27"/>
  <c r="E346" i="27"/>
  <c r="C346" i="27"/>
  <c r="G340" i="28" l="1"/>
  <c r="B340" i="28"/>
  <c r="H340" i="28"/>
  <c r="F340" i="28"/>
  <c r="E340" i="28"/>
  <c r="C340" i="28"/>
  <c r="A341" i="28"/>
  <c r="G347" i="27"/>
  <c r="E347" i="27"/>
  <c r="C347" i="27"/>
  <c r="B347" i="27"/>
  <c r="A348" i="27"/>
  <c r="F347" i="27"/>
  <c r="H347" i="27"/>
  <c r="E341" i="28" l="1"/>
  <c r="C341" i="28"/>
  <c r="B341" i="28"/>
  <c r="G341" i="28"/>
  <c r="A342" i="28"/>
  <c r="H341" i="28"/>
  <c r="F341" i="28"/>
  <c r="C348" i="27"/>
  <c r="B348" i="27"/>
  <c r="H348" i="27"/>
  <c r="G348" i="27"/>
  <c r="A349" i="27"/>
  <c r="F348" i="27"/>
  <c r="E348" i="27"/>
  <c r="G342" i="28" l="1"/>
  <c r="F342" i="28"/>
  <c r="C342" i="28"/>
  <c r="B342" i="28"/>
  <c r="A343" i="28"/>
  <c r="E342" i="28"/>
  <c r="H342" i="28"/>
  <c r="G349" i="27"/>
  <c r="E349" i="27"/>
  <c r="C349" i="27"/>
  <c r="A350" i="27"/>
  <c r="F349" i="27"/>
  <c r="B349" i="27"/>
  <c r="H349" i="27"/>
  <c r="G343" i="28" l="1"/>
  <c r="C343" i="28"/>
  <c r="A344" i="28"/>
  <c r="F343" i="28"/>
  <c r="B343" i="28"/>
  <c r="H343" i="28"/>
  <c r="E343" i="28"/>
  <c r="F350" i="27"/>
  <c r="B350" i="27"/>
  <c r="E350" i="27"/>
  <c r="A351" i="27"/>
  <c r="G350" i="27"/>
  <c r="C350" i="27"/>
  <c r="H350" i="27"/>
  <c r="G344" i="28" l="1"/>
  <c r="F344" i="28"/>
  <c r="E344" i="28"/>
  <c r="B344" i="28"/>
  <c r="A345" i="28"/>
  <c r="C344" i="28"/>
  <c r="H344" i="28"/>
  <c r="G351" i="27"/>
  <c r="C351" i="27"/>
  <c r="B351" i="27"/>
  <c r="H351" i="27"/>
  <c r="F351" i="27"/>
  <c r="A352" i="27"/>
  <c r="E351" i="27"/>
  <c r="G345" i="28" l="1"/>
  <c r="A346" i="28"/>
  <c r="F345" i="28"/>
  <c r="C345" i="28"/>
  <c r="B345" i="28"/>
  <c r="E345" i="28"/>
  <c r="H345" i="28"/>
  <c r="G352" i="27"/>
  <c r="F352" i="27"/>
  <c r="C352" i="27"/>
  <c r="A353" i="27"/>
  <c r="B352" i="27"/>
  <c r="E352" i="27"/>
  <c r="H352" i="27"/>
  <c r="A347" i="28" l="1"/>
  <c r="G346" i="28"/>
  <c r="F346" i="28"/>
  <c r="H346" i="28"/>
  <c r="E346" i="28"/>
  <c r="B346" i="28"/>
  <c r="C346" i="28"/>
  <c r="H353" i="27"/>
  <c r="G353" i="27"/>
  <c r="F353" i="27"/>
  <c r="C353" i="27"/>
  <c r="A354" i="27"/>
  <c r="B353" i="27"/>
  <c r="E353" i="27"/>
  <c r="G347" i="28" l="1"/>
  <c r="F347" i="28"/>
  <c r="E347" i="28"/>
  <c r="C347" i="28"/>
  <c r="B347" i="28"/>
  <c r="H347" i="28"/>
  <c r="A348" i="28"/>
  <c r="G354" i="27"/>
  <c r="C354" i="27"/>
  <c r="F354" i="27"/>
  <c r="A355" i="27"/>
  <c r="H354" i="27"/>
  <c r="E354" i="27"/>
  <c r="B354" i="27"/>
  <c r="C348" i="28" l="1"/>
  <c r="B348" i="28"/>
  <c r="F348" i="28"/>
  <c r="A349" i="28"/>
  <c r="G348" i="28"/>
  <c r="H348" i="28"/>
  <c r="E348" i="28"/>
  <c r="B355" i="27"/>
  <c r="H355" i="27"/>
  <c r="F355" i="27"/>
  <c r="A356" i="27"/>
  <c r="G355" i="27"/>
  <c r="E355" i="27"/>
  <c r="C355" i="27"/>
  <c r="G349" i="28" l="1"/>
  <c r="C349" i="28"/>
  <c r="B349" i="28"/>
  <c r="A350" i="28"/>
  <c r="F349" i="28"/>
  <c r="H349" i="28"/>
  <c r="E349" i="28"/>
  <c r="G356" i="27"/>
  <c r="F356" i="27"/>
  <c r="E356" i="27"/>
  <c r="C356" i="27"/>
  <c r="B356" i="27"/>
  <c r="H356" i="27"/>
  <c r="A357" i="27"/>
  <c r="F350" i="28" l="1"/>
  <c r="A351" i="28"/>
  <c r="E350" i="28"/>
  <c r="B350" i="28"/>
  <c r="H350" i="28"/>
  <c r="C350" i="28"/>
  <c r="G350" i="28"/>
  <c r="E357" i="27"/>
  <c r="C357" i="27"/>
  <c r="B357" i="27"/>
  <c r="F357" i="27"/>
  <c r="A358" i="27"/>
  <c r="H357" i="27"/>
  <c r="G357" i="27"/>
  <c r="G351" i="28" l="1"/>
  <c r="F351" i="28"/>
  <c r="B351" i="28"/>
  <c r="A352" i="28"/>
  <c r="E351" i="28"/>
  <c r="C351" i="28"/>
  <c r="H351" i="28"/>
  <c r="G358" i="27"/>
  <c r="C358" i="27"/>
  <c r="A359" i="27"/>
  <c r="F358" i="27"/>
  <c r="H358" i="27"/>
  <c r="E358" i="27"/>
  <c r="B358" i="27"/>
  <c r="G352" i="28" l="1"/>
  <c r="F352" i="28"/>
  <c r="C352" i="28"/>
  <c r="B352" i="28"/>
  <c r="E352" i="28"/>
  <c r="A353" i="28"/>
  <c r="H352" i="28"/>
  <c r="G359" i="27"/>
  <c r="F359" i="27"/>
  <c r="B359" i="27"/>
  <c r="A360" i="27"/>
  <c r="E359" i="27"/>
  <c r="C359" i="27"/>
  <c r="H359" i="27"/>
  <c r="H353" i="28" l="1"/>
  <c r="E353" i="28"/>
  <c r="C353" i="28"/>
  <c r="G353" i="28"/>
  <c r="B353" i="28"/>
  <c r="F353" i="28"/>
  <c r="A354" i="28"/>
  <c r="G360" i="27"/>
  <c r="F360" i="27"/>
  <c r="E360" i="27"/>
  <c r="C360" i="27"/>
  <c r="B360" i="27"/>
  <c r="A361" i="27"/>
  <c r="H360" i="27"/>
  <c r="G354" i="28" l="1"/>
  <c r="A355" i="28"/>
  <c r="F354" i="28"/>
  <c r="E354" i="28"/>
  <c r="C354" i="28"/>
  <c r="B354" i="28"/>
  <c r="H354" i="28"/>
  <c r="G361" i="27"/>
  <c r="B361" i="27"/>
  <c r="F361" i="27"/>
  <c r="E361" i="27"/>
  <c r="H361" i="27"/>
  <c r="C361" i="27"/>
  <c r="A362" i="27"/>
  <c r="B355" i="28" l="1"/>
  <c r="H355" i="28"/>
  <c r="G355" i="28"/>
  <c r="C355" i="28"/>
  <c r="A356" i="28"/>
  <c r="F355" i="28"/>
  <c r="E355" i="28"/>
  <c r="A363" i="27"/>
  <c r="H362" i="27"/>
  <c r="G362" i="27"/>
  <c r="F362" i="27"/>
  <c r="B362" i="27"/>
  <c r="E362" i="27"/>
  <c r="C362" i="27"/>
  <c r="G356" i="28" l="1"/>
  <c r="F356" i="28"/>
  <c r="C356" i="28"/>
  <c r="B356" i="28"/>
  <c r="H356" i="28"/>
  <c r="E356" i="28"/>
  <c r="A357" i="28"/>
  <c r="G363" i="27"/>
  <c r="C363" i="27"/>
  <c r="B363" i="27"/>
  <c r="A364" i="27"/>
  <c r="F363" i="27"/>
  <c r="E363" i="27"/>
  <c r="H363" i="27"/>
  <c r="E357" i="28" l="1"/>
  <c r="B357" i="28"/>
  <c r="A358" i="28"/>
  <c r="H357" i="28"/>
  <c r="G357" i="28"/>
  <c r="C357" i="28"/>
  <c r="F357" i="28"/>
  <c r="C364" i="27"/>
  <c r="H364" i="27"/>
  <c r="E364" i="27"/>
  <c r="B364" i="27"/>
  <c r="G364" i="27"/>
  <c r="F364" i="27"/>
  <c r="A365" i="27"/>
  <c r="G358" i="28" l="1"/>
  <c r="F358" i="28"/>
  <c r="B358" i="28"/>
  <c r="E358" i="28"/>
  <c r="C358" i="28"/>
  <c r="A359" i="28"/>
  <c r="H358" i="28"/>
  <c r="G365" i="27"/>
  <c r="F365" i="27"/>
  <c r="E365" i="27"/>
  <c r="A366" i="27"/>
  <c r="C365" i="27"/>
  <c r="B365" i="27"/>
  <c r="H365" i="27"/>
  <c r="G359" i="28" l="1"/>
  <c r="B359" i="28"/>
  <c r="F359" i="28"/>
  <c r="E359" i="28"/>
  <c r="C359" i="28"/>
  <c r="H359" i="28"/>
  <c r="A360" i="28"/>
  <c r="F366" i="27"/>
  <c r="B366" i="27"/>
  <c r="A367" i="27"/>
  <c r="E366" i="27"/>
  <c r="C366" i="27"/>
  <c r="H366" i="27"/>
  <c r="G366" i="27"/>
  <c r="G360" i="28" l="1"/>
  <c r="C360" i="28"/>
  <c r="A361" i="28"/>
  <c r="H360" i="28"/>
  <c r="F360" i="28"/>
  <c r="B360" i="28"/>
  <c r="E360" i="28"/>
  <c r="G367" i="27"/>
  <c r="F367" i="27"/>
  <c r="E367" i="27"/>
  <c r="C367" i="27"/>
  <c r="B367" i="27"/>
  <c r="H367" i="27"/>
  <c r="A368" i="27"/>
  <c r="G361" i="28" l="1"/>
  <c r="E361" i="28"/>
  <c r="C361" i="28"/>
  <c r="A362" i="28"/>
  <c r="F361" i="28"/>
  <c r="B361" i="28"/>
  <c r="H361" i="28"/>
  <c r="G368" i="27"/>
  <c r="F368" i="27"/>
  <c r="E368" i="27"/>
  <c r="B368" i="27"/>
  <c r="A369" i="27"/>
  <c r="C368" i="27"/>
  <c r="H368" i="27"/>
  <c r="A363" i="28" l="1"/>
  <c r="H362" i="28"/>
  <c r="B362" i="28"/>
  <c r="F362" i="28"/>
  <c r="C362" i="28"/>
  <c r="G362" i="28"/>
  <c r="E362" i="28"/>
  <c r="H369" i="27"/>
  <c r="E369" i="27"/>
  <c r="B369" i="27"/>
  <c r="G369" i="27"/>
  <c r="C369" i="27"/>
  <c r="F369" i="27"/>
  <c r="A370" i="27"/>
  <c r="F363" i="28" l="1"/>
  <c r="H363" i="28"/>
  <c r="G363" i="28"/>
  <c r="E363" i="28"/>
  <c r="C363" i="28"/>
  <c r="B363" i="28"/>
  <c r="A364" i="28"/>
  <c r="G370" i="27"/>
  <c r="F370" i="27"/>
  <c r="B370" i="27"/>
  <c r="H370" i="27"/>
  <c r="C370" i="27"/>
  <c r="A371" i="27"/>
  <c r="E370" i="27"/>
  <c r="C364" i="28" l="1"/>
  <c r="B364" i="28"/>
  <c r="F364" i="28"/>
  <c r="A365" i="28"/>
  <c r="H364" i="28"/>
  <c r="G364" i="28"/>
  <c r="E364" i="28"/>
  <c r="B371" i="27"/>
  <c r="C371" i="27"/>
  <c r="A372" i="27"/>
  <c r="F371" i="27"/>
  <c r="H371" i="27"/>
  <c r="G371" i="27"/>
  <c r="E371" i="27"/>
  <c r="G365" i="28" l="1"/>
  <c r="C365" i="28"/>
  <c r="F365" i="28"/>
  <c r="B365" i="28"/>
  <c r="H365" i="28"/>
  <c r="E365" i="28"/>
  <c r="A366" i="28"/>
  <c r="G372" i="27"/>
  <c r="C372" i="27"/>
  <c r="B372" i="27"/>
  <c r="H372" i="27"/>
  <c r="F372" i="27"/>
  <c r="E372" i="27"/>
  <c r="A373" i="27"/>
  <c r="F366" i="28" l="1"/>
  <c r="E366" i="28"/>
  <c r="C366" i="28"/>
  <c r="B366" i="28"/>
  <c r="A367" i="28"/>
  <c r="H366" i="28"/>
  <c r="G366" i="28"/>
  <c r="E373" i="27"/>
  <c r="A374" i="27"/>
  <c r="H373" i="27"/>
  <c r="G373" i="27"/>
  <c r="C373" i="27"/>
  <c r="B373" i="27"/>
  <c r="F373" i="27"/>
  <c r="G367" i="28" l="1"/>
  <c r="C367" i="28"/>
  <c r="B367" i="28"/>
  <c r="A368" i="28"/>
  <c r="F367" i="28"/>
  <c r="E367" i="28"/>
  <c r="H367" i="28"/>
  <c r="G374" i="27"/>
  <c r="F374" i="27"/>
  <c r="H374" i="27"/>
  <c r="E374" i="27"/>
  <c r="C374" i="27"/>
  <c r="B374" i="27"/>
  <c r="A375" i="27"/>
  <c r="G368" i="28" l="1"/>
  <c r="F368" i="28"/>
  <c r="E368" i="28"/>
  <c r="A369" i="28"/>
  <c r="C368" i="28"/>
  <c r="B368" i="28"/>
  <c r="H368" i="28"/>
  <c r="G375" i="27"/>
  <c r="F375" i="27"/>
  <c r="C375" i="27"/>
  <c r="B375" i="27"/>
  <c r="E375" i="27"/>
  <c r="A376" i="27"/>
  <c r="H375" i="27"/>
  <c r="H369" i="28" l="1"/>
  <c r="E369" i="28"/>
  <c r="C369" i="28"/>
  <c r="G369" i="28"/>
  <c r="A370" i="28"/>
  <c r="F369" i="28"/>
  <c r="B369" i="28"/>
  <c r="G376" i="27"/>
  <c r="F376" i="27"/>
  <c r="E376" i="27"/>
  <c r="C376" i="27"/>
  <c r="B376" i="27"/>
  <c r="H376" i="27"/>
  <c r="A377" i="27"/>
  <c r="G370" i="28" l="1"/>
  <c r="C370" i="28"/>
  <c r="B370" i="28"/>
  <c r="F370" i="28"/>
  <c r="E370" i="28"/>
  <c r="H370" i="28"/>
  <c r="A371" i="28"/>
  <c r="G377" i="27"/>
  <c r="A378" i="27"/>
  <c r="F377" i="27"/>
  <c r="E377" i="27"/>
  <c r="B377" i="27"/>
  <c r="C377" i="27"/>
  <c r="H377" i="27"/>
  <c r="B371" i="28" l="1"/>
  <c r="H371" i="28"/>
  <c r="G371" i="28"/>
  <c r="A372" i="28"/>
  <c r="F371" i="28"/>
  <c r="C371" i="28"/>
  <c r="E371" i="28"/>
  <c r="A379" i="27"/>
  <c r="H378" i="27"/>
  <c r="F378" i="27"/>
  <c r="E378" i="27"/>
  <c r="G378" i="27"/>
  <c r="C378" i="27"/>
  <c r="B378" i="27"/>
  <c r="G372" i="28" l="1"/>
  <c r="F372" i="28"/>
  <c r="E372" i="28"/>
  <c r="C372" i="28"/>
  <c r="B372" i="28"/>
  <c r="H372" i="28"/>
  <c r="A373" i="28"/>
  <c r="G379" i="27"/>
  <c r="E379" i="27"/>
  <c r="C379" i="27"/>
  <c r="B379" i="27"/>
  <c r="A380" i="27"/>
  <c r="F379" i="27"/>
  <c r="H379" i="27"/>
  <c r="E373" i="28" l="1"/>
  <c r="B373" i="28"/>
  <c r="A374" i="28"/>
  <c r="C373" i="28"/>
  <c r="H373" i="28"/>
  <c r="F373" i="28"/>
  <c r="G373" i="28"/>
  <c r="C380" i="27"/>
  <c r="G380" i="27"/>
  <c r="B380" i="27"/>
  <c r="A381" i="27"/>
  <c r="F380" i="27"/>
  <c r="E380" i="27"/>
  <c r="H380" i="27"/>
  <c r="G374" i="28" l="1"/>
  <c r="C374" i="28"/>
  <c r="B374" i="28"/>
  <c r="A375" i="28"/>
  <c r="F374" i="28"/>
  <c r="E374" i="28"/>
  <c r="H374" i="28"/>
  <c r="G381" i="27"/>
  <c r="F381" i="27"/>
  <c r="E381" i="27"/>
  <c r="C381" i="27"/>
  <c r="H381" i="27"/>
  <c r="B381" i="27"/>
  <c r="A382" i="27"/>
  <c r="G375" i="28" l="1"/>
  <c r="F375" i="28"/>
  <c r="C375" i="28"/>
  <c r="B375" i="28"/>
  <c r="E375" i="28"/>
  <c r="A376" i="28"/>
  <c r="H375" i="28"/>
  <c r="F382" i="27"/>
  <c r="E17" i="27" s="1"/>
  <c r="E382" i="27"/>
  <c r="E15" i="27" s="1"/>
  <c r="C382" i="27"/>
  <c r="B382" i="27"/>
  <c r="G382" i="27"/>
  <c r="H382" i="27"/>
  <c r="A19" i="27" s="1"/>
  <c r="E16" i="27"/>
  <c r="F16" i="27" s="1"/>
  <c r="BB65" i="17"/>
  <c r="AZ66" i="17"/>
  <c r="AX66" i="17"/>
  <c r="AZ65" i="17"/>
  <c r="AO69" i="17"/>
  <c r="AO68" i="17"/>
  <c r="Q5" i="13" a="1"/>
  <c r="Q5" i="13" s="1"/>
  <c r="G376" i="28" l="1"/>
  <c r="F376" i="28"/>
  <c r="B376" i="28"/>
  <c r="E376" i="28"/>
  <c r="C376" i="28"/>
  <c r="H376" i="28"/>
  <c r="A377" i="28"/>
  <c r="G377" i="28" l="1"/>
  <c r="C377" i="28"/>
  <c r="B377" i="28"/>
  <c r="A378" i="28"/>
  <c r="F377" i="28"/>
  <c r="E377" i="28"/>
  <c r="H377" i="28"/>
  <c r="A379" i="28" l="1"/>
  <c r="G378" i="28"/>
  <c r="F378" i="28"/>
  <c r="C378" i="28"/>
  <c r="H378" i="28"/>
  <c r="E378" i="28"/>
  <c r="B378" i="28"/>
  <c r="G379" i="28" l="1"/>
  <c r="F379" i="28"/>
  <c r="H379" i="28"/>
  <c r="C379" i="28"/>
  <c r="B379" i="28"/>
  <c r="E379" i="28"/>
  <c r="A380" i="28"/>
  <c r="C380" i="28" l="1"/>
  <c r="H380" i="28"/>
  <c r="G380" i="28"/>
  <c r="F380" i="28"/>
  <c r="B380" i="28"/>
  <c r="E380" i="28"/>
  <c r="A381" i="28"/>
  <c r="G381" i="28" l="1"/>
  <c r="C381" i="28"/>
  <c r="B381" i="28"/>
  <c r="F381" i="28"/>
  <c r="H381" i="28"/>
  <c r="E381" i="28"/>
  <c r="A382" i="28"/>
  <c r="F382" i="28" l="1"/>
  <c r="E17" i="28" s="1"/>
  <c r="E382" i="28"/>
  <c r="E15" i="28" s="1"/>
  <c r="H382" i="28"/>
  <c r="A19" i="28" s="1"/>
  <c r="C382" i="28"/>
  <c r="B382" i="28"/>
  <c r="G382" i="28"/>
  <c r="E16" i="28"/>
  <c r="F16" i="28" s="1"/>
  <c r="A93" i="13" l="1"/>
  <c r="B93" i="13"/>
  <c r="B40" i="26"/>
  <c r="B41" i="26" s="1"/>
  <c r="D38" i="26"/>
  <c r="K37" i="26"/>
  <c r="J37" i="26"/>
  <c r="I37" i="26"/>
  <c r="D36" i="26"/>
  <c r="C36" i="26"/>
  <c r="D35" i="26"/>
  <c r="H34" i="26"/>
  <c r="F34" i="26"/>
  <c r="D33" i="26"/>
  <c r="K32" i="26"/>
  <c r="J32" i="26"/>
  <c r="I32" i="26"/>
  <c r="K31" i="26"/>
  <c r="D31" i="26"/>
  <c r="B31" i="26"/>
  <c r="D30" i="26"/>
  <c r="E29" i="26"/>
  <c r="J28" i="26"/>
  <c r="D28" i="26"/>
  <c r="K27" i="26"/>
  <c r="J27" i="26"/>
  <c r="I27" i="26"/>
  <c r="H27" i="26"/>
  <c r="G27" i="26"/>
  <c r="C27" i="26"/>
  <c r="D25" i="26"/>
  <c r="C25" i="26"/>
  <c r="J23" i="26"/>
  <c r="I23" i="26"/>
  <c r="H23" i="26"/>
  <c r="G23" i="26"/>
  <c r="F23" i="26"/>
  <c r="E23" i="26"/>
  <c r="D23" i="26"/>
  <c r="C23" i="26"/>
  <c r="K22" i="26"/>
  <c r="K35" i="26" s="1"/>
  <c r="J22" i="26"/>
  <c r="J35" i="26" s="1"/>
  <c r="I22" i="26"/>
  <c r="I35" i="26" s="1"/>
  <c r="H22" i="26"/>
  <c r="H37" i="26" s="1"/>
  <c r="G22" i="26"/>
  <c r="G37" i="26" s="1"/>
  <c r="F22" i="26"/>
  <c r="F27" i="26" s="1"/>
  <c r="E22" i="26"/>
  <c r="E34" i="26" s="1"/>
  <c r="D22" i="26"/>
  <c r="D29" i="26" s="1"/>
  <c r="C22" i="26"/>
  <c r="C34" i="26" s="1"/>
  <c r="B20" i="26"/>
  <c r="B19" i="26"/>
  <c r="B18" i="26"/>
  <c r="B17" i="26"/>
  <c r="B16" i="26"/>
  <c r="R15" i="26"/>
  <c r="Q15" i="26"/>
  <c r="P15" i="26"/>
  <c r="O15" i="26"/>
  <c r="N15" i="26"/>
  <c r="M15" i="26"/>
  <c r="L15" i="26"/>
  <c r="B15" i="26"/>
  <c r="B14" i="26"/>
  <c r="B13" i="26"/>
  <c r="B12" i="26"/>
  <c r="B11" i="26"/>
  <c r="B10" i="26"/>
  <c r="B9" i="26"/>
  <c r="B7" i="26"/>
  <c r="B6" i="26"/>
  <c r="B5" i="26"/>
  <c r="B4" i="26"/>
  <c r="D2" i="26"/>
  <c r="E2" i="26" s="1"/>
  <c r="C1" i="26"/>
  <c r="V47" i="25"/>
  <c r="P42" i="25"/>
  <c r="P41" i="25"/>
  <c r="P40" i="25"/>
  <c r="P39" i="25"/>
  <c r="P38" i="25"/>
  <c r="P37" i="25"/>
  <c r="P36" i="25"/>
  <c r="P35" i="25"/>
  <c r="P34" i="25"/>
  <c r="P33" i="25"/>
  <c r="P32" i="25"/>
  <c r="P31" i="25"/>
  <c r="P30" i="25"/>
  <c r="P29" i="25"/>
  <c r="P28" i="25"/>
  <c r="P27" i="25"/>
  <c r="P26" i="25"/>
  <c r="P25" i="25"/>
  <c r="P24" i="25"/>
  <c r="P23" i="25"/>
  <c r="P22" i="25"/>
  <c r="P21" i="25"/>
  <c r="P20" i="25"/>
  <c r="P19" i="25"/>
  <c r="P18" i="25"/>
  <c r="P17" i="25"/>
  <c r="P16" i="25"/>
  <c r="P15" i="25"/>
  <c r="P14" i="25"/>
  <c r="P13" i="25"/>
  <c r="P12" i="25"/>
  <c r="P11" i="25"/>
  <c r="P10" i="25"/>
  <c r="P9" i="25"/>
  <c r="P8" i="25"/>
  <c r="P7" i="25"/>
  <c r="B7" i="25"/>
  <c r="B8" i="25" s="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A7" i="25"/>
  <c r="Y6" i="25"/>
  <c r="V6" i="25"/>
  <c r="W6" i="25" s="1"/>
  <c r="H6" i="25"/>
  <c r="H2" i="25" s="1"/>
  <c r="G6" i="25"/>
  <c r="I6" i="25" s="1"/>
  <c r="D6" i="25"/>
  <c r="D7" i="25" s="1"/>
  <c r="A6" i="25"/>
  <c r="W3" i="25"/>
  <c r="O2" i="25"/>
  <c r="H777" i="13" l="1"/>
  <c r="H778" i="13"/>
  <c r="H779" i="13"/>
  <c r="B42" i="26"/>
  <c r="F2" i="26"/>
  <c r="E1" i="26"/>
  <c r="F29" i="26"/>
  <c r="G34" i="26"/>
  <c r="G29" i="26"/>
  <c r="E31" i="26"/>
  <c r="H29" i="26"/>
  <c r="F31" i="26"/>
  <c r="I34" i="26"/>
  <c r="E36" i="26"/>
  <c r="E25" i="26"/>
  <c r="I29" i="26"/>
  <c r="G31" i="26"/>
  <c r="J34" i="26"/>
  <c r="F36" i="26"/>
  <c r="F25" i="26"/>
  <c r="J29" i="26"/>
  <c r="H31" i="26"/>
  <c r="E33" i="26"/>
  <c r="K34" i="26"/>
  <c r="G36" i="26"/>
  <c r="E38" i="26"/>
  <c r="D1" i="26"/>
  <c r="G25" i="26"/>
  <c r="K29" i="26"/>
  <c r="I31" i="26"/>
  <c r="F33" i="26"/>
  <c r="H36" i="26"/>
  <c r="F38" i="26"/>
  <c r="H25" i="26"/>
  <c r="E28" i="26"/>
  <c r="J31" i="26"/>
  <c r="G33" i="26"/>
  <c r="C35" i="26"/>
  <c r="I36" i="26"/>
  <c r="G38" i="26"/>
  <c r="I25" i="26"/>
  <c r="F28" i="26"/>
  <c r="H33" i="26"/>
  <c r="J36" i="26"/>
  <c r="H38" i="26"/>
  <c r="J25" i="26"/>
  <c r="G28" i="26"/>
  <c r="E30" i="26"/>
  <c r="I33" i="26"/>
  <c r="E35" i="26"/>
  <c r="K36" i="26"/>
  <c r="I38" i="26"/>
  <c r="K23" i="26"/>
  <c r="B23" i="26" s="1"/>
  <c r="K25" i="26"/>
  <c r="H28" i="26"/>
  <c r="F30" i="26"/>
  <c r="C32" i="26"/>
  <c r="J33" i="26"/>
  <c r="F35" i="26"/>
  <c r="J38" i="26"/>
  <c r="I28" i="26"/>
  <c r="G30" i="26"/>
  <c r="D32" i="26"/>
  <c r="K33" i="26"/>
  <c r="G35" i="26"/>
  <c r="D37" i="26"/>
  <c r="K38" i="26"/>
  <c r="H30" i="26"/>
  <c r="E32" i="26"/>
  <c r="H35" i="26"/>
  <c r="E37" i="26"/>
  <c r="B22" i="26"/>
  <c r="B33" i="26" s="1"/>
  <c r="D27" i="26"/>
  <c r="K28" i="26"/>
  <c r="I30" i="26"/>
  <c r="F32" i="26"/>
  <c r="F37" i="26"/>
  <c r="E27" i="26"/>
  <c r="J30" i="26"/>
  <c r="G32" i="26"/>
  <c r="D34" i="26"/>
  <c r="K30" i="26"/>
  <c r="H32" i="26"/>
  <c r="O7" i="25"/>
  <c r="H7" i="25" s="1"/>
  <c r="D8" i="25"/>
  <c r="G7" i="25"/>
  <c r="Q7" i="25"/>
  <c r="D2" i="25"/>
  <c r="O3" i="25"/>
  <c r="Y7" i="25"/>
  <c r="A8" i="25"/>
  <c r="B27" i="26" l="1"/>
  <c r="B29" i="26"/>
  <c r="B35" i="26"/>
  <c r="B34" i="26"/>
  <c r="B25" i="26"/>
  <c r="B45" i="26" s="1"/>
  <c r="G2" i="26"/>
  <c r="F1" i="26"/>
  <c r="B28" i="26"/>
  <c r="B36" i="26"/>
  <c r="B37" i="26"/>
  <c r="B30" i="26"/>
  <c r="B32" i="26"/>
  <c r="B38" i="26"/>
  <c r="D3" i="25"/>
  <c r="J7" i="25"/>
  <c r="Q2" i="25"/>
  <c r="S7" i="25"/>
  <c r="T7" i="25" s="1"/>
  <c r="V7" i="25" s="1"/>
  <c r="W7" i="25" s="1"/>
  <c r="R7" i="25"/>
  <c r="A9" i="25"/>
  <c r="Y8" i="25"/>
  <c r="M7" i="25"/>
  <c r="I7" i="25"/>
  <c r="K7" i="25" s="1"/>
  <c r="G8" i="25"/>
  <c r="D9" i="25"/>
  <c r="O8" i="25"/>
  <c r="H2" i="26" l="1"/>
  <c r="G1" i="26"/>
  <c r="I8" i="25"/>
  <c r="M8" i="25"/>
  <c r="O9" i="25"/>
  <c r="G9" i="25"/>
  <c r="D10" i="25"/>
  <c r="H8" i="25"/>
  <c r="Q8" i="25"/>
  <c r="L7" i="25"/>
  <c r="N7" i="25" s="1"/>
  <c r="A10" i="25"/>
  <c r="Y9" i="25"/>
  <c r="Q3" i="25"/>
  <c r="S3" i="25" s="1"/>
  <c r="S2" i="25"/>
  <c r="I2" i="26" l="1"/>
  <c r="H1" i="26"/>
  <c r="Y10" i="25"/>
  <c r="A11" i="25"/>
  <c r="J8" i="25"/>
  <c r="S8" i="25"/>
  <c r="T8" i="25" s="1"/>
  <c r="V8" i="25" s="1"/>
  <c r="W8" i="25" s="1"/>
  <c r="R8" i="25"/>
  <c r="M9" i="25"/>
  <c r="I9" i="25"/>
  <c r="O10" i="25"/>
  <c r="D11" i="25"/>
  <c r="G10" i="25"/>
  <c r="F10" i="25"/>
  <c r="Q9" i="25"/>
  <c r="H9" i="25"/>
  <c r="K8" i="25"/>
  <c r="J2" i="26" l="1"/>
  <c r="I1" i="26"/>
  <c r="S9" i="25"/>
  <c r="T9" i="25" s="1"/>
  <c r="R9" i="25"/>
  <c r="J9" i="25"/>
  <c r="M10" i="25"/>
  <c r="I10" i="25"/>
  <c r="L8" i="25"/>
  <c r="N8" i="25" s="1"/>
  <c r="D12" i="25"/>
  <c r="G11" i="25"/>
  <c r="O11" i="25"/>
  <c r="Q10" i="25"/>
  <c r="H10" i="25"/>
  <c r="K9" i="25"/>
  <c r="L9" i="25" s="1"/>
  <c r="N9" i="25" s="1"/>
  <c r="A12" i="25"/>
  <c r="Y11" i="25"/>
  <c r="K2" i="26" l="1"/>
  <c r="J1" i="26"/>
  <c r="G12" i="25"/>
  <c r="O12" i="25"/>
  <c r="D13" i="25"/>
  <c r="J10" i="25"/>
  <c r="R10" i="25"/>
  <c r="S10" i="25"/>
  <c r="T10" i="25" s="1"/>
  <c r="V10" i="25" s="1"/>
  <c r="W10" i="25" s="1"/>
  <c r="X10" i="25" s="1"/>
  <c r="Y12" i="25"/>
  <c r="A13" i="25"/>
  <c r="H11" i="25"/>
  <c r="Q11" i="25"/>
  <c r="I11" i="25"/>
  <c r="M11" i="25"/>
  <c r="K10" i="25"/>
  <c r="L10" i="25" s="1"/>
  <c r="N10" i="25" s="1"/>
  <c r="V9" i="25"/>
  <c r="W9" i="25" s="1"/>
  <c r="L2" i="26" l="1"/>
  <c r="K1" i="26"/>
  <c r="O13" i="25"/>
  <c r="D14" i="25"/>
  <c r="G13" i="25"/>
  <c r="H12" i="25"/>
  <c r="Q12" i="25"/>
  <c r="J11" i="25"/>
  <c r="K11" i="25" s="1"/>
  <c r="S11" i="25"/>
  <c r="T11" i="25" s="1"/>
  <c r="V11" i="25" s="1"/>
  <c r="W11" i="25" s="1"/>
  <c r="R11" i="25"/>
  <c r="A14" i="25"/>
  <c r="Y13" i="25"/>
  <c r="I12" i="25"/>
  <c r="M12" i="25"/>
  <c r="M2" i="26" l="1"/>
  <c r="L1" i="26"/>
  <c r="L11" i="25"/>
  <c r="N11" i="25" s="1"/>
  <c r="A15" i="25"/>
  <c r="Y14" i="25"/>
  <c r="S12" i="25"/>
  <c r="T12" i="25" s="1"/>
  <c r="R12" i="25"/>
  <c r="J12" i="25"/>
  <c r="K12" i="25" s="1"/>
  <c r="L12" i="25" s="1"/>
  <c r="N12" i="25" s="1"/>
  <c r="M13" i="25"/>
  <c r="I13" i="25"/>
  <c r="Q13" i="25"/>
  <c r="H13" i="25"/>
  <c r="O14" i="25"/>
  <c r="D15" i="25"/>
  <c r="G14" i="25"/>
  <c r="N2" i="26" l="1"/>
  <c r="M1" i="26"/>
  <c r="M14" i="25"/>
  <c r="I14" i="25"/>
  <c r="S13" i="25"/>
  <c r="T13" i="25" s="1"/>
  <c r="V13" i="25" s="1"/>
  <c r="R13" i="25"/>
  <c r="J13" i="25"/>
  <c r="A16" i="25"/>
  <c r="Y15" i="25"/>
  <c r="H14" i="25"/>
  <c r="Q14" i="25"/>
  <c r="G15" i="25"/>
  <c r="F15" i="25"/>
  <c r="D16" i="25"/>
  <c r="O15" i="25"/>
  <c r="K13" i="25"/>
  <c r="L13" i="25" s="1"/>
  <c r="N13" i="25" s="1"/>
  <c r="V12" i="25"/>
  <c r="W12" i="25" s="1"/>
  <c r="O2" i="26" l="1"/>
  <c r="N1" i="26"/>
  <c r="H15" i="25"/>
  <c r="Q15" i="25"/>
  <c r="Y16" i="25"/>
  <c r="A17" i="25"/>
  <c r="G16" i="25"/>
  <c r="O16" i="25"/>
  <c r="D17" i="25"/>
  <c r="I15" i="25"/>
  <c r="M15" i="25"/>
  <c r="J14" i="25"/>
  <c r="K14" i="25" s="1"/>
  <c r="L14" i="25" s="1"/>
  <c r="N14" i="25" s="1"/>
  <c r="S14" i="25"/>
  <c r="T14" i="25" s="1"/>
  <c r="V14" i="25" s="1"/>
  <c r="R14" i="25"/>
  <c r="W13" i="25"/>
  <c r="P2" i="26" l="1"/>
  <c r="O1" i="26"/>
  <c r="O17" i="25"/>
  <c r="D18" i="25"/>
  <c r="G17" i="25"/>
  <c r="Q16" i="25"/>
  <c r="H16" i="25"/>
  <c r="M16" i="25"/>
  <c r="I16" i="25"/>
  <c r="A18" i="25"/>
  <c r="Y17" i="25"/>
  <c r="J15" i="25"/>
  <c r="S15" i="25"/>
  <c r="T15" i="25" s="1"/>
  <c r="V15" i="25" s="1"/>
  <c r="W15" i="25" s="1"/>
  <c r="X15" i="25" s="1"/>
  <c r="R15" i="25"/>
  <c r="W14" i="25"/>
  <c r="K15" i="25"/>
  <c r="L15" i="25" s="1"/>
  <c r="N15" i="25" s="1"/>
  <c r="Q2" i="26" l="1"/>
  <c r="P1" i="26"/>
  <c r="A19" i="25"/>
  <c r="Y18" i="25"/>
  <c r="M17" i="25"/>
  <c r="I17" i="25"/>
  <c r="S16" i="25"/>
  <c r="T16" i="25" s="1"/>
  <c r="R16" i="25"/>
  <c r="J16" i="25"/>
  <c r="K16" i="25" s="1"/>
  <c r="L16" i="25" s="1"/>
  <c r="N16" i="25" s="1"/>
  <c r="D19" i="25"/>
  <c r="O18" i="25"/>
  <c r="G18" i="25"/>
  <c r="Q17" i="25"/>
  <c r="H17" i="25"/>
  <c r="R2" i="26" l="1"/>
  <c r="S2" i="26" s="1"/>
  <c r="B2" i="26" s="1"/>
  <c r="Q1" i="26"/>
  <c r="H18" i="25"/>
  <c r="Q18" i="25"/>
  <c r="S17" i="25"/>
  <c r="T17" i="25" s="1"/>
  <c r="V17" i="25" s="1"/>
  <c r="R17" i="25"/>
  <c r="J17" i="25"/>
  <c r="V16" i="25"/>
  <c r="W16" i="25" s="1"/>
  <c r="M18" i="25"/>
  <c r="I18" i="25"/>
  <c r="G19" i="25"/>
  <c r="O19" i="25"/>
  <c r="D20" i="25"/>
  <c r="K17" i="25"/>
  <c r="L17" i="25" s="1"/>
  <c r="N17" i="25" s="1"/>
  <c r="A20" i="25"/>
  <c r="Y19" i="25"/>
  <c r="A21" i="25" l="1"/>
  <c r="Y20" i="25"/>
  <c r="H19" i="25"/>
  <c r="Q19" i="25"/>
  <c r="I19" i="25"/>
  <c r="M19" i="25"/>
  <c r="J18" i="25"/>
  <c r="S18" i="25"/>
  <c r="T18" i="25" s="1"/>
  <c r="V18" i="25" s="1"/>
  <c r="R18" i="25"/>
  <c r="O20" i="25"/>
  <c r="D21" i="25"/>
  <c r="G20" i="25"/>
  <c r="F20" i="25"/>
  <c r="K18" i="25"/>
  <c r="L18" i="25" s="1"/>
  <c r="N18" i="25" s="1"/>
  <c r="W17" i="25"/>
  <c r="M20" i="25" l="1"/>
  <c r="I20" i="25"/>
  <c r="O21" i="25"/>
  <c r="D22" i="25"/>
  <c r="G21" i="25"/>
  <c r="H20" i="25"/>
  <c r="Q20" i="25"/>
  <c r="W18" i="25"/>
  <c r="J19" i="25"/>
  <c r="K19" i="25" s="1"/>
  <c r="L19" i="25" s="1"/>
  <c r="N19" i="25" s="1"/>
  <c r="S19" i="25"/>
  <c r="T19" i="25" s="1"/>
  <c r="V19" i="25" s="1"/>
  <c r="W19" i="25" s="1"/>
  <c r="R19" i="25"/>
  <c r="A22" i="25"/>
  <c r="Y21" i="25"/>
  <c r="D23" i="25" l="1"/>
  <c r="G22" i="25"/>
  <c r="O22" i="25"/>
  <c r="A23" i="25"/>
  <c r="Y22" i="25"/>
  <c r="S20" i="25"/>
  <c r="T20" i="25" s="1"/>
  <c r="V20" i="25" s="1"/>
  <c r="W20" i="25" s="1"/>
  <c r="X20" i="25" s="1"/>
  <c r="R20" i="25"/>
  <c r="J20" i="25"/>
  <c r="K20" i="25" s="1"/>
  <c r="L20" i="25" s="1"/>
  <c r="N20" i="25" s="1"/>
  <c r="M21" i="25"/>
  <c r="I21" i="25"/>
  <c r="H21" i="25"/>
  <c r="Q21" i="25"/>
  <c r="J21" i="25" l="1"/>
  <c r="S21" i="25"/>
  <c r="T21" i="25" s="1"/>
  <c r="V21" i="25" s="1"/>
  <c r="W21" i="25" s="1"/>
  <c r="R21" i="25"/>
  <c r="K21" i="25"/>
  <c r="L21" i="25" s="1"/>
  <c r="N21" i="25" s="1"/>
  <c r="H22" i="25"/>
  <c r="Q22" i="25"/>
  <c r="I22" i="25"/>
  <c r="M22" i="25"/>
  <c r="Y23" i="25"/>
  <c r="A24" i="25"/>
  <c r="G23" i="25"/>
  <c r="O23" i="25"/>
  <c r="D24" i="25"/>
  <c r="O24" i="25" l="1"/>
  <c r="D25" i="25"/>
  <c r="G24" i="25"/>
  <c r="M23" i="25"/>
  <c r="I23" i="25"/>
  <c r="J22" i="25"/>
  <c r="S22" i="25"/>
  <c r="T22" i="25" s="1"/>
  <c r="V22" i="25" s="1"/>
  <c r="W22" i="25" s="1"/>
  <c r="R22" i="25"/>
  <c r="A25" i="25"/>
  <c r="Y24" i="25"/>
  <c r="H23" i="25"/>
  <c r="Q23" i="25"/>
  <c r="K22" i="25"/>
  <c r="L22" i="25" s="1"/>
  <c r="N22" i="25" s="1"/>
  <c r="S23" i="25" l="1"/>
  <c r="T23" i="25" s="1"/>
  <c r="R23" i="25"/>
  <c r="J23" i="25"/>
  <c r="A26" i="25"/>
  <c r="Y25" i="25"/>
  <c r="M24" i="25"/>
  <c r="I24" i="25"/>
  <c r="K23" i="25"/>
  <c r="L23" i="25" s="1"/>
  <c r="N23" i="25" s="1"/>
  <c r="D26" i="25"/>
  <c r="G25" i="25"/>
  <c r="F25" i="25"/>
  <c r="O25" i="25"/>
  <c r="Q24" i="25"/>
  <c r="H24" i="25"/>
  <c r="S24" i="25" l="1"/>
  <c r="T24" i="25" s="1"/>
  <c r="R24" i="25"/>
  <c r="J24" i="25"/>
  <c r="M25" i="25"/>
  <c r="I25" i="25"/>
  <c r="G26" i="25"/>
  <c r="D27" i="25"/>
  <c r="O26" i="25"/>
  <c r="H25" i="25"/>
  <c r="Q25" i="25"/>
  <c r="K24" i="25"/>
  <c r="L24" i="25" s="1"/>
  <c r="N24" i="25" s="1"/>
  <c r="A27" i="25"/>
  <c r="Y26" i="25"/>
  <c r="V23" i="25"/>
  <c r="W23" i="25" s="1"/>
  <c r="Y27" i="25" l="1"/>
  <c r="A28" i="25"/>
  <c r="H26" i="25"/>
  <c r="Q26" i="25"/>
  <c r="J25" i="25"/>
  <c r="K25" i="25" s="1"/>
  <c r="L25" i="25" s="1"/>
  <c r="N25" i="25" s="1"/>
  <c r="S25" i="25"/>
  <c r="T25" i="25" s="1"/>
  <c r="V25" i="25" s="1"/>
  <c r="R25" i="25"/>
  <c r="O27" i="25"/>
  <c r="D28" i="25"/>
  <c r="G27" i="25"/>
  <c r="I26" i="25"/>
  <c r="M26" i="25"/>
  <c r="V24" i="25"/>
  <c r="W24" i="25" s="1"/>
  <c r="M27" i="25" l="1"/>
  <c r="I27" i="25"/>
  <c r="Q27" i="25"/>
  <c r="H27" i="25"/>
  <c r="O28" i="25"/>
  <c r="D29" i="25"/>
  <c r="G28" i="25"/>
  <c r="A29" i="25"/>
  <c r="Y28" i="25"/>
  <c r="W25" i="25"/>
  <c r="X25" i="25" s="1"/>
  <c r="J26" i="25"/>
  <c r="K26" i="25" s="1"/>
  <c r="L26" i="25" s="1"/>
  <c r="N26" i="25" s="1"/>
  <c r="S26" i="25"/>
  <c r="T26" i="25" s="1"/>
  <c r="V26" i="25" s="1"/>
  <c r="R26" i="25"/>
  <c r="A30" i="25" l="1"/>
  <c r="Y29" i="25"/>
  <c r="Q28" i="25"/>
  <c r="H28" i="25"/>
  <c r="W26" i="25"/>
  <c r="M28" i="25"/>
  <c r="I28" i="25"/>
  <c r="S27" i="25"/>
  <c r="T27" i="25" s="1"/>
  <c r="V27" i="25" s="1"/>
  <c r="W27" i="25" s="1"/>
  <c r="R27" i="25"/>
  <c r="J27" i="25"/>
  <c r="K27" i="25" s="1"/>
  <c r="L27" i="25" s="1"/>
  <c r="N27" i="25" s="1"/>
  <c r="D30" i="25"/>
  <c r="G29" i="25"/>
  <c r="O29" i="25"/>
  <c r="H29" i="25" l="1"/>
  <c r="Q29" i="25"/>
  <c r="M29" i="25"/>
  <c r="I29" i="25"/>
  <c r="S28" i="25"/>
  <c r="T28" i="25" s="1"/>
  <c r="V28" i="25" s="1"/>
  <c r="W28" i="25" s="1"/>
  <c r="R28" i="25"/>
  <c r="J28" i="25"/>
  <c r="K28" i="25" s="1"/>
  <c r="L28" i="25" s="1"/>
  <c r="N28" i="25" s="1"/>
  <c r="G30" i="25"/>
  <c r="F30" i="25"/>
  <c r="O30" i="25"/>
  <c r="D31" i="25"/>
  <c r="Y30" i="25"/>
  <c r="A31" i="25"/>
  <c r="O31" i="25" l="1"/>
  <c r="D32" i="25"/>
  <c r="G31" i="25"/>
  <c r="J29" i="25"/>
  <c r="S29" i="25"/>
  <c r="T29" i="25" s="1"/>
  <c r="V29" i="25" s="1"/>
  <c r="W29" i="25" s="1"/>
  <c r="R29" i="25"/>
  <c r="A32" i="25"/>
  <c r="Y31" i="25"/>
  <c r="H30" i="25"/>
  <c r="Q30" i="25"/>
  <c r="I30" i="25"/>
  <c r="M30" i="25"/>
  <c r="K29" i="25"/>
  <c r="L29" i="25" s="1"/>
  <c r="N29" i="25" s="1"/>
  <c r="J30" i="25" l="1"/>
  <c r="K30" i="25" s="1"/>
  <c r="L30" i="25" s="1"/>
  <c r="N30" i="25" s="1"/>
  <c r="S30" i="25"/>
  <c r="T30" i="25" s="1"/>
  <c r="V30" i="25" s="1"/>
  <c r="W30" i="25" s="1"/>
  <c r="X30" i="25" s="1"/>
  <c r="R30" i="25"/>
  <c r="A33" i="25"/>
  <c r="Y32" i="25"/>
  <c r="M31" i="25"/>
  <c r="I31" i="25"/>
  <c r="O32" i="25"/>
  <c r="D33" i="25"/>
  <c r="G32" i="25"/>
  <c r="Q31" i="25"/>
  <c r="H31" i="25"/>
  <c r="M32" i="25" l="1"/>
  <c r="I32" i="25"/>
  <c r="H32" i="25"/>
  <c r="Q32" i="25"/>
  <c r="S31" i="25"/>
  <c r="T31" i="25" s="1"/>
  <c r="V31" i="25" s="1"/>
  <c r="W31" i="25" s="1"/>
  <c r="R31" i="25"/>
  <c r="J31" i="25"/>
  <c r="K31" i="25" s="1"/>
  <c r="L31" i="25" s="1"/>
  <c r="N31" i="25" s="1"/>
  <c r="D34" i="25"/>
  <c r="G33" i="25"/>
  <c r="O33" i="25"/>
  <c r="A34" i="25"/>
  <c r="Y33" i="25"/>
  <c r="Y34" i="25" l="1"/>
  <c r="A35" i="25"/>
  <c r="I33" i="25"/>
  <c r="M33" i="25"/>
  <c r="H33" i="25"/>
  <c r="Q33" i="25"/>
  <c r="G34" i="25"/>
  <c r="O34" i="25"/>
  <c r="D35" i="25"/>
  <c r="J32" i="25"/>
  <c r="K32" i="25" s="1"/>
  <c r="L32" i="25" s="1"/>
  <c r="N32" i="25" s="1"/>
  <c r="S32" i="25"/>
  <c r="T32" i="25" s="1"/>
  <c r="V32" i="25" s="1"/>
  <c r="W32" i="25" s="1"/>
  <c r="R32" i="25"/>
  <c r="O35" i="25" l="1"/>
  <c r="D36" i="25"/>
  <c r="G35" i="25"/>
  <c r="F35" i="25"/>
  <c r="J33" i="25"/>
  <c r="K33" i="25" s="1"/>
  <c r="L33" i="25" s="1"/>
  <c r="N33" i="25" s="1"/>
  <c r="S33" i="25"/>
  <c r="T33" i="25" s="1"/>
  <c r="V33" i="25" s="1"/>
  <c r="W33" i="25" s="1"/>
  <c r="R33" i="25"/>
  <c r="A36" i="25"/>
  <c r="Y35" i="25"/>
  <c r="H34" i="25"/>
  <c r="Q34" i="25"/>
  <c r="M34" i="25"/>
  <c r="I34" i="25"/>
  <c r="S34" i="25" l="1"/>
  <c r="T34" i="25" s="1"/>
  <c r="R34" i="25"/>
  <c r="J34" i="25"/>
  <c r="K34" i="25"/>
  <c r="L34" i="25" s="1"/>
  <c r="N34" i="25" s="1"/>
  <c r="A37" i="25"/>
  <c r="Y36" i="25"/>
  <c r="D37" i="25"/>
  <c r="O36" i="25"/>
  <c r="G36" i="25"/>
  <c r="M35" i="25"/>
  <c r="I35" i="25"/>
  <c r="H35" i="25"/>
  <c r="Q35" i="25"/>
  <c r="H36" i="25" l="1"/>
  <c r="Q36" i="25"/>
  <c r="R35" i="25"/>
  <c r="J35" i="25"/>
  <c r="K35" i="25" s="1"/>
  <c r="L35" i="25" s="1"/>
  <c r="N35" i="25" s="1"/>
  <c r="S35" i="25"/>
  <c r="T35" i="25" s="1"/>
  <c r="V35" i="25" s="1"/>
  <c r="M36" i="25"/>
  <c r="I36" i="25"/>
  <c r="G37" i="25"/>
  <c r="O37" i="25"/>
  <c r="D38" i="25"/>
  <c r="A38" i="25"/>
  <c r="Y37" i="25"/>
  <c r="V34" i="25"/>
  <c r="W34" i="25" s="1"/>
  <c r="O38" i="25" l="1"/>
  <c r="G38" i="25"/>
  <c r="D39" i="25"/>
  <c r="W35" i="25"/>
  <c r="X35" i="25" s="1"/>
  <c r="Y38" i="25"/>
  <c r="A39" i="25"/>
  <c r="H37" i="25"/>
  <c r="Q37" i="25"/>
  <c r="I37" i="25"/>
  <c r="M37" i="25"/>
  <c r="J36" i="25"/>
  <c r="K36" i="25" s="1"/>
  <c r="L36" i="25" s="1"/>
  <c r="N36" i="25" s="1"/>
  <c r="S36" i="25"/>
  <c r="T36" i="25" s="1"/>
  <c r="V36" i="25" s="1"/>
  <c r="W36" i="25" s="1"/>
  <c r="R36" i="25"/>
  <c r="A40" i="25" l="1"/>
  <c r="Y39" i="25"/>
  <c r="J37" i="25"/>
  <c r="K37" i="25" s="1"/>
  <c r="L37" i="25" s="1"/>
  <c r="N37" i="25" s="1"/>
  <c r="S37" i="25"/>
  <c r="T37" i="25" s="1"/>
  <c r="V37" i="25" s="1"/>
  <c r="W37" i="25" s="1"/>
  <c r="R37" i="25"/>
  <c r="M38" i="25"/>
  <c r="I38" i="25"/>
  <c r="O39" i="25"/>
  <c r="D40" i="25"/>
  <c r="G39" i="25"/>
  <c r="H38" i="25"/>
  <c r="Q38" i="25"/>
  <c r="S38" i="25" l="1"/>
  <c r="T38" i="25" s="1"/>
  <c r="R38" i="25"/>
  <c r="J38" i="25"/>
  <c r="M39" i="25"/>
  <c r="I39" i="25"/>
  <c r="Q39" i="25"/>
  <c r="H39" i="25"/>
  <c r="D41" i="25"/>
  <c r="G40" i="25"/>
  <c r="F40" i="25"/>
  <c r="O40" i="25"/>
  <c r="K38" i="25"/>
  <c r="L38" i="25" s="1"/>
  <c r="N38" i="25" s="1"/>
  <c r="A41" i="25"/>
  <c r="Y40" i="25"/>
  <c r="Y41" i="25" l="1"/>
  <c r="A42" i="25"/>
  <c r="H40" i="25"/>
  <c r="Q40" i="25"/>
  <c r="G41" i="25"/>
  <c r="O41" i="25"/>
  <c r="D42" i="25"/>
  <c r="I40" i="25"/>
  <c r="M40" i="25"/>
  <c r="R39" i="25"/>
  <c r="J39" i="25"/>
  <c r="K39" i="25" s="1"/>
  <c r="L39" i="25" s="1"/>
  <c r="N39" i="25" s="1"/>
  <c r="S39" i="25"/>
  <c r="T39" i="25" s="1"/>
  <c r="V39" i="25" s="1"/>
  <c r="V38" i="25"/>
  <c r="W38" i="25" s="1"/>
  <c r="I41" i="25" l="1"/>
  <c r="M41" i="25"/>
  <c r="Q41" i="25"/>
  <c r="H41" i="25"/>
  <c r="J40" i="25"/>
  <c r="S40" i="25"/>
  <c r="T40" i="25" s="1"/>
  <c r="V40" i="25" s="1"/>
  <c r="R40" i="25"/>
  <c r="K40" i="25"/>
  <c r="L40" i="25" s="1"/>
  <c r="N40" i="25" s="1"/>
  <c r="O42" i="25"/>
  <c r="D43" i="25"/>
  <c r="G42" i="25"/>
  <c r="Y42" i="25"/>
  <c r="A4" i="25"/>
  <c r="W39" i="25"/>
  <c r="Q42" i="25" l="1"/>
  <c r="H42" i="25"/>
  <c r="S41" i="25"/>
  <c r="T41" i="25" s="1"/>
  <c r="V41" i="25" s="1"/>
  <c r="R41" i="25"/>
  <c r="J41" i="25"/>
  <c r="M42" i="25"/>
  <c r="I42" i="25"/>
  <c r="O43" i="25"/>
  <c r="H43" i="25" s="1"/>
  <c r="G43" i="25"/>
  <c r="I43" i="25" s="1"/>
  <c r="F43" i="25"/>
  <c r="W40" i="25"/>
  <c r="X40" i="25" s="1"/>
  <c r="K41" i="25"/>
  <c r="L41" i="25" s="1"/>
  <c r="N41" i="25" s="1"/>
  <c r="W41" i="25" l="1"/>
  <c r="S42" i="25"/>
  <c r="T42" i="25" s="1"/>
  <c r="V42" i="25" s="1"/>
  <c r="W42" i="25" s="1"/>
  <c r="W43" i="25" s="1"/>
  <c r="X43" i="25" s="1"/>
  <c r="R42" i="25"/>
  <c r="J42" i="25"/>
  <c r="K42" i="25" s="1"/>
  <c r="L42" i="25" l="1"/>
  <c r="N42" i="25" s="1"/>
  <c r="N43" i="25" s="1"/>
  <c r="K43" i="25"/>
  <c r="L43" i="25" s="1"/>
  <c r="G41" i="18" l="1"/>
  <c r="G42" i="18"/>
  <c r="G43" i="18"/>
  <c r="G44" i="18"/>
  <c r="G45" i="18"/>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A183" i="16"/>
  <c r="B183" i="16"/>
  <c r="A184" i="16"/>
  <c r="B184" i="16"/>
  <c r="A185" i="16"/>
  <c r="B185" i="16"/>
  <c r="A186" i="16"/>
  <c r="B186" i="16"/>
  <c r="A187" i="16"/>
  <c r="B187" i="16"/>
  <c r="A188" i="16"/>
  <c r="B188" i="16"/>
  <c r="A189" i="16"/>
  <c r="B189" i="16"/>
  <c r="A190" i="16"/>
  <c r="B190" i="16"/>
  <c r="A191" i="16"/>
  <c r="B191" i="16"/>
  <c r="A192" i="16"/>
  <c r="B192" i="16"/>
  <c r="A193" i="16"/>
  <c r="B193" i="16"/>
  <c r="A194" i="16"/>
  <c r="B194" i="16"/>
  <c r="A195" i="16"/>
  <c r="B195" i="16"/>
  <c r="A196" i="16"/>
  <c r="B196" i="16"/>
  <c r="A197" i="16"/>
  <c r="B197" i="16"/>
  <c r="A198" i="16"/>
  <c r="B198" i="16"/>
  <c r="A199" i="16"/>
  <c r="B199" i="16"/>
  <c r="A200" i="16"/>
  <c r="B200" i="16"/>
  <c r="A201" i="16"/>
  <c r="B201" i="16"/>
  <c r="A202" i="16"/>
  <c r="B202" i="16"/>
  <c r="A203" i="16"/>
  <c r="B203" i="16"/>
  <c r="A204" i="16"/>
  <c r="B204" i="16"/>
  <c r="A205" i="16"/>
  <c r="B205" i="16"/>
  <c r="A206" i="16"/>
  <c r="B206" i="16"/>
  <c r="A207" i="16"/>
  <c r="B207" i="16"/>
  <c r="A208" i="16"/>
  <c r="B208" i="16"/>
  <c r="A209" i="16"/>
  <c r="B209" i="16"/>
  <c r="A210" i="16"/>
  <c r="B210" i="16"/>
  <c r="A211" i="16"/>
  <c r="B211" i="16"/>
  <c r="A212" i="16"/>
  <c r="B212" i="16"/>
  <c r="A213" i="16"/>
  <c r="B213" i="16"/>
  <c r="A214" i="16"/>
  <c r="B214" i="16"/>
  <c r="A215" i="16"/>
  <c r="B215" i="16"/>
  <c r="A666" i="13"/>
  <c r="B666" i="13"/>
  <c r="A667" i="13"/>
  <c r="B667" i="13"/>
  <c r="A668" i="13"/>
  <c r="B668" i="13"/>
  <c r="A669" i="13"/>
  <c r="B669" i="13"/>
  <c r="A670" i="13"/>
  <c r="B670" i="13"/>
  <c r="A671" i="13"/>
  <c r="B671" i="13"/>
  <c r="A672" i="13"/>
  <c r="B672" i="13"/>
  <c r="A673" i="13"/>
  <c r="B673" i="13"/>
  <c r="A674" i="13"/>
  <c r="B674" i="13"/>
  <c r="A675" i="13"/>
  <c r="B675" i="13"/>
  <c r="A676" i="13"/>
  <c r="B676" i="13"/>
  <c r="A677" i="13"/>
  <c r="B677" i="13"/>
  <c r="A678" i="13"/>
  <c r="B678" i="13"/>
  <c r="A679" i="13"/>
  <c r="B679" i="13"/>
  <c r="A680" i="13"/>
  <c r="B680" i="13"/>
  <c r="A681" i="13"/>
  <c r="B681" i="13"/>
  <c r="A682" i="13"/>
  <c r="B682" i="13"/>
  <c r="A683" i="13"/>
  <c r="B683" i="13"/>
  <c r="A684" i="13"/>
  <c r="B684" i="13"/>
  <c r="A685" i="13"/>
  <c r="B685" i="13"/>
  <c r="A686" i="13"/>
  <c r="B686" i="13"/>
  <c r="A687" i="13"/>
  <c r="B687" i="13"/>
  <c r="A688" i="13"/>
  <c r="B688" i="13"/>
  <c r="A689" i="13"/>
  <c r="B689" i="13"/>
  <c r="A690" i="13"/>
  <c r="B690" i="13"/>
  <c r="A691" i="13"/>
  <c r="B691" i="13"/>
  <c r="A692" i="13"/>
  <c r="B692" i="13"/>
  <c r="A693" i="13"/>
  <c r="B693" i="13"/>
  <c r="A694" i="13"/>
  <c r="B694" i="13"/>
  <c r="A695" i="13"/>
  <c r="B695" i="13"/>
  <c r="A696" i="13"/>
  <c r="B696" i="13"/>
  <c r="A697" i="13"/>
  <c r="B697" i="13"/>
  <c r="A698" i="13"/>
  <c r="B698" i="13"/>
  <c r="A699" i="13"/>
  <c r="B699" i="13"/>
  <c r="A700" i="13"/>
  <c r="B700" i="13"/>
  <c r="A701" i="13"/>
  <c r="B701" i="13"/>
  <c r="A702" i="13"/>
  <c r="B702" i="13"/>
  <c r="A703" i="13"/>
  <c r="B703" i="13"/>
  <c r="A704" i="13"/>
  <c r="B704" i="13"/>
  <c r="A705" i="13"/>
  <c r="B705" i="13"/>
  <c r="A706" i="13"/>
  <c r="B706" i="13"/>
  <c r="A707" i="13"/>
  <c r="B707" i="13"/>
  <c r="A708" i="13"/>
  <c r="B708" i="13"/>
  <c r="A709" i="13"/>
  <c r="B709" i="13"/>
  <c r="A710" i="13"/>
  <c r="B710" i="13"/>
  <c r="A711" i="13"/>
  <c r="B711" i="13"/>
  <c r="A712" i="13"/>
  <c r="B712" i="13"/>
  <c r="A713" i="13"/>
  <c r="B713" i="13"/>
  <c r="A714" i="13"/>
  <c r="B714" i="13"/>
  <c r="A715" i="13"/>
  <c r="B715" i="13"/>
  <c r="A716" i="13"/>
  <c r="B716" i="13"/>
  <c r="A717" i="13"/>
  <c r="B717" i="13"/>
  <c r="A718" i="13"/>
  <c r="B718" i="13"/>
  <c r="A719" i="13"/>
  <c r="B719" i="13"/>
  <c r="A720" i="13"/>
  <c r="B720" i="13"/>
  <c r="A721" i="13"/>
  <c r="B721" i="13"/>
  <c r="A722" i="13"/>
  <c r="B722" i="13"/>
  <c r="A723" i="13"/>
  <c r="B723" i="13"/>
  <c r="A724" i="13"/>
  <c r="B724" i="13"/>
  <c r="A725" i="13"/>
  <c r="B725" i="13"/>
  <c r="A726" i="13"/>
  <c r="B726" i="13"/>
  <c r="A727" i="13"/>
  <c r="B727" i="13"/>
  <c r="A728" i="13"/>
  <c r="B728" i="13"/>
  <c r="A729" i="13"/>
  <c r="B729" i="13"/>
  <c r="A730" i="13"/>
  <c r="B730" i="13"/>
  <c r="A731" i="13"/>
  <c r="B731" i="13"/>
  <c r="A732" i="13"/>
  <c r="B732" i="13"/>
  <c r="A733" i="13"/>
  <c r="B733" i="13"/>
  <c r="A734" i="13"/>
  <c r="B734" i="13"/>
  <c r="A735" i="13"/>
  <c r="B735" i="13"/>
  <c r="A736" i="13"/>
  <c r="B736" i="13"/>
  <c r="A737" i="13"/>
  <c r="B737" i="13"/>
  <c r="A738" i="13"/>
  <c r="B738" i="13"/>
  <c r="A739" i="13"/>
  <c r="B739" i="13"/>
  <c r="A740" i="13"/>
  <c r="B740" i="13"/>
  <c r="A741" i="13"/>
  <c r="B741" i="13"/>
  <c r="A742" i="13"/>
  <c r="B742" i="13"/>
  <c r="A743" i="13"/>
  <c r="B743" i="13"/>
  <c r="A744" i="13"/>
  <c r="B744" i="13"/>
  <c r="A745" i="13"/>
  <c r="B745" i="13"/>
  <c r="A746" i="13"/>
  <c r="B746" i="13"/>
  <c r="A747" i="13"/>
  <c r="B747" i="13"/>
  <c r="A748" i="13"/>
  <c r="B748" i="13"/>
  <c r="A749" i="13"/>
  <c r="B749" i="13"/>
  <c r="A750" i="13"/>
  <c r="B750" i="13"/>
  <c r="A751" i="13"/>
  <c r="B751" i="13"/>
  <c r="A752" i="13"/>
  <c r="B752" i="13"/>
  <c r="A753" i="13"/>
  <c r="B753" i="13"/>
  <c r="A754" i="13"/>
  <c r="B754" i="13"/>
  <c r="A755" i="13"/>
  <c r="B755" i="13"/>
  <c r="A756" i="13"/>
  <c r="B756" i="13"/>
  <c r="A757" i="13"/>
  <c r="B757" i="13"/>
  <c r="A758" i="13"/>
  <c r="B758" i="13"/>
  <c r="A759" i="13"/>
  <c r="B759" i="13"/>
  <c r="A760" i="13"/>
  <c r="B760" i="13"/>
  <c r="A761" i="13"/>
  <c r="B761" i="13"/>
  <c r="A762" i="13"/>
  <c r="B762" i="13"/>
  <c r="A763" i="13"/>
  <c r="B763" i="13"/>
  <c r="A764" i="13"/>
  <c r="B764" i="13"/>
  <c r="A765" i="13"/>
  <c r="B765" i="13"/>
  <c r="A766" i="13"/>
  <c r="B766" i="13"/>
  <c r="A767" i="13"/>
  <c r="B767" i="13"/>
  <c r="A768" i="13"/>
  <c r="B768" i="13"/>
  <c r="A769" i="13"/>
  <c r="B769" i="13"/>
  <c r="A770" i="13"/>
  <c r="B770" i="13"/>
  <c r="A771" i="13"/>
  <c r="B771" i="13"/>
  <c r="A772" i="13"/>
  <c r="B772" i="13"/>
  <c r="A773" i="13"/>
  <c r="B773" i="13"/>
  <c r="A774" i="13"/>
  <c r="B774" i="13"/>
  <c r="A775" i="13"/>
  <c r="B775" i="13"/>
  <c r="A776" i="13"/>
  <c r="B776" i="13"/>
  <c r="G38" i="18" l="1"/>
  <c r="G39" i="18"/>
  <c r="G40" i="18"/>
  <c r="A175" i="16"/>
  <c r="B175" i="16"/>
  <c r="A176" i="16"/>
  <c r="B176" i="16"/>
  <c r="A177" i="16"/>
  <c r="B177" i="16"/>
  <c r="A178" i="16"/>
  <c r="B178" i="16"/>
  <c r="A179" i="16"/>
  <c r="B179" i="16"/>
  <c r="A180" i="16"/>
  <c r="B180" i="16"/>
  <c r="A181" i="16"/>
  <c r="B181" i="16"/>
  <c r="A182" i="16"/>
  <c r="B182" i="16"/>
  <c r="D175" i="16"/>
  <c r="D176" i="16"/>
  <c r="D177" i="16"/>
  <c r="D178" i="16"/>
  <c r="D179" i="16"/>
  <c r="D180" i="16"/>
  <c r="D181" i="16"/>
  <c r="D182" i="16"/>
  <c r="A554" i="13" l="1"/>
  <c r="B554" i="13"/>
  <c r="A555" i="13"/>
  <c r="B555" i="13"/>
  <c r="A577" i="13"/>
  <c r="B577" i="13"/>
  <c r="A578" i="13"/>
  <c r="B578" i="13"/>
  <c r="A579" i="13"/>
  <c r="B579" i="13"/>
  <c r="A580" i="13"/>
  <c r="B580" i="13"/>
  <c r="A581" i="13"/>
  <c r="B581" i="13"/>
  <c r="A582" i="13"/>
  <c r="B582" i="13"/>
  <c r="A583" i="13"/>
  <c r="B583" i="13"/>
  <c r="A584" i="13"/>
  <c r="B584" i="13"/>
  <c r="A585" i="13"/>
  <c r="B585" i="13"/>
  <c r="A586" i="13"/>
  <c r="B586" i="13"/>
  <c r="A587" i="13"/>
  <c r="B587" i="13"/>
  <c r="A588" i="13"/>
  <c r="B588" i="13"/>
  <c r="A589" i="13"/>
  <c r="B589" i="13"/>
  <c r="A590" i="13"/>
  <c r="B590" i="13"/>
  <c r="A591" i="13"/>
  <c r="B591" i="13"/>
  <c r="A592" i="13"/>
  <c r="B592" i="13"/>
  <c r="A593" i="13"/>
  <c r="B593" i="13"/>
  <c r="A594" i="13"/>
  <c r="B594" i="13"/>
  <c r="A595" i="13"/>
  <c r="B595" i="13"/>
  <c r="A596" i="13"/>
  <c r="B596" i="13"/>
  <c r="A597" i="13"/>
  <c r="B597" i="13"/>
  <c r="A598" i="13"/>
  <c r="B598" i="13"/>
  <c r="A599" i="13"/>
  <c r="B599" i="13"/>
  <c r="A600" i="13"/>
  <c r="B600" i="13"/>
  <c r="A601" i="13"/>
  <c r="B601" i="13"/>
  <c r="A602" i="13"/>
  <c r="B602" i="13"/>
  <c r="A603" i="13"/>
  <c r="B603" i="13"/>
  <c r="A604" i="13"/>
  <c r="B604" i="13"/>
  <c r="A605" i="13"/>
  <c r="B605" i="13"/>
  <c r="A606" i="13"/>
  <c r="B606" i="13"/>
  <c r="A607" i="13"/>
  <c r="B607" i="13"/>
  <c r="A608" i="13"/>
  <c r="B608" i="13"/>
  <c r="A609" i="13"/>
  <c r="B609" i="13"/>
  <c r="A610" i="13"/>
  <c r="B610" i="13"/>
  <c r="A611" i="13"/>
  <c r="B611" i="13"/>
  <c r="A612" i="13"/>
  <c r="B612" i="13"/>
  <c r="A613" i="13"/>
  <c r="B613" i="13"/>
  <c r="A614" i="13"/>
  <c r="B614" i="13"/>
  <c r="A615" i="13"/>
  <c r="B615" i="13"/>
  <c r="A616" i="13"/>
  <c r="B616" i="13"/>
  <c r="A617" i="13"/>
  <c r="B617" i="13"/>
  <c r="A618" i="13"/>
  <c r="B618" i="13"/>
  <c r="A619" i="13"/>
  <c r="B619" i="13"/>
  <c r="A620" i="13"/>
  <c r="B620" i="13"/>
  <c r="A621" i="13"/>
  <c r="B621" i="13"/>
  <c r="A622" i="13"/>
  <c r="B622" i="13"/>
  <c r="A623" i="13"/>
  <c r="B623" i="13"/>
  <c r="A624" i="13"/>
  <c r="B624" i="13"/>
  <c r="A625" i="13"/>
  <c r="B625" i="13"/>
  <c r="A626" i="13"/>
  <c r="B626" i="13"/>
  <c r="A627" i="13"/>
  <c r="B627" i="13"/>
  <c r="A628" i="13"/>
  <c r="B628" i="13"/>
  <c r="A629" i="13"/>
  <c r="B629" i="13"/>
  <c r="A630" i="13"/>
  <c r="B630" i="13"/>
  <c r="A631" i="13"/>
  <c r="B631" i="13"/>
  <c r="A632" i="13"/>
  <c r="B632" i="13"/>
  <c r="A633" i="13"/>
  <c r="B633" i="13"/>
  <c r="A634" i="13"/>
  <c r="B634" i="13"/>
  <c r="A635" i="13"/>
  <c r="B635" i="13"/>
  <c r="A636" i="13"/>
  <c r="B636" i="13"/>
  <c r="A637" i="13"/>
  <c r="B637" i="13"/>
  <c r="A638" i="13"/>
  <c r="B638" i="13"/>
  <c r="A639" i="13"/>
  <c r="B639" i="13"/>
  <c r="A640" i="13"/>
  <c r="B640" i="13"/>
  <c r="A641" i="13"/>
  <c r="B641" i="13"/>
  <c r="A642" i="13"/>
  <c r="B642" i="13"/>
  <c r="A643" i="13"/>
  <c r="B643" i="13"/>
  <c r="A644" i="13"/>
  <c r="B644" i="13"/>
  <c r="A645" i="13"/>
  <c r="B645" i="13"/>
  <c r="A646" i="13"/>
  <c r="B646" i="13"/>
  <c r="A647" i="13"/>
  <c r="B647" i="13"/>
  <c r="A648" i="13"/>
  <c r="B648" i="13"/>
  <c r="A649" i="13"/>
  <c r="B649" i="13"/>
  <c r="A650" i="13"/>
  <c r="B650" i="13"/>
  <c r="A651" i="13"/>
  <c r="B651" i="13"/>
  <c r="A652" i="13"/>
  <c r="B652" i="13"/>
  <c r="A653" i="13"/>
  <c r="B653" i="13"/>
  <c r="A654" i="13"/>
  <c r="B654" i="13"/>
  <c r="A655" i="13"/>
  <c r="B655" i="13"/>
  <c r="A656" i="13"/>
  <c r="B656" i="13"/>
  <c r="A657" i="13"/>
  <c r="B657" i="13"/>
  <c r="A658" i="13"/>
  <c r="B658" i="13"/>
  <c r="A659" i="13"/>
  <c r="B659" i="13"/>
  <c r="A660" i="13"/>
  <c r="B660" i="13"/>
  <c r="A661" i="13"/>
  <c r="B661" i="13"/>
  <c r="A662" i="13"/>
  <c r="B662" i="13"/>
  <c r="A663" i="13"/>
  <c r="B663" i="13"/>
  <c r="A664" i="13"/>
  <c r="B664" i="13"/>
  <c r="A665" i="13"/>
  <c r="B665" i="13"/>
  <c r="G34" i="18"/>
  <c r="G35" i="18"/>
  <c r="G36" i="18"/>
  <c r="G37" i="18"/>
  <c r="A164" i="16"/>
  <c r="B164" i="16"/>
  <c r="A165" i="16"/>
  <c r="B165" i="16"/>
  <c r="A166" i="16"/>
  <c r="B166" i="16"/>
  <c r="A167" i="16"/>
  <c r="B167" i="16"/>
  <c r="A168" i="16"/>
  <c r="B168" i="16"/>
  <c r="A169" i="16"/>
  <c r="B169" i="16"/>
  <c r="A170" i="16"/>
  <c r="B170" i="16"/>
  <c r="A171" i="16"/>
  <c r="B171" i="16"/>
  <c r="A172" i="16"/>
  <c r="B172" i="16"/>
  <c r="A173" i="16"/>
  <c r="B173" i="16"/>
  <c r="A174" i="16"/>
  <c r="B174" i="16"/>
  <c r="D164" i="16"/>
  <c r="D165" i="16"/>
  <c r="D166" i="16"/>
  <c r="D167" i="16"/>
  <c r="D168" i="16"/>
  <c r="D169" i="16"/>
  <c r="D170" i="16"/>
  <c r="D171" i="16"/>
  <c r="D172" i="16"/>
  <c r="D173" i="16"/>
  <c r="D174" i="16"/>
  <c r="A504" i="13"/>
  <c r="B504" i="13"/>
  <c r="A505" i="13"/>
  <c r="B505" i="13"/>
  <c r="A506" i="13"/>
  <c r="B506" i="13"/>
  <c r="A507" i="13"/>
  <c r="B507" i="13"/>
  <c r="A508" i="13"/>
  <c r="B508" i="13"/>
  <c r="A509" i="13"/>
  <c r="B509" i="13"/>
  <c r="A510" i="13"/>
  <c r="B510" i="13"/>
  <c r="A511" i="13"/>
  <c r="B511" i="13"/>
  <c r="A512" i="13"/>
  <c r="B512" i="13"/>
  <c r="A513" i="13"/>
  <c r="B513" i="13"/>
  <c r="A514" i="13"/>
  <c r="B514" i="13"/>
  <c r="A515" i="13"/>
  <c r="B515" i="13"/>
  <c r="A516" i="13"/>
  <c r="B516" i="13"/>
  <c r="A517" i="13"/>
  <c r="B517" i="13"/>
  <c r="A518" i="13"/>
  <c r="B518" i="13"/>
  <c r="A519" i="13"/>
  <c r="B519" i="13"/>
  <c r="A520" i="13"/>
  <c r="B520" i="13"/>
  <c r="A521" i="13"/>
  <c r="B521" i="13"/>
  <c r="A522" i="13"/>
  <c r="B522" i="13"/>
  <c r="A523" i="13"/>
  <c r="B523" i="13"/>
  <c r="A524" i="13"/>
  <c r="B524" i="13"/>
  <c r="A525" i="13"/>
  <c r="B525" i="13"/>
  <c r="A526" i="13"/>
  <c r="B526" i="13"/>
  <c r="A527" i="13"/>
  <c r="B527" i="13"/>
  <c r="A528" i="13"/>
  <c r="B528" i="13"/>
  <c r="A529" i="13"/>
  <c r="B529" i="13"/>
  <c r="A530" i="13"/>
  <c r="B530" i="13"/>
  <c r="A531" i="13"/>
  <c r="B531" i="13"/>
  <c r="A532" i="13"/>
  <c r="B532" i="13"/>
  <c r="A533" i="13"/>
  <c r="B533" i="13"/>
  <c r="A534" i="13"/>
  <c r="B534" i="13"/>
  <c r="A535" i="13"/>
  <c r="B535" i="13"/>
  <c r="A536" i="13"/>
  <c r="B536" i="13"/>
  <c r="A537" i="13"/>
  <c r="B537" i="13"/>
  <c r="A538" i="13"/>
  <c r="B538" i="13"/>
  <c r="A539" i="13"/>
  <c r="B539" i="13"/>
  <c r="A540" i="13"/>
  <c r="B540" i="13"/>
  <c r="A541" i="13"/>
  <c r="B541" i="13"/>
  <c r="A542" i="13"/>
  <c r="B542" i="13"/>
  <c r="A543" i="13"/>
  <c r="B543" i="13"/>
  <c r="A544" i="13"/>
  <c r="B544" i="13"/>
  <c r="A545" i="13"/>
  <c r="B545" i="13"/>
  <c r="A546" i="13"/>
  <c r="B546" i="13"/>
  <c r="A547" i="13"/>
  <c r="B547" i="13"/>
  <c r="A548" i="13"/>
  <c r="B548" i="13"/>
  <c r="A549" i="13"/>
  <c r="B549" i="13"/>
  <c r="A550" i="13"/>
  <c r="B550" i="13"/>
  <c r="A551" i="13"/>
  <c r="B551" i="13"/>
  <c r="A552" i="13"/>
  <c r="B552" i="13"/>
  <c r="A553" i="13"/>
  <c r="B553" i="13"/>
  <c r="A556" i="13"/>
  <c r="B556" i="13"/>
  <c r="A557" i="13"/>
  <c r="B557" i="13"/>
  <c r="A558" i="13"/>
  <c r="B558" i="13"/>
  <c r="A559" i="13"/>
  <c r="B559" i="13"/>
  <c r="A560" i="13"/>
  <c r="B560" i="13"/>
  <c r="A561" i="13"/>
  <c r="B561" i="13"/>
  <c r="A562" i="13"/>
  <c r="B562" i="13"/>
  <c r="A563" i="13"/>
  <c r="B563" i="13"/>
  <c r="A564" i="13"/>
  <c r="B564" i="13"/>
  <c r="A565" i="13"/>
  <c r="B565" i="13"/>
  <c r="A566" i="13"/>
  <c r="B566" i="13"/>
  <c r="A567" i="13"/>
  <c r="B567" i="13"/>
  <c r="A568" i="13"/>
  <c r="B568" i="13"/>
  <c r="A569" i="13"/>
  <c r="B569" i="13"/>
  <c r="A570" i="13"/>
  <c r="B570" i="13"/>
  <c r="A571" i="13"/>
  <c r="B571" i="13"/>
  <c r="A572" i="13"/>
  <c r="B572" i="13"/>
  <c r="A573" i="13"/>
  <c r="B573" i="13"/>
  <c r="A574" i="13"/>
  <c r="B574" i="13"/>
  <c r="A575" i="13"/>
  <c r="B575" i="13"/>
  <c r="A576" i="13"/>
  <c r="B576" i="13"/>
  <c r="G32" i="18"/>
  <c r="G33" i="18"/>
  <c r="A148" i="16"/>
  <c r="B148" i="16"/>
  <c r="A149" i="16"/>
  <c r="B149" i="16"/>
  <c r="A150" i="16"/>
  <c r="B150" i="16"/>
  <c r="A151" i="16"/>
  <c r="B151" i="16"/>
  <c r="A152" i="16"/>
  <c r="B152" i="16"/>
  <c r="A153" i="16"/>
  <c r="B153" i="16"/>
  <c r="A154" i="16"/>
  <c r="B154" i="16"/>
  <c r="A155" i="16"/>
  <c r="B155" i="16"/>
  <c r="A156" i="16"/>
  <c r="B156" i="16"/>
  <c r="A157" i="16"/>
  <c r="B157" i="16"/>
  <c r="A158" i="16"/>
  <c r="B158" i="16"/>
  <c r="A159" i="16"/>
  <c r="B159" i="16"/>
  <c r="A160" i="16"/>
  <c r="B160" i="16"/>
  <c r="A161" i="16"/>
  <c r="B161" i="16"/>
  <c r="A162" i="16"/>
  <c r="B162" i="16"/>
  <c r="A163" i="16"/>
  <c r="B163" i="16"/>
  <c r="D148" i="16"/>
  <c r="D149" i="16"/>
  <c r="D150" i="16"/>
  <c r="D151" i="16"/>
  <c r="D152" i="16"/>
  <c r="D153" i="16"/>
  <c r="D154" i="16"/>
  <c r="D155" i="16"/>
  <c r="D156" i="16"/>
  <c r="D157" i="16"/>
  <c r="D158" i="16"/>
  <c r="D159" i="16"/>
  <c r="D160" i="16"/>
  <c r="D161" i="16"/>
  <c r="D162" i="16"/>
  <c r="D163" i="16"/>
  <c r="A467" i="13"/>
  <c r="B467" i="13"/>
  <c r="A468" i="13"/>
  <c r="B468" i="13"/>
  <c r="A469" i="13"/>
  <c r="B469" i="13"/>
  <c r="A470" i="13"/>
  <c r="B470" i="13"/>
  <c r="A471" i="13"/>
  <c r="B471" i="13"/>
  <c r="A472" i="13"/>
  <c r="B472" i="13"/>
  <c r="A473" i="13"/>
  <c r="B473" i="13"/>
  <c r="A474" i="13"/>
  <c r="B474" i="13"/>
  <c r="A475" i="13"/>
  <c r="B475" i="13"/>
  <c r="A476" i="13"/>
  <c r="B476" i="13"/>
  <c r="A477" i="13"/>
  <c r="B477" i="13"/>
  <c r="A478" i="13"/>
  <c r="B478" i="13"/>
  <c r="A479" i="13"/>
  <c r="B479" i="13"/>
  <c r="A480" i="13"/>
  <c r="B480" i="13"/>
  <c r="A481" i="13"/>
  <c r="B481" i="13"/>
  <c r="A482" i="13"/>
  <c r="B482" i="13"/>
  <c r="A483" i="13"/>
  <c r="B483" i="13"/>
  <c r="A484" i="13"/>
  <c r="B484" i="13"/>
  <c r="A485" i="13"/>
  <c r="B485" i="13"/>
  <c r="A486" i="13"/>
  <c r="B486" i="13"/>
  <c r="A487" i="13"/>
  <c r="B487" i="13"/>
  <c r="A488" i="13"/>
  <c r="B488" i="13"/>
  <c r="A489" i="13"/>
  <c r="B489" i="13"/>
  <c r="A490" i="13"/>
  <c r="B490" i="13"/>
  <c r="A491" i="13"/>
  <c r="B491" i="13"/>
  <c r="A492" i="13"/>
  <c r="B492" i="13"/>
  <c r="A493" i="13"/>
  <c r="B493" i="13"/>
  <c r="A494" i="13"/>
  <c r="B494" i="13"/>
  <c r="A495" i="13"/>
  <c r="B495" i="13"/>
  <c r="A496" i="13"/>
  <c r="B496" i="13"/>
  <c r="A497" i="13"/>
  <c r="B497" i="13"/>
  <c r="A498" i="13"/>
  <c r="B498" i="13"/>
  <c r="A499" i="13"/>
  <c r="B499" i="13"/>
  <c r="A500" i="13"/>
  <c r="B500" i="13"/>
  <c r="A501" i="13"/>
  <c r="B501" i="13"/>
  <c r="A502" i="13"/>
  <c r="B502" i="13"/>
  <c r="A503" i="13"/>
  <c r="B503" i="13"/>
  <c r="A446" i="13"/>
  <c r="B446" i="13"/>
  <c r="A447" i="13"/>
  <c r="B447" i="13"/>
  <c r="A448" i="13"/>
  <c r="B448" i="13"/>
  <c r="A449" i="13"/>
  <c r="B449" i="13"/>
  <c r="A450" i="13"/>
  <c r="B450" i="13"/>
  <c r="A451" i="13"/>
  <c r="B451" i="13"/>
  <c r="A452" i="13"/>
  <c r="B452" i="13"/>
  <c r="A453" i="13"/>
  <c r="B453" i="13"/>
  <c r="A454" i="13"/>
  <c r="B454" i="13"/>
  <c r="A455" i="13"/>
  <c r="B455" i="13"/>
  <c r="A456" i="13"/>
  <c r="B456" i="13"/>
  <c r="A457" i="13"/>
  <c r="B457" i="13"/>
  <c r="A458" i="13"/>
  <c r="B458" i="13"/>
  <c r="A459" i="13"/>
  <c r="B459" i="13"/>
  <c r="A460" i="13"/>
  <c r="B460" i="13"/>
  <c r="A461" i="13"/>
  <c r="B461" i="13"/>
  <c r="A462" i="13"/>
  <c r="B462" i="13"/>
  <c r="A463" i="13"/>
  <c r="B463" i="13"/>
  <c r="A464" i="13"/>
  <c r="B464" i="13"/>
  <c r="A465" i="13"/>
  <c r="B465" i="13"/>
  <c r="A466" i="13"/>
  <c r="B466" i="13"/>
  <c r="D3" i="22"/>
  <c r="E3" i="22" s="1"/>
  <c r="F3" i="22" s="1"/>
  <c r="G3" i="22" s="1"/>
  <c r="H3" i="22" s="1"/>
  <c r="I3" i="22" s="1"/>
  <c r="J3" i="22" s="1"/>
  <c r="K3" i="22" s="1"/>
  <c r="L3" i="22" s="1"/>
  <c r="M3" i="22" s="1"/>
  <c r="N3" i="22" s="1"/>
  <c r="O3" i="22" s="1"/>
  <c r="P90" i="22"/>
  <c r="P89" i="22"/>
  <c r="P88" i="22"/>
  <c r="P83" i="22"/>
  <c r="P82" i="22"/>
  <c r="P81" i="22"/>
  <c r="P80" i="22"/>
  <c r="P75" i="22"/>
  <c r="P74" i="22"/>
  <c r="P73" i="22"/>
  <c r="P72" i="22"/>
  <c r="P67" i="22"/>
  <c r="P66" i="22"/>
  <c r="P65" i="22"/>
  <c r="P64" i="22"/>
  <c r="P63" i="22"/>
  <c r="P62" i="22"/>
  <c r="P57" i="22"/>
  <c r="P56" i="22"/>
  <c r="P55" i="22"/>
  <c r="P50" i="22"/>
  <c r="P49" i="22"/>
  <c r="P48" i="22"/>
  <c r="P47" i="22"/>
  <c r="P46" i="22"/>
  <c r="P41" i="22"/>
  <c r="P40" i="22"/>
  <c r="P39" i="22"/>
  <c r="P38" i="22"/>
  <c r="P37" i="22"/>
  <c r="P36" i="22"/>
  <c r="P31" i="22"/>
  <c r="P30" i="22"/>
  <c r="Q2" i="22"/>
  <c r="A2" i="15" a="1"/>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G31" i="18"/>
  <c r="C31" i="18"/>
  <c r="G30" i="18"/>
  <c r="C30" i="18"/>
  <c r="G29" i="18"/>
  <c r="C29" i="18"/>
  <c r="G28" i="18"/>
  <c r="C28" i="18"/>
  <c r="G27" i="18"/>
  <c r="C27" i="18"/>
  <c r="G26" i="18"/>
  <c r="C26" i="18"/>
  <c r="G25" i="18"/>
  <c r="C25" i="18"/>
  <c r="G24" i="18"/>
  <c r="C24" i="18"/>
  <c r="G23" i="18"/>
  <c r="C23" i="18"/>
  <c r="G22" i="18"/>
  <c r="C22" i="18"/>
  <c r="G21" i="18"/>
  <c r="C21" i="18"/>
  <c r="G20" i="18"/>
  <c r="C20" i="18"/>
  <c r="G19" i="18"/>
  <c r="C19" i="18"/>
  <c r="G18" i="18"/>
  <c r="C18" i="18"/>
  <c r="G17" i="18"/>
  <c r="C17" i="18"/>
  <c r="G16" i="18"/>
  <c r="C16" i="18"/>
  <c r="G15" i="18"/>
  <c r="C15" i="18"/>
  <c r="G14" i="18"/>
  <c r="C14" i="18"/>
  <c r="G13" i="18"/>
  <c r="C13" i="18"/>
  <c r="G12" i="18"/>
  <c r="C12" i="18"/>
  <c r="G11" i="18"/>
  <c r="C11" i="18"/>
  <c r="G10" i="18"/>
  <c r="C10" i="18"/>
  <c r="G9" i="18"/>
  <c r="C9" i="18"/>
  <c r="G8" i="18"/>
  <c r="C8" i="18"/>
  <c r="G7" i="18"/>
  <c r="C7" i="18"/>
  <c r="G6" i="18"/>
  <c r="C6" i="18"/>
  <c r="G5" i="18"/>
  <c r="C5" i="18"/>
  <c r="G4" i="18"/>
  <c r="C4" i="18"/>
  <c r="G3" i="18"/>
  <c r="C3" i="18"/>
  <c r="C2" i="18"/>
  <c r="C62" i="17"/>
  <c r="E2" i="18" s="1"/>
  <c r="H2" i="18" s="1"/>
  <c r="A4" i="17" a="1"/>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6" i="13"/>
  <c r="A426" i="13"/>
  <c r="B425" i="13"/>
  <c r="A425" i="13"/>
  <c r="B424" i="13"/>
  <c r="A424" i="13"/>
  <c r="B423" i="13"/>
  <c r="A423" i="13"/>
  <c r="B422" i="13"/>
  <c r="A422" i="13"/>
  <c r="B421" i="13"/>
  <c r="A421" i="13"/>
  <c r="B420" i="13"/>
  <c r="A420" i="13"/>
  <c r="B419" i="13"/>
  <c r="A419" i="13"/>
  <c r="B418" i="13"/>
  <c r="A418" i="13"/>
  <c r="B417" i="13"/>
  <c r="A417" i="13"/>
  <c r="B416" i="13"/>
  <c r="A416" i="13"/>
  <c r="B415" i="13"/>
  <c r="A415" i="13"/>
  <c r="B414" i="13"/>
  <c r="A414" i="13"/>
  <c r="B413" i="13"/>
  <c r="A413" i="13"/>
  <c r="B412" i="13"/>
  <c r="A412" i="13"/>
  <c r="B411" i="13"/>
  <c r="A411" i="13"/>
  <c r="B410" i="13"/>
  <c r="A410" i="13"/>
  <c r="B409" i="13"/>
  <c r="A409" i="13"/>
  <c r="B408" i="13"/>
  <c r="A408" i="13"/>
  <c r="B407" i="13"/>
  <c r="A407" i="13"/>
  <c r="B406" i="13"/>
  <c r="A406" i="13"/>
  <c r="B405" i="13"/>
  <c r="A405" i="13"/>
  <c r="B404" i="13"/>
  <c r="A404" i="13"/>
  <c r="B403" i="13"/>
  <c r="A403" i="13"/>
  <c r="B402" i="13"/>
  <c r="A402" i="13"/>
  <c r="B401" i="13"/>
  <c r="A401" i="13"/>
  <c r="B400" i="13"/>
  <c r="A400" i="13"/>
  <c r="B399" i="13"/>
  <c r="A399" i="13"/>
  <c r="B398" i="13"/>
  <c r="A398" i="13"/>
  <c r="B397" i="13"/>
  <c r="A397" i="13"/>
  <c r="B396" i="13"/>
  <c r="A396" i="13"/>
  <c r="B395" i="13"/>
  <c r="A395" i="13"/>
  <c r="B394" i="13"/>
  <c r="A394" i="13"/>
  <c r="B393" i="13"/>
  <c r="A393" i="13"/>
  <c r="B392" i="13"/>
  <c r="A392" i="13"/>
  <c r="B391" i="13"/>
  <c r="A391" i="13"/>
  <c r="B390" i="13"/>
  <c r="A390" i="13"/>
  <c r="B389" i="13"/>
  <c r="A389" i="13"/>
  <c r="B388" i="13"/>
  <c r="A388" i="13"/>
  <c r="B387" i="13"/>
  <c r="A387" i="13"/>
  <c r="B386" i="13"/>
  <c r="A386" i="13"/>
  <c r="B385" i="13"/>
  <c r="A385" i="13"/>
  <c r="B384" i="13"/>
  <c r="A384" i="13"/>
  <c r="B383" i="13"/>
  <c r="A383" i="13"/>
  <c r="B382" i="13"/>
  <c r="A382" i="13"/>
  <c r="B381" i="13"/>
  <c r="A381" i="13"/>
  <c r="B380" i="13"/>
  <c r="A380" i="13"/>
  <c r="B379" i="13"/>
  <c r="A379" i="13"/>
  <c r="B378" i="13"/>
  <c r="A378" i="13"/>
  <c r="B377" i="13"/>
  <c r="A377" i="13"/>
  <c r="B376" i="13"/>
  <c r="A376" i="13"/>
  <c r="B375" i="13"/>
  <c r="A375" i="13"/>
  <c r="B374" i="13"/>
  <c r="A374" i="13"/>
  <c r="B373" i="13"/>
  <c r="A373" i="13"/>
  <c r="B372" i="13"/>
  <c r="A372" i="13"/>
  <c r="B371" i="13"/>
  <c r="A371" i="13"/>
  <c r="B370" i="13"/>
  <c r="A370" i="13"/>
  <c r="B369" i="13"/>
  <c r="A369" i="13"/>
  <c r="B368" i="13"/>
  <c r="A368" i="13"/>
  <c r="B367" i="13"/>
  <c r="A367" i="13"/>
  <c r="B366" i="13"/>
  <c r="A366" i="13"/>
  <c r="B365" i="13"/>
  <c r="A365" i="13"/>
  <c r="B364" i="13"/>
  <c r="A364" i="13"/>
  <c r="B363" i="13"/>
  <c r="A363" i="13"/>
  <c r="B362" i="13"/>
  <c r="A362" i="13"/>
  <c r="B361" i="13"/>
  <c r="A361" i="13"/>
  <c r="B360" i="13"/>
  <c r="A360" i="13"/>
  <c r="B359" i="13"/>
  <c r="A359" i="13"/>
  <c r="B358" i="13"/>
  <c r="A358" i="13"/>
  <c r="B357" i="13"/>
  <c r="A357" i="13"/>
  <c r="B356" i="13"/>
  <c r="A356" i="13"/>
  <c r="B355" i="13"/>
  <c r="A355" i="13"/>
  <c r="B354" i="13"/>
  <c r="A354" i="13"/>
  <c r="B353" i="13"/>
  <c r="A353" i="13"/>
  <c r="B352" i="13"/>
  <c r="A352" i="13"/>
  <c r="B351" i="13"/>
  <c r="A351" i="13"/>
  <c r="B350" i="13"/>
  <c r="A350" i="13"/>
  <c r="B349" i="13"/>
  <c r="A349" i="13"/>
  <c r="B348" i="13"/>
  <c r="A348" i="13"/>
  <c r="B347" i="13"/>
  <c r="A347" i="13"/>
  <c r="B346" i="13"/>
  <c r="A346" i="13"/>
  <c r="B345" i="13"/>
  <c r="A345" i="13"/>
  <c r="B344" i="13"/>
  <c r="A344" i="13"/>
  <c r="B343" i="13"/>
  <c r="A343" i="13"/>
  <c r="B342" i="13"/>
  <c r="A342" i="13"/>
  <c r="B341" i="13"/>
  <c r="A341" i="13"/>
  <c r="B340" i="13"/>
  <c r="A340" i="13"/>
  <c r="B339" i="13"/>
  <c r="A339" i="13"/>
  <c r="B338" i="13"/>
  <c r="A338" i="13"/>
  <c r="B337" i="13"/>
  <c r="A337" i="13"/>
  <c r="B336" i="13"/>
  <c r="A336" i="13"/>
  <c r="B335" i="13"/>
  <c r="A335" i="13"/>
  <c r="B334" i="13"/>
  <c r="A334" i="13"/>
  <c r="B333" i="13"/>
  <c r="A333" i="13"/>
  <c r="B332" i="13"/>
  <c r="A332" i="13"/>
  <c r="B331" i="13"/>
  <c r="A331" i="13"/>
  <c r="B330" i="13"/>
  <c r="A330" i="13"/>
  <c r="B329" i="13"/>
  <c r="A329" i="13"/>
  <c r="B328" i="13"/>
  <c r="A328"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71" i="13"/>
  <c r="A271" i="13"/>
  <c r="B270" i="13"/>
  <c r="A270" i="13"/>
  <c r="B269" i="13"/>
  <c r="A269" i="13"/>
  <c r="B268" i="13"/>
  <c r="A268" i="13"/>
  <c r="B267" i="13"/>
  <c r="A267" i="13"/>
  <c r="B266" i="13"/>
  <c r="A266" i="13"/>
  <c r="B265" i="13"/>
  <c r="A265" i="13"/>
  <c r="B264" i="13"/>
  <c r="A264" i="13"/>
  <c r="B263" i="13"/>
  <c r="A263" i="13"/>
  <c r="B262" i="13"/>
  <c r="A262" i="13"/>
  <c r="B261" i="13"/>
  <c r="A261" i="13"/>
  <c r="B260" i="13"/>
  <c r="A260" i="13"/>
  <c r="B259" i="13"/>
  <c r="A259" i="13"/>
  <c r="B258" i="13"/>
  <c r="A258" i="13"/>
  <c r="B257" i="13"/>
  <c r="A257" i="13"/>
  <c r="B256" i="13"/>
  <c r="A256" i="13"/>
  <c r="B255" i="13"/>
  <c r="A255" i="13"/>
  <c r="B254" i="13"/>
  <c r="A254" i="13"/>
  <c r="B253" i="13"/>
  <c r="A253" i="13"/>
  <c r="B252" i="13"/>
  <c r="A252" i="13"/>
  <c r="B251" i="13"/>
  <c r="A251" i="13"/>
  <c r="B250" i="13"/>
  <c r="A250" i="13"/>
  <c r="B249" i="13"/>
  <c r="A249" i="13"/>
  <c r="B248" i="13"/>
  <c r="A248" i="13"/>
  <c r="B247" i="13"/>
  <c r="A247" i="13"/>
  <c r="B246" i="13"/>
  <c r="A246" i="13"/>
  <c r="B245" i="13"/>
  <c r="A245" i="13"/>
  <c r="B244" i="13"/>
  <c r="A244" i="13"/>
  <c r="B243" i="13"/>
  <c r="A243" i="13"/>
  <c r="B242" i="13"/>
  <c r="A242" i="13"/>
  <c r="B241" i="13"/>
  <c r="A241" i="13"/>
  <c r="B240" i="13"/>
  <c r="A240" i="13"/>
  <c r="B239" i="13"/>
  <c r="A239" i="13"/>
  <c r="B238" i="13"/>
  <c r="A238" i="13"/>
  <c r="B237" i="13"/>
  <c r="A237" i="13"/>
  <c r="B236" i="13"/>
  <c r="A236" i="13"/>
  <c r="B235" i="13"/>
  <c r="A235" i="13"/>
  <c r="B234" i="13"/>
  <c r="A234" i="13"/>
  <c r="B233" i="13"/>
  <c r="A233" i="13"/>
  <c r="B232" i="13"/>
  <c r="A232" i="13"/>
  <c r="B231" i="13"/>
  <c r="A231" i="13"/>
  <c r="B230" i="13"/>
  <c r="A230" i="13"/>
  <c r="B229" i="13"/>
  <c r="A229" i="13"/>
  <c r="B228" i="13"/>
  <c r="A228" i="13"/>
  <c r="B227" i="13"/>
  <c r="A227" i="13"/>
  <c r="B226" i="13"/>
  <c r="A226" i="13"/>
  <c r="B225" i="13"/>
  <c r="A225" i="13"/>
  <c r="B224" i="13"/>
  <c r="A224" i="13"/>
  <c r="B223" i="13"/>
  <c r="A223" i="13"/>
  <c r="B222" i="13"/>
  <c r="A222" i="13"/>
  <c r="B221" i="13"/>
  <c r="A221" i="13"/>
  <c r="B220" i="13"/>
  <c r="A220" i="13"/>
  <c r="B219" i="13"/>
  <c r="A219" i="13"/>
  <c r="B218" i="13"/>
  <c r="A218" i="13"/>
  <c r="B217" i="13"/>
  <c r="A217" i="13"/>
  <c r="B216" i="13"/>
  <c r="A216" i="13"/>
  <c r="B215" i="13"/>
  <c r="A215" i="13"/>
  <c r="B214" i="13"/>
  <c r="A214" i="13"/>
  <c r="B213" i="13"/>
  <c r="A213" i="13"/>
  <c r="B212" i="13"/>
  <c r="A212" i="13"/>
  <c r="B211" i="13"/>
  <c r="A211" i="13"/>
  <c r="B210" i="13"/>
  <c r="A210" i="13"/>
  <c r="B209" i="13"/>
  <c r="A209" i="13"/>
  <c r="B208" i="13"/>
  <c r="A208" i="13"/>
  <c r="B207" i="13"/>
  <c r="A207" i="13"/>
  <c r="B206" i="13"/>
  <c r="A206" i="13"/>
  <c r="B205" i="13"/>
  <c r="A205" i="13"/>
  <c r="B204" i="13"/>
  <c r="A204" i="13"/>
  <c r="B203" i="13"/>
  <c r="A203" i="13"/>
  <c r="B202" i="13"/>
  <c r="A202" i="13"/>
  <c r="B201" i="13"/>
  <c r="A201" i="13"/>
  <c r="B200" i="13"/>
  <c r="A200" i="13"/>
  <c r="B199" i="13"/>
  <c r="A199" i="13"/>
  <c r="B198" i="13"/>
  <c r="A198" i="13"/>
  <c r="B197" i="13"/>
  <c r="A197" i="13"/>
  <c r="B196" i="13"/>
  <c r="A196" i="13"/>
  <c r="B195" i="13"/>
  <c r="A195" i="13"/>
  <c r="B194" i="13"/>
  <c r="A194" i="13"/>
  <c r="B193" i="13"/>
  <c r="A193" i="13"/>
  <c r="B192" i="13"/>
  <c r="A192" i="13"/>
  <c r="B191" i="13"/>
  <c r="A191" i="13"/>
  <c r="B190" i="13"/>
  <c r="A190" i="13"/>
  <c r="B189" i="13"/>
  <c r="A189" i="13"/>
  <c r="B188" i="13"/>
  <c r="A188" i="13"/>
  <c r="B187" i="13"/>
  <c r="A187" i="13"/>
  <c r="B186" i="13"/>
  <c r="A186" i="13"/>
  <c r="B185" i="13"/>
  <c r="A185" i="13"/>
  <c r="B184" i="13"/>
  <c r="A184" i="13"/>
  <c r="B183" i="13"/>
  <c r="A183" i="13"/>
  <c r="B182" i="13"/>
  <c r="A182" i="13"/>
  <c r="B181" i="13"/>
  <c r="A181" i="13"/>
  <c r="B180" i="13"/>
  <c r="A180" i="13"/>
  <c r="B179" i="13"/>
  <c r="A179" i="13"/>
  <c r="B178" i="13"/>
  <c r="A178" i="13"/>
  <c r="B177" i="13"/>
  <c r="A177" i="13"/>
  <c r="B176" i="13"/>
  <c r="A176" i="13"/>
  <c r="B175" i="13"/>
  <c r="A175" i="13"/>
  <c r="B174" i="13"/>
  <c r="A174" i="13"/>
  <c r="B173" i="13"/>
  <c r="A173" i="13"/>
  <c r="B172" i="13"/>
  <c r="A172" i="13"/>
  <c r="B171" i="13"/>
  <c r="A171" i="13"/>
  <c r="B170" i="13"/>
  <c r="A170" i="13"/>
  <c r="B169" i="13"/>
  <c r="A169" i="13"/>
  <c r="B168" i="13"/>
  <c r="A168" i="13"/>
  <c r="B167" i="13"/>
  <c r="A167" i="13"/>
  <c r="B166" i="13"/>
  <c r="A166" i="13"/>
  <c r="B165" i="13"/>
  <c r="A165" i="13"/>
  <c r="B164" i="13"/>
  <c r="A164" i="13"/>
  <c r="B163" i="13"/>
  <c r="A163" i="13"/>
  <c r="B162" i="13"/>
  <c r="A162" i="13"/>
  <c r="B161" i="13"/>
  <c r="A161" i="13"/>
  <c r="B160" i="13"/>
  <c r="A160" i="13"/>
  <c r="B159" i="13"/>
  <c r="A159" i="13"/>
  <c r="B158" i="13"/>
  <c r="A158" i="13"/>
  <c r="B157" i="13"/>
  <c r="A157" i="13"/>
  <c r="B156" i="13"/>
  <c r="A156" i="13"/>
  <c r="B155" i="13"/>
  <c r="A155" i="13"/>
  <c r="B154" i="13"/>
  <c r="A154" i="13"/>
  <c r="B153" i="13"/>
  <c r="A153" i="13"/>
  <c r="B152" i="13"/>
  <c r="A152" i="13"/>
  <c r="B151" i="13"/>
  <c r="A151" i="13"/>
  <c r="B150" i="13"/>
  <c r="A150" i="13"/>
  <c r="B149" i="13"/>
  <c r="A149" i="13"/>
  <c r="B148" i="13"/>
  <c r="A148" i="13"/>
  <c r="B147" i="13"/>
  <c r="A147" i="13"/>
  <c r="B146" i="13"/>
  <c r="A146" i="13"/>
  <c r="B145" i="13"/>
  <c r="A145" i="13"/>
  <c r="B144" i="13"/>
  <c r="A144" i="13"/>
  <c r="B143" i="13"/>
  <c r="A143" i="13"/>
  <c r="B142" i="13"/>
  <c r="A142" i="13"/>
  <c r="B141" i="13"/>
  <c r="A141" i="13"/>
  <c r="B140" i="13"/>
  <c r="A140" i="13"/>
  <c r="B139" i="13"/>
  <c r="A139" i="13"/>
  <c r="B138" i="13"/>
  <c r="A138" i="13"/>
  <c r="B137" i="13"/>
  <c r="A137" i="13"/>
  <c r="B136" i="13"/>
  <c r="A136" i="13"/>
  <c r="B135" i="13"/>
  <c r="A135" i="13"/>
  <c r="B134" i="13"/>
  <c r="A134" i="13"/>
  <c r="B133" i="13"/>
  <c r="A133" i="13"/>
  <c r="B132" i="13"/>
  <c r="A132" i="13"/>
  <c r="B131" i="13"/>
  <c r="A131" i="13"/>
  <c r="B130" i="13"/>
  <c r="A130" i="13"/>
  <c r="B129" i="13"/>
  <c r="A129" i="13"/>
  <c r="B128" i="13"/>
  <c r="A128" i="13"/>
  <c r="B127" i="13"/>
  <c r="A127" i="13"/>
  <c r="B126" i="13"/>
  <c r="A126" i="13"/>
  <c r="B125" i="13"/>
  <c r="A125" i="13"/>
  <c r="B124" i="13"/>
  <c r="A124" i="13"/>
  <c r="B123" i="13"/>
  <c r="A123" i="13"/>
  <c r="B122" i="13"/>
  <c r="A122" i="13"/>
  <c r="B121" i="13"/>
  <c r="A121" i="13"/>
  <c r="B120" i="13"/>
  <c r="A120" i="13"/>
  <c r="B119" i="13"/>
  <c r="A119" i="13"/>
  <c r="B118" i="13"/>
  <c r="A118" i="13"/>
  <c r="B117" i="13"/>
  <c r="A117" i="13"/>
  <c r="B116" i="13"/>
  <c r="A116" i="13"/>
  <c r="B115" i="13"/>
  <c r="A115" i="13"/>
  <c r="B114" i="13"/>
  <c r="A114" i="13"/>
  <c r="B113" i="13"/>
  <c r="A113" i="13"/>
  <c r="B112" i="13"/>
  <c r="A112" i="13"/>
  <c r="B111" i="13"/>
  <c r="A111" i="13"/>
  <c r="B110" i="13"/>
  <c r="A110" i="13"/>
  <c r="B109" i="13"/>
  <c r="A109" i="13"/>
  <c r="B108" i="13"/>
  <c r="A108" i="13"/>
  <c r="B107" i="13"/>
  <c r="A107" i="13"/>
  <c r="B106" i="13"/>
  <c r="A106" i="13"/>
  <c r="B105" i="13"/>
  <c r="A105" i="13"/>
  <c r="B104" i="13"/>
  <c r="A104" i="13"/>
  <c r="B103" i="13"/>
  <c r="A103" i="13"/>
  <c r="B102" i="13"/>
  <c r="A102" i="13"/>
  <c r="B101" i="13"/>
  <c r="A101" i="13"/>
  <c r="B100" i="13"/>
  <c r="A100" i="13"/>
  <c r="B99" i="13"/>
  <c r="A99" i="13"/>
  <c r="B98" i="13"/>
  <c r="A98" i="13"/>
  <c r="B97" i="13"/>
  <c r="A97" i="13"/>
  <c r="B96" i="13"/>
  <c r="A96" i="13"/>
  <c r="B95" i="13"/>
  <c r="A95" i="13"/>
  <c r="B94" i="13"/>
  <c r="A94" i="13"/>
  <c r="B92" i="13"/>
  <c r="A92" i="13"/>
  <c r="B91" i="13"/>
  <c r="A91" i="13"/>
  <c r="B90" i="13"/>
  <c r="A90" i="13"/>
  <c r="B89" i="13"/>
  <c r="A89" i="13"/>
  <c r="B88" i="13"/>
  <c r="A88" i="13"/>
  <c r="B87" i="13"/>
  <c r="A87" i="13"/>
  <c r="B86" i="13"/>
  <c r="A86" i="13"/>
  <c r="B85" i="13"/>
  <c r="A85" i="13"/>
  <c r="B84" i="13"/>
  <c r="A84" i="13"/>
  <c r="B83" i="13"/>
  <c r="A83" i="13"/>
  <c r="B82" i="13"/>
  <c r="A82" i="13"/>
  <c r="B81" i="13"/>
  <c r="A81" i="13"/>
  <c r="B80" i="13"/>
  <c r="A80" i="13"/>
  <c r="B79" i="13"/>
  <c r="A79" i="13"/>
  <c r="B78" i="13"/>
  <c r="A78" i="13"/>
  <c r="B77" i="13"/>
  <c r="A77" i="13"/>
  <c r="B76" i="13"/>
  <c r="A76" i="13"/>
  <c r="B75" i="13"/>
  <c r="A75" i="13"/>
  <c r="B74" i="13"/>
  <c r="A74" i="13"/>
  <c r="B73" i="13"/>
  <c r="A73" i="13"/>
  <c r="B72" i="13"/>
  <c r="A72" i="13"/>
  <c r="B71" i="13"/>
  <c r="A71" i="13"/>
  <c r="B70" i="13"/>
  <c r="A70" i="13"/>
  <c r="B69" i="13"/>
  <c r="A69" i="13"/>
  <c r="B68" i="13"/>
  <c r="A68" i="13"/>
  <c r="B67" i="13"/>
  <c r="A67" i="13"/>
  <c r="B66" i="13"/>
  <c r="A66" i="13"/>
  <c r="B65" i="13"/>
  <c r="A65" i="13"/>
  <c r="B64" i="13"/>
  <c r="A64" i="13"/>
  <c r="B63" i="13"/>
  <c r="A63" i="13"/>
  <c r="B62" i="13"/>
  <c r="A62" i="13"/>
  <c r="B61" i="13"/>
  <c r="A61" i="13"/>
  <c r="B60" i="13"/>
  <c r="A60" i="13"/>
  <c r="B59" i="13"/>
  <c r="A59" i="13"/>
  <c r="B58" i="13"/>
  <c r="A58" i="13"/>
  <c r="B57" i="13"/>
  <c r="A57" i="13"/>
  <c r="B56" i="13"/>
  <c r="A56" i="13"/>
  <c r="B55" i="13"/>
  <c r="A55" i="13"/>
  <c r="B54" i="13"/>
  <c r="A54" i="13"/>
  <c r="B53" i="13"/>
  <c r="A53" i="13"/>
  <c r="B52" i="13"/>
  <c r="A52" i="13"/>
  <c r="B51" i="13"/>
  <c r="A51" i="13"/>
  <c r="B50" i="13"/>
  <c r="A50" i="13"/>
  <c r="B49" i="13"/>
  <c r="A49" i="13"/>
  <c r="B48" i="13"/>
  <c r="A48" i="13"/>
  <c r="B47" i="13"/>
  <c r="A47" i="13"/>
  <c r="B46" i="13"/>
  <c r="A46" i="13"/>
  <c r="B45" i="13"/>
  <c r="A45" i="13"/>
  <c r="B44" i="13"/>
  <c r="A44" i="13"/>
  <c r="B43"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B5" i="13"/>
  <c r="A5" i="13"/>
  <c r="B4" i="13"/>
  <c r="A4" i="13"/>
  <c r="I3" i="13"/>
  <c r="I4" i="13" s="1"/>
  <c r="I5" i="13" s="1"/>
  <c r="I6" i="13" s="1"/>
  <c r="I7" i="13" s="1"/>
  <c r="I8" i="13" s="1"/>
  <c r="I9" i="13" s="1"/>
  <c r="I10" i="13" s="1"/>
  <c r="I11" i="13" s="1"/>
  <c r="I12" i="13" s="1"/>
  <c r="I13" i="13" s="1"/>
  <c r="I14" i="13" s="1"/>
  <c r="I15" i="13" s="1"/>
  <c r="I16" i="13" s="1"/>
  <c r="I17" i="13" s="1"/>
  <c r="I18" i="13" s="1"/>
  <c r="I19" i="13" s="1"/>
  <c r="I20" i="13" s="1"/>
  <c r="I21" i="13" s="1"/>
  <c r="I22" i="13" s="1"/>
  <c r="I23" i="13" s="1"/>
  <c r="I24" i="13" s="1"/>
  <c r="I25" i="13" s="1"/>
  <c r="I26" i="13" s="1"/>
  <c r="I27" i="13" s="1"/>
  <c r="I28" i="13" s="1"/>
  <c r="I29" i="13" s="1"/>
  <c r="I30" i="13" s="1"/>
  <c r="I31" i="13" s="1"/>
  <c r="I32" i="13" s="1"/>
  <c r="I33" i="13" s="1"/>
  <c r="I34" i="13" s="1"/>
  <c r="I35" i="13" s="1"/>
  <c r="I36" i="13" s="1"/>
  <c r="I37" i="13" s="1"/>
  <c r="I38" i="13" s="1"/>
  <c r="I39" i="13" s="1"/>
  <c r="I40" i="13" s="1"/>
  <c r="I41" i="13" s="1"/>
  <c r="I42" i="13" s="1"/>
  <c r="I43" i="13" s="1"/>
  <c r="I44" i="13" s="1"/>
  <c r="I45" i="13" s="1"/>
  <c r="I46" i="13" s="1"/>
  <c r="I47" i="13" s="1"/>
  <c r="I48" i="13" s="1"/>
  <c r="I49" i="13" s="1"/>
  <c r="I50" i="13" s="1"/>
  <c r="I51" i="13" s="1"/>
  <c r="I52" i="13" s="1"/>
  <c r="I53" i="13" s="1"/>
  <c r="I54" i="13" s="1"/>
  <c r="I55" i="13" s="1"/>
  <c r="I56" i="13" s="1"/>
  <c r="B3" i="13"/>
  <c r="A3" i="13"/>
  <c r="B2" i="13"/>
  <c r="A2" i="13"/>
  <c r="D147" i="16"/>
  <c r="B147" i="16"/>
  <c r="A147" i="16"/>
  <c r="D146" i="16"/>
  <c r="B146" i="16"/>
  <c r="A146" i="16"/>
  <c r="D145" i="16"/>
  <c r="B145" i="16"/>
  <c r="A145" i="16"/>
  <c r="D144" i="16"/>
  <c r="B144" i="16"/>
  <c r="A144" i="16"/>
  <c r="D143" i="16"/>
  <c r="B143" i="16"/>
  <c r="A143" i="16"/>
  <c r="D142" i="16"/>
  <c r="B142" i="16"/>
  <c r="A142" i="16"/>
  <c r="D141" i="16"/>
  <c r="B141" i="16"/>
  <c r="A141" i="16"/>
  <c r="D140" i="16"/>
  <c r="B140" i="16"/>
  <c r="A140" i="16"/>
  <c r="D139" i="16"/>
  <c r="B139" i="16"/>
  <c r="A139" i="16"/>
  <c r="D138" i="16"/>
  <c r="B138" i="16"/>
  <c r="A138" i="16"/>
  <c r="D137" i="16"/>
  <c r="B137" i="16"/>
  <c r="A137" i="16"/>
  <c r="D136" i="16"/>
  <c r="B136" i="16"/>
  <c r="A136" i="16"/>
  <c r="D135" i="16"/>
  <c r="B135" i="16"/>
  <c r="A135" i="16"/>
  <c r="D134" i="16"/>
  <c r="B134" i="16"/>
  <c r="A134" i="16"/>
  <c r="D133" i="16"/>
  <c r="B133" i="16"/>
  <c r="A133" i="16"/>
  <c r="D132" i="16"/>
  <c r="B132" i="16"/>
  <c r="A132" i="16"/>
  <c r="D131" i="16"/>
  <c r="B131" i="16"/>
  <c r="A131" i="16"/>
  <c r="D130" i="16"/>
  <c r="B130" i="16"/>
  <c r="A130" i="16"/>
  <c r="D129" i="16"/>
  <c r="B129" i="16"/>
  <c r="A129" i="16"/>
  <c r="D128" i="16"/>
  <c r="B128" i="16"/>
  <c r="A128" i="16"/>
  <c r="B127" i="16"/>
  <c r="A127" i="16"/>
  <c r="B126" i="16"/>
  <c r="A126" i="16"/>
  <c r="B125" i="16"/>
  <c r="A125" i="16"/>
  <c r="B124" i="16"/>
  <c r="A124" i="16"/>
  <c r="B123" i="16"/>
  <c r="A123" i="16"/>
  <c r="B122" i="16"/>
  <c r="A122" i="16"/>
  <c r="B121" i="16"/>
  <c r="A121" i="16"/>
  <c r="B120" i="16"/>
  <c r="A120" i="16"/>
  <c r="B119" i="16"/>
  <c r="A119" i="16"/>
  <c r="B118" i="16"/>
  <c r="A118" i="16"/>
  <c r="B117" i="16"/>
  <c r="A117" i="16"/>
  <c r="B116" i="16"/>
  <c r="A116" i="16"/>
  <c r="B115" i="16"/>
  <c r="A115" i="16"/>
  <c r="B114" i="16"/>
  <c r="A114" i="16"/>
  <c r="B113" i="16"/>
  <c r="A113" i="16"/>
  <c r="B112" i="16"/>
  <c r="A112" i="16"/>
  <c r="B111" i="16"/>
  <c r="A111" i="16"/>
  <c r="B110" i="16"/>
  <c r="A110" i="16"/>
  <c r="B109" i="16"/>
  <c r="A109" i="16"/>
  <c r="B108" i="16"/>
  <c r="A108" i="16"/>
  <c r="B107" i="16"/>
  <c r="A107" i="16"/>
  <c r="B106" i="16"/>
  <c r="A106" i="16"/>
  <c r="B105" i="16"/>
  <c r="A105" i="16"/>
  <c r="B104" i="16"/>
  <c r="A104" i="16"/>
  <c r="B103" i="16"/>
  <c r="A103" i="16"/>
  <c r="B102" i="16"/>
  <c r="A102" i="16"/>
  <c r="B101" i="16"/>
  <c r="A101" i="16"/>
  <c r="B100" i="16"/>
  <c r="A100" i="16"/>
  <c r="B99" i="16"/>
  <c r="A99" i="16"/>
  <c r="B98" i="16"/>
  <c r="A98" i="16"/>
  <c r="B97" i="16"/>
  <c r="A97" i="16"/>
  <c r="B96" i="16"/>
  <c r="A96" i="16"/>
  <c r="B95" i="16"/>
  <c r="A95" i="16"/>
  <c r="B94" i="16"/>
  <c r="A94" i="16"/>
  <c r="B93" i="16"/>
  <c r="A93" i="16"/>
  <c r="B92" i="16"/>
  <c r="A92" i="16"/>
  <c r="B91" i="16"/>
  <c r="A91" i="16"/>
  <c r="B90" i="16"/>
  <c r="A90" i="16"/>
  <c r="B89" i="16"/>
  <c r="A89" i="16"/>
  <c r="B88" i="16"/>
  <c r="A88" i="16"/>
  <c r="B87" i="16"/>
  <c r="A87" i="16"/>
  <c r="B86" i="16"/>
  <c r="A86" i="16"/>
  <c r="B85" i="16"/>
  <c r="A85" i="16"/>
  <c r="B84" i="16"/>
  <c r="A84" i="16"/>
  <c r="B83" i="16"/>
  <c r="A83" i="16"/>
  <c r="B82" i="16"/>
  <c r="A82" i="16"/>
  <c r="B81" i="16"/>
  <c r="A81" i="16"/>
  <c r="B80" i="16"/>
  <c r="A80" i="16"/>
  <c r="B79" i="16"/>
  <c r="A79" i="16"/>
  <c r="B78" i="16"/>
  <c r="A78" i="16"/>
  <c r="B77" i="16"/>
  <c r="A77" i="16"/>
  <c r="B76" i="16"/>
  <c r="A76" i="16"/>
  <c r="B75" i="16"/>
  <c r="A75" i="16"/>
  <c r="B74" i="16"/>
  <c r="A74" i="16"/>
  <c r="B73" i="16"/>
  <c r="A73" i="16"/>
  <c r="B72" i="16"/>
  <c r="A72" i="16"/>
  <c r="B71" i="16"/>
  <c r="A71" i="16"/>
  <c r="B70" i="16"/>
  <c r="A70" i="16"/>
  <c r="B69" i="16"/>
  <c r="A69" i="16"/>
  <c r="B68" i="16"/>
  <c r="A68" i="16"/>
  <c r="B67" i="16"/>
  <c r="A67" i="16"/>
  <c r="B66" i="16"/>
  <c r="A66" i="16"/>
  <c r="B65" i="16"/>
  <c r="A65" i="16"/>
  <c r="B64" i="16"/>
  <c r="A64" i="16"/>
  <c r="B63" i="16"/>
  <c r="A63" i="16"/>
  <c r="B62" i="16"/>
  <c r="A62" i="16"/>
  <c r="B61" i="16"/>
  <c r="A61" i="16"/>
  <c r="B60" i="16"/>
  <c r="A60" i="16"/>
  <c r="B59" i="16"/>
  <c r="A59" i="16"/>
  <c r="B58" i="16"/>
  <c r="A58" i="16"/>
  <c r="B57" i="16"/>
  <c r="A57" i="16"/>
  <c r="B56" i="16"/>
  <c r="A56" i="16"/>
  <c r="B55" i="16"/>
  <c r="A55" i="16"/>
  <c r="B54" i="16"/>
  <c r="A54" i="16"/>
  <c r="B53" i="16"/>
  <c r="A53" i="16"/>
  <c r="B52" i="16"/>
  <c r="A52" i="16"/>
  <c r="B51" i="16"/>
  <c r="A51" i="16"/>
  <c r="B50" i="16"/>
  <c r="A50" i="16"/>
  <c r="B49" i="16"/>
  <c r="A49" i="16"/>
  <c r="B48" i="16"/>
  <c r="A48" i="16"/>
  <c r="B47" i="16"/>
  <c r="A47" i="16"/>
  <c r="B46" i="16"/>
  <c r="A46" i="16"/>
  <c r="B45" i="16"/>
  <c r="A45" i="16"/>
  <c r="B44" i="16"/>
  <c r="A44" i="16"/>
  <c r="B43" i="16"/>
  <c r="A43" i="16"/>
  <c r="B42" i="16"/>
  <c r="A42" i="16"/>
  <c r="B41" i="16"/>
  <c r="A41" i="16"/>
  <c r="B40" i="16"/>
  <c r="A40" i="16"/>
  <c r="B39" i="16"/>
  <c r="A39" i="16"/>
  <c r="B38" i="16"/>
  <c r="A38" i="16"/>
  <c r="B37" i="16"/>
  <c r="A37" i="16"/>
  <c r="B36" i="16"/>
  <c r="A36" i="16"/>
  <c r="B35" i="16"/>
  <c r="A35" i="16"/>
  <c r="B34" i="16"/>
  <c r="A34" i="16"/>
  <c r="B33" i="16"/>
  <c r="A33" i="16"/>
  <c r="B32" i="16"/>
  <c r="A32" i="16"/>
  <c r="B31" i="16"/>
  <c r="A31" i="16"/>
  <c r="B30" i="16"/>
  <c r="A30" i="16"/>
  <c r="B29" i="16"/>
  <c r="A29" i="16"/>
  <c r="B28" i="16"/>
  <c r="A28" i="16"/>
  <c r="B27" i="16"/>
  <c r="A27" i="16"/>
  <c r="B26" i="16"/>
  <c r="A26" i="16"/>
  <c r="B25" i="16"/>
  <c r="A25" i="16"/>
  <c r="B24" i="16"/>
  <c r="A24" i="16"/>
  <c r="B23" i="16"/>
  <c r="A23" i="16"/>
  <c r="B22" i="16"/>
  <c r="A22" i="16"/>
  <c r="B21" i="16"/>
  <c r="A21" i="16"/>
  <c r="B20" i="16"/>
  <c r="A20" i="16"/>
  <c r="B19" i="16"/>
  <c r="A19" i="16"/>
  <c r="B18" i="16"/>
  <c r="A18" i="16"/>
  <c r="B17" i="16"/>
  <c r="A17" i="16"/>
  <c r="B16" i="16"/>
  <c r="A16" i="16"/>
  <c r="B15" i="16"/>
  <c r="A15" i="16"/>
  <c r="B14" i="16"/>
  <c r="A14" i="16"/>
  <c r="B13" i="16"/>
  <c r="A13" i="16"/>
  <c r="B12" i="16"/>
  <c r="A12" i="16"/>
  <c r="B11" i="16"/>
  <c r="A11" i="16"/>
  <c r="B10" i="16"/>
  <c r="A10" i="16"/>
  <c r="B9" i="16"/>
  <c r="A9" i="16"/>
  <c r="B8" i="16"/>
  <c r="A8" i="16"/>
  <c r="B7" i="16"/>
  <c r="A7" i="16"/>
  <c r="B6" i="16"/>
  <c r="A6" i="16"/>
  <c r="B5" i="16"/>
  <c r="A5" i="16"/>
  <c r="B4" i="16"/>
  <c r="A4" i="16"/>
  <c r="B3" i="16"/>
  <c r="A3" i="16"/>
  <c r="B2" i="16"/>
  <c r="A2" i="16"/>
  <c r="E3" i="15" l="1"/>
  <c r="E19" i="15"/>
  <c r="P4" i="15"/>
  <c r="P20" i="15"/>
  <c r="O5" i="15"/>
  <c r="O21" i="15"/>
  <c r="N6" i="15"/>
  <c r="N22" i="15"/>
  <c r="M7" i="15"/>
  <c r="M23" i="15"/>
  <c r="L8" i="15"/>
  <c r="L24" i="15"/>
  <c r="K9" i="15"/>
  <c r="K25" i="15"/>
  <c r="J10" i="15"/>
  <c r="J26" i="15"/>
  <c r="I11" i="15"/>
  <c r="I27" i="15"/>
  <c r="H12" i="15"/>
  <c r="H28" i="15"/>
  <c r="E4" i="15"/>
  <c r="E20" i="15"/>
  <c r="P5" i="15"/>
  <c r="P21" i="15"/>
  <c r="O6" i="15"/>
  <c r="O22" i="15"/>
  <c r="N7" i="15"/>
  <c r="N23" i="15"/>
  <c r="M8" i="15"/>
  <c r="M24" i="15"/>
  <c r="L9" i="15"/>
  <c r="L25" i="15"/>
  <c r="K10" i="15"/>
  <c r="K26" i="15"/>
  <c r="J11" i="15"/>
  <c r="J27" i="15"/>
  <c r="I12" i="15"/>
  <c r="I28" i="15"/>
  <c r="H13" i="15"/>
  <c r="H29" i="15"/>
  <c r="E5" i="15"/>
  <c r="E21" i="15"/>
  <c r="P6" i="15"/>
  <c r="P22" i="15"/>
  <c r="O7" i="15"/>
  <c r="O23" i="15"/>
  <c r="N8" i="15"/>
  <c r="N24" i="15"/>
  <c r="M9" i="15"/>
  <c r="M25" i="15"/>
  <c r="L10" i="15"/>
  <c r="L26" i="15"/>
  <c r="K11" i="15"/>
  <c r="K27" i="15"/>
  <c r="J12" i="15"/>
  <c r="J28" i="15"/>
  <c r="I13" i="15"/>
  <c r="I29" i="15"/>
  <c r="H14" i="15"/>
  <c r="H30" i="15"/>
  <c r="K12" i="15"/>
  <c r="J29" i="15"/>
  <c r="I30" i="15"/>
  <c r="H31" i="15"/>
  <c r="E6" i="15"/>
  <c r="E22" i="15"/>
  <c r="P7" i="15"/>
  <c r="P23" i="15"/>
  <c r="O8" i="15"/>
  <c r="O24" i="15"/>
  <c r="N9" i="15"/>
  <c r="N25" i="15"/>
  <c r="M10" i="15"/>
  <c r="M26" i="15"/>
  <c r="L11" i="15"/>
  <c r="L27" i="15"/>
  <c r="K28" i="15"/>
  <c r="J13" i="15"/>
  <c r="I14" i="15"/>
  <c r="H15" i="15"/>
  <c r="E7" i="15"/>
  <c r="E23" i="15"/>
  <c r="P8" i="15"/>
  <c r="P24" i="15"/>
  <c r="O9" i="15"/>
  <c r="O25" i="15"/>
  <c r="N10" i="15"/>
  <c r="N26" i="15"/>
  <c r="M11" i="15"/>
  <c r="M27" i="15"/>
  <c r="L12" i="15"/>
  <c r="L28" i="15"/>
  <c r="K13" i="15"/>
  <c r="K29" i="15"/>
  <c r="J14" i="15"/>
  <c r="J30" i="15"/>
  <c r="I15" i="15"/>
  <c r="I31" i="15"/>
  <c r="H16" i="15"/>
  <c r="H32" i="15"/>
  <c r="J31" i="15"/>
  <c r="H19" i="15"/>
  <c r="E8" i="15"/>
  <c r="E24" i="15"/>
  <c r="P9" i="15"/>
  <c r="P25" i="15"/>
  <c r="O10" i="15"/>
  <c r="O26" i="15"/>
  <c r="N11" i="15"/>
  <c r="N27" i="15"/>
  <c r="M12" i="15"/>
  <c r="M28" i="15"/>
  <c r="L13" i="15"/>
  <c r="L29" i="15"/>
  <c r="K14" i="15"/>
  <c r="K30" i="15"/>
  <c r="J15" i="15"/>
  <c r="I16" i="15"/>
  <c r="I32" i="15"/>
  <c r="H17" i="15"/>
  <c r="E9" i="15"/>
  <c r="E25" i="15"/>
  <c r="P10" i="15"/>
  <c r="P26" i="15"/>
  <c r="O11" i="15"/>
  <c r="O27" i="15"/>
  <c r="N12" i="15"/>
  <c r="N28" i="15"/>
  <c r="M13" i="15"/>
  <c r="M29" i="15"/>
  <c r="L14" i="15"/>
  <c r="L30" i="15"/>
  <c r="K15" i="15"/>
  <c r="K31" i="15"/>
  <c r="J16" i="15"/>
  <c r="J32" i="15"/>
  <c r="I17" i="15"/>
  <c r="H18" i="15"/>
  <c r="K16" i="15"/>
  <c r="H3" i="15"/>
  <c r="H11" i="15"/>
  <c r="E10" i="15"/>
  <c r="E26" i="15"/>
  <c r="P11" i="15"/>
  <c r="P27" i="15"/>
  <c r="O12" i="15"/>
  <c r="O28" i="15"/>
  <c r="N13" i="15"/>
  <c r="N29" i="15"/>
  <c r="M14" i="15"/>
  <c r="M30" i="15"/>
  <c r="L15" i="15"/>
  <c r="L31" i="15"/>
  <c r="K32" i="15"/>
  <c r="J17" i="15"/>
  <c r="I18" i="15"/>
  <c r="E11" i="15"/>
  <c r="E27" i="15"/>
  <c r="P12" i="15"/>
  <c r="P28" i="15"/>
  <c r="O13" i="15"/>
  <c r="O29" i="15"/>
  <c r="N14" i="15"/>
  <c r="N30" i="15"/>
  <c r="M15" i="15"/>
  <c r="M31" i="15"/>
  <c r="L16" i="15"/>
  <c r="L32" i="15"/>
  <c r="K17" i="15"/>
  <c r="J18" i="15"/>
  <c r="I3" i="15"/>
  <c r="I19" i="15"/>
  <c r="H4" i="15"/>
  <c r="H20" i="15"/>
  <c r="E12" i="15"/>
  <c r="E28" i="15"/>
  <c r="P13" i="15"/>
  <c r="P29" i="15"/>
  <c r="O14" i="15"/>
  <c r="O30" i="15"/>
  <c r="N15" i="15"/>
  <c r="N31" i="15"/>
  <c r="M16" i="15"/>
  <c r="M32" i="15"/>
  <c r="L17" i="15"/>
  <c r="K18" i="15"/>
  <c r="J3" i="15"/>
  <c r="J19" i="15"/>
  <c r="I4" i="15"/>
  <c r="I20" i="15"/>
  <c r="H5" i="15"/>
  <c r="H21" i="15"/>
  <c r="E13" i="15"/>
  <c r="E29" i="15"/>
  <c r="P14" i="15"/>
  <c r="P30" i="15"/>
  <c r="O15" i="15"/>
  <c r="O31" i="15"/>
  <c r="N16" i="15"/>
  <c r="N32" i="15"/>
  <c r="M17" i="15"/>
  <c r="L18" i="15"/>
  <c r="K3" i="15"/>
  <c r="K19" i="15"/>
  <c r="J4" i="15"/>
  <c r="J20" i="15"/>
  <c r="I5" i="15"/>
  <c r="I21" i="15"/>
  <c r="H6" i="15"/>
  <c r="H22" i="15"/>
  <c r="E14" i="15"/>
  <c r="E30" i="15"/>
  <c r="P15" i="15"/>
  <c r="P31" i="15"/>
  <c r="O16" i="15"/>
  <c r="O32" i="15"/>
  <c r="N17" i="15"/>
  <c r="M18" i="15"/>
  <c r="L3" i="15"/>
  <c r="L19" i="15"/>
  <c r="K4" i="15"/>
  <c r="K20" i="15"/>
  <c r="J5" i="15"/>
  <c r="J21" i="15"/>
  <c r="I6" i="15"/>
  <c r="I22" i="15"/>
  <c r="H7" i="15"/>
  <c r="H23" i="15"/>
  <c r="J22" i="15"/>
  <c r="H8" i="15"/>
  <c r="P19" i="15"/>
  <c r="N5" i="15"/>
  <c r="M22" i="15"/>
  <c r="K8" i="15"/>
  <c r="I10" i="15"/>
  <c r="E15" i="15"/>
  <c r="E31" i="15"/>
  <c r="P16" i="15"/>
  <c r="P32" i="15"/>
  <c r="O17" i="15"/>
  <c r="N18" i="15"/>
  <c r="M3" i="15"/>
  <c r="M19" i="15"/>
  <c r="L4" i="15"/>
  <c r="L20" i="15"/>
  <c r="K5" i="15"/>
  <c r="K21" i="15"/>
  <c r="J6" i="15"/>
  <c r="I7" i="15"/>
  <c r="I23" i="15"/>
  <c r="H24" i="15"/>
  <c r="O4" i="15"/>
  <c r="J9" i="15"/>
  <c r="E16" i="15"/>
  <c r="E32" i="15"/>
  <c r="P17" i="15"/>
  <c r="O18" i="15"/>
  <c r="N3" i="15"/>
  <c r="N19" i="15"/>
  <c r="M4" i="15"/>
  <c r="M20" i="15"/>
  <c r="L5" i="15"/>
  <c r="L21" i="15"/>
  <c r="K6" i="15"/>
  <c r="K22" i="15"/>
  <c r="J7" i="15"/>
  <c r="J23" i="15"/>
  <c r="I8" i="15"/>
  <c r="I24" i="15"/>
  <c r="H9" i="15"/>
  <c r="H25" i="15"/>
  <c r="K7" i="15"/>
  <c r="I9" i="15"/>
  <c r="H26" i="15"/>
  <c r="E18" i="15"/>
  <c r="N21" i="15"/>
  <c r="L7" i="15"/>
  <c r="K24" i="15"/>
  <c r="I26" i="15"/>
  <c r="E17" i="15"/>
  <c r="P18" i="15"/>
  <c r="O3" i="15"/>
  <c r="O19" i="15"/>
  <c r="N4" i="15"/>
  <c r="N20" i="15"/>
  <c r="M5" i="15"/>
  <c r="M21" i="15"/>
  <c r="L6" i="15"/>
  <c r="L22" i="15"/>
  <c r="K23" i="15"/>
  <c r="J8" i="15"/>
  <c r="J24" i="15"/>
  <c r="I25" i="15"/>
  <c r="H10" i="15"/>
  <c r="P3" i="15"/>
  <c r="O20" i="15"/>
  <c r="M6" i="15"/>
  <c r="L23" i="15"/>
  <c r="J25" i="15"/>
  <c r="H27" i="15"/>
  <c r="I57" i="13"/>
  <c r="Q11" i="15"/>
  <c r="Q27" i="15"/>
  <c r="Q12" i="15"/>
  <c r="Q28" i="15"/>
  <c r="Q13" i="15"/>
  <c r="Q29" i="15"/>
  <c r="Q14" i="15"/>
  <c r="Q30" i="15"/>
  <c r="Q15" i="15"/>
  <c r="Q31" i="15"/>
  <c r="Q16" i="15"/>
  <c r="Q32" i="15"/>
  <c r="Q17" i="15"/>
  <c r="Q18" i="15"/>
  <c r="Q26" i="15"/>
  <c r="Q3" i="15"/>
  <c r="Q19" i="15"/>
  <c r="Q4" i="15"/>
  <c r="Q20" i="15"/>
  <c r="Q5" i="15"/>
  <c r="Q21" i="15"/>
  <c r="Q6" i="15"/>
  <c r="Q22" i="15"/>
  <c r="Q7" i="15"/>
  <c r="Q23" i="15"/>
  <c r="Q8" i="15"/>
  <c r="Q24" i="15"/>
  <c r="Q9" i="15"/>
  <c r="Q25" i="15"/>
  <c r="Q10" i="15"/>
  <c r="O55" i="17"/>
  <c r="AE55" i="17"/>
  <c r="AU55" i="17"/>
  <c r="D56" i="17"/>
  <c r="T56" i="17"/>
  <c r="AJ56" i="17"/>
  <c r="AZ56" i="17"/>
  <c r="I57" i="17"/>
  <c r="Y57" i="17"/>
  <c r="AO57" i="17"/>
  <c r="BE57" i="17"/>
  <c r="N58" i="17"/>
  <c r="AD58" i="17"/>
  <c r="AT58" i="17"/>
  <c r="AT67" i="17" s="1"/>
  <c r="C59" i="17"/>
  <c r="S59" i="17"/>
  <c r="AI59" i="17"/>
  <c r="AY59" i="17"/>
  <c r="P55" i="17"/>
  <c r="AF55" i="17"/>
  <c r="AV55" i="17"/>
  <c r="E56" i="17"/>
  <c r="U56" i="17"/>
  <c r="AK56" i="17"/>
  <c r="BA56" i="17"/>
  <c r="J57" i="17"/>
  <c r="Z57" i="17"/>
  <c r="AP57" i="17"/>
  <c r="BF57" i="17"/>
  <c r="O58" i="17"/>
  <c r="AE58" i="17"/>
  <c r="AU58" i="17"/>
  <c r="D59" i="17"/>
  <c r="T59" i="17"/>
  <c r="AJ59" i="17"/>
  <c r="AZ59" i="17"/>
  <c r="Q55" i="17"/>
  <c r="AG55" i="17"/>
  <c r="AW55" i="17"/>
  <c r="F56" i="17"/>
  <c r="V56" i="17"/>
  <c r="AL56" i="17"/>
  <c r="BB56" i="17"/>
  <c r="K57" i="17"/>
  <c r="AA57" i="17"/>
  <c r="AQ57" i="17"/>
  <c r="BG57" i="17"/>
  <c r="P58" i="17"/>
  <c r="AF58" i="17"/>
  <c r="AV58" i="17"/>
  <c r="E59" i="17"/>
  <c r="U59" i="17"/>
  <c r="AK59" i="17"/>
  <c r="BA59" i="17"/>
  <c r="R55" i="17"/>
  <c r="AH55" i="17"/>
  <c r="AX55" i="17"/>
  <c r="G56" i="17"/>
  <c r="W56" i="17"/>
  <c r="AM56" i="17"/>
  <c r="BC56" i="17"/>
  <c r="L57" i="17"/>
  <c r="AB57" i="17"/>
  <c r="AR57" i="17"/>
  <c r="BH57" i="17"/>
  <c r="Q58" i="17"/>
  <c r="AG58" i="17"/>
  <c r="AW58" i="17"/>
  <c r="F59" i="17"/>
  <c r="V59" i="17"/>
  <c r="AL59" i="17"/>
  <c r="BB59" i="17"/>
  <c r="C55" i="17"/>
  <c r="S55" i="17"/>
  <c r="AI55" i="17"/>
  <c r="AY55" i="17"/>
  <c r="H56" i="17"/>
  <c r="X56" i="17"/>
  <c r="AN56" i="17"/>
  <c r="BD56" i="17"/>
  <c r="M57" i="17"/>
  <c r="AC57" i="17"/>
  <c r="AS57" i="17"/>
  <c r="BI57" i="17"/>
  <c r="R58" i="17"/>
  <c r="AH58" i="17"/>
  <c r="AX58" i="17"/>
  <c r="G59" i="17"/>
  <c r="W59" i="17"/>
  <c r="AM59" i="17"/>
  <c r="BC59" i="17"/>
  <c r="D55" i="17"/>
  <c r="T55" i="17"/>
  <c r="AJ55" i="17"/>
  <c r="AZ55" i="17"/>
  <c r="I56" i="17"/>
  <c r="Y56" i="17"/>
  <c r="AO56" i="17"/>
  <c r="BE56" i="17"/>
  <c r="N57" i="17"/>
  <c r="AD57" i="17"/>
  <c r="AT57" i="17"/>
  <c r="C58" i="17"/>
  <c r="S58" i="17"/>
  <c r="AI58" i="17"/>
  <c r="AY58" i="17"/>
  <c r="H59" i="17"/>
  <c r="X59" i="17"/>
  <c r="AN59" i="17"/>
  <c r="BD59" i="17"/>
  <c r="E55" i="17"/>
  <c r="U55" i="17"/>
  <c r="AK55" i="17"/>
  <c r="BA55" i="17"/>
  <c r="J56" i="17"/>
  <c r="Z56" i="17"/>
  <c r="AP56" i="17"/>
  <c r="BF56" i="17"/>
  <c r="O57" i="17"/>
  <c r="AE57" i="17"/>
  <c r="AU57" i="17"/>
  <c r="D58" i="17"/>
  <c r="T58" i="17"/>
  <c r="AJ58" i="17"/>
  <c r="AZ58" i="17"/>
  <c r="I59" i="17"/>
  <c r="Y59" i="17"/>
  <c r="AO59" i="17"/>
  <c r="BE59" i="17"/>
  <c r="F55" i="17"/>
  <c r="V55" i="17"/>
  <c r="AL55" i="17"/>
  <c r="BB55" i="17"/>
  <c r="K56" i="17"/>
  <c r="AA56" i="17"/>
  <c r="AQ56" i="17"/>
  <c r="BG56" i="17"/>
  <c r="P57" i="17"/>
  <c r="AF57" i="17"/>
  <c r="AV57" i="17"/>
  <c r="E58" i="17"/>
  <c r="U58" i="17"/>
  <c r="AK58" i="17"/>
  <c r="BA58" i="17"/>
  <c r="J59" i="17"/>
  <c r="Z59" i="17"/>
  <c r="AP59" i="17"/>
  <c r="BF59" i="17"/>
  <c r="G55" i="17"/>
  <c r="W55" i="17"/>
  <c r="AM55" i="17"/>
  <c r="BC55" i="17"/>
  <c r="L56" i="17"/>
  <c r="AB56" i="17"/>
  <c r="AR56" i="17"/>
  <c r="BH56" i="17"/>
  <c r="Q57" i="17"/>
  <c r="AG57" i="17"/>
  <c r="AW57" i="17"/>
  <c r="F58" i="17"/>
  <c r="V58" i="17"/>
  <c r="AL58" i="17"/>
  <c r="BB58" i="17"/>
  <c r="K59" i="17"/>
  <c r="AA59" i="17"/>
  <c r="AQ59" i="17"/>
  <c r="BG59" i="17"/>
  <c r="H55" i="17"/>
  <c r="X55" i="17"/>
  <c r="AN55" i="17"/>
  <c r="BD55" i="17"/>
  <c r="M56" i="17"/>
  <c r="AC56" i="17"/>
  <c r="AS56" i="17"/>
  <c r="BI56" i="17"/>
  <c r="R57" i="17"/>
  <c r="AH57" i="17"/>
  <c r="AX57" i="17"/>
  <c r="G58" i="17"/>
  <c r="W58" i="17"/>
  <c r="AM58" i="17"/>
  <c r="BC58" i="17"/>
  <c r="L59" i="17"/>
  <c r="AB59" i="17"/>
  <c r="AR59" i="17"/>
  <c r="BH59" i="17"/>
  <c r="I55" i="17"/>
  <c r="Y55" i="17"/>
  <c r="AO55" i="17"/>
  <c r="BE55" i="17"/>
  <c r="N56" i="17"/>
  <c r="AD56" i="17"/>
  <c r="AT56" i="17"/>
  <c r="C57" i="17"/>
  <c r="S57" i="17"/>
  <c r="AI57" i="17"/>
  <c r="AY57" i="17"/>
  <c r="H58" i="17"/>
  <c r="X58" i="17"/>
  <c r="AN58" i="17"/>
  <c r="BD58" i="17"/>
  <c r="M59" i="17"/>
  <c r="AC59" i="17"/>
  <c r="AS59" i="17"/>
  <c r="BI59" i="17"/>
  <c r="AT59" i="17"/>
  <c r="AT70" i="17" s="1"/>
  <c r="J55" i="17"/>
  <c r="Z55" i="17"/>
  <c r="AP55" i="17"/>
  <c r="BF55" i="17"/>
  <c r="O56" i="17"/>
  <c r="AE56" i="17"/>
  <c r="AU56" i="17"/>
  <c r="D57" i="17"/>
  <c r="T57" i="17"/>
  <c r="AJ57" i="17"/>
  <c r="AZ57" i="17"/>
  <c r="I58" i="17"/>
  <c r="Y58" i="17"/>
  <c r="AO58" i="17"/>
  <c r="BE58" i="17"/>
  <c r="N59" i="17"/>
  <c r="AD59" i="17"/>
  <c r="K55" i="17"/>
  <c r="AA55" i="17"/>
  <c r="AQ55" i="17"/>
  <c r="BG55" i="17"/>
  <c r="P56" i="17"/>
  <c r="AF56" i="17"/>
  <c r="AV56" i="17"/>
  <c r="E57" i="17"/>
  <c r="U57" i="17"/>
  <c r="AK57" i="17"/>
  <c r="BA57" i="17"/>
  <c r="J58" i="17"/>
  <c r="Z58" i="17"/>
  <c r="AP58" i="17"/>
  <c r="BF58" i="17"/>
  <c r="O59" i="17"/>
  <c r="AE59" i="17"/>
  <c r="AU59" i="17"/>
  <c r="L55" i="17"/>
  <c r="AB55" i="17"/>
  <c r="AR55" i="17"/>
  <c r="BH55" i="17"/>
  <c r="Q56" i="17"/>
  <c r="AG56" i="17"/>
  <c r="AW56" i="17"/>
  <c r="F57" i="17"/>
  <c r="V57" i="17"/>
  <c r="AL57" i="17"/>
  <c r="BB57" i="17"/>
  <c r="K58" i="17"/>
  <c r="AA58" i="17"/>
  <c r="AQ58" i="17"/>
  <c r="BG58" i="17"/>
  <c r="P59" i="17"/>
  <c r="AF59" i="17"/>
  <c r="AV59" i="17"/>
  <c r="M55" i="17"/>
  <c r="AC55" i="17"/>
  <c r="AS55" i="17"/>
  <c r="BI55" i="17"/>
  <c r="R56" i="17"/>
  <c r="AH56" i="17"/>
  <c r="AX56" i="17"/>
  <c r="G57" i="17"/>
  <c r="W57" i="17"/>
  <c r="AM57" i="17"/>
  <c r="BC57" i="17"/>
  <c r="L58" i="17"/>
  <c r="AB58" i="17"/>
  <c r="AR58" i="17"/>
  <c r="BH58" i="17"/>
  <c r="Q59" i="17"/>
  <c r="AG59" i="17"/>
  <c r="AW59" i="17"/>
  <c r="N55" i="17"/>
  <c r="AD55" i="17"/>
  <c r="AT55" i="17"/>
  <c r="C56" i="17"/>
  <c r="S56" i="17"/>
  <c r="AI56" i="17"/>
  <c r="AY56" i="17"/>
  <c r="H57" i="17"/>
  <c r="X57" i="17"/>
  <c r="AN57" i="17"/>
  <c r="BD57" i="17"/>
  <c r="M58" i="17"/>
  <c r="AC58" i="17"/>
  <c r="AS58" i="17"/>
  <c r="BI58" i="17"/>
  <c r="R59" i="17"/>
  <c r="AH59" i="17"/>
  <c r="AX59" i="17"/>
  <c r="Y43" i="17"/>
  <c r="P54" i="17"/>
  <c r="AF54" i="17"/>
  <c r="AV54" i="17"/>
  <c r="Q54" i="17"/>
  <c r="AG54" i="17"/>
  <c r="AW54" i="17"/>
  <c r="R54" i="17"/>
  <c r="AH54" i="17"/>
  <c r="AX54" i="17"/>
  <c r="C54" i="17"/>
  <c r="S54" i="17"/>
  <c r="AI54" i="17"/>
  <c r="AY54" i="17"/>
  <c r="BF54" i="17"/>
  <c r="BG54" i="17"/>
  <c r="AC54" i="17"/>
  <c r="BI54" i="17"/>
  <c r="AS54" i="17"/>
  <c r="D54" i="17"/>
  <c r="T54" i="17"/>
  <c r="AJ54" i="17"/>
  <c r="AZ54" i="17"/>
  <c r="U54" i="17"/>
  <c r="BA54" i="17"/>
  <c r="BB54" i="17"/>
  <c r="W54" i="17"/>
  <c r="X54" i="17"/>
  <c r="I54" i="17"/>
  <c r="BE54" i="17"/>
  <c r="AA54" i="17"/>
  <c r="AR54" i="17"/>
  <c r="O54" i="17"/>
  <c r="E54" i="17"/>
  <c r="AK54" i="17"/>
  <c r="AL54" i="17"/>
  <c r="AM54" i="17"/>
  <c r="BD54" i="17"/>
  <c r="Y54" i="17"/>
  <c r="AP54" i="17"/>
  <c r="AB54" i="17"/>
  <c r="AU54" i="17"/>
  <c r="F54" i="17"/>
  <c r="V54" i="17"/>
  <c r="G54" i="17"/>
  <c r="BC54" i="17"/>
  <c r="AN54" i="17"/>
  <c r="AO54" i="17"/>
  <c r="Z54" i="17"/>
  <c r="AQ54" i="17"/>
  <c r="AT54" i="17"/>
  <c r="H54" i="17"/>
  <c r="BH54" i="17"/>
  <c r="J54" i="17"/>
  <c r="K54" i="17"/>
  <c r="AE54" i="17"/>
  <c r="L54" i="17"/>
  <c r="AD54" i="17"/>
  <c r="M54" i="17"/>
  <c r="N54" i="17"/>
  <c r="AB11" i="13"/>
  <c r="AB12" i="13"/>
  <c r="AB13" i="13"/>
  <c r="AB14" i="13"/>
  <c r="AB15" i="13"/>
  <c r="AB16" i="13"/>
  <c r="AB17" i="13"/>
  <c r="AB18" i="13"/>
  <c r="AB19" i="13"/>
  <c r="AB20" i="13"/>
  <c r="AB10" i="13"/>
  <c r="AB21" i="13"/>
  <c r="AB7" i="13"/>
  <c r="AB6" i="13"/>
  <c r="AB8" i="13"/>
  <c r="AB9" i="13"/>
  <c r="S13" i="15"/>
  <c r="S29" i="15"/>
  <c r="R9" i="15"/>
  <c r="R25" i="15"/>
  <c r="S14" i="15"/>
  <c r="S30" i="15"/>
  <c r="R10" i="15"/>
  <c r="R26" i="15"/>
  <c r="S15" i="15"/>
  <c r="S31" i="15"/>
  <c r="R11" i="15"/>
  <c r="R27" i="15"/>
  <c r="S16" i="15"/>
  <c r="S32" i="15"/>
  <c r="R12" i="15"/>
  <c r="R28" i="15"/>
  <c r="S17" i="15"/>
  <c r="R13" i="15"/>
  <c r="R29" i="15"/>
  <c r="S18" i="15"/>
  <c r="R14" i="15"/>
  <c r="R30" i="15"/>
  <c r="S3" i="15"/>
  <c r="S19" i="15"/>
  <c r="R15" i="15"/>
  <c r="R31" i="15"/>
  <c r="S4" i="15"/>
  <c r="S20" i="15"/>
  <c r="R16" i="15"/>
  <c r="R32" i="15"/>
  <c r="S5" i="15"/>
  <c r="S21" i="15"/>
  <c r="R17" i="15"/>
  <c r="S6" i="15"/>
  <c r="S22" i="15"/>
  <c r="R18" i="15"/>
  <c r="S7" i="15"/>
  <c r="S23" i="15"/>
  <c r="R3" i="15"/>
  <c r="R19" i="15"/>
  <c r="S8" i="15"/>
  <c r="S24" i="15"/>
  <c r="R4" i="15"/>
  <c r="R20" i="15"/>
  <c r="R24" i="15"/>
  <c r="S9" i="15"/>
  <c r="S25" i="15"/>
  <c r="R5" i="15"/>
  <c r="R21" i="15"/>
  <c r="R8" i="15"/>
  <c r="S10" i="15"/>
  <c r="S26" i="15"/>
  <c r="R6" i="15"/>
  <c r="R22" i="15"/>
  <c r="S28" i="15"/>
  <c r="S11" i="15"/>
  <c r="S27" i="15"/>
  <c r="R7" i="15"/>
  <c r="R23" i="15"/>
  <c r="S12" i="15"/>
  <c r="S20" i="13"/>
  <c r="AA20" i="13"/>
  <c r="AA18" i="13"/>
  <c r="AA21" i="13"/>
  <c r="AA7" i="13"/>
  <c r="AA6" i="13"/>
  <c r="AA17" i="13"/>
  <c r="AA8" i="13"/>
  <c r="AA9" i="13"/>
  <c r="AA19" i="13"/>
  <c r="AA10" i="13"/>
  <c r="AA11" i="13"/>
  <c r="AA12" i="13"/>
  <c r="AA13" i="13"/>
  <c r="AA16" i="13"/>
  <c r="AA14" i="13"/>
  <c r="AA15" i="13"/>
  <c r="BI53" i="17"/>
  <c r="AS53" i="17"/>
  <c r="AC53" i="17"/>
  <c r="M53" i="17"/>
  <c r="BC52" i="17"/>
  <c r="AM52" i="17"/>
  <c r="W52" i="17"/>
  <c r="G52" i="17"/>
  <c r="AW51" i="17"/>
  <c r="AG51" i="17"/>
  <c r="Q51" i="17"/>
  <c r="BG50" i="17"/>
  <c r="AQ50" i="17"/>
  <c r="AA50" i="17"/>
  <c r="K50" i="17"/>
  <c r="X52" i="17"/>
  <c r="BH53" i="17"/>
  <c r="AR53" i="17"/>
  <c r="AB53" i="17"/>
  <c r="L53" i="17"/>
  <c r="BB52" i="17"/>
  <c r="AL52" i="17"/>
  <c r="V52" i="17"/>
  <c r="F52" i="17"/>
  <c r="AV51" i="17"/>
  <c r="AF51" i="17"/>
  <c r="P51" i="17"/>
  <c r="BF50" i="17"/>
  <c r="AP50" i="17"/>
  <c r="Z50" i="17"/>
  <c r="J50" i="17"/>
  <c r="AH51" i="17"/>
  <c r="BG53" i="17"/>
  <c r="AQ53" i="17"/>
  <c r="AA53" i="17"/>
  <c r="K53" i="17"/>
  <c r="BA52" i="17"/>
  <c r="AK52" i="17"/>
  <c r="U52" i="17"/>
  <c r="E52" i="17"/>
  <c r="AU51" i="17"/>
  <c r="AE51" i="17"/>
  <c r="O51" i="17"/>
  <c r="BE50" i="17"/>
  <c r="AO50" i="17"/>
  <c r="Y50" i="17"/>
  <c r="I50" i="17"/>
  <c r="AN52" i="17"/>
  <c r="BF53" i="17"/>
  <c r="AP53" i="17"/>
  <c r="Z53" i="17"/>
  <c r="J53" i="17"/>
  <c r="AZ52" i="17"/>
  <c r="AJ52" i="17"/>
  <c r="T52" i="17"/>
  <c r="D52" i="17"/>
  <c r="AT51" i="17"/>
  <c r="AD51" i="17"/>
  <c r="N51" i="17"/>
  <c r="BD50" i="17"/>
  <c r="AN50" i="17"/>
  <c r="X50" i="17"/>
  <c r="H50" i="17"/>
  <c r="AD53" i="17"/>
  <c r="AX51" i="17"/>
  <c r="BE53" i="17"/>
  <c r="AO53" i="17"/>
  <c r="Y53" i="17"/>
  <c r="I53" i="17"/>
  <c r="AY52" i="17"/>
  <c r="AI52" i="17"/>
  <c r="S52" i="17"/>
  <c r="BI51" i="17"/>
  <c r="AS51" i="17"/>
  <c r="AC51" i="17"/>
  <c r="M51" i="17"/>
  <c r="BC50" i="17"/>
  <c r="AM50" i="17"/>
  <c r="W50" i="17"/>
  <c r="G50" i="17"/>
  <c r="C53" i="17"/>
  <c r="BD52" i="17"/>
  <c r="R51" i="17"/>
  <c r="AB50" i="17"/>
  <c r="BD53" i="17"/>
  <c r="AN53" i="17"/>
  <c r="X53" i="17"/>
  <c r="H53" i="17"/>
  <c r="AX52" i="17"/>
  <c r="AH52" i="17"/>
  <c r="R52" i="17"/>
  <c r="BH51" i="17"/>
  <c r="AR51" i="17"/>
  <c r="AB51" i="17"/>
  <c r="L51" i="17"/>
  <c r="BB50" i="17"/>
  <c r="AL50" i="17"/>
  <c r="V50" i="17"/>
  <c r="F50" i="17"/>
  <c r="AT53" i="17"/>
  <c r="H52" i="17"/>
  <c r="AR50" i="17"/>
  <c r="L50" i="17"/>
  <c r="BC53" i="17"/>
  <c r="AM53" i="17"/>
  <c r="W53" i="17"/>
  <c r="G53" i="17"/>
  <c r="AW52" i="17"/>
  <c r="AG52" i="17"/>
  <c r="Q52" i="17"/>
  <c r="BG51" i="17"/>
  <c r="AQ51" i="17"/>
  <c r="AA51" i="17"/>
  <c r="K51" i="17"/>
  <c r="BA50" i="17"/>
  <c r="AK50" i="17"/>
  <c r="U50" i="17"/>
  <c r="E50" i="17"/>
  <c r="N53" i="17"/>
  <c r="BH50" i="17"/>
  <c r="BB53" i="17"/>
  <c r="AL53" i="17"/>
  <c r="V53" i="17"/>
  <c r="F53" i="17"/>
  <c r="AV52" i="17"/>
  <c r="AF52" i="17"/>
  <c r="P52" i="17"/>
  <c r="BF51" i="17"/>
  <c r="AP51" i="17"/>
  <c r="Z51" i="17"/>
  <c r="J51" i="17"/>
  <c r="AZ50" i="17"/>
  <c r="AJ50" i="17"/>
  <c r="T50" i="17"/>
  <c r="D50" i="17"/>
  <c r="BA53" i="17"/>
  <c r="AK53" i="17"/>
  <c r="U53" i="17"/>
  <c r="E53" i="17"/>
  <c r="AU52" i="17"/>
  <c r="AE52" i="17"/>
  <c r="O52" i="17"/>
  <c r="BE51" i="17"/>
  <c r="AO51" i="17"/>
  <c r="Y51" i="17"/>
  <c r="I51" i="17"/>
  <c r="AY50" i="17"/>
  <c r="AI50" i="17"/>
  <c r="S50" i="17"/>
  <c r="AZ53" i="17"/>
  <c r="AJ53" i="17"/>
  <c r="T53" i="17"/>
  <c r="D53" i="17"/>
  <c r="AT52" i="17"/>
  <c r="AD52" i="17"/>
  <c r="N52" i="17"/>
  <c r="BD51" i="17"/>
  <c r="AN51" i="17"/>
  <c r="X51" i="17"/>
  <c r="H51" i="17"/>
  <c r="AX50" i="17"/>
  <c r="AH50" i="17"/>
  <c r="R50" i="17"/>
  <c r="AY53" i="17"/>
  <c r="AI53" i="17"/>
  <c r="S53" i="17"/>
  <c r="BI52" i="17"/>
  <c r="AS52" i="17"/>
  <c r="AC52" i="17"/>
  <c r="M52" i="17"/>
  <c r="BC51" i="17"/>
  <c r="AM51" i="17"/>
  <c r="W51" i="17"/>
  <c r="G51" i="17"/>
  <c r="AW50" i="17"/>
  <c r="AG50" i="17"/>
  <c r="Q50" i="17"/>
  <c r="R53" i="17"/>
  <c r="AB52" i="17"/>
  <c r="AL51" i="17"/>
  <c r="AV50" i="17"/>
  <c r="C52" i="17"/>
  <c r="AW53" i="17"/>
  <c r="AG53" i="17"/>
  <c r="Q53" i="17"/>
  <c r="BG52" i="17"/>
  <c r="AQ52" i="17"/>
  <c r="AA52" i="17"/>
  <c r="K52" i="17"/>
  <c r="BA51" i="17"/>
  <c r="AK51" i="17"/>
  <c r="U51" i="17"/>
  <c r="E51" i="17"/>
  <c r="AU50" i="17"/>
  <c r="AE50" i="17"/>
  <c r="O50" i="17"/>
  <c r="AH53" i="17"/>
  <c r="AR52" i="17"/>
  <c r="BB51" i="17"/>
  <c r="F51" i="17"/>
  <c r="P50" i="17"/>
  <c r="C51" i="17"/>
  <c r="AV53" i="17"/>
  <c r="AF53" i="17"/>
  <c r="P53" i="17"/>
  <c r="BF52" i="17"/>
  <c r="AP52" i="17"/>
  <c r="Z52" i="17"/>
  <c r="J52" i="17"/>
  <c r="AZ51" i="17"/>
  <c r="AJ51" i="17"/>
  <c r="T51" i="17"/>
  <c r="D51" i="17"/>
  <c r="AT50" i="17"/>
  <c r="AD50" i="17"/>
  <c r="N50" i="17"/>
  <c r="AX53" i="17"/>
  <c r="BH52" i="17"/>
  <c r="L52" i="17"/>
  <c r="V51" i="17"/>
  <c r="AF50" i="17"/>
  <c r="C50" i="17"/>
  <c r="AU53" i="17"/>
  <c r="AE53" i="17"/>
  <c r="O53" i="17"/>
  <c r="BE52" i="17"/>
  <c r="AO52" i="17"/>
  <c r="Y52" i="17"/>
  <c r="I52" i="17"/>
  <c r="AY51" i="17"/>
  <c r="AI51" i="17"/>
  <c r="S51" i="17"/>
  <c r="BI50" i="17"/>
  <c r="AS50" i="17"/>
  <c r="AC50" i="17"/>
  <c r="M50" i="17"/>
  <c r="D25" i="15" a="1"/>
  <c r="D25" i="15" s="1"/>
  <c r="D8" i="15" a="1"/>
  <c r="D8" i="15" s="1"/>
  <c r="N84" i="22"/>
  <c r="N85" i="22" s="1"/>
  <c r="D24" i="15" a="1"/>
  <c r="D24" i="15" s="1"/>
  <c r="D7" i="15" a="1"/>
  <c r="D7" i="15" s="1"/>
  <c r="D27" i="15" a="1"/>
  <c r="D27" i="15" s="1"/>
  <c r="D23" i="15" a="1"/>
  <c r="D23" i="15" s="1"/>
  <c r="D6" i="15" a="1"/>
  <c r="D6" i="15" s="1"/>
  <c r="D22" i="15" a="1"/>
  <c r="D22" i="15" s="1"/>
  <c r="D5" i="15" a="1"/>
  <c r="D5" i="15" s="1"/>
  <c r="D26" i="15" a="1"/>
  <c r="D26" i="15" s="1"/>
  <c r="D21" i="15" a="1"/>
  <c r="D21" i="15" s="1"/>
  <c r="D4" i="15" a="1"/>
  <c r="D4" i="15" s="1"/>
  <c r="D20" i="15" a="1"/>
  <c r="D20" i="15" s="1"/>
  <c r="D3" i="15" a="1"/>
  <c r="D3" i="15" s="1"/>
  <c r="D19" i="15" a="1"/>
  <c r="D19" i="15" s="1"/>
  <c r="D18" i="15" a="1"/>
  <c r="D18" i="15" s="1"/>
  <c r="D36" i="15" a="1"/>
  <c r="D36" i="15" s="1"/>
  <c r="D17" i="15" a="1"/>
  <c r="D17" i="15" s="1"/>
  <c r="D35" i="15" a="1"/>
  <c r="D35" i="15" s="1"/>
  <c r="D16" i="15" a="1"/>
  <c r="D16" i="15" s="1"/>
  <c r="D34" i="15" a="1"/>
  <c r="D34" i="15" s="1"/>
  <c r="D14" i="15" a="1"/>
  <c r="D14" i="15" s="1"/>
  <c r="D33" i="15" a="1"/>
  <c r="D33" i="15" s="1"/>
  <c r="D13" i="15" a="1"/>
  <c r="D13" i="15" s="1"/>
  <c r="D32" i="15" a="1"/>
  <c r="D32" i="15" s="1"/>
  <c r="D12" i="15" a="1"/>
  <c r="D12" i="15" s="1"/>
  <c r="D31" i="15" a="1"/>
  <c r="D31" i="15" s="1"/>
  <c r="D11" i="15" a="1"/>
  <c r="D11" i="15" s="1"/>
  <c r="D30" i="15" a="1"/>
  <c r="D30" i="15" s="1"/>
  <c r="D10" i="15" a="1"/>
  <c r="D10" i="15" s="1"/>
  <c r="D29" i="15" a="1"/>
  <c r="D29" i="15" s="1"/>
  <c r="D9" i="15" a="1"/>
  <c r="D9" i="15" s="1"/>
  <c r="D28" i="15" a="1"/>
  <c r="D28" i="15" s="1"/>
  <c r="F32" i="15"/>
  <c r="F30" i="15"/>
  <c r="F31" i="15"/>
  <c r="F29" i="15"/>
  <c r="AK48" i="17"/>
  <c r="AF47" i="17"/>
  <c r="BE49" i="17"/>
  <c r="AO49" i="17"/>
  <c r="Y49" i="17"/>
  <c r="I49" i="17"/>
  <c r="AZ48" i="17"/>
  <c r="AJ48" i="17"/>
  <c r="T48" i="17"/>
  <c r="D48" i="17"/>
  <c r="AU47" i="17"/>
  <c r="AE47" i="17"/>
  <c r="O47" i="17"/>
  <c r="E48" i="17"/>
  <c r="BD49" i="17"/>
  <c r="AN49" i="17"/>
  <c r="X49" i="17"/>
  <c r="H49" i="17"/>
  <c r="AY48" i="17"/>
  <c r="AI48" i="17"/>
  <c r="S48" i="17"/>
  <c r="C48" i="17"/>
  <c r="AT47" i="17"/>
  <c r="AD47" i="17"/>
  <c r="N47" i="17"/>
  <c r="BC49" i="17"/>
  <c r="AM49" i="17"/>
  <c r="W49" i="17"/>
  <c r="G49" i="17"/>
  <c r="AX48" i="17"/>
  <c r="AH48" i="17"/>
  <c r="R48" i="17"/>
  <c r="BI47" i="17"/>
  <c r="AS47" i="17"/>
  <c r="AC47" i="17"/>
  <c r="M47" i="17"/>
  <c r="J49" i="17"/>
  <c r="U48" i="17"/>
  <c r="P47" i="17"/>
  <c r="BB49" i="17"/>
  <c r="AL49" i="17"/>
  <c r="V49" i="17"/>
  <c r="F49" i="17"/>
  <c r="AW48" i="17"/>
  <c r="AG48" i="17"/>
  <c r="Q48" i="17"/>
  <c r="BH47" i="17"/>
  <c r="AR47" i="17"/>
  <c r="AB47" i="17"/>
  <c r="L47" i="17"/>
  <c r="AP49" i="17"/>
  <c r="AV47" i="17"/>
  <c r="BA49" i="17"/>
  <c r="AK49" i="17"/>
  <c r="U49" i="17"/>
  <c r="E49" i="17"/>
  <c r="AV48" i="17"/>
  <c r="AF48" i="17"/>
  <c r="P48" i="17"/>
  <c r="BG47" i="17"/>
  <c r="AQ47" i="17"/>
  <c r="AA47" i="17"/>
  <c r="K47" i="17"/>
  <c r="AZ49" i="17"/>
  <c r="AJ49" i="17"/>
  <c r="T49" i="17"/>
  <c r="D49" i="17"/>
  <c r="AU48" i="17"/>
  <c r="AE48" i="17"/>
  <c r="O48" i="17"/>
  <c r="BF47" i="17"/>
  <c r="AP47" i="17"/>
  <c r="Z47" i="17"/>
  <c r="J47" i="17"/>
  <c r="BA48" i="17"/>
  <c r="AY49" i="17"/>
  <c r="AI49" i="17"/>
  <c r="S49" i="17"/>
  <c r="C49" i="17"/>
  <c r="AT48" i="17"/>
  <c r="AD48" i="17"/>
  <c r="N48" i="17"/>
  <c r="BE47" i="17"/>
  <c r="AO47" i="17"/>
  <c r="Y47" i="17"/>
  <c r="I47" i="17"/>
  <c r="AX49" i="17"/>
  <c r="AH49" i="17"/>
  <c r="R49" i="17"/>
  <c r="BI48" i="17"/>
  <c r="AS48" i="17"/>
  <c r="AC48" i="17"/>
  <c r="M48" i="17"/>
  <c r="BD47" i="17"/>
  <c r="AN47" i="17"/>
  <c r="X47" i="17"/>
  <c r="H47" i="17"/>
  <c r="AW49" i="17"/>
  <c r="AG49" i="17"/>
  <c r="Q49" i="17"/>
  <c r="BH48" i="17"/>
  <c r="AR48" i="17"/>
  <c r="AB48" i="17"/>
  <c r="L48" i="17"/>
  <c r="BC47" i="17"/>
  <c r="AM47" i="17"/>
  <c r="W47" i="17"/>
  <c r="G47" i="17"/>
  <c r="BF49" i="17"/>
  <c r="AV49" i="17"/>
  <c r="AF49" i="17"/>
  <c r="P49" i="17"/>
  <c r="BG48" i="17"/>
  <c r="AQ48" i="17"/>
  <c r="AA48" i="17"/>
  <c r="K48" i="17"/>
  <c r="BB47" i="17"/>
  <c r="AL47" i="17"/>
  <c r="V47" i="17"/>
  <c r="F47" i="17"/>
  <c r="Z49" i="17"/>
  <c r="AU49" i="17"/>
  <c r="AE49" i="17"/>
  <c r="O49" i="17"/>
  <c r="BF48" i="17"/>
  <c r="AP48" i="17"/>
  <c r="Z48" i="17"/>
  <c r="J48" i="17"/>
  <c r="BA47" i="17"/>
  <c r="AK47" i="17"/>
  <c r="U47" i="17"/>
  <c r="E47" i="17"/>
  <c r="AT49" i="17"/>
  <c r="AD49" i="17"/>
  <c r="N49" i="17"/>
  <c r="BE48" i="17"/>
  <c r="AO48" i="17"/>
  <c r="Y48" i="17"/>
  <c r="I48" i="17"/>
  <c r="AZ47" i="17"/>
  <c r="AJ47" i="17"/>
  <c r="T47" i="17"/>
  <c r="D47" i="17"/>
  <c r="BI49" i="17"/>
  <c r="AS49" i="17"/>
  <c r="AC49" i="17"/>
  <c r="M49" i="17"/>
  <c r="BD48" i="17"/>
  <c r="AN48" i="17"/>
  <c r="X48" i="17"/>
  <c r="H48" i="17"/>
  <c r="AY47" i="17"/>
  <c r="AI47" i="17"/>
  <c r="S47" i="17"/>
  <c r="C47" i="17"/>
  <c r="BH49" i="17"/>
  <c r="AR49" i="17"/>
  <c r="AB49" i="17"/>
  <c r="L49" i="17"/>
  <c r="BC48" i="17"/>
  <c r="AM48" i="17"/>
  <c r="W48" i="17"/>
  <c r="G48" i="17"/>
  <c r="AX47" i="17"/>
  <c r="AH47" i="17"/>
  <c r="R47" i="17"/>
  <c r="BG49" i="17"/>
  <c r="AQ49" i="17"/>
  <c r="AA49" i="17"/>
  <c r="K49" i="17"/>
  <c r="BB48" i="17"/>
  <c r="AL48" i="17"/>
  <c r="V48" i="17"/>
  <c r="F48" i="17"/>
  <c r="AW47" i="17"/>
  <c r="AG47" i="17"/>
  <c r="Q47" i="17"/>
  <c r="G58" i="22"/>
  <c r="G59" i="22" s="1"/>
  <c r="H51" i="22"/>
  <c r="H52" i="22" s="1"/>
  <c r="E32" i="22"/>
  <c r="E33" i="22" s="1"/>
  <c r="D58" i="22"/>
  <c r="D59" i="22" s="1"/>
  <c r="J58" i="22"/>
  <c r="J59" i="22" s="1"/>
  <c r="J91" i="22"/>
  <c r="J92" i="22" s="1"/>
  <c r="I76" i="22"/>
  <c r="I77" i="22" s="1"/>
  <c r="E68" i="22"/>
  <c r="E69" i="22" s="1"/>
  <c r="D76" i="22"/>
  <c r="D77" i="22" s="1"/>
  <c r="M68" i="22"/>
  <c r="M69" i="22" s="1"/>
  <c r="Z21" i="13"/>
  <c r="Z20" i="13"/>
  <c r="Z19" i="13"/>
  <c r="Z18" i="13"/>
  <c r="Z17" i="13"/>
  <c r="Z16" i="13"/>
  <c r="Z15" i="13"/>
  <c r="Z14" i="13"/>
  <c r="Z13" i="13"/>
  <c r="Z12" i="13"/>
  <c r="Z11" i="13"/>
  <c r="Z10" i="13"/>
  <c r="Z9" i="13"/>
  <c r="Z8" i="13"/>
  <c r="Z6" i="13"/>
  <c r="Z7" i="13"/>
  <c r="F58" i="22"/>
  <c r="F59" i="22" s="1"/>
  <c r="O76" i="22"/>
  <c r="O77" i="22" s="1"/>
  <c r="M84" i="22"/>
  <c r="M85" i="22" s="1"/>
  <c r="I91" i="22"/>
  <c r="I92" i="22" s="1"/>
  <c r="E58" i="22"/>
  <c r="E59" i="22" s="1"/>
  <c r="N76" i="22"/>
  <c r="N77" i="22" s="1"/>
  <c r="L84" i="22"/>
  <c r="L85" i="22" s="1"/>
  <c r="H91" i="22"/>
  <c r="H92" i="22" s="1"/>
  <c r="D68" i="22"/>
  <c r="D69" i="22" s="1"/>
  <c r="M76" i="22"/>
  <c r="M77" i="22" s="1"/>
  <c r="K84" i="22"/>
  <c r="K85" i="22" s="1"/>
  <c r="G91" i="22"/>
  <c r="G92" i="22" s="1"/>
  <c r="L76" i="22"/>
  <c r="L77" i="22" s="1"/>
  <c r="J84" i="22"/>
  <c r="J85" i="22" s="1"/>
  <c r="F91" i="22"/>
  <c r="F92" i="22" s="1"/>
  <c r="O68" i="22"/>
  <c r="O69" i="22" s="1"/>
  <c r="K76" i="22"/>
  <c r="K77" i="22" s="1"/>
  <c r="I84" i="22"/>
  <c r="I85" i="22" s="1"/>
  <c r="E91" i="22"/>
  <c r="E92" i="22" s="1"/>
  <c r="N68" i="22"/>
  <c r="N69" i="22" s="1"/>
  <c r="J76" i="22"/>
  <c r="J77" i="22" s="1"/>
  <c r="H84" i="22"/>
  <c r="H85" i="22" s="1"/>
  <c r="G84" i="22"/>
  <c r="G85" i="22" s="1"/>
  <c r="O58" i="22"/>
  <c r="O59" i="22" s="1"/>
  <c r="L68" i="22"/>
  <c r="L69" i="22" s="1"/>
  <c r="H76" i="22"/>
  <c r="H77" i="22" s="1"/>
  <c r="F84" i="22"/>
  <c r="F85" i="22" s="1"/>
  <c r="D32" i="22"/>
  <c r="D33" i="22" s="1"/>
  <c r="N58" i="22"/>
  <c r="N59" i="22" s="1"/>
  <c r="K68" i="22"/>
  <c r="K69" i="22" s="1"/>
  <c r="G76" i="22"/>
  <c r="G77" i="22" s="1"/>
  <c r="E84" i="22"/>
  <c r="E85" i="22" s="1"/>
  <c r="M58" i="22"/>
  <c r="M59" i="22" s="1"/>
  <c r="J68" i="22"/>
  <c r="J69" i="22" s="1"/>
  <c r="F76" i="22"/>
  <c r="F77" i="22" s="1"/>
  <c r="D91" i="22"/>
  <c r="D92" i="22" s="1"/>
  <c r="M42" i="22"/>
  <c r="M43" i="22" s="1"/>
  <c r="L58" i="22"/>
  <c r="L59" i="22" s="1"/>
  <c r="I68" i="22"/>
  <c r="I69" i="22" s="1"/>
  <c r="E76" i="22"/>
  <c r="E77" i="22" s="1"/>
  <c r="O91" i="22"/>
  <c r="O92" i="22" s="1"/>
  <c r="K58" i="22"/>
  <c r="K59" i="22" s="1"/>
  <c r="H68" i="22"/>
  <c r="H69" i="22" s="1"/>
  <c r="N91" i="22"/>
  <c r="N92" i="22" s="1"/>
  <c r="G68" i="22"/>
  <c r="G69" i="22" s="1"/>
  <c r="M91" i="22"/>
  <c r="M92" i="22" s="1"/>
  <c r="I58" i="22"/>
  <c r="I59" i="22" s="1"/>
  <c r="F68" i="22"/>
  <c r="F69" i="22" s="1"/>
  <c r="D84" i="22"/>
  <c r="D85" i="22" s="1"/>
  <c r="L91" i="22"/>
  <c r="L92" i="22" s="1"/>
  <c r="H58" i="22"/>
  <c r="H59" i="22" s="1"/>
  <c r="O84" i="22"/>
  <c r="O85" i="22" s="1"/>
  <c r="K91" i="22"/>
  <c r="K92" i="22" s="1"/>
  <c r="E26" i="22"/>
  <c r="O32" i="22"/>
  <c r="O33" i="22" s="1"/>
  <c r="K42" i="22"/>
  <c r="K43" i="22" s="1"/>
  <c r="G51" i="22"/>
  <c r="G52" i="22" s="1"/>
  <c r="L42" i="22"/>
  <c r="L43" i="22" s="1"/>
  <c r="D26" i="22"/>
  <c r="N32" i="22"/>
  <c r="N33" i="22" s="1"/>
  <c r="J42" i="22"/>
  <c r="J43" i="22" s="1"/>
  <c r="F51" i="22"/>
  <c r="F52" i="22" s="1"/>
  <c r="M32" i="22"/>
  <c r="M33" i="22" s="1"/>
  <c r="I42" i="22"/>
  <c r="I43" i="22" s="1"/>
  <c r="E51" i="22"/>
  <c r="E52" i="22" s="1"/>
  <c r="L32" i="22"/>
  <c r="L33" i="22" s="1"/>
  <c r="H42" i="22"/>
  <c r="H43" i="22" s="1"/>
  <c r="O26" i="22"/>
  <c r="K32" i="22"/>
  <c r="K33" i="22" s="1"/>
  <c r="G42" i="22"/>
  <c r="G43" i="22" s="1"/>
  <c r="N26" i="22"/>
  <c r="J32" i="22"/>
  <c r="J33" i="22" s="1"/>
  <c r="F42" i="22"/>
  <c r="F43" i="22" s="1"/>
  <c r="M26" i="22"/>
  <c r="I32" i="22"/>
  <c r="I33" i="22" s="1"/>
  <c r="E42" i="22"/>
  <c r="E43" i="22" s="1"/>
  <c r="L26" i="22"/>
  <c r="H32" i="22"/>
  <c r="H33" i="22" s="1"/>
  <c r="D51" i="22"/>
  <c r="D52" i="22" s="1"/>
  <c r="K26" i="22"/>
  <c r="G32" i="22"/>
  <c r="G33" i="22" s="1"/>
  <c r="O51" i="22"/>
  <c r="O52" i="22" s="1"/>
  <c r="J26" i="22"/>
  <c r="F32" i="22"/>
  <c r="F33" i="22" s="1"/>
  <c r="N51" i="22"/>
  <c r="N52" i="22" s="1"/>
  <c r="I26" i="22"/>
  <c r="M51" i="22"/>
  <c r="M52" i="22" s="1"/>
  <c r="H26" i="22"/>
  <c r="D42" i="22"/>
  <c r="D43" i="22" s="1"/>
  <c r="L51" i="22"/>
  <c r="L52" i="22" s="1"/>
  <c r="G26" i="22"/>
  <c r="O42" i="22"/>
  <c r="O43" i="22" s="1"/>
  <c r="K51" i="22"/>
  <c r="K52" i="22" s="1"/>
  <c r="F26" i="22"/>
  <c r="N42" i="22"/>
  <c r="N43" i="22" s="1"/>
  <c r="J51" i="22"/>
  <c r="J52" i="22" s="1"/>
  <c r="I51" i="22"/>
  <c r="I52" i="22" s="1"/>
  <c r="F28" i="15"/>
  <c r="O8" i="22" a="1"/>
  <c r="O8" i="22" s="1"/>
  <c r="G8" i="22" a="1"/>
  <c r="G8" i="22" s="1"/>
  <c r="J8" i="22" a="1"/>
  <c r="J8" i="22" s="1"/>
  <c r="I8" i="22" a="1"/>
  <c r="I8" i="22" s="1"/>
  <c r="H8" i="22" a="1"/>
  <c r="H8" i="22" s="1"/>
  <c r="F8" i="22" a="1"/>
  <c r="F8" i="22" s="1"/>
  <c r="G9" i="22" a="1"/>
  <c r="G9" i="22" s="1"/>
  <c r="F9" i="22" a="1"/>
  <c r="F9" i="22" s="1"/>
  <c r="E9" i="22" a="1"/>
  <c r="E9" i="22" s="1"/>
  <c r="E8" i="22" a="1"/>
  <c r="E8" i="22" s="1"/>
  <c r="D9" i="22" a="1"/>
  <c r="D9" i="22" s="1"/>
  <c r="O9" i="22" a="1"/>
  <c r="O9" i="22" s="1"/>
  <c r="N9" i="22" a="1"/>
  <c r="N9" i="22" s="1"/>
  <c r="D7" i="22" a="1"/>
  <c r="D7" i="22" s="1"/>
  <c r="M9" i="22" a="1"/>
  <c r="M9" i="22" s="1"/>
  <c r="D8" i="22" a="1"/>
  <c r="D8" i="22" s="1"/>
  <c r="L9" i="22" a="1"/>
  <c r="L9" i="22" s="1"/>
  <c r="N8" i="22" a="1"/>
  <c r="N8" i="22" s="1"/>
  <c r="K9" i="22" a="1"/>
  <c r="K9" i="22" s="1"/>
  <c r="M8" i="22" a="1"/>
  <c r="M8" i="22" s="1"/>
  <c r="J9" i="22" a="1"/>
  <c r="J9" i="22" s="1"/>
  <c r="L8" i="22" a="1"/>
  <c r="L8" i="22" s="1"/>
  <c r="I9" i="22" a="1"/>
  <c r="I9" i="22" s="1"/>
  <c r="K8" i="22" a="1"/>
  <c r="K8" i="22" s="1"/>
  <c r="H9" i="22" a="1"/>
  <c r="H9" i="22" s="1"/>
  <c r="O7" i="22" a="1"/>
  <c r="O7" i="22" s="1"/>
  <c r="D18" i="22"/>
  <c r="D19" i="22"/>
  <c r="O19" i="22"/>
  <c r="N19" i="22"/>
  <c r="M19" i="22"/>
  <c r="L19" i="22"/>
  <c r="K19" i="22"/>
  <c r="J19" i="22"/>
  <c r="I19" i="22"/>
  <c r="H19" i="22"/>
  <c r="G19" i="22"/>
  <c r="F19" i="22"/>
  <c r="E19" i="22"/>
  <c r="E18" i="22"/>
  <c r="O18" i="22"/>
  <c r="N18" i="22"/>
  <c r="M18" i="22"/>
  <c r="L18" i="22"/>
  <c r="K18" i="22"/>
  <c r="J18" i="22"/>
  <c r="I18" i="22"/>
  <c r="H18" i="22"/>
  <c r="G18" i="22"/>
  <c r="F18" i="22"/>
  <c r="D14" i="22" a="1"/>
  <c r="D14" i="22" s="1"/>
  <c r="O14" i="22" a="1"/>
  <c r="O14" i="22" s="1"/>
  <c r="O15" i="22" s="1"/>
  <c r="N14" i="22" a="1"/>
  <c r="N14" i="22" s="1"/>
  <c r="N15" i="22" s="1"/>
  <c r="M14" i="22" a="1"/>
  <c r="M14" i="22" s="1"/>
  <c r="M15" i="22" s="1"/>
  <c r="L14" i="22" a="1"/>
  <c r="L14" i="22" s="1"/>
  <c r="L15" i="22" s="1"/>
  <c r="J14" i="22" a="1"/>
  <c r="J14" i="22" s="1"/>
  <c r="J15" i="22" s="1"/>
  <c r="H14" i="22" a="1"/>
  <c r="H14" i="22" s="1"/>
  <c r="H15" i="22" s="1"/>
  <c r="G14" i="22" a="1"/>
  <c r="G14" i="22" s="1"/>
  <c r="G15" i="22" s="1"/>
  <c r="F14" i="22" a="1"/>
  <c r="F14" i="22" s="1"/>
  <c r="F15" i="22" s="1"/>
  <c r="E14" i="22" a="1"/>
  <c r="E14" i="22" s="1"/>
  <c r="E15" i="22" s="1"/>
  <c r="I14" i="22" a="1"/>
  <c r="I14" i="22" s="1"/>
  <c r="I15" i="22" s="1"/>
  <c r="K14" i="22" a="1"/>
  <c r="K14" i="22" s="1"/>
  <c r="K15" i="22" s="1"/>
  <c r="Y17" i="13"/>
  <c r="S11" i="13"/>
  <c r="T18" i="13"/>
  <c r="X7" i="13"/>
  <c r="V6" i="13"/>
  <c r="U12" i="13"/>
  <c r="Y8" i="13"/>
  <c r="S19" i="13"/>
  <c r="V14" i="13"/>
  <c r="W13" i="13"/>
  <c r="U20" i="13"/>
  <c r="X15" i="13"/>
  <c r="Y9" i="13"/>
  <c r="W21" i="13"/>
  <c r="T10" i="13"/>
  <c r="Y16" i="13"/>
  <c r="W6" i="13"/>
  <c r="W14" i="13"/>
  <c r="S8" i="13"/>
  <c r="U11" i="13"/>
  <c r="S16" i="13"/>
  <c r="U19" i="13"/>
  <c r="Y6" i="13"/>
  <c r="T8" i="13"/>
  <c r="W19" i="13"/>
  <c r="X19" i="13"/>
  <c r="V8" i="13"/>
  <c r="Y11" i="13"/>
  <c r="S13" i="13"/>
  <c r="V16" i="13"/>
  <c r="Y19" i="13"/>
  <c r="S21" i="13"/>
  <c r="W11" i="13"/>
  <c r="Y14" i="13"/>
  <c r="T16" i="13"/>
  <c r="U8" i="13"/>
  <c r="X11" i="13"/>
  <c r="U16" i="13"/>
  <c r="W8" i="13"/>
  <c r="S10" i="13"/>
  <c r="U13" i="13"/>
  <c r="W16" i="13"/>
  <c r="S18" i="13"/>
  <c r="U21" i="13"/>
  <c r="X13" i="13"/>
  <c r="U18" i="13"/>
  <c r="X21" i="13"/>
  <c r="S7" i="13"/>
  <c r="Y13" i="13"/>
  <c r="V18" i="13"/>
  <c r="S12" i="13"/>
  <c r="W18" i="13"/>
  <c r="V19" i="13"/>
  <c r="V15" i="13"/>
  <c r="V11" i="13"/>
  <c r="V7" i="13"/>
  <c r="X20" i="13"/>
  <c r="T19" i="13"/>
  <c r="X16" i="13"/>
  <c r="T15" i="13"/>
  <c r="X12" i="13"/>
  <c r="T11" i="13"/>
  <c r="X8" i="13"/>
  <c r="T7" i="13"/>
  <c r="V21" i="13"/>
  <c r="V17" i="13"/>
  <c r="V13" i="13"/>
  <c r="V9" i="13"/>
  <c r="T21" i="13"/>
  <c r="X18" i="13"/>
  <c r="T17" i="13"/>
  <c r="X14" i="13"/>
  <c r="T13" i="13"/>
  <c r="X10" i="13"/>
  <c r="T9" i="13"/>
  <c r="X6" i="13"/>
  <c r="U10" i="13"/>
  <c r="V10" i="13"/>
  <c r="S15" i="13"/>
  <c r="Y21" i="13"/>
  <c r="U7" i="13"/>
  <c r="W10" i="13"/>
  <c r="U15" i="13"/>
  <c r="W7" i="13"/>
  <c r="Y10" i="13"/>
  <c r="T12" i="13"/>
  <c r="W15" i="13"/>
  <c r="Y18" i="13"/>
  <c r="T20" i="13"/>
  <c r="F13" i="15"/>
  <c r="F9" i="15"/>
  <c r="F5" i="15"/>
  <c r="F25" i="15"/>
  <c r="F21" i="15"/>
  <c r="F17" i="15"/>
  <c r="F14" i="15"/>
  <c r="F10" i="15"/>
  <c r="F6" i="15"/>
  <c r="F26" i="15"/>
  <c r="F22" i="15"/>
  <c r="F18" i="15"/>
  <c r="F11" i="15"/>
  <c r="F7" i="15"/>
  <c r="F3" i="15"/>
  <c r="A2" i="15"/>
  <c r="F27" i="15"/>
  <c r="F23" i="15"/>
  <c r="F19" i="15"/>
  <c r="F15" i="15"/>
  <c r="F12" i="15"/>
  <c r="F8" i="15"/>
  <c r="F4" i="15"/>
  <c r="F24" i="15"/>
  <c r="F20" i="15"/>
  <c r="F16" i="15"/>
  <c r="S9" i="13"/>
  <c r="S6" i="13"/>
  <c r="S14" i="13"/>
  <c r="U17" i="13"/>
  <c r="W20" i="13"/>
  <c r="T6" i="13"/>
  <c r="W9" i="13"/>
  <c r="Y12" i="13"/>
  <c r="T14" i="13"/>
  <c r="W17" i="13"/>
  <c r="Y20" i="13"/>
  <c r="Y7" i="13"/>
  <c r="V12" i="13"/>
  <c r="Y15" i="13"/>
  <c r="S17" i="13"/>
  <c r="V20" i="13"/>
  <c r="U9" i="13"/>
  <c r="W12" i="13"/>
  <c r="U6" i="13"/>
  <c r="X9" i="13"/>
  <c r="U14" i="13"/>
  <c r="X17" i="13"/>
  <c r="N7" i="22" a="1"/>
  <c r="N7" i="22" s="1"/>
  <c r="M7" i="22" a="1"/>
  <c r="M7" i="22" s="1"/>
  <c r="L7" i="22" a="1"/>
  <c r="L7" i="22" s="1"/>
  <c r="K7" i="22" a="1"/>
  <c r="K7" i="22" s="1"/>
  <c r="J7" i="22" a="1"/>
  <c r="J7" i="22" s="1"/>
  <c r="I7" i="22" a="1"/>
  <c r="I7" i="22" s="1"/>
  <c r="H7" i="22" a="1"/>
  <c r="H7" i="22" s="1"/>
  <c r="G7" i="22" a="1"/>
  <c r="G7" i="22" s="1"/>
  <c r="F7" i="22" a="1"/>
  <c r="F7" i="22" s="1"/>
  <c r="E7" i="22" a="1"/>
  <c r="E7" i="22" s="1"/>
  <c r="AG6" i="17"/>
  <c r="AO8" i="17"/>
  <c r="AI13" i="17"/>
  <c r="AZ15" i="17"/>
  <c r="AW19" i="17"/>
  <c r="AF6" i="17"/>
  <c r="AH13" i="17"/>
  <c r="AY15" i="17"/>
  <c r="AV6" i="17"/>
  <c r="BD8" i="17"/>
  <c r="AY13" i="17"/>
  <c r="D17" i="17"/>
  <c r="AX19" i="17"/>
  <c r="AW6" i="17"/>
  <c r="BE8" i="17"/>
  <c r="AZ13" i="17"/>
  <c r="V17" i="17"/>
  <c r="G20" i="17"/>
  <c r="AN8" i="17"/>
  <c r="AE19" i="17"/>
  <c r="D7" i="17"/>
  <c r="AF10" i="17"/>
  <c r="H14" i="17"/>
  <c r="W17" i="17"/>
  <c r="Z20" i="17"/>
  <c r="E7" i="17"/>
  <c r="D11" i="17"/>
  <c r="I14" i="17"/>
  <c r="AO17" i="17"/>
  <c r="AR20" i="17"/>
  <c r="L5" i="17"/>
  <c r="T7" i="17"/>
  <c r="E11" i="17"/>
  <c r="Y14" i="17"/>
  <c r="AP17" i="17"/>
  <c r="T21" i="17"/>
  <c r="M5" i="17"/>
  <c r="U7" i="17"/>
  <c r="T11" i="17"/>
  <c r="Z14" i="17"/>
  <c r="BG17" i="17"/>
  <c r="AL21" i="17"/>
  <c r="AB5" i="17"/>
  <c r="AJ7" i="17"/>
  <c r="U11" i="17"/>
  <c r="AP14" i="17"/>
  <c r="BH17" i="17"/>
  <c r="BE21" i="17"/>
  <c r="AT16" i="17"/>
  <c r="AL22" i="17"/>
  <c r="X23" i="17"/>
  <c r="AA12" i="17"/>
  <c r="Q10" i="17"/>
  <c r="AC5" i="17"/>
  <c r="AK7" i="17"/>
  <c r="AJ11" i="17"/>
  <c r="AQ14" i="17"/>
  <c r="R18" i="17"/>
  <c r="AC24" i="17"/>
  <c r="BI9" i="17"/>
  <c r="AR5" i="17"/>
  <c r="AZ7" i="17"/>
  <c r="AK11" i="17"/>
  <c r="BG14" i="17"/>
  <c r="S18" i="17"/>
  <c r="AK26" i="17"/>
  <c r="AS5" i="17"/>
  <c r="BA7" i="17"/>
  <c r="AZ11" i="17"/>
  <c r="BH14" i="17"/>
  <c r="AJ18" i="17"/>
  <c r="BC28" i="17"/>
  <c r="BH5" i="17"/>
  <c r="H8" i="17"/>
  <c r="BA11" i="17"/>
  <c r="P15" i="17"/>
  <c r="AK18" i="17"/>
  <c r="T32" i="17"/>
  <c r="BI5" i="17"/>
  <c r="I8" i="17"/>
  <c r="AQ12" i="17"/>
  <c r="Q15" i="17"/>
  <c r="BB18" i="17"/>
  <c r="AU35" i="17"/>
  <c r="P6" i="17"/>
  <c r="X8" i="17"/>
  <c r="Q13" i="17"/>
  <c r="AG15" i="17"/>
  <c r="L19" i="17"/>
  <c r="Q6" i="17"/>
  <c r="Y8" i="17"/>
  <c r="R13" i="17"/>
  <c r="AH15" i="17"/>
  <c r="AD19" i="17"/>
  <c r="AG10" i="17"/>
  <c r="AR12" i="17"/>
  <c r="AV10" i="17"/>
  <c r="BH12" i="17"/>
  <c r="AW10" i="17"/>
  <c r="BI12" i="17"/>
  <c r="O22" i="17"/>
  <c r="L9" i="17"/>
  <c r="M9" i="17"/>
  <c r="AB9" i="17"/>
  <c r="J16" i="17"/>
  <c r="AC9" i="17"/>
  <c r="K16" i="17"/>
  <c r="AR9" i="17"/>
  <c r="AB16" i="17"/>
  <c r="AS9" i="17"/>
  <c r="AC16" i="17"/>
  <c r="BH9" i="17"/>
  <c r="H12" i="17"/>
  <c r="J12" i="17"/>
  <c r="P10" i="17"/>
  <c r="Z12" i="17"/>
  <c r="E17" i="17"/>
  <c r="M19" i="17"/>
  <c r="H20" i="17"/>
  <c r="AS20" i="17"/>
  <c r="U21" i="17"/>
  <c r="BF21" i="17"/>
  <c r="AM22" i="17"/>
  <c r="AR24" i="17"/>
  <c r="AZ26" i="17"/>
  <c r="R29" i="17"/>
  <c r="BI36" i="17"/>
  <c r="N5" i="17"/>
  <c r="AD5" i="17"/>
  <c r="AT5" i="17"/>
  <c r="R6" i="17"/>
  <c r="AH6" i="17"/>
  <c r="AX6" i="17"/>
  <c r="F7" i="17"/>
  <c r="V7" i="17"/>
  <c r="AL7" i="17"/>
  <c r="BB7" i="17"/>
  <c r="J8" i="17"/>
  <c r="Z8" i="17"/>
  <c r="AP8" i="17"/>
  <c r="BF8" i="17"/>
  <c r="N9" i="17"/>
  <c r="AD9" i="17"/>
  <c r="AT9" i="17"/>
  <c r="R10" i="17"/>
  <c r="AH10" i="17"/>
  <c r="AX10" i="17"/>
  <c r="F11" i="17"/>
  <c r="V11" i="17"/>
  <c r="AL11" i="17"/>
  <c r="BB11" i="17"/>
  <c r="K12" i="17"/>
  <c r="AB12" i="17"/>
  <c r="AS12" i="17"/>
  <c r="S13" i="17"/>
  <c r="AJ13" i="17"/>
  <c r="BA13" i="17"/>
  <c r="J14" i="17"/>
  <c r="AA14" i="17"/>
  <c r="AR14" i="17"/>
  <c r="BI14" i="17"/>
  <c r="R15" i="17"/>
  <c r="AI15" i="17"/>
  <c r="BB15" i="17"/>
  <c r="L16" i="17"/>
  <c r="AD16" i="17"/>
  <c r="AV16" i="17"/>
  <c r="F17" i="17"/>
  <c r="Y17" i="17"/>
  <c r="AQ17" i="17"/>
  <c r="T18" i="17"/>
  <c r="AL18" i="17"/>
  <c r="BD18" i="17"/>
  <c r="N19" i="17"/>
  <c r="AG19" i="17"/>
  <c r="AY19" i="17"/>
  <c r="J20" i="17"/>
  <c r="AB20" i="17"/>
  <c r="AT20" i="17"/>
  <c r="D21" i="17"/>
  <c r="V21" i="17"/>
  <c r="AO21" i="17"/>
  <c r="BG21" i="17"/>
  <c r="R22" i="17"/>
  <c r="AP22" i="17"/>
  <c r="AA23" i="17"/>
  <c r="AS24" i="17"/>
  <c r="BA26" i="17"/>
  <c r="V29" i="17"/>
  <c r="AS32" i="17"/>
  <c r="F37" i="17"/>
  <c r="AU16" i="17"/>
  <c r="BC18" i="17"/>
  <c r="AA20" i="17"/>
  <c r="C21" i="17"/>
  <c r="AM21" i="17"/>
  <c r="P22" i="17"/>
  <c r="Y23" i="17"/>
  <c r="AR32" i="17"/>
  <c r="O5" i="17"/>
  <c r="AE5" i="17"/>
  <c r="AU5" i="17"/>
  <c r="C6" i="17"/>
  <c r="S6" i="17"/>
  <c r="AI6" i="17"/>
  <c r="AY6" i="17"/>
  <c r="G7" i="17"/>
  <c r="W7" i="17"/>
  <c r="AM7" i="17"/>
  <c r="BC7" i="17"/>
  <c r="K8" i="17"/>
  <c r="AA8" i="17"/>
  <c r="AQ8" i="17"/>
  <c r="BG8" i="17"/>
  <c r="O9" i="17"/>
  <c r="AE9" i="17"/>
  <c r="AU9" i="17"/>
  <c r="C10" i="17"/>
  <c r="S10" i="17"/>
  <c r="AI10" i="17"/>
  <c r="AY10" i="17"/>
  <c r="G11" i="17"/>
  <c r="W11" i="17"/>
  <c r="AM11" i="17"/>
  <c r="BC11" i="17"/>
  <c r="L12" i="17"/>
  <c r="AC12" i="17"/>
  <c r="AT12" i="17"/>
  <c r="C13" i="17"/>
  <c r="T13" i="17"/>
  <c r="AK13" i="17"/>
  <c r="BB13" i="17"/>
  <c r="K14" i="17"/>
  <c r="AB14" i="17"/>
  <c r="AS14" i="17"/>
  <c r="S15" i="17"/>
  <c r="AJ15" i="17"/>
  <c r="BC15" i="17"/>
  <c r="M16" i="17"/>
  <c r="AE16" i="17"/>
  <c r="AW16" i="17"/>
  <c r="G17" i="17"/>
  <c r="Z17" i="17"/>
  <c r="AR17" i="17"/>
  <c r="C18" i="17"/>
  <c r="U18" i="17"/>
  <c r="AM18" i="17"/>
  <c r="BE18" i="17"/>
  <c r="O19" i="17"/>
  <c r="AH19" i="17"/>
  <c r="AZ19" i="17"/>
  <c r="K20" i="17"/>
  <c r="AC20" i="17"/>
  <c r="AU20" i="17"/>
  <c r="E21" i="17"/>
  <c r="W21" i="17"/>
  <c r="AP21" i="17"/>
  <c r="BH21" i="17"/>
  <c r="S22" i="17"/>
  <c r="AQ22" i="17"/>
  <c r="AD23" i="17"/>
  <c r="BH24" i="17"/>
  <c r="H27" i="17"/>
  <c r="AR29" i="17"/>
  <c r="J33" i="17"/>
  <c r="I39" i="17"/>
  <c r="P5" i="17"/>
  <c r="AF5" i="17"/>
  <c r="AV5" i="17"/>
  <c r="D6" i="17"/>
  <c r="T6" i="17"/>
  <c r="AJ6" i="17"/>
  <c r="AZ6" i="17"/>
  <c r="H7" i="17"/>
  <c r="X7" i="17"/>
  <c r="AN7" i="17"/>
  <c r="BD7" i="17"/>
  <c r="L8" i="17"/>
  <c r="AB8" i="17"/>
  <c r="AR8" i="17"/>
  <c r="BH8" i="17"/>
  <c r="P9" i="17"/>
  <c r="AF9" i="17"/>
  <c r="AV9" i="17"/>
  <c r="D10" i="17"/>
  <c r="T10" i="17"/>
  <c r="AJ10" i="17"/>
  <c r="AZ10" i="17"/>
  <c r="H11" i="17"/>
  <c r="X11" i="17"/>
  <c r="AN11" i="17"/>
  <c r="BD11" i="17"/>
  <c r="M12" i="17"/>
  <c r="AD12" i="17"/>
  <c r="AU12" i="17"/>
  <c r="D13" i="17"/>
  <c r="U13" i="17"/>
  <c r="AL13" i="17"/>
  <c r="BC13" i="17"/>
  <c r="L14" i="17"/>
  <c r="AC14" i="17"/>
  <c r="AT14" i="17"/>
  <c r="C15" i="17"/>
  <c r="T15" i="17"/>
  <c r="AL15" i="17"/>
  <c r="BD15" i="17"/>
  <c r="N16" i="17"/>
  <c r="AF16" i="17"/>
  <c r="AX16" i="17"/>
  <c r="I17" i="17"/>
  <c r="AA17" i="17"/>
  <c r="AT17" i="17"/>
  <c r="D18" i="17"/>
  <c r="V18" i="17"/>
  <c r="AN18" i="17"/>
  <c r="BF18" i="17"/>
  <c r="Q19" i="17"/>
  <c r="AI19" i="17"/>
  <c r="BB19" i="17"/>
  <c r="L20" i="17"/>
  <c r="AD20" i="17"/>
  <c r="AV20" i="17"/>
  <c r="F21" i="17"/>
  <c r="Y21" i="17"/>
  <c r="AQ21" i="17"/>
  <c r="T22" i="17"/>
  <c r="AY22" i="17"/>
  <c r="AE23" i="17"/>
  <c r="BI24" i="17"/>
  <c r="I27" i="17"/>
  <c r="AU29" i="17"/>
  <c r="K33" i="17"/>
  <c r="N39" i="17"/>
  <c r="Q5" i="17"/>
  <c r="AG5" i="17"/>
  <c r="AW5" i="17"/>
  <c r="E6" i="17"/>
  <c r="U6" i="17"/>
  <c r="AK6" i="17"/>
  <c r="BA6" i="17"/>
  <c r="I7" i="17"/>
  <c r="Y7" i="17"/>
  <c r="AO7" i="17"/>
  <c r="BE7" i="17"/>
  <c r="M8" i="17"/>
  <c r="AC8" i="17"/>
  <c r="AS8" i="17"/>
  <c r="BI8" i="17"/>
  <c r="Q9" i="17"/>
  <c r="AG9" i="17"/>
  <c r="AW9" i="17"/>
  <c r="E10" i="17"/>
  <c r="U10" i="17"/>
  <c r="AK10" i="17"/>
  <c r="BA10" i="17"/>
  <c r="I11" i="17"/>
  <c r="Y11" i="17"/>
  <c r="AO11" i="17"/>
  <c r="BE11" i="17"/>
  <c r="N12" i="17"/>
  <c r="AE12" i="17"/>
  <c r="AV12" i="17"/>
  <c r="E13" i="17"/>
  <c r="V13" i="17"/>
  <c r="AM13" i="17"/>
  <c r="BD13" i="17"/>
  <c r="M14" i="17"/>
  <c r="AD14" i="17"/>
  <c r="AU14" i="17"/>
  <c r="D15" i="17"/>
  <c r="V15" i="17"/>
  <c r="AM15" i="17"/>
  <c r="BE15" i="17"/>
  <c r="O16" i="17"/>
  <c r="AG16" i="17"/>
  <c r="AY16" i="17"/>
  <c r="J17" i="17"/>
  <c r="AB17" i="17"/>
  <c r="AU17" i="17"/>
  <c r="E18" i="17"/>
  <c r="W18" i="17"/>
  <c r="AO18" i="17"/>
  <c r="BG18" i="17"/>
  <c r="R19" i="17"/>
  <c r="AJ19" i="17"/>
  <c r="BC19" i="17"/>
  <c r="M20" i="17"/>
  <c r="AE20" i="17"/>
  <c r="AW20" i="17"/>
  <c r="G21" i="17"/>
  <c r="Z21" i="17"/>
  <c r="AR21" i="17"/>
  <c r="C22" i="17"/>
  <c r="U22" i="17"/>
  <c r="AZ22" i="17"/>
  <c r="AN23" i="17"/>
  <c r="P25" i="17"/>
  <c r="X27" i="17"/>
  <c r="K30" i="17"/>
  <c r="AH33" i="17"/>
  <c r="Q41" i="17"/>
  <c r="R5" i="17"/>
  <c r="AH5" i="17"/>
  <c r="AX5" i="17"/>
  <c r="F6" i="17"/>
  <c r="V6" i="17"/>
  <c r="AL6" i="17"/>
  <c r="BB6" i="17"/>
  <c r="J7" i="17"/>
  <c r="Z7" i="17"/>
  <c r="AP7" i="17"/>
  <c r="BF7" i="17"/>
  <c r="N8" i="17"/>
  <c r="AD8" i="17"/>
  <c r="AT8" i="17"/>
  <c r="R9" i="17"/>
  <c r="AH9" i="17"/>
  <c r="AX9" i="17"/>
  <c r="F10" i="17"/>
  <c r="V10" i="17"/>
  <c r="AL10" i="17"/>
  <c r="BB10" i="17"/>
  <c r="J11" i="17"/>
  <c r="Z11" i="17"/>
  <c r="AP11" i="17"/>
  <c r="BF11" i="17"/>
  <c r="O12" i="17"/>
  <c r="AF12" i="17"/>
  <c r="AW12" i="17"/>
  <c r="F13" i="17"/>
  <c r="W13" i="17"/>
  <c r="AN13" i="17"/>
  <c r="BE13" i="17"/>
  <c r="N14" i="17"/>
  <c r="AE14" i="17"/>
  <c r="AV14" i="17"/>
  <c r="F15" i="17"/>
  <c r="W15" i="17"/>
  <c r="AN15" i="17"/>
  <c r="BF15" i="17"/>
  <c r="P16" i="17"/>
  <c r="AH16" i="17"/>
  <c r="BA16" i="17"/>
  <c r="K17" i="17"/>
  <c r="AD17" i="17"/>
  <c r="AV17" i="17"/>
  <c r="F18" i="17"/>
  <c r="X18" i="17"/>
  <c r="AP18" i="17"/>
  <c r="BI18" i="17"/>
  <c r="S19" i="17"/>
  <c r="AL19" i="17"/>
  <c r="BD19" i="17"/>
  <c r="N20" i="17"/>
  <c r="AF20" i="17"/>
  <c r="AX20" i="17"/>
  <c r="I21" i="17"/>
  <c r="AA21" i="17"/>
  <c r="AT21" i="17"/>
  <c r="D22" i="17"/>
  <c r="V22" i="17"/>
  <c r="BA22" i="17"/>
  <c r="AO23" i="17"/>
  <c r="Q25" i="17"/>
  <c r="Y27" i="17"/>
  <c r="L30" i="17"/>
  <c r="AL33" i="17"/>
  <c r="V41" i="17"/>
  <c r="C5" i="17"/>
  <c r="S5" i="17"/>
  <c r="AI5" i="17"/>
  <c r="AY5" i="17"/>
  <c r="G6" i="17"/>
  <c r="W6" i="17"/>
  <c r="AM6" i="17"/>
  <c r="BC6" i="17"/>
  <c r="K7" i="17"/>
  <c r="AA7" i="17"/>
  <c r="AQ7" i="17"/>
  <c r="BG7" i="17"/>
  <c r="O8" i="17"/>
  <c r="AE8" i="17"/>
  <c r="AU8" i="17"/>
  <c r="C9" i="17"/>
  <c r="S9" i="17"/>
  <c r="AI9" i="17"/>
  <c r="AY9" i="17"/>
  <c r="G10" i="17"/>
  <c r="W10" i="17"/>
  <c r="AM10" i="17"/>
  <c r="BC10" i="17"/>
  <c r="K11" i="17"/>
  <c r="AA11" i="17"/>
  <c r="AQ11" i="17"/>
  <c r="BG11" i="17"/>
  <c r="P12" i="17"/>
  <c r="AG12" i="17"/>
  <c r="AX12" i="17"/>
  <c r="G13" i="17"/>
  <c r="X13" i="17"/>
  <c r="AO13" i="17"/>
  <c r="BF13" i="17"/>
  <c r="O14" i="17"/>
  <c r="AF14" i="17"/>
  <c r="AX14" i="17"/>
  <c r="G15" i="17"/>
  <c r="X15" i="17"/>
  <c r="AO15" i="17"/>
  <c r="BG15" i="17"/>
  <c r="Q16" i="17"/>
  <c r="AI16" i="17"/>
  <c r="BB16" i="17"/>
  <c r="L17" i="17"/>
  <c r="AE17" i="17"/>
  <c r="AW17" i="17"/>
  <c r="G18" i="17"/>
  <c r="Y18" i="17"/>
  <c r="AQ18" i="17"/>
  <c r="T19" i="17"/>
  <c r="AM19" i="17"/>
  <c r="BE19" i="17"/>
  <c r="O20" i="17"/>
  <c r="AG20" i="17"/>
  <c r="AY20" i="17"/>
  <c r="J21" i="17"/>
  <c r="AB21" i="17"/>
  <c r="AU21" i="17"/>
  <c r="E22" i="17"/>
  <c r="W22" i="17"/>
  <c r="BC22" i="17"/>
  <c r="AQ23" i="17"/>
  <c r="AF25" i="17"/>
  <c r="AN27" i="17"/>
  <c r="AJ30" i="17"/>
  <c r="BH33" i="17"/>
  <c r="BE46" i="17"/>
  <c r="AO46" i="17"/>
  <c r="Y46" i="17"/>
  <c r="I46" i="17"/>
  <c r="BA45" i="17"/>
  <c r="AK45" i="17"/>
  <c r="U45" i="17"/>
  <c r="E45" i="17"/>
  <c r="AW44" i="17"/>
  <c r="AG44" i="17"/>
  <c r="Q44" i="17"/>
  <c r="BI43" i="17"/>
  <c r="AS43" i="17"/>
  <c r="AC43" i="17"/>
  <c r="M43" i="17"/>
  <c r="BE42" i="17"/>
  <c r="AO42" i="17"/>
  <c r="Y42" i="17"/>
  <c r="I42" i="17"/>
  <c r="BA41" i="17"/>
  <c r="AK41" i="17"/>
  <c r="U41" i="17"/>
  <c r="E41" i="17"/>
  <c r="AW40" i="17"/>
  <c r="AG40" i="17"/>
  <c r="Q40" i="17"/>
  <c r="BI39" i="17"/>
  <c r="AS39" i="17"/>
  <c r="AC39" i="17"/>
  <c r="M39" i="17"/>
  <c r="BE38" i="17"/>
  <c r="AO38" i="17"/>
  <c r="Y38" i="17"/>
  <c r="I38" i="17"/>
  <c r="BA37" i="17"/>
  <c r="AK37" i="17"/>
  <c r="U37" i="17"/>
  <c r="E37" i="17"/>
  <c r="AW36" i="17"/>
  <c r="AG36" i="17"/>
  <c r="Q36" i="17"/>
  <c r="BI35" i="17"/>
  <c r="AS35" i="17"/>
  <c r="AC35" i="17"/>
  <c r="M35" i="17"/>
  <c r="BE34" i="17"/>
  <c r="AO34" i="17"/>
  <c r="Y34" i="17"/>
  <c r="I34" i="17"/>
  <c r="BA33" i="17"/>
  <c r="AK33" i="17"/>
  <c r="U33" i="17"/>
  <c r="E33" i="17"/>
  <c r="AW32" i="17"/>
  <c r="AG32" i="17"/>
  <c r="Q32" i="17"/>
  <c r="BI31" i="17"/>
  <c r="AS31" i="17"/>
  <c r="AC31" i="17"/>
  <c r="M31" i="17"/>
  <c r="BE30" i="17"/>
  <c r="AO30" i="17"/>
  <c r="Y30" i="17"/>
  <c r="I30" i="17"/>
  <c r="BA29" i="17"/>
  <c r="AK29" i="17"/>
  <c r="U29" i="17"/>
  <c r="E29" i="17"/>
  <c r="AW28" i="17"/>
  <c r="AG28" i="17"/>
  <c r="Q28" i="17"/>
  <c r="BI27" i="17"/>
  <c r="AS27" i="17"/>
  <c r="BD46" i="17"/>
  <c r="AN46" i="17"/>
  <c r="X46" i="17"/>
  <c r="H46" i="17"/>
  <c r="AZ45" i="17"/>
  <c r="AJ45" i="17"/>
  <c r="T45" i="17"/>
  <c r="D45" i="17"/>
  <c r="AV44" i="17"/>
  <c r="AF44" i="17"/>
  <c r="P44" i="17"/>
  <c r="BH43" i="17"/>
  <c r="AR43" i="17"/>
  <c r="AB43" i="17"/>
  <c r="L43" i="17"/>
  <c r="BD42" i="17"/>
  <c r="AN42" i="17"/>
  <c r="X42" i="17"/>
  <c r="H42" i="17"/>
  <c r="AZ41" i="17"/>
  <c r="AJ41" i="17"/>
  <c r="T41" i="17"/>
  <c r="D41" i="17"/>
  <c r="AV40" i="17"/>
  <c r="AF40" i="17"/>
  <c r="P40" i="17"/>
  <c r="BH39" i="17"/>
  <c r="AR39" i="17"/>
  <c r="AB39" i="17"/>
  <c r="L39" i="17"/>
  <c r="BD38" i="17"/>
  <c r="AN38" i="17"/>
  <c r="X38" i="17"/>
  <c r="H38" i="17"/>
  <c r="AZ37" i="17"/>
  <c r="AJ37" i="17"/>
  <c r="T37" i="17"/>
  <c r="D37" i="17"/>
  <c r="AV36" i="17"/>
  <c r="AF36" i="17"/>
  <c r="P36" i="17"/>
  <c r="BH35" i="17"/>
  <c r="AR35" i="17"/>
  <c r="AB35" i="17"/>
  <c r="L35" i="17"/>
  <c r="BD34" i="17"/>
  <c r="AN34" i="17"/>
  <c r="X34" i="17"/>
  <c r="H34" i="17"/>
  <c r="AZ33" i="17"/>
  <c r="AJ33" i="17"/>
  <c r="T33" i="17"/>
  <c r="D33" i="17"/>
  <c r="AV32" i="17"/>
  <c r="AF32" i="17"/>
  <c r="P32" i="17"/>
  <c r="BH31" i="17"/>
  <c r="AR31" i="17"/>
  <c r="AB31" i="17"/>
  <c r="L31" i="17"/>
  <c r="BD30" i="17"/>
  <c r="AN30" i="17"/>
  <c r="X30" i="17"/>
  <c r="H30" i="17"/>
  <c r="AZ29" i="17"/>
  <c r="AJ29" i="17"/>
  <c r="T29" i="17"/>
  <c r="D29" i="17"/>
  <c r="AV28" i="17"/>
  <c r="BC46" i="17"/>
  <c r="AM46" i="17"/>
  <c r="W46" i="17"/>
  <c r="G46" i="17"/>
  <c r="AY45" i="17"/>
  <c r="AI45" i="17"/>
  <c r="S45" i="17"/>
  <c r="C45" i="17"/>
  <c r="AU44" i="17"/>
  <c r="AE44" i="17"/>
  <c r="O44" i="17"/>
  <c r="BG43" i="17"/>
  <c r="AQ43" i="17"/>
  <c r="AA43" i="17"/>
  <c r="K43" i="17"/>
  <c r="BC42" i="17"/>
  <c r="AM42" i="17"/>
  <c r="W42" i="17"/>
  <c r="G42" i="17"/>
  <c r="AY41" i="17"/>
  <c r="AI41" i="17"/>
  <c r="S41" i="17"/>
  <c r="C41" i="17"/>
  <c r="AU40" i="17"/>
  <c r="AE40" i="17"/>
  <c r="O40" i="17"/>
  <c r="BG39" i="17"/>
  <c r="AQ39" i="17"/>
  <c r="AA39" i="17"/>
  <c r="K39" i="17"/>
  <c r="BC38" i="17"/>
  <c r="AM38" i="17"/>
  <c r="W38" i="17"/>
  <c r="G38" i="17"/>
  <c r="AY37" i="17"/>
  <c r="AI37" i="17"/>
  <c r="S37" i="17"/>
  <c r="C37" i="17"/>
  <c r="AU36" i="17"/>
  <c r="AE36" i="17"/>
  <c r="O36" i="17"/>
  <c r="BG35" i="17"/>
  <c r="AQ35" i="17"/>
  <c r="AA35" i="17"/>
  <c r="K35" i="17"/>
  <c r="BC34" i="17"/>
  <c r="AM34" i="17"/>
  <c r="W34" i="17"/>
  <c r="G34" i="17"/>
  <c r="AY33" i="17"/>
  <c r="AI33" i="17"/>
  <c r="S33" i="17"/>
  <c r="C33" i="17"/>
  <c r="AU32" i="17"/>
  <c r="AE32" i="17"/>
  <c r="O32" i="17"/>
  <c r="BG31" i="17"/>
  <c r="AQ31" i="17"/>
  <c r="AA31" i="17"/>
  <c r="K31" i="17"/>
  <c r="BC30" i="17"/>
  <c r="AM30" i="17"/>
  <c r="W30" i="17"/>
  <c r="G30" i="17"/>
  <c r="AY29" i="17"/>
  <c r="AI29" i="17"/>
  <c r="S29" i="17"/>
  <c r="C29" i="17"/>
  <c r="BB46" i="17"/>
  <c r="AL46" i="17"/>
  <c r="V46" i="17"/>
  <c r="F46" i="17"/>
  <c r="AX45" i="17"/>
  <c r="AH45" i="17"/>
  <c r="R45" i="17"/>
  <c r="AT44" i="17"/>
  <c r="AD44" i="17"/>
  <c r="N44" i="17"/>
  <c r="BF43" i="17"/>
  <c r="AP43" i="17"/>
  <c r="Z43" i="17"/>
  <c r="J43" i="17"/>
  <c r="BB42" i="17"/>
  <c r="AL42" i="17"/>
  <c r="V42" i="17"/>
  <c r="F42" i="17"/>
  <c r="AX41" i="17"/>
  <c r="AH41" i="17"/>
  <c r="R41" i="17"/>
  <c r="AT40" i="17"/>
  <c r="AD40" i="17"/>
  <c r="N40" i="17"/>
  <c r="BF39" i="17"/>
  <c r="AP39" i="17"/>
  <c r="Z39" i="17"/>
  <c r="J39" i="17"/>
  <c r="BB38" i="17"/>
  <c r="AL38" i="17"/>
  <c r="V38" i="17"/>
  <c r="F38" i="17"/>
  <c r="AX37" i="17"/>
  <c r="AH37" i="17"/>
  <c r="R37" i="17"/>
  <c r="AT36" i="17"/>
  <c r="AD36" i="17"/>
  <c r="N36" i="17"/>
  <c r="AZ46" i="17"/>
  <c r="AJ46" i="17"/>
  <c r="T46" i="17"/>
  <c r="D46" i="17"/>
  <c r="AV45" i="17"/>
  <c r="AF45" i="17"/>
  <c r="P45" i="17"/>
  <c r="BH44" i="17"/>
  <c r="AR44" i="17"/>
  <c r="AB44" i="17"/>
  <c r="L44" i="17"/>
  <c r="BD43" i="17"/>
  <c r="AN43" i="17"/>
  <c r="X43" i="17"/>
  <c r="H43" i="17"/>
  <c r="AZ42" i="17"/>
  <c r="AJ42" i="17"/>
  <c r="T42" i="17"/>
  <c r="D42" i="17"/>
  <c r="AV41" i="17"/>
  <c r="AF41" i="17"/>
  <c r="P41" i="17"/>
  <c r="BH40" i="17"/>
  <c r="AR40" i="17"/>
  <c r="AB40" i="17"/>
  <c r="L40" i="17"/>
  <c r="BD39" i="17"/>
  <c r="AN39" i="17"/>
  <c r="X39" i="17"/>
  <c r="H39" i="17"/>
  <c r="AZ38" i="17"/>
  <c r="AJ38" i="17"/>
  <c r="T38" i="17"/>
  <c r="D38" i="17"/>
  <c r="AV37" i="17"/>
  <c r="AF37" i="17"/>
  <c r="P37" i="17"/>
  <c r="BH36" i="17"/>
  <c r="AR36" i="17"/>
  <c r="AB36" i="17"/>
  <c r="L36" i="17"/>
  <c r="AY46" i="17"/>
  <c r="AI46" i="17"/>
  <c r="S46" i="17"/>
  <c r="C46" i="17"/>
  <c r="AU45" i="17"/>
  <c r="AE45" i="17"/>
  <c r="O45" i="17"/>
  <c r="BG44" i="17"/>
  <c r="AQ44" i="17"/>
  <c r="AA44" i="17"/>
  <c r="K44" i="17"/>
  <c r="BC43" i="17"/>
  <c r="AM43" i="17"/>
  <c r="W43" i="17"/>
  <c r="G43" i="17"/>
  <c r="AY42" i="17"/>
  <c r="AI42" i="17"/>
  <c r="S42" i="17"/>
  <c r="C42" i="17"/>
  <c r="AU41" i="17"/>
  <c r="AE41" i="17"/>
  <c r="O41" i="17"/>
  <c r="BG40" i="17"/>
  <c r="AQ40" i="17"/>
  <c r="AA40" i="17"/>
  <c r="K40" i="17"/>
  <c r="BC39" i="17"/>
  <c r="AM39" i="17"/>
  <c r="W39" i="17"/>
  <c r="G39" i="17"/>
  <c r="AY38" i="17"/>
  <c r="AI38" i="17"/>
  <c r="S38" i="17"/>
  <c r="C38" i="17"/>
  <c r="AU37" i="17"/>
  <c r="AE37" i="17"/>
  <c r="O37" i="17"/>
  <c r="BG36" i="17"/>
  <c r="AQ36" i="17"/>
  <c r="AA36" i="17"/>
  <c r="K36" i="17"/>
  <c r="BC35" i="17"/>
  <c r="AX46" i="17"/>
  <c r="AH46" i="17"/>
  <c r="R46" i="17"/>
  <c r="AT45" i="17"/>
  <c r="AD45" i="17"/>
  <c r="N45" i="17"/>
  <c r="BF44" i="17"/>
  <c r="AP44" i="17"/>
  <c r="Z44" i="17"/>
  <c r="J44" i="17"/>
  <c r="BB43" i="17"/>
  <c r="AL43" i="17"/>
  <c r="V43" i="17"/>
  <c r="F43" i="17"/>
  <c r="AX42" i="17"/>
  <c r="AH42" i="17"/>
  <c r="R42" i="17"/>
  <c r="AT41" i="17"/>
  <c r="AD41" i="17"/>
  <c r="N41" i="17"/>
  <c r="BF40" i="17"/>
  <c r="AP40" i="17"/>
  <c r="Z40" i="17"/>
  <c r="J40" i="17"/>
  <c r="BB39" i="17"/>
  <c r="AL39" i="17"/>
  <c r="V39" i="17"/>
  <c r="F39" i="17"/>
  <c r="AX38" i="17"/>
  <c r="AH38" i="17"/>
  <c r="R38" i="17"/>
  <c r="AT37" i="17"/>
  <c r="AD37" i="17"/>
  <c r="N37" i="17"/>
  <c r="BF36" i="17"/>
  <c r="AP36" i="17"/>
  <c r="Z36" i="17"/>
  <c r="J36" i="17"/>
  <c r="BB35" i="17"/>
  <c r="AL35" i="17"/>
  <c r="V35" i="17"/>
  <c r="F35" i="17"/>
  <c r="AX34" i="17"/>
  <c r="AH34" i="17"/>
  <c r="R34" i="17"/>
  <c r="AT33" i="17"/>
  <c r="AD33" i="17"/>
  <c r="N33" i="17"/>
  <c r="BF32" i="17"/>
  <c r="AP32" i="17"/>
  <c r="Z32" i="17"/>
  <c r="J32" i="17"/>
  <c r="BB31" i="17"/>
  <c r="AL31" i="17"/>
  <c r="V31" i="17"/>
  <c r="F31" i="17"/>
  <c r="AX30" i="17"/>
  <c r="AH30" i="17"/>
  <c r="R30" i="17"/>
  <c r="AT29" i="17"/>
  <c r="AD29" i="17"/>
  <c r="N29" i="17"/>
  <c r="BF28" i="17"/>
  <c r="AW46" i="17"/>
  <c r="AG46" i="17"/>
  <c r="Q46" i="17"/>
  <c r="BI45" i="17"/>
  <c r="AS45" i="17"/>
  <c r="AC45" i="17"/>
  <c r="M45" i="17"/>
  <c r="BE44" i="17"/>
  <c r="AO44" i="17"/>
  <c r="Y44" i="17"/>
  <c r="I44" i="17"/>
  <c r="BA43" i="17"/>
  <c r="AK43" i="17"/>
  <c r="U43" i="17"/>
  <c r="E43" i="17"/>
  <c r="AW42" i="17"/>
  <c r="AG42" i="17"/>
  <c r="Q42" i="17"/>
  <c r="BI41" i="17"/>
  <c r="AS41" i="17"/>
  <c r="AC41" i="17"/>
  <c r="M41" i="17"/>
  <c r="BE40" i="17"/>
  <c r="AO40" i="17"/>
  <c r="Y40" i="17"/>
  <c r="I40" i="17"/>
  <c r="BA39" i="17"/>
  <c r="AK39" i="17"/>
  <c r="U39" i="17"/>
  <c r="E39" i="17"/>
  <c r="AW38" i="17"/>
  <c r="AG38" i="17"/>
  <c r="Q38" i="17"/>
  <c r="BI37" i="17"/>
  <c r="AS37" i="17"/>
  <c r="AC37" i="17"/>
  <c r="M37" i="17"/>
  <c r="BE36" i="17"/>
  <c r="AO36" i="17"/>
  <c r="Y36" i="17"/>
  <c r="I36" i="17"/>
  <c r="BA35" i="17"/>
  <c r="AK35" i="17"/>
  <c r="U35" i="17"/>
  <c r="E35" i="17"/>
  <c r="AW34" i="17"/>
  <c r="AG34" i="17"/>
  <c r="Q34" i="17"/>
  <c r="BI33" i="17"/>
  <c r="AS33" i="17"/>
  <c r="AC33" i="17"/>
  <c r="M33" i="17"/>
  <c r="BE32" i="17"/>
  <c r="AO32" i="17"/>
  <c r="Y32" i="17"/>
  <c r="I32" i="17"/>
  <c r="BA31" i="17"/>
  <c r="AK31" i="17"/>
  <c r="U31" i="17"/>
  <c r="E31" i="17"/>
  <c r="AW30" i="17"/>
  <c r="AG30" i="17"/>
  <c r="Q30" i="17"/>
  <c r="BI29" i="17"/>
  <c r="AS29" i="17"/>
  <c r="AC29" i="17"/>
  <c r="M29" i="17"/>
  <c r="BE28" i="17"/>
  <c r="AO28" i="17"/>
  <c r="Y28" i="17"/>
  <c r="I28" i="17"/>
  <c r="BA27" i="17"/>
  <c r="AV46" i="17"/>
  <c r="AF46" i="17"/>
  <c r="P46" i="17"/>
  <c r="BH45" i="17"/>
  <c r="AR45" i="17"/>
  <c r="AB45" i="17"/>
  <c r="L45" i="17"/>
  <c r="BD44" i="17"/>
  <c r="AN44" i="17"/>
  <c r="X44" i="17"/>
  <c r="H44" i="17"/>
  <c r="AZ43" i="17"/>
  <c r="AJ43" i="17"/>
  <c r="T43" i="17"/>
  <c r="D43" i="17"/>
  <c r="AV42" i="17"/>
  <c r="AF42" i="17"/>
  <c r="P42" i="17"/>
  <c r="BH41" i="17"/>
  <c r="AR41" i="17"/>
  <c r="AB41" i="17"/>
  <c r="L41" i="17"/>
  <c r="BD40" i="17"/>
  <c r="AN40" i="17"/>
  <c r="X40" i="17"/>
  <c r="H40" i="17"/>
  <c r="AZ39" i="17"/>
  <c r="AJ39" i="17"/>
  <c r="T39" i="17"/>
  <c r="D39" i="17"/>
  <c r="AV38" i="17"/>
  <c r="AF38" i="17"/>
  <c r="P38" i="17"/>
  <c r="BH37" i="17"/>
  <c r="AR37" i="17"/>
  <c r="AB37" i="17"/>
  <c r="L37" i="17"/>
  <c r="BD36" i="17"/>
  <c r="AN36" i="17"/>
  <c r="X36" i="17"/>
  <c r="H36" i="17"/>
  <c r="AZ35" i="17"/>
  <c r="AJ35" i="17"/>
  <c r="AU46" i="17"/>
  <c r="AE46" i="17"/>
  <c r="O46" i="17"/>
  <c r="BG45" i="17"/>
  <c r="AQ45" i="17"/>
  <c r="AA45" i="17"/>
  <c r="K45" i="17"/>
  <c r="BC44" i="17"/>
  <c r="AM44" i="17"/>
  <c r="W44" i="17"/>
  <c r="G44" i="17"/>
  <c r="AY43" i="17"/>
  <c r="AI43" i="17"/>
  <c r="S43" i="17"/>
  <c r="C43" i="17"/>
  <c r="AU42" i="17"/>
  <c r="AE42" i="17"/>
  <c r="O42" i="17"/>
  <c r="BG41" i="17"/>
  <c r="AQ41" i="17"/>
  <c r="AA41" i="17"/>
  <c r="K41" i="17"/>
  <c r="BC40" i="17"/>
  <c r="AM40" i="17"/>
  <c r="W40" i="17"/>
  <c r="G40" i="17"/>
  <c r="AY39" i="17"/>
  <c r="AI39" i="17"/>
  <c r="S39" i="17"/>
  <c r="C39" i="17"/>
  <c r="AU38" i="17"/>
  <c r="AE38" i="17"/>
  <c r="O38" i="17"/>
  <c r="BG37" i="17"/>
  <c r="AQ37" i="17"/>
  <c r="AA37" i="17"/>
  <c r="K37" i="17"/>
  <c r="BC36" i="17"/>
  <c r="AM36" i="17"/>
  <c r="W36" i="17"/>
  <c r="G36" i="17"/>
  <c r="AY35" i="17"/>
  <c r="AT46" i="17"/>
  <c r="AD46" i="17"/>
  <c r="N46" i="17"/>
  <c r="BF45" i="17"/>
  <c r="AP45" i="17"/>
  <c r="Z45" i="17"/>
  <c r="J45" i="17"/>
  <c r="BB44" i="17"/>
  <c r="AL44" i="17"/>
  <c r="V44" i="17"/>
  <c r="F44" i="17"/>
  <c r="AX43" i="17"/>
  <c r="AH43" i="17"/>
  <c r="R43" i="17"/>
  <c r="AT42" i="17"/>
  <c r="AD42" i="17"/>
  <c r="N42" i="17"/>
  <c r="BF41" i="17"/>
  <c r="AP41" i="17"/>
  <c r="Z41" i="17"/>
  <c r="J41" i="17"/>
  <c r="BB40" i="17"/>
  <c r="AL40" i="17"/>
  <c r="V40" i="17"/>
  <c r="F40" i="17"/>
  <c r="AX39" i="17"/>
  <c r="AH39" i="17"/>
  <c r="R39" i="17"/>
  <c r="AT38" i="17"/>
  <c r="AD38" i="17"/>
  <c r="N38" i="17"/>
  <c r="BF37" i="17"/>
  <c r="AP37" i="17"/>
  <c r="Z37" i="17"/>
  <c r="J37" i="17"/>
  <c r="BB36" i="17"/>
  <c r="AL36" i="17"/>
  <c r="BI46" i="17"/>
  <c r="AS46" i="17"/>
  <c r="AC46" i="17"/>
  <c r="M46" i="17"/>
  <c r="BE45" i="17"/>
  <c r="AO45" i="17"/>
  <c r="Y45" i="17"/>
  <c r="I45" i="17"/>
  <c r="BA44" i="17"/>
  <c r="AK44" i="17"/>
  <c r="U44" i="17"/>
  <c r="E44" i="17"/>
  <c r="AW43" i="17"/>
  <c r="AG43" i="17"/>
  <c r="Q43" i="17"/>
  <c r="BI42" i="17"/>
  <c r="AS42" i="17"/>
  <c r="AC42" i="17"/>
  <c r="M42" i="17"/>
  <c r="BE41" i="17"/>
  <c r="AO41" i="17"/>
  <c r="Y41" i="17"/>
  <c r="I41" i="17"/>
  <c r="BA40" i="17"/>
  <c r="AK40" i="17"/>
  <c r="U40" i="17"/>
  <c r="E40" i="17"/>
  <c r="AW39" i="17"/>
  <c r="AG39" i="17"/>
  <c r="Q39" i="17"/>
  <c r="BI38" i="17"/>
  <c r="AS38" i="17"/>
  <c r="AC38" i="17"/>
  <c r="M38" i="17"/>
  <c r="BE37" i="17"/>
  <c r="AO37" i="17"/>
  <c r="Y37" i="17"/>
  <c r="I37" i="17"/>
  <c r="BA36" i="17"/>
  <c r="AK36" i="17"/>
  <c r="U36" i="17"/>
  <c r="E36" i="17"/>
  <c r="AW35" i="17"/>
  <c r="AG35" i="17"/>
  <c r="Q35" i="17"/>
  <c r="BI34" i="17"/>
  <c r="AS34" i="17"/>
  <c r="AC34" i="17"/>
  <c r="M34" i="17"/>
  <c r="BE33" i="17"/>
  <c r="AO33" i="17"/>
  <c r="Y33" i="17"/>
  <c r="I33" i="17"/>
  <c r="BA32" i="17"/>
  <c r="AK32" i="17"/>
  <c r="U32" i="17"/>
  <c r="E32" i="17"/>
  <c r="AW31" i="17"/>
  <c r="AG31" i="17"/>
  <c r="Q31" i="17"/>
  <c r="BI30" i="17"/>
  <c r="AS30" i="17"/>
  <c r="AC30" i="17"/>
  <c r="M30" i="17"/>
  <c r="BE29" i="17"/>
  <c r="AO29" i="17"/>
  <c r="Y29" i="17"/>
  <c r="I29" i="17"/>
  <c r="BH46" i="17"/>
  <c r="AR46" i="17"/>
  <c r="AB46" i="17"/>
  <c r="L46" i="17"/>
  <c r="BD45" i="17"/>
  <c r="AN45" i="17"/>
  <c r="X45" i="17"/>
  <c r="H45" i="17"/>
  <c r="AZ44" i="17"/>
  <c r="AJ44" i="17"/>
  <c r="T44" i="17"/>
  <c r="D44" i="17"/>
  <c r="AV43" i="17"/>
  <c r="AF43" i="17"/>
  <c r="P43" i="17"/>
  <c r="BH42" i="17"/>
  <c r="AR42" i="17"/>
  <c r="AB42" i="17"/>
  <c r="L42" i="17"/>
  <c r="BD41" i="17"/>
  <c r="AN41" i="17"/>
  <c r="X41" i="17"/>
  <c r="H41" i="17"/>
  <c r="AZ40" i="17"/>
  <c r="AJ40" i="17"/>
  <c r="T40" i="17"/>
  <c r="D40" i="17"/>
  <c r="AV39" i="17"/>
  <c r="AF39" i="17"/>
  <c r="P39" i="17"/>
  <c r="BH38" i="17"/>
  <c r="AR38" i="17"/>
  <c r="AB38" i="17"/>
  <c r="L38" i="17"/>
  <c r="BD37" i="17"/>
  <c r="AN37" i="17"/>
  <c r="X37" i="17"/>
  <c r="H37" i="17"/>
  <c r="AZ36" i="17"/>
  <c r="AJ36" i="17"/>
  <c r="T36" i="17"/>
  <c r="D36" i="17"/>
  <c r="BG46" i="17"/>
  <c r="AQ46" i="17"/>
  <c r="AA46" i="17"/>
  <c r="K46" i="17"/>
  <c r="BC45" i="17"/>
  <c r="AM45" i="17"/>
  <c r="W45" i="17"/>
  <c r="G45" i="17"/>
  <c r="AY44" i="17"/>
  <c r="AI44" i="17"/>
  <c r="S44" i="17"/>
  <c r="C44" i="17"/>
  <c r="AU43" i="17"/>
  <c r="AE43" i="17"/>
  <c r="O43" i="17"/>
  <c r="BG42" i="17"/>
  <c r="AQ42" i="17"/>
  <c r="AA42" i="17"/>
  <c r="K42" i="17"/>
  <c r="BC41" i="17"/>
  <c r="AM41" i="17"/>
  <c r="W41" i="17"/>
  <c r="G41" i="17"/>
  <c r="AY40" i="17"/>
  <c r="AI40" i="17"/>
  <c r="S40" i="17"/>
  <c r="C40" i="17"/>
  <c r="AU39" i="17"/>
  <c r="AE39" i="17"/>
  <c r="O39" i="17"/>
  <c r="BG38" i="17"/>
  <c r="AQ38" i="17"/>
  <c r="AA38" i="17"/>
  <c r="K38" i="17"/>
  <c r="BC37" i="17"/>
  <c r="AM37" i="17"/>
  <c r="W37" i="17"/>
  <c r="G37" i="17"/>
  <c r="AY36" i="17"/>
  <c r="AI36" i="17"/>
  <c r="S36" i="17"/>
  <c r="C36" i="17"/>
  <c r="Q45" i="17"/>
  <c r="I43" i="17"/>
  <c r="BI40" i="17"/>
  <c r="BA38" i="17"/>
  <c r="AS36" i="17"/>
  <c r="AO35" i="17"/>
  <c r="O35" i="17"/>
  <c r="AV34" i="17"/>
  <c r="V34" i="17"/>
  <c r="BF33" i="17"/>
  <c r="AF33" i="17"/>
  <c r="G33" i="17"/>
  <c r="AN32" i="17"/>
  <c r="N32" i="17"/>
  <c r="AX31" i="17"/>
  <c r="X31" i="17"/>
  <c r="BG30" i="17"/>
  <c r="AF30" i="17"/>
  <c r="F30" i="17"/>
  <c r="AP29" i="17"/>
  <c r="P29" i="17"/>
  <c r="AZ28" i="17"/>
  <c r="AF28" i="17"/>
  <c r="N28" i="17"/>
  <c r="BD27" i="17"/>
  <c r="AL27" i="17"/>
  <c r="V27" i="17"/>
  <c r="F27" i="17"/>
  <c r="AX26" i="17"/>
  <c r="AH26" i="17"/>
  <c r="R26" i="17"/>
  <c r="AT25" i="17"/>
  <c r="AD25" i="17"/>
  <c r="N25" i="17"/>
  <c r="BF24" i="17"/>
  <c r="AP24" i="17"/>
  <c r="Z24" i="17"/>
  <c r="J24" i="17"/>
  <c r="BB23" i="17"/>
  <c r="AL23" i="17"/>
  <c r="V23" i="17"/>
  <c r="F23" i="17"/>
  <c r="AX22" i="17"/>
  <c r="AH22" i="17"/>
  <c r="F45" i="17"/>
  <c r="BF42" i="17"/>
  <c r="AX40" i="17"/>
  <c r="AP38" i="17"/>
  <c r="AH36" i="17"/>
  <c r="AN35" i="17"/>
  <c r="N35" i="17"/>
  <c r="AU34" i="17"/>
  <c r="U34" i="17"/>
  <c r="BD33" i="17"/>
  <c r="AE33" i="17"/>
  <c r="F33" i="17"/>
  <c r="AM32" i="17"/>
  <c r="M32" i="17"/>
  <c r="AV31" i="17"/>
  <c r="W31" i="17"/>
  <c r="BF30" i="17"/>
  <c r="AE30" i="17"/>
  <c r="E30" i="17"/>
  <c r="AN29" i="17"/>
  <c r="O29" i="17"/>
  <c r="AY28" i="17"/>
  <c r="AE28" i="17"/>
  <c r="M28" i="17"/>
  <c r="BC27" i="17"/>
  <c r="AK27" i="17"/>
  <c r="U27" i="17"/>
  <c r="E27" i="17"/>
  <c r="AW26" i="17"/>
  <c r="AG26" i="17"/>
  <c r="Q26" i="17"/>
  <c r="BI25" i="17"/>
  <c r="AS25" i="17"/>
  <c r="AC25" i="17"/>
  <c r="M25" i="17"/>
  <c r="BE24" i="17"/>
  <c r="AO24" i="17"/>
  <c r="Y24" i="17"/>
  <c r="I24" i="17"/>
  <c r="BA23" i="17"/>
  <c r="AK23" i="17"/>
  <c r="U23" i="17"/>
  <c r="E23" i="17"/>
  <c r="AW22" i="17"/>
  <c r="AG22" i="17"/>
  <c r="Q22" i="17"/>
  <c r="BI21" i="17"/>
  <c r="AS21" i="17"/>
  <c r="AC21" i="17"/>
  <c r="M21" i="17"/>
  <c r="BE20" i="17"/>
  <c r="AO20" i="17"/>
  <c r="Y20" i="17"/>
  <c r="I20" i="17"/>
  <c r="BA19" i="17"/>
  <c r="AK19" i="17"/>
  <c r="U19" i="17"/>
  <c r="E19" i="17"/>
  <c r="AW18" i="17"/>
  <c r="AG18" i="17"/>
  <c r="Q18" i="17"/>
  <c r="BI17" i="17"/>
  <c r="AS17" i="17"/>
  <c r="AC17" i="17"/>
  <c r="M17" i="17"/>
  <c r="BE16" i="17"/>
  <c r="AO16" i="17"/>
  <c r="Y16" i="17"/>
  <c r="I16" i="17"/>
  <c r="BA15" i="17"/>
  <c r="AK15" i="17"/>
  <c r="U15" i="17"/>
  <c r="E15" i="17"/>
  <c r="AW14" i="17"/>
  <c r="AG14" i="17"/>
  <c r="Q14" i="17"/>
  <c r="BI13" i="17"/>
  <c r="AS13" i="17"/>
  <c r="AC13" i="17"/>
  <c r="M13" i="17"/>
  <c r="BE12" i="17"/>
  <c r="AO12" i="17"/>
  <c r="Y12" i="17"/>
  <c r="I12" i="17"/>
  <c r="BI44" i="17"/>
  <c r="BA42" i="17"/>
  <c r="AS40" i="17"/>
  <c r="AK38" i="17"/>
  <c r="AC36" i="17"/>
  <c r="AM35" i="17"/>
  <c r="J35" i="17"/>
  <c r="AT34" i="17"/>
  <c r="T34" i="17"/>
  <c r="BC33" i="17"/>
  <c r="AB33" i="17"/>
  <c r="AL32" i="17"/>
  <c r="L32" i="17"/>
  <c r="AU31" i="17"/>
  <c r="T31" i="17"/>
  <c r="BB30" i="17"/>
  <c r="AD30" i="17"/>
  <c r="D30" i="17"/>
  <c r="AM29" i="17"/>
  <c r="L29" i="17"/>
  <c r="AX28" i="17"/>
  <c r="AD28" i="17"/>
  <c r="L28" i="17"/>
  <c r="BB27" i="17"/>
  <c r="AJ27" i="17"/>
  <c r="T27" i="17"/>
  <c r="D27" i="17"/>
  <c r="AV26" i="17"/>
  <c r="AF26" i="17"/>
  <c r="P26" i="17"/>
  <c r="BH25" i="17"/>
  <c r="AR25" i="17"/>
  <c r="AB25" i="17"/>
  <c r="L25" i="17"/>
  <c r="BD24" i="17"/>
  <c r="AN24" i="17"/>
  <c r="X24" i="17"/>
  <c r="H24" i="17"/>
  <c r="AZ23" i="17"/>
  <c r="AJ23" i="17"/>
  <c r="T23" i="17"/>
  <c r="D23" i="17"/>
  <c r="AV22" i="17"/>
  <c r="AF22" i="17"/>
  <c r="BF46" i="17"/>
  <c r="AX44" i="17"/>
  <c r="AP42" i="17"/>
  <c r="AH40" i="17"/>
  <c r="Z38" i="17"/>
  <c r="V36" i="17"/>
  <c r="AI35" i="17"/>
  <c r="I35" i="17"/>
  <c r="AR34" i="17"/>
  <c r="S34" i="17"/>
  <c r="BB33" i="17"/>
  <c r="AA33" i="17"/>
  <c r="BI32" i="17"/>
  <c r="AJ32" i="17"/>
  <c r="K32" i="17"/>
  <c r="AT31" i="17"/>
  <c r="S31" i="17"/>
  <c r="BA30" i="17"/>
  <c r="AB30" i="17"/>
  <c r="C30" i="17"/>
  <c r="AL29" i="17"/>
  <c r="K29" i="17"/>
  <c r="AU28" i="17"/>
  <c r="AC28" i="17"/>
  <c r="K28" i="17"/>
  <c r="AZ27" i="17"/>
  <c r="AI27" i="17"/>
  <c r="S27" i="17"/>
  <c r="C27" i="17"/>
  <c r="AU26" i="17"/>
  <c r="AE26" i="17"/>
  <c r="O26" i="17"/>
  <c r="BG25" i="17"/>
  <c r="AQ25" i="17"/>
  <c r="AA25" i="17"/>
  <c r="K25" i="17"/>
  <c r="BC24" i="17"/>
  <c r="AM24" i="17"/>
  <c r="W24" i="17"/>
  <c r="G24" i="17"/>
  <c r="AY23" i="17"/>
  <c r="AI23" i="17"/>
  <c r="S23" i="17"/>
  <c r="C23" i="17"/>
  <c r="AU22" i="17"/>
  <c r="BA46" i="17"/>
  <c r="AS44" i="17"/>
  <c r="AK42" i="17"/>
  <c r="AC40" i="17"/>
  <c r="U38" i="17"/>
  <c r="R36" i="17"/>
  <c r="AH35" i="17"/>
  <c r="H35" i="17"/>
  <c r="AQ34" i="17"/>
  <c r="P34" i="17"/>
  <c r="AX33" i="17"/>
  <c r="Z33" i="17"/>
  <c r="BH32" i="17"/>
  <c r="AI32" i="17"/>
  <c r="H32" i="17"/>
  <c r="AP31" i="17"/>
  <c r="R31" i="17"/>
  <c r="AZ30" i="17"/>
  <c r="AA30" i="17"/>
  <c r="BH29" i="17"/>
  <c r="AH29" i="17"/>
  <c r="J29" i="17"/>
  <c r="AT28" i="17"/>
  <c r="AB28" i="17"/>
  <c r="J28" i="17"/>
  <c r="AY27" i="17"/>
  <c r="AH27" i="17"/>
  <c r="R27" i="17"/>
  <c r="AT26" i="17"/>
  <c r="AD26" i="17"/>
  <c r="N26" i="17"/>
  <c r="BF25" i="17"/>
  <c r="AP25" i="17"/>
  <c r="Z25" i="17"/>
  <c r="J25" i="17"/>
  <c r="BB24" i="17"/>
  <c r="AL24" i="17"/>
  <c r="V24" i="17"/>
  <c r="F24" i="17"/>
  <c r="AX23" i="17"/>
  <c r="AH23" i="17"/>
  <c r="R23" i="17"/>
  <c r="AT22" i="17"/>
  <c r="AP46" i="17"/>
  <c r="AH44" i="17"/>
  <c r="Z42" i="17"/>
  <c r="R40" i="17"/>
  <c r="J38" i="17"/>
  <c r="M36" i="17"/>
  <c r="AF35" i="17"/>
  <c r="G35" i="17"/>
  <c r="AP34" i="17"/>
  <c r="O34" i="17"/>
  <c r="AW33" i="17"/>
  <c r="X33" i="17"/>
  <c r="BG32" i="17"/>
  <c r="AH32" i="17"/>
  <c r="G32" i="17"/>
  <c r="AO31" i="17"/>
  <c r="P31" i="17"/>
  <c r="AY30" i="17"/>
  <c r="Z30" i="17"/>
  <c r="BG29" i="17"/>
  <c r="AG29" i="17"/>
  <c r="H29" i="17"/>
  <c r="AS28" i="17"/>
  <c r="AA28" i="17"/>
  <c r="H28" i="17"/>
  <c r="AX27" i="17"/>
  <c r="AG27" i="17"/>
  <c r="Q27" i="17"/>
  <c r="BI26" i="17"/>
  <c r="AS26" i="17"/>
  <c r="AC26" i="17"/>
  <c r="M26" i="17"/>
  <c r="BE25" i="17"/>
  <c r="AO25" i="17"/>
  <c r="Y25" i="17"/>
  <c r="I25" i="17"/>
  <c r="BA24" i="17"/>
  <c r="AK24" i="17"/>
  <c r="U24" i="17"/>
  <c r="E24" i="17"/>
  <c r="AW23" i="17"/>
  <c r="AG23" i="17"/>
  <c r="Q23" i="17"/>
  <c r="BI22" i="17"/>
  <c r="AS22" i="17"/>
  <c r="AC22" i="17"/>
  <c r="AK46" i="17"/>
  <c r="AC44" i="17"/>
  <c r="U42" i="17"/>
  <c r="M40" i="17"/>
  <c r="E38" i="17"/>
  <c r="F36" i="17"/>
  <c r="AE35" i="17"/>
  <c r="D35" i="17"/>
  <c r="AL34" i="17"/>
  <c r="N34" i="17"/>
  <c r="AV33" i="17"/>
  <c r="W33" i="17"/>
  <c r="BD32" i="17"/>
  <c r="AD32" i="17"/>
  <c r="F32" i="17"/>
  <c r="AN31" i="17"/>
  <c r="O31" i="17"/>
  <c r="AV30" i="17"/>
  <c r="V30" i="17"/>
  <c r="BF29" i="17"/>
  <c r="AF29" i="17"/>
  <c r="G29" i="17"/>
  <c r="AR28" i="17"/>
  <c r="Z28" i="17"/>
  <c r="G28" i="17"/>
  <c r="AW27" i="17"/>
  <c r="AF27" i="17"/>
  <c r="P27" i="17"/>
  <c r="BH26" i="17"/>
  <c r="AR26" i="17"/>
  <c r="AB26" i="17"/>
  <c r="L26" i="17"/>
  <c r="BD25" i="17"/>
  <c r="AN25" i="17"/>
  <c r="X25" i="17"/>
  <c r="H25" i="17"/>
  <c r="AZ24" i="17"/>
  <c r="AJ24" i="17"/>
  <c r="T24" i="17"/>
  <c r="D24" i="17"/>
  <c r="AV23" i="17"/>
  <c r="AF23" i="17"/>
  <c r="P23" i="17"/>
  <c r="BH22" i="17"/>
  <c r="AR22" i="17"/>
  <c r="AB22" i="17"/>
  <c r="L22" i="17"/>
  <c r="BD21" i="17"/>
  <c r="AN21" i="17"/>
  <c r="X21" i="17"/>
  <c r="H21" i="17"/>
  <c r="AZ20" i="17"/>
  <c r="AJ20" i="17"/>
  <c r="T20" i="17"/>
  <c r="D20" i="17"/>
  <c r="AV19" i="17"/>
  <c r="AF19" i="17"/>
  <c r="P19" i="17"/>
  <c r="BH18" i="17"/>
  <c r="AR18" i="17"/>
  <c r="AB18" i="17"/>
  <c r="L18" i="17"/>
  <c r="BD17" i="17"/>
  <c r="AN17" i="17"/>
  <c r="X17" i="17"/>
  <c r="H17" i="17"/>
  <c r="AZ16" i="17"/>
  <c r="AJ16" i="17"/>
  <c r="T16" i="17"/>
  <c r="D16" i="17"/>
  <c r="AV15" i="17"/>
  <c r="Z46" i="17"/>
  <c r="R44" i="17"/>
  <c r="J42" i="17"/>
  <c r="BB37" i="17"/>
  <c r="AD35" i="17"/>
  <c r="C35" i="17"/>
  <c r="AK34" i="17"/>
  <c r="L34" i="17"/>
  <c r="AU33" i="17"/>
  <c r="V33" i="17"/>
  <c r="BC32" i="17"/>
  <c r="AC32" i="17"/>
  <c r="D32" i="17"/>
  <c r="AM31" i="17"/>
  <c r="N31" i="17"/>
  <c r="AU30" i="17"/>
  <c r="U30" i="17"/>
  <c r="BD29" i="17"/>
  <c r="AE29" i="17"/>
  <c r="F29" i="17"/>
  <c r="AQ28" i="17"/>
  <c r="X28" i="17"/>
  <c r="F28" i="17"/>
  <c r="AV27" i="17"/>
  <c r="AE27" i="17"/>
  <c r="O27" i="17"/>
  <c r="BG26" i="17"/>
  <c r="AQ26" i="17"/>
  <c r="AA26" i="17"/>
  <c r="K26" i="17"/>
  <c r="BC25" i="17"/>
  <c r="AM25" i="17"/>
  <c r="W25" i="17"/>
  <c r="G25" i="17"/>
  <c r="AY24" i="17"/>
  <c r="AI24" i="17"/>
  <c r="S24" i="17"/>
  <c r="U46" i="17"/>
  <c r="M44" i="17"/>
  <c r="E42" i="17"/>
  <c r="BE39" i="17"/>
  <c r="AW37" i="17"/>
  <c r="BF35" i="17"/>
  <c r="Z35" i="17"/>
  <c r="AJ34" i="17"/>
  <c r="K34" i="17"/>
  <c r="AR33" i="17"/>
  <c r="R33" i="17"/>
  <c r="BB32" i="17"/>
  <c r="AB32" i="17"/>
  <c r="C32" i="17"/>
  <c r="AJ31" i="17"/>
  <c r="J31" i="17"/>
  <c r="AT30" i="17"/>
  <c r="T30" i="17"/>
  <c r="BC29" i="17"/>
  <c r="AB29" i="17"/>
  <c r="AP28" i="17"/>
  <c r="W28" i="17"/>
  <c r="E28" i="17"/>
  <c r="AU27" i="17"/>
  <c r="AD27" i="17"/>
  <c r="N27" i="17"/>
  <c r="BF26" i="17"/>
  <c r="AP26" i="17"/>
  <c r="Z26" i="17"/>
  <c r="J26" i="17"/>
  <c r="BB25" i="17"/>
  <c r="AL25" i="17"/>
  <c r="V25" i="17"/>
  <c r="F25" i="17"/>
  <c r="AX24" i="17"/>
  <c r="AH24" i="17"/>
  <c r="R24" i="17"/>
  <c r="AT23" i="17"/>
  <c r="J46" i="17"/>
  <c r="BB41" i="17"/>
  <c r="AT39" i="17"/>
  <c r="AL37" i="17"/>
  <c r="BE35" i="17"/>
  <c r="Y35" i="17"/>
  <c r="BH34" i="17"/>
  <c r="AI34" i="17"/>
  <c r="J34" i="17"/>
  <c r="AQ33" i="17"/>
  <c r="Q33" i="17"/>
  <c r="AZ32" i="17"/>
  <c r="AA32" i="17"/>
  <c r="AI31" i="17"/>
  <c r="I31" i="17"/>
  <c r="AR30" i="17"/>
  <c r="S30" i="17"/>
  <c r="BB29" i="17"/>
  <c r="AA29" i="17"/>
  <c r="BI28" i="17"/>
  <c r="AN28" i="17"/>
  <c r="V28" i="17"/>
  <c r="D28" i="17"/>
  <c r="AT27" i="17"/>
  <c r="AC27" i="17"/>
  <c r="M27" i="17"/>
  <c r="BE26" i="17"/>
  <c r="AO26" i="17"/>
  <c r="Y26" i="17"/>
  <c r="I26" i="17"/>
  <c r="BA25" i="17"/>
  <c r="AK25" i="17"/>
  <c r="U25" i="17"/>
  <c r="E25" i="17"/>
  <c r="AW24" i="17"/>
  <c r="AG24" i="17"/>
  <c r="Q24" i="17"/>
  <c r="BI23" i="17"/>
  <c r="AS23" i="17"/>
  <c r="AC23" i="17"/>
  <c r="M23" i="17"/>
  <c r="BE22" i="17"/>
  <c r="AO22" i="17"/>
  <c r="E46" i="17"/>
  <c r="BE43" i="17"/>
  <c r="AW41" i="17"/>
  <c r="AO39" i="17"/>
  <c r="AG37" i="17"/>
  <c r="BD35" i="17"/>
  <c r="X35" i="17"/>
  <c r="BG34" i="17"/>
  <c r="AF34" i="17"/>
  <c r="F34" i="17"/>
  <c r="AP33" i="17"/>
  <c r="P33" i="17"/>
  <c r="AY32" i="17"/>
  <c r="X32" i="17"/>
  <c r="BF31" i="17"/>
  <c r="AH31" i="17"/>
  <c r="H31" i="17"/>
  <c r="AQ30" i="17"/>
  <c r="P30" i="17"/>
  <c r="AX29" i="17"/>
  <c r="Z29" i="17"/>
  <c r="BH28" i="17"/>
  <c r="AM28" i="17"/>
  <c r="U28" i="17"/>
  <c r="C28" i="17"/>
  <c r="AR27" i="17"/>
  <c r="AB27" i="17"/>
  <c r="L27" i="17"/>
  <c r="BD26" i="17"/>
  <c r="AN26" i="17"/>
  <c r="X26" i="17"/>
  <c r="H26" i="17"/>
  <c r="AZ25" i="17"/>
  <c r="AJ25" i="17"/>
  <c r="T25" i="17"/>
  <c r="D25" i="17"/>
  <c r="AV24" i="17"/>
  <c r="AF24" i="17"/>
  <c r="P24" i="17"/>
  <c r="BH23" i="17"/>
  <c r="AR23" i="17"/>
  <c r="AB23" i="17"/>
  <c r="L23" i="17"/>
  <c r="BD22" i="17"/>
  <c r="AN22" i="17"/>
  <c r="X22" i="17"/>
  <c r="BB45" i="17"/>
  <c r="AT43" i="17"/>
  <c r="AL41" i="17"/>
  <c r="AD39" i="17"/>
  <c r="V37" i="17"/>
  <c r="AX35" i="17"/>
  <c r="W35" i="17"/>
  <c r="BF34" i="17"/>
  <c r="AE34" i="17"/>
  <c r="E34" i="17"/>
  <c r="AN33" i="17"/>
  <c r="O33" i="17"/>
  <c r="AX32" i="17"/>
  <c r="W32" i="17"/>
  <c r="BE31" i="17"/>
  <c r="AF31" i="17"/>
  <c r="G31" i="17"/>
  <c r="AP30" i="17"/>
  <c r="O30" i="17"/>
  <c r="AW29" i="17"/>
  <c r="X29" i="17"/>
  <c r="BG28" i="17"/>
  <c r="AL28" i="17"/>
  <c r="T28" i="17"/>
  <c r="AQ27" i="17"/>
  <c r="AA27" i="17"/>
  <c r="K27" i="17"/>
  <c r="BC26" i="17"/>
  <c r="AM26" i="17"/>
  <c r="W26" i="17"/>
  <c r="G26" i="17"/>
  <c r="AY25" i="17"/>
  <c r="AI25" i="17"/>
  <c r="S25" i="17"/>
  <c r="C25" i="17"/>
  <c r="AU24" i="17"/>
  <c r="AE24" i="17"/>
  <c r="O24" i="17"/>
  <c r="AW45" i="17"/>
  <c r="AO43" i="17"/>
  <c r="AG41" i="17"/>
  <c r="Y39" i="17"/>
  <c r="Q37" i="17"/>
  <c r="AV35" i="17"/>
  <c r="T35" i="17"/>
  <c r="BB34" i="17"/>
  <c r="AD34" i="17"/>
  <c r="D34" i="17"/>
  <c r="AM33" i="17"/>
  <c r="L33" i="17"/>
  <c r="AT32" i="17"/>
  <c r="V32" i="17"/>
  <c r="BD31" i="17"/>
  <c r="AE31" i="17"/>
  <c r="D31" i="17"/>
  <c r="AL30" i="17"/>
  <c r="N30" i="17"/>
  <c r="AV29" i="17"/>
  <c r="W29" i="17"/>
  <c r="BD28" i="17"/>
  <c r="AK28" i="17"/>
  <c r="S28" i="17"/>
  <c r="BH27" i="17"/>
  <c r="AP27" i="17"/>
  <c r="Z27" i="17"/>
  <c r="J27" i="17"/>
  <c r="BB26" i="17"/>
  <c r="AL26" i="17"/>
  <c r="V26" i="17"/>
  <c r="F26" i="17"/>
  <c r="AX25" i="17"/>
  <c r="AH25" i="17"/>
  <c r="R25" i="17"/>
  <c r="AT24" i="17"/>
  <c r="AD24" i="17"/>
  <c r="N24" i="17"/>
  <c r="BF23" i="17"/>
  <c r="AP23" i="17"/>
  <c r="Z23" i="17"/>
  <c r="J23" i="17"/>
  <c r="BB22" i="17"/>
  <c r="V45" i="17"/>
  <c r="N43" i="17"/>
  <c r="F41" i="17"/>
  <c r="BF38" i="17"/>
  <c r="AX36" i="17"/>
  <c r="AP35" i="17"/>
  <c r="P35" i="17"/>
  <c r="AY34" i="17"/>
  <c r="Z34" i="17"/>
  <c r="BG33" i="17"/>
  <c r="AG33" i="17"/>
  <c r="H33" i="17"/>
  <c r="AQ32" i="17"/>
  <c r="R32" i="17"/>
  <c r="AY31" i="17"/>
  <c r="Y31" i="17"/>
  <c r="BH30" i="17"/>
  <c r="AI30" i="17"/>
  <c r="J30" i="17"/>
  <c r="AQ29" i="17"/>
  <c r="Q29" i="17"/>
  <c r="BA28" i="17"/>
  <c r="AH28" i="17"/>
  <c r="O28" i="17"/>
  <c r="BE27" i="17"/>
  <c r="AM27" i="17"/>
  <c r="W27" i="17"/>
  <c r="G27" i="17"/>
  <c r="AY26" i="17"/>
  <c r="AI26" i="17"/>
  <c r="S26" i="17"/>
  <c r="C26" i="17"/>
  <c r="AU25" i="17"/>
  <c r="AE25" i="17"/>
  <c r="O25" i="17"/>
  <c r="BG24" i="17"/>
  <c r="AQ24" i="17"/>
  <c r="AA24" i="17"/>
  <c r="K24" i="17"/>
  <c r="BC23" i="17"/>
  <c r="AM23" i="17"/>
  <c r="W23" i="17"/>
  <c r="D5" i="17"/>
  <c r="T5" i="17"/>
  <c r="AJ5" i="17"/>
  <c r="AZ5" i="17"/>
  <c r="H6" i="17"/>
  <c r="X6" i="17"/>
  <c r="AN6" i="17"/>
  <c r="BD6" i="17"/>
  <c r="L7" i="17"/>
  <c r="AB7" i="17"/>
  <c r="AR7" i="17"/>
  <c r="BH7" i="17"/>
  <c r="P8" i="17"/>
  <c r="AF8" i="17"/>
  <c r="AV8" i="17"/>
  <c r="D9" i="17"/>
  <c r="T9" i="17"/>
  <c r="AJ9" i="17"/>
  <c r="AZ9" i="17"/>
  <c r="H10" i="17"/>
  <c r="X10" i="17"/>
  <c r="AN10" i="17"/>
  <c r="BD10" i="17"/>
  <c r="L11" i="17"/>
  <c r="AB11" i="17"/>
  <c r="AR11" i="17"/>
  <c r="BH11" i="17"/>
  <c r="Q12" i="17"/>
  <c r="AH12" i="17"/>
  <c r="AY12" i="17"/>
  <c r="H13" i="17"/>
  <c r="Y13" i="17"/>
  <c r="AP13" i="17"/>
  <c r="BG13" i="17"/>
  <c r="P14" i="17"/>
  <c r="AH14" i="17"/>
  <c r="AY14" i="17"/>
  <c r="H15" i="17"/>
  <c r="Y15" i="17"/>
  <c r="AP15" i="17"/>
  <c r="BH15" i="17"/>
  <c r="R16" i="17"/>
  <c r="AK16" i="17"/>
  <c r="BC16" i="17"/>
  <c r="N17" i="17"/>
  <c r="AF17" i="17"/>
  <c r="AX17" i="17"/>
  <c r="H18" i="17"/>
  <c r="Z18" i="17"/>
  <c r="AS18" i="17"/>
  <c r="C19" i="17"/>
  <c r="V19" i="17"/>
  <c r="AN19" i="17"/>
  <c r="BF19" i="17"/>
  <c r="P20" i="17"/>
  <c r="AH20" i="17"/>
  <c r="BA20" i="17"/>
  <c r="K21" i="17"/>
  <c r="AD21" i="17"/>
  <c r="AV21" i="17"/>
  <c r="F22" i="17"/>
  <c r="Y22" i="17"/>
  <c r="BF22" i="17"/>
  <c r="AU23" i="17"/>
  <c r="AG25" i="17"/>
  <c r="AO27" i="17"/>
  <c r="AK30" i="17"/>
  <c r="C34" i="17"/>
  <c r="AD43" i="17"/>
  <c r="A4" i="17"/>
  <c r="O23" i="13" s="1"/>
  <c r="E5" i="17"/>
  <c r="U5" i="17"/>
  <c r="AK5" i="17"/>
  <c r="BA5" i="17"/>
  <c r="I6" i="17"/>
  <c r="Y6" i="17"/>
  <c r="AO6" i="17"/>
  <c r="BE6" i="17"/>
  <c r="M7" i="17"/>
  <c r="AC7" i="17"/>
  <c r="AS7" i="17"/>
  <c r="BI7" i="17"/>
  <c r="Q8" i="17"/>
  <c r="AG8" i="17"/>
  <c r="AW8" i="17"/>
  <c r="E9" i="17"/>
  <c r="U9" i="17"/>
  <c r="AK9" i="17"/>
  <c r="BA9" i="17"/>
  <c r="I10" i="17"/>
  <c r="Y10" i="17"/>
  <c r="AO10" i="17"/>
  <c r="BE10" i="17"/>
  <c r="M11" i="17"/>
  <c r="AC11" i="17"/>
  <c r="AS11" i="17"/>
  <c r="BI11" i="17"/>
  <c r="R12" i="17"/>
  <c r="AI12" i="17"/>
  <c r="AZ12" i="17"/>
  <c r="I13" i="17"/>
  <c r="Z13" i="17"/>
  <c r="AQ13" i="17"/>
  <c r="BH13" i="17"/>
  <c r="R14" i="17"/>
  <c r="AI14" i="17"/>
  <c r="AZ14" i="17"/>
  <c r="I15" i="17"/>
  <c r="Z15" i="17"/>
  <c r="AQ15" i="17"/>
  <c r="BI15" i="17"/>
  <c r="S16" i="17"/>
  <c r="AL16" i="17"/>
  <c r="BD16" i="17"/>
  <c r="O17" i="17"/>
  <c r="AG17" i="17"/>
  <c r="AY17" i="17"/>
  <c r="I18" i="17"/>
  <c r="AA18" i="17"/>
  <c r="AT18" i="17"/>
  <c r="D19" i="17"/>
  <c r="W19" i="17"/>
  <c r="AO19" i="17"/>
  <c r="BG19" i="17"/>
  <c r="Q20" i="17"/>
  <c r="AI20" i="17"/>
  <c r="BB20" i="17"/>
  <c r="L21" i="17"/>
  <c r="AE21" i="17"/>
  <c r="AW21" i="17"/>
  <c r="G22" i="17"/>
  <c r="Z22" i="17"/>
  <c r="BG22" i="17"/>
  <c r="BD23" i="17"/>
  <c r="AV25" i="17"/>
  <c r="BF27" i="17"/>
  <c r="AA34" i="17"/>
  <c r="AG45" i="17"/>
  <c r="F5" i="17"/>
  <c r="V5" i="17"/>
  <c r="AL5" i="17"/>
  <c r="BB5" i="17"/>
  <c r="J6" i="17"/>
  <c r="Z6" i="17"/>
  <c r="AP6" i="17"/>
  <c r="BF6" i="17"/>
  <c r="N7" i="17"/>
  <c r="AD7" i="17"/>
  <c r="AT7" i="17"/>
  <c r="R8" i="17"/>
  <c r="AH8" i="17"/>
  <c r="AX8" i="17"/>
  <c r="F9" i="17"/>
  <c r="V9" i="17"/>
  <c r="AL9" i="17"/>
  <c r="BB9" i="17"/>
  <c r="J10" i="17"/>
  <c r="Z10" i="17"/>
  <c r="AP10" i="17"/>
  <c r="BF10" i="17"/>
  <c r="N11" i="17"/>
  <c r="AD11" i="17"/>
  <c r="AT11" i="17"/>
  <c r="S12" i="17"/>
  <c r="AJ12" i="17"/>
  <c r="BA12" i="17"/>
  <c r="J13" i="17"/>
  <c r="AA13" i="17"/>
  <c r="AR13" i="17"/>
  <c r="S14" i="17"/>
  <c r="AJ14" i="17"/>
  <c r="BA14" i="17"/>
  <c r="J15" i="17"/>
  <c r="AA15" i="17"/>
  <c r="AR15" i="17"/>
  <c r="U16" i="17"/>
  <c r="AM16" i="17"/>
  <c r="BF16" i="17"/>
  <c r="P17" i="17"/>
  <c r="AH17" i="17"/>
  <c r="AZ17" i="17"/>
  <c r="J18" i="17"/>
  <c r="AC18" i="17"/>
  <c r="AU18" i="17"/>
  <c r="F19" i="17"/>
  <c r="X19" i="17"/>
  <c r="AP19" i="17"/>
  <c r="BH19" i="17"/>
  <c r="R20" i="17"/>
  <c r="AK20" i="17"/>
  <c r="BC20" i="17"/>
  <c r="N21" i="17"/>
  <c r="AF21" i="17"/>
  <c r="AX21" i="17"/>
  <c r="H22" i="17"/>
  <c r="AA22" i="17"/>
  <c r="G23" i="17"/>
  <c r="BE23" i="17"/>
  <c r="AW25" i="17"/>
  <c r="BG27" i="17"/>
  <c r="C31" i="17"/>
  <c r="AB34" i="17"/>
  <c r="AL45" i="17"/>
  <c r="G5" i="17"/>
  <c r="W5" i="17"/>
  <c r="AM5" i="17"/>
  <c r="BC5" i="17"/>
  <c r="K6" i="17"/>
  <c r="AA6" i="17"/>
  <c r="AQ6" i="17"/>
  <c r="BG6" i="17"/>
  <c r="O7" i="17"/>
  <c r="AE7" i="17"/>
  <c r="AU7" i="17"/>
  <c r="C8" i="17"/>
  <c r="S8" i="17"/>
  <c r="AI8" i="17"/>
  <c r="AY8" i="17"/>
  <c r="G9" i="17"/>
  <c r="W9" i="17"/>
  <c r="AM9" i="17"/>
  <c r="BC9" i="17"/>
  <c r="K10" i="17"/>
  <c r="AA10" i="17"/>
  <c r="AQ10" i="17"/>
  <c r="BG10" i="17"/>
  <c r="O11" i="17"/>
  <c r="AE11" i="17"/>
  <c r="AU11" i="17"/>
  <c r="C12" i="17"/>
  <c r="T12" i="17"/>
  <c r="AK12" i="17"/>
  <c r="BB12" i="17"/>
  <c r="K13" i="17"/>
  <c r="AB13" i="17"/>
  <c r="AT13" i="17"/>
  <c r="C14" i="17"/>
  <c r="T14" i="17"/>
  <c r="AK14" i="17"/>
  <c r="BB14" i="17"/>
  <c r="K15" i="17"/>
  <c r="AB15" i="17"/>
  <c r="AS15" i="17"/>
  <c r="C16" i="17"/>
  <c r="V16" i="17"/>
  <c r="AN16" i="17"/>
  <c r="BG16" i="17"/>
  <c r="Q17" i="17"/>
  <c r="AI17" i="17"/>
  <c r="BA17" i="17"/>
  <c r="K18" i="17"/>
  <c r="AD18" i="17"/>
  <c r="AV18" i="17"/>
  <c r="G19" i="17"/>
  <c r="Y19" i="17"/>
  <c r="AQ19" i="17"/>
  <c r="BI19" i="17"/>
  <c r="S20" i="17"/>
  <c r="AL20" i="17"/>
  <c r="BD20" i="17"/>
  <c r="O21" i="17"/>
  <c r="AG21" i="17"/>
  <c r="AY21" i="17"/>
  <c r="I22" i="17"/>
  <c r="AD22" i="17"/>
  <c r="H23" i="17"/>
  <c r="BG23" i="17"/>
  <c r="D26" i="17"/>
  <c r="P28" i="17"/>
  <c r="Z31" i="17"/>
  <c r="AZ34" i="17"/>
  <c r="E6" i="22" a="1"/>
  <c r="E6" i="22" s="1"/>
  <c r="F6" i="22" a="1"/>
  <c r="F6" i="22" s="1"/>
  <c r="G6" i="22" a="1"/>
  <c r="G6" i="22" s="1"/>
  <c r="H6" i="22" a="1"/>
  <c r="H6" i="22" s="1"/>
  <c r="I6" i="22" a="1"/>
  <c r="I6" i="22" s="1"/>
  <c r="J6" i="22" a="1"/>
  <c r="J6" i="22" s="1"/>
  <c r="K6" i="22" a="1"/>
  <c r="K6" i="22" s="1"/>
  <c r="L6" i="22" a="1"/>
  <c r="L6" i="22" s="1"/>
  <c r="M6" i="22" a="1"/>
  <c r="M6" i="22" s="1"/>
  <c r="N6" i="22" a="1"/>
  <c r="N6" i="22" s="1"/>
  <c r="O6" i="22" a="1"/>
  <c r="O6" i="22" s="1"/>
  <c r="D6" i="22" a="1"/>
  <c r="D6" i="22" s="1"/>
  <c r="H5" i="17"/>
  <c r="X5" i="17"/>
  <c r="AN5" i="17"/>
  <c r="BD5" i="17"/>
  <c r="L6" i="17"/>
  <c r="AB6" i="17"/>
  <c r="AR6" i="17"/>
  <c r="BH6" i="17"/>
  <c r="P7" i="17"/>
  <c r="AF7" i="17"/>
  <c r="AV7" i="17"/>
  <c r="D8" i="17"/>
  <c r="T8" i="17"/>
  <c r="AJ8" i="17"/>
  <c r="AZ8" i="17"/>
  <c r="H9" i="17"/>
  <c r="X9" i="17"/>
  <c r="AN9" i="17"/>
  <c r="BD9" i="17"/>
  <c r="L10" i="17"/>
  <c r="AB10" i="17"/>
  <c r="AR10" i="17"/>
  <c r="BH10" i="17"/>
  <c r="P11" i="17"/>
  <c r="AF11" i="17"/>
  <c r="AV11" i="17"/>
  <c r="D12" i="17"/>
  <c r="U12" i="17"/>
  <c r="AL12" i="17"/>
  <c r="BC12" i="17"/>
  <c r="L13" i="17"/>
  <c r="AD13" i="17"/>
  <c r="AU13" i="17"/>
  <c r="D14" i="17"/>
  <c r="U14" i="17"/>
  <c r="AL14" i="17"/>
  <c r="BC14" i="17"/>
  <c r="L15" i="17"/>
  <c r="AC15" i="17"/>
  <c r="AT15" i="17"/>
  <c r="E16" i="17"/>
  <c r="W16" i="17"/>
  <c r="AP16" i="17"/>
  <c r="BH16" i="17"/>
  <c r="R17" i="17"/>
  <c r="AJ17" i="17"/>
  <c r="BB17" i="17"/>
  <c r="M18" i="17"/>
  <c r="AE18" i="17"/>
  <c r="AX18" i="17"/>
  <c r="H19" i="17"/>
  <c r="Z19" i="17"/>
  <c r="AR19" i="17"/>
  <c r="U20" i="17"/>
  <c r="AM20" i="17"/>
  <c r="BF20" i="17"/>
  <c r="P21" i="17"/>
  <c r="AH21" i="17"/>
  <c r="AZ21" i="17"/>
  <c r="J22" i="17"/>
  <c r="AE22" i="17"/>
  <c r="I23" i="17"/>
  <c r="C24" i="17"/>
  <c r="E26" i="17"/>
  <c r="R28" i="17"/>
  <c r="AD31" i="17"/>
  <c r="BA34" i="17"/>
  <c r="I5" i="17"/>
  <c r="Y5" i="17"/>
  <c r="AO5" i="17"/>
  <c r="BE5" i="17"/>
  <c r="M6" i="17"/>
  <c r="AC6" i="17"/>
  <c r="AS6" i="17"/>
  <c r="BI6" i="17"/>
  <c r="Q7" i="17"/>
  <c r="AG7" i="17"/>
  <c r="AW7" i="17"/>
  <c r="E8" i="17"/>
  <c r="U8" i="17"/>
  <c r="AK8" i="17"/>
  <c r="BA8" i="17"/>
  <c r="I9" i="17"/>
  <c r="Y9" i="17"/>
  <c r="AO9" i="17"/>
  <c r="BE9" i="17"/>
  <c r="M10" i="17"/>
  <c r="AC10" i="17"/>
  <c r="AS10" i="17"/>
  <c r="BI10" i="17"/>
  <c r="Q11" i="17"/>
  <c r="AG11" i="17"/>
  <c r="AW11" i="17"/>
  <c r="E12" i="17"/>
  <c r="V12" i="17"/>
  <c r="AM12" i="17"/>
  <c r="BD12" i="17"/>
  <c r="N13" i="17"/>
  <c r="AE13" i="17"/>
  <c r="AV13" i="17"/>
  <c r="E14" i="17"/>
  <c r="V14" i="17"/>
  <c r="AM14" i="17"/>
  <c r="BD14" i="17"/>
  <c r="M15" i="17"/>
  <c r="AD15" i="17"/>
  <c r="AU15" i="17"/>
  <c r="F16" i="17"/>
  <c r="X16" i="17"/>
  <c r="AQ16" i="17"/>
  <c r="BI16" i="17"/>
  <c r="S17" i="17"/>
  <c r="AK17" i="17"/>
  <c r="BC17" i="17"/>
  <c r="N18" i="17"/>
  <c r="AF18" i="17"/>
  <c r="AY18" i="17"/>
  <c r="I19" i="17"/>
  <c r="AA19" i="17"/>
  <c r="AS19" i="17"/>
  <c r="C20" i="17"/>
  <c r="V20" i="17"/>
  <c r="AN20" i="17"/>
  <c r="BG20" i="17"/>
  <c r="Q21" i="17"/>
  <c r="AI21" i="17"/>
  <c r="BA21" i="17"/>
  <c r="K22" i="17"/>
  <c r="AI22" i="17"/>
  <c r="K23" i="17"/>
  <c r="L24" i="17"/>
  <c r="T26" i="17"/>
  <c r="AI28" i="17"/>
  <c r="AZ31" i="17"/>
  <c r="R35" i="17"/>
  <c r="J5" i="17"/>
  <c r="Z5" i="17"/>
  <c r="AP5" i="17"/>
  <c r="BF5" i="17"/>
  <c r="N6" i="17"/>
  <c r="AD6" i="17"/>
  <c r="AT6" i="17"/>
  <c r="R7" i="17"/>
  <c r="AH7" i="17"/>
  <c r="AX7" i="17"/>
  <c r="F8" i="17"/>
  <c r="V8" i="17"/>
  <c r="AL8" i="17"/>
  <c r="BB8" i="17"/>
  <c r="J9" i="17"/>
  <c r="Z9" i="17"/>
  <c r="AP9" i="17"/>
  <c r="BF9" i="17"/>
  <c r="N10" i="17"/>
  <c r="AD10" i="17"/>
  <c r="AT10" i="17"/>
  <c r="R11" i="17"/>
  <c r="AH11" i="17"/>
  <c r="AX11" i="17"/>
  <c r="F12" i="17"/>
  <c r="W12" i="17"/>
  <c r="AN12" i="17"/>
  <c r="BF12" i="17"/>
  <c r="O13" i="17"/>
  <c r="AF13" i="17"/>
  <c r="AW13" i="17"/>
  <c r="F14" i="17"/>
  <c r="W14" i="17"/>
  <c r="AN14" i="17"/>
  <c r="BE14" i="17"/>
  <c r="N15" i="17"/>
  <c r="AE15" i="17"/>
  <c r="AW15" i="17"/>
  <c r="G16" i="17"/>
  <c r="Z16" i="17"/>
  <c r="AR16" i="17"/>
  <c r="T17" i="17"/>
  <c r="AL17" i="17"/>
  <c r="BE17" i="17"/>
  <c r="O18" i="17"/>
  <c r="AH18" i="17"/>
  <c r="AZ18" i="17"/>
  <c r="J19" i="17"/>
  <c r="AB19" i="17"/>
  <c r="AT19" i="17"/>
  <c r="E20" i="17"/>
  <c r="W20" i="17"/>
  <c r="AP20" i="17"/>
  <c r="BH20" i="17"/>
  <c r="R21" i="17"/>
  <c r="AJ21" i="17"/>
  <c r="BB21" i="17"/>
  <c r="M22" i="17"/>
  <c r="AJ22" i="17"/>
  <c r="N23" i="17"/>
  <c r="M24" i="17"/>
  <c r="U26" i="17"/>
  <c r="AJ28" i="17"/>
  <c r="BC31" i="17"/>
  <c r="S35" i="17"/>
  <c r="K5" i="17"/>
  <c r="AA5" i="17"/>
  <c r="AQ5" i="17"/>
  <c r="BG5" i="17"/>
  <c r="O6" i="17"/>
  <c r="AE6" i="17"/>
  <c r="AU6" i="17"/>
  <c r="C7" i="17"/>
  <c r="S7" i="17"/>
  <c r="AI7" i="17"/>
  <c r="AY7" i="17"/>
  <c r="G8" i="17"/>
  <c r="W8" i="17"/>
  <c r="AM8" i="17"/>
  <c r="BC8" i="17"/>
  <c r="K9" i="17"/>
  <c r="AA9" i="17"/>
  <c r="AQ9" i="17"/>
  <c r="BG9" i="17"/>
  <c r="O10" i="17"/>
  <c r="AE10" i="17"/>
  <c r="AU10" i="17"/>
  <c r="C11" i="17"/>
  <c r="S11" i="17"/>
  <c r="AI11" i="17"/>
  <c r="AY11" i="17"/>
  <c r="G12" i="17"/>
  <c r="X12" i="17"/>
  <c r="AP12" i="17"/>
  <c r="BG12" i="17"/>
  <c r="P13" i="17"/>
  <c r="AG13" i="17"/>
  <c r="AX13" i="17"/>
  <c r="G14" i="17"/>
  <c r="X14" i="17"/>
  <c r="AO14" i="17"/>
  <c r="BF14" i="17"/>
  <c r="O15" i="17"/>
  <c r="AF15" i="17"/>
  <c r="AX15" i="17"/>
  <c r="H16" i="17"/>
  <c r="AA16" i="17"/>
  <c r="AS16" i="17"/>
  <c r="C17" i="17"/>
  <c r="U17" i="17"/>
  <c r="AM17" i="17"/>
  <c r="BF17" i="17"/>
  <c r="P18" i="17"/>
  <c r="AI18" i="17"/>
  <c r="BA18" i="17"/>
  <c r="K19" i="17"/>
  <c r="AC19" i="17"/>
  <c r="AU19" i="17"/>
  <c r="F20" i="17"/>
  <c r="X20" i="17"/>
  <c r="AQ20" i="17"/>
  <c r="BI20" i="17"/>
  <c r="S21" i="17"/>
  <c r="AK21" i="17"/>
  <c r="BC21" i="17"/>
  <c r="N22" i="17"/>
  <c r="AK22" i="17"/>
  <c r="O23" i="17"/>
  <c r="AB24" i="17"/>
  <c r="AJ26" i="17"/>
  <c r="BB28" i="17"/>
  <c r="S32" i="17"/>
  <c r="AT35" i="17"/>
  <c r="H2" i="15" l="1"/>
  <c r="H40" i="15" s="1"/>
  <c r="I2" i="15"/>
  <c r="I40" i="15" s="1"/>
  <c r="J2" i="15"/>
  <c r="J40" i="15" s="1"/>
  <c r="K2" i="15"/>
  <c r="K40" i="15" s="1"/>
  <c r="L2" i="15"/>
  <c r="L40" i="15" s="1"/>
  <c r="M2" i="15"/>
  <c r="M40" i="15" s="1"/>
  <c r="N2" i="15"/>
  <c r="N40" i="15" s="1"/>
  <c r="O2" i="15"/>
  <c r="O40" i="15" s="1"/>
  <c r="P2" i="15"/>
  <c r="P40" i="15" s="1"/>
  <c r="E2" i="15"/>
  <c r="G23" i="15"/>
  <c r="G22" i="15"/>
  <c r="H2" i="13"/>
  <c r="H18" i="13"/>
  <c r="H34" i="13"/>
  <c r="H50" i="13"/>
  <c r="H66" i="13"/>
  <c r="H82" i="13"/>
  <c r="H98" i="13"/>
  <c r="H114" i="13"/>
  <c r="H130" i="13"/>
  <c r="H146" i="13"/>
  <c r="H163" i="13"/>
  <c r="H179" i="13"/>
  <c r="H195" i="13"/>
  <c r="H211" i="13"/>
  <c r="H227" i="13"/>
  <c r="H243" i="13"/>
  <c r="H259" i="13"/>
  <c r="H275" i="13"/>
  <c r="H291" i="13"/>
  <c r="H307" i="13"/>
  <c r="H323" i="13"/>
  <c r="H339" i="13"/>
  <c r="H355" i="13"/>
  <c r="H371" i="13"/>
  <c r="H387" i="13"/>
  <c r="H403" i="13"/>
  <c r="H419" i="13"/>
  <c r="H435" i="13"/>
  <c r="H451" i="13"/>
  <c r="H467" i="13"/>
  <c r="H483" i="13"/>
  <c r="H499" i="13"/>
  <c r="H516" i="13"/>
  <c r="H532" i="13"/>
  <c r="H548" i="13"/>
  <c r="H562" i="13"/>
  <c r="H578" i="13"/>
  <c r="H594" i="13"/>
  <c r="H610" i="13"/>
  <c r="H626" i="13"/>
  <c r="H642" i="13"/>
  <c r="H658" i="13"/>
  <c r="H674" i="13"/>
  <c r="H704" i="13"/>
  <c r="H720" i="13"/>
  <c r="H736" i="13"/>
  <c r="H752" i="13"/>
  <c r="H768" i="13"/>
  <c r="H81" i="13"/>
  <c r="H306" i="13"/>
  <c r="H561" i="13"/>
  <c r="H3" i="13"/>
  <c r="H19" i="13"/>
  <c r="H35" i="13"/>
  <c r="H51" i="13"/>
  <c r="H67" i="13"/>
  <c r="H83" i="13"/>
  <c r="H99" i="13"/>
  <c r="H115" i="13"/>
  <c r="H131" i="13"/>
  <c r="H147" i="13"/>
  <c r="H164" i="13"/>
  <c r="H180" i="13"/>
  <c r="H196" i="13"/>
  <c r="H212" i="13"/>
  <c r="H228" i="13"/>
  <c r="H244" i="13"/>
  <c r="H260" i="13"/>
  <c r="H276" i="13"/>
  <c r="H292" i="13"/>
  <c r="H308" i="13"/>
  <c r="H324" i="13"/>
  <c r="H340" i="13"/>
  <c r="H356" i="13"/>
  <c r="H372" i="13"/>
  <c r="H388" i="13"/>
  <c r="H404" i="13"/>
  <c r="H420" i="13"/>
  <c r="H436" i="13"/>
  <c r="H452" i="13"/>
  <c r="H468" i="13"/>
  <c r="H484" i="13"/>
  <c r="H500" i="13"/>
  <c r="H517" i="13"/>
  <c r="H533" i="13"/>
  <c r="H549" i="13"/>
  <c r="H563" i="13"/>
  <c r="H579" i="13"/>
  <c r="H595" i="13"/>
  <c r="H611" i="13"/>
  <c r="H627" i="13"/>
  <c r="H643" i="13"/>
  <c r="H659" i="13"/>
  <c r="H675" i="13"/>
  <c r="H689" i="13"/>
  <c r="H705" i="13"/>
  <c r="H721" i="13"/>
  <c r="H737" i="13"/>
  <c r="H753" i="13"/>
  <c r="H769" i="13"/>
  <c r="H65" i="13"/>
  <c r="H354" i="13"/>
  <c r="H657" i="13"/>
  <c r="H4" i="13"/>
  <c r="H20" i="13"/>
  <c r="H36" i="13"/>
  <c r="H52" i="13"/>
  <c r="H68" i="13"/>
  <c r="H84" i="13"/>
  <c r="H100" i="13"/>
  <c r="H116" i="13"/>
  <c r="H132" i="13"/>
  <c r="H148" i="13"/>
  <c r="H165" i="13"/>
  <c r="H181" i="13"/>
  <c r="H197" i="13"/>
  <c r="H213" i="13"/>
  <c r="H229" i="13"/>
  <c r="H245" i="13"/>
  <c r="H261" i="13"/>
  <c r="H277" i="13"/>
  <c r="H293" i="13"/>
  <c r="H309" i="13"/>
  <c r="H325" i="13"/>
  <c r="H341" i="13"/>
  <c r="H357" i="13"/>
  <c r="H373" i="13"/>
  <c r="H389" i="13"/>
  <c r="H405" i="13"/>
  <c r="H421" i="13"/>
  <c r="H437" i="13"/>
  <c r="H453" i="13"/>
  <c r="H469" i="13"/>
  <c r="H485" i="13"/>
  <c r="H501" i="13"/>
  <c r="H518" i="13"/>
  <c r="H534" i="13"/>
  <c r="H550" i="13"/>
  <c r="H564" i="13"/>
  <c r="H580" i="13"/>
  <c r="H596" i="13"/>
  <c r="H612" i="13"/>
  <c r="H628" i="13"/>
  <c r="H644" i="13"/>
  <c r="H660" i="13"/>
  <c r="H676" i="13"/>
  <c r="H690" i="13"/>
  <c r="H706" i="13"/>
  <c r="H722" i="13"/>
  <c r="H738" i="13"/>
  <c r="H754" i="13"/>
  <c r="H770" i="13"/>
  <c r="H194" i="13"/>
  <c r="H450" i="13"/>
  <c r="H688" i="13"/>
  <c r="H5" i="13"/>
  <c r="H21" i="13"/>
  <c r="H37" i="13"/>
  <c r="H53" i="13"/>
  <c r="H69" i="13"/>
  <c r="H85" i="13"/>
  <c r="H101" i="13"/>
  <c r="H117" i="13"/>
  <c r="H133" i="13"/>
  <c r="H149" i="13"/>
  <c r="H166" i="13"/>
  <c r="H182" i="13"/>
  <c r="H198" i="13"/>
  <c r="H214" i="13"/>
  <c r="H230" i="13"/>
  <c r="H246" i="13"/>
  <c r="H262" i="13"/>
  <c r="H278" i="13"/>
  <c r="H294" i="13"/>
  <c r="H310" i="13"/>
  <c r="H326" i="13"/>
  <c r="H342" i="13"/>
  <c r="H358" i="13"/>
  <c r="H374" i="13"/>
  <c r="H390" i="13"/>
  <c r="H406" i="13"/>
  <c r="H422" i="13"/>
  <c r="H438" i="13"/>
  <c r="H454" i="13"/>
  <c r="H470" i="13"/>
  <c r="H486" i="13"/>
  <c r="H502" i="13"/>
  <c r="H519" i="13"/>
  <c r="H535" i="13"/>
  <c r="H551" i="13"/>
  <c r="H565" i="13"/>
  <c r="H581" i="13"/>
  <c r="H597" i="13"/>
  <c r="H613" i="13"/>
  <c r="H629" i="13"/>
  <c r="H645" i="13"/>
  <c r="H661" i="13"/>
  <c r="H677" i="13"/>
  <c r="H691" i="13"/>
  <c r="H707" i="13"/>
  <c r="H723" i="13"/>
  <c r="H739" i="13"/>
  <c r="H755" i="13"/>
  <c r="H771" i="13"/>
  <c r="H226" i="13"/>
  <c r="H402" i="13"/>
  <c r="H577" i="13"/>
  <c r="H751" i="13"/>
  <c r="H6" i="13"/>
  <c r="H22" i="13"/>
  <c r="H38" i="13"/>
  <c r="H54" i="13"/>
  <c r="H70" i="13"/>
  <c r="H86" i="13"/>
  <c r="H102" i="13"/>
  <c r="H118" i="13"/>
  <c r="H134" i="13"/>
  <c r="H150" i="13"/>
  <c r="H167" i="13"/>
  <c r="H183" i="13"/>
  <c r="H199" i="13"/>
  <c r="H215" i="13"/>
  <c r="H231" i="13"/>
  <c r="H247" i="13"/>
  <c r="H263" i="13"/>
  <c r="H279" i="13"/>
  <c r="H295" i="13"/>
  <c r="H311" i="13"/>
  <c r="H327" i="13"/>
  <c r="H343" i="13"/>
  <c r="H359" i="13"/>
  <c r="H375" i="13"/>
  <c r="H391" i="13"/>
  <c r="H407" i="13"/>
  <c r="H423" i="13"/>
  <c r="H439" i="13"/>
  <c r="H455" i="13"/>
  <c r="H471" i="13"/>
  <c r="H487" i="13"/>
  <c r="H503" i="13"/>
  <c r="H520" i="13"/>
  <c r="H536" i="13"/>
  <c r="H552" i="13"/>
  <c r="H566" i="13"/>
  <c r="H582" i="13"/>
  <c r="H598" i="13"/>
  <c r="H614" i="13"/>
  <c r="H630" i="13"/>
  <c r="H646" i="13"/>
  <c r="H662" i="13"/>
  <c r="H678" i="13"/>
  <c r="H692" i="13"/>
  <c r="H708" i="13"/>
  <c r="H724" i="13"/>
  <c r="H740" i="13"/>
  <c r="H756" i="13"/>
  <c r="H772" i="13"/>
  <c r="H242" i="13"/>
  <c r="H370" i="13"/>
  <c r="H641" i="13"/>
  <c r="H7" i="13"/>
  <c r="H23" i="13"/>
  <c r="H39" i="13"/>
  <c r="H55" i="13"/>
  <c r="H71" i="13"/>
  <c r="H87" i="13"/>
  <c r="H103" i="13"/>
  <c r="H119" i="13"/>
  <c r="H135" i="13"/>
  <c r="H151" i="13"/>
  <c r="H168" i="13"/>
  <c r="H184" i="13"/>
  <c r="H200" i="13"/>
  <c r="H216" i="13"/>
  <c r="H232" i="13"/>
  <c r="H248" i="13"/>
  <c r="H264" i="13"/>
  <c r="H280" i="13"/>
  <c r="H296" i="13"/>
  <c r="H312" i="13"/>
  <c r="H328" i="13"/>
  <c r="H344" i="13"/>
  <c r="H360" i="13"/>
  <c r="H376" i="13"/>
  <c r="H392" i="13"/>
  <c r="H408" i="13"/>
  <c r="H424" i="13"/>
  <c r="H440" i="13"/>
  <c r="H456" i="13"/>
  <c r="H472" i="13"/>
  <c r="H488" i="13"/>
  <c r="H504" i="13"/>
  <c r="H521" i="13"/>
  <c r="H537" i="13"/>
  <c r="H553" i="13"/>
  <c r="H567" i="13"/>
  <c r="H583" i="13"/>
  <c r="H599" i="13"/>
  <c r="H615" i="13"/>
  <c r="H631" i="13"/>
  <c r="H647" i="13"/>
  <c r="H663" i="13"/>
  <c r="H679" i="13"/>
  <c r="H693" i="13"/>
  <c r="H709" i="13"/>
  <c r="H725" i="13"/>
  <c r="H741" i="13"/>
  <c r="H757" i="13"/>
  <c r="H773" i="13"/>
  <c r="H210" i="13"/>
  <c r="H386" i="13"/>
  <c r="H593" i="13"/>
  <c r="H8" i="13"/>
  <c r="H24" i="13"/>
  <c r="H40" i="13"/>
  <c r="H56" i="13"/>
  <c r="H72" i="13"/>
  <c r="H88" i="13"/>
  <c r="H104" i="13"/>
  <c r="H120" i="13"/>
  <c r="H136" i="13"/>
  <c r="H152" i="13"/>
  <c r="H169" i="13"/>
  <c r="H185" i="13"/>
  <c r="H201" i="13"/>
  <c r="H217" i="13"/>
  <c r="H233" i="13"/>
  <c r="H249" i="13"/>
  <c r="H265" i="13"/>
  <c r="H281" i="13"/>
  <c r="H297" i="13"/>
  <c r="H313" i="13"/>
  <c r="H329" i="13"/>
  <c r="H345" i="13"/>
  <c r="H361" i="13"/>
  <c r="H377" i="13"/>
  <c r="H393" i="13"/>
  <c r="H409" i="13"/>
  <c r="H425" i="13"/>
  <c r="H441" i="13"/>
  <c r="H457" i="13"/>
  <c r="H473" i="13"/>
  <c r="H489" i="13"/>
  <c r="H505" i="13"/>
  <c r="H522" i="13"/>
  <c r="H538" i="13"/>
  <c r="H568" i="13"/>
  <c r="H584" i="13"/>
  <c r="H600" i="13"/>
  <c r="H616" i="13"/>
  <c r="H632" i="13"/>
  <c r="H648" i="13"/>
  <c r="H664" i="13"/>
  <c r="H680" i="13"/>
  <c r="H694" i="13"/>
  <c r="H710" i="13"/>
  <c r="H726" i="13"/>
  <c r="H742" i="13"/>
  <c r="H758" i="13"/>
  <c r="H774" i="13"/>
  <c r="H17" i="13"/>
  <c r="H274" i="13"/>
  <c r="H515" i="13"/>
  <c r="H9" i="13"/>
  <c r="H25" i="13"/>
  <c r="H41" i="13"/>
  <c r="H57" i="13"/>
  <c r="H73" i="13"/>
  <c r="H89" i="13"/>
  <c r="H105" i="13"/>
  <c r="H121" i="13"/>
  <c r="H137" i="13"/>
  <c r="H154" i="13"/>
  <c r="H170" i="13"/>
  <c r="H186" i="13"/>
  <c r="H202" i="13"/>
  <c r="H218" i="13"/>
  <c r="H234" i="13"/>
  <c r="H250" i="13"/>
  <c r="H266" i="13"/>
  <c r="H282" i="13"/>
  <c r="H298" i="13"/>
  <c r="H314" i="13"/>
  <c r="H330" i="13"/>
  <c r="H346" i="13"/>
  <c r="H362" i="13"/>
  <c r="H378" i="13"/>
  <c r="H394" i="13"/>
  <c r="H410" i="13"/>
  <c r="H426" i="13"/>
  <c r="H442" i="13"/>
  <c r="H458" i="13"/>
  <c r="H474" i="13"/>
  <c r="H490" i="13"/>
  <c r="H506" i="13"/>
  <c r="H523" i="13"/>
  <c r="H539" i="13"/>
  <c r="H554" i="13"/>
  <c r="H569" i="13"/>
  <c r="H585" i="13"/>
  <c r="H601" i="13"/>
  <c r="H617" i="13"/>
  <c r="H633" i="13"/>
  <c r="H649" i="13"/>
  <c r="H665" i="13"/>
  <c r="H681" i="13"/>
  <c r="H695" i="13"/>
  <c r="H711" i="13"/>
  <c r="H727" i="13"/>
  <c r="H743" i="13"/>
  <c r="H759" i="13"/>
  <c r="H775" i="13"/>
  <c r="H33" i="13"/>
  <c r="H290" i="13"/>
  <c r="H547" i="13"/>
  <c r="H10" i="13"/>
  <c r="H26" i="13"/>
  <c r="H42" i="13"/>
  <c r="H58" i="13"/>
  <c r="H74" i="13"/>
  <c r="H90" i="13"/>
  <c r="H106" i="13"/>
  <c r="H122" i="13"/>
  <c r="H138" i="13"/>
  <c r="H155" i="13"/>
  <c r="H171" i="13"/>
  <c r="H187" i="13"/>
  <c r="H203" i="13"/>
  <c r="H219" i="13"/>
  <c r="H235" i="13"/>
  <c r="H251" i="13"/>
  <c r="H267" i="13"/>
  <c r="H283" i="13"/>
  <c r="H299" i="13"/>
  <c r="H315" i="13"/>
  <c r="H331" i="13"/>
  <c r="H347" i="13"/>
  <c r="H363" i="13"/>
  <c r="H379" i="13"/>
  <c r="H395" i="13"/>
  <c r="H411" i="13"/>
  <c r="H427" i="13"/>
  <c r="H443" i="13"/>
  <c r="H459" i="13"/>
  <c r="H475" i="13"/>
  <c r="H491" i="13"/>
  <c r="H507" i="13"/>
  <c r="H524" i="13"/>
  <c r="H540" i="13"/>
  <c r="H570" i="13"/>
  <c r="H586" i="13"/>
  <c r="H602" i="13"/>
  <c r="H618" i="13"/>
  <c r="H634" i="13"/>
  <c r="H650" i="13"/>
  <c r="H666" i="13"/>
  <c r="H682" i="13"/>
  <c r="H696" i="13"/>
  <c r="H712" i="13"/>
  <c r="H728" i="13"/>
  <c r="H744" i="13"/>
  <c r="H760" i="13"/>
  <c r="H776" i="13"/>
  <c r="H49" i="13"/>
  <c r="H338" i="13"/>
  <c r="H609" i="13"/>
  <c r="H11" i="13"/>
  <c r="H27" i="13"/>
  <c r="H43" i="13"/>
  <c r="H59" i="13"/>
  <c r="H75" i="13"/>
  <c r="H91" i="13"/>
  <c r="H107" i="13"/>
  <c r="H123" i="13"/>
  <c r="H139" i="13"/>
  <c r="H156" i="13"/>
  <c r="H172" i="13"/>
  <c r="H188" i="13"/>
  <c r="H204" i="13"/>
  <c r="H220" i="13"/>
  <c r="H236" i="13"/>
  <c r="H252" i="13"/>
  <c r="H268" i="13"/>
  <c r="H284" i="13"/>
  <c r="H300" i="13"/>
  <c r="H316" i="13"/>
  <c r="H332" i="13"/>
  <c r="H348" i="13"/>
  <c r="H364" i="13"/>
  <c r="H380" i="13"/>
  <c r="H396" i="13"/>
  <c r="H412" i="13"/>
  <c r="H428" i="13"/>
  <c r="H444" i="13"/>
  <c r="H460" i="13"/>
  <c r="H476" i="13"/>
  <c r="H492" i="13"/>
  <c r="H508" i="13"/>
  <c r="H525" i="13"/>
  <c r="H541" i="13"/>
  <c r="H555" i="13"/>
  <c r="H571" i="13"/>
  <c r="H587" i="13"/>
  <c r="H603" i="13"/>
  <c r="H619" i="13"/>
  <c r="H635" i="13"/>
  <c r="H651" i="13"/>
  <c r="H667" i="13"/>
  <c r="H683" i="13"/>
  <c r="H697" i="13"/>
  <c r="H713" i="13"/>
  <c r="H729" i="13"/>
  <c r="H745" i="13"/>
  <c r="H761" i="13"/>
  <c r="H178" i="13"/>
  <c r="H322" i="13"/>
  <c r="H531" i="13"/>
  <c r="H767" i="13"/>
  <c r="H12" i="13"/>
  <c r="H28" i="13"/>
  <c r="H44" i="13"/>
  <c r="H60" i="13"/>
  <c r="H76" i="13"/>
  <c r="H92" i="13"/>
  <c r="H108" i="13"/>
  <c r="H124" i="13"/>
  <c r="H140" i="13"/>
  <c r="H157" i="13"/>
  <c r="H173" i="13"/>
  <c r="H189" i="13"/>
  <c r="H205" i="13"/>
  <c r="H221" i="13"/>
  <c r="H237" i="13"/>
  <c r="H253" i="13"/>
  <c r="H269" i="13"/>
  <c r="H285" i="13"/>
  <c r="H301" i="13"/>
  <c r="H317" i="13"/>
  <c r="H333" i="13"/>
  <c r="H349" i="13"/>
  <c r="H365" i="13"/>
  <c r="H381" i="13"/>
  <c r="H397" i="13"/>
  <c r="H413" i="13"/>
  <c r="H429" i="13"/>
  <c r="H445" i="13"/>
  <c r="H461" i="13"/>
  <c r="H477" i="13"/>
  <c r="H493" i="13"/>
  <c r="H509" i="13"/>
  <c r="H526" i="13"/>
  <c r="H542" i="13"/>
  <c r="H572" i="13"/>
  <c r="H588" i="13"/>
  <c r="H604" i="13"/>
  <c r="H620" i="13"/>
  <c r="H636" i="13"/>
  <c r="H652" i="13"/>
  <c r="H668" i="13"/>
  <c r="H684" i="13"/>
  <c r="H698" i="13"/>
  <c r="H714" i="13"/>
  <c r="H730" i="13"/>
  <c r="H746" i="13"/>
  <c r="H762" i="13"/>
  <c r="H129" i="13"/>
  <c r="H498" i="13"/>
  <c r="H735" i="13"/>
  <c r="H13" i="13"/>
  <c r="H29" i="13"/>
  <c r="H45" i="13"/>
  <c r="H61" i="13"/>
  <c r="H77" i="13"/>
  <c r="H93" i="13"/>
  <c r="H109" i="13"/>
  <c r="H125" i="13"/>
  <c r="H141" i="13"/>
  <c r="H158" i="13"/>
  <c r="H174" i="13"/>
  <c r="H190" i="13"/>
  <c r="H206" i="13"/>
  <c r="H222" i="13"/>
  <c r="H238" i="13"/>
  <c r="H254" i="13"/>
  <c r="H270" i="13"/>
  <c r="H286" i="13"/>
  <c r="H302" i="13"/>
  <c r="H318" i="13"/>
  <c r="H334" i="13"/>
  <c r="H350" i="13"/>
  <c r="H366" i="13"/>
  <c r="H382" i="13"/>
  <c r="H398" i="13"/>
  <c r="H414" i="13"/>
  <c r="H430" i="13"/>
  <c r="H446" i="13"/>
  <c r="H462" i="13"/>
  <c r="H478" i="13"/>
  <c r="H494" i="13"/>
  <c r="H511" i="13"/>
  <c r="H527" i="13"/>
  <c r="H543" i="13"/>
  <c r="H556" i="13"/>
  <c r="H573" i="13"/>
  <c r="H589" i="13"/>
  <c r="H605" i="13"/>
  <c r="H621" i="13"/>
  <c r="H637" i="13"/>
  <c r="H653" i="13"/>
  <c r="H669" i="13"/>
  <c r="H685" i="13"/>
  <c r="H699" i="13"/>
  <c r="H715" i="13"/>
  <c r="H731" i="13"/>
  <c r="H747" i="13"/>
  <c r="H763" i="13"/>
  <c r="H162" i="13"/>
  <c r="H434" i="13"/>
  <c r="H673" i="13"/>
  <c r="H14" i="13"/>
  <c r="H30" i="13"/>
  <c r="H46" i="13"/>
  <c r="H62" i="13"/>
  <c r="H78" i="13"/>
  <c r="H94" i="13"/>
  <c r="H110" i="13"/>
  <c r="H126" i="13"/>
  <c r="H142" i="13"/>
  <c r="H159" i="13"/>
  <c r="H175" i="13"/>
  <c r="H191" i="13"/>
  <c r="H207" i="13"/>
  <c r="H223" i="13"/>
  <c r="H239" i="13"/>
  <c r="H255" i="13"/>
  <c r="H271" i="13"/>
  <c r="H287" i="13"/>
  <c r="H303" i="13"/>
  <c r="H319" i="13"/>
  <c r="H335" i="13"/>
  <c r="H351" i="13"/>
  <c r="H367" i="13"/>
  <c r="H383" i="13"/>
  <c r="H399" i="13"/>
  <c r="H415" i="13"/>
  <c r="H431" i="13"/>
  <c r="H447" i="13"/>
  <c r="H463" i="13"/>
  <c r="H479" i="13"/>
  <c r="H495" i="13"/>
  <c r="H512" i="13"/>
  <c r="H528" i="13"/>
  <c r="H544" i="13"/>
  <c r="H557" i="13"/>
  <c r="H574" i="13"/>
  <c r="H590" i="13"/>
  <c r="H606" i="13"/>
  <c r="H622" i="13"/>
  <c r="H638" i="13"/>
  <c r="H654" i="13"/>
  <c r="H670" i="13"/>
  <c r="H686" i="13"/>
  <c r="H700" i="13"/>
  <c r="H716" i="13"/>
  <c r="H732" i="13"/>
  <c r="H748" i="13"/>
  <c r="H764" i="13"/>
  <c r="H145" i="13"/>
  <c r="H466" i="13"/>
  <c r="H703" i="13"/>
  <c r="H15" i="13"/>
  <c r="H31" i="13"/>
  <c r="H47" i="13"/>
  <c r="H63" i="13"/>
  <c r="H79" i="13"/>
  <c r="H95" i="13"/>
  <c r="H111" i="13"/>
  <c r="H127" i="13"/>
  <c r="H143" i="13"/>
  <c r="H160" i="13"/>
  <c r="H176" i="13"/>
  <c r="H192" i="13"/>
  <c r="H208" i="13"/>
  <c r="H224" i="13"/>
  <c r="H240" i="13"/>
  <c r="H256" i="13"/>
  <c r="H272" i="13"/>
  <c r="H288" i="13"/>
  <c r="H304" i="13"/>
  <c r="H320" i="13"/>
  <c r="H336" i="13"/>
  <c r="H352" i="13"/>
  <c r="H368" i="13"/>
  <c r="H384" i="13"/>
  <c r="H400" i="13"/>
  <c r="H416" i="13"/>
  <c r="H432" i="13"/>
  <c r="H448" i="13"/>
  <c r="H464" i="13"/>
  <c r="H480" i="13"/>
  <c r="H496" i="13"/>
  <c r="H513" i="13"/>
  <c r="H529" i="13"/>
  <c r="H545" i="13"/>
  <c r="H559" i="13"/>
  <c r="H575" i="13"/>
  <c r="H591" i="13"/>
  <c r="H607" i="13"/>
  <c r="H623" i="13"/>
  <c r="H639" i="13"/>
  <c r="H655" i="13"/>
  <c r="H671" i="13"/>
  <c r="H687" i="13"/>
  <c r="H701" i="13"/>
  <c r="H717" i="13"/>
  <c r="H733" i="13"/>
  <c r="H749" i="13"/>
  <c r="H765" i="13"/>
  <c r="H113" i="13"/>
  <c r="H482" i="13"/>
  <c r="H719" i="13"/>
  <c r="H16" i="13"/>
  <c r="H32" i="13"/>
  <c r="H48" i="13"/>
  <c r="H64" i="13"/>
  <c r="H80" i="13"/>
  <c r="H96" i="13"/>
  <c r="H112" i="13"/>
  <c r="H128" i="13"/>
  <c r="H144" i="13"/>
  <c r="H161" i="13"/>
  <c r="H177" i="13"/>
  <c r="H193" i="13"/>
  <c r="H209" i="13"/>
  <c r="H225" i="13"/>
  <c r="H241" i="13"/>
  <c r="H257" i="13"/>
  <c r="H273" i="13"/>
  <c r="H289" i="13"/>
  <c r="H305" i="13"/>
  <c r="H321" i="13"/>
  <c r="H337" i="13"/>
  <c r="H353" i="13"/>
  <c r="H369" i="13"/>
  <c r="H385" i="13"/>
  <c r="H401" i="13"/>
  <c r="H417" i="13"/>
  <c r="H433" i="13"/>
  <c r="H449" i="13"/>
  <c r="H465" i="13"/>
  <c r="H481" i="13"/>
  <c r="H497" i="13"/>
  <c r="H514" i="13"/>
  <c r="H530" i="13"/>
  <c r="H546" i="13"/>
  <c r="H560" i="13"/>
  <c r="H576" i="13"/>
  <c r="H592" i="13"/>
  <c r="H608" i="13"/>
  <c r="H624" i="13"/>
  <c r="H640" i="13"/>
  <c r="H656" i="13"/>
  <c r="H672" i="13"/>
  <c r="H702" i="13"/>
  <c r="H718" i="13"/>
  <c r="H734" i="13"/>
  <c r="H750" i="13"/>
  <c r="H766" i="13"/>
  <c r="H97" i="13"/>
  <c r="H258" i="13"/>
  <c r="H418" i="13"/>
  <c r="H625" i="13"/>
  <c r="I58" i="13"/>
  <c r="B57" i="17"/>
  <c r="B55" i="17"/>
  <c r="B56" i="17"/>
  <c r="B54" i="17"/>
  <c r="B59" i="17"/>
  <c r="B58" i="17"/>
  <c r="AB23" i="13"/>
  <c r="AB22" i="13"/>
  <c r="Y22" i="13"/>
  <c r="AA22" i="13"/>
  <c r="S2" i="15"/>
  <c r="S40" i="15" s="1"/>
  <c r="R2" i="15"/>
  <c r="R40" i="15" s="1"/>
  <c r="Q2" i="15"/>
  <c r="Q40" i="15" s="1"/>
  <c r="Z22" i="13"/>
  <c r="AA23" i="13"/>
  <c r="B51" i="17"/>
  <c r="B50" i="17"/>
  <c r="B53" i="17"/>
  <c r="B52" i="17"/>
  <c r="G25" i="15"/>
  <c r="E40" i="15"/>
  <c r="D2" i="15" a="1"/>
  <c r="D2" i="15" s="1"/>
  <c r="G31" i="15"/>
  <c r="G32" i="15"/>
  <c r="G30" i="15"/>
  <c r="G29" i="15"/>
  <c r="B48" i="17"/>
  <c r="B49" i="17"/>
  <c r="B47" i="17"/>
  <c r="H10" i="22"/>
  <c r="Z23" i="13"/>
  <c r="F20" i="22"/>
  <c r="P68" i="22"/>
  <c r="P69" i="22" s="1"/>
  <c r="P76" i="22"/>
  <c r="P77" i="22" s="1"/>
  <c r="P84" i="22"/>
  <c r="P85" i="22" s="1"/>
  <c r="P91" i="22"/>
  <c r="P92" i="22" s="1"/>
  <c r="P32" i="22"/>
  <c r="P33" i="22" s="1"/>
  <c r="P42" i="22"/>
  <c r="P43" i="22" s="1"/>
  <c r="P51" i="22"/>
  <c r="P52" i="22" s="1"/>
  <c r="P58" i="22"/>
  <c r="P59" i="22" s="1"/>
  <c r="D20" i="22"/>
  <c r="H27" i="22"/>
  <c r="G28" i="15"/>
  <c r="G21" i="15"/>
  <c r="N27" i="22"/>
  <c r="D27" i="22"/>
  <c r="G5" i="15"/>
  <c r="I27" i="22"/>
  <c r="E27" i="22"/>
  <c r="F27" i="22"/>
  <c r="L27" i="22"/>
  <c r="G27" i="22"/>
  <c r="P26" i="22"/>
  <c r="J27" i="22"/>
  <c r="P25" i="22"/>
  <c r="O27" i="22"/>
  <c r="M27" i="22"/>
  <c r="K27" i="22"/>
  <c r="G9" i="15"/>
  <c r="G12" i="15"/>
  <c r="G10" i="15"/>
  <c r="P24" i="22"/>
  <c r="L20" i="22"/>
  <c r="L10" i="22"/>
  <c r="K10" i="22"/>
  <c r="I20" i="22"/>
  <c r="O10" i="22"/>
  <c r="J20" i="22"/>
  <c r="K20" i="22"/>
  <c r="J10" i="22"/>
  <c r="P9" i="22"/>
  <c r="P8" i="22"/>
  <c r="H20" i="22"/>
  <c r="M20" i="22"/>
  <c r="N20" i="22"/>
  <c r="E20" i="22"/>
  <c r="P23" i="22"/>
  <c r="I10" i="22"/>
  <c r="N10" i="22"/>
  <c r="G20" i="22"/>
  <c r="P19" i="22"/>
  <c r="O20" i="22"/>
  <c r="M10" i="22"/>
  <c r="G17" i="15"/>
  <c r="P18" i="22"/>
  <c r="F10" i="22"/>
  <c r="G10" i="22"/>
  <c r="P14" i="22"/>
  <c r="U22" i="13"/>
  <c r="V22" i="13"/>
  <c r="T22" i="13"/>
  <c r="X23" i="13"/>
  <c r="G14" i="15"/>
  <c r="V23" i="13"/>
  <c r="G6" i="15"/>
  <c r="G16" i="15"/>
  <c r="G8" i="15"/>
  <c r="G3" i="15"/>
  <c r="G20" i="15"/>
  <c r="W23" i="13"/>
  <c r="G15" i="15"/>
  <c r="G24" i="15"/>
  <c r="U23" i="13"/>
  <c r="G7" i="15"/>
  <c r="G19" i="15"/>
  <c r="G18" i="15"/>
  <c r="T23" i="13"/>
  <c r="G11" i="15"/>
  <c r="S22" i="13"/>
  <c r="S23" i="13"/>
  <c r="Y23" i="13"/>
  <c r="G13" i="15"/>
  <c r="X22" i="13"/>
  <c r="W22" i="13"/>
  <c r="G4" i="15"/>
  <c r="G27" i="15"/>
  <c r="G26" i="15"/>
  <c r="F2" i="15"/>
  <c r="P7" i="22"/>
  <c r="D15" i="22"/>
  <c r="E10" i="22"/>
  <c r="P6" i="22"/>
  <c r="B44" i="17"/>
  <c r="B45" i="17"/>
  <c r="B31" i="17"/>
  <c r="B40" i="17"/>
  <c r="B46" i="17"/>
  <c r="B41" i="17"/>
  <c r="B25" i="17"/>
  <c r="B30" i="17"/>
  <c r="B36" i="17"/>
  <c r="B42" i="17"/>
  <c r="B37" i="17"/>
  <c r="B6" i="17"/>
  <c r="B8" i="17"/>
  <c r="B35" i="17"/>
  <c r="B38" i="17"/>
  <c r="B33" i="17"/>
  <c r="B10" i="17"/>
  <c r="D10" i="22"/>
  <c r="B12" i="17"/>
  <c r="BC4" i="17"/>
  <c r="AM4" i="17"/>
  <c r="AM61" i="17" s="1"/>
  <c r="W4" i="17"/>
  <c r="W61" i="17" s="1"/>
  <c r="G4" i="17"/>
  <c r="G61" i="17" s="1"/>
  <c r="BB4" i="17"/>
  <c r="AL4" i="17"/>
  <c r="AL61" i="17" s="1"/>
  <c r="V4" i="17"/>
  <c r="V61" i="17" s="1"/>
  <c r="F4" i="17"/>
  <c r="F61" i="17" s="1"/>
  <c r="BA4" i="17"/>
  <c r="AK4" i="17"/>
  <c r="AK61" i="17" s="1"/>
  <c r="U4" i="17"/>
  <c r="U61" i="17" s="1"/>
  <c r="E4" i="17"/>
  <c r="E61" i="17" s="1"/>
  <c r="AZ4" i="17"/>
  <c r="AJ4" i="17"/>
  <c r="AJ61" i="17" s="1"/>
  <c r="T4" i="17"/>
  <c r="T61" i="17" s="1"/>
  <c r="D4" i="17"/>
  <c r="D61" i="17" s="1"/>
  <c r="AY4" i="17"/>
  <c r="AI4" i="17"/>
  <c r="AI61" i="17" s="1"/>
  <c r="S4" i="17"/>
  <c r="S61" i="17" s="1"/>
  <c r="C4" i="17"/>
  <c r="C61" i="17" s="1"/>
  <c r="C64" i="17" s="1"/>
  <c r="AX4" i="17"/>
  <c r="AH4" i="17"/>
  <c r="AH61" i="17" s="1"/>
  <c r="R4" i="17"/>
  <c r="R61" i="17" s="1"/>
  <c r="AW4" i="17"/>
  <c r="AG4" i="17"/>
  <c r="AG61" i="17" s="1"/>
  <c r="Q4" i="17"/>
  <c r="Q61" i="17" s="1"/>
  <c r="AV4" i="17"/>
  <c r="AF4" i="17"/>
  <c r="AF61" i="17" s="1"/>
  <c r="P4" i="17"/>
  <c r="P61" i="17" s="1"/>
  <c r="AU4" i="17"/>
  <c r="AE4" i="17"/>
  <c r="AE61" i="17" s="1"/>
  <c r="O4" i="17"/>
  <c r="O61" i="17" s="1"/>
  <c r="AT4" i="17"/>
  <c r="AD4" i="17"/>
  <c r="AD61" i="17" s="1"/>
  <c r="N4" i="17"/>
  <c r="N61" i="17" s="1"/>
  <c r="BI4" i="17"/>
  <c r="AS4" i="17"/>
  <c r="AC4" i="17"/>
  <c r="AC61" i="17" s="1"/>
  <c r="M4" i="17"/>
  <c r="M61" i="17" s="1"/>
  <c r="O16" i="13"/>
  <c r="BH4" i="17"/>
  <c r="AR4" i="17"/>
  <c r="AB4" i="17"/>
  <c r="AB61" i="17" s="1"/>
  <c r="L4" i="17"/>
  <c r="L61" i="17" s="1"/>
  <c r="O21" i="13"/>
  <c r="BG4" i="17"/>
  <c r="AQ4" i="17"/>
  <c r="AA4" i="17"/>
  <c r="AA61" i="17" s="1"/>
  <c r="K4" i="17"/>
  <c r="K61" i="17" s="1"/>
  <c r="BF4" i="17"/>
  <c r="AP4" i="17"/>
  <c r="Z4" i="17"/>
  <c r="Z61" i="17" s="1"/>
  <c r="J4" i="17"/>
  <c r="J61" i="17" s="1"/>
  <c r="H4" i="17"/>
  <c r="H61" i="17" s="1"/>
  <c r="O22" i="13"/>
  <c r="BE4" i="17"/>
  <c r="BD4" i="17"/>
  <c r="AO4" i="17"/>
  <c r="AN4" i="17"/>
  <c r="Y4" i="17"/>
  <c r="Y61" i="17" s="1"/>
  <c r="X4" i="17"/>
  <c r="X61" i="17" s="1"/>
  <c r="I4" i="17"/>
  <c r="I61" i="17" s="1"/>
  <c r="B26" i="17"/>
  <c r="B29" i="17"/>
  <c r="B22" i="17"/>
  <c r="B20" i="17"/>
  <c r="B16" i="17"/>
  <c r="B34" i="17"/>
  <c r="B32" i="17"/>
  <c r="B19" i="17"/>
  <c r="B5" i="17"/>
  <c r="B18" i="17"/>
  <c r="B13" i="17"/>
  <c r="B27" i="17"/>
  <c r="B9" i="17"/>
  <c r="O12" i="13" s="1"/>
  <c r="B17" i="17"/>
  <c r="B28" i="17"/>
  <c r="B23" i="17"/>
  <c r="O8" i="13" s="1"/>
  <c r="B43" i="17"/>
  <c r="B21" i="17"/>
  <c r="B39" i="17"/>
  <c r="O9" i="13" s="1"/>
  <c r="B14" i="17"/>
  <c r="B7" i="17"/>
  <c r="B11" i="17"/>
  <c r="B24" i="17"/>
  <c r="B15" i="17"/>
  <c r="L64" i="17" l="1"/>
  <c r="Q64" i="17"/>
  <c r="K95" i="22"/>
  <c r="K96" i="22" s="1"/>
  <c r="E95" i="22"/>
  <c r="I59" i="13"/>
  <c r="AF64" i="17"/>
  <c r="V64" i="17"/>
  <c r="H64" i="17"/>
  <c r="AA64" i="17"/>
  <c r="D51" i="18"/>
  <c r="AZ61" i="17"/>
  <c r="AN61" i="17"/>
  <c r="D39" i="18" s="1"/>
  <c r="AV61" i="17"/>
  <c r="D47" i="18" s="1"/>
  <c r="AO61" i="17"/>
  <c r="D40" i="18" s="1"/>
  <c r="AR61" i="17"/>
  <c r="D43" i="18" s="1"/>
  <c r="BD61" i="17"/>
  <c r="D55" i="18" s="1"/>
  <c r="BH61" i="17"/>
  <c r="D59" i="18" s="1"/>
  <c r="BA61" i="17"/>
  <c r="D52" i="18" s="1"/>
  <c r="BE61" i="17"/>
  <c r="D56" i="18" s="1"/>
  <c r="AW61" i="17"/>
  <c r="D48" i="18" s="1"/>
  <c r="AS61" i="17"/>
  <c r="D44" i="18" s="1"/>
  <c r="AX61" i="17"/>
  <c r="D49" i="18" s="1"/>
  <c r="BB61" i="17"/>
  <c r="D53" i="18" s="1"/>
  <c r="BI61" i="17"/>
  <c r="D60" i="18" s="1"/>
  <c r="AP61" i="17"/>
  <c r="BF61" i="17"/>
  <c r="D57" i="18" s="1"/>
  <c r="AT61" i="17"/>
  <c r="D45" i="18" s="1"/>
  <c r="AY61" i="17"/>
  <c r="D50" i="18" s="1"/>
  <c r="BC61" i="17"/>
  <c r="D54" i="18" s="1"/>
  <c r="AQ61" i="17"/>
  <c r="D42" i="18" s="1"/>
  <c r="BG61" i="17"/>
  <c r="D58" i="18" s="1"/>
  <c r="AU61" i="17"/>
  <c r="D38" i="18"/>
  <c r="D35" i="18"/>
  <c r="D36" i="18"/>
  <c r="D37" i="18"/>
  <c r="D33" i="18"/>
  <c r="D34" i="18"/>
  <c r="O11" i="13"/>
  <c r="S59" i="22"/>
  <c r="S52" i="22"/>
  <c r="S92" i="22"/>
  <c r="S14" i="22"/>
  <c r="D32" i="18"/>
  <c r="D5" i="18"/>
  <c r="S43" i="22"/>
  <c r="D12" i="18"/>
  <c r="D17" i="18"/>
  <c r="D21" i="18"/>
  <c r="S33" i="22"/>
  <c r="D7" i="18"/>
  <c r="D28" i="18"/>
  <c r="D20" i="18"/>
  <c r="D9" i="18"/>
  <c r="S85" i="22"/>
  <c r="D16" i="18"/>
  <c r="D25" i="18"/>
  <c r="D6" i="18"/>
  <c r="S77" i="22"/>
  <c r="D13" i="18"/>
  <c r="D18" i="18"/>
  <c r="D22" i="18"/>
  <c r="S69" i="22"/>
  <c r="D29" i="18"/>
  <c r="D10" i="18"/>
  <c r="D14" i="18"/>
  <c r="D26" i="18"/>
  <c r="D30" i="18"/>
  <c r="D19" i="18"/>
  <c r="D8" i="18"/>
  <c r="D15" i="18"/>
  <c r="D27" i="18"/>
  <c r="D23" i="18"/>
  <c r="D24" i="18"/>
  <c r="D11" i="18"/>
  <c r="D31" i="18"/>
  <c r="D4" i="18"/>
  <c r="F95" i="22"/>
  <c r="F96" i="22" s="1"/>
  <c r="H95" i="22"/>
  <c r="H96" i="22" s="1"/>
  <c r="L95" i="22"/>
  <c r="L96" i="22" s="1"/>
  <c r="G95" i="22"/>
  <c r="G96" i="22" s="1"/>
  <c r="O10" i="13"/>
  <c r="O17" i="13"/>
  <c r="O18" i="13" s="1"/>
  <c r="N95" i="22"/>
  <c r="N96" i="22" s="1"/>
  <c r="J95" i="22"/>
  <c r="J96" i="22" s="1"/>
  <c r="M95" i="22"/>
  <c r="M96" i="22" s="1"/>
  <c r="I95" i="22"/>
  <c r="I96" i="22" s="1"/>
  <c r="O95" i="22"/>
  <c r="O96" i="22" s="1"/>
  <c r="P27" i="22"/>
  <c r="S27" i="22" s="1"/>
  <c r="D95" i="22"/>
  <c r="D96" i="22" s="1"/>
  <c r="P20" i="22"/>
  <c r="S20" i="22" s="1"/>
  <c r="E96" i="22"/>
  <c r="P10" i="22"/>
  <c r="P15" i="22"/>
  <c r="O5" i="13"/>
  <c r="O4" i="13"/>
  <c r="G2" i="15"/>
  <c r="G40" i="15" s="1"/>
  <c r="D2" i="18"/>
  <c r="B4" i="17"/>
  <c r="O24" i="13"/>
  <c r="D3" i="18"/>
  <c r="D62" i="17"/>
  <c r="I60" i="13" l="1"/>
  <c r="AK64" i="17"/>
  <c r="D46" i="18"/>
  <c r="AU64" i="17"/>
  <c r="D41" i="18"/>
  <c r="AP64" i="17"/>
  <c r="O13" i="13"/>
  <c r="P95" i="22"/>
  <c r="P96" i="22" s="1"/>
  <c r="O6" i="13"/>
  <c r="E3" i="18"/>
  <c r="K3" i="18" s="1"/>
  <c r="E62" i="17"/>
  <c r="F62" i="17" s="1"/>
  <c r="G62" i="17" s="1"/>
  <c r="H62" i="17" s="1"/>
  <c r="I62" i="17" s="1"/>
  <c r="J62" i="17" s="1"/>
  <c r="K62" i="17" s="1"/>
  <c r="L62" i="17" s="1"/>
  <c r="M62" i="17" s="1"/>
  <c r="N62" i="17" s="1"/>
  <c r="O62" i="17" s="1"/>
  <c r="P62" i="17" s="1"/>
  <c r="Q62" i="17" s="1"/>
  <c r="R62" i="17" s="1"/>
  <c r="S62" i="17" s="1"/>
  <c r="T62" i="17" s="1"/>
  <c r="U62" i="17" s="1"/>
  <c r="V62" i="17" s="1"/>
  <c r="W62" i="17" s="1"/>
  <c r="X62" i="17" s="1"/>
  <c r="Y62" i="17" s="1"/>
  <c r="Z62" i="17" s="1"/>
  <c r="AA62" i="17" s="1"/>
  <c r="AB62" i="17" s="1"/>
  <c r="AC62" i="17" s="1"/>
  <c r="AD62" i="17" s="1"/>
  <c r="AE62" i="17" s="1"/>
  <c r="AF62" i="17" s="1"/>
  <c r="AG62" i="17" s="1"/>
  <c r="AH62" i="17" s="1"/>
  <c r="AI62" i="17" s="1"/>
  <c r="AJ62" i="17" s="1"/>
  <c r="I61" i="13" l="1"/>
  <c r="E35" i="18"/>
  <c r="AK62" i="17"/>
  <c r="E4" i="18"/>
  <c r="K4" i="18" s="1"/>
  <c r="I3" i="18"/>
  <c r="H3" i="18" s="1"/>
  <c r="J3" i="18"/>
  <c r="I62" i="13" l="1"/>
  <c r="AL62" i="17"/>
  <c r="E36" i="18"/>
  <c r="K36" i="18" s="1"/>
  <c r="J4" i="18"/>
  <c r="I4" i="18"/>
  <c r="H4" i="18" s="1"/>
  <c r="E5" i="18"/>
  <c r="K5" i="18" s="1"/>
  <c r="I63" i="13" l="1"/>
  <c r="I36" i="18"/>
  <c r="J36" i="18"/>
  <c r="AM62" i="17"/>
  <c r="E37" i="18"/>
  <c r="K37" i="18" s="1"/>
  <c r="I5" i="18"/>
  <c r="H5" i="18" s="1"/>
  <c r="J5" i="18"/>
  <c r="E6" i="18"/>
  <c r="K6" i="18" s="1"/>
  <c r="I64" i="13" l="1"/>
  <c r="E38" i="18"/>
  <c r="K38" i="18" s="1"/>
  <c r="AN62" i="17"/>
  <c r="I37" i="18"/>
  <c r="J37" i="18"/>
  <c r="J6" i="18"/>
  <c r="I6" i="18"/>
  <c r="H6" i="18" s="1"/>
  <c r="E7" i="18"/>
  <c r="K7" i="18" s="1"/>
  <c r="I65" i="13" l="1"/>
  <c r="AO62" i="17"/>
  <c r="E39" i="18"/>
  <c r="K39" i="18" s="1"/>
  <c r="J38" i="18"/>
  <c r="I38" i="18"/>
  <c r="I7" i="18"/>
  <c r="H7" i="18" s="1"/>
  <c r="J7" i="18"/>
  <c r="E8" i="18"/>
  <c r="K8" i="18" s="1"/>
  <c r="I66" i="13" l="1"/>
  <c r="J39" i="18"/>
  <c r="I39" i="18"/>
  <c r="AP62" i="17"/>
  <c r="E40" i="18"/>
  <c r="K40" i="18" s="1"/>
  <c r="J8" i="18"/>
  <c r="I8" i="18"/>
  <c r="H8" i="18" s="1"/>
  <c r="E9" i="18"/>
  <c r="K9" i="18" s="1"/>
  <c r="I67" i="13" l="1"/>
  <c r="I40" i="18"/>
  <c r="J40" i="18"/>
  <c r="AQ62" i="17"/>
  <c r="E41" i="18"/>
  <c r="K41" i="18" s="1"/>
  <c r="E10" i="18"/>
  <c r="K10" i="18" s="1"/>
  <c r="I9" i="18"/>
  <c r="H9" i="18" s="1"/>
  <c r="J9" i="18"/>
  <c r="I68" i="13" l="1"/>
  <c r="AR62" i="17"/>
  <c r="E42" i="18"/>
  <c r="K42" i="18" s="1"/>
  <c r="E11" i="18"/>
  <c r="K11" i="18" s="1"/>
  <c r="J10" i="18"/>
  <c r="I10" i="18"/>
  <c r="H10" i="18" s="1"/>
  <c r="I69" i="13" l="1"/>
  <c r="I42" i="18"/>
  <c r="J42" i="18"/>
  <c r="I41" i="18"/>
  <c r="J41" i="18"/>
  <c r="AS62" i="17"/>
  <c r="E43" i="18"/>
  <c r="K43" i="18" s="1"/>
  <c r="J11" i="18"/>
  <c r="I11" i="18"/>
  <c r="H11" i="18" s="1"/>
  <c r="E12" i="18"/>
  <c r="K12" i="18" s="1"/>
  <c r="I70" i="13" l="1"/>
  <c r="I43" i="18"/>
  <c r="J43" i="18"/>
  <c r="AT62" i="17"/>
  <c r="E44" i="18"/>
  <c r="K44" i="18" s="1"/>
  <c r="J12" i="18"/>
  <c r="I12" i="18"/>
  <c r="H12" i="18" s="1"/>
  <c r="E13" i="18"/>
  <c r="K13" i="18" s="1"/>
  <c r="I71" i="13" l="1"/>
  <c r="I44" i="18"/>
  <c r="J44" i="18"/>
  <c r="AU62" i="17"/>
  <c r="E45" i="18"/>
  <c r="K45" i="18" s="1"/>
  <c r="E14" i="18"/>
  <c r="K14" i="18" s="1"/>
  <c r="I13" i="18"/>
  <c r="H13" i="18" s="1"/>
  <c r="J13" i="18"/>
  <c r="I72" i="13" l="1"/>
  <c r="AV65" i="17"/>
  <c r="AV66" i="17" s="1"/>
  <c r="AX65" i="17" s="1"/>
  <c r="AV72" i="17"/>
  <c r="AV73" i="17" s="1"/>
  <c r="AX72" i="17" s="1"/>
  <c r="AZ72" i="17" s="1"/>
  <c r="I45" i="18"/>
  <c r="J45" i="18"/>
  <c r="AV62" i="17"/>
  <c r="E46" i="18"/>
  <c r="E15" i="18"/>
  <c r="K15" i="18" s="1"/>
  <c r="J14" i="18"/>
  <c r="I14" i="18"/>
  <c r="H14" i="18" s="1"/>
  <c r="I73" i="13" l="1"/>
  <c r="K46" i="18"/>
  <c r="I46" i="18" s="1"/>
  <c r="AW62" i="17"/>
  <c r="E47" i="18"/>
  <c r="E16" i="18"/>
  <c r="K16" i="18" s="1"/>
  <c r="J15" i="18"/>
  <c r="I15" i="18"/>
  <c r="H15" i="18" s="1"/>
  <c r="I74" i="13" l="1"/>
  <c r="J46" i="18"/>
  <c r="AX62" i="17"/>
  <c r="E48" i="18"/>
  <c r="J16" i="18"/>
  <c r="I16" i="18"/>
  <c r="H16" i="18" s="1"/>
  <c r="E17" i="18"/>
  <c r="K17" i="18" s="1"/>
  <c r="I75" i="13" l="1"/>
  <c r="AY62" i="17"/>
  <c r="E49" i="18"/>
  <c r="E18" i="18"/>
  <c r="K18" i="18" s="1"/>
  <c r="J17" i="18"/>
  <c r="I17" i="18"/>
  <c r="H17" i="18" s="1"/>
  <c r="I76" i="13" l="1"/>
  <c r="AZ62" i="17"/>
  <c r="E50" i="18"/>
  <c r="J18" i="18"/>
  <c r="I18" i="18"/>
  <c r="H18" i="18" s="1"/>
  <c r="E19" i="18"/>
  <c r="K19" i="18" s="1"/>
  <c r="I77" i="13" l="1"/>
  <c r="BA62" i="17"/>
  <c r="E51" i="18"/>
  <c r="E20" i="18"/>
  <c r="K20" i="18" s="1"/>
  <c r="I19" i="18"/>
  <c r="H19" i="18" s="1"/>
  <c r="J19" i="18"/>
  <c r="I78" i="13" l="1"/>
  <c r="BB62" i="17"/>
  <c r="E52" i="18"/>
  <c r="J20" i="18"/>
  <c r="I20" i="18"/>
  <c r="H20" i="18" s="1"/>
  <c r="E21" i="18"/>
  <c r="K21" i="18" s="1"/>
  <c r="I79" i="13" l="1"/>
  <c r="BC62" i="17"/>
  <c r="E53" i="18"/>
  <c r="E22" i="18"/>
  <c r="K22" i="18" s="1"/>
  <c r="I21" i="18"/>
  <c r="H21" i="18" s="1"/>
  <c r="J21" i="18"/>
  <c r="I80" i="13" l="1"/>
  <c r="BD62" i="17"/>
  <c r="E54" i="18"/>
  <c r="J22" i="18"/>
  <c r="I22" i="18"/>
  <c r="H22" i="18" s="1"/>
  <c r="E23" i="18"/>
  <c r="K23" i="18" s="1"/>
  <c r="I81" i="13" l="1"/>
  <c r="BE62" i="17"/>
  <c r="E55" i="18"/>
  <c r="I23" i="18"/>
  <c r="H23" i="18" s="1"/>
  <c r="J23" i="18"/>
  <c r="E24" i="18"/>
  <c r="K24" i="18" s="1"/>
  <c r="I82" i="13" l="1"/>
  <c r="BF62" i="17"/>
  <c r="E56" i="18"/>
  <c r="E25" i="18"/>
  <c r="K25" i="18" s="1"/>
  <c r="J24" i="18"/>
  <c r="I24" i="18"/>
  <c r="H24" i="18" s="1"/>
  <c r="I83" i="13" l="1"/>
  <c r="BG62" i="17"/>
  <c r="E57" i="18"/>
  <c r="E26" i="18"/>
  <c r="K26" i="18" s="1"/>
  <c r="I25" i="18"/>
  <c r="H25" i="18" s="1"/>
  <c r="J25" i="18"/>
  <c r="I84" i="13" l="1"/>
  <c r="BH62" i="17"/>
  <c r="E58" i="18"/>
  <c r="I26" i="18"/>
  <c r="H26" i="18" s="1"/>
  <c r="J26" i="18"/>
  <c r="E27" i="18"/>
  <c r="K27" i="18" s="1"/>
  <c r="I85" i="13" l="1"/>
  <c r="BI62" i="17"/>
  <c r="E60" i="18" s="1"/>
  <c r="E59" i="18"/>
  <c r="J27" i="18"/>
  <c r="I27" i="18"/>
  <c r="H27" i="18" s="1"/>
  <c r="E28" i="18"/>
  <c r="K28" i="18" s="1"/>
  <c r="I86" i="13" l="1"/>
  <c r="I28" i="18"/>
  <c r="H28" i="18" s="1"/>
  <c r="J28" i="18"/>
  <c r="E29" i="18"/>
  <c r="K29" i="18" s="1"/>
  <c r="I87" i="13" l="1"/>
  <c r="E30" i="18"/>
  <c r="K30" i="18" s="1"/>
  <c r="I29" i="18"/>
  <c r="H29" i="18" s="1"/>
  <c r="J29" i="18"/>
  <c r="I88" i="13" l="1"/>
  <c r="E31" i="18"/>
  <c r="K31" i="18" s="1"/>
  <c r="J30" i="18"/>
  <c r="I30" i="18"/>
  <c r="H30" i="18" s="1"/>
  <c r="I89" i="13" l="1"/>
  <c r="E32" i="18"/>
  <c r="K32" i="18" s="1"/>
  <c r="I31" i="18"/>
  <c r="H31" i="18" s="1"/>
  <c r="J31" i="18"/>
  <c r="I90" i="13" l="1"/>
  <c r="E34" i="18"/>
  <c r="E33" i="18"/>
  <c r="K33" i="18" s="1"/>
  <c r="I33" i="18" s="1"/>
  <c r="I32" i="18"/>
  <c r="H32" i="18" s="1"/>
  <c r="J32" i="18"/>
  <c r="I91" i="13" l="1"/>
  <c r="I92" i="13" s="1"/>
  <c r="I93" i="13" s="1"/>
  <c r="I94" i="13" s="1"/>
  <c r="I95" i="13" s="1"/>
  <c r="I96" i="13" s="1"/>
  <c r="I97" i="13" s="1"/>
  <c r="I98" i="13" s="1"/>
  <c r="I99" i="13" s="1"/>
  <c r="I100" i="13" s="1"/>
  <c r="I101" i="13" s="1"/>
  <c r="I102" i="13" s="1"/>
  <c r="I103" i="13" s="1"/>
  <c r="I104" i="13" s="1"/>
  <c r="I105" i="13" s="1"/>
  <c r="I106" i="13" s="1"/>
  <c r="I107" i="13" s="1"/>
  <c r="I108" i="13" s="1"/>
  <c r="I109" i="13" s="1"/>
  <c r="I110" i="13" s="1"/>
  <c r="I111" i="13" s="1"/>
  <c r="I112" i="13" s="1"/>
  <c r="I113" i="13" s="1"/>
  <c r="I114" i="13" s="1"/>
  <c r="I115" i="13" s="1"/>
  <c r="I116" i="13" s="1"/>
  <c r="I117" i="13" s="1"/>
  <c r="I118" i="13" s="1"/>
  <c r="I119" i="13" s="1"/>
  <c r="I120" i="13" s="1"/>
  <c r="I121" i="13" s="1"/>
  <c r="I122" i="13" s="1"/>
  <c r="I123" i="13" s="1"/>
  <c r="I124" i="13" s="1"/>
  <c r="I125" i="13" s="1"/>
  <c r="I126" i="13" s="1"/>
  <c r="I127" i="13" s="1"/>
  <c r="I128" i="13" s="1"/>
  <c r="I129" i="13" s="1"/>
  <c r="I130" i="13" s="1"/>
  <c r="I131" i="13" s="1"/>
  <c r="I132" i="13" s="1"/>
  <c r="I133" i="13" s="1"/>
  <c r="I134" i="13" s="1"/>
  <c r="I135" i="13" s="1"/>
  <c r="I136" i="13" s="1"/>
  <c r="I137" i="13" s="1"/>
  <c r="I138" i="13" s="1"/>
  <c r="I139" i="13" s="1"/>
  <c r="I140" i="13" s="1"/>
  <c r="I141" i="13" s="1"/>
  <c r="I142" i="13" s="1"/>
  <c r="I143" i="13" s="1"/>
  <c r="I144" i="13" s="1"/>
  <c r="I145" i="13" s="1"/>
  <c r="I146" i="13" s="1"/>
  <c r="I147" i="13" s="1"/>
  <c r="I148" i="13" s="1"/>
  <c r="I149" i="13" s="1"/>
  <c r="I150" i="13" s="1"/>
  <c r="I151" i="13" s="1"/>
  <c r="I152" i="13" s="1"/>
  <c r="I153" i="13" s="1"/>
  <c r="I154" i="13" s="1"/>
  <c r="I155" i="13" s="1"/>
  <c r="I156" i="13" s="1"/>
  <c r="I157" i="13" s="1"/>
  <c r="I158" i="13" s="1"/>
  <c r="I159" i="13" s="1"/>
  <c r="I160" i="13" s="1"/>
  <c r="I161" i="13" s="1"/>
  <c r="I162" i="13" s="1"/>
  <c r="I163" i="13" s="1"/>
  <c r="I164" i="13" s="1"/>
  <c r="I165" i="13" s="1"/>
  <c r="I166" i="13" s="1"/>
  <c r="I167" i="13" s="1"/>
  <c r="I168" i="13" s="1"/>
  <c r="I169" i="13" s="1"/>
  <c r="I170" i="13" s="1"/>
  <c r="I171" i="13" s="1"/>
  <c r="I172" i="13" s="1"/>
  <c r="I173" i="13" s="1"/>
  <c r="I174" i="13" s="1"/>
  <c r="I175" i="13" s="1"/>
  <c r="I176" i="13" s="1"/>
  <c r="I177" i="13" s="1"/>
  <c r="I178" i="13" s="1"/>
  <c r="I179" i="13" s="1"/>
  <c r="I180" i="13" s="1"/>
  <c r="I181" i="13" s="1"/>
  <c r="I182" i="13" s="1"/>
  <c r="I183" i="13" s="1"/>
  <c r="I184" i="13" s="1"/>
  <c r="I185" i="13" s="1"/>
  <c r="I186" i="13" s="1"/>
  <c r="I187" i="13" s="1"/>
  <c r="I188" i="13" s="1"/>
  <c r="I189" i="13" s="1"/>
  <c r="I190" i="13" s="1"/>
  <c r="I191" i="13" s="1"/>
  <c r="I192" i="13" s="1"/>
  <c r="I193" i="13" s="1"/>
  <c r="I194" i="13" s="1"/>
  <c r="I195" i="13" s="1"/>
  <c r="I196" i="13" s="1"/>
  <c r="I197" i="13" s="1"/>
  <c r="I198" i="13" s="1"/>
  <c r="I199" i="13" s="1"/>
  <c r="I200" i="13" s="1"/>
  <c r="I201" i="13" s="1"/>
  <c r="I202" i="13" s="1"/>
  <c r="I203" i="13" s="1"/>
  <c r="I204" i="13" s="1"/>
  <c r="I205" i="13" s="1"/>
  <c r="I206" i="13" s="1"/>
  <c r="I207" i="13" s="1"/>
  <c r="I208" i="13" s="1"/>
  <c r="I209" i="13" s="1"/>
  <c r="I210" i="13" s="1"/>
  <c r="I211" i="13" s="1"/>
  <c r="I212" i="13" s="1"/>
  <c r="I213" i="13" s="1"/>
  <c r="I214" i="13" s="1"/>
  <c r="I215" i="13" s="1"/>
  <c r="I216" i="13" s="1"/>
  <c r="I217" i="13" s="1"/>
  <c r="I218" i="13" s="1"/>
  <c r="I219" i="13" s="1"/>
  <c r="I220" i="13" s="1"/>
  <c r="I221" i="13" s="1"/>
  <c r="I222" i="13" s="1"/>
  <c r="I223" i="13" s="1"/>
  <c r="I224" i="13" s="1"/>
  <c r="I225" i="13" s="1"/>
  <c r="I226" i="13" s="1"/>
  <c r="I227" i="13" s="1"/>
  <c r="I228" i="13" s="1"/>
  <c r="I229" i="13" s="1"/>
  <c r="I230" i="13" s="1"/>
  <c r="I231" i="13" s="1"/>
  <c r="I232" i="13" s="1"/>
  <c r="I233" i="13" s="1"/>
  <c r="I234" i="13" s="1"/>
  <c r="I235" i="13" s="1"/>
  <c r="I236" i="13" s="1"/>
  <c r="I237" i="13" s="1"/>
  <c r="I238" i="13" s="1"/>
  <c r="I239" i="13" s="1"/>
  <c r="I240" i="13" s="1"/>
  <c r="I241" i="13" s="1"/>
  <c r="I242" i="13" s="1"/>
  <c r="I243" i="13" s="1"/>
  <c r="I244" i="13" s="1"/>
  <c r="I245" i="13" s="1"/>
  <c r="I246" i="13" s="1"/>
  <c r="I247" i="13" s="1"/>
  <c r="I248" i="13" s="1"/>
  <c r="I249" i="13" s="1"/>
  <c r="I250" i="13" s="1"/>
  <c r="I251" i="13" s="1"/>
  <c r="I252" i="13" s="1"/>
  <c r="I253" i="13" s="1"/>
  <c r="I254" i="13" s="1"/>
  <c r="I255" i="13" s="1"/>
  <c r="I256" i="13" s="1"/>
  <c r="I257" i="13" s="1"/>
  <c r="I258" i="13" s="1"/>
  <c r="I259" i="13" s="1"/>
  <c r="I260" i="13" s="1"/>
  <c r="I261" i="13" s="1"/>
  <c r="I262" i="13" s="1"/>
  <c r="I263" i="13" s="1"/>
  <c r="I264" i="13" s="1"/>
  <c r="I265" i="13" s="1"/>
  <c r="I266" i="13" s="1"/>
  <c r="I267" i="13" s="1"/>
  <c r="I268" i="13" s="1"/>
  <c r="I269" i="13" s="1"/>
  <c r="I270" i="13" s="1"/>
  <c r="I271" i="13" s="1"/>
  <c r="I272" i="13" s="1"/>
  <c r="I273" i="13" s="1"/>
  <c r="I274" i="13" s="1"/>
  <c r="I275" i="13" s="1"/>
  <c r="I276" i="13" s="1"/>
  <c r="I277" i="13" s="1"/>
  <c r="I278" i="13" s="1"/>
  <c r="I279" i="13" s="1"/>
  <c r="I280" i="13" s="1"/>
  <c r="I281" i="13" s="1"/>
  <c r="I282" i="13" s="1"/>
  <c r="I283" i="13" s="1"/>
  <c r="I284" i="13" s="1"/>
  <c r="I285" i="13" s="1"/>
  <c r="I286" i="13" s="1"/>
  <c r="I287" i="13" s="1"/>
  <c r="I288" i="13" s="1"/>
  <c r="I289" i="13" s="1"/>
  <c r="I290" i="13" s="1"/>
  <c r="I291" i="13" s="1"/>
  <c r="I292" i="13" s="1"/>
  <c r="I293" i="13" s="1"/>
  <c r="I294" i="13" s="1"/>
  <c r="I295" i="13" s="1"/>
  <c r="I296" i="13" s="1"/>
  <c r="I297" i="13" s="1"/>
  <c r="I298" i="13" s="1"/>
  <c r="I299" i="13" s="1"/>
  <c r="I300" i="13" s="1"/>
  <c r="I301" i="13" s="1"/>
  <c r="I302" i="13" s="1"/>
  <c r="I303" i="13" s="1"/>
  <c r="I304" i="13" s="1"/>
  <c r="I305" i="13" s="1"/>
  <c r="I306" i="13" s="1"/>
  <c r="I307" i="13" s="1"/>
  <c r="I308" i="13" s="1"/>
  <c r="I309" i="13" s="1"/>
  <c r="I310" i="13" s="1"/>
  <c r="I311" i="13" s="1"/>
  <c r="I312" i="13" s="1"/>
  <c r="I313" i="13" s="1"/>
  <c r="I314" i="13" s="1"/>
  <c r="I315" i="13" s="1"/>
  <c r="I316" i="13" s="1"/>
  <c r="I317" i="13" s="1"/>
  <c r="I318" i="13" s="1"/>
  <c r="I319" i="13" s="1"/>
  <c r="I320" i="13" s="1"/>
  <c r="I321" i="13" s="1"/>
  <c r="I322" i="13" s="1"/>
  <c r="I323" i="13" s="1"/>
  <c r="I324" i="13" s="1"/>
  <c r="I325" i="13" s="1"/>
  <c r="I326" i="13" s="1"/>
  <c r="I327" i="13" s="1"/>
  <c r="I328" i="13" s="1"/>
  <c r="I329" i="13" s="1"/>
  <c r="I330" i="13" s="1"/>
  <c r="I331" i="13" s="1"/>
  <c r="I332" i="13" s="1"/>
  <c r="I333" i="13" s="1"/>
  <c r="I334" i="13" s="1"/>
  <c r="I335" i="13" s="1"/>
  <c r="I336" i="13" s="1"/>
  <c r="I337" i="13" s="1"/>
  <c r="I338" i="13" s="1"/>
  <c r="I339" i="13" s="1"/>
  <c r="I340" i="13" s="1"/>
  <c r="I341" i="13" s="1"/>
  <c r="I342" i="13" s="1"/>
  <c r="I343" i="13" s="1"/>
  <c r="I344" i="13" s="1"/>
  <c r="I345" i="13" s="1"/>
  <c r="I346" i="13" s="1"/>
  <c r="I347" i="13" s="1"/>
  <c r="I348" i="13" s="1"/>
  <c r="I349" i="13" s="1"/>
  <c r="I350" i="13" s="1"/>
  <c r="I351" i="13" s="1"/>
  <c r="I352" i="13" s="1"/>
  <c r="I353" i="13" s="1"/>
  <c r="I354" i="13" s="1"/>
  <c r="I355" i="13" s="1"/>
  <c r="I356" i="13" s="1"/>
  <c r="I357" i="13" s="1"/>
  <c r="I358" i="13" s="1"/>
  <c r="I359" i="13" s="1"/>
  <c r="I360" i="13" s="1"/>
  <c r="I361" i="13" s="1"/>
  <c r="I362" i="13" s="1"/>
  <c r="I363" i="13" s="1"/>
  <c r="I364" i="13" s="1"/>
  <c r="I365" i="13" s="1"/>
  <c r="I366" i="13" s="1"/>
  <c r="I367" i="13" s="1"/>
  <c r="I368" i="13" s="1"/>
  <c r="I369" i="13" s="1"/>
  <c r="I370" i="13" s="1"/>
  <c r="I371" i="13" s="1"/>
  <c r="I372" i="13" s="1"/>
  <c r="I373" i="13" s="1"/>
  <c r="I374" i="13" s="1"/>
  <c r="I375" i="13" s="1"/>
  <c r="I376" i="13" s="1"/>
  <c r="I377" i="13" s="1"/>
  <c r="I378" i="13" s="1"/>
  <c r="I379" i="13" s="1"/>
  <c r="I380" i="13" s="1"/>
  <c r="I381" i="13" s="1"/>
  <c r="I382" i="13" s="1"/>
  <c r="I383" i="13" s="1"/>
  <c r="I384" i="13" s="1"/>
  <c r="I385" i="13" s="1"/>
  <c r="I386" i="13" s="1"/>
  <c r="I387" i="13" s="1"/>
  <c r="I388" i="13" s="1"/>
  <c r="I389" i="13" s="1"/>
  <c r="I390" i="13" s="1"/>
  <c r="I391" i="13" s="1"/>
  <c r="I392" i="13" s="1"/>
  <c r="I393" i="13" s="1"/>
  <c r="I394" i="13" s="1"/>
  <c r="I395" i="13" s="1"/>
  <c r="I396" i="13" s="1"/>
  <c r="I397" i="13" s="1"/>
  <c r="I398" i="13" s="1"/>
  <c r="I399" i="13" s="1"/>
  <c r="I400" i="13" s="1"/>
  <c r="I401" i="13" s="1"/>
  <c r="I402" i="13" s="1"/>
  <c r="I403" i="13" s="1"/>
  <c r="I404" i="13" s="1"/>
  <c r="I405" i="13" s="1"/>
  <c r="I406" i="13" s="1"/>
  <c r="I407" i="13" s="1"/>
  <c r="I408" i="13" s="1"/>
  <c r="I409" i="13" s="1"/>
  <c r="I410" i="13" s="1"/>
  <c r="I411" i="13" s="1"/>
  <c r="I412" i="13" s="1"/>
  <c r="I413" i="13" s="1"/>
  <c r="I414" i="13" s="1"/>
  <c r="I415" i="13" s="1"/>
  <c r="I416" i="13" s="1"/>
  <c r="I417" i="13" s="1"/>
  <c r="I418" i="13" s="1"/>
  <c r="I419" i="13" s="1"/>
  <c r="I420" i="13" s="1"/>
  <c r="I421" i="13" s="1"/>
  <c r="I422" i="13" s="1"/>
  <c r="I423" i="13" s="1"/>
  <c r="I424" i="13" s="1"/>
  <c r="I425" i="13" s="1"/>
  <c r="I426" i="13" s="1"/>
  <c r="I427" i="13" s="1"/>
  <c r="I428" i="13" s="1"/>
  <c r="I429" i="13" s="1"/>
  <c r="I430" i="13" s="1"/>
  <c r="I431" i="13" s="1"/>
  <c r="I432" i="13" s="1"/>
  <c r="I433" i="13" s="1"/>
  <c r="I434" i="13" s="1"/>
  <c r="I435" i="13" s="1"/>
  <c r="I436" i="13" s="1"/>
  <c r="I437" i="13" s="1"/>
  <c r="I438" i="13" s="1"/>
  <c r="I439" i="13" s="1"/>
  <c r="I440" i="13" s="1"/>
  <c r="I441" i="13" s="1"/>
  <c r="I442" i="13" s="1"/>
  <c r="I443" i="13" s="1"/>
  <c r="I444" i="13" s="1"/>
  <c r="I445" i="13" s="1"/>
  <c r="I446" i="13" s="1"/>
  <c r="I447" i="13" s="1"/>
  <c r="I448" i="13" s="1"/>
  <c r="I449" i="13" s="1"/>
  <c r="I450" i="13" s="1"/>
  <c r="I451" i="13" s="1"/>
  <c r="I452" i="13" s="1"/>
  <c r="I453" i="13" s="1"/>
  <c r="I454" i="13" s="1"/>
  <c r="I455" i="13" s="1"/>
  <c r="I456" i="13" s="1"/>
  <c r="I457" i="13" s="1"/>
  <c r="I458" i="13" s="1"/>
  <c r="I459" i="13" s="1"/>
  <c r="I460" i="13" s="1"/>
  <c r="I461" i="13" s="1"/>
  <c r="I462" i="13" s="1"/>
  <c r="I463" i="13" s="1"/>
  <c r="I464" i="13" s="1"/>
  <c r="I465" i="13" s="1"/>
  <c r="I466" i="13" s="1"/>
  <c r="I467" i="13" s="1"/>
  <c r="I468" i="13" s="1"/>
  <c r="I469" i="13" s="1"/>
  <c r="I470" i="13" s="1"/>
  <c r="I471" i="13" s="1"/>
  <c r="I472" i="13" s="1"/>
  <c r="I473" i="13" s="1"/>
  <c r="I474" i="13" s="1"/>
  <c r="I475" i="13" s="1"/>
  <c r="I476" i="13" s="1"/>
  <c r="I477" i="13" s="1"/>
  <c r="I478" i="13" s="1"/>
  <c r="I479" i="13" s="1"/>
  <c r="I480" i="13" s="1"/>
  <c r="I481" i="13" s="1"/>
  <c r="I482" i="13" s="1"/>
  <c r="I483" i="13" s="1"/>
  <c r="I484" i="13" s="1"/>
  <c r="I485" i="13" s="1"/>
  <c r="I486" i="13" s="1"/>
  <c r="I487" i="13" s="1"/>
  <c r="I488" i="13" s="1"/>
  <c r="I489" i="13" s="1"/>
  <c r="I490" i="13" s="1"/>
  <c r="I491" i="13" s="1"/>
  <c r="I492" i="13" s="1"/>
  <c r="I493" i="13" s="1"/>
  <c r="I494" i="13" s="1"/>
  <c r="I495" i="13" s="1"/>
  <c r="I496" i="13" s="1"/>
  <c r="I497" i="13" s="1"/>
  <c r="I498" i="13" s="1"/>
  <c r="I499" i="13" s="1"/>
  <c r="I500" i="13" s="1"/>
  <c r="I501" i="13" s="1"/>
  <c r="I502" i="13" s="1"/>
  <c r="I503" i="13" s="1"/>
  <c r="I504" i="13" s="1"/>
  <c r="I505" i="13" s="1"/>
  <c r="I506" i="13" s="1"/>
  <c r="I507" i="13" s="1"/>
  <c r="I508" i="13" s="1"/>
  <c r="I509" i="13" s="1"/>
  <c r="I510" i="13" s="1"/>
  <c r="I511" i="13" s="1"/>
  <c r="I512" i="13" s="1"/>
  <c r="I513" i="13" s="1"/>
  <c r="I514" i="13" s="1"/>
  <c r="I515" i="13" s="1"/>
  <c r="I516" i="13" s="1"/>
  <c r="I517" i="13" s="1"/>
  <c r="I518" i="13" s="1"/>
  <c r="I519" i="13" s="1"/>
  <c r="I520" i="13" s="1"/>
  <c r="I521" i="13" s="1"/>
  <c r="I522" i="13" s="1"/>
  <c r="I523" i="13" s="1"/>
  <c r="I524" i="13" s="1"/>
  <c r="I525" i="13" s="1"/>
  <c r="I526" i="13" s="1"/>
  <c r="I527" i="13" s="1"/>
  <c r="I528" i="13" s="1"/>
  <c r="I529" i="13" s="1"/>
  <c r="I530" i="13" s="1"/>
  <c r="I531" i="13" s="1"/>
  <c r="I532" i="13" s="1"/>
  <c r="I533" i="13" s="1"/>
  <c r="I534" i="13" s="1"/>
  <c r="I535" i="13" s="1"/>
  <c r="I536" i="13" s="1"/>
  <c r="I537" i="13" s="1"/>
  <c r="I538" i="13" s="1"/>
  <c r="I539" i="13" s="1"/>
  <c r="I540" i="13" s="1"/>
  <c r="I541" i="13" s="1"/>
  <c r="I542" i="13" s="1"/>
  <c r="I543" i="13" s="1"/>
  <c r="I544" i="13" s="1"/>
  <c r="I545" i="13" s="1"/>
  <c r="I546" i="13" s="1"/>
  <c r="I547" i="13" s="1"/>
  <c r="I548" i="13" s="1"/>
  <c r="I549" i="13" s="1"/>
  <c r="I550" i="13" s="1"/>
  <c r="I551" i="13" s="1"/>
  <c r="I552" i="13" s="1"/>
  <c r="I553" i="13" s="1"/>
  <c r="I554" i="13" s="1"/>
  <c r="I555" i="13" s="1"/>
  <c r="I556" i="13" s="1"/>
  <c r="I557" i="13" s="1"/>
  <c r="I558" i="13" s="1"/>
  <c r="I559" i="13" s="1"/>
  <c r="I560" i="13" s="1"/>
  <c r="I561" i="13" s="1"/>
  <c r="I562" i="13" s="1"/>
  <c r="I563" i="13" s="1"/>
  <c r="I564" i="13" s="1"/>
  <c r="I565" i="13" s="1"/>
  <c r="I566" i="13" s="1"/>
  <c r="I567" i="13" s="1"/>
  <c r="I568" i="13" s="1"/>
  <c r="I569" i="13" s="1"/>
  <c r="I570" i="13" s="1"/>
  <c r="I571" i="13" s="1"/>
  <c r="I572" i="13" s="1"/>
  <c r="I573" i="13" s="1"/>
  <c r="I574" i="13" s="1"/>
  <c r="I575" i="13" s="1"/>
  <c r="I576" i="13" s="1"/>
  <c r="I577" i="13" s="1"/>
  <c r="I578" i="13" s="1"/>
  <c r="I579" i="13" s="1"/>
  <c r="I580" i="13" s="1"/>
  <c r="I581" i="13" s="1"/>
  <c r="I582" i="13" s="1"/>
  <c r="I583" i="13" s="1"/>
  <c r="I584" i="13" s="1"/>
  <c r="I585" i="13" s="1"/>
  <c r="I586" i="13" s="1"/>
  <c r="I587" i="13" s="1"/>
  <c r="I588" i="13" s="1"/>
  <c r="I589" i="13" s="1"/>
  <c r="I590" i="13" s="1"/>
  <c r="I591" i="13" s="1"/>
  <c r="I592" i="13" s="1"/>
  <c r="I593" i="13" s="1"/>
  <c r="I594" i="13" s="1"/>
  <c r="I595" i="13" s="1"/>
  <c r="I596" i="13" s="1"/>
  <c r="I597" i="13" s="1"/>
  <c r="I598" i="13" s="1"/>
  <c r="I599" i="13" s="1"/>
  <c r="I600" i="13" s="1"/>
  <c r="I601" i="13" s="1"/>
  <c r="I602" i="13" s="1"/>
  <c r="I603" i="13" s="1"/>
  <c r="I604" i="13" s="1"/>
  <c r="I605" i="13" s="1"/>
  <c r="I606" i="13" s="1"/>
  <c r="I607" i="13" s="1"/>
  <c r="I608" i="13" s="1"/>
  <c r="I609" i="13" s="1"/>
  <c r="I610" i="13" s="1"/>
  <c r="I611" i="13" s="1"/>
  <c r="I612" i="13" s="1"/>
  <c r="I613" i="13" s="1"/>
  <c r="I614" i="13" s="1"/>
  <c r="I615" i="13" s="1"/>
  <c r="I616" i="13" s="1"/>
  <c r="I617" i="13" s="1"/>
  <c r="I618" i="13" s="1"/>
  <c r="I619" i="13" s="1"/>
  <c r="I620" i="13" s="1"/>
  <c r="I621" i="13" s="1"/>
  <c r="I622" i="13" s="1"/>
  <c r="I623" i="13" s="1"/>
  <c r="I624" i="13" s="1"/>
  <c r="I625" i="13" s="1"/>
  <c r="I626" i="13" s="1"/>
  <c r="I627" i="13" s="1"/>
  <c r="I628" i="13" s="1"/>
  <c r="I629" i="13" s="1"/>
  <c r="I630" i="13" s="1"/>
  <c r="I631" i="13" s="1"/>
  <c r="I632" i="13" s="1"/>
  <c r="I633" i="13" s="1"/>
  <c r="I634" i="13" s="1"/>
  <c r="I635" i="13" s="1"/>
  <c r="I636" i="13" s="1"/>
  <c r="I637" i="13" s="1"/>
  <c r="I638" i="13" s="1"/>
  <c r="I639" i="13" s="1"/>
  <c r="I640" i="13" s="1"/>
  <c r="I641" i="13" s="1"/>
  <c r="I642" i="13" s="1"/>
  <c r="I643" i="13" s="1"/>
  <c r="I644" i="13" s="1"/>
  <c r="I645" i="13" s="1"/>
  <c r="I646" i="13" s="1"/>
  <c r="I647" i="13" s="1"/>
  <c r="I648" i="13" s="1"/>
  <c r="I649" i="13" s="1"/>
  <c r="I650" i="13" s="1"/>
  <c r="I651" i="13" s="1"/>
  <c r="I652" i="13" s="1"/>
  <c r="I653" i="13" s="1"/>
  <c r="I654" i="13" s="1"/>
  <c r="I655" i="13" s="1"/>
  <c r="I656" i="13" s="1"/>
  <c r="I657" i="13" s="1"/>
  <c r="I658" i="13" s="1"/>
  <c r="I659" i="13" s="1"/>
  <c r="I660" i="13" s="1"/>
  <c r="I661" i="13" s="1"/>
  <c r="I662" i="13" s="1"/>
  <c r="I663" i="13" s="1"/>
  <c r="I664" i="13" s="1"/>
  <c r="I665" i="13" s="1"/>
  <c r="I666" i="13" s="1"/>
  <c r="I667" i="13" s="1"/>
  <c r="I668" i="13" s="1"/>
  <c r="I669" i="13" s="1"/>
  <c r="I670" i="13" s="1"/>
  <c r="I671" i="13" s="1"/>
  <c r="I672" i="13" s="1"/>
  <c r="I673" i="13" s="1"/>
  <c r="I674" i="13" s="1"/>
  <c r="I675" i="13" s="1"/>
  <c r="I676" i="13" s="1"/>
  <c r="I677" i="13" s="1"/>
  <c r="I678" i="13" s="1"/>
  <c r="I679" i="13" s="1"/>
  <c r="I680" i="13" s="1"/>
  <c r="I681" i="13" s="1"/>
  <c r="I682" i="13" s="1"/>
  <c r="I683" i="13" s="1"/>
  <c r="I684" i="13" s="1"/>
  <c r="I685" i="13" s="1"/>
  <c r="I686" i="13" s="1"/>
  <c r="I687" i="13" s="1"/>
  <c r="I688" i="13" s="1"/>
  <c r="I689" i="13" s="1"/>
  <c r="I690" i="13" s="1"/>
  <c r="I691" i="13" s="1"/>
  <c r="I692" i="13" s="1"/>
  <c r="I693" i="13" s="1"/>
  <c r="I694" i="13" s="1"/>
  <c r="I695" i="13" s="1"/>
  <c r="I696" i="13" s="1"/>
  <c r="I697" i="13" s="1"/>
  <c r="I698" i="13" s="1"/>
  <c r="I699" i="13" s="1"/>
  <c r="I700" i="13" s="1"/>
  <c r="I701" i="13" s="1"/>
  <c r="I702" i="13" s="1"/>
  <c r="I703" i="13" s="1"/>
  <c r="I704" i="13" s="1"/>
  <c r="I705" i="13" s="1"/>
  <c r="I706" i="13" s="1"/>
  <c r="I707" i="13" s="1"/>
  <c r="I708" i="13" s="1"/>
  <c r="I709" i="13" s="1"/>
  <c r="I710" i="13" s="1"/>
  <c r="I711" i="13" s="1"/>
  <c r="I712" i="13" s="1"/>
  <c r="I713" i="13" s="1"/>
  <c r="I714" i="13" s="1"/>
  <c r="I715" i="13" s="1"/>
  <c r="I716" i="13" s="1"/>
  <c r="I717" i="13" s="1"/>
  <c r="I718" i="13" s="1"/>
  <c r="I719" i="13" s="1"/>
  <c r="I720" i="13" s="1"/>
  <c r="I721" i="13" s="1"/>
  <c r="I722" i="13" s="1"/>
  <c r="I723" i="13" s="1"/>
  <c r="I724" i="13" s="1"/>
  <c r="I725" i="13" s="1"/>
  <c r="I726" i="13" s="1"/>
  <c r="I727" i="13" s="1"/>
  <c r="I728" i="13" s="1"/>
  <c r="I729" i="13" s="1"/>
  <c r="I730" i="13" s="1"/>
  <c r="I731" i="13" s="1"/>
  <c r="I732" i="13" s="1"/>
  <c r="I733" i="13" s="1"/>
  <c r="I734" i="13" s="1"/>
  <c r="I735" i="13" s="1"/>
  <c r="I736" i="13" s="1"/>
  <c r="I737" i="13" s="1"/>
  <c r="I738" i="13" s="1"/>
  <c r="I739" i="13" s="1"/>
  <c r="I740" i="13" s="1"/>
  <c r="I741" i="13" s="1"/>
  <c r="I742" i="13" s="1"/>
  <c r="I743" i="13" s="1"/>
  <c r="I744" i="13" s="1"/>
  <c r="I745" i="13" s="1"/>
  <c r="I746" i="13" s="1"/>
  <c r="I747" i="13" s="1"/>
  <c r="I748" i="13" s="1"/>
  <c r="I749" i="13" s="1"/>
  <c r="I750" i="13" s="1"/>
  <c r="I751" i="13" s="1"/>
  <c r="I752" i="13" s="1"/>
  <c r="I753" i="13" s="1"/>
  <c r="I754" i="13" s="1"/>
  <c r="I755" i="13" s="1"/>
  <c r="I756" i="13" s="1"/>
  <c r="I757" i="13" s="1"/>
  <c r="I758" i="13" s="1"/>
  <c r="I759" i="13" s="1"/>
  <c r="I760" i="13" s="1"/>
  <c r="I761" i="13" s="1"/>
  <c r="I762" i="13" s="1"/>
  <c r="I763" i="13" s="1"/>
  <c r="I764" i="13" s="1"/>
  <c r="I765" i="13" s="1"/>
  <c r="I766" i="13" s="1"/>
  <c r="I767" i="13" s="1"/>
  <c r="I768" i="13" s="1"/>
  <c r="I769" i="13" s="1"/>
  <c r="I770" i="13" s="1"/>
  <c r="I771" i="13" s="1"/>
  <c r="I772" i="13" s="1"/>
  <c r="I773" i="13" s="1"/>
  <c r="I774" i="13" s="1"/>
  <c r="I775" i="13" s="1"/>
  <c r="I776" i="13" s="1"/>
  <c r="I777" i="13" s="1"/>
  <c r="I778" i="13" s="1"/>
  <c r="I779" i="13" s="1"/>
  <c r="K34" i="18"/>
  <c r="K35" i="18"/>
  <c r="I35" i="18" s="1"/>
  <c r="J33" i="18"/>
  <c r="H33" i="18"/>
  <c r="J35" i="18" l="1"/>
  <c r="I34" i="18"/>
  <c r="H34" i="18" s="1"/>
  <c r="J34" i="18"/>
  <c r="H35" i="18" l="1"/>
  <c r="H36" i="18" s="1"/>
  <c r="H37" i="18" s="1"/>
  <c r="H38" i="18" s="1"/>
  <c r="H39" i="18" s="1"/>
  <c r="H40" i="18" s="1"/>
  <c r="H41" i="18" l="1"/>
  <c r="H42" i="18" s="1"/>
  <c r="H43" i="18" s="1"/>
  <c r="H44" i="18" s="1"/>
  <c r="H45" i="18" s="1"/>
  <c r="H4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uthor>
    <author>Vertex42</author>
  </authors>
  <commentList>
    <comment ref="D5" authorId="0" shapeId="0" xr:uid="{F17238EC-C369-42A4-9A88-1CF3E5386070}">
      <text>
        <r>
          <rPr>
            <b/>
            <sz val="9"/>
            <color indexed="81"/>
            <rFont val="Tahoma"/>
            <family val="2"/>
          </rPr>
          <t>Current Credit Card Balance</t>
        </r>
        <r>
          <rPr>
            <sz val="9"/>
            <color indexed="81"/>
            <rFont val="Tahoma"/>
            <family val="2"/>
          </rPr>
          <t xml:space="preserve">
This is the amount you currently need to pay off.</t>
        </r>
      </text>
    </comment>
    <comment ref="D6" authorId="0" shapeId="0" xr:uid="{1A6C9F2A-156A-4A32-ABEB-5954ED9642AF}">
      <text>
        <r>
          <rPr>
            <b/>
            <sz val="9"/>
            <color indexed="81"/>
            <rFont val="Tahoma"/>
            <family val="2"/>
          </rPr>
          <t>Annual Interest Rate:</t>
        </r>
        <r>
          <rPr>
            <sz val="9"/>
            <color indexed="81"/>
            <rFont val="Tahoma"/>
            <family val="2"/>
          </rPr>
          <t xml:space="preserve">
Unless you know otherwise, enter the APR (Annual Percentage Rate). Most APR's will fluxuate over time, and can be affected by late payments and other factors, but this calculator just assumes a fixed rate.
For a card with a 0% introductory period, enter the interest rate that will be charged after the introductory period.</t>
        </r>
      </text>
    </comment>
    <comment ref="D7" authorId="1" shapeId="0" xr:uid="{9809B93F-E9FA-43E5-B2A0-B8D2FB0BCDFE}">
      <text>
        <r>
          <rPr>
            <b/>
            <sz val="9"/>
            <color indexed="81"/>
            <rFont val="Tahoma"/>
            <family val="2"/>
          </rPr>
          <t>Minimum Payment</t>
        </r>
        <r>
          <rPr>
            <sz val="9"/>
            <color indexed="81"/>
            <rFont val="Tahoma"/>
            <family val="2"/>
          </rPr>
          <t xml:space="preserve">
The minimum payment on a credit card is usually defined as a </t>
        </r>
        <r>
          <rPr>
            <b/>
            <sz val="9"/>
            <color indexed="81"/>
            <rFont val="Tahoma"/>
            <family val="2"/>
          </rPr>
          <t>percentage of the balance</t>
        </r>
        <r>
          <rPr>
            <sz val="9"/>
            <color indexed="81"/>
            <rFont val="Tahoma"/>
            <family val="2"/>
          </rPr>
          <t xml:space="preserve">, usually between 2% and 5%. It might also be defined as a </t>
        </r>
        <r>
          <rPr>
            <b/>
            <sz val="9"/>
            <color indexed="81"/>
            <rFont val="Tahoma"/>
            <family val="2"/>
          </rPr>
          <t>percentage of the balance plus the interest</t>
        </r>
        <r>
          <rPr>
            <sz val="9"/>
            <color indexed="81"/>
            <rFont val="Tahoma"/>
            <family val="2"/>
          </rPr>
          <t xml:space="preserve"> such as "interest plus 1% of the balance". When the balance is low, there is also usually a minimum fixed amount (typically $15).</t>
        </r>
      </text>
    </comment>
    <comment ref="D8" authorId="0" shapeId="0" xr:uid="{BE1EB691-0180-4C1A-9624-239F545A1855}">
      <text>
        <r>
          <rPr>
            <sz val="9"/>
            <color indexed="81"/>
            <rFont val="Tahoma"/>
            <family val="2"/>
          </rPr>
          <t>Select "Yes" if the Minimum Payment should be the % of the Balance PLUS the interest due.</t>
        </r>
      </text>
    </comment>
    <comment ref="D9" authorId="1" shapeId="0" xr:uid="{47305E6F-F043-4789-A23F-CACA0DFF6E64}">
      <text>
        <r>
          <rPr>
            <b/>
            <sz val="9"/>
            <color indexed="81"/>
            <rFont val="Tahoma"/>
            <family val="2"/>
          </rPr>
          <t>Minimum Payment for Low Balance</t>
        </r>
        <r>
          <rPr>
            <sz val="9"/>
            <color indexed="81"/>
            <rFont val="Tahoma"/>
            <family val="2"/>
          </rPr>
          <t xml:space="preserve">
When the balance is low, the minimum payment is usually a minimum fixed amount (typically $15). For example, the minimum payment might be defined as "$15 or 2% of the balance, whichever is greater".</t>
        </r>
      </text>
    </comment>
    <comment ref="D10" authorId="0" shapeId="0" xr:uid="{8F85E4AB-DAA0-45EB-9FD9-B116A1F5326C}">
      <text>
        <r>
          <rPr>
            <b/>
            <sz val="9"/>
            <color indexed="81"/>
            <rFont val="Tahoma"/>
            <family val="2"/>
          </rPr>
          <t>Fixed Monthly Payment:</t>
        </r>
        <r>
          <rPr>
            <sz val="9"/>
            <color indexed="81"/>
            <rFont val="Tahoma"/>
            <family val="2"/>
          </rPr>
          <t xml:space="preserve">
Instead of using the minimum payment % and $ values, you can choose to enter a fixed monthly payment.
The amount must be greater than the interest-only payment, or you won't be able to pay off the credit balance, and you will see #NUM errors in the "Months to Payoff" field. This calculator assumes no late fees, no additional charges, and no other fees. Part of the monthly payment will go towards paying the interest due, and the other part will go towards reducing the balance.</t>
        </r>
      </text>
    </comment>
    <comment ref="D11" authorId="1" shapeId="0" xr:uid="{EBE294A3-D4E3-44A7-8B32-9F75409CB986}">
      <text>
        <r>
          <rPr>
            <b/>
            <sz val="9"/>
            <color indexed="81"/>
            <rFont val="Tahoma"/>
            <family val="2"/>
          </rPr>
          <t>0% Introductory Period</t>
        </r>
        <r>
          <rPr>
            <sz val="9"/>
            <color indexed="81"/>
            <rFont val="Tahoma"/>
            <family val="2"/>
          </rPr>
          <t xml:space="preserve">
If your card has a 0% Interest introductory period, enter the number of months that it will remain 0%. Note: Missing a payment may cancel the introductory period and cause the rate to increase.</t>
        </r>
      </text>
    </comment>
    <comment ref="D16" authorId="0" shapeId="0" xr:uid="{8956316D-C5C2-4EBD-BE4B-195114981BF4}">
      <text>
        <r>
          <rPr>
            <b/>
            <sz val="9"/>
            <color indexed="81"/>
            <rFont val="Tahoma"/>
            <family val="2"/>
          </rPr>
          <t>Months to Payoff:</t>
        </r>
        <r>
          <rPr>
            <sz val="9"/>
            <color indexed="81"/>
            <rFont val="Tahoma"/>
            <family val="2"/>
          </rPr>
          <t xml:space="preserve">
This is the estimated time it will take to pay off your credit balance based on the monthly payment you specified, and assuming a fixed interest rate, no late fees, and no future charges. If you see a #NUM error, it is probably because the monthly payment is too low (below the interest-only amount).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uthor>
    <author>Vertex42</author>
  </authors>
  <commentList>
    <comment ref="D5" authorId="0" shapeId="0" xr:uid="{D94D579E-8E90-4CEF-B865-60BB4DD8B067}">
      <text>
        <r>
          <rPr>
            <b/>
            <sz val="9"/>
            <color indexed="81"/>
            <rFont val="Tahoma"/>
            <family val="2"/>
          </rPr>
          <t>Current Credit Card Balance</t>
        </r>
        <r>
          <rPr>
            <sz val="9"/>
            <color indexed="81"/>
            <rFont val="Tahoma"/>
            <family val="2"/>
          </rPr>
          <t xml:space="preserve">
This is the amount you currently need to pay off.</t>
        </r>
      </text>
    </comment>
    <comment ref="D6" authorId="0" shapeId="0" xr:uid="{46A4CD52-67D1-4145-B577-8602F6FBC2DA}">
      <text>
        <r>
          <rPr>
            <b/>
            <sz val="9"/>
            <color indexed="81"/>
            <rFont val="Tahoma"/>
            <family val="2"/>
          </rPr>
          <t>Annual Interest Rate:</t>
        </r>
        <r>
          <rPr>
            <sz val="9"/>
            <color indexed="81"/>
            <rFont val="Tahoma"/>
            <family val="2"/>
          </rPr>
          <t xml:space="preserve">
Unless you know otherwise, enter the APR (Annual Percentage Rate). Most APR's will fluxuate over time, and can be affected by late payments and other factors, but this calculator just assumes a fixed rate.
For a card with a 0% introductory period, enter the interest rate that will be charged after the introductory period.</t>
        </r>
      </text>
    </comment>
    <comment ref="D7" authorId="1" shapeId="0" xr:uid="{FF910496-AA93-4943-9815-A66ECD88E065}">
      <text>
        <r>
          <rPr>
            <b/>
            <sz val="9"/>
            <color indexed="81"/>
            <rFont val="Tahoma"/>
            <family val="2"/>
          </rPr>
          <t>Minimum Payment</t>
        </r>
        <r>
          <rPr>
            <sz val="9"/>
            <color indexed="81"/>
            <rFont val="Tahoma"/>
            <family val="2"/>
          </rPr>
          <t xml:space="preserve">
The minimum payment on a credit card is usually defined as a </t>
        </r>
        <r>
          <rPr>
            <b/>
            <sz val="9"/>
            <color indexed="81"/>
            <rFont val="Tahoma"/>
            <family val="2"/>
          </rPr>
          <t>percentage of the balance</t>
        </r>
        <r>
          <rPr>
            <sz val="9"/>
            <color indexed="81"/>
            <rFont val="Tahoma"/>
            <family val="2"/>
          </rPr>
          <t xml:space="preserve">, usually between 2% and 5%. It might also be defined as a </t>
        </r>
        <r>
          <rPr>
            <b/>
            <sz val="9"/>
            <color indexed="81"/>
            <rFont val="Tahoma"/>
            <family val="2"/>
          </rPr>
          <t>percentage of the balance plus the interest</t>
        </r>
        <r>
          <rPr>
            <sz val="9"/>
            <color indexed="81"/>
            <rFont val="Tahoma"/>
            <family val="2"/>
          </rPr>
          <t xml:space="preserve"> such as "interest plus 1% of the balance". When the balance is low, there is also usually a minimum fixed amount (typically $15).</t>
        </r>
      </text>
    </comment>
    <comment ref="D8" authorId="0" shapeId="0" xr:uid="{C5516313-AA84-45F2-AB58-9442F620F1D9}">
      <text>
        <r>
          <rPr>
            <sz val="9"/>
            <color indexed="81"/>
            <rFont val="Tahoma"/>
            <family val="2"/>
          </rPr>
          <t>Select "Yes" if the Minimum Payment should be the % of the Balance PLUS the interest due.</t>
        </r>
      </text>
    </comment>
    <comment ref="D9" authorId="1" shapeId="0" xr:uid="{D71A2EF4-3F90-4C4E-97E7-E22120D10A8E}">
      <text>
        <r>
          <rPr>
            <b/>
            <sz val="9"/>
            <color indexed="81"/>
            <rFont val="Tahoma"/>
            <family val="2"/>
          </rPr>
          <t>Minimum Payment for Low Balance</t>
        </r>
        <r>
          <rPr>
            <sz val="9"/>
            <color indexed="81"/>
            <rFont val="Tahoma"/>
            <family val="2"/>
          </rPr>
          <t xml:space="preserve">
When the balance is low, the minimum payment is usually a minimum fixed amount (typically $15). For example, the minimum payment might be defined as "$15 or 2% of the balance, whichever is greater".</t>
        </r>
      </text>
    </comment>
    <comment ref="D10" authorId="0" shapeId="0" xr:uid="{F0C0470C-C25B-408A-A815-95C580409BAD}">
      <text>
        <r>
          <rPr>
            <b/>
            <sz val="9"/>
            <color indexed="81"/>
            <rFont val="Tahoma"/>
            <family val="2"/>
          </rPr>
          <t>Fixed Monthly Payment:</t>
        </r>
        <r>
          <rPr>
            <sz val="9"/>
            <color indexed="81"/>
            <rFont val="Tahoma"/>
            <family val="2"/>
          </rPr>
          <t xml:space="preserve">
Instead of using the minimum payment % and $ values, you can choose to enter a fixed monthly payment.
The amount must be greater than the interest-only payment, or you won't be able to pay off the credit balance, and you will see #NUM errors in the "Months to Payoff" field. This calculator assumes no late fees, no additional charges, and no other fees. Part of the monthly payment will go towards paying the interest due, and the other part will go towards reducing the balance.</t>
        </r>
      </text>
    </comment>
    <comment ref="D11" authorId="1" shapeId="0" xr:uid="{787D2190-63F9-40DF-8E09-139A4EEB21F2}">
      <text>
        <r>
          <rPr>
            <b/>
            <sz val="9"/>
            <color indexed="81"/>
            <rFont val="Tahoma"/>
            <family val="2"/>
          </rPr>
          <t>0% Introductory Period</t>
        </r>
        <r>
          <rPr>
            <sz val="9"/>
            <color indexed="81"/>
            <rFont val="Tahoma"/>
            <family val="2"/>
          </rPr>
          <t xml:space="preserve">
If your card has a 0% Interest introductory period, enter the number of months that it will remain 0%. Note: Missing a payment may cancel the introductory period and cause the rate to increase.</t>
        </r>
      </text>
    </comment>
    <comment ref="D16" authorId="0" shapeId="0" xr:uid="{938B6648-CEC8-4DAD-9E6B-A89E3BA5217F}">
      <text>
        <r>
          <rPr>
            <b/>
            <sz val="9"/>
            <color indexed="81"/>
            <rFont val="Tahoma"/>
            <family val="2"/>
          </rPr>
          <t>Months to Payoff:</t>
        </r>
        <r>
          <rPr>
            <sz val="9"/>
            <color indexed="81"/>
            <rFont val="Tahoma"/>
            <family val="2"/>
          </rPr>
          <t xml:space="preserve">
This is the estimated time it will take to pay off your credit balance based on the monthly payment you specified, and assuming a fixed interest rate, no late fees, and no future charges. If you see a #NUM error, it is probably because the monthly payment is too low (below the interest-only amount).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<sst xmlns="http://schemas.openxmlformats.org/spreadsheetml/2006/main" count="3672" uniqueCount="1129">
  <si>
    <t>Description</t>
  </si>
  <si>
    <t>Amount</t>
  </si>
  <si>
    <t>Jan</t>
  </si>
  <si>
    <t>Income</t>
  </si>
  <si>
    <t>Monthly</t>
  </si>
  <si>
    <t>Weekly</t>
  </si>
  <si>
    <t>Spotify</t>
  </si>
  <si>
    <t>Netflix</t>
  </si>
  <si>
    <t>State Farm</t>
  </si>
  <si>
    <t>Crunchyroll</t>
  </si>
  <si>
    <t>Elephant</t>
  </si>
  <si>
    <t>Stimulus 1</t>
  </si>
  <si>
    <t>Stimulus 2</t>
  </si>
  <si>
    <t>Year</t>
  </si>
  <si>
    <t>Month</t>
  </si>
  <si>
    <t>Trans. date</t>
  </si>
  <si>
    <t>Post date</t>
  </si>
  <si>
    <t>Category</t>
  </si>
  <si>
    <t>Expense Type</t>
  </si>
  <si>
    <t>Cumulative</t>
  </si>
  <si>
    <t>Association</t>
  </si>
  <si>
    <t>INTERNET PAYMENT - THANK YOU</t>
  </si>
  <si>
    <t>Payments and Credits</t>
  </si>
  <si>
    <t>WAWA 697 STAFFORD VA</t>
  </si>
  <si>
    <t>Gasoline</t>
  </si>
  <si>
    <t>SPOTIFY P12D96D434 8777781161 NY</t>
  </si>
  <si>
    <t>APP</t>
  </si>
  <si>
    <t>Variable</t>
  </si>
  <si>
    <t>NETFLIX.COM NETFLIX.COM CA44115296471</t>
  </si>
  <si>
    <t>Fixed</t>
  </si>
  <si>
    <t>MYFICO COM 8003194433 GA</t>
  </si>
  <si>
    <t>Payment</t>
  </si>
  <si>
    <t>STATE FARM INSURANCE 800-956-6310 IL</t>
  </si>
  <si>
    <t>STEAMPOWERED.COM 425-952-2985 WA</t>
  </si>
  <si>
    <t>Neir Automata</t>
  </si>
  <si>
    <t>Jayelin</t>
  </si>
  <si>
    <t>LIVECAREER.COM 800652843 866-933-7587 PR</t>
  </si>
  <si>
    <t>Shevon</t>
  </si>
  <si>
    <t>RIVER RUN SHORT PUMP HENRICO VA</t>
  </si>
  <si>
    <t>THE MARKET @ 25TH RICHMOND VA</t>
  </si>
  <si>
    <t>AMERICA'S BEST WINGS HENRICO VA</t>
  </si>
  <si>
    <t>Restaurants</t>
  </si>
  <si>
    <t>GO DRAGON ASIAN GRILL RICHMOND VA</t>
  </si>
  <si>
    <t>CVS/PHARMACY #01988 RICHMOND VA</t>
  </si>
  <si>
    <t>LABCORP PSCC 2 800-845-6167 NC202101072171244</t>
  </si>
  <si>
    <t>Medical Services</t>
  </si>
  <si>
    <t>Doctor</t>
  </si>
  <si>
    <t>BINGO BEER CO - GAMES PE RICHMOND VA</t>
  </si>
  <si>
    <t>Akhil</t>
  </si>
  <si>
    <t>WALMART SC 07032 HENRICO VA</t>
  </si>
  <si>
    <t>APPLE.COM/BILL 866-712-7753 CAAPPLE PAY ENDING IN 4775MMW3T9K9KMA0</t>
  </si>
  <si>
    <t>FEDEX 782422707980 800-4633339 TN</t>
  </si>
  <si>
    <t>Services</t>
  </si>
  <si>
    <t>Darron</t>
  </si>
  <si>
    <t>FEDEX 782422725203 800-4633339 TN</t>
  </si>
  <si>
    <t>CASH APP*SHEVON LEW 415-375-3176 CA</t>
  </si>
  <si>
    <t>Family</t>
  </si>
  <si>
    <t>PAYPAL *ETCHEDACTUA 402-935-7733 CA</t>
  </si>
  <si>
    <t>FAMILY DOLLAR #5701 RICHMOND VA</t>
  </si>
  <si>
    <t>PAYPAL *VIZMEDIALLC 888-221-1161 CA</t>
  </si>
  <si>
    <t>EXXONMOBIL RICHMOND VA</t>
  </si>
  <si>
    <t>CASHBACK BONUS REDEMPTION PYMT/STMT CRDT</t>
  </si>
  <si>
    <t>Awards and Rebate Credits</t>
  </si>
  <si>
    <t>MCDONALD'S F17579 RICHMOND VA</t>
  </si>
  <si>
    <t>WALGREENS #3860 RICHMOND VA</t>
  </si>
  <si>
    <t>Draino</t>
  </si>
  <si>
    <t>AMZN MKTP US*0H4DK7EL3 AMZN.COM/BILLWA72J9EGRQCDU</t>
  </si>
  <si>
    <t>Merchandise</t>
  </si>
  <si>
    <t>Webcam</t>
  </si>
  <si>
    <t>SP * ILF, LLC 8888044453 TX</t>
  </si>
  <si>
    <t>Vincent</t>
  </si>
  <si>
    <t>Kaiya</t>
  </si>
  <si>
    <t>Griddle</t>
  </si>
  <si>
    <t>NETFLIX.COM NETFLIX.COM CA44925167830</t>
  </si>
  <si>
    <t>SPOTIFY P1343F2886 8777781161 NY</t>
  </si>
  <si>
    <t>PAYPAL *DAYNEINVEST 888-221-1161 CA</t>
  </si>
  <si>
    <t>Masks</t>
  </si>
  <si>
    <t>DIRECTPAY FULL BALANCESEE DETAILS OF YOUR NEXT DIRECTPAY BELOW</t>
  </si>
  <si>
    <t>CHIPOTLE 1975 RICHMOND VA</t>
  </si>
  <si>
    <t>KINGSISLE *PIRATE101 512-623-5983 TX00099RS900000000000000</t>
  </si>
  <si>
    <t>PP*PP ROKU FOR CRUNCHYR 402-935-7733 CA</t>
  </si>
  <si>
    <t>BEDBATH&amp;BEYOND GLEN ALLEN VA</t>
  </si>
  <si>
    <t>CITYPARKING INC 804-344-3353 VAAPPLE PAY ENDING IN 4775</t>
  </si>
  <si>
    <t>TST* 521 BISCUITS &amp; WAFF RICHMOND VAAPPLE PAY ENDING IN 4775</t>
  </si>
  <si>
    <t>WHOLEFDS WBS#10598 RICHMOND VA</t>
  </si>
  <si>
    <t>PUBLIX #1588 RICHMOND VA</t>
  </si>
  <si>
    <t>ABC*CRUNCH FITNESS 888-827-9262 VAABC*CRUNCH FITNESS</t>
  </si>
  <si>
    <t>DC CHARBROILED CHICKEN RICHMOND VA</t>
  </si>
  <si>
    <t>Travel/ Entertainment</t>
  </si>
  <si>
    <t>Supermarkets</t>
  </si>
  <si>
    <t>Education</t>
  </si>
  <si>
    <t>Don</t>
  </si>
  <si>
    <t>Credit Karma</t>
  </si>
  <si>
    <t>Webull</t>
  </si>
  <si>
    <t>APPLE.COM/BILL 866-712-7753 CAAPPLE PAY ENDING IN 4775MMW42NJ145A0</t>
  </si>
  <si>
    <t>BIRD APP 8662052442 CA</t>
  </si>
  <si>
    <t>APPLE.COM/BILL 866-712-7753 CAAPPLE PAY ENDING IN 4775MMW43JVXWTA0</t>
  </si>
  <si>
    <t>TARGET RICHMOND VA</t>
  </si>
  <si>
    <t>PUPATELLA 2 RICHMOND VA</t>
  </si>
  <si>
    <t>T-MOBILE PAYMENTS 800-937-8997 WAAPPLE PAY ENDING IN 4775T-MOBILE PAYMENTS</t>
  </si>
  <si>
    <t>WWW.WOLFRAMALPHA.COM 8009653726 IL</t>
  </si>
  <si>
    <t>KINGSISLE *PIRATE101 512-623-5983 TX0009CTVV00000000000000</t>
  </si>
  <si>
    <t>SUNOCO 0113723100 RICHMOND VA</t>
  </si>
  <si>
    <t>PAYPAL *WEBULL TECH 402-935-7733 CA</t>
  </si>
  <si>
    <t>COACHING ACTUARIES 8324128532 IA</t>
  </si>
  <si>
    <t>Pants</t>
  </si>
  <si>
    <t>Study tool</t>
  </si>
  <si>
    <t>Adapt</t>
  </si>
  <si>
    <t>IRS</t>
  </si>
  <si>
    <t>DISNEYPLUS 888-905-7888 CADISNEYPLUS</t>
  </si>
  <si>
    <t>APPLE.COM/BILL 866-712-7753 CAAPPLE PAY ENDING IN 4775MMW4751VM2A0</t>
  </si>
  <si>
    <t>PAYPAL *COUPLECENTS 402-935-7733 CA</t>
  </si>
  <si>
    <t>SHEETZ 267200026724498 WOODFORD VA</t>
  </si>
  <si>
    <t>TACO BELL #28942 DUMFRIES VA</t>
  </si>
  <si>
    <t>WWW.CVS.COM 800-746-7287 RI</t>
  </si>
  <si>
    <t>BP#2027845NINE MILE BP RICHMOND VA</t>
  </si>
  <si>
    <t>DEL SAUCE, LLC 8043821332 VA</t>
  </si>
  <si>
    <t>DEPARTMENT MOTOR VEHICLE RICHMOND VA</t>
  </si>
  <si>
    <t>Government Services</t>
  </si>
  <si>
    <t>NETFLIX.COM NETFLIX.COM CA45851809183</t>
  </si>
  <si>
    <t>SPOTIFY P13AFFEFC5 8777781161 NY</t>
  </si>
  <si>
    <t>PAYPAL *INTERACTIVE 402-935-7733 CA</t>
  </si>
  <si>
    <t>MELLOW MUSHROOM RICHMOND VA00637R</t>
  </si>
  <si>
    <t>PP*GOOGLE GOOGLE YOUTUB 402-935-7733 CA</t>
  </si>
  <si>
    <t>PP*GOOGLE YOUTUBE SUBSC 402-935-7733 CA</t>
  </si>
  <si>
    <t>PP*GOOGLE GOOGLE YOUTUB 4029357733 CA</t>
  </si>
  <si>
    <t>PP*GOOGLE YOUTUBE SUBSC 4029357733 CA</t>
  </si>
  <si>
    <t>BOTTOMS UP PIZZA RICHMOND VA</t>
  </si>
  <si>
    <t>TAKE 5 #232 RICHMOND VA</t>
  </si>
  <si>
    <t>Automotive</t>
  </si>
  <si>
    <t>WALMART SC 03885 RICHMOND VA</t>
  </si>
  <si>
    <t>FIREHOUSE SUBS 0302 QSR ALEXANDRIA VA</t>
  </si>
  <si>
    <t>LYFT *RIDE WED 1PM 855-865-9553 CA</t>
  </si>
  <si>
    <t>LYFT *RIDE WED 3PM 855-865-9553 CA</t>
  </si>
  <si>
    <t>IFM Seminar</t>
  </si>
  <si>
    <t>Oil Change</t>
  </si>
  <si>
    <t>Test Day</t>
  </si>
  <si>
    <t>Registration</t>
  </si>
  <si>
    <t>MCDONALD'S F20505 FALLS CHURCH VA</t>
  </si>
  <si>
    <t>MICRO CENTER FAIRFAX FAIRFAX VA</t>
  </si>
  <si>
    <t>PAYPAL *STEAM GAMES 402-935-7733 CA</t>
  </si>
  <si>
    <t>WALMART SC 03626 WINSTON SALEMNC</t>
  </si>
  <si>
    <t>APPLE.COM/BILL 111-111-1111 CAAPPLE PAY ENDING IN 4775</t>
  </si>
  <si>
    <t>PANDA EXPRESS #2551 GLEN ALLEN VA</t>
  </si>
  <si>
    <t>SHEETZ 245300024539498 WINSTON SALEMNC</t>
  </si>
  <si>
    <t>AMTRAK MOBILE 202-906-3000 DCAPPLE PAY ENDING IN 4775</t>
  </si>
  <si>
    <t>HARDEES 2401 SOUTH HILL VA</t>
  </si>
  <si>
    <t>APPLE.COM/BILL 866-712-7753 CAAPPLE PAY ENDING IN 4775MMW4FQTX7LA0</t>
  </si>
  <si>
    <t>EXXONMOBIL DINWIDDIE VA</t>
  </si>
  <si>
    <t>PAYPAL *FUBOTV 402-935-7733 CA</t>
  </si>
  <si>
    <t>FERSGUIDE, LLC GLEN ALLEN VA</t>
  </si>
  <si>
    <t>ALDI 80007 RICHMOND VA</t>
  </si>
  <si>
    <t>SKRIMP SHACK HENRICO VA</t>
  </si>
  <si>
    <t>AMTRAK NRTHEAST CAFE Q12 WASHINGTON DC</t>
  </si>
  <si>
    <t>MTA*NYCT PAYGO NEW YORK NYAPPLE PAY ENDING IN 4775004478427258</t>
  </si>
  <si>
    <t>MTA*NYCT PAYGO NEW YORK NYAPPLE PAY ENDING IN 4775004478446331</t>
  </si>
  <si>
    <t>MTA*NYCT PAYGO NEW YORK NYAPPLE PAY ENDING IN 4775004478908990</t>
  </si>
  <si>
    <t>DUANE READE #16555 NEW YORK NY</t>
  </si>
  <si>
    <t>KINGSISLE *PIRATE101 512-623-5983 TX0009FR6Y00000000000000</t>
  </si>
  <si>
    <t>MTA*NYCT PAYGO NEW YORK NYAPPLE PAY ENDING IN 4775004486762590</t>
  </si>
  <si>
    <t>NEW YORK KIMCHI NEW YORK NY</t>
  </si>
  <si>
    <t>DUANE READE #14112 NEW YORK NY</t>
  </si>
  <si>
    <t>FIVE GUYS-NY #1111 NEW YORK NY</t>
  </si>
  <si>
    <t>WARBY PARKER 8884927297 NY</t>
  </si>
  <si>
    <t>APPLE.COM/BILL 866-712-7753 CAAPPLE PAY ENDING IN 4775MMW4J0NDZNA0</t>
  </si>
  <si>
    <t>CHAMPS - 14244 NEW YORK NY</t>
  </si>
  <si>
    <t>MTA*NYCT PAYGO NEW YORK NYAPPLE PAY ENDING IN 4775004491147262</t>
  </si>
  <si>
    <t>MTA*NYCT PAYGO NEW YORK NYAPPLE PAY ENDING IN 4775004491797327</t>
  </si>
  <si>
    <t>DUANE READE #14524 NEW YORK NY</t>
  </si>
  <si>
    <t>MTA*NYCT PAYGO NEW YORK NYAPPLE PAY ENDING IN 4775004494678624</t>
  </si>
  <si>
    <t>MTA*NYCT PAYGO NEW YORK NYAPPLE PAY ENDING IN 4775004494700645</t>
  </si>
  <si>
    <t>SQ *WAFELS &amp; DINGES NEW YORK CITYNY0001152921509981711005</t>
  </si>
  <si>
    <t>ABC*CRUNCH FITNESS 804-447-5129 VAABC*CRUNCH FITNESS</t>
  </si>
  <si>
    <t>GONG CHA TIMES SQ. NEW YORK NY</t>
  </si>
  <si>
    <t>DELI 48 NEW YORK NY</t>
  </si>
  <si>
    <t>NETFLIX.COM NETFLIX.COM CA46704475985</t>
  </si>
  <si>
    <t>SPOTIFY P142A61A27 8777781161 NY</t>
  </si>
  <si>
    <t>COLPARK LOC 989 WASHINGTON DC</t>
  </si>
  <si>
    <t>MARATHON PETRO269977 BOWLING GREENVA</t>
  </si>
  <si>
    <t>MCDONALD'S F33384 RUTHER GLEN VA</t>
  </si>
  <si>
    <t>PAYPAL *HULU 402-935-7733 CA</t>
  </si>
  <si>
    <t>UBER EATS 866-576-1039 CA</t>
  </si>
  <si>
    <t>MCDONALD'S F19030 RICHMOND VA</t>
  </si>
  <si>
    <t>AMERICAN FAMILY FIT SHOR RICHMOND VA</t>
  </si>
  <si>
    <t>JIMMY JOHNS - 1131 GLEN ALLEN VA</t>
  </si>
  <si>
    <t>AMER FAM FIT VA CTR COMM GLEN ALLEN VA</t>
  </si>
  <si>
    <t>CVS/PHARMACY #02169 GLEN ALLEN VAAPPLE PAY ENDING IN 4775</t>
  </si>
  <si>
    <t>DOMINION CAR WASH LABURN RICHMOND VA</t>
  </si>
  <si>
    <t>SHEETZ 028600002865498 ASHLAND VA</t>
  </si>
  <si>
    <t>AMOCO#2026664ASHLAND AMO ASHLAND VA</t>
  </si>
  <si>
    <t>COR MOBILE APP METER FEE RICHMOND VA</t>
  </si>
  <si>
    <t>JIMMY JOHNS - 3133 RICHMOND VA</t>
  </si>
  <si>
    <t>PUBLIC STORAGE 25452 800-567-0759 VA191644431</t>
  </si>
  <si>
    <t>THE HOME DEPOT #4624 MECHANICSVILLVA</t>
  </si>
  <si>
    <t>Home Improvement</t>
  </si>
  <si>
    <t>EZPASSVA AUTO REPLENISH 877-7627824 VA</t>
  </si>
  <si>
    <t>STELLA S GROCERY RICHMOND VA</t>
  </si>
  <si>
    <t>AMER FAM FIT MECHANICSVI MECHANICSVILLVA</t>
  </si>
  <si>
    <t>APPLE.COM/BILL 866-712-7753 CAAPPLE PAY ENDING IN 4775MMW4QS111YA0</t>
  </si>
  <si>
    <t>KROGER FUEL #3510 MECHANICSVILLVA</t>
  </si>
  <si>
    <t>TACO BELL 16635 MECHANICSVLLEVA</t>
  </si>
  <si>
    <t>U HAUL STORE 0082427 RICHMOND VA</t>
  </si>
  <si>
    <t>AMER FAM FIT MIDLOTHIAN MIDLOTHIAN VA</t>
  </si>
  <si>
    <t>JIMMY JOHNS - 1740 -ECOM RICHMOND VAAPPLE PAY ENDING IN 4775</t>
  </si>
  <si>
    <t>PUBLIC STORAGE 25452 800-567-0759 VA191751307</t>
  </si>
  <si>
    <t>New York</t>
  </si>
  <si>
    <t>Eye Exam</t>
  </si>
  <si>
    <t>Shelley</t>
  </si>
  <si>
    <t>Danny</t>
  </si>
  <si>
    <t>Dad</t>
  </si>
  <si>
    <t>HEALING SPA MIDLOTHIAN VA</t>
  </si>
  <si>
    <t>SP * COWAYMEGA 3235568457 CA</t>
  </si>
  <si>
    <t>KINGSISLE *PIRATE101 512-623-5983 TX0009IVY200000000000000</t>
  </si>
  <si>
    <t>BONCHON - MECHANICSVILLE MECHANICSVILLVA</t>
  </si>
  <si>
    <t>LOWE'S OF MECHANICSVILLE MECHANICSVILLVA</t>
  </si>
  <si>
    <t>SQ *CAPITOL WAFFLE SHO RICHMOND VA0002305843013922528704</t>
  </si>
  <si>
    <t>SQ *CAPITOL WAFFLE SHO RICHMOND VA0002305843013922494745</t>
  </si>
  <si>
    <t>MCDONALD'S F22474 GLEN ALLEN VA</t>
  </si>
  <si>
    <t>7-ELEVEN 32603 GLEN ALLEN VA</t>
  </si>
  <si>
    <t>CVS/PHARMACY #01994 RICHMOND VA</t>
  </si>
  <si>
    <t>JIMMY JOHNS - 1740 -ECOM RICHMOND VA</t>
  </si>
  <si>
    <t>ORGANIC KRUSH - HENRICO HENRICO VA</t>
  </si>
  <si>
    <t>JIMMY JOHNS - 1300 RICHMOND VA</t>
  </si>
  <si>
    <t>NETFLIX.COM NETFLIX.COM CA47498177451</t>
  </si>
  <si>
    <t>SPOTIFY P14A04BDA5 8777781161 NY</t>
  </si>
  <si>
    <t>SQ *NARWHALS ROLLED IC RICHMOND VA0002305843013952806198</t>
  </si>
  <si>
    <t>TAN A SUPERMARKET RICHMOND VA</t>
  </si>
  <si>
    <t>ALDI 80004 RICHMOND VA</t>
  </si>
  <si>
    <t>UST*USTA MEMBERSHIP 800-990-8782 NYUST*USTA MEMBERSHIP</t>
  </si>
  <si>
    <t>FANDANGO 866-857-5191 CAAPPLE PAY ENDING IN 4775</t>
  </si>
  <si>
    <t>FANDANGO 8668575191 CAAPPLE PAY ENDING IN 4775</t>
  </si>
  <si>
    <t>4510 AMC RICHMOND 10 MIDLOTHIAN VA</t>
  </si>
  <si>
    <t>PUBLIC STORAGE 25452 800-567-0759 VA192732028</t>
  </si>
  <si>
    <t>ALDI 71070 SILVER SPRINGMD</t>
  </si>
  <si>
    <t>BANNERS HALLMARK 54 FREDERICKSBRGVA</t>
  </si>
  <si>
    <t>BARNES &amp; NOBLE #2093 BOWIE MD</t>
  </si>
  <si>
    <t>APPLE.COM/BILL 866-712-7753 CAAPPLE PAY ENDING IN 4775MMW516ZZ2YA0</t>
  </si>
  <si>
    <t>SQUARE ENIX 310-846-0345 CASQUARE ENIX</t>
  </si>
  <si>
    <t>TACO BELL 18147 RICHMOND VA</t>
  </si>
  <si>
    <t>DRIVE SHACK RICHMOND GOOCHLAND VA01437R</t>
  </si>
  <si>
    <t>JASON'S DELI VRS 037 RICHMOND VA</t>
  </si>
  <si>
    <t>OFFICE DEPOT #2340 RICHMOND VA</t>
  </si>
  <si>
    <t>TOMMYS EXP CW - VA12 RICHMOND VA</t>
  </si>
  <si>
    <t>SQ *HARK VINEYARDS EARLYSVILLE VA0002305843014011115031</t>
  </si>
  <si>
    <t>APPLE.COM/BILL 866-712-7753 CAAPPLE PAY ENDING IN 4775MMW52X7F7KA0</t>
  </si>
  <si>
    <t>BODOS BAGELS CHARLOTTESVILVA</t>
  </si>
  <si>
    <t>Mom Birthday</t>
  </si>
  <si>
    <t>Ahkil</t>
  </si>
  <si>
    <t xml:space="preserve">Lamenate Vaccine </t>
  </si>
  <si>
    <t>Sarah Birthday</t>
  </si>
  <si>
    <t>LOWE'S OF E. RICHMOND, V HENRICO VA</t>
  </si>
  <si>
    <t>ADVANCE AUTO PARTS #2330 RICHMOND VA</t>
  </si>
  <si>
    <t>JCPENNEY 1140 RICHMOND VA</t>
  </si>
  <si>
    <t>THE HOME DEPOT #4632 RICHMOND VA</t>
  </si>
  <si>
    <t>GIANT 0135 SILVER SPRINGMD02039R</t>
  </si>
  <si>
    <t>JIMMY T'S SOFT SERVE DUMFRIES VA</t>
  </si>
  <si>
    <t>SUNOCO 0545097800 DUMFRIES VA</t>
  </si>
  <si>
    <t>GUITAR CENTER #845 RICHMOND VA</t>
  </si>
  <si>
    <t>MUSIC &amp; ARTS 82 RICHMOND VA</t>
  </si>
  <si>
    <t>JIMMY JOHNS - 1741 -ECOM RICHMOND VAAPPLE PAY ENDING IN 4775</t>
  </si>
  <si>
    <t>APPLE.COM/BILL 866-712-7753 CAAPPLE PAY ENDING IN 4775MMW54D041SA0</t>
  </si>
  <si>
    <t>TARGET GLEN ALLEN VA</t>
  </si>
  <si>
    <t>USPS PO 1049480240 WASHINGTON DC</t>
  </si>
  <si>
    <t>CARROLLS AUTO SERVICE RICHMOND VA</t>
  </si>
  <si>
    <t>LYFT *1 RIDE 05-27 855-865-9553 CA</t>
  </si>
  <si>
    <t>WALMART SC 05941 WASHINGTON DC</t>
  </si>
  <si>
    <t>LYFT *1 RIDE 05-28 855-865-9553 CA</t>
  </si>
  <si>
    <t>ALDI 80022 RICHMOND VA</t>
  </si>
  <si>
    <t>APPLE.COM/BILL 866-712-7753 CAAPPLE PAY ENDING IN 4775MMW5727QLFA0</t>
  </si>
  <si>
    <t>SHEETZ 035000003509498 RICHMOND VA</t>
  </si>
  <si>
    <t>U HAUL STORE 0082427 804-3584978 VA</t>
  </si>
  <si>
    <t>NETFLIX.COM NETFLIX.COM CA48401860935</t>
  </si>
  <si>
    <t>SPOTIFY P154F38ABC 8777781161 NY</t>
  </si>
  <si>
    <t>GO MART #94 ROANOKE VA</t>
  </si>
  <si>
    <t>KRYSTAL AND SAAGAR 202-531-7527 DC</t>
  </si>
  <si>
    <t>PAYPAL *SHOWTIMEPPV 402-935-7733 CA</t>
  </si>
  <si>
    <t>PUBLIC STORAGE 25452 800-567-0759 VA194430343</t>
  </si>
  <si>
    <t>TEXAS ROADHOUSE #2518 ROANOKE VA</t>
  </si>
  <si>
    <t>June</t>
  </si>
  <si>
    <t>Movie Theater Canceled</t>
  </si>
  <si>
    <t>USTA</t>
  </si>
  <si>
    <t xml:space="preserve">Final Fantasy </t>
  </si>
  <si>
    <t>Manga</t>
  </si>
  <si>
    <t xml:space="preserve">Washer Pan 2116 </t>
  </si>
  <si>
    <t>Strings</t>
  </si>
  <si>
    <t xml:space="preserve">Tuning Machine </t>
  </si>
  <si>
    <t>AC Fix(leak)</t>
  </si>
  <si>
    <t>Logan Paul vs. Mayweather</t>
  </si>
  <si>
    <t>Devin Heath</t>
  </si>
  <si>
    <t>Massage</t>
  </si>
  <si>
    <t>Car Wash</t>
  </si>
  <si>
    <t>Credit Score</t>
  </si>
  <si>
    <t>HBO</t>
  </si>
  <si>
    <t>T-Mobile</t>
  </si>
  <si>
    <t>Couple Cents</t>
  </si>
  <si>
    <t>Hulu</t>
  </si>
  <si>
    <t>News</t>
  </si>
  <si>
    <t>Storage</t>
  </si>
  <si>
    <t>Name</t>
  </si>
  <si>
    <t>Total Paid</t>
  </si>
  <si>
    <t>#</t>
  </si>
  <si>
    <t>Avg. Paid</t>
  </si>
  <si>
    <t>Feb</t>
  </si>
  <si>
    <t>Mar</t>
  </si>
  <si>
    <t>Apr</t>
  </si>
  <si>
    <t xml:space="preserve">May </t>
  </si>
  <si>
    <t>Bloomberg</t>
  </si>
  <si>
    <t>GuitarTuna</t>
  </si>
  <si>
    <t>Roadtrippers</t>
  </si>
  <si>
    <t>Catan Gold</t>
  </si>
  <si>
    <t>Finimize</t>
  </si>
  <si>
    <t>Sub Type</t>
  </si>
  <si>
    <t>One time</t>
  </si>
  <si>
    <t>Cancelled?</t>
  </si>
  <si>
    <t>Yes</t>
  </si>
  <si>
    <t>No</t>
  </si>
  <si>
    <t>Annual</t>
  </si>
  <si>
    <t>1 Year</t>
  </si>
  <si>
    <t>1 Month</t>
  </si>
  <si>
    <t>Crunch Fitness</t>
  </si>
  <si>
    <t xml:space="preserve"> No</t>
  </si>
  <si>
    <t>6-Months</t>
  </si>
  <si>
    <t xml:space="preserve">July </t>
  </si>
  <si>
    <t>Oct</t>
  </si>
  <si>
    <t>Aug</t>
  </si>
  <si>
    <t>Sep</t>
  </si>
  <si>
    <t>Nov</t>
  </si>
  <si>
    <t>Dec</t>
  </si>
  <si>
    <t>Day</t>
  </si>
  <si>
    <t>Air Purifier</t>
  </si>
  <si>
    <t>Demon Slayer</t>
  </si>
  <si>
    <t>U HAUL STORE 0082429 804-2310332 VA</t>
  </si>
  <si>
    <t>PANERA BREAD #601639 P RICHMOND VA00521R</t>
  </si>
  <si>
    <t>USPS CHANGE OF ADDRESS 800-238-3150 TN</t>
  </si>
  <si>
    <t>LYFT *2 RIDES 06-05 855-865-9553 CA</t>
  </si>
  <si>
    <t>BEDBATH&amp;BEYOND RICHMOND VA</t>
  </si>
  <si>
    <t>CCBILL.COM 888-5969279 AZ</t>
  </si>
  <si>
    <t>ONLYFANS.COM 8886880458 IL</t>
  </si>
  <si>
    <t>CAVA GRILL SWIFT CREEK MIDLOTHIAN VA</t>
  </si>
  <si>
    <t>STARBUCKS STORE 07780 MIDLOTHIAN VA1546AE60A1ED694528</t>
  </si>
  <si>
    <t>APPLE.COM/BILL 866-712-7753 CAAPPLE PAY ENDING IN 4775MMW5BD0T2NA0</t>
  </si>
  <si>
    <t>JIMMY JOHNS - 3133 - E RICHMOND VAAPPLE PAY ENDING IN 4775</t>
  </si>
  <si>
    <t>PAYPAL *BARNESNOBLE 402-935-7733 CA</t>
  </si>
  <si>
    <t>YCC STORE 00646 RICHMOND VA</t>
  </si>
  <si>
    <t>BARNES &amp; NOBLE #2065 GLEN ALLEN VA</t>
  </si>
  <si>
    <t>OFFICEMAX/DEPOT 6605 GLEN ALLEN VA</t>
  </si>
  <si>
    <t>MCDONALD'S F5392 RICHMOND VA</t>
  </si>
  <si>
    <t>WAWA 8600 RICHMOND VA</t>
  </si>
  <si>
    <t>USPS PO BOXES ONLINE 800-344-7779 DC</t>
  </si>
  <si>
    <t>VERIZON*ONETIMEPAY VERIZON.COM FL534324653566429670001</t>
  </si>
  <si>
    <t>moving</t>
  </si>
  <si>
    <t>Naked Statistics</t>
  </si>
  <si>
    <t>Printing</t>
  </si>
  <si>
    <t>Verizon Internet</t>
  </si>
  <si>
    <t>DISCOVER E-PAYMENT 210101 4732 LEWIS SEAN</t>
  </si>
  <si>
    <t>IRS TREAS 310 XXTAXEIP2 010421 XXXXXXXXXX00908 LEWIS, SEAN</t>
  </si>
  <si>
    <t>DISCOVER E-PAYMENT 210115 4732 LEWIS SEAN</t>
  </si>
  <si>
    <t>Elephant Ins PAYROLL 210113 2087 Lewis Sean</t>
  </si>
  <si>
    <t>VENMO PAYMENT 5101219782 SEAN LEWIS</t>
  </si>
  <si>
    <t>VENMO PAYMENT 5101208453 SEAN LEWIS</t>
  </si>
  <si>
    <t>VENMO CASHOUT 5117912825 SEAN LEWIS</t>
  </si>
  <si>
    <t>PURCHASE AUTHORIZED ON 01/20 CASH APP* 8774174551 CA S461020486646597 CARD 6634</t>
  </si>
  <si>
    <t>PURCHASE AUTHORIZED ON 01/21 SOCIETY OF ACTUARI 847-706-3620 IL S581021446560343 CARD 6634</t>
  </si>
  <si>
    <t>MONEY TRANSFER AUTHORIZED ON 01/26 FROM Sean Lewis VA S00581026542833832 CARD 6634</t>
  </si>
  <si>
    <t>ROBINHOOD Funds 210127 XXXXX4480 Sean Lewis</t>
  </si>
  <si>
    <t>ATM CHECK DEPOSIT ON 01/28 3201 WEST CARY ST RICHMOND VA 0005841 ATM ID 0255N CARD 6634</t>
  </si>
  <si>
    <t>VENMO PAYMENT 5176119364 SEAN LEWIS</t>
  </si>
  <si>
    <t>VENMO PAYMENT 5176123809 SEAN LEWIS</t>
  </si>
  <si>
    <t>Elephant Ins PAYROLL 210127 2087 Lewis Sean</t>
  </si>
  <si>
    <t>Credit Karma Transfer 210202 1416312297 Sean Lewis</t>
  </si>
  <si>
    <t>PURCHASE AUTHORIZED ON 02/02 CVS/PHARMACY #01 01988--3 RICHMOND VA P00381033853505879 CARD 6634</t>
  </si>
  <si>
    <t>RTP from VENMO on 02/02 Ref#20210202021000021P1BRJPM00020016153</t>
  </si>
  <si>
    <t>BEST BUY PAYMENT 210202 140344289448116 SEAN LEWIS</t>
  </si>
  <si>
    <t>PURCHASE AUTHORIZED ON 02/02 CASH APP*DON 8774174551 CA S381033547779628 CARD 6634</t>
  </si>
  <si>
    <t>ROBINHOOD Funds 210203 XXXXX4480 Sean Lewis</t>
  </si>
  <si>
    <t>ROBINHOOD Funds 210205 XXXXX4480 Sean Lewis</t>
  </si>
  <si>
    <t>AVIDIA BANK SETL 210208 0268 LEWIS,SEAN</t>
  </si>
  <si>
    <t>DISCOVER E-PAYMENT 210212 4732 LEWIS SEAN</t>
  </si>
  <si>
    <t>VENMO PAYMENT 5259216200 SEAN LEWIS</t>
  </si>
  <si>
    <t>ROBINHOOD Funds 210211 XXXXX4480 Sean Lewis</t>
  </si>
  <si>
    <t>Elephant Ins PAYROLL 210210 2087 Lewis Sean</t>
  </si>
  <si>
    <t>VENMO PAYMENT 5280886625 SEAN LEWIS</t>
  </si>
  <si>
    <t>TD AMERITRADE ACH IN a9KLOZ6PGB LEWIS SEAN</t>
  </si>
  <si>
    <t>ROBINHOOD Funds 210212 XXXXX4480 Sean Lewis</t>
  </si>
  <si>
    <t>MONEY TRANSFER AUTHORIZED ON 02/16 FROM Sean Lewis VA S00301047447217307 CARD 6634</t>
  </si>
  <si>
    <t>ROBINHOOD Funds 210216 XXXXX4480 Sean Lewis</t>
  </si>
  <si>
    <t>WEBULL FINANCIAL ACH Feb 17 20210213000010 SEAN LEWIS</t>
  </si>
  <si>
    <t>ROBINHOOD Funds 210218 XXXXX4480 Sean Lewis</t>
  </si>
  <si>
    <t>AVIDIA BANK SETL 210218 0268 LEWIS,SEAN</t>
  </si>
  <si>
    <t>VENMO PAYMENT 5302514749 SEAN LEWIS</t>
  </si>
  <si>
    <t>GasBuddy GasBuddy IVRVONZYL Sean Lewis</t>
  </si>
  <si>
    <t>GasBuddy GasBuddy IPZ5LNW76</t>
  </si>
  <si>
    <t>DISCOVER E-PAYMENT 210226 4732 LEWIS SEAN</t>
  </si>
  <si>
    <t>VENMO PAYMENT 5336662518 SEAN LEWIS</t>
  </si>
  <si>
    <t>IRS TREAS 310 TAX REF 022621 XXXXXXXXXX00908 LEWIS, SEAN</t>
  </si>
  <si>
    <t>Elephant Ins PAYROLL 210224 2087 Lewis Sean</t>
  </si>
  <si>
    <t>ROBINHOOD Funds 210226 XXXXX4480 Sean Lewis</t>
  </si>
  <si>
    <t>PURCHASE AUTHORIZED ON 02/27 CASH APP*JAYELIN L 8774174551 CA S381058504895158 CARD 6634</t>
  </si>
  <si>
    <t>ROBINHOOD Funds 210301 XXXXX4480 Sean Lewis</t>
  </si>
  <si>
    <t>AVIDIA BANK SETL 210303 0268 LEWIS,SEAN</t>
  </si>
  <si>
    <t>VENMO PAYMENT 5408451261 SEAN LEWIS</t>
  </si>
  <si>
    <t>VA DEPT TAXATION VASTTAXRFD 210302 XXXXX0268 LEWIS, SEAN E</t>
  </si>
  <si>
    <t>ROBINHOOD Funds 210309 XXXXX4480 Sean Lewis</t>
  </si>
  <si>
    <t>MONEY TRANSFER AUTHORIZED ON 03/09 FROM Sean Lewis VA S00581069083988444 CARD 6634</t>
  </si>
  <si>
    <t>DISCOVER E-PAYMENT 210312 4732 LEWIS SEAN</t>
  </si>
  <si>
    <t>Elephant Ins PAYROLL 210310 2087 Lewis Sean</t>
  </si>
  <si>
    <t>GasBuddy GasBuddy IJPBP8EB4 Sean Lewis</t>
  </si>
  <si>
    <t>DISCOVER E-PAYMENT 210317 4732 LEWIS SEAN</t>
  </si>
  <si>
    <t>VENMO PAYMENT 5451331842 SEAN LEWIS</t>
  </si>
  <si>
    <t>VENMO PAYMENT 5451317717 SEAN LEWIS</t>
  </si>
  <si>
    <t>TRANSFER TO LEWIS SHARON ON 03/17 REF #PP0B2WNZKY XXXXXXXXX5267</t>
  </si>
  <si>
    <t>TRANSFER FROM LEWIS SHARON ON 03/17 REF # PP0B2WLCG2 THANK YOU</t>
  </si>
  <si>
    <t>IRS TREAS 310 TAXEIP3 031721 XXXXXXXXXX00908 LEWIS, SEAN</t>
  </si>
  <si>
    <t>DISCOVER E-PAYMENT 210319 4732 LEWIS SEAN</t>
  </si>
  <si>
    <t>VENMO PAYMENT 5493001064 SEAN LEWIS</t>
  </si>
  <si>
    <t>VENMO PAYMENT 5492993326 SEAN LEWIS</t>
  </si>
  <si>
    <t>VENMO PAYMENT 5492999612 SEAN LEWIS</t>
  </si>
  <si>
    <t>DISCOVER E-PAYMENT 210326 4732 LEWIS SEAN</t>
  </si>
  <si>
    <t>Elephant Ins PAYROLL 210324 2087 Lewis Sean</t>
  </si>
  <si>
    <t>VENMO PAYMENT 5513431756 SEAN LEWIS</t>
  </si>
  <si>
    <t>DISCOVER E-PAYMENT 210331 4732 LEWIS SEAN</t>
  </si>
  <si>
    <t>PURCHASE AUTHORIZED ON 03/31 CASH APP*SHEVON LE 8774174551 CA S461091061277016 CARD 6634</t>
  </si>
  <si>
    <t>DISCOVER E-PAYMENT 210409 7328 LEWIS SEAN</t>
  </si>
  <si>
    <t>Elephant Ins PAYROLL 210407 2087 Lewis Sean</t>
  </si>
  <si>
    <t>VENMO PAYMENT 210411 1013109381403 SEAN LEWIS</t>
  </si>
  <si>
    <t>VENMO PAYMENT 5603366206 SEAN LEWIS</t>
  </si>
  <si>
    <t>PURCHASE AUTHORIZED ON 04/11 CASH APP*ENGAGETM 8774174551 CA S301101447514096 CARD 6634</t>
  </si>
  <si>
    <t>VENMO CASHOUT 5643580806 SEAN LEWIS</t>
  </si>
  <si>
    <t>MOBILE DEPOSIT : REF NUMBER :816170847728</t>
  </si>
  <si>
    <t>MONEY TRANSFER AUTHORIZED ON 04/20 FROM Sean Lewis VA S00581110491401484 CARD 6634</t>
  </si>
  <si>
    <t>VENMO PAYMENT 210423 1013303271012 SEAN LEWIS</t>
  </si>
  <si>
    <t>PURCHASE AUTHORIZED ON 04/22 DICK'S SPORTING GO GLEN ALLEN VA S581112824030519 CARD 6634</t>
  </si>
  <si>
    <t>Elephant Ins PAYROLL 210421 2087 Lewis Sean</t>
  </si>
  <si>
    <t>PURCHASE AUTHORIZED ON 04/29 CASH APP*ENGAGETM 8774174551 CA S381119860065157 CARD 6634</t>
  </si>
  <si>
    <t>VENMO PAYMENT 210501 1013448453372 SEAN LEWIS</t>
  </si>
  <si>
    <t>DISCOVER E-PAYMENT 210505 7328 LEWIS SEAN</t>
  </si>
  <si>
    <t>New Manchester F WEB PMTS 050621 GVVCH7 Sean Lewis</t>
  </si>
  <si>
    <t>New Manchester F WEB PMTS 050621 FVVCH7 Sean Lewis</t>
  </si>
  <si>
    <t>Elephant Ins PAYROLL 210505 2087 Lewis Sean</t>
  </si>
  <si>
    <t>AVIDIA BANK SETL 210506 0268 LEWIS,SEAN</t>
  </si>
  <si>
    <t>VENMO PAYMENT 210509 1013594268300 SEAN LEWIS</t>
  </si>
  <si>
    <t>VENMO PAYMENT 210509 1013594265412 SEAN LEWIS</t>
  </si>
  <si>
    <t>GasBuddy GasBuddy INXG6RPA2 Sean Lewis</t>
  </si>
  <si>
    <t>VENMO CASHOUT 210512 1013636035269 SEAN LEWIS</t>
  </si>
  <si>
    <t>GasBuddy GasBuddy I4YX455B2 Sean Lewis</t>
  </si>
  <si>
    <t>MONEY TRANSFER AUTHORIZED ON 05/14 FROM Sean Lewis VA S00301134489786999 CARD 6634</t>
  </si>
  <si>
    <t>VENMO PAYMENT 210516 1013705922037 SEAN LEWIS</t>
  </si>
  <si>
    <t>VENMO PAYMENT 210520 1013774874982 SEAN LEWIS</t>
  </si>
  <si>
    <t>VENMO PAYMENT 210521 1013794906708 SEAN LEWIS</t>
  </si>
  <si>
    <t>Elephant Ins PAYROLL 210519 2087 Lewis Sean</t>
  </si>
  <si>
    <t>DISCOVER E-PAYMENT 210524 7328 LEWIS SEAN</t>
  </si>
  <si>
    <t>PURCHASE AUTHORIZED ON 05/22 CASH APP*TIFFANY C 877-417-4551 VA S461142688303673 CARD 6634</t>
  </si>
  <si>
    <t>PURCHASE AUTHORIZED ON 05/21 CASH APP*NATHANIEL 877-417-4551 VA S381142092873712 CARD 6634</t>
  </si>
  <si>
    <t>PURCHASE AUTHORIZED ON 05/21 CASH APP*DON LEWIS 8774174551 CA S301141585777326 CARD 6634</t>
  </si>
  <si>
    <t>RTP from VENMO on 05/24 Ref#20210524021000021P1BRJPM00600023015</t>
  </si>
  <si>
    <t>VENMO PAYMENT 210525 1013853531322 SEAN LEWIS</t>
  </si>
  <si>
    <t>PURCHASE AUTHORIZED ON 05/27 CASH APP*SHEVON LE 8774174551 CA S581147379994016 CARD 6634</t>
  </si>
  <si>
    <t>PURCHASE AUTHORIZED ON 05/28 CASH APP*CYANFACE 8774174551 CA S301148695866281 CARD 6634</t>
  </si>
  <si>
    <t>ROBINHOOD Funds 210528 XXXXX4480 Sean Lewis</t>
  </si>
  <si>
    <t>VENMO PAYMENT 210604 1014026879340 SEAN LEWIS</t>
  </si>
  <si>
    <t>PURCHASE BANK CHECK OR DRAFT</t>
  </si>
  <si>
    <t>Elephant Ins PAYROLL 210602 2087 Lewis Sean</t>
  </si>
  <si>
    <t>DISCOVER E-PAYMENT 210605 7328 LEWIS SEAN</t>
  </si>
  <si>
    <t>VENMO PAYMENT 210606 1014064415325 SEAN LEWIS</t>
  </si>
  <si>
    <t>VENMO PAYMENT 210606 1014064878246 SEAN LEWIS</t>
  </si>
  <si>
    <t>ATM WITHDRAWAL AUTHORIZED ON 06/05 4489 S. LABURNUM AVE Richmond VA 0001688 ATM ID 0147S CARD 6634</t>
  </si>
  <si>
    <t>MONEY TRANSFER AUTHORIZED ON 06/06 FROM Sean Lewis VA S00581157718112874 CARD 6634</t>
  </si>
  <si>
    <t>PURCHASE AUTHORIZED ON 06/08 THE MARKET at 2 RICHMOND VA P00000000573633522 CARD 6634</t>
  </si>
  <si>
    <t>AVIDIA BANK SETL 210607 0268 LEWIS,SEAN</t>
  </si>
  <si>
    <t>ROBINHOOD Funds 210608 XXXXX4480 Sean Lewis</t>
  </si>
  <si>
    <t>VENMO PAYMENT 210611 1014149204390 SEAN LEWIS</t>
  </si>
  <si>
    <t>ATM WITHDRAWAL AUTHORIZED ON 06/12 9811 BROOK RD GLEN ALLEN VA 0006419 ATM ID 0092S CARD 6634</t>
  </si>
  <si>
    <t>DOMINION ENERGY BILLPAY 210616 DOMINION ENERGY SEAN LEWIS</t>
  </si>
  <si>
    <t>Nationwide PAYROLL 01 HRP0007397914 Sean Lewis</t>
  </si>
  <si>
    <t>Date</t>
  </si>
  <si>
    <t>Tax Return</t>
  </si>
  <si>
    <t>VENMO</t>
  </si>
  <si>
    <t>PURCHASE</t>
  </si>
  <si>
    <t>MONEY</t>
  </si>
  <si>
    <t>ROBINHOOD</t>
  </si>
  <si>
    <t>ATM</t>
  </si>
  <si>
    <t>Credit</t>
  </si>
  <si>
    <t>RTP</t>
  </si>
  <si>
    <t>BEST</t>
  </si>
  <si>
    <t>AVIDIA</t>
  </si>
  <si>
    <t>DISCOVER</t>
  </si>
  <si>
    <t>TD</t>
  </si>
  <si>
    <t>HSA</t>
  </si>
  <si>
    <t>GasBuddy</t>
  </si>
  <si>
    <t>TRANSFER</t>
  </si>
  <si>
    <t>VA</t>
  </si>
  <si>
    <t>WEBULL</t>
  </si>
  <si>
    <t>MOBILE</t>
  </si>
  <si>
    <t>New</t>
  </si>
  <si>
    <t>DOMINION</t>
  </si>
  <si>
    <t>Nationwide</t>
  </si>
  <si>
    <t>Description2</t>
  </si>
  <si>
    <t>Investment</t>
  </si>
  <si>
    <t>Gas</t>
  </si>
  <si>
    <t>Utility</t>
  </si>
  <si>
    <t>Amar - Electric</t>
  </si>
  <si>
    <t>Amar - Rent</t>
  </si>
  <si>
    <t>Amar - Water</t>
  </si>
  <si>
    <t>Mom</t>
  </si>
  <si>
    <t>Dorry</t>
  </si>
  <si>
    <t>Venmo Cash Out</t>
  </si>
  <si>
    <t>Divita</t>
  </si>
  <si>
    <t>Jon Li</t>
  </si>
  <si>
    <t>New Manchester - Rent</t>
  </si>
  <si>
    <t>Luminality Event</t>
  </si>
  <si>
    <t>Cairo</t>
  </si>
  <si>
    <t>Nate</t>
  </si>
  <si>
    <t>Stranger</t>
  </si>
  <si>
    <t>New Manchester - Fee</t>
  </si>
  <si>
    <t>New Manchester Deposit</t>
  </si>
  <si>
    <t>Garbage Removal</t>
  </si>
  <si>
    <t>May</t>
  </si>
  <si>
    <t>Jun</t>
  </si>
  <si>
    <t>Jul</t>
  </si>
  <si>
    <t>Begin Balance</t>
  </si>
  <si>
    <t>SOA</t>
  </si>
  <si>
    <t>Purchase</t>
  </si>
  <si>
    <t>Decrease</t>
  </si>
  <si>
    <t>Increase</t>
  </si>
  <si>
    <t>Movement</t>
  </si>
  <si>
    <t>Balance</t>
  </si>
  <si>
    <t>Opening Balance</t>
  </si>
  <si>
    <t>Closing Balance</t>
  </si>
  <si>
    <t>Primary</t>
  </si>
  <si>
    <t>Monthly Spending -&gt;</t>
  </si>
  <si>
    <t xml:space="preserve">Vincent </t>
  </si>
  <si>
    <t>OFFICEMAX/DEPOT 6814 RICHMOND VA</t>
  </si>
  <si>
    <t>CHICK-FIL-A #01519 RICHMOND VA</t>
  </si>
  <si>
    <t>OFFICEMAX/DEPOT 6379 GLEN ALLEN VA</t>
  </si>
  <si>
    <t>SHELL 57545614109 ASHLAND VA</t>
  </si>
  <si>
    <t>AMZN MKTP US*2179P2TF2 AMZN.COM/BILLWA3IX858WRMJZ</t>
  </si>
  <si>
    <t>BP#9613308TA JESSUP JESSUP MD</t>
  </si>
  <si>
    <t>MCDONALD'S F34934 WOODBRIDGE VA</t>
  </si>
  <si>
    <t>PAYPAL *JEREMYBUSTI 402-935-7733 CA</t>
  </si>
  <si>
    <t>TST* TWO GUYS GRILL &amp; PU BALTIMORE MD</t>
  </si>
  <si>
    <t>PAYPAL *DATACAMPINC 402-935-7733 CA</t>
  </si>
  <si>
    <t>TST* NEW YORK DELI - RVA RICHMOND VA</t>
  </si>
  <si>
    <t>KROGER #511 RICHMOND VA</t>
  </si>
  <si>
    <t>MIKE BLENDZ BARBERSHOP S RICHMOND VA</t>
  </si>
  <si>
    <t>AMZN MKTP US*297321LH1 AMZN.COM/BILLWA3MPRYLB2NN5</t>
  </si>
  <si>
    <t>MCDONALD'S F12090 RUTHER GLEN VA</t>
  </si>
  <si>
    <t>DUNKIN DONUTSBALTIMORE BALTIMORE MD</t>
  </si>
  <si>
    <t>MTA*NYCT PAYGO NEW YORK NYAPPLE PAY ENDING IN 4775004808741327</t>
  </si>
  <si>
    <t>MTA*NYCT PAYGO NEW YORK NYAPPLE PAY ENDING IN 4775004809017067</t>
  </si>
  <si>
    <t>AMZN MKTP US AMZN.COM/BILLWA2MQ7IDW39QZ</t>
  </si>
  <si>
    <t>CITY FRESH MARKET PLACE BROOKLYN NY</t>
  </si>
  <si>
    <t>MTA*NYCT PAYGO NEW YORK NYAPPLE PAY ENDING IN 4775004817537904</t>
  </si>
  <si>
    <t>MTA*NYCT PAYGO NEW YORK NYAPPLE PAY ENDING IN 4775004817997612</t>
  </si>
  <si>
    <t>SUNAC FOOD MARKET BROOKLYN NY</t>
  </si>
  <si>
    <t>ELECTRONICS R US BROOKLYN NY</t>
  </si>
  <si>
    <t>LYFT *BIKE RIDE 855-865-9553 CA</t>
  </si>
  <si>
    <t>MTA*NYCT PAYGO NEW YORK NYAPPLE PAY ENDING IN 4775004823531741</t>
  </si>
  <si>
    <t>TST* SWEET CHICK - WILLI BROOKLYN NY</t>
  </si>
  <si>
    <t>AMZN MKTP US AMZN.COM/BILLWA2227OABZAZA</t>
  </si>
  <si>
    <t>MTA*NYCT PAYGO NEW YORK NYAPPLE PAY ENDING IN 4775004843628637</t>
  </si>
  <si>
    <t>MTA*NYCT PAYGO NEW YORK NYAPPLE PAY ENDING IN 4775004843763722</t>
  </si>
  <si>
    <t>PREMIER FOOD FRESH MARKE BROOKLYN NY</t>
  </si>
  <si>
    <t>FRESH VEGETABLES FISH BROOKLYN NY</t>
  </si>
  <si>
    <t>WALGREENS #11141 BROOKLYN NY</t>
  </si>
  <si>
    <t>NETFLIX.COM NETFLIX.COM CA49280925342</t>
  </si>
  <si>
    <t>PAYPAL *AIRBNB HM2YDHF 402-935-7733 CA</t>
  </si>
  <si>
    <t>SPOTIFY P15CAB3ACD 8777781161 NY</t>
  </si>
  <si>
    <t>TST* SARAGHINA - HALSEY BROOKLYN NY</t>
  </si>
  <si>
    <t>UQ ATLANTIC TERM US004 BROOKLYN NY</t>
  </si>
  <si>
    <t>APPLEBEES 761976726491 BROOKLYN NY</t>
  </si>
  <si>
    <t>BERGEN BAGEL BROOKLYN NY</t>
  </si>
  <si>
    <t>EAST 7TH DELI &amp; CAFE COR NEW YORK NY</t>
  </si>
  <si>
    <t>KRYSTAL AND SAAGAR 2025317527 DC</t>
  </si>
  <si>
    <t>MTA*METROCARD MACHINE NEW YORK NY059144048022</t>
  </si>
  <si>
    <t>MTA*NYCT PAYGO NEW YORK NYAPPLE PAY ENDING IN 4775004854746794</t>
  </si>
  <si>
    <t>MTA*NYCT PAYGO NEW YORK NYAPPLE PAY ENDING IN 4775004855082912</t>
  </si>
  <si>
    <t>ROCKY DELI GROCERY BROOKLYN NY</t>
  </si>
  <si>
    <t>LYFT *2 RIDES 07-01 855-865-9553 CA</t>
  </si>
  <si>
    <t>MTA*NYCT PAYGO NEW YORK NYAPPLE PAY ENDING IN 4775004855640466</t>
  </si>
  <si>
    <t>MTA*NYCT PAYGO NEW YORK NYAPPLE PAY ENDING IN 4775004855768197</t>
  </si>
  <si>
    <t>MTA*NYCT PAYGO NEW YORK NYAPPLE PAY ENDING IN 4775004855826340</t>
  </si>
  <si>
    <t>MTA*NYCT PAYGO NEW YORK NYAPPLE PAY ENDING IN 4775004855828321</t>
  </si>
  <si>
    <t>MTA*NYCT PAYGO NEW YORK NYAPPLE PAY ENDING IN 4775004855861608</t>
  </si>
  <si>
    <t>MTA*NYCT PAYGO RECOVER 718-330-1234 NY004855731688</t>
  </si>
  <si>
    <t>LYFT *2 RIDES 07-03 855-865-9553 CA</t>
  </si>
  <si>
    <t>MILO S YARD RIDGEWOOD NY</t>
  </si>
  <si>
    <t>MTA*NYCT PAYGO NEW YORK NYAPPLE PAY ENDING IN 4775004856158957</t>
  </si>
  <si>
    <t>MTA*NYCT PAYGO NEW YORK NYAPPLE PAY ENDING IN 4775004856160189</t>
  </si>
  <si>
    <t>MTA*NYCT PAYGO NEW YORK NYAPPLE PAY ENDING IN 4775004856197783</t>
  </si>
  <si>
    <t>MTA*NYCT PAYGO NEW YORK NYAPPLE PAY ENDING IN 4775004856225234</t>
  </si>
  <si>
    <t>SQ *ELSEWHERE BROOKLYN NY0002305843014238696256</t>
  </si>
  <si>
    <t>MCDONALD'S F10428 STAFFORD VA</t>
  </si>
  <si>
    <t>SAFEWAY FUEL2616 FAIRFAX VA</t>
  </si>
  <si>
    <t>UBER TRIP 866-576-1039 CA</t>
  </si>
  <si>
    <t>THE MENS WEARHOUSE #3533 GLEN ALLEN VA</t>
  </si>
  <si>
    <t>LYFT *2 RIDES 07-07 855-865-9553 CA</t>
  </si>
  <si>
    <t>Arizona</t>
  </si>
  <si>
    <t>Headshot</t>
  </si>
  <si>
    <t>Hair Cut</t>
  </si>
  <si>
    <t>Brooklyn</t>
  </si>
  <si>
    <t>Fathers Day</t>
  </si>
  <si>
    <t>PRINCIPAL TRUST DR CR 210617 PACT#179541394 SEAN LEWIS</t>
  </si>
  <si>
    <t>Elephant Ins PAYROLL 210616 2087 Lewis Sean</t>
  </si>
  <si>
    <t>VENMO PAYMENT 210620 1014291472980 SEAN LEWIS</t>
  </si>
  <si>
    <t>VENMO PAYMENT 210620 1014291497592 SEAN LEWIS</t>
  </si>
  <si>
    <t>DISCOVER E-PAYMENT 210623 7328 LEWIS SEAN</t>
  </si>
  <si>
    <t>PURCHASE AUTHORIZED ON 06/22 STITCH FIX STYLIN 844-386-3850 CA S581173332274659 CARD 6634</t>
  </si>
  <si>
    <t>PRINCIPAL TRUST DR CR 210622 PACT#180033360 Sean Lewis</t>
  </si>
  <si>
    <t>PURCHASE AUTHORIZED ON 06/23 TST* TIO PABLO TAQ RICHMOND VA S461175013934521 CARD 6634</t>
  </si>
  <si>
    <t>New Manchester F WEB PMTS 063021 M7CVM7 Sean Lewis</t>
  </si>
  <si>
    <t>DISCOVER E-PAYMENT 210701 7328 LEWIS SEAN</t>
  </si>
  <si>
    <t>Nationwide PAYROLL 01 HRP0007447918 Sean Lewis</t>
  </si>
  <si>
    <t>DISCOVER E-PAYMENT 210705 7328 LEWIS SEAN</t>
  </si>
  <si>
    <t>VENMO PAYMENT 210706 1014559681035 SEAN LEWIS</t>
  </si>
  <si>
    <t>DISCOVER E-PAYMENT 210704 7328 LEWIS SEAN</t>
  </si>
  <si>
    <t>PURCHASE AUTHORIZED ON 07/05 KROGER #5 901 LOMBARDY RICHMOND VA P00000000172824506 CARD 6634</t>
  </si>
  <si>
    <t>PURCHASE AUTHORIZED ON 07/05 ALDI 80007 RICHMOND VA P00301187031820504 CARD 6634</t>
  </si>
  <si>
    <t>PURCHASE AUTHORIZED ON 07/02 SQ *THE SUMMIT BAR New York NY S461184164563315 CARD 6634</t>
  </si>
  <si>
    <t>VENMO CASHOUT 210703 1014514779086 SEAN LEWIS</t>
  </si>
  <si>
    <t>BEST BUY PAYMENT 210706 150477321232633 SEAN LEWIS</t>
  </si>
  <si>
    <t>PURCHASE AUTHORIZED ON 07/06 PHO QUE HUONG NUMB GLEN ALLEN VA S381187824546148 CARD 6634</t>
  </si>
  <si>
    <t>Principal retirement</t>
  </si>
  <si>
    <t>Matt Bozz</t>
  </si>
  <si>
    <t>Anush Rohani Shukla</t>
  </si>
  <si>
    <t>Resteraunt</t>
  </si>
  <si>
    <t>Moving</t>
  </si>
  <si>
    <t>Trips</t>
  </si>
  <si>
    <t>ENTERTAINMENT</t>
  </si>
  <si>
    <t>TRANSPORTATION</t>
  </si>
  <si>
    <t>Insurance</t>
  </si>
  <si>
    <t>Food</t>
  </si>
  <si>
    <t>Clothing</t>
  </si>
  <si>
    <t>Create a Simple Personal Budget in this worksheet. Helpful instructions on how to use this worksheet are in cells in this column. Arrow down to get started.</t>
  </si>
  <si>
    <t>Title of this worksheet is in cell at right. Enter year in cell Q2. Next instruction is in cell A4.</t>
  </si>
  <si>
    <t>PERSONAL BUDGET</t>
  </si>
  <si>
    <t>Labels are in cells C4 through P4.</t>
  </si>
  <si>
    <t>REVENUE</t>
  </si>
  <si>
    <t>JAN</t>
  </si>
  <si>
    <t>FEB</t>
  </si>
  <si>
    <t>MAR</t>
  </si>
  <si>
    <t>APR</t>
  </si>
  <si>
    <t>MAY</t>
  </si>
  <si>
    <t>JUN</t>
  </si>
  <si>
    <t>JUL</t>
  </si>
  <si>
    <t>AUG</t>
  </si>
  <si>
    <t>SEP</t>
  </si>
  <si>
    <t>OCT</t>
  </si>
  <si>
    <t>NOV</t>
  </si>
  <si>
    <t>DEC</t>
  </si>
  <si>
    <t>YEAR</t>
  </si>
  <si>
    <t>Enter details in Income table starting in cell C5. Next instruction is in cell A11.</t>
  </si>
  <si>
    <t>INCOME</t>
  </si>
  <si>
    <t>January</t>
  </si>
  <si>
    <t>February</t>
  </si>
  <si>
    <t>March</t>
  </si>
  <si>
    <t>April</t>
  </si>
  <si>
    <t>July</t>
  </si>
  <si>
    <t>August</t>
  </si>
  <si>
    <t>September</t>
  </si>
  <si>
    <t>October</t>
  </si>
  <si>
    <t>November</t>
  </si>
  <si>
    <t>December</t>
  </si>
  <si>
    <t>Sparkline</t>
  </si>
  <si>
    <t>Wages</t>
  </si>
  <si>
    <t>Total</t>
  </si>
  <si>
    <t>Labels are in cells C11 through P11.</t>
  </si>
  <si>
    <t>EXPENSES</t>
  </si>
  <si>
    <t>Enter Home expenses in table starting in cell C12. Next instruction is in cell A20.</t>
  </si>
  <si>
    <t>HOME</t>
  </si>
  <si>
    <t>Enter Daily expenses in table starting in cell C20. Next instruction is in cell A29.</t>
  </si>
  <si>
    <t>DAILY LIVING</t>
  </si>
  <si>
    <t>HEALTH</t>
  </si>
  <si>
    <t>Health club dues</t>
  </si>
  <si>
    <t>Prescriptions</t>
  </si>
  <si>
    <t>Over-the-counter drugs</t>
  </si>
  <si>
    <t>Co-payments/out-of-pocket</t>
  </si>
  <si>
    <t>Veterinarians/pet medicines</t>
  </si>
  <si>
    <t>VACATIONS</t>
  </si>
  <si>
    <t>Plane fare</t>
  </si>
  <si>
    <t>Accommodations</t>
  </si>
  <si>
    <t>Souvenirs</t>
  </si>
  <si>
    <t>Pet boarding</t>
  </si>
  <si>
    <t>RECREATION</t>
  </si>
  <si>
    <t>Gym fees</t>
  </si>
  <si>
    <t>Team dues</t>
  </si>
  <si>
    <t>Public radio</t>
  </si>
  <si>
    <t>Public television</t>
  </si>
  <si>
    <t>Religious organizations</t>
  </si>
  <si>
    <t>PERSONAL</t>
  </si>
  <si>
    <t>Gifts</t>
  </si>
  <si>
    <t>Salon/barber</t>
  </si>
  <si>
    <t>Books</t>
  </si>
  <si>
    <t>FINANCIAL OBLIGATIONS</t>
  </si>
  <si>
    <t>Long-term savings</t>
  </si>
  <si>
    <t>Retirement (401k, Roth IRA)</t>
  </si>
  <si>
    <t>Credit card payments</t>
  </si>
  <si>
    <t>Income tax (additional)</t>
  </si>
  <si>
    <t>MISC PAYMENTS</t>
  </si>
  <si>
    <t xml:space="preserve">   Other</t>
  </si>
  <si>
    <t>Totals are auto calculated in table starting in cell C105. Total expenses and Cash shortage or surplus are auto calculated for each month and entire year, and sparklines are updated.</t>
  </si>
  <si>
    <t>TOTALS</t>
  </si>
  <si>
    <t>SPARKLINE</t>
  </si>
  <si>
    <t>Total expenses</t>
  </si>
  <si>
    <t>Cash short/extra</t>
  </si>
  <si>
    <t>Government</t>
  </si>
  <si>
    <t>Rent</t>
  </si>
  <si>
    <t>Resteraunts</t>
  </si>
  <si>
    <t>HSA Refunds</t>
  </si>
  <si>
    <t>Principal Retirement</t>
  </si>
  <si>
    <t>FIVE GUYS VA 1981 QSR RICHMOND VA</t>
  </si>
  <si>
    <t>PUBLIX #1591 GLEN ALLEN VA</t>
  </si>
  <si>
    <t>APPLE.COM/BILL 866-712-7753 CAAPPLE PAY ENDING IN 4775MMW5N6TMYKA0</t>
  </si>
  <si>
    <t>WAWA 8647 HENRICO VA</t>
  </si>
  <si>
    <t>SQ *PROPER PIE CO. GOSQ.COM VAAPPLE PAY ENDING IN 47750001152921510329736349</t>
  </si>
  <si>
    <t>LIDL #1117 HENRICO VA1117012832211932118141</t>
  </si>
  <si>
    <t>FARM FRESH RICHMOND RICHMOND VA</t>
  </si>
  <si>
    <t>LYFT *1 RIDE 07-12 855-865-9553 CA</t>
  </si>
  <si>
    <t>IPANEMA CAFE RICHMOND VA</t>
  </si>
  <si>
    <t>MANCHESTER MARKET RICHMOND VA</t>
  </si>
  <si>
    <t>oyf</t>
  </si>
  <si>
    <t>CRAFTY CRAB RICHMOND RICHMOND VA</t>
  </si>
  <si>
    <t>AL AMIR MEDITERRANEAN CU RICHMOND VA</t>
  </si>
  <si>
    <t>AMZN MKTP US*2E07Z9NG0 AMZN.COM/BILLWA3MPJDCUP2B8</t>
  </si>
  <si>
    <t>AMZN MKTP US*2E1TV7NJ0 AMZN.COM/BILLWA13F5LEJXXW3</t>
  </si>
  <si>
    <t>BUSCH GARDENS VA ORLAN 407-545-5550 FL</t>
  </si>
  <si>
    <t>INSTACART*159 8882467822 CAAPPLE PAY ENDING IN 4775</t>
  </si>
  <si>
    <t>KROGER FUEL #3511 RICHMOND VA</t>
  </si>
  <si>
    <t>VERIZON*RECURRING PAY 800-VERIZON FL2069984643566429670001</t>
  </si>
  <si>
    <t>BUSCH GARDENS FOOD SVC WILLIAMSBURG VA</t>
  </si>
  <si>
    <t>BUSCH GARDENS GIFTS WILLIAMSBURG VA</t>
  </si>
  <si>
    <t>BUSCH GARDENS PARKING WILLIAMSBURG VA</t>
  </si>
  <si>
    <t>H B LEISURE WILLIAMSBURG WILLIAMSBURG VA</t>
  </si>
  <si>
    <t>WALGREENS #6923 NEWPORT NEWS VA</t>
  </si>
  <si>
    <t>MEZEH REYNOLDS CROSSING RICHMOND VA</t>
  </si>
  <si>
    <t>POKE SUSHI BOWL RICHMOND VA</t>
  </si>
  <si>
    <t>PAYPAL *GUMROAD DSADSA 402-935-7733 CA</t>
  </si>
  <si>
    <t>2M MEDITERRANEAN MARKET RICHMOND VA</t>
  </si>
  <si>
    <t>ADVANCE AUTO PARTS #4237 HENRICO VA</t>
  </si>
  <si>
    <t>AMZN MKTP US*2E9V53211 AMZN.COM/BILLWAQ7SNH9D1D73</t>
  </si>
  <si>
    <t>FLAGSTOP CAR WASH RICHMOND VA</t>
  </si>
  <si>
    <t>OFFICEMAX/DEPOT 6216 RICHMOND VA</t>
  </si>
  <si>
    <t>Internet</t>
  </si>
  <si>
    <t>Busch Gardens</t>
  </si>
  <si>
    <t>Calculator</t>
  </si>
  <si>
    <t>Apartment Search Spreadsheet</t>
  </si>
  <si>
    <t>PURCHASE AUTHORIZED ON 07/09 STITCH FIX, INC. 844-386-3850 CA S461190571583647 CARD 6634</t>
  </si>
  <si>
    <t>PURCHASE AUTHORIZED ON 07/12 WINDOW TINT SPECIA RICHMOND VA S461193793953813 CARD 6634</t>
  </si>
  <si>
    <t>VENMO CASHOUT 210713 1014678865611 SEAN LEWIS</t>
  </si>
  <si>
    <t>VENMO PAYMENT 210714 1014692980171 SEAN LEWIS</t>
  </si>
  <si>
    <t>VENMO PAYMENT 210715 1014713295742 SEAN LEWIS</t>
  </si>
  <si>
    <t>Nationwide PAYROLL 01 HRP0007476185 Sean Lewis</t>
  </si>
  <si>
    <t>DISCOVER E-PAYMENT 210716 7328 LEWIS SEAN</t>
  </si>
  <si>
    <t>PURCHASE AUTHORIZED ON 07/15 CASH APP*SHEVON LE 8774174551 CA S581196805079799 CARD 6634</t>
  </si>
  <si>
    <t>VENMO CASHOUT 210716 1014731525115 SEAN LEWIS</t>
  </si>
  <si>
    <t>VENMO CASHOUT 210716 1014726463233 SEAN LEWIS</t>
  </si>
  <si>
    <t>DOMINION ENERGY BILLPAY 210719 DOMINION ENERGY SEAN LEWIS</t>
  </si>
  <si>
    <t>GasBuddy GasBuddy IL2YPKVVP Sean Lewis</t>
  </si>
  <si>
    <t>VENMO CASHOUT 210721 1014807234292 SEAN LEWIS</t>
  </si>
  <si>
    <t>DISCOVER E-PAYMENT 210722 7328 LEWIS SEAN</t>
  </si>
  <si>
    <t>New Manchester F WEB PMTS 072221 WR8LQ7 Sean Lewis</t>
  </si>
  <si>
    <t>HEALTHEQUITY INC HealthEqui 21 Jul 22317048 Sean Lewis (22317048)</t>
  </si>
  <si>
    <t>Window Tint</t>
  </si>
  <si>
    <t>3070 GPU</t>
  </si>
  <si>
    <t>3060 Ti GPU</t>
  </si>
  <si>
    <t xml:space="preserve">3070 GPU </t>
  </si>
  <si>
    <t>Video Streaming</t>
  </si>
  <si>
    <t>Music Streaming</t>
  </si>
  <si>
    <t>Podcasts</t>
  </si>
  <si>
    <t>Sports Organizations</t>
  </si>
  <si>
    <t>Expense_Categories</t>
  </si>
  <si>
    <t>home</t>
  </si>
  <si>
    <t>transportation</t>
  </si>
  <si>
    <t>entertainment</t>
  </si>
  <si>
    <t>health</t>
  </si>
  <si>
    <t>vacations</t>
  </si>
  <si>
    <t>recreation</t>
  </si>
  <si>
    <t>personal</t>
  </si>
  <si>
    <t>financial obligations</t>
  </si>
  <si>
    <t>misc payments</t>
  </si>
  <si>
    <t>daily.living</t>
  </si>
  <si>
    <t>dues.subscription</t>
  </si>
  <si>
    <t>SUBSCRIPTION</t>
  </si>
  <si>
    <t>All</t>
  </si>
  <si>
    <t>Budget Main CAT</t>
  </si>
  <si>
    <t>UNCLE CS CHICKEN &amp; WAFFL ALEXANDRIA VA</t>
  </si>
  <si>
    <t>AUTOZONE #0930 RICHMOND VA</t>
  </si>
  <si>
    <t>CVS/PHARMACY #01989 RICHMOND VA</t>
  </si>
  <si>
    <t>MCDONALD'S F36546 RICHMOND VA</t>
  </si>
  <si>
    <t>TCKTWEB*PURITYRINGTOUR 800-965-4827 CA46583863RRBTELVW</t>
  </si>
  <si>
    <t>HYMAN BROS NISSAN - KIA MIDLOTHIAN VA</t>
  </si>
  <si>
    <t>LYFT *2 RIDES 07-28 855-865-9553 CA</t>
  </si>
  <si>
    <t>SUSHI KING &amp; GRILL HENRICO VA</t>
  </si>
  <si>
    <t>ALLIANZ EVENT INS 888-817-2166 VA</t>
  </si>
  <si>
    <t>AUDIBLE*2P1RN5ZH0 AMZN.COM/BILLNJ4BON36101MJ</t>
  </si>
  <si>
    <t>CVS/PHARMACY #00067 CHARLOTTESVILVA</t>
  </si>
  <si>
    <t>SQ *IRON - PAFFLES AND CHARLOTTESVILVA0002305843014359512962</t>
  </si>
  <si>
    <t>TM *JAMES BLAKE 800-653-8000 CALA2/61-20183</t>
  </si>
  <si>
    <t>WP FIRST AND MARKET PARK CHARLOTTESVLEVA</t>
  </si>
  <si>
    <t>NETFLIX.COM NETFLIX.COM CA50196014607</t>
  </si>
  <si>
    <t>OTTO TURKISH STREET CHARLOTTESVILVA</t>
  </si>
  <si>
    <t>SPOTIFY P1641526B9 8777781161 NY</t>
  </si>
  <si>
    <t>CELL TECH HENRICO VA</t>
  </si>
  <si>
    <t>APPLE.COM/BILL 866-712-7753 CAAPPLE PAY ENDING IN 4775MMW5XL8J7LA0</t>
  </si>
  <si>
    <t>APPLE.COM/BILL 866-712-7753 CAAPPLE PAY ENDING IN 4775MMW5XKWJ29A0</t>
  </si>
  <si>
    <t>AMZN DIGITAL*2P7GJ5MY1 888-802-3080 WA5HLXUOLXVYK</t>
  </si>
  <si>
    <t>APPLE STORE #R078 RICHMOND VAR078574525823</t>
  </si>
  <si>
    <t>AUDIBLE*2P6PT64R2 AMZN.COM/BILLNJ4S74BZ6JTEN</t>
  </si>
  <si>
    <t>APPLE STORE #R078 RICHMOND VAR078520612951</t>
  </si>
  <si>
    <t>APPLE.COM/BILL 866-712-7753 CAAPPLE PAY ENDING IN 4775MMW5XXFHM6A0</t>
  </si>
  <si>
    <t>FROST GELATO RICHMOND VA</t>
  </si>
  <si>
    <t>TEACHERSPAYTEACHERS.COM 646-588-0910 NY</t>
  </si>
  <si>
    <t>APPLE.COM/BILL 866-712-7753 CAAPPLE PAY ENDING IN 4775MMW5Y91N88A0</t>
  </si>
  <si>
    <t>EINSTEINMOBILEAPP #7997 BROOKLYN CENTMN</t>
  </si>
  <si>
    <t>WOB RICHMOND TAMPA FL00530R</t>
  </si>
  <si>
    <t>CRYSTAL CAR WASH ESSEX MD</t>
  </si>
  <si>
    <t>PIZZA JOHNS ESSEX MD</t>
  </si>
  <si>
    <t>APPLE.COM/BILL 866-712-7753 CAAPPLE PAY ENDING IN 4775MMW5ZFT69NA0</t>
  </si>
  <si>
    <t>WAWA 8626 HENRICO VA</t>
  </si>
  <si>
    <t>PAYPAL *EDX INC 888-221-1161 CA</t>
  </si>
  <si>
    <t>PAYPAL *VIZMEDIALLC 402-935-7733 CA</t>
  </si>
  <si>
    <t>WALMART SC 04191 RICHMOND VA</t>
  </si>
  <si>
    <t>COLPARK LOC 128 WASHINGTON DC</t>
  </si>
  <si>
    <t>FILOMENA RISTORANTE WASHINGTON DC</t>
  </si>
  <si>
    <t>EL PIQUIN RESTAURANT II MIDDLE RIVER MD</t>
  </si>
  <si>
    <t>PRIME VIDEO*2D4JM7JK0 888-802-3080 WA2CLGHC1IWB9</t>
  </si>
  <si>
    <t>WALMART STORE 03481 BALTIMORE MD</t>
  </si>
  <si>
    <t>SQ *COFFEE REPUBLIC ROCKVILLE MD0002305843014431991347</t>
  </si>
  <si>
    <t>SQ *COFFEE REPUBLIC ROCKVILLE MD0002305843014431998036</t>
  </si>
  <si>
    <t>FONTINA GRILLE ROCKVILLE MD</t>
  </si>
  <si>
    <t>VERIZON*RECURRING PAY 800-VERIZON FL2095284193566429670001</t>
  </si>
  <si>
    <t>APPLE.COM/BILL 866-712-7753 CAAPPLE PAY ENDING IN 4775MMW62M4H82A0</t>
  </si>
  <si>
    <t>APPLE.COM/BILL 866-712-7753 CAAPPLE PAY ENDING IN 4775MMW62MTV0FA0</t>
  </si>
  <si>
    <t>Statistical Modeling Course</t>
  </si>
  <si>
    <t>Going Away Lunch</t>
  </si>
  <si>
    <t>Concert</t>
  </si>
  <si>
    <t>Car Check Up</t>
  </si>
  <si>
    <t>Book</t>
  </si>
  <si>
    <t>Cell phone cover</t>
  </si>
  <si>
    <t>New Battery</t>
  </si>
  <si>
    <t>App</t>
  </si>
  <si>
    <t>Funimation</t>
  </si>
  <si>
    <t>Bumble</t>
  </si>
  <si>
    <t>The Athletic</t>
  </si>
  <si>
    <t>Tinder</t>
  </si>
  <si>
    <t>NW TRVL REIMB EDI PYMNTS TRVL0000373942 SEAN LEWIS</t>
  </si>
  <si>
    <t>VENMO CASHOUT 210728 1014922086967 SEAN LEWIS</t>
  </si>
  <si>
    <t>Nationwide PAYROLL 01 HRP0007517433 Sean Lewis</t>
  </si>
  <si>
    <t>DISCOVER E-PAYMENT 210804 7328 LEWIS SEAN</t>
  </si>
  <si>
    <t>PURCHASE AUTHORIZED ON 08/04 CASH APP*SHEVON LE 8774174551 CA S581216397058428 CARD 6634</t>
  </si>
  <si>
    <t>PURCHASE AUTHORIZED ON 08/07 CASH APP*ENGAGETM 8774174551 CA S461219710360938 CARD 6634</t>
  </si>
  <si>
    <t>PURCHASE AUTHORIZED ON 08/10 CASH APP*KAIYA 8774174551 CA S381222493471685 CARD 6634</t>
  </si>
  <si>
    <t>PURCHASE AUTHORIZED ON 08/10 CASH APP*EZIBU MUN 8774174551 CA S381222434649872 CARD 6634</t>
  </si>
  <si>
    <t>Nationwide PAYROLL 01 HRP0007557398 Sean Lewis</t>
  </si>
  <si>
    <t>PURCHASE AUTHORIZED ON 08/15 CASH APP*CYANFACE 8774174551 CA S461227811259239 CARD 6634</t>
  </si>
  <si>
    <t>PURCHASE AUTHORIZED ON 08/13 CASH APP*DON LEWIS 8774174551 CA S381226007335762 CARD 6634</t>
  </si>
  <si>
    <t>Nationwide Tech Reimbursement</t>
  </si>
  <si>
    <t>Dance</t>
  </si>
  <si>
    <t>DOMOISHI CHESTERFIELD VA</t>
  </si>
  <si>
    <t>SHELL 57546332701 RICHMOND VA</t>
  </si>
  <si>
    <t>115 AMF 8003425263 RICHMOND VA</t>
  </si>
  <si>
    <t>SQ *KLIGG CO HENRICO VA0002305843014454290305</t>
  </si>
  <si>
    <t>BOWLERO RICHMOND RICHMOND VA</t>
  </si>
  <si>
    <t>APPLE STORE R078 RICHMOND VA</t>
  </si>
  <si>
    <t>REUNION TOWER OBSERVAT 214-712-7060 TX02265R</t>
  </si>
  <si>
    <t>JIMMY JOHNS - 1740 RICHMOND VA</t>
  </si>
  <si>
    <t>JIMMY JOHNS - 1741 RICHMOND VA</t>
  </si>
  <si>
    <t>AMZN MKTP US*251E06OQ0 AMZN.COM/BILLWA6VCJ7N5UKI9</t>
  </si>
  <si>
    <t>AUDIBLE*2D3RB32Z2 AMZN.COM/BILLNJQ932JGGF4H3</t>
  </si>
  <si>
    <t>WALMART SC 02821 RICHMOND VA</t>
  </si>
  <si>
    <t>AUDIBLE*2D9SS87X2 AMZN.COM/BILLNJ1WZ0U42YG4M</t>
  </si>
  <si>
    <t>BP#9818212GOLDIES CONVEN RICHMOND VA</t>
  </si>
  <si>
    <t>MOORE STREET CAFE RICHMOND VA</t>
  </si>
  <si>
    <t>SQ *WILD BEAN &amp; THUNDE LEWISBURG WV0001152921510492179121</t>
  </si>
  <si>
    <t>BP#8774481MAPCO #3416 NASHVILLE TN</t>
  </si>
  <si>
    <t>IN *MUSICIANS HALL FAM NASHVILLE TNAPNYE865</t>
  </si>
  <si>
    <t>L2G*METRO PARKS 615-86 NASHVILLE TN3813151451</t>
  </si>
  <si>
    <t>PP*ELTOROLOCO SAN JOSE CA</t>
  </si>
  <si>
    <t>SHELL 10011455010 LEXINGTON KY</t>
  </si>
  <si>
    <t>VEGE LICIOUS LLC NASHVILLE TN</t>
  </si>
  <si>
    <t>APPLE.COM/BILL 866-712-7753 CAAPPLE PAY ENDING IN 4775MMW65YVSJHA0</t>
  </si>
  <si>
    <t>BP#9473786FAIRMONT CITY FAIRMONT CITYIL</t>
  </si>
  <si>
    <t>CITY MUSEUM RETAIL LAKEWOOD NJ</t>
  </si>
  <si>
    <t>GATEWAY ARCH MUSEUM STOR SAINT LOUIS MO</t>
  </si>
  <si>
    <t>LIM*RIDE COST 8885463345 CA</t>
  </si>
  <si>
    <t>FUEL &amp; FOOD OKLAHOMA CITYOK</t>
  </si>
  <si>
    <t>KAI VIETNAMESE CUISINE TULSA OK</t>
  </si>
  <si>
    <t>PARKMOBILE 770-818-9036 GAAPPLE PAY ENDING IN 4775450622009</t>
  </si>
  <si>
    <t>SQ *BLACK WALL STREET TULSA OK0002305843014497838651</t>
  </si>
  <si>
    <t>DPJ*OKC NATIONAL MEMORIA OKLAHOMA CITYOK</t>
  </si>
  <si>
    <t>OKLAHOMA CITY NATIONAL M OKLAHOMA CITYOK</t>
  </si>
  <si>
    <t>OOZIE RESTAURANT LLC OKLAHOMA CITYOK</t>
  </si>
  <si>
    <t>PARKMOBILE 770-818-9036 GAAPPLE PAY ENDING IN 4775450655263</t>
  </si>
  <si>
    <t>NETFLIX.COM NETFLIX.COM CA51012077542</t>
  </si>
  <si>
    <t>SPOTIFY P16BA1A5E9 8777781161 NY</t>
  </si>
  <si>
    <t>7-ELEVEN 35789 BELTON TX</t>
  </si>
  <si>
    <t>IN N OUT BURGER 275 LANCASTER TX</t>
  </si>
  <si>
    <t>THE SIXTH FLOOR MUSEUM DALLAS TX00137R</t>
  </si>
  <si>
    <t>UCHI AUSTIN AUSTIN TX00190R</t>
  </si>
  <si>
    <t>AF*NICOLAN LLC 866-648-1536 AZ</t>
  </si>
  <si>
    <t>APPLE.COM/BILL 866-712-7753 CAAPPLE PAY ENDING IN 4775MMW66086XZA0</t>
  </si>
  <si>
    <t>BIRD* RIDE 8662052442 CA</t>
  </si>
  <si>
    <t>LIDS 5557 SAN ANTONIO TX</t>
  </si>
  <si>
    <t>STARBUCKS STORE 06306 SAN ANTONIO TX3EF53745BEFA712833</t>
  </si>
  <si>
    <t>THE ALAMO 2102251391 TX</t>
  </si>
  <si>
    <t>TSFM ONLINE TICKET SLS 214-747-6660 TX2219697</t>
  </si>
  <si>
    <t>WHEELS RIDE IN STYLE 8882407120 CAAPPLE PAY ENDING IN 4775</t>
  </si>
  <si>
    <t>EXXONMOBIL MC CAMEY TX</t>
  </si>
  <si>
    <t>EXXONMOBIL SAN ANTONIO TX</t>
  </si>
  <si>
    <t>MUSTANG FRANKLING PLAZA DALLAS TX</t>
  </si>
  <si>
    <t>SPEEDWAY 09810 715 N. ST EL PASO TX</t>
  </si>
  <si>
    <t>TST* BEST QUALITY DAUGHT SAN ANTONIO TX</t>
  </si>
  <si>
    <t>JIFFY LUBE #1807 PHOENIX AZ</t>
  </si>
  <si>
    <t>Road Trip</t>
  </si>
  <si>
    <t>Last Richmond</t>
  </si>
  <si>
    <t>Phoenix Apartment Search</t>
  </si>
  <si>
    <t>Audible</t>
  </si>
  <si>
    <t>Donda</t>
  </si>
  <si>
    <t>Apple Music</t>
  </si>
  <si>
    <t>fraud</t>
  </si>
  <si>
    <t>road trip</t>
  </si>
  <si>
    <t>DOMINION ENERGY BILLPAY 210820 DOMINION ENERGY SEAN LEWIS</t>
  </si>
  <si>
    <t>DISCOVER E-PAYMENT 210822 7328 LEWIS SEAN</t>
  </si>
  <si>
    <t>PURCHASE AUTHORIZED ON 08/22 CASH APP*SHEVON LE 8774174551 CA S461235103363903 CARD 6634</t>
  </si>
  <si>
    <t>PURCHASE AUTHORIZED ON 08/20 115 AMF 8003425263 RICHMOND VA S581233009192283 CARD 6634</t>
  </si>
  <si>
    <t>DISCOVER E-PAYMENT 210826 7328 LEWIS SEAN</t>
  </si>
  <si>
    <t>Nationwide PAYROLL 01 HRP0007594112 Sean Lewis</t>
  </si>
  <si>
    <t>New Manchester F WEB PMTS 082721 7DC2V7 Sean Lewis</t>
  </si>
  <si>
    <t>PURCHASE AUTHORIZED ON 08/31 CASH APP*ENGAGETM 8774174551 CA S381243841573529 CARD 6634</t>
  </si>
  <si>
    <t>Bowling</t>
  </si>
  <si>
    <t>LAZ PARKING 340137-LUKE 858-587-8888 AZ</t>
  </si>
  <si>
    <t>QT 407 PHOENIX AZ0040702DNAXPWTE</t>
  </si>
  <si>
    <t>TST* AINSWORTH PHOENIX AZ</t>
  </si>
  <si>
    <t>WALMART SC 02112 SCOTTSDALE AZ</t>
  </si>
  <si>
    <t>PRIME VIDEO*2G9AC2CO1 888-802-3080 WA4WWO5UY57M7</t>
  </si>
  <si>
    <t>VEGAN HOUSE PHOENIX AZ</t>
  </si>
  <si>
    <t>AMAZON.COM*2G8KE5OH0 AMZN.COM/BILLWA1JIZVW8KGTQ</t>
  </si>
  <si>
    <t>OFFICEMAX/DEPOT 6188 SCOTTSDALE AZ</t>
  </si>
  <si>
    <t>WALMART SC 02766 SCOTTSDALE (NAZ</t>
  </si>
  <si>
    <t>CAVASSON EASTSIDE CAFE SCOTTSDALE AZ</t>
  </si>
  <si>
    <t>CVS/PHARMACY #09297 PHOENIX AZAPPLE PAY ENDING IN 4775</t>
  </si>
  <si>
    <t>TMOBILE*POSTPAID PDA 800-937-8997 WA911600776</t>
  </si>
  <si>
    <t>CAVASSON EASTSIDE CAFE SCOTTSDALE AZAPPLE PAY ENDING IN 4775</t>
  </si>
  <si>
    <t>CIRCLE K 00114 PHOENIX AZ00946R</t>
  </si>
  <si>
    <t>THE TACO SPOT TEMPE AZ</t>
  </si>
  <si>
    <t>CAFE RIO 0084 SCOTTSDALE SCOTTSDALE AZ</t>
  </si>
  <si>
    <t>WILDERNESS DTPHX PHOENIX AZ</t>
  </si>
  <si>
    <t>APPLE.COM/BILL 866-712-7753 CAAPPLE PAY ENDING IN 4775MMW68F776WA0</t>
  </si>
  <si>
    <t>BASILIC VIETNAMESE BAR PHOENIX AZ</t>
  </si>
  <si>
    <t>PARKMOBILE 770-818-9036 GAAPPLE PAY ENDING IN 4775455077960</t>
  </si>
  <si>
    <t>PARKMOBILE 770-818-9036 GAAPPLE PAY ENDING IN 4775455089061</t>
  </si>
  <si>
    <t>PARKMOBILE 770-818-9036 GAAPPLE PAY ENDING IN 4775455092750</t>
  </si>
  <si>
    <t>PY *AZ ICLF 602-258-0109 AZPY *AZ ICLF</t>
  </si>
  <si>
    <t>SQ *GIANT COFFEE PHOENIX AZAPPLE PAY ENDING IN 47750002305843014550413401</t>
  </si>
  <si>
    <t>SQ *MIGHTY MOO ICE CRE YOUNGTOWN AZ0001152921510548067930</t>
  </si>
  <si>
    <t>STAPLES 00102632105 PHOENIX AZAPPLE PAY ENDING IN 4775</t>
  </si>
  <si>
    <t>SHELL 57442225306 TEMPE AZ</t>
  </si>
  <si>
    <t>STAPLES 00102616105 GLENDALE AZAPPLE PAY ENDING IN 4775</t>
  </si>
  <si>
    <t>SP * WIDE WORLD MAPS &amp; 6022792323 AZ</t>
  </si>
  <si>
    <t>TACO BELL #23057 PHOENIX AZ</t>
  </si>
  <si>
    <t>ACE PARKING 1309 SAN DIEGO CA</t>
  </si>
  <si>
    <t>BOSA 8TH/B SAN DIEGO CA</t>
  </si>
  <si>
    <t>GLENNS MARKET SAN DIEGO CA</t>
  </si>
  <si>
    <t>ROXY'S TACOS SAN DIEGO CA</t>
  </si>
  <si>
    <t>SHELL 57442518304 GILA BEND AZ</t>
  </si>
  <si>
    <t>SHELL 57442736005 SAN DIEGO CA</t>
  </si>
  <si>
    <t>SQ *HOLSEM COFFEE SAN DIEGO CA0002305843014572475252</t>
  </si>
  <si>
    <t>SQ *NORTH END COFFEEHO YUMA AZ0001152921510561442057</t>
  </si>
  <si>
    <t>SQ *OBSERVATORY NORTH LA MESA CA0001152921510564111901</t>
  </si>
  <si>
    <t>7-ELEVEN 26201 MESA AZ</t>
  </si>
  <si>
    <t>ABC BICYCLES &amp; JET SKI R MESA AZ</t>
  </si>
  <si>
    <t>APPLE.COM/BILL 866-712-7753 CAAPPLE PAY ENDING IN 4775MMW6DH65BYA0</t>
  </si>
  <si>
    <t>CIRCLE K 05187 YUMA AZ01772R</t>
  </si>
  <si>
    <t>CIRCLE K 05187 YUMA AZ01747R</t>
  </si>
  <si>
    <t>IN N OUT BURGER 128 SAN DIEGO CA</t>
  </si>
  <si>
    <t>JAMES BLAKE MERCH SAN DIEGO CA</t>
  </si>
  <si>
    <t>MESA DRUMMER BAR &amp; GRILL MESA AZ</t>
  </si>
  <si>
    <t>MTS- PRONTO 619-595-5636 CA6588551817</t>
  </si>
  <si>
    <t>SQ *ORO BREWING COMPAN MESA AZ0001152921510568447558</t>
  </si>
  <si>
    <t>ARCO #42463 AMPM MESA AZ</t>
  </si>
  <si>
    <t>LYFT *1 RIDE 09-16 855-865-9553 CA</t>
  </si>
  <si>
    <t>TST* WORTH TAKEAWAY MESA AZAPPLE PAY ENDING IN 4775</t>
  </si>
  <si>
    <t>SAFEWAY #2821 GLENDALE AZAPPLE PAY ENDING IN 4775</t>
  </si>
  <si>
    <t>WALMART SC 02113 PHOENIX AZ</t>
  </si>
  <si>
    <t>ZUKIS PITA LLC PHOENIX AZ</t>
  </si>
  <si>
    <t>SALAD AND GO #1117 PHOENIX AZ</t>
  </si>
  <si>
    <t>TARGET PHOENIX AZAPPLE PAY ENDING IN 4775</t>
  </si>
  <si>
    <t>TST* RAMEN HOOD SCOTTSDALE AZ</t>
  </si>
  <si>
    <t>TST* WOW WOW HAWAIIAN LE GLENDALE AZ</t>
  </si>
  <si>
    <t>COCONUT'S FISH CAFE, SCO SCOTTSDALE AZ</t>
  </si>
  <si>
    <t>MUSICAL INSTRUMENT MUSEU PHOENIX AZ</t>
  </si>
  <si>
    <t>U-HAUL MOVING &amp; STORAGE 800-789-3638 AZ</t>
  </si>
  <si>
    <t>CAVIAR*BOP AND ROLL 6506819470 CAAPPLE PAY ENDING IN 4775</t>
  </si>
  <si>
    <t>CIRCLE K 00114 PHOENIX AZ02308R</t>
  </si>
  <si>
    <t>WALGREENS #5893 PHOENIX AZ</t>
  </si>
  <si>
    <t>CIRCLE K 00114 PHOENIX AZ02457R</t>
  </si>
  <si>
    <t>JIMMY JOHNS - 2500 - ECO PHOENIX AZAPPLE PAY ENDING IN 4775</t>
  </si>
  <si>
    <t>TARGET TOLLESON AZ</t>
  </si>
  <si>
    <t>AMZN MKTP US*2G2048UX2 AMZN.COM/BILLWA2O0OKSKY6VK</t>
  </si>
  <si>
    <t>CLR*STRETCHZONE480687187 480-687-1874 TXCLR*STRETCHZONE480687187</t>
  </si>
  <si>
    <t>SQ *HOT DAISY PIZZA PHOENIX AZ0001152921510603415746</t>
  </si>
  <si>
    <t>THE ARROGANT BUTCHER PHOENIX AZ</t>
  </si>
  <si>
    <t>SAFEWAY #2651 PHOENIX AZAPPLE PAY ENDING IN 4775</t>
  </si>
  <si>
    <t>SLICE*HOTDAISYPIZZA 8889749928 NY</t>
  </si>
  <si>
    <t>APPLE.COM/BILL 866-712-7753 CAAPPLE PAY ENDING IN 4775MMW6J5JFWTA0</t>
  </si>
  <si>
    <t>AZ MVD WEB 602-217-0072 AZ</t>
  </si>
  <si>
    <t>AZ VEHICLE EMISSIONS PHOENIX AZ</t>
  </si>
  <si>
    <t>CIRCLE K 01569 PHOENIX AZ02961R</t>
  </si>
  <si>
    <t>TEMPE MVD TEMPE AZ</t>
  </si>
  <si>
    <t>Rick and Morty Season 5</t>
  </si>
  <si>
    <t>Confessions of a Civil Engineer</t>
  </si>
  <si>
    <t>Apple TV+</t>
  </si>
  <si>
    <t>Arizona ID</t>
  </si>
  <si>
    <t>VENMO PAYMENT 210907 1015610132387 SEAN LEWIS</t>
  </si>
  <si>
    <t>VENMO PAYMENT 210907 1015610143164 SEAN LEWIS</t>
  </si>
  <si>
    <t>DISCOVER E-PAYMENT 210905 7328 LEWIS SEAN</t>
  </si>
  <si>
    <t>BEST BUY PAYMENT 210906 600529869889757 SEAN LEWIS</t>
  </si>
  <si>
    <t>VENMO PAYMENT 210906 1015607904636 SEAN LEWIS</t>
  </si>
  <si>
    <t>VENMO CASHOUT 210904 1015569376460 SEAN LEWIS</t>
  </si>
  <si>
    <t>MONEY TRANSFER AUTHORIZED ON 09/03 FROM Sean Lewis VA S00301247145291284 CARD 6634</t>
  </si>
  <si>
    <t>Patientco - Hold WEB PMTS 090821 Y86Z4H Sean Lewis</t>
  </si>
  <si>
    <t>PURCHASE AUTHORIZED ON 09/07 HARKINS CHRISTOWN PHOENIX AZ S301251072394744 CARD 6634</t>
  </si>
  <si>
    <t>Nationwide PAYROLL 01 HRP0007635587 Sean Lewis</t>
  </si>
  <si>
    <t>DISCOVER E-PAYMENT 210910 7328 LEWIS SEAN</t>
  </si>
  <si>
    <t>VENMO CASHOUT 210910 1015662408790 SEAN LEWIS</t>
  </si>
  <si>
    <t>BEST BUY PAYMENT 210910 600533720242364 SEAN LEWIS</t>
  </si>
  <si>
    <t>HEALTHEQUITY INC HealthEqui 10 Sep 22317048 Sean Lewis (22317048)</t>
  </si>
  <si>
    <t>VENMO PAYMENT 210914 1015735705534 SEAN LEWIS</t>
  </si>
  <si>
    <t>PURCHASE AUTHORIZED ON 09/16 SHELL SERVICE STATION SAN DIEGO CA P00461259834878188 CARD 6634</t>
  </si>
  <si>
    <t>DOMINION ENERGY BILLPAY 210920 DOMINION ENERGY SEAN LEWIS</t>
  </si>
  <si>
    <t>DISCOVER E-PAYMENT 210918 7328 LEWIS SEAN</t>
  </si>
  <si>
    <t>PURCHASE AUTHORIZED ON 09/18 CASH APP*SHEVON LE 8774174551 CA S381261606453821 CARD 6634</t>
  </si>
  <si>
    <t>TRANSFER TO LEWIS SHARON ON 09/23 REF #PP0CGPSBQT XXXXXXXXX5267</t>
  </si>
  <si>
    <t>Nationwide PAYROLL 01 HRP0007674476 Sean Lewis</t>
  </si>
  <si>
    <t>VENMO PAYMENT 210924 1015907993690 SEAN LEWIS</t>
  </si>
  <si>
    <t>PURCHASE AUTHORIZED ON 09/23 CASH APP*CYANFACE 8774174551 CA S581266779486945 CARD 6634</t>
  </si>
  <si>
    <t>DEPOSIT MADE IN A BRANCH/STORE #964425982</t>
  </si>
  <si>
    <t>VENMO PAYMENT 210926 1015930503247 SEAN LEWIS</t>
  </si>
  <si>
    <t>DISCOVER E-PAYMENT 210925 7328 LEWIS SEAN</t>
  </si>
  <si>
    <t>VENMO PAYMENT 210926 1015940675150 SEAN LEWIS</t>
  </si>
  <si>
    <t>PURCHASE AUTHORIZED ON 09/24 CASH APP*MONIQUE D 8774174551 CA S301267664719161 CARD 6634</t>
  </si>
  <si>
    <t>VENMO CASHOUT 210926 1015937626231 SEAN LEWIS</t>
  </si>
  <si>
    <t>NW TRVL REIMB EDI PYMNTS TRVL0000392868 SEAN LEWIS</t>
  </si>
  <si>
    <t>TRANSFER FROM LEWIS SHARON ON 09/28 REF # PP0CHQ7H9Q THANK YOU</t>
  </si>
  <si>
    <t>VENMO CASHOUT 210927 1015964369193 SEAN LEWIS</t>
  </si>
  <si>
    <t>VENMO PAYMENT 211001 1016029881790 SEAN LEWIS</t>
  </si>
  <si>
    <t>Rent - Artisan Village</t>
  </si>
  <si>
    <t>Cleaning</t>
  </si>
  <si>
    <t>Best Buy - Credit</t>
  </si>
  <si>
    <t>Donation</t>
  </si>
  <si>
    <t>Eye</t>
  </si>
  <si>
    <t>Movie</t>
  </si>
  <si>
    <t>return</t>
  </si>
  <si>
    <t>inflation</t>
  </si>
  <si>
    <t>return net inflation</t>
  </si>
  <si>
    <t>Annual Salary</t>
  </si>
  <si>
    <t>Monthly Contributions</t>
  </si>
  <si>
    <t>Age</t>
  </si>
  <si>
    <t>Bonus/Exams</t>
  </si>
  <si>
    <t>(Assume 2% growth in salary)</t>
  </si>
  <si>
    <t>Net Annual Salary</t>
  </si>
  <si>
    <t>Monthly Salary</t>
  </si>
  <si>
    <t>Monthly Net Salary</t>
  </si>
  <si>
    <t>of Net Salary</t>
  </si>
  <si>
    <t>Leftover</t>
  </si>
  <si>
    <t>Monthly Leftover</t>
  </si>
  <si>
    <t>Projected rent (.33 Net salary)</t>
  </si>
  <si>
    <t>Net Leftover</t>
  </si>
  <si>
    <t>Bi Weekly Salary</t>
  </si>
  <si>
    <t>Contribution %</t>
  </si>
  <si>
    <t>Bi Weekly Contributions</t>
  </si>
  <si>
    <t>Yearly Contributions</t>
  </si>
  <si>
    <t>Weekly Employer Match</t>
  </si>
  <si>
    <t>Yearly Employer Match</t>
  </si>
  <si>
    <t>Total + Match</t>
  </si>
  <si>
    <t>Multiplier</t>
  </si>
  <si>
    <t>Earnings</t>
  </si>
  <si>
    <t>Grossed Up Earnings</t>
  </si>
  <si>
    <t>LTD Benefit Credit</t>
  </si>
  <si>
    <t>My Health Completion Credit</t>
  </si>
  <si>
    <t>Regular</t>
  </si>
  <si>
    <t>Deductions</t>
  </si>
  <si>
    <t>Federal</t>
  </si>
  <si>
    <t>Health Savings Account</t>
  </si>
  <si>
    <t>Life Insurance Coverage</t>
  </si>
  <si>
    <t>Long Term  Disability Coverage</t>
  </si>
  <si>
    <t>Medical Coverage</t>
  </si>
  <si>
    <t>Medicare</t>
  </si>
  <si>
    <t>NSP AfterTax Deduction NonRoth</t>
  </si>
  <si>
    <t>OASDI</t>
  </si>
  <si>
    <t>VA State Tax</t>
  </si>
  <si>
    <t>AZ State Tax</t>
  </si>
  <si>
    <t>Supplemental Accident Coverage</t>
  </si>
  <si>
    <t>Vision Coverage</t>
  </si>
  <si>
    <t>Gross</t>
  </si>
  <si>
    <t>Net</t>
  </si>
  <si>
    <t>No Payment Due this month</t>
  </si>
  <si>
    <t xml:space="preserve">Best Buy </t>
  </si>
  <si>
    <t>Discover</t>
  </si>
  <si>
    <t>STAPLES 00103168105 RICHMOND VA</t>
  </si>
  <si>
    <t>BP#9708157CARY ST BP RICHMOND VA</t>
  </si>
  <si>
    <t>ADVANCE AUTO PARTS #2160 RICHMOND VA</t>
  </si>
  <si>
    <t>EZ Pass</t>
  </si>
  <si>
    <t xml:space="preserve">Your payment due date is at least 25 days after the </t>
  </si>
  <si>
    <t>close of each billing cycle</t>
  </si>
  <si>
    <t>Credit Card Payment Calculator</t>
  </si>
  <si>
    <t>https://www.vertex42.com/Calculators/credit-card-payment-calculator.html</t>
  </si>
  <si>
    <t>Credit Card Info</t>
  </si>
  <si>
    <t>Current Balance</t>
  </si>
  <si>
    <t>Interest Rate</t>
  </si>
  <si>
    <t>Min Payment % of Balance</t>
  </si>
  <si>
    <t>… Plus Interest?</t>
  </si>
  <si>
    <t>Min Payment for Low Balance</t>
  </si>
  <si>
    <t>Fixed Monthly Payment</t>
  </si>
  <si>
    <t>(optional)</t>
  </si>
  <si>
    <t>0% Introductory Period</t>
  </si>
  <si>
    <t>months</t>
  </si>
  <si>
    <t>Results</t>
  </si>
  <si>
    <t>First Payment</t>
  </si>
  <si>
    <t>Max Payment</t>
  </si>
  <si>
    <t>Months to Pay Off</t>
  </si>
  <si>
    <t>Total Interest Paid</t>
  </si>
  <si>
    <t>[42]</t>
  </si>
  <si>
    <t>Payment Schedule</t>
  </si>
  <si>
    <t>No.</t>
  </si>
  <si>
    <t>Rate</t>
  </si>
  <si>
    <t>Extra
Payment</t>
  </si>
  <si>
    <t>Total Payment</t>
  </si>
  <si>
    <t>Interest
Paid</t>
  </si>
  <si>
    <t>Principal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</si>
</sst>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0_);[Red]\(&quot;$&quot;#,##0\)"/>
    <numFmt numFmtId="44" formatCode="_(&quot;$&quot;* #,##0.00_);_(&quot;$&quot;* \(#,##0.00\);_(&quot;$&quot;* &quot;-&quot;??_);_(@_)"/>
    <numFmt numFmtId="43" formatCode="_(* #,##0.00_);_(* \(#,##0.00\);_(* &quot;-&quot;??_);_(@_)"/>
    <numFmt numFmtId="164" formatCode="&quot;$&quot;#,##0.00"/>
    <numFmt numFmtId="165" formatCode="_(* #,##0_);_(* \(#,##0\);_(* &quot;-&quot;??_);_(@_)"/>
    <numFmt numFmtId="166" formatCode="_(&quot;$&quot;* #,##0_);_(&quot;$&quot;* \(#,##0\);_(&quot;$&quot;* &quot;-&quot;??_);_(@_)"/>
    <numFmt numFmtId="167" formatCode="0.0%"/>
    <numFmt numFmtId="168" formatCode="_(* #,##0.0_);_(* \(#,##0.0\);_(* &quot;-&quot;??_);_(@_)"/>
    <numFmt numFmtId="169" formatCode="#,##0.00;\(#,##0.00\)"/>
  </numFmts>
  <fonts count="87" x14ac:knownFonts="1">
    <font>
      <sz val="8"/>
      <color theme="1" tint="0.1499679555650502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0"/>
      <name val="Arial"/>
      <family val="2"/>
      <scheme val="minor"/>
    </font>
    <font>
      <b/>
      <sz val="9"/>
      <color theme="1" tint="0.34998626667073579"/>
      <name val="Bookman Old Style"/>
      <family val="1"/>
      <scheme val="major"/>
    </font>
    <font>
      <sz val="8"/>
      <color theme="1" tint="0.14996795556505021"/>
      <name val="Arial"/>
      <family val="2"/>
      <scheme val="minor"/>
    </font>
    <font>
      <sz val="28"/>
      <color theme="3" tint="0.39994506668294322"/>
      <name val="Bookman Old Style"/>
      <family val="1"/>
      <scheme val="major"/>
    </font>
    <font>
      <sz val="8"/>
      <color theme="1" tint="0.499984740745262"/>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b/>
      <sz val="11"/>
      <color theme="0"/>
      <name val="Arial"/>
      <family val="2"/>
      <scheme val="minor"/>
    </font>
    <font>
      <b/>
      <sz val="11"/>
      <color theme="1"/>
      <name val="Arial"/>
      <family val="2"/>
      <scheme val="minor"/>
    </font>
    <font>
      <sz val="11"/>
      <color rgb="FF006100"/>
      <name val="Arial"/>
      <family val="2"/>
      <scheme val="minor"/>
    </font>
    <font>
      <sz val="18"/>
      <color theme="3"/>
      <name val="Bookman Old Style"/>
      <family val="2"/>
      <scheme val="major"/>
    </font>
    <font>
      <b/>
      <sz val="11"/>
      <color theme="3"/>
      <name val="Arial"/>
      <family val="2"/>
      <scheme val="minor"/>
    </font>
    <font>
      <sz val="11"/>
      <color rgb="FF9C0006"/>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5"/>
      <color theme="3"/>
      <name val="Arial"/>
      <family val="2"/>
      <scheme val="minor"/>
    </font>
    <font>
      <b/>
      <sz val="13"/>
      <color theme="3"/>
      <name val="Arial"/>
      <family val="2"/>
      <scheme val="minor"/>
    </font>
    <font>
      <sz val="10"/>
      <color theme="1" tint="0.24994659260841701"/>
      <name val="Arial"/>
      <family val="2"/>
      <scheme val="minor"/>
    </font>
    <font>
      <sz val="22"/>
      <color theme="3" tint="0.24994659260841701"/>
      <name val="Bookman Old Style"/>
      <family val="2"/>
      <scheme val="major"/>
    </font>
    <font>
      <sz val="10"/>
      <color theme="0"/>
      <name val="Arial"/>
      <family val="2"/>
      <scheme val="minor"/>
    </font>
    <font>
      <sz val="10"/>
      <color theme="1" tint="0.24994659260841701"/>
      <name val="Bookman Old Style"/>
      <family val="2"/>
      <scheme val="major"/>
    </font>
    <font>
      <b/>
      <sz val="10"/>
      <color theme="1" tint="0.24994659260841701"/>
      <name val="Bookman Old Style"/>
      <family val="2"/>
      <scheme val="major"/>
    </font>
    <font>
      <sz val="10"/>
      <color theme="1" tint="0.14993743705557422"/>
      <name val="Arial"/>
      <family val="2"/>
      <scheme val="minor"/>
    </font>
    <font>
      <sz val="10"/>
      <color rgb="FFF7F7F7"/>
      <name val="Arial"/>
      <family val="2"/>
      <scheme val="minor"/>
    </font>
    <font>
      <sz val="11"/>
      <color rgb="FFF7F7F7"/>
      <name val="Calibri"/>
      <family val="2"/>
    </font>
    <font>
      <b/>
      <sz val="25"/>
      <color rgb="FF000000"/>
      <name val="Gill Sans MT"/>
      <family val="2"/>
    </font>
    <font>
      <sz val="11"/>
      <color theme="1" tint="0.14993743705557422"/>
      <name val="Bookman Old Style"/>
      <family val="2"/>
      <scheme val="major"/>
    </font>
    <font>
      <sz val="11"/>
      <color theme="1" tint="0.34998626667073579"/>
      <name val="Bookman Old Style"/>
      <family val="2"/>
      <scheme val="major"/>
    </font>
    <font>
      <b/>
      <sz val="10"/>
      <color theme="1" tint="0.14990691854609822"/>
      <name val="Bookman Old Style"/>
      <family val="2"/>
      <scheme val="major"/>
    </font>
    <font>
      <b/>
      <sz val="10"/>
      <color theme="4"/>
      <name val="Bookman Old Style"/>
      <family val="2"/>
      <scheme val="major"/>
    </font>
    <font>
      <sz val="10"/>
      <color theme="4" tint="-0.499984740745262"/>
      <name val="Arial"/>
      <family val="2"/>
      <scheme val="minor"/>
    </font>
    <font>
      <b/>
      <sz val="10"/>
      <color theme="5"/>
      <name val="Bookman Old Style"/>
      <family val="2"/>
      <scheme val="major"/>
    </font>
    <font>
      <sz val="10"/>
      <color theme="5" tint="-0.499984740745262"/>
      <name val="Arial"/>
      <family val="2"/>
      <scheme val="minor"/>
    </font>
    <font>
      <sz val="10"/>
      <color theme="4" tint="0.79998168889431442"/>
      <name val="Arial"/>
      <family val="2"/>
      <scheme val="minor"/>
    </font>
    <font>
      <sz val="10"/>
      <color theme="5" tint="0.79998168889431442"/>
      <name val="Arial"/>
      <family val="2"/>
      <scheme val="minor"/>
    </font>
    <font>
      <b/>
      <sz val="10"/>
      <color theme="4"/>
      <name val="Arial"/>
      <family val="2"/>
      <scheme val="minor"/>
    </font>
    <font>
      <b/>
      <sz val="10"/>
      <color theme="5"/>
      <name val="Arial"/>
      <family val="2"/>
      <scheme val="minor"/>
    </font>
    <font>
      <b/>
      <sz val="10"/>
      <color theme="0"/>
      <name val="Bookman Old Style"/>
      <family val="2"/>
      <scheme val="major"/>
    </font>
    <font>
      <b/>
      <sz val="10"/>
      <color theme="1"/>
      <name val="Bookman Old Style"/>
      <family val="2"/>
      <scheme val="major"/>
    </font>
    <font>
      <b/>
      <sz val="10"/>
      <color rgb="FF3F3F3F"/>
      <name val="Arial"/>
      <family val="2"/>
      <scheme val="minor"/>
    </font>
    <font>
      <sz val="10"/>
      <color theme="1" tint="0.14996795556505021"/>
      <name val="Arial"/>
      <family val="2"/>
      <scheme val="minor"/>
    </font>
    <font>
      <i/>
      <sz val="8"/>
      <color theme="1" tint="0.14996795556505021"/>
      <name val="Calibri"/>
      <family val="2"/>
    </font>
    <font>
      <b/>
      <sz val="8"/>
      <color theme="5"/>
      <name val="Bookman Old Style"/>
      <family val="2"/>
      <scheme val="major"/>
    </font>
    <font>
      <b/>
      <sz val="8"/>
      <color theme="4"/>
      <name val="Bookman Old Style"/>
      <family val="2"/>
      <scheme val="major"/>
    </font>
    <font>
      <b/>
      <sz val="8"/>
      <color theme="4"/>
      <name val="Arial"/>
      <family val="2"/>
      <scheme val="minor"/>
    </font>
    <font>
      <b/>
      <sz val="8"/>
      <color theme="5"/>
      <name val="Arial"/>
      <family val="2"/>
      <scheme val="minor"/>
    </font>
    <font>
      <sz val="11"/>
      <color theme="1" tint="0.14996795556505021"/>
      <name val="Arial"/>
      <family val="2"/>
      <scheme val="minor"/>
    </font>
    <font>
      <sz val="10"/>
      <name val="Arial"/>
      <family val="2"/>
    </font>
    <font>
      <b/>
      <sz val="10"/>
      <name val="Arial"/>
      <family val="2"/>
    </font>
    <font>
      <b/>
      <i/>
      <sz val="10"/>
      <name val="Arial"/>
      <family val="2"/>
    </font>
    <font>
      <sz val="9"/>
      <color theme="1" tint="0.14996795556505021"/>
      <name val="Arial"/>
      <family val="2"/>
      <scheme val="minor"/>
    </font>
    <font>
      <sz val="10"/>
      <name val="Tahoma"/>
      <family val="2"/>
    </font>
    <font>
      <b/>
      <sz val="16"/>
      <color indexed="9"/>
      <name val="Arial"/>
      <family val="2"/>
    </font>
    <font>
      <sz val="10"/>
      <color indexed="9"/>
      <name val="Arial"/>
      <family val="2"/>
    </font>
    <font>
      <u/>
      <sz val="10"/>
      <color indexed="12"/>
      <name val="Arial"/>
      <family val="2"/>
    </font>
    <font>
      <u/>
      <sz val="8"/>
      <color indexed="12"/>
      <name val="Arial"/>
      <family val="2"/>
    </font>
    <font>
      <sz val="8"/>
      <name val="Arial"/>
      <family val="2"/>
    </font>
    <font>
      <b/>
      <sz val="12"/>
      <name val="Arial"/>
      <family val="2"/>
    </font>
    <font>
      <sz val="12"/>
      <name val="Arial"/>
      <family val="2"/>
    </font>
    <font>
      <sz val="11"/>
      <name val="Arial"/>
      <family val="2"/>
    </font>
    <font>
      <sz val="6"/>
      <color indexed="47"/>
      <name val="Arial"/>
      <family val="2"/>
    </font>
    <font>
      <b/>
      <sz val="11"/>
      <name val="Arial"/>
      <family val="2"/>
    </font>
    <font>
      <b/>
      <sz val="10"/>
      <color indexed="10"/>
      <name val="Arial"/>
      <family val="2"/>
    </font>
    <font>
      <b/>
      <sz val="9"/>
      <color indexed="81"/>
      <name val="Tahoma"/>
      <family val="2"/>
    </font>
    <font>
      <sz val="9"/>
      <color indexed="81"/>
      <name val="Tahoma"/>
      <family val="2"/>
    </font>
    <font>
      <b/>
      <sz val="12"/>
      <color theme="1"/>
      <name val="Arial"/>
      <family val="2"/>
      <scheme val="minor"/>
    </font>
    <font>
      <sz val="12"/>
      <color theme="1" tint="0.14996795556505021"/>
      <name val="Arial"/>
      <family val="2"/>
      <scheme val="minor"/>
    </font>
    <font>
      <sz val="12"/>
      <color theme="1"/>
      <name val="Arial"/>
      <family val="2"/>
      <scheme val="minor"/>
    </font>
  </fonts>
  <fills count="58">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C6EFCE"/>
      </patternFill>
    </fill>
    <fill>
      <patternFill patternType="solid">
        <fgColor theme="8"/>
        <bgColor indexed="64"/>
      </patternFill>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33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6" tint="-0.249977111117893"/>
        <bgColor indexed="64"/>
      </patternFill>
    </fill>
    <fill>
      <patternFill patternType="solid">
        <fgColor theme="7" tint="0.79998168889431442"/>
        <bgColor indexed="64"/>
      </patternFill>
    </fill>
    <fill>
      <patternFill patternType="solid">
        <fgColor rgb="FFF7F7F7"/>
        <bgColor indexed="64"/>
      </patternFill>
    </fill>
    <fill>
      <patternFill patternType="solid">
        <fgColor theme="4"/>
        <bgColor indexed="64"/>
      </patternFill>
    </fill>
    <fill>
      <patternFill patternType="solid">
        <fgColor theme="0"/>
        <bgColor auto="1"/>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bgColor indexed="64"/>
      </patternFill>
    </fill>
    <fill>
      <patternFill patternType="solid">
        <fgColor theme="1" tint="0.34998626667073579"/>
        <bgColor indexed="64"/>
      </patternFill>
    </fill>
    <fill>
      <patternFill patternType="solid">
        <fgColor rgb="FFCCCCCC"/>
        <bgColor rgb="FFCCCCCC"/>
      </patternFill>
    </fill>
    <fill>
      <patternFill patternType="solid">
        <fgColor theme="9"/>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indexed="22"/>
        <bgColor indexed="64"/>
      </patternFill>
    </fill>
    <fill>
      <patternFill patternType="solid">
        <fgColor indexed="43"/>
        <bgColor indexed="64"/>
      </patternFill>
    </fill>
  </fills>
  <borders count="6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bottom style="medium">
        <color theme="4" tint="-0.24994659260841701"/>
      </bottom>
      <diagonal/>
    </border>
    <border>
      <left/>
      <right/>
      <top/>
      <bottom style="medium">
        <color theme="1"/>
      </bottom>
      <diagonal/>
    </border>
    <border>
      <left style="medium">
        <color theme="4"/>
      </left>
      <right/>
      <top/>
      <bottom style="thick">
        <color theme="0"/>
      </bottom>
      <diagonal/>
    </border>
    <border>
      <left/>
      <right/>
      <top/>
      <bottom style="thick">
        <color theme="0"/>
      </bottom>
      <diagonal/>
    </border>
    <border>
      <left style="thin">
        <color theme="5"/>
      </left>
      <right/>
      <top/>
      <bottom style="thick">
        <color theme="0"/>
      </bottom>
      <diagonal/>
    </border>
    <border>
      <left/>
      <right style="thick">
        <color theme="4"/>
      </right>
      <top/>
      <bottom/>
      <diagonal/>
    </border>
    <border>
      <left style="thick">
        <color theme="4"/>
      </left>
      <right/>
      <top/>
      <bottom style="thick">
        <color theme="0"/>
      </bottom>
      <diagonal/>
    </border>
    <border>
      <left/>
      <right style="medium">
        <color theme="4" tint="0.79998168889431442"/>
      </right>
      <top/>
      <bottom/>
      <diagonal/>
    </border>
    <border>
      <left/>
      <right style="thick">
        <color theme="5"/>
      </right>
      <top/>
      <bottom/>
      <diagonal/>
    </border>
    <border>
      <left/>
      <right style="medium">
        <color theme="5" tint="0.79998168889431442"/>
      </right>
      <top/>
      <bottom/>
      <diagonal/>
    </border>
    <border>
      <left style="thick">
        <color theme="5"/>
      </left>
      <right/>
      <top/>
      <bottom style="thick">
        <color theme="0"/>
      </bottom>
      <diagonal/>
    </border>
    <border>
      <left style="thick">
        <color theme="5"/>
      </left>
      <right/>
      <top/>
      <bottom/>
      <diagonal/>
    </border>
    <border>
      <left style="thick">
        <color theme="4"/>
      </left>
      <right/>
      <top/>
      <bottom/>
      <diagonal/>
    </border>
    <border>
      <left/>
      <right/>
      <top style="thin">
        <color indexed="64"/>
      </top>
      <bottom/>
      <diagonal/>
    </border>
    <border>
      <left style="thin">
        <color rgb="FFB2B2B2"/>
      </left>
      <right style="thin">
        <color rgb="FFB2B2B2"/>
      </right>
      <top style="thin">
        <color indexed="64"/>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rgb="FFB2B2B2"/>
      </right>
      <top style="thin">
        <color rgb="FFB2B2B2"/>
      </top>
      <bottom style="thin">
        <color rgb="FFB2B2B2"/>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B2B2B2"/>
      </right>
      <top style="thin">
        <color rgb="FFB2B2B2"/>
      </top>
      <bottom style="medium">
        <color indexed="64"/>
      </bottom>
      <diagonal/>
    </border>
    <border>
      <left style="thin">
        <color rgb="FFB2B2B2"/>
      </left>
      <right style="thin">
        <color rgb="FFB2B2B2"/>
      </right>
      <top/>
      <bottom style="thin">
        <color rgb="FFB2B2B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right/>
      <top/>
      <bottom style="thin">
        <color indexed="64"/>
      </bottom>
      <diagonal/>
    </border>
  </borders>
  <cellStyleXfs count="273">
    <xf numFmtId="0" fontId="0" fillId="0" borderId="0">
      <alignment vertical="center"/>
    </xf>
    <xf numFmtId="0" fontId="19" fillId="0" borderId="0" applyNumberFormat="0" applyFill="0" applyBorder="0" applyAlignment="0" applyProtection="0"/>
    <xf numFmtId="0" fontId="17" fillId="0" borderId="0" applyNumberFormat="0" applyFill="0" applyBorder="0" applyProtection="0">
      <alignment horizontal="right"/>
    </xf>
    <xf numFmtId="0" fontId="20" fillId="0" borderId="0" applyNumberFormat="0" applyFill="0" applyBorder="0" applyAlignment="0" applyProtection="0"/>
    <xf numFmtId="0" fontId="21" fillId="2" borderId="0" applyNumberFormat="0" applyBorder="0" applyAlignment="0" applyProtection="0"/>
    <xf numFmtId="0" fontId="22" fillId="3" borderId="1" applyNumberFormat="0" applyAlignment="0" applyProtection="0"/>
    <xf numFmtId="0" fontId="23" fillId="4" borderId="2" applyNumberFormat="0" applyAlignment="0" applyProtection="0"/>
    <xf numFmtId="0" fontId="24" fillId="4" borderId="1" applyNumberFormat="0" applyAlignment="0" applyProtection="0"/>
    <xf numFmtId="0" fontId="25" fillId="5" borderId="3" applyNumberFormat="0" applyAlignment="0" applyProtection="0"/>
    <xf numFmtId="0" fontId="27" fillId="7" borderId="0" applyNumberFormat="0" applyBorder="0" applyAlignment="0" applyProtection="0"/>
    <xf numFmtId="43" fontId="15" fillId="0" borderId="0" applyFont="0" applyFill="0" applyBorder="0" applyAlignment="0" applyProtection="0"/>
    <xf numFmtId="0" fontId="15" fillId="0" borderId="0"/>
    <xf numFmtId="0" fontId="28" fillId="0" borderId="0" applyNumberFormat="0" applyFill="0" applyBorder="0" applyAlignment="0" applyProtection="0"/>
    <xf numFmtId="0" fontId="29" fillId="0" borderId="0" applyNumberFormat="0" applyFill="0" applyBorder="0" applyAlignment="0" applyProtection="0"/>
    <xf numFmtId="0" fontId="30" fillId="9" borderId="0" applyNumberFormat="0" applyBorder="0" applyAlignment="0" applyProtection="0"/>
    <xf numFmtId="0" fontId="31" fillId="0" borderId="6" applyNumberFormat="0" applyFill="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6" fillId="0" borderId="7" applyNumberFormat="0" applyFill="0" applyAlignment="0" applyProtection="0"/>
    <xf numFmtId="0" fontId="16"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6"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6"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6"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6"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6"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0" borderId="0"/>
    <xf numFmtId="0" fontId="34" fillId="0" borderId="8" applyNumberFormat="0" applyFill="0" applyAlignment="0" applyProtection="0"/>
    <xf numFmtId="0" fontId="35" fillId="0" borderId="9" applyNumberFormat="0" applyFill="0" applyAlignment="0" applyProtection="0"/>
    <xf numFmtId="0" fontId="29" fillId="0" borderId="10" applyNumberFormat="0" applyFill="0" applyAlignment="0" applyProtection="0"/>
    <xf numFmtId="0" fontId="14" fillId="6" borderId="4" applyNumberFormat="0" applyFont="0" applyAlignment="0" applyProtection="0"/>
    <xf numFmtId="44" fontId="18" fillId="0" borderId="0" applyFont="0" applyFill="0" applyBorder="0" applyAlignment="0" applyProtection="0"/>
    <xf numFmtId="0" fontId="13" fillId="0" borderId="0"/>
    <xf numFmtId="0" fontId="13" fillId="6" borderId="4"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43" fontId="13" fillId="0" borderId="0" applyFont="0" applyFill="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9" fontId="13" fillId="0" borderId="0" applyFont="0" applyFill="0" applyBorder="0" applyAlignment="0" applyProtection="0"/>
    <xf numFmtId="0" fontId="12" fillId="0" borderId="0"/>
    <xf numFmtId="0" fontId="12" fillId="6" borderId="4"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1" fillId="0" borderId="0"/>
    <xf numFmtId="0" fontId="11" fillId="6" borderId="4"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0" fillId="0" borderId="0"/>
    <xf numFmtId="0" fontId="10" fillId="6" borderId="4"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9" fillId="0" borderId="0"/>
    <xf numFmtId="0" fontId="9" fillId="6" borderId="4"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8" fillId="0" borderId="0"/>
    <xf numFmtId="0" fontId="8" fillId="6" borderId="4"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43" fontId="18" fillId="0" borderId="0" applyFont="0" applyFill="0" applyBorder="0" applyAlignment="0" applyProtection="0"/>
    <xf numFmtId="0" fontId="7" fillId="0" borderId="0"/>
    <xf numFmtId="0" fontId="36" fillId="0" borderId="0"/>
    <xf numFmtId="0" fontId="37" fillId="0" borderId="22" applyNumberFormat="0" applyFill="0" applyAlignment="0" applyProtection="0"/>
    <xf numFmtId="0" fontId="39" fillId="0" borderId="9" applyNumberFormat="0" applyFill="0" applyBorder="0" applyAlignment="0" applyProtection="0"/>
    <xf numFmtId="0" fontId="40" fillId="0" borderId="10" applyNumberFormat="0" applyFill="0" applyBorder="0" applyAlignment="0" applyProtection="0"/>
    <xf numFmtId="0" fontId="41" fillId="42" borderId="0">
      <alignment vertical="center"/>
    </xf>
    <xf numFmtId="0" fontId="45" fillId="0" borderId="22" applyNumberFormat="0" applyFill="0" applyProtection="0">
      <alignment vertical="center"/>
    </xf>
    <xf numFmtId="0" fontId="47" fillId="44" borderId="0" applyNumberFormat="0" applyProtection="0">
      <alignment horizontal="left" vertical="center" indent="1"/>
    </xf>
    <xf numFmtId="9" fontId="18" fillId="0" borderId="0" applyFont="0" applyFill="0" applyBorder="0" applyAlignment="0" applyProtection="0"/>
    <xf numFmtId="0" fontId="5" fillId="0" borderId="0"/>
    <xf numFmtId="0" fontId="5" fillId="6" borderId="4"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4" fillId="0" borderId="0"/>
    <xf numFmtId="0" fontId="4" fillId="6" borderId="4"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3" fillId="0" borderId="0"/>
    <xf numFmtId="0" fontId="3" fillId="6" borderId="4"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2" fillId="0" borderId="0"/>
    <xf numFmtId="0" fontId="2" fillId="6" borderId="4"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66" fillId="0" borderId="0"/>
    <xf numFmtId="43" fontId="66" fillId="0" borderId="0" applyFont="0" applyFill="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44" fontId="66" fillId="0" borderId="0" applyFont="0" applyFill="0" applyBorder="0" applyAlignment="0" applyProtection="0"/>
    <xf numFmtId="0" fontId="1" fillId="19" borderId="0" applyNumberFormat="0" applyBorder="0" applyAlignment="0" applyProtection="0"/>
    <xf numFmtId="0" fontId="1" fillId="11" borderId="0" applyNumberFormat="0" applyBorder="0" applyAlignment="0" applyProtection="0"/>
    <xf numFmtId="0" fontId="66" fillId="6" borderId="4" applyNumberFormat="0" applyFont="0" applyAlignment="0" applyProtection="0"/>
    <xf numFmtId="9" fontId="66" fillId="0" borderId="0" applyFont="0" applyFill="0" applyBorder="0" applyAlignment="0" applyProtection="0"/>
    <xf numFmtId="0" fontId="70" fillId="0" borderId="0"/>
    <xf numFmtId="0" fontId="73" fillId="0" borderId="0" applyNumberFormat="0" applyFill="0" applyBorder="0" applyAlignment="0" applyProtection="0">
      <alignment vertical="top"/>
      <protection locked="0"/>
    </xf>
  </cellStyleXfs>
  <cellXfs count="328">
    <xf numFmtId="0" fontId="0" fillId="0" borderId="0" xfId="0">
      <alignment vertical="center"/>
    </xf>
    <xf numFmtId="14" fontId="0" fillId="0" borderId="0" xfId="0" applyNumberFormat="1">
      <alignment vertical="center"/>
    </xf>
    <xf numFmtId="0" fontId="0" fillId="0" borderId="0" xfId="0" applyAlignment="1">
      <alignment horizontal="center" vertical="center"/>
    </xf>
    <xf numFmtId="0" fontId="15" fillId="0" borderId="0" xfId="11"/>
    <xf numFmtId="164" fontId="15" fillId="0" borderId="0" xfId="11" applyNumberFormat="1"/>
    <xf numFmtId="0" fontId="25" fillId="5" borderId="3" xfId="8"/>
    <xf numFmtId="0" fontId="22" fillId="3" borderId="1" xfId="5"/>
    <xf numFmtId="0" fontId="23" fillId="4" borderId="2" xfId="6"/>
    <xf numFmtId="164" fontId="15" fillId="34" borderId="0" xfId="11" applyNumberFormat="1" applyFill="1"/>
    <xf numFmtId="0" fontId="9" fillId="0" borderId="0" xfId="11" applyFont="1"/>
    <xf numFmtId="44" fontId="0" fillId="0" borderId="0" xfId="48" applyFont="1" applyAlignment="1">
      <alignment vertical="center"/>
    </xf>
    <xf numFmtId="0" fontId="8" fillId="0" borderId="0" xfId="11" applyFont="1"/>
    <xf numFmtId="0" fontId="0" fillId="0" borderId="0" xfId="0" applyNumberFormat="1">
      <alignment vertical="center"/>
    </xf>
    <xf numFmtId="1" fontId="0" fillId="0" borderId="0" xfId="48" applyNumberFormat="1" applyFont="1" applyAlignment="1">
      <alignment vertical="center"/>
    </xf>
    <xf numFmtId="0" fontId="0" fillId="0" borderId="0" xfId="0" applyNumberFormat="1" applyAlignment="1">
      <alignment horizontal="center" vertical="center"/>
    </xf>
    <xf numFmtId="44" fontId="0" fillId="0" borderId="0" xfId="0" applyNumberFormat="1">
      <alignment vertical="center"/>
    </xf>
    <xf numFmtId="44" fontId="0" fillId="40" borderId="0" xfId="48" applyFont="1" applyFill="1" applyAlignment="1">
      <alignment vertical="center"/>
    </xf>
    <xf numFmtId="1" fontId="0" fillId="40" borderId="0" xfId="48" applyNumberFormat="1" applyFont="1" applyFill="1" applyAlignment="1">
      <alignment vertical="center"/>
    </xf>
    <xf numFmtId="0" fontId="7" fillId="0" borderId="0" xfId="172"/>
    <xf numFmtId="16" fontId="7" fillId="0" borderId="0" xfId="172" applyNumberFormat="1"/>
    <xf numFmtId="0" fontId="0" fillId="34" borderId="0" xfId="0" applyFill="1">
      <alignment vertical="center"/>
    </xf>
    <xf numFmtId="166" fontId="0" fillId="0" borderId="0" xfId="48" applyNumberFormat="1" applyFont="1" applyAlignment="1">
      <alignment horizontal="center" vertical="center"/>
    </xf>
    <xf numFmtId="14" fontId="0" fillId="0" borderId="0" xfId="0" applyNumberFormat="1" applyAlignment="1">
      <alignment horizontal="center" vertical="center"/>
    </xf>
    <xf numFmtId="166" fontId="0" fillId="0" borderId="0" xfId="0" applyNumberFormat="1">
      <alignment vertical="center"/>
    </xf>
    <xf numFmtId="164" fontId="15" fillId="0" borderId="21" xfId="11" applyNumberFormat="1" applyBorder="1"/>
    <xf numFmtId="0" fontId="7" fillId="0" borderId="0" xfId="11" applyFont="1" applyAlignment="1">
      <alignment horizontal="right"/>
    </xf>
    <xf numFmtId="165" fontId="0" fillId="0" borderId="0" xfId="171" applyNumberFormat="1" applyFont="1" applyAlignment="1">
      <alignment vertical="center"/>
    </xf>
    <xf numFmtId="0" fontId="6" fillId="0" borderId="0" xfId="11" applyFont="1"/>
    <xf numFmtId="0" fontId="42" fillId="42" borderId="0" xfId="177" applyFont="1" applyAlignment="1">
      <alignment wrapText="1"/>
    </xf>
    <xf numFmtId="0" fontId="41" fillId="42" borderId="0" xfId="177">
      <alignment vertical="center"/>
    </xf>
    <xf numFmtId="0" fontId="41" fillId="42" borderId="0" xfId="177" applyAlignment="1">
      <alignment horizontal="right" vertical="center"/>
    </xf>
    <xf numFmtId="0" fontId="43" fillId="42" borderId="0" xfId="177" applyFont="1" applyAlignment="1">
      <alignment vertical="center" wrapText="1"/>
    </xf>
    <xf numFmtId="0" fontId="38" fillId="42" borderId="23" xfId="177" applyFont="1" applyBorder="1">
      <alignment vertical="center"/>
    </xf>
    <xf numFmtId="0" fontId="41" fillId="43" borderId="0" xfId="177" applyFill="1">
      <alignment vertical="center"/>
    </xf>
    <xf numFmtId="0" fontId="46" fillId="0" borderId="0" xfId="178" applyFont="1" applyFill="1" applyBorder="1" applyAlignment="1">
      <alignment horizontal="left" vertical="center" indent="1"/>
    </xf>
    <xf numFmtId="0" fontId="46" fillId="0" borderId="0" xfId="178" applyFont="1" applyFill="1" applyBorder="1" applyAlignment="1">
      <alignment horizontal="right" vertical="center"/>
    </xf>
    <xf numFmtId="0" fontId="48" fillId="0" borderId="0" xfId="179" applyFont="1" applyFill="1">
      <alignment horizontal="left" vertical="center" indent="1"/>
    </xf>
    <xf numFmtId="0" fontId="38" fillId="45" borderId="0" xfId="177" applyFont="1" applyFill="1">
      <alignment vertical="center"/>
    </xf>
    <xf numFmtId="0" fontId="49" fillId="0" borderId="0" xfId="177" applyFont="1" applyFill="1" applyAlignment="1">
      <alignment horizontal="left" vertical="center" indent="1"/>
    </xf>
    <xf numFmtId="164" fontId="49" fillId="0" borderId="0" xfId="177" applyNumberFormat="1" applyFont="1" applyFill="1" applyAlignment="1">
      <alignment horizontal="right" vertical="center"/>
    </xf>
    <xf numFmtId="164" fontId="49" fillId="46" borderId="0" xfId="177" applyNumberFormat="1" applyFont="1" applyFill="1" applyAlignment="1">
      <alignment horizontal="right" vertical="center"/>
    </xf>
    <xf numFmtId="0" fontId="50" fillId="0" borderId="0" xfId="179" applyFont="1" applyFill="1">
      <alignment horizontal="left" vertical="center" indent="1"/>
    </xf>
    <xf numFmtId="0" fontId="51" fillId="0" borderId="0" xfId="177" applyFont="1" applyFill="1" applyAlignment="1">
      <alignment horizontal="left" vertical="center" indent="1"/>
    </xf>
    <xf numFmtId="164" fontId="51" fillId="0" borderId="0" xfId="177" applyNumberFormat="1" applyFont="1" applyFill="1" applyAlignment="1">
      <alignment horizontal="right" vertical="center"/>
    </xf>
    <xf numFmtId="0" fontId="42" fillId="42" borderId="0" xfId="177" applyFont="1" applyAlignment="1">
      <alignment vertical="center" wrapText="1"/>
    </xf>
    <xf numFmtId="0" fontId="41" fillId="42" borderId="27" xfId="177" applyBorder="1">
      <alignment vertical="center"/>
    </xf>
    <xf numFmtId="0" fontId="48" fillId="45" borderId="0" xfId="177" applyFont="1" applyFill="1" applyAlignment="1">
      <alignment horizontal="left" vertical="center" indent="1"/>
    </xf>
    <xf numFmtId="0" fontId="52" fillId="47" borderId="0" xfId="177" applyFont="1" applyFill="1">
      <alignment vertical="center"/>
    </xf>
    <xf numFmtId="0" fontId="41" fillId="45" borderId="0" xfId="177" applyFill="1" applyAlignment="1">
      <alignment horizontal="left" vertical="center" indent="1"/>
    </xf>
    <xf numFmtId="164" fontId="41" fillId="47" borderId="0" xfId="177" applyNumberFormat="1" applyFill="1" applyAlignment="1">
      <alignment horizontal="right" vertical="center"/>
    </xf>
    <xf numFmtId="164" fontId="41" fillId="45" borderId="0" xfId="177" applyNumberFormat="1" applyFill="1" applyAlignment="1">
      <alignment horizontal="right" vertical="center"/>
    </xf>
    <xf numFmtId="164" fontId="41" fillId="46" borderId="0" xfId="177" applyNumberFormat="1" applyFill="1" applyAlignment="1">
      <alignment horizontal="right" vertical="center"/>
    </xf>
    <xf numFmtId="0" fontId="41" fillId="42" borderId="0" xfId="177">
      <alignment vertical="center"/>
    </xf>
    <xf numFmtId="0" fontId="48" fillId="0" borderId="0" xfId="177" applyFont="1" applyFill="1" applyAlignment="1">
      <alignment horizontal="left" vertical="center" indent="1"/>
    </xf>
    <xf numFmtId="0" fontId="52" fillId="47" borderId="29" xfId="177" applyFont="1" applyFill="1" applyBorder="1" applyAlignment="1">
      <alignment horizontal="right" vertical="center"/>
    </xf>
    <xf numFmtId="0" fontId="41" fillId="0" borderId="0" xfId="177" applyFill="1" applyAlignment="1">
      <alignment horizontal="left" vertical="center" indent="1"/>
    </xf>
    <xf numFmtId="164" fontId="41" fillId="0" borderId="0" xfId="177" applyNumberFormat="1" applyFill="1" applyAlignment="1">
      <alignment horizontal="right" vertical="center"/>
    </xf>
    <xf numFmtId="0" fontId="41" fillId="42" borderId="30" xfId="177" applyBorder="1">
      <alignment vertical="center"/>
    </xf>
    <xf numFmtId="0" fontId="50" fillId="0" borderId="0" xfId="177" applyFont="1" applyFill="1" applyAlignment="1">
      <alignment horizontal="left" vertical="center" indent="1"/>
    </xf>
    <xf numFmtId="0" fontId="53" fillId="48" borderId="31" xfId="177" applyFont="1" applyFill="1" applyBorder="1" applyAlignment="1">
      <alignment horizontal="right" vertical="center"/>
    </xf>
    <xf numFmtId="164" fontId="41" fillId="48" borderId="0" xfId="177" applyNumberFormat="1" applyFill="1" applyAlignment="1">
      <alignment horizontal="right" vertical="center"/>
    </xf>
    <xf numFmtId="0" fontId="41" fillId="0" borderId="33" xfId="177" applyFill="1" applyBorder="1" applyAlignment="1">
      <alignment horizontal="left" vertical="center" indent="1"/>
    </xf>
    <xf numFmtId="0" fontId="52" fillId="47" borderId="29" xfId="177" applyFont="1" applyFill="1" applyBorder="1">
      <alignment vertical="center"/>
    </xf>
    <xf numFmtId="0" fontId="41" fillId="0" borderId="34" xfId="177" applyFill="1" applyBorder="1" applyAlignment="1">
      <alignment horizontal="left" vertical="center" indent="1"/>
    </xf>
    <xf numFmtId="0" fontId="54" fillId="0" borderId="0" xfId="177" applyFont="1" applyFill="1" applyAlignment="1">
      <alignment horizontal="left" vertical="center" indent="1"/>
    </xf>
    <xf numFmtId="0" fontId="53" fillId="47" borderId="0" xfId="177" applyFont="1" applyFill="1" applyAlignment="1">
      <alignment horizontal="right" vertical="center"/>
    </xf>
    <xf numFmtId="0" fontId="38" fillId="0" borderId="0" xfId="177" applyFont="1" applyFill="1" applyAlignment="1">
      <alignment horizontal="right" vertical="center"/>
    </xf>
    <xf numFmtId="0" fontId="55" fillId="0" borderId="0" xfId="177" applyFont="1" applyFill="1" applyAlignment="1">
      <alignment horizontal="left" vertical="center" indent="1"/>
    </xf>
    <xf numFmtId="0" fontId="53" fillId="48" borderId="0" xfId="177" applyFont="1" applyFill="1" applyAlignment="1">
      <alignment horizontal="right" vertical="center"/>
    </xf>
    <xf numFmtId="0" fontId="41" fillId="0" borderId="0" xfId="177" applyFill="1" applyAlignment="1">
      <alignment horizontal="left" vertical="center"/>
    </xf>
    <xf numFmtId="0" fontId="56" fillId="50" borderId="0" xfId="179" applyFont="1" applyFill="1">
      <alignment horizontal="left" vertical="center" indent="1"/>
    </xf>
    <xf numFmtId="0" fontId="56" fillId="51" borderId="0" xfId="179" applyFont="1" applyFill="1" applyAlignment="1">
      <alignment horizontal="right" vertical="center"/>
    </xf>
    <xf numFmtId="0" fontId="56" fillId="50" borderId="0" xfId="179" applyFont="1" applyFill="1" applyAlignment="1">
      <alignment horizontal="right" vertical="center"/>
    </xf>
    <xf numFmtId="0" fontId="57" fillId="50" borderId="0" xfId="179" applyFont="1" applyFill="1">
      <alignment horizontal="left" vertical="center" indent="1"/>
    </xf>
    <xf numFmtId="0" fontId="38" fillId="50" borderId="0" xfId="177" applyFont="1" applyFill="1" applyAlignment="1">
      <alignment horizontal="left" vertical="center" indent="1"/>
    </xf>
    <xf numFmtId="164" fontId="38" fillId="51" borderId="0" xfId="177" applyNumberFormat="1" applyFont="1" applyFill="1" applyAlignment="1">
      <alignment horizontal="right" vertical="center"/>
    </xf>
    <xf numFmtId="164" fontId="38" fillId="50" borderId="0" xfId="177" applyNumberFormat="1" applyFont="1" applyFill="1" applyAlignment="1">
      <alignment horizontal="right" vertical="center"/>
    </xf>
    <xf numFmtId="0" fontId="38" fillId="50" borderId="0" xfId="177" applyFont="1" applyFill="1">
      <alignment vertical="center"/>
    </xf>
    <xf numFmtId="0" fontId="38" fillId="51" borderId="0" xfId="177" applyFont="1" applyFill="1">
      <alignment vertical="center"/>
    </xf>
    <xf numFmtId="0" fontId="49" fillId="46" borderId="24" xfId="0" applyNumberFormat="1" applyFont="1" applyFill="1" applyBorder="1" applyAlignment="1" applyProtection="1">
      <alignment horizontal="left" vertical="center" indent="1"/>
    </xf>
    <xf numFmtId="164" fontId="49" fillId="46" borderId="25" xfId="0" applyNumberFormat="1" applyFont="1" applyFill="1" applyBorder="1" applyAlignment="1" applyProtection="1">
      <alignment horizontal="right" vertical="center"/>
    </xf>
    <xf numFmtId="0" fontId="51" fillId="46" borderId="26" xfId="0" applyNumberFormat="1" applyFont="1" applyFill="1" applyBorder="1" applyAlignment="1" applyProtection="1">
      <alignment horizontal="left" vertical="center" indent="1"/>
    </xf>
    <xf numFmtId="164" fontId="51" fillId="46" borderId="25" xfId="0" applyNumberFormat="1" applyFont="1" applyFill="1" applyBorder="1" applyAlignment="1" applyProtection="1">
      <alignment horizontal="right" vertical="center"/>
    </xf>
    <xf numFmtId="0" fontId="51" fillId="46" borderId="25" xfId="0" applyNumberFormat="1" applyFont="1" applyFill="1" applyBorder="1" applyAlignment="1" applyProtection="1">
      <alignment horizontal="right" vertical="center"/>
    </xf>
    <xf numFmtId="9" fontId="41" fillId="42" borderId="0" xfId="180" applyNumberFormat="1" applyFont="1" applyFill="1" applyAlignment="1">
      <alignment vertical="center"/>
    </xf>
    <xf numFmtId="0" fontId="41" fillId="46" borderId="28" xfId="0" applyNumberFormat="1" applyFont="1" applyFill="1" applyBorder="1" applyAlignment="1" applyProtection="1">
      <alignment horizontal="left" vertical="center" indent="1"/>
    </xf>
    <xf numFmtId="164" fontId="41" fillId="35" borderId="25" xfId="0" applyNumberFormat="1" applyFont="1" applyFill="1" applyBorder="1" applyAlignment="1" applyProtection="1">
      <alignment horizontal="right" vertical="center"/>
    </xf>
    <xf numFmtId="164" fontId="41" fillId="46" borderId="25" xfId="0" applyNumberFormat="1" applyFont="1" applyFill="1" applyBorder="1" applyAlignment="1" applyProtection="1">
      <alignment horizontal="right" vertical="center"/>
    </xf>
    <xf numFmtId="0" fontId="41" fillId="46" borderId="25" xfId="0" applyNumberFormat="1" applyFont="1" applyFill="1" applyBorder="1" applyAlignment="1" applyProtection="1">
      <alignment horizontal="right" vertical="center"/>
    </xf>
    <xf numFmtId="44" fontId="59" fillId="0" borderId="0" xfId="48" applyFont="1" applyAlignment="1">
      <alignment vertical="center"/>
    </xf>
    <xf numFmtId="44" fontId="58" fillId="4" borderId="2" xfId="6" applyNumberFormat="1" applyFont="1" applyAlignment="1">
      <alignment vertical="center"/>
    </xf>
    <xf numFmtId="0" fontId="60" fillId="0" borderId="0" xfId="0" applyFont="1">
      <alignment vertical="center"/>
    </xf>
    <xf numFmtId="0" fontId="61" fillId="0" borderId="0" xfId="179" applyFont="1" applyFill="1">
      <alignment horizontal="left" vertical="center" indent="1"/>
    </xf>
    <xf numFmtId="0" fontId="62" fillId="45" borderId="0" xfId="177" applyFont="1" applyFill="1" applyAlignment="1">
      <alignment horizontal="left" vertical="center" indent="1"/>
    </xf>
    <xf numFmtId="0" fontId="62" fillId="0" borderId="0" xfId="177" applyFont="1" applyFill="1" applyAlignment="1">
      <alignment horizontal="left" vertical="center" indent="1"/>
    </xf>
    <xf numFmtId="0" fontId="61" fillId="0" borderId="0" xfId="177" applyFont="1" applyFill="1" applyAlignment="1">
      <alignment horizontal="left" vertical="center" indent="1"/>
    </xf>
    <xf numFmtId="0" fontId="63" fillId="0" borderId="0" xfId="177" applyFont="1" applyFill="1" applyAlignment="1">
      <alignment horizontal="left" vertical="center" indent="1"/>
    </xf>
    <xf numFmtId="0" fontId="64" fillId="0" borderId="0" xfId="177" applyFont="1" applyFill="1" applyAlignment="1">
      <alignment horizontal="left" vertical="center" indent="1"/>
    </xf>
    <xf numFmtId="0" fontId="41" fillId="46" borderId="32" xfId="0" applyNumberFormat="1" applyFont="1" applyFill="1" applyBorder="1" applyAlignment="1" applyProtection="1">
      <alignment horizontal="left" vertical="center" indent="1"/>
    </xf>
    <xf numFmtId="164" fontId="41" fillId="49" borderId="25" xfId="0" applyNumberFormat="1" applyFont="1" applyFill="1" applyBorder="1" applyAlignment="1" applyProtection="1">
      <alignment horizontal="right" vertical="center"/>
    </xf>
    <xf numFmtId="0" fontId="41" fillId="42" borderId="0" xfId="177" applyBorder="1">
      <alignment vertical="center"/>
    </xf>
    <xf numFmtId="43" fontId="0" fillId="0" borderId="0" xfId="171" applyNumberFormat="1" applyFont="1" applyAlignment="1">
      <alignment vertical="center"/>
    </xf>
    <xf numFmtId="0" fontId="65" fillId="6" borderId="4" xfId="182" applyFont="1" applyAlignment="1">
      <alignment horizontal="center" vertical="center"/>
    </xf>
    <xf numFmtId="0" fontId="2" fillId="0" borderId="0" xfId="11" applyFont="1"/>
    <xf numFmtId="0" fontId="65" fillId="6" borderId="4" xfId="182" applyNumberFormat="1" applyFont="1" applyAlignment="1">
      <alignment horizontal="center" vertical="center"/>
    </xf>
    <xf numFmtId="0" fontId="66" fillId="0" borderId="0" xfId="261"/>
    <xf numFmtId="9" fontId="66" fillId="0" borderId="0" xfId="261" applyNumberFormat="1"/>
    <xf numFmtId="166" fontId="66" fillId="0" borderId="0" xfId="261" applyNumberFormat="1"/>
    <xf numFmtId="43" fontId="0" fillId="0" borderId="0" xfId="262" applyFont="1"/>
    <xf numFmtId="44" fontId="66" fillId="0" borderId="0" xfId="261" applyNumberFormat="1"/>
    <xf numFmtId="10" fontId="66" fillId="0" borderId="0" xfId="261" applyNumberFormat="1"/>
    <xf numFmtId="167" fontId="22" fillId="3" borderId="1" xfId="5" applyNumberFormat="1"/>
    <xf numFmtId="0" fontId="1" fillId="23" borderId="35" xfId="263" applyBorder="1"/>
    <xf numFmtId="0" fontId="1" fillId="27" borderId="35" xfId="264" applyBorder="1"/>
    <xf numFmtId="166" fontId="1" fillId="27" borderId="35" xfId="264" applyNumberFormat="1" applyBorder="1" applyAlignment="1">
      <alignment horizontal="left" indent="2"/>
    </xf>
    <xf numFmtId="168" fontId="1" fillId="27" borderId="35" xfId="264" applyNumberFormat="1" applyBorder="1" applyAlignment="1">
      <alignment horizontal="left" indent="2"/>
    </xf>
    <xf numFmtId="166" fontId="1" fillId="31" borderId="35" xfId="265" applyNumberFormat="1" applyBorder="1" applyAlignment="1">
      <alignment horizontal="left" indent="2"/>
    </xf>
    <xf numFmtId="166" fontId="0" fillId="0" borderId="35" xfId="266" applyNumberFormat="1" applyFont="1" applyBorder="1" applyAlignment="1">
      <alignment horizontal="left" indent="2"/>
    </xf>
    <xf numFmtId="166" fontId="1" fillId="23" borderId="35" xfId="263" applyNumberFormat="1" applyBorder="1"/>
    <xf numFmtId="167" fontId="1" fillId="23" borderId="35" xfId="263" applyNumberFormat="1" applyBorder="1"/>
    <xf numFmtId="166" fontId="1" fillId="19" borderId="35" xfId="267" applyNumberFormat="1" applyBorder="1"/>
    <xf numFmtId="44" fontId="1" fillId="11" borderId="35" xfId="268" applyNumberFormat="1" applyBorder="1"/>
    <xf numFmtId="166" fontId="0" fillId="6" borderId="36" xfId="269" applyNumberFormat="1" applyFont="1" applyBorder="1"/>
    <xf numFmtId="43" fontId="0" fillId="0" borderId="35" xfId="262" applyFont="1" applyBorder="1"/>
    <xf numFmtId="166" fontId="66" fillId="0" borderId="35" xfId="261" applyNumberFormat="1" applyBorder="1"/>
    <xf numFmtId="0" fontId="1" fillId="23" borderId="0" xfId="263" applyBorder="1"/>
    <xf numFmtId="166" fontId="1" fillId="27" borderId="0" xfId="266" applyNumberFormat="1" applyFont="1" applyFill="1" applyBorder="1"/>
    <xf numFmtId="166" fontId="1" fillId="27" borderId="0" xfId="264" applyNumberFormat="1" applyBorder="1" applyAlignment="1">
      <alignment horizontal="left" indent="2"/>
    </xf>
    <xf numFmtId="168" fontId="1" fillId="27" borderId="0" xfId="264" applyNumberFormat="1" applyBorder="1" applyAlignment="1">
      <alignment horizontal="left" indent="2"/>
    </xf>
    <xf numFmtId="166" fontId="1" fillId="31" borderId="0" xfId="265" applyNumberFormat="1" applyBorder="1" applyAlignment="1">
      <alignment horizontal="left" indent="2"/>
    </xf>
    <xf numFmtId="166" fontId="0" fillId="0" borderId="0" xfId="266" applyNumberFormat="1" applyFont="1" applyBorder="1" applyAlignment="1">
      <alignment horizontal="left" indent="2"/>
    </xf>
    <xf numFmtId="166" fontId="1" fillId="23" borderId="0" xfId="263" applyNumberFormat="1" applyBorder="1"/>
    <xf numFmtId="167" fontId="1" fillId="23" borderId="0" xfId="263" applyNumberFormat="1" applyBorder="1"/>
    <xf numFmtId="44" fontId="1" fillId="23" borderId="0" xfId="263" applyNumberFormat="1" applyBorder="1"/>
    <xf numFmtId="166" fontId="1" fillId="19" borderId="0" xfId="267" applyNumberFormat="1" applyBorder="1"/>
    <xf numFmtId="44" fontId="1" fillId="11" borderId="0" xfId="268" applyNumberFormat="1" applyBorder="1"/>
    <xf numFmtId="166" fontId="0" fillId="6" borderId="4" xfId="269" applyNumberFormat="1" applyFont="1"/>
    <xf numFmtId="43" fontId="0" fillId="0" borderId="0" xfId="262" applyFont="1" applyBorder="1"/>
    <xf numFmtId="166" fontId="0" fillId="34" borderId="0" xfId="266" applyNumberFormat="1" applyFont="1" applyFill="1" applyBorder="1" applyAlignment="1">
      <alignment horizontal="left" indent="2"/>
    </xf>
    <xf numFmtId="9" fontId="0" fillId="34" borderId="0" xfId="270" applyFont="1" applyFill="1" applyBorder="1"/>
    <xf numFmtId="166" fontId="66" fillId="34" borderId="0" xfId="261" applyNumberFormat="1" applyFill="1"/>
    <xf numFmtId="166" fontId="1" fillId="19" borderId="37" xfId="267" applyNumberFormat="1" applyBorder="1"/>
    <xf numFmtId="166" fontId="1" fillId="19" borderId="38" xfId="267" applyNumberFormat="1" applyBorder="1"/>
    <xf numFmtId="44" fontId="1" fillId="11" borderId="38" xfId="268" applyNumberFormat="1" applyBorder="1"/>
    <xf numFmtId="44" fontId="1" fillId="11" borderId="39" xfId="268" applyNumberFormat="1" applyBorder="1"/>
    <xf numFmtId="166" fontId="0" fillId="6" borderId="40" xfId="269" applyNumberFormat="1" applyFont="1" applyBorder="1"/>
    <xf numFmtId="166" fontId="1" fillId="19" borderId="41" xfId="267" applyNumberFormat="1" applyBorder="1"/>
    <xf numFmtId="44" fontId="1" fillId="11" borderId="42" xfId="268" applyNumberFormat="1" applyBorder="1"/>
    <xf numFmtId="0" fontId="1" fillId="23" borderId="43" xfId="263" applyBorder="1"/>
    <xf numFmtId="166" fontId="1" fillId="27" borderId="43" xfId="266" applyNumberFormat="1" applyFont="1" applyFill="1" applyBorder="1"/>
    <xf numFmtId="166" fontId="1" fillId="27" borderId="43" xfId="264" applyNumberFormat="1" applyBorder="1" applyAlignment="1">
      <alignment horizontal="left" indent="2"/>
    </xf>
    <xf numFmtId="168" fontId="1" fillId="27" borderId="43" xfId="264" applyNumberFormat="1" applyBorder="1" applyAlignment="1">
      <alignment horizontal="left" indent="2"/>
    </xf>
    <xf numFmtId="166" fontId="1" fillId="31" borderId="43" xfId="265" applyNumberFormat="1" applyBorder="1" applyAlignment="1">
      <alignment horizontal="left" indent="2"/>
    </xf>
    <xf numFmtId="166" fontId="0" fillId="0" borderId="43" xfId="266" applyNumberFormat="1" applyFont="1" applyBorder="1" applyAlignment="1">
      <alignment horizontal="left" indent="2"/>
    </xf>
    <xf numFmtId="166" fontId="1" fillId="23" borderId="43" xfId="263" applyNumberFormat="1" applyBorder="1"/>
    <xf numFmtId="167" fontId="1" fillId="23" borderId="43" xfId="263" applyNumberFormat="1" applyBorder="1"/>
    <xf numFmtId="44" fontId="1" fillId="23" borderId="43" xfId="263" applyNumberFormat="1" applyBorder="1"/>
    <xf numFmtId="166" fontId="1" fillId="19" borderId="44" xfId="267" applyNumberFormat="1" applyBorder="1"/>
    <xf numFmtId="166" fontId="1" fillId="19" borderId="43" xfId="267" applyNumberFormat="1" applyBorder="1"/>
    <xf numFmtId="44" fontId="1" fillId="11" borderId="43" xfId="268" applyNumberFormat="1" applyBorder="1"/>
    <xf numFmtId="44" fontId="1" fillId="11" borderId="45" xfId="268" applyNumberFormat="1" applyBorder="1"/>
    <xf numFmtId="166" fontId="0" fillId="6" borderId="46" xfId="269" applyNumberFormat="1" applyFont="1" applyBorder="1"/>
    <xf numFmtId="43" fontId="0" fillId="0" borderId="43" xfId="262" applyFont="1" applyBorder="1"/>
    <xf numFmtId="166" fontId="66" fillId="0" borderId="43" xfId="261" applyNumberFormat="1" applyBorder="1"/>
    <xf numFmtId="166" fontId="0" fillId="0" borderId="0" xfId="266" applyNumberFormat="1" applyFont="1" applyFill="1" applyBorder="1" applyAlignment="1">
      <alignment horizontal="left" indent="2"/>
    </xf>
    <xf numFmtId="9" fontId="0" fillId="6" borderId="47" xfId="269" applyNumberFormat="1" applyFont="1" applyBorder="1"/>
    <xf numFmtId="166" fontId="0" fillId="0" borderId="0" xfId="266" applyNumberFormat="1" applyFont="1"/>
    <xf numFmtId="9" fontId="0" fillId="0" borderId="0" xfId="270" applyFont="1"/>
    <xf numFmtId="0" fontId="66" fillId="0" borderId="0" xfId="261" applyAlignment="1">
      <alignment wrapText="1"/>
    </xf>
    <xf numFmtId="0" fontId="34" fillId="0" borderId="0" xfId="44" applyBorder="1" applyAlignment="1">
      <alignment horizontal="center"/>
    </xf>
    <xf numFmtId="14" fontId="67" fillId="0" borderId="0" xfId="261" applyNumberFormat="1" applyFont="1" applyAlignment="1">
      <alignment horizontal="center" vertical="top" wrapText="1"/>
    </xf>
    <xf numFmtId="0" fontId="67" fillId="0" borderId="0" xfId="261" applyFont="1" applyAlignment="1">
      <alignment horizontal="center" vertical="top" wrapText="1"/>
    </xf>
    <xf numFmtId="0" fontId="68" fillId="52" borderId="0" xfId="261" applyFont="1" applyFill="1" applyAlignment="1">
      <alignment vertical="top"/>
    </xf>
    <xf numFmtId="0" fontId="68" fillId="52" borderId="48" xfId="261" applyFont="1" applyFill="1" applyBorder="1" applyAlignment="1">
      <alignment vertical="top"/>
    </xf>
    <xf numFmtId="169" fontId="68" fillId="52" borderId="0" xfId="261" applyNumberFormat="1" applyFont="1" applyFill="1" applyAlignment="1">
      <alignment horizontal="right" vertical="top"/>
    </xf>
    <xf numFmtId="0" fontId="66" fillId="0" borderId="0" xfId="261" applyAlignment="1">
      <alignment vertical="top"/>
    </xf>
    <xf numFmtId="44" fontId="66" fillId="0" borderId="49" xfId="261" applyNumberFormat="1" applyBorder="1" applyAlignment="1">
      <alignment vertical="top"/>
    </xf>
    <xf numFmtId="44" fontId="0" fillId="0" borderId="0" xfId="266" applyFont="1" applyAlignment="1">
      <alignment horizontal="right" vertical="top"/>
    </xf>
    <xf numFmtId="44" fontId="0" fillId="0" borderId="0" xfId="266" applyFont="1"/>
    <xf numFmtId="0" fontId="68" fillId="52" borderId="49" xfId="261" applyFont="1" applyFill="1" applyBorder="1" applyAlignment="1">
      <alignment vertical="top"/>
    </xf>
    <xf numFmtId="44" fontId="68" fillId="52" borderId="0" xfId="266" applyFont="1" applyFill="1" applyAlignment="1">
      <alignment horizontal="right" vertical="top"/>
    </xf>
    <xf numFmtId="44" fontId="66" fillId="0" borderId="50" xfId="261" applyNumberFormat="1" applyBorder="1" applyAlignment="1">
      <alignment vertical="top"/>
    </xf>
    <xf numFmtId="0" fontId="66" fillId="0" borderId="43" xfId="261" applyBorder="1" applyAlignment="1">
      <alignment vertical="top"/>
    </xf>
    <xf numFmtId="44" fontId="0" fillId="0" borderId="43" xfId="266" applyFont="1" applyBorder="1" applyAlignment="1">
      <alignment horizontal="right" vertical="top"/>
    </xf>
    <xf numFmtId="0" fontId="66" fillId="0" borderId="43" xfId="261" applyBorder="1"/>
    <xf numFmtId="0" fontId="67" fillId="0" borderId="0" xfId="261" applyFont="1" applyAlignment="1">
      <alignment horizontal="right" vertical="top"/>
    </xf>
    <xf numFmtId="0" fontId="67" fillId="0" borderId="43" xfId="261" applyFont="1" applyBorder="1" applyAlignment="1">
      <alignment horizontal="right" vertical="top"/>
    </xf>
    <xf numFmtId="44" fontId="0" fillId="0" borderId="43" xfId="266" applyFont="1" applyBorder="1"/>
    <xf numFmtId="0" fontId="66" fillId="0" borderId="0" xfId="261" applyAlignment="1">
      <alignment horizontal="right" vertical="top"/>
    </xf>
    <xf numFmtId="44" fontId="66" fillId="0" borderId="51" xfId="261" applyNumberFormat="1" applyBorder="1" applyAlignment="1">
      <alignment vertical="top"/>
    </xf>
    <xf numFmtId="0" fontId="66" fillId="0" borderId="52" xfId="261" applyBorder="1" applyAlignment="1">
      <alignment vertical="top"/>
    </xf>
    <xf numFmtId="167" fontId="0" fillId="0" borderId="53" xfId="270" applyNumberFormat="1" applyFont="1" applyBorder="1"/>
    <xf numFmtId="167" fontId="0" fillId="0" borderId="54" xfId="270" applyNumberFormat="1" applyFont="1" applyBorder="1"/>
    <xf numFmtId="167" fontId="0" fillId="0" borderId="55" xfId="270" applyNumberFormat="1" applyFont="1" applyBorder="1"/>
    <xf numFmtId="167" fontId="0" fillId="0" borderId="56" xfId="270" applyNumberFormat="1" applyFont="1" applyBorder="1"/>
    <xf numFmtId="0" fontId="66" fillId="0" borderId="54" xfId="261" applyBorder="1"/>
    <xf numFmtId="167" fontId="0" fillId="0" borderId="57" xfId="270" applyNumberFormat="1" applyFont="1" applyBorder="1"/>
    <xf numFmtId="167" fontId="0" fillId="0" borderId="0" xfId="270" applyNumberFormat="1" applyFont="1" applyAlignment="1"/>
    <xf numFmtId="44" fontId="0" fillId="34" borderId="55" xfId="0" applyNumberFormat="1" applyFill="1" applyBorder="1">
      <alignment vertical="center"/>
    </xf>
    <xf numFmtId="44" fontId="0" fillId="34" borderId="55" xfId="48" applyFont="1" applyFill="1" applyBorder="1" applyAlignment="1">
      <alignment vertical="center"/>
    </xf>
    <xf numFmtId="16" fontId="0" fillId="0" borderId="0" xfId="0" applyNumberFormat="1">
      <alignment vertical="center"/>
    </xf>
    <xf numFmtId="0" fontId="0" fillId="53" borderId="0" xfId="0" applyFill="1">
      <alignment vertical="center"/>
    </xf>
    <xf numFmtId="44" fontId="0" fillId="53" borderId="0" xfId="48" applyFont="1" applyFill="1" applyAlignment="1">
      <alignment vertical="center"/>
    </xf>
    <xf numFmtId="0" fontId="69" fillId="0" borderId="0" xfId="0" applyFont="1">
      <alignment vertical="center"/>
    </xf>
    <xf numFmtId="0" fontId="71" fillId="54" borderId="0" xfId="271" applyFont="1" applyFill="1" applyAlignment="1">
      <alignment horizontal="left" vertical="center"/>
    </xf>
    <xf numFmtId="0" fontId="72" fillId="54" borderId="0" xfId="271" applyFont="1" applyFill="1" applyAlignment="1">
      <alignment horizontal="center"/>
    </xf>
    <xf numFmtId="0" fontId="72" fillId="54" borderId="0" xfId="271" applyFont="1" applyFill="1"/>
    <xf numFmtId="0" fontId="66" fillId="0" borderId="0" xfId="271" applyFont="1"/>
    <xf numFmtId="0" fontId="66" fillId="0" borderId="0" xfId="271" applyFont="1" applyAlignment="1">
      <alignment vertical="center"/>
    </xf>
    <xf numFmtId="0" fontId="75" fillId="0" borderId="0" xfId="271" applyFont="1" applyAlignment="1">
      <alignment horizontal="right" vertical="center"/>
    </xf>
    <xf numFmtId="0" fontId="76" fillId="55" borderId="58" xfId="271" applyFont="1" applyFill="1" applyBorder="1" applyAlignment="1">
      <alignment vertical="center"/>
    </xf>
    <xf numFmtId="0" fontId="76" fillId="55" borderId="58" xfId="271" applyFont="1" applyFill="1" applyBorder="1" applyAlignment="1">
      <alignment horizontal="center" vertical="center"/>
    </xf>
    <xf numFmtId="0" fontId="66" fillId="47" borderId="0" xfId="271" applyFont="1" applyFill="1"/>
    <xf numFmtId="0" fontId="77" fillId="47" borderId="0" xfId="271" applyFont="1" applyFill="1" applyAlignment="1">
      <alignment horizontal="center"/>
    </xf>
    <xf numFmtId="0" fontId="77" fillId="47" borderId="0" xfId="271" applyFont="1" applyFill="1" applyAlignment="1">
      <alignment horizontal="right" indent="1"/>
    </xf>
    <xf numFmtId="43" fontId="77" fillId="0" borderId="59" xfId="262" applyFont="1" applyFill="1" applyBorder="1" applyAlignment="1" applyProtection="1">
      <alignment horizontal="right"/>
      <protection locked="0"/>
    </xf>
    <xf numFmtId="10" fontId="77" fillId="0" borderId="60" xfId="270" applyNumberFormat="1" applyFont="1" applyFill="1" applyBorder="1" applyProtection="1">
      <protection locked="0"/>
    </xf>
    <xf numFmtId="0" fontId="76" fillId="47" borderId="0" xfId="271" applyFont="1" applyFill="1" applyAlignment="1">
      <alignment horizontal="right" indent="1"/>
    </xf>
    <xf numFmtId="0" fontId="76" fillId="47" borderId="0" xfId="271" applyFont="1" applyFill="1" applyAlignment="1">
      <alignment horizontal="center"/>
    </xf>
    <xf numFmtId="10" fontId="78" fillId="0" borderId="60" xfId="266" applyNumberFormat="1" applyFont="1" applyFill="1" applyBorder="1" applyProtection="1">
      <protection locked="0"/>
    </xf>
    <xf numFmtId="10" fontId="78" fillId="0" borderId="60" xfId="266" applyNumberFormat="1" applyFont="1" applyFill="1" applyBorder="1" applyAlignment="1" applyProtection="1">
      <alignment horizontal="center"/>
      <protection locked="0"/>
    </xf>
    <xf numFmtId="0" fontId="79" fillId="47" borderId="0" xfId="271" applyFont="1" applyFill="1" applyAlignment="1">
      <alignment horizontal="right"/>
    </xf>
    <xf numFmtId="43" fontId="78" fillId="0" borderId="60" xfId="262" applyFont="1" applyFill="1" applyBorder="1" applyAlignment="1" applyProtection="1">
      <alignment horizontal="right"/>
      <protection locked="0"/>
    </xf>
    <xf numFmtId="0" fontId="66" fillId="47" borderId="0" xfId="271" applyFont="1" applyFill="1" applyAlignment="1">
      <alignment horizontal="center"/>
    </xf>
    <xf numFmtId="43" fontId="78" fillId="0" borderId="60" xfId="262" applyFont="1" applyFill="1" applyBorder="1" applyProtection="1">
      <protection locked="0"/>
    </xf>
    <xf numFmtId="0" fontId="66" fillId="47" borderId="0" xfId="271" applyFont="1" applyFill="1" applyAlignment="1">
      <alignment vertical="center"/>
    </xf>
    <xf numFmtId="0" fontId="77" fillId="0" borderId="60" xfId="262" applyNumberFormat="1" applyFont="1" applyFill="1" applyBorder="1" applyAlignment="1" applyProtection="1">
      <alignment horizontal="center"/>
      <protection locked="0"/>
    </xf>
    <xf numFmtId="4" fontId="80" fillId="47" borderId="0" xfId="266" applyNumberFormat="1" applyFont="1" applyFill="1" applyBorder="1" applyAlignment="1" applyProtection="1">
      <alignment horizontal="right"/>
    </xf>
    <xf numFmtId="1" fontId="76" fillId="47" borderId="0" xfId="266" applyNumberFormat="1" applyFont="1" applyFill="1" applyBorder="1" applyAlignment="1" applyProtection="1">
      <alignment horizontal="right"/>
    </xf>
    <xf numFmtId="6" fontId="66" fillId="47" borderId="0" xfId="271" applyNumberFormat="1" applyFont="1" applyFill="1" applyAlignment="1">
      <alignment horizontal="left" vertical="center"/>
    </xf>
    <xf numFmtId="0" fontId="72" fillId="0" borderId="0" xfId="271" applyFont="1" applyAlignment="1">
      <alignment horizontal="left"/>
    </xf>
    <xf numFmtId="0" fontId="81" fillId="0" borderId="0" xfId="271" applyFont="1" applyAlignment="1">
      <alignment horizontal="left"/>
    </xf>
    <xf numFmtId="0" fontId="66" fillId="0" borderId="0" xfId="271" applyFont="1" applyAlignment="1">
      <alignment horizontal="center"/>
    </xf>
    <xf numFmtId="0" fontId="66" fillId="0" borderId="0" xfId="271" applyFont="1" applyAlignment="1">
      <alignment horizontal="right"/>
    </xf>
    <xf numFmtId="0" fontId="76" fillId="0" borderId="0" xfId="271" applyFont="1"/>
    <xf numFmtId="0" fontId="76" fillId="0" borderId="0" xfId="271" applyFont="1" applyAlignment="1">
      <alignment horizontal="center"/>
    </xf>
    <xf numFmtId="0" fontId="76" fillId="0" borderId="0" xfId="271" applyFont="1" applyAlignment="1">
      <alignment horizontal="left" indent="1"/>
    </xf>
    <xf numFmtId="0" fontId="75" fillId="0" borderId="0" xfId="271" applyFont="1" applyAlignment="1">
      <alignment horizontal="right"/>
    </xf>
    <xf numFmtId="0" fontId="67" fillId="35" borderId="61" xfId="271" applyFont="1" applyFill="1" applyBorder="1" applyAlignment="1">
      <alignment horizontal="center"/>
    </xf>
    <xf numFmtId="0" fontId="67" fillId="35" borderId="61" xfId="271" applyFont="1" applyFill="1" applyBorder="1" applyAlignment="1">
      <alignment horizontal="center" wrapText="1"/>
    </xf>
    <xf numFmtId="43" fontId="67" fillId="35" borderId="61" xfId="262" applyFont="1" applyFill="1" applyBorder="1" applyAlignment="1">
      <alignment horizontal="center" wrapText="1"/>
    </xf>
    <xf numFmtId="43" fontId="67" fillId="35" borderId="61" xfId="262" applyFont="1" applyFill="1" applyBorder="1" applyAlignment="1">
      <alignment horizontal="center"/>
    </xf>
    <xf numFmtId="0" fontId="66" fillId="56" borderId="0" xfId="271" applyFont="1" applyFill="1" applyAlignment="1">
      <alignment horizontal="center"/>
    </xf>
    <xf numFmtId="43" fontId="66" fillId="56" borderId="0" xfId="262" applyFont="1" applyFill="1"/>
    <xf numFmtId="10" fontId="66" fillId="0" borderId="0" xfId="270" applyNumberFormat="1" applyFont="1" applyAlignment="1">
      <alignment horizontal="center"/>
    </xf>
    <xf numFmtId="43" fontId="66" fillId="0" borderId="0" xfId="262" applyFont="1"/>
    <xf numFmtId="43" fontId="66" fillId="57" borderId="0" xfId="262" applyFont="1" applyFill="1"/>
    <xf numFmtId="0" fontId="66" fillId="56" borderId="0" xfId="271" applyFont="1" applyFill="1"/>
    <xf numFmtId="10" fontId="66" fillId="56" borderId="0" xfId="271" applyNumberFormat="1" applyFont="1" applyFill="1" applyAlignment="1">
      <alignment horizontal="center"/>
    </xf>
    <xf numFmtId="43" fontId="66" fillId="47" borderId="0" xfId="271" applyNumberFormat="1" applyFont="1" applyFill="1"/>
    <xf numFmtId="0" fontId="11" fillId="20" borderId="0" xfId="100" applyAlignment="1">
      <alignment horizontal="center" vertical="center"/>
    </xf>
    <xf numFmtId="0" fontId="10" fillId="15" borderId="0" xfId="116" applyAlignment="1">
      <alignment horizontal="center" vertical="center"/>
    </xf>
    <xf numFmtId="0" fontId="9" fillId="15" borderId="0" xfId="136" applyAlignment="1">
      <alignment horizontal="center" vertical="center"/>
    </xf>
    <xf numFmtId="0" fontId="9" fillId="53" borderId="0" xfId="136" applyFill="1" applyAlignment="1">
      <alignment horizontal="center" vertical="center"/>
    </xf>
    <xf numFmtId="0" fontId="13" fillId="27" borderId="0" xfId="64" applyAlignment="1">
      <alignment horizontal="center" vertical="center"/>
    </xf>
    <xf numFmtId="0" fontId="10" fillId="31" borderId="0" xfId="128" applyAlignment="1">
      <alignment horizontal="center" vertical="center"/>
    </xf>
    <xf numFmtId="0" fontId="8" fillId="16" borderId="0" xfId="157" applyAlignment="1">
      <alignment horizontal="center" vertical="center"/>
    </xf>
    <xf numFmtId="0" fontId="14" fillId="27" borderId="0" xfId="36" applyAlignment="1">
      <alignment horizontal="center" vertical="center"/>
    </xf>
    <xf numFmtId="0" fontId="11" fillId="19" borderId="0" xfId="99" applyAlignment="1">
      <alignment horizontal="center" vertical="center"/>
    </xf>
    <xf numFmtId="0" fontId="12" fillId="11" borderId="0" xfId="73" applyAlignment="1">
      <alignment horizontal="center" vertical="center"/>
    </xf>
    <xf numFmtId="0" fontId="8" fillId="19" borderId="0" xfId="159" applyAlignment="1">
      <alignment horizontal="center" vertical="center"/>
    </xf>
    <xf numFmtId="0" fontId="41" fillId="42" borderId="0" xfId="177">
      <alignment vertical="center"/>
    </xf>
    <xf numFmtId="0" fontId="44" fillId="42" borderId="0" xfId="177" applyFont="1" applyAlignment="1"/>
    <xf numFmtId="0" fontId="41" fillId="42" borderId="23" xfId="177" applyBorder="1" applyAlignment="1">
      <alignment horizontal="center" vertical="center"/>
    </xf>
    <xf numFmtId="0" fontId="74" fillId="0" borderId="0" xfId="272" applyFont="1" applyAlignment="1" applyProtection="1">
      <alignment horizontal="left" vertical="center"/>
    </xf>
    <xf numFmtId="0" fontId="0" fillId="0" borderId="0" xfId="0" applyAlignment="1">
      <alignment horizontal="right" vertical="center"/>
    </xf>
    <xf numFmtId="0" fontId="0" fillId="0" borderId="0" xfId="0" applyAlignment="1">
      <alignment horizontal="center" vertical="center"/>
    </xf>
    <xf numFmtId="1" fontId="84" fillId="0" borderId="5" xfId="10" applyNumberFormat="1" applyFont="1" applyBorder="1" applyAlignment="1">
      <alignment horizontal="center" wrapText="1"/>
    </xf>
    <xf numFmtId="1" fontId="85" fillId="0" borderId="5" xfId="10" applyNumberFormat="1" applyFont="1" applyFill="1" applyBorder="1" applyAlignment="1">
      <alignment horizontal="center" wrapText="1"/>
    </xf>
    <xf numFmtId="1" fontId="85" fillId="0" borderId="11" xfId="10" applyNumberFormat="1" applyFont="1" applyFill="1" applyBorder="1" applyAlignment="1">
      <alignment horizontal="center" wrapText="1"/>
    </xf>
    <xf numFmtId="1" fontId="85" fillId="0" borderId="13" xfId="10" applyNumberFormat="1" applyFont="1" applyFill="1" applyBorder="1" applyAlignment="1">
      <alignment horizontal="center" wrapText="1"/>
    </xf>
    <xf numFmtId="1" fontId="85" fillId="0" borderId="16" xfId="10" applyNumberFormat="1" applyFont="1" applyFill="1" applyBorder="1" applyAlignment="1">
      <alignment horizontal="center" wrapText="1"/>
    </xf>
    <xf numFmtId="1" fontId="85" fillId="0" borderId="18" xfId="10" applyNumberFormat="1" applyFont="1" applyFill="1" applyBorder="1" applyAlignment="1">
      <alignment horizontal="center" wrapText="1"/>
    </xf>
    <xf numFmtId="1" fontId="85" fillId="0" borderId="12" xfId="10" applyNumberFormat="1" applyFont="1" applyFill="1" applyBorder="1" applyAlignment="1">
      <alignment horizontal="center" wrapText="1"/>
    </xf>
    <xf numFmtId="1" fontId="85" fillId="0" borderId="0" xfId="10" applyNumberFormat="1" applyFont="1" applyAlignment="1">
      <alignment horizontal="center"/>
    </xf>
    <xf numFmtId="0" fontId="84" fillId="0" borderId="5" xfId="11" applyFont="1" applyBorder="1" applyAlignment="1">
      <alignment horizontal="center" wrapText="1"/>
    </xf>
    <xf numFmtId="0" fontId="84" fillId="0" borderId="5" xfId="11" applyFont="1" applyBorder="1" applyAlignment="1">
      <alignment horizontal="left" wrapText="1"/>
    </xf>
    <xf numFmtId="164" fontId="84" fillId="0" borderId="5" xfId="11" applyNumberFormat="1" applyFont="1" applyBorder="1" applyAlignment="1">
      <alignment horizontal="center" wrapText="1"/>
    </xf>
    <xf numFmtId="0" fontId="84" fillId="0" borderId="0" xfId="11" applyFont="1" applyBorder="1" applyAlignment="1">
      <alignment horizontal="center" wrapText="1"/>
    </xf>
    <xf numFmtId="14" fontId="86" fillId="38" borderId="5" xfId="11" applyNumberFormat="1" applyFont="1" applyFill="1" applyBorder="1" applyAlignment="1">
      <alignment horizontal="center" wrapText="1"/>
    </xf>
    <xf numFmtId="0" fontId="86" fillId="0" borderId="5" xfId="11" applyFont="1" applyFill="1" applyBorder="1" applyAlignment="1">
      <alignment horizontal="left" wrapText="1"/>
    </xf>
    <xf numFmtId="0" fontId="86" fillId="0" borderId="5" xfId="11" applyFont="1" applyFill="1" applyBorder="1" applyAlignment="1">
      <alignment horizontal="center" wrapText="1"/>
    </xf>
    <xf numFmtId="0" fontId="86" fillId="0" borderId="5" xfId="11" applyFont="1" applyBorder="1" applyAlignment="1">
      <alignment horizontal="center" wrapText="1"/>
    </xf>
    <xf numFmtId="164" fontId="86" fillId="8" borderId="5" xfId="11" applyNumberFormat="1" applyFont="1" applyFill="1" applyBorder="1" applyAlignment="1">
      <alignment horizontal="center" wrapText="1"/>
    </xf>
    <xf numFmtId="164" fontId="86" fillId="0" borderId="5" xfId="11" applyNumberFormat="1" applyFont="1" applyBorder="1" applyAlignment="1">
      <alignment horizontal="center" wrapText="1"/>
    </xf>
    <xf numFmtId="0" fontId="86" fillId="0" borderId="5" xfId="11" applyFont="1" applyFill="1" applyBorder="1" applyAlignment="1">
      <alignment horizontal="left"/>
    </xf>
    <xf numFmtId="1" fontId="85" fillId="0" borderId="5" xfId="10" applyNumberFormat="1" applyFont="1" applyBorder="1" applyAlignment="1">
      <alignment horizontal="center" wrapText="1"/>
    </xf>
    <xf numFmtId="0" fontId="86" fillId="0" borderId="5" xfId="11" applyFont="1" applyBorder="1" applyAlignment="1">
      <alignment horizontal="left" wrapText="1"/>
    </xf>
    <xf numFmtId="1" fontId="85" fillId="0" borderId="11" xfId="10" applyNumberFormat="1" applyFont="1" applyBorder="1" applyAlignment="1">
      <alignment horizontal="center" wrapText="1"/>
    </xf>
    <xf numFmtId="14" fontId="86" fillId="38" borderId="11" xfId="11" applyNumberFormat="1" applyFont="1" applyFill="1" applyBorder="1" applyAlignment="1">
      <alignment horizontal="center" wrapText="1"/>
    </xf>
    <xf numFmtId="0" fontId="86" fillId="0" borderId="11" xfId="11" applyFont="1" applyBorder="1" applyAlignment="1">
      <alignment horizontal="left" wrapText="1"/>
    </xf>
    <xf numFmtId="0" fontId="86" fillId="0" borderId="11" xfId="11" applyFont="1" applyBorder="1" applyAlignment="1">
      <alignment horizontal="center" wrapText="1"/>
    </xf>
    <xf numFmtId="1" fontId="85" fillId="0" borderId="14" xfId="10" applyNumberFormat="1" applyFont="1" applyBorder="1" applyAlignment="1">
      <alignment horizontal="center" wrapText="1"/>
    </xf>
    <xf numFmtId="14" fontId="86" fillId="37" borderId="14" xfId="11" applyNumberFormat="1" applyFont="1" applyFill="1" applyBorder="1" applyAlignment="1">
      <alignment horizontal="center" wrapText="1"/>
    </xf>
    <xf numFmtId="0" fontId="86" fillId="0" borderId="14" xfId="11" applyFont="1" applyBorder="1" applyAlignment="1">
      <alignment horizontal="left" wrapText="1"/>
    </xf>
    <xf numFmtId="0" fontId="86" fillId="0" borderId="14" xfId="11" applyFont="1" applyBorder="1" applyAlignment="1">
      <alignment horizontal="center" wrapText="1"/>
    </xf>
    <xf numFmtId="0" fontId="86" fillId="0" borderId="15" xfId="11" applyFont="1" applyBorder="1" applyAlignment="1">
      <alignment horizontal="center" wrapText="1"/>
    </xf>
    <xf numFmtId="14" fontId="86" fillId="37" borderId="5" xfId="11" applyNumberFormat="1" applyFont="1" applyFill="1" applyBorder="1" applyAlignment="1">
      <alignment horizontal="center" wrapText="1"/>
    </xf>
    <xf numFmtId="0" fontId="86" fillId="0" borderId="17" xfId="11" applyFont="1" applyBorder="1" applyAlignment="1">
      <alignment horizontal="center" wrapText="1"/>
    </xf>
    <xf numFmtId="0" fontId="86" fillId="0" borderId="17" xfId="11" applyFont="1" applyFill="1" applyBorder="1" applyAlignment="1">
      <alignment horizontal="center" wrapText="1"/>
    </xf>
    <xf numFmtId="1" fontId="85" fillId="0" borderId="19" xfId="10" applyNumberFormat="1" applyFont="1" applyBorder="1" applyAlignment="1">
      <alignment horizontal="center" wrapText="1"/>
    </xf>
    <xf numFmtId="14" fontId="86" fillId="37" borderId="19" xfId="11" applyNumberFormat="1" applyFont="1" applyFill="1" applyBorder="1" applyAlignment="1">
      <alignment horizontal="center" wrapText="1"/>
    </xf>
    <xf numFmtId="0" fontId="86" fillId="0" borderId="19" xfId="11" applyFont="1" applyBorder="1" applyAlignment="1">
      <alignment horizontal="left" wrapText="1"/>
    </xf>
    <xf numFmtId="0" fontId="86" fillId="0" borderId="19" xfId="11" applyFont="1" applyBorder="1" applyAlignment="1">
      <alignment horizontal="center" wrapText="1"/>
    </xf>
    <xf numFmtId="0" fontId="86" fillId="0" borderId="20" xfId="11" applyFont="1" applyBorder="1" applyAlignment="1">
      <alignment horizontal="center" wrapText="1"/>
    </xf>
    <xf numFmtId="14" fontId="86" fillId="35" borderId="14" xfId="11" applyNumberFormat="1" applyFont="1" applyFill="1" applyBorder="1" applyAlignment="1">
      <alignment horizontal="center" wrapText="1"/>
    </xf>
    <xf numFmtId="14" fontId="86" fillId="35" borderId="5" xfId="11" applyNumberFormat="1" applyFont="1" applyFill="1" applyBorder="1" applyAlignment="1">
      <alignment horizontal="center" wrapText="1"/>
    </xf>
    <xf numFmtId="4" fontId="86" fillId="0" borderId="5" xfId="11" applyNumberFormat="1" applyFont="1" applyBorder="1" applyAlignment="1">
      <alignment horizontal="center" wrapText="1"/>
    </xf>
    <xf numFmtId="14" fontId="86" fillId="35" borderId="19" xfId="11" applyNumberFormat="1" applyFont="1" applyFill="1" applyBorder="1" applyAlignment="1">
      <alignment horizontal="center" wrapText="1"/>
    </xf>
    <xf numFmtId="1" fontId="85" fillId="0" borderId="12" xfId="10" applyNumberFormat="1" applyFont="1" applyBorder="1" applyAlignment="1">
      <alignment horizontal="center" wrapText="1"/>
    </xf>
    <xf numFmtId="14" fontId="86" fillId="36" borderId="12" xfId="11" applyNumberFormat="1" applyFont="1" applyFill="1" applyBorder="1" applyAlignment="1">
      <alignment horizontal="center" wrapText="1"/>
    </xf>
    <xf numFmtId="0" fontId="86" fillId="0" borderId="12" xfId="11" applyFont="1" applyBorder="1" applyAlignment="1">
      <alignment horizontal="left" wrapText="1"/>
    </xf>
    <xf numFmtId="0" fontId="86" fillId="0" borderId="12" xfId="11" applyFont="1" applyBorder="1" applyAlignment="1">
      <alignment horizontal="center" wrapText="1"/>
    </xf>
    <xf numFmtId="14" fontId="86" fillId="36" borderId="5" xfId="11" applyNumberFormat="1" applyFont="1" applyFill="1" applyBorder="1" applyAlignment="1">
      <alignment horizontal="center" wrapText="1"/>
    </xf>
    <xf numFmtId="14" fontId="86" fillId="39" borderId="5" xfId="11" applyNumberFormat="1" applyFont="1" applyFill="1" applyBorder="1" applyAlignment="1">
      <alignment horizontal="center" wrapText="1"/>
    </xf>
    <xf numFmtId="14" fontId="86" fillId="40" borderId="5" xfId="11" applyNumberFormat="1" applyFont="1" applyFill="1" applyBorder="1" applyAlignment="1">
      <alignment horizontal="center" wrapText="1"/>
    </xf>
    <xf numFmtId="0" fontId="85" fillId="0" borderId="5" xfId="0" applyFont="1" applyBorder="1" applyAlignment="1">
      <alignment wrapText="1"/>
    </xf>
    <xf numFmtId="3" fontId="86" fillId="0" borderId="5" xfId="11" applyNumberFormat="1" applyFont="1" applyBorder="1" applyAlignment="1">
      <alignment horizontal="center" wrapText="1"/>
    </xf>
    <xf numFmtId="14" fontId="86" fillId="41" borderId="5" xfId="11" applyNumberFormat="1" applyFont="1" applyFill="1" applyBorder="1" applyAlignment="1">
      <alignment horizontal="center" wrapText="1"/>
    </xf>
    <xf numFmtId="14" fontId="86" fillId="8" borderId="5" xfId="11" applyNumberFormat="1" applyFont="1" applyFill="1" applyBorder="1" applyAlignment="1">
      <alignment horizontal="center" wrapText="1"/>
    </xf>
    <xf numFmtId="0" fontId="86" fillId="0" borderId="0" xfId="11" applyFont="1" applyAlignment="1">
      <alignment horizontal="center"/>
    </xf>
    <xf numFmtId="14" fontId="86" fillId="47" borderId="5" xfId="11" applyNumberFormat="1" applyFont="1" applyFill="1" applyBorder="1" applyAlignment="1">
      <alignment horizontal="center" wrapText="1"/>
    </xf>
    <xf numFmtId="0" fontId="86" fillId="34" borderId="5" xfId="11" applyFont="1" applyFill="1" applyBorder="1" applyAlignment="1">
      <alignment horizontal="left" wrapText="1"/>
    </xf>
    <xf numFmtId="0" fontId="86" fillId="0" borderId="0" xfId="11" applyFont="1" applyAlignment="1">
      <alignment horizontal="left"/>
    </xf>
    <xf numFmtId="164" fontId="86" fillId="0" borderId="0" xfId="11" applyNumberFormat="1" applyFont="1" applyAlignment="1">
      <alignment horizontal="center"/>
    </xf>
    <xf numFmtId="0" fontId="86" fillId="0" borderId="0" xfId="172" applyFont="1"/>
    <xf numFmtId="14" fontId="86" fillId="0" borderId="0" xfId="172" applyNumberFormat="1" applyFont="1"/>
    <xf numFmtId="44" fontId="86" fillId="0" borderId="0" xfId="48" applyNumberFormat="1" applyFont="1"/>
  </cellXfs>
  <cellStyles count="273">
    <cellStyle name="20% - Accent1" xfId="20" builtinId="30" customBuiltin="1"/>
    <cellStyle name="20% - Accent1 10" xfId="223" xr:uid="{7898E5D3-6C47-4AC2-A685-D675CAA8A4BF}"/>
    <cellStyle name="20% - Accent1 11" xfId="243" xr:uid="{F5F0D01E-8A6D-41B5-99D2-A6AD50DC7BF5}"/>
    <cellStyle name="20% - Accent1 12" xfId="268" xr:uid="{41B9DE4A-EDF6-4F05-9144-9712C0A84103}"/>
    <cellStyle name="20% - Accent1 2" xfId="51" xr:uid="{AC6CF916-620F-472E-B597-581DA2C11C5A}"/>
    <cellStyle name="20% - Accent1 3" xfId="73" xr:uid="{899B7280-6870-4246-9AEA-9718DF678D43}"/>
    <cellStyle name="20% - Accent1 4" xfId="93" xr:uid="{9EFB17A3-B717-436A-8A88-71EA9F0A0682}"/>
    <cellStyle name="20% - Accent1 5" xfId="113" xr:uid="{A4ADEC1D-5570-4C5C-BCE6-B408B914ADA3}"/>
    <cellStyle name="20% - Accent1 6" xfId="133" xr:uid="{2E68E0E6-43DA-40F9-8476-1878E50FEA53}"/>
    <cellStyle name="20% - Accent1 7" xfId="153" xr:uid="{3656ED6D-B43F-48CF-AADD-F64B6285E562}"/>
    <cellStyle name="20% - Accent1 8" xfId="183" xr:uid="{F182FE1C-1761-4035-AA77-65ACFF194C3C}"/>
    <cellStyle name="20% - Accent1 9" xfId="203" xr:uid="{00BD5AE7-FAB2-4C49-A587-67AE459597EF}"/>
    <cellStyle name="20% - Accent2" xfId="24" builtinId="34" customBuiltin="1"/>
    <cellStyle name="20% - Accent2 10" xfId="226" xr:uid="{F17AC633-7368-454C-817E-385E57ADFBEC}"/>
    <cellStyle name="20% - Accent2 11" xfId="246" xr:uid="{B20C0A79-0C2D-44A1-B658-08A1D8E693EF}"/>
    <cellStyle name="20% - Accent2 2" xfId="55" xr:uid="{908BFAED-B094-434A-982B-C6F74F2BBD85}"/>
    <cellStyle name="20% - Accent2 3" xfId="76" xr:uid="{BE449164-AEFB-4DB3-B9D0-07E5E03A05DD}"/>
    <cellStyle name="20% - Accent2 4" xfId="96" xr:uid="{E3F87273-3E34-4E87-9F1D-AB143AE678AB}"/>
    <cellStyle name="20% - Accent2 5" xfId="116" xr:uid="{FD31BDC0-52C5-404C-B5F9-AA6DB24BB6BE}"/>
    <cellStyle name="20% - Accent2 6" xfId="136" xr:uid="{BC6C944E-1394-448F-9719-F9C06E02FC02}"/>
    <cellStyle name="20% - Accent2 7" xfId="156" xr:uid="{6B454BA1-156D-4976-8BBD-9F1862DE95D8}"/>
    <cellStyle name="20% - Accent2 8" xfId="186" xr:uid="{88393005-A20E-47F8-AD17-472019C7B5E7}"/>
    <cellStyle name="20% - Accent2 9" xfId="206" xr:uid="{EEA85E78-9B82-4E03-BE1A-9EF6DD87328D}"/>
    <cellStyle name="20% - Accent3" xfId="28" builtinId="38" customBuiltin="1"/>
    <cellStyle name="20% - Accent3 10" xfId="229" xr:uid="{1D70BF4D-6FB9-482C-B1AB-1A1E3923988E}"/>
    <cellStyle name="20% - Accent3 11" xfId="249" xr:uid="{9D4F1E0D-6951-4B06-9959-25062502CCD6}"/>
    <cellStyle name="20% - Accent3 12" xfId="267" xr:uid="{D2794A98-269C-45DB-B705-D7D8F12CD1CD}"/>
    <cellStyle name="20% - Accent3 2" xfId="58" xr:uid="{9BE4FF85-01A9-47A3-B28C-136C5E670130}"/>
    <cellStyle name="20% - Accent3 3" xfId="79" xr:uid="{BD2A59A5-AA96-4820-B60F-FF9796B2264E}"/>
    <cellStyle name="20% - Accent3 4" xfId="99" xr:uid="{8CA36E65-FDFD-4BDB-9E92-E952BFD1C8BA}"/>
    <cellStyle name="20% - Accent3 5" xfId="119" xr:uid="{B2BD22B7-ABDC-4E70-B09E-4C1CBADCBB1D}"/>
    <cellStyle name="20% - Accent3 6" xfId="139" xr:uid="{A5F8A438-C01F-4D10-83EA-90622EBC0897}"/>
    <cellStyle name="20% - Accent3 7" xfId="159" xr:uid="{2347EF05-52BC-4B2E-95F6-A1E4025D40C5}"/>
    <cellStyle name="20% - Accent3 8" xfId="189" xr:uid="{3652FB76-A3E9-4044-B356-A17FFB4965D4}"/>
    <cellStyle name="20% - Accent3 9" xfId="209" xr:uid="{8189BA2C-12DC-4454-AF85-B60D95328DDC}"/>
    <cellStyle name="20% - Accent4" xfId="32" builtinId="42" customBuiltin="1"/>
    <cellStyle name="20% - Accent4 10" xfId="232" xr:uid="{15E2B677-9B0F-45B1-93C1-8195C97B9656}"/>
    <cellStyle name="20% - Accent4 11" xfId="252" xr:uid="{B03BB0F3-9139-4C52-BC09-53E06BA19B1C}"/>
    <cellStyle name="20% - Accent4 12" xfId="263" xr:uid="{C39E04EC-35F3-43B3-A670-4EF5C6D6DA25}"/>
    <cellStyle name="20% - Accent4 2" xfId="61" xr:uid="{2E197B17-0ABA-437A-AB57-E278DFE29AF8}"/>
    <cellStyle name="20% - Accent4 3" xfId="82" xr:uid="{F8062830-8CCA-486C-9D2B-356CAA158189}"/>
    <cellStyle name="20% - Accent4 4" xfId="102" xr:uid="{60780B65-5161-43AB-A39B-538629A33320}"/>
    <cellStyle name="20% - Accent4 5" xfId="122" xr:uid="{7BFE5C4E-75FB-47EE-AAED-14BEDD32FCD9}"/>
    <cellStyle name="20% - Accent4 6" xfId="142" xr:uid="{B4168C98-D079-43B3-A6A4-ADB1E1938361}"/>
    <cellStyle name="20% - Accent4 7" xfId="162" xr:uid="{E51C8B50-D2FF-466C-8951-E1A25AA0E34B}"/>
    <cellStyle name="20% - Accent4 8" xfId="192" xr:uid="{B295CD79-352F-4A79-89F8-CEC4E4703540}"/>
    <cellStyle name="20% - Accent4 9" xfId="212" xr:uid="{5456F8D9-0857-4E6F-89B0-528FDC6E4056}"/>
    <cellStyle name="20% - Accent5" xfId="36" builtinId="46" customBuiltin="1"/>
    <cellStyle name="20% - Accent5 10" xfId="235" xr:uid="{8BE2A496-3220-4B3F-AAE9-A34D9EC94CEB}"/>
    <cellStyle name="20% - Accent5 11" xfId="255" xr:uid="{7FBA437C-4C83-4D8F-B1F3-C2DA560DD5AB}"/>
    <cellStyle name="20% - Accent5 12" xfId="264" xr:uid="{19D20C5C-954C-461D-85CC-5BD54C962BB2}"/>
    <cellStyle name="20% - Accent5 2" xfId="64" xr:uid="{1A466EAF-C575-4B1B-8898-3CAC73FE2E04}"/>
    <cellStyle name="20% - Accent5 3" xfId="85" xr:uid="{46490DB8-D81B-4DC5-8A04-7C836F883749}"/>
    <cellStyle name="20% - Accent5 4" xfId="105" xr:uid="{B5752BB1-8F74-45FF-AB71-DB48DDD84FC7}"/>
    <cellStyle name="20% - Accent5 5" xfId="125" xr:uid="{96E426E4-95EF-4A3C-A49B-2D09555302A7}"/>
    <cellStyle name="20% - Accent5 6" xfId="145" xr:uid="{942325EF-7DA1-4B2A-B19B-4383BD993248}"/>
    <cellStyle name="20% - Accent5 7" xfId="165" xr:uid="{CB9D6AD5-269B-441C-8C42-C8BE6B7E7587}"/>
    <cellStyle name="20% - Accent5 8" xfId="195" xr:uid="{EB3360D3-768D-4BCC-A52F-A6985364E6F6}"/>
    <cellStyle name="20% - Accent5 9" xfId="215" xr:uid="{DB1CD625-C38E-48E6-836D-524332AB04AE}"/>
    <cellStyle name="20% - Accent6" xfId="40" builtinId="50" customBuiltin="1"/>
    <cellStyle name="20% - Accent6 10" xfId="238" xr:uid="{C11E639A-ED3C-4A44-A479-D4482A858575}"/>
    <cellStyle name="20% - Accent6 11" xfId="258" xr:uid="{09469B3A-5610-4F85-8B60-8ED6AEE9D75F}"/>
    <cellStyle name="20% - Accent6 12" xfId="265" xr:uid="{907599DB-DCC1-4631-84A3-CE8770DBFCC5}"/>
    <cellStyle name="20% - Accent6 2" xfId="67" xr:uid="{6AD081FE-C6BD-40F4-B9E4-8BBF757660FC}"/>
    <cellStyle name="20% - Accent6 3" xfId="88" xr:uid="{0FEED311-67C7-44A4-8B1B-C0F32D9DE93F}"/>
    <cellStyle name="20% - Accent6 4" xfId="108" xr:uid="{D8E93473-C691-4E79-A457-D2969BD92A26}"/>
    <cellStyle name="20% - Accent6 5" xfId="128" xr:uid="{616B3D09-B165-4C54-BE4C-001826D238A9}"/>
    <cellStyle name="20% - Accent6 6" xfId="148" xr:uid="{3A2DBDB8-AF42-4B98-BB89-952C2700223E}"/>
    <cellStyle name="20% - Accent6 7" xfId="168" xr:uid="{6F14017C-C95F-44EA-B9E0-EA046242E1D7}"/>
    <cellStyle name="20% - Accent6 8" xfId="198" xr:uid="{F69D5DB8-08AA-4D11-8101-E8319D26825C}"/>
    <cellStyle name="20% - Accent6 9" xfId="218" xr:uid="{9163927A-42BA-40D4-AB7F-4CC9324ABBCA}"/>
    <cellStyle name="40% - Accent1" xfId="21" builtinId="31" customBuiltin="1"/>
    <cellStyle name="40% - Accent1 10" xfId="224" xr:uid="{141B5AE1-0D40-40CB-90AC-95EB765F653C}"/>
    <cellStyle name="40% - Accent1 11" xfId="244" xr:uid="{9BEEF4B7-BA56-40BC-ABA4-6353E6A805CA}"/>
    <cellStyle name="40% - Accent1 2" xfId="52" xr:uid="{AF7B3029-DCCA-4B95-A923-4E5AA4A1E1AC}"/>
    <cellStyle name="40% - Accent1 3" xfId="74" xr:uid="{9D9B73FF-23C0-4838-8726-6B9D9CEBB8F8}"/>
    <cellStyle name="40% - Accent1 4" xfId="94" xr:uid="{73057112-C1B3-4B5A-A2DA-480CF0F62E0B}"/>
    <cellStyle name="40% - Accent1 5" xfId="114" xr:uid="{45CDC783-7C1D-4336-87F2-FA42F03AB8D5}"/>
    <cellStyle name="40% - Accent1 6" xfId="134" xr:uid="{9EF722FD-4507-4C5C-A263-FE9F5A0F1BFB}"/>
    <cellStyle name="40% - Accent1 7" xfId="154" xr:uid="{5D114AE0-D8EC-4D43-8CD2-540B36882F1D}"/>
    <cellStyle name="40% - Accent1 8" xfId="184" xr:uid="{324F9B98-714A-4768-A9B4-99199767D5A5}"/>
    <cellStyle name="40% - Accent1 9" xfId="204" xr:uid="{1359800E-BEC3-4402-A83A-CD76C2FE25AD}"/>
    <cellStyle name="40% - Accent2" xfId="25" builtinId="35" customBuiltin="1"/>
    <cellStyle name="40% - Accent2 10" xfId="227" xr:uid="{D3374031-E92C-4707-AA01-6FA717590AFF}"/>
    <cellStyle name="40% - Accent2 11" xfId="247" xr:uid="{8331ABE5-4350-4173-8EB6-C9D378626D60}"/>
    <cellStyle name="40% - Accent2 2" xfId="56" xr:uid="{C45F47B7-6B92-4C99-8F66-FF7DE2C38E98}"/>
    <cellStyle name="40% - Accent2 3" xfId="77" xr:uid="{FA261651-80E9-43B4-8543-86F5D718FA1A}"/>
    <cellStyle name="40% - Accent2 4" xfId="97" xr:uid="{2FCC5F3C-48E2-45AF-99C5-9F48C40C5202}"/>
    <cellStyle name="40% - Accent2 5" xfId="117" xr:uid="{F8D1001A-F7F7-4D7A-A9B7-FEA7F34DDCFB}"/>
    <cellStyle name="40% - Accent2 6" xfId="137" xr:uid="{698C383F-0C68-421E-A973-CE9FC69D05F8}"/>
    <cellStyle name="40% - Accent2 7" xfId="157" xr:uid="{5B47FAE6-C57E-429F-9FEC-0A3C2F413FEF}"/>
    <cellStyle name="40% - Accent2 8" xfId="187" xr:uid="{BD4DEB7D-3325-4849-B317-41D5F03D31FE}"/>
    <cellStyle name="40% - Accent2 9" xfId="207" xr:uid="{F4475DD8-84E8-445D-93B1-9AFE64B2F1A7}"/>
    <cellStyle name="40% - Accent3" xfId="29" builtinId="39" customBuiltin="1"/>
    <cellStyle name="40% - Accent3 10" xfId="230" xr:uid="{957A9E01-1524-455E-893F-D27D9812E8DE}"/>
    <cellStyle name="40% - Accent3 11" xfId="250" xr:uid="{F79B57B3-B9DB-4395-9A4C-299D2B7FDB6A}"/>
    <cellStyle name="40% - Accent3 2" xfId="59" xr:uid="{7C2CAC3C-CC7F-4686-871C-469C00CEFDB4}"/>
    <cellStyle name="40% - Accent3 3" xfId="80" xr:uid="{5129EF76-52AD-4FDF-A202-E4EDAFF01D8A}"/>
    <cellStyle name="40% - Accent3 4" xfId="100" xr:uid="{A5123FBF-0B00-4EAA-9834-1FC46D1374C3}"/>
    <cellStyle name="40% - Accent3 5" xfId="120" xr:uid="{98CE651E-A680-4CEF-B5B2-8AAF695EE852}"/>
    <cellStyle name="40% - Accent3 6" xfId="140" xr:uid="{C750557D-F0BA-4865-AA98-72B4E27264FC}"/>
    <cellStyle name="40% - Accent3 7" xfId="160" xr:uid="{267B3191-6FC6-473A-98F7-8DC9640E8959}"/>
    <cellStyle name="40% - Accent3 8" xfId="190" xr:uid="{A43EA8F3-A477-46AB-957D-F0FCAE9DECF8}"/>
    <cellStyle name="40% - Accent3 9" xfId="210" xr:uid="{17B0544C-07F2-441E-B84D-3FFA70BB61FE}"/>
    <cellStyle name="40% - Accent4" xfId="33" builtinId="43" customBuiltin="1"/>
    <cellStyle name="40% - Accent4 10" xfId="233" xr:uid="{2A0F94C0-3B21-4381-B58F-FC003C6A16B8}"/>
    <cellStyle name="40% - Accent4 11" xfId="253" xr:uid="{13FBDE71-3450-4CE5-9736-DF96F8ADBB72}"/>
    <cellStyle name="40% - Accent4 2" xfId="62" xr:uid="{B59BB32B-2002-4891-9DE1-E7ED852F41BC}"/>
    <cellStyle name="40% - Accent4 3" xfId="83" xr:uid="{5C6E4F91-17FC-4476-B32D-2F320B60D284}"/>
    <cellStyle name="40% - Accent4 4" xfId="103" xr:uid="{E88D761F-90EA-4B9B-AD1A-655442376840}"/>
    <cellStyle name="40% - Accent4 5" xfId="123" xr:uid="{705264C0-5477-49C3-BC06-4C32B472CBBE}"/>
    <cellStyle name="40% - Accent4 6" xfId="143" xr:uid="{5A2DEBE2-A9EF-4FFC-9AB7-0DBAFE0FA968}"/>
    <cellStyle name="40% - Accent4 7" xfId="163" xr:uid="{9F80276D-A81F-4243-B275-72523AD48B7F}"/>
    <cellStyle name="40% - Accent4 8" xfId="193" xr:uid="{938A3A7B-E669-4B1C-90AE-75E537E5A0CF}"/>
    <cellStyle name="40% - Accent4 9" xfId="213" xr:uid="{602F9A8B-4DB7-4F80-B754-14123AC135A1}"/>
    <cellStyle name="40% - Accent5" xfId="37" builtinId="47" customBuiltin="1"/>
    <cellStyle name="40% - Accent5 10" xfId="236" xr:uid="{B26A1B2B-B5F2-4FB1-AD6B-F8C05E7404DA}"/>
    <cellStyle name="40% - Accent5 11" xfId="256" xr:uid="{EED92836-255B-43C6-B8E3-D6D2A014CA33}"/>
    <cellStyle name="40% - Accent5 2" xfId="65" xr:uid="{EA7C06BE-56A8-4E6F-A6D7-5F29DDD6F27F}"/>
    <cellStyle name="40% - Accent5 3" xfId="86" xr:uid="{C0127231-50F5-440B-9FED-66560D22A821}"/>
    <cellStyle name="40% - Accent5 4" xfId="106" xr:uid="{1266D9A7-810C-43D2-B781-E0487F4B0AE1}"/>
    <cellStyle name="40% - Accent5 5" xfId="126" xr:uid="{C86CF618-0026-413D-BF44-38375BD54637}"/>
    <cellStyle name="40% - Accent5 6" xfId="146" xr:uid="{48C22F90-1DFD-424D-93FA-75E58C2E7F36}"/>
    <cellStyle name="40% - Accent5 7" xfId="166" xr:uid="{1A7381CC-9D71-422A-8C22-3BA31C8A011D}"/>
    <cellStyle name="40% - Accent5 8" xfId="196" xr:uid="{85C3D79B-6B21-4B9D-BB03-635608B96917}"/>
    <cellStyle name="40% - Accent5 9" xfId="216" xr:uid="{0C8B8D60-FA93-4223-9E80-B25E9021B894}"/>
    <cellStyle name="40% - Accent6" xfId="41" builtinId="51" customBuiltin="1"/>
    <cellStyle name="40% - Accent6 10" xfId="239" xr:uid="{99B7E9BB-34E6-4064-99BB-0BAFCBB9BBB3}"/>
    <cellStyle name="40% - Accent6 11" xfId="259" xr:uid="{797F0108-142E-468E-AAC2-01C4EB9529CE}"/>
    <cellStyle name="40% - Accent6 2" xfId="68" xr:uid="{A3ED663F-1F1F-4E28-83C6-C66B651C0E79}"/>
    <cellStyle name="40% - Accent6 3" xfId="89" xr:uid="{A3AD89DA-153C-419C-A97D-74885F11FC69}"/>
    <cellStyle name="40% - Accent6 4" xfId="109" xr:uid="{B769039C-195A-407E-AA12-A0B7F8A23C42}"/>
    <cellStyle name="40% - Accent6 5" xfId="129" xr:uid="{93AE3FA1-D23E-4ED1-9CA8-8B64E7BE5190}"/>
    <cellStyle name="40% - Accent6 6" xfId="149" xr:uid="{96EDA0AD-5CAE-4BFA-977B-C00150129F61}"/>
    <cellStyle name="40% - Accent6 7" xfId="169" xr:uid="{98F21D6B-DA7D-4359-A33B-D496D3C06B44}"/>
    <cellStyle name="40% - Accent6 8" xfId="199" xr:uid="{C058163E-EF2D-46DB-B8D3-EF62365EF289}"/>
    <cellStyle name="40% - Accent6 9" xfId="219" xr:uid="{00D15ABC-427C-4054-8408-50AE2407B51B}"/>
    <cellStyle name="60% - Accent1" xfId="22" builtinId="32" customBuiltin="1"/>
    <cellStyle name="60% - Accent1 10" xfId="225" xr:uid="{4D5EEB1B-0F02-4606-A044-10070982F321}"/>
    <cellStyle name="60% - Accent1 11" xfId="245" xr:uid="{433F9061-1769-404C-8B56-A619F5EE1F95}"/>
    <cellStyle name="60% - Accent1 2" xfId="53" xr:uid="{DCCA6CCB-4A99-43DE-901B-161B96B9EAFF}"/>
    <cellStyle name="60% - Accent1 3" xfId="75" xr:uid="{D6D47A00-FF45-4761-A2A0-325F9DBDF79C}"/>
    <cellStyle name="60% - Accent1 4" xfId="95" xr:uid="{3BFAC32F-A4C0-4838-97BA-2ADA10302216}"/>
    <cellStyle name="60% - Accent1 5" xfId="115" xr:uid="{C58DF6E1-4B6F-48EE-B0C8-610456B6D71E}"/>
    <cellStyle name="60% - Accent1 6" xfId="135" xr:uid="{0424330E-DD2A-4C76-A711-9957F7CFADED}"/>
    <cellStyle name="60% - Accent1 7" xfId="155" xr:uid="{9945D8B9-063B-4DCF-906E-D688E6C91171}"/>
    <cellStyle name="60% - Accent1 8" xfId="185" xr:uid="{060096D6-0A02-481F-8730-9FB90F6AC40A}"/>
    <cellStyle name="60% - Accent1 9" xfId="205" xr:uid="{B18B8E25-4A13-4468-8A45-449B7AF2F87E}"/>
    <cellStyle name="60% - Accent2" xfId="26" builtinId="36" customBuiltin="1"/>
    <cellStyle name="60% - Accent2 10" xfId="228" xr:uid="{23E27193-1475-484E-B4B4-B2CB47A3F80B}"/>
    <cellStyle name="60% - Accent2 11" xfId="248" xr:uid="{D70B2E40-4593-4122-BD7F-44031AFC5A7C}"/>
    <cellStyle name="60% - Accent2 2" xfId="57" xr:uid="{843F2FDD-86F7-44B4-9366-3317DDF00459}"/>
    <cellStyle name="60% - Accent2 3" xfId="78" xr:uid="{E844A53F-EB56-4919-8193-6DF30792A318}"/>
    <cellStyle name="60% - Accent2 4" xfId="98" xr:uid="{5C7CA6DA-0925-4E54-BA2D-C373EED45D7D}"/>
    <cellStyle name="60% - Accent2 5" xfId="118" xr:uid="{15FA2C83-32B9-458A-AC94-E94A22EDAC6F}"/>
    <cellStyle name="60% - Accent2 6" xfId="138" xr:uid="{B4CCE942-3FF2-4510-9227-8F0357710CAA}"/>
    <cellStyle name="60% - Accent2 7" xfId="158" xr:uid="{2A54AFA9-3B0F-4A20-8459-29E34341B03A}"/>
    <cellStyle name="60% - Accent2 8" xfId="188" xr:uid="{0176870F-6BBB-4F6A-9838-8EA4FA48D104}"/>
    <cellStyle name="60% - Accent2 9" xfId="208" xr:uid="{910956B3-744C-468E-8BE7-D28984AB4E02}"/>
    <cellStyle name="60% - Accent3" xfId="30" builtinId="40" customBuiltin="1"/>
    <cellStyle name="60% - Accent3 10" xfId="231" xr:uid="{99A83600-8DFD-486E-9354-7CE060F40284}"/>
    <cellStyle name="60% - Accent3 11" xfId="251" xr:uid="{6A1DD127-4632-45EE-AF48-C72DEFD97CF7}"/>
    <cellStyle name="60% - Accent3 2" xfId="60" xr:uid="{AF1F8B5E-212D-4C88-8121-2E1528943C0E}"/>
    <cellStyle name="60% - Accent3 3" xfId="81" xr:uid="{A3BCAFDC-6AA0-47A0-A9D0-FF8741DE22E6}"/>
    <cellStyle name="60% - Accent3 4" xfId="101" xr:uid="{7EE28083-695A-4AC4-90CA-73BD3F6EAA9E}"/>
    <cellStyle name="60% - Accent3 5" xfId="121" xr:uid="{0B37BFA1-442D-4963-8921-B0A7346B9C3B}"/>
    <cellStyle name="60% - Accent3 6" xfId="141" xr:uid="{BE6138D1-2ADE-4D57-BB8D-214530FCE4B6}"/>
    <cellStyle name="60% - Accent3 7" xfId="161" xr:uid="{04E9D97D-3F26-4EAA-BBF8-E1EBFC33AF29}"/>
    <cellStyle name="60% - Accent3 8" xfId="191" xr:uid="{A740877E-E931-42A1-A708-F47D7272207E}"/>
    <cellStyle name="60% - Accent3 9" xfId="211" xr:uid="{0E32C6B1-6285-49E8-A743-55DC6329EB50}"/>
    <cellStyle name="60% - Accent4" xfId="34" builtinId="44" customBuiltin="1"/>
    <cellStyle name="60% - Accent4 10" xfId="234" xr:uid="{E2EA4834-212D-4093-87E6-6DB87DCC8B15}"/>
    <cellStyle name="60% - Accent4 11" xfId="254" xr:uid="{6ADE8230-CAEA-4B60-A0FC-F3C9D952B342}"/>
    <cellStyle name="60% - Accent4 2" xfId="63" xr:uid="{EBAB2174-263F-4C54-8F11-A81DC7B64C61}"/>
    <cellStyle name="60% - Accent4 3" xfId="84" xr:uid="{748DF4FE-3366-4BF4-9372-9BB0A6EF2A7E}"/>
    <cellStyle name="60% - Accent4 4" xfId="104" xr:uid="{9B448454-4DFD-4835-AD55-AA22C759F4CD}"/>
    <cellStyle name="60% - Accent4 5" xfId="124" xr:uid="{35303BFE-A63C-46D4-8E1F-8E83048E1AEC}"/>
    <cellStyle name="60% - Accent4 6" xfId="144" xr:uid="{F86A7F01-54B8-457C-B188-922B24004D98}"/>
    <cellStyle name="60% - Accent4 7" xfId="164" xr:uid="{D19A782C-509E-402E-8D19-AD8A254E17BE}"/>
    <cellStyle name="60% - Accent4 8" xfId="194" xr:uid="{B7593354-F6EA-46AE-8952-06A796D9105C}"/>
    <cellStyle name="60% - Accent4 9" xfId="214" xr:uid="{040187D4-AE2F-4A23-AD63-5EF9DAB5C470}"/>
    <cellStyle name="60% - Accent5" xfId="38" builtinId="48" customBuiltin="1"/>
    <cellStyle name="60% - Accent5 10" xfId="237" xr:uid="{2D44EE49-FBE0-4226-A865-E76E5DA0EBFC}"/>
    <cellStyle name="60% - Accent5 11" xfId="257" xr:uid="{3EDC6DB0-1FA7-489F-8DCE-1D18B4A2CE66}"/>
    <cellStyle name="60% - Accent5 2" xfId="66" xr:uid="{95A9E3C4-4DA7-4EEB-BA41-93813FEF6EE1}"/>
    <cellStyle name="60% - Accent5 3" xfId="87" xr:uid="{548BF717-036E-479E-B7C8-7F3B9CB70A5E}"/>
    <cellStyle name="60% - Accent5 4" xfId="107" xr:uid="{254CC87F-7FE3-4707-BBE0-3564EBE604A6}"/>
    <cellStyle name="60% - Accent5 5" xfId="127" xr:uid="{A6EAE11A-1904-4E47-A007-7118B66B4A2B}"/>
    <cellStyle name="60% - Accent5 6" xfId="147" xr:uid="{89EF0F53-4714-4B39-9365-89D44230679F}"/>
    <cellStyle name="60% - Accent5 7" xfId="167" xr:uid="{BCE2D801-B917-422D-A469-189B585D787E}"/>
    <cellStyle name="60% - Accent5 8" xfId="197" xr:uid="{8925079C-F35A-4912-AC1E-DB4FFA97B0CD}"/>
    <cellStyle name="60% - Accent5 9" xfId="217" xr:uid="{9F67F683-CA1F-4EC7-86A2-952BA5D2A348}"/>
    <cellStyle name="60% - Accent6" xfId="42" builtinId="52" customBuiltin="1"/>
    <cellStyle name="60% - Accent6 10" xfId="240" xr:uid="{B0BAD6EB-D78C-4C9F-8507-F7B36E6F4C1E}"/>
    <cellStyle name="60% - Accent6 11" xfId="260" xr:uid="{E9543E3D-D346-4811-8C5A-AC4CD4522B34}"/>
    <cellStyle name="60% - Accent6 2" xfId="69" xr:uid="{A6DD0017-5039-44E6-A33A-6062B1ED12CF}"/>
    <cellStyle name="60% - Accent6 3" xfId="90" xr:uid="{CF9F8510-2C92-4390-A947-C66630356FEF}"/>
    <cellStyle name="60% - Accent6 4" xfId="110" xr:uid="{4C62FF5D-B21C-4744-99D2-8C16221ED6D0}"/>
    <cellStyle name="60% - Accent6 5" xfId="130" xr:uid="{9BB2FF64-61DD-42C4-911E-749807E93BE1}"/>
    <cellStyle name="60% - Accent6 6" xfId="150" xr:uid="{39693420-6131-4FF5-BCE9-D656D06FA9B5}"/>
    <cellStyle name="60% - Accent6 7" xfId="170" xr:uid="{3314F88E-3F96-4E3B-9295-F663E704C0B1}"/>
    <cellStyle name="60% - Accent6 8" xfId="200" xr:uid="{922DE7F6-D5AC-450E-BACA-250AAF0AC290}"/>
    <cellStyle name="60% - Accent6 9" xfId="220" xr:uid="{DB2CF0A2-76A7-4D34-8145-5F20CA5240C3}"/>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14" builtinId="27" customBuiltin="1"/>
    <cellStyle name="Calculation" xfId="7" builtinId="22" customBuiltin="1"/>
    <cellStyle name="Check Cell" xfId="8" builtinId="23" customBuiltin="1"/>
    <cellStyle name="Comma" xfId="171" builtinId="3"/>
    <cellStyle name="Comma 2" xfId="10" xr:uid="{5B94BC65-F29F-414D-B2B0-8ABE0DBB7FEB}"/>
    <cellStyle name="Comma 3" xfId="54" xr:uid="{080F6ACA-71F4-4B6E-B4DC-F28896B8DD07}"/>
    <cellStyle name="Comma 4" xfId="262" xr:uid="{29B2B741-C155-426E-88DE-1F10F1B062A9}"/>
    <cellStyle name="Currency" xfId="48" builtinId="4"/>
    <cellStyle name="Currency 2" xfId="266" xr:uid="{F10F3900-650E-4A50-8990-BF0FCA2FF957}"/>
    <cellStyle name="Explanatory Text" xfId="17" builtinId="53" customBuiltin="1"/>
    <cellStyle name="Good" xfId="9" builtinId="26" customBuiltin="1"/>
    <cellStyle name="Heading 1" xfId="1" builtinId="16" customBuiltin="1"/>
    <cellStyle name="Heading 1 2" xfId="44" xr:uid="{515CC21B-0CF8-4B75-A919-C060C2497E38}"/>
    <cellStyle name="Heading 1 3" xfId="174" xr:uid="{51B938B6-231C-4AB4-8C2D-13643AE57E2E}"/>
    <cellStyle name="Heading 2" xfId="2" builtinId="17" customBuiltin="1"/>
    <cellStyle name="Heading 2 2" xfId="45" xr:uid="{F1CDA043-163B-43A7-B98D-5B4EC59BDDE5}"/>
    <cellStyle name="Heading 2 3" xfId="175" xr:uid="{983E0802-A020-4CF4-B7A0-B0551A9A0779}"/>
    <cellStyle name="Heading 2 4" xfId="178" xr:uid="{B9EF64D0-EAFC-496C-9480-7F68AC3B757D}"/>
    <cellStyle name="Heading 3" xfId="3" builtinId="18" customBuiltin="1"/>
    <cellStyle name="Heading 3 2" xfId="46" xr:uid="{DAAEC63F-5742-4F7A-98E0-D0A336011079}"/>
    <cellStyle name="Heading 3 3" xfId="176" xr:uid="{A7C37346-1CEB-4FA6-A207-DB5E095E1A7F}"/>
    <cellStyle name="Heading 3 4" xfId="179" xr:uid="{282319D5-A9D3-43BB-914D-05BE547E4F93}"/>
    <cellStyle name="Heading 4" xfId="13" builtinId="19" customBuiltin="1"/>
    <cellStyle name="Hyperlink 2" xfId="272" xr:uid="{08649129-470C-4266-8276-6C8B2719ED94}"/>
    <cellStyle name="Input" xfId="5" builtinId="20" customBuiltin="1"/>
    <cellStyle name="Linked Cell" xfId="15" builtinId="24" customBuiltin="1"/>
    <cellStyle name="Neutral" xfId="4" builtinId="28" customBuiltin="1"/>
    <cellStyle name="Normal" xfId="0" builtinId="0" customBuiltin="1"/>
    <cellStyle name="Normal 10" xfId="172" xr:uid="{AB66C06B-49A8-4460-B990-4A5F5113B636}"/>
    <cellStyle name="Normal 11" xfId="173" xr:uid="{672CA4F8-0C63-4C38-8BDF-28920812E640}"/>
    <cellStyle name="Normal 12" xfId="177" xr:uid="{FD8B4820-A504-4DEB-8D0D-6D3E0EF25EE7}"/>
    <cellStyle name="Normal 13" xfId="181" xr:uid="{FE7DA424-DD20-4E3B-BBB0-B9845D124F4E}"/>
    <cellStyle name="Normal 14" xfId="201" xr:uid="{78370850-8DEE-44B9-85B4-55D2EF60B4C8}"/>
    <cellStyle name="Normal 15" xfId="221" xr:uid="{FF428D02-D5D6-44D3-9E14-AC44EF957A53}"/>
    <cellStyle name="Normal 16" xfId="241" xr:uid="{B57C4BE8-5E67-42C3-8D7C-B84D51AE42CF}"/>
    <cellStyle name="Normal 17" xfId="261" xr:uid="{3874CFCB-9F3A-4B5D-9B75-C3A6AE7B1349}"/>
    <cellStyle name="Normal 18" xfId="271" xr:uid="{F0FC6400-F122-45FD-A38A-F9D074564029}"/>
    <cellStyle name="Normal 2" xfId="11" xr:uid="{8201BFBE-54DF-4A30-9C3E-C29D9584BA34}"/>
    <cellStyle name="Normal 3" xfId="43" xr:uid="{9AED5316-76FE-4E65-AFEE-BFA576D59AA3}"/>
    <cellStyle name="Normal 4" xfId="49" xr:uid="{E24268A9-CA9C-4BD2-8663-7B81B3A9032A}"/>
    <cellStyle name="Normal 5" xfId="71" xr:uid="{38AAC85E-7665-43B1-8915-2BD542D05844}"/>
    <cellStyle name="Normal 6" xfId="91" xr:uid="{D72D0690-6727-4277-9C8E-93BC6B3FFBB4}"/>
    <cellStyle name="Normal 7" xfId="111" xr:uid="{E753199F-A225-4FB8-9E73-7F10D8CC5110}"/>
    <cellStyle name="Normal 8" xfId="131" xr:uid="{2577F91C-793A-4C35-AC7B-0273CCAB22E8}"/>
    <cellStyle name="Normal 9" xfId="151" xr:uid="{CCC8F6A8-EA4C-4E51-9502-815C27BD38C8}"/>
    <cellStyle name="Note 10" xfId="202" xr:uid="{96AE3405-8831-47DF-AE45-BB0C7C81100D}"/>
    <cellStyle name="Note 11" xfId="222" xr:uid="{B3DC4046-8554-4E69-A478-E96637162733}"/>
    <cellStyle name="Note 12" xfId="242" xr:uid="{449327E2-BF72-4239-9442-9DD8B3401676}"/>
    <cellStyle name="Note 13" xfId="269" xr:uid="{B641FFAB-F5D2-46F8-B5B8-288D0FBBE089}"/>
    <cellStyle name="Note 2" xfId="47" xr:uid="{F47DFAB6-0B71-47A5-9A05-D11D6B98B308}"/>
    <cellStyle name="Note 3" xfId="50" xr:uid="{2981C335-7BE4-41A3-85FC-6A71C14A8063}"/>
    <cellStyle name="Note 4" xfId="72" xr:uid="{9CA48D43-8C97-4384-88C6-F09F74DA4507}"/>
    <cellStyle name="Note 5" xfId="92" xr:uid="{3B83FDD3-1657-4E6D-925E-B76ECE21AEB2}"/>
    <cellStyle name="Note 6" xfId="112" xr:uid="{66425E75-28AB-4CBA-95A2-67394A4DF630}"/>
    <cellStyle name="Note 7" xfId="132" xr:uid="{7AF16084-3217-48F9-AD0B-69B96727814F}"/>
    <cellStyle name="Note 8" xfId="152" xr:uid="{7487F50D-27E8-45DC-854E-036BEFF0EFD4}"/>
    <cellStyle name="Note 9" xfId="182" xr:uid="{A57D0108-C792-4DB1-B12B-771EB3DC823F}"/>
    <cellStyle name="Output" xfId="6" builtinId="21" customBuiltin="1"/>
    <cellStyle name="Percent" xfId="180" builtinId="5"/>
    <cellStyle name="Percent 2" xfId="70" xr:uid="{83308561-B7BD-4D39-A45D-1FEDB2984E2E}"/>
    <cellStyle name="Percent 3" xfId="270" xr:uid="{B5DC15FD-EE54-425D-A2C5-43D044D36542}"/>
    <cellStyle name="Title" xfId="12" builtinId="15" customBuiltin="1"/>
    <cellStyle name="Total" xfId="18" builtinId="25" customBuiltin="1"/>
    <cellStyle name="Warning Text" xfId="16" builtinId="11" customBuiltin="1"/>
  </cellStyles>
  <dxfs count="323">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left" vertical="center" textRotation="0" wrapText="0" relativeIndent="1" justifyLastLine="0" shrinkToFit="0" readingOrder="0"/>
    </dxf>
    <dxf>
      <font>
        <strike val="0"/>
        <outline val="0"/>
        <shadow val="0"/>
        <u val="none"/>
        <vertAlign val="baseline"/>
        <sz val="10"/>
        <color theme="0"/>
        <family val="2"/>
      </font>
      <fill>
        <patternFill patternType="solid">
          <fgColor indexed="64"/>
          <bgColor theme="1"/>
        </patternFill>
      </fill>
    </dxf>
    <dxf>
      <font>
        <strike val="0"/>
        <outline val="0"/>
        <shadow val="0"/>
        <u val="none"/>
        <vertAlign val="baseline"/>
        <sz val="10"/>
        <color theme="0"/>
        <name val="Bookman Old Style"/>
        <family val="2"/>
        <scheme val="major"/>
      </font>
      <fill>
        <patternFill patternType="solid">
          <fgColor indexed="64"/>
          <bgColor theme="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alignment horizontal="left" vertical="center" textRotation="0" wrapText="0" relative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bgColor auto="1"/>
        </patternFill>
      </fill>
      <alignment horizontal="left" vertical="center" textRotation="0" wrapText="0" relative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bgColor auto="1"/>
        </patternFill>
      </fill>
      <alignment horizontal="left" vertical="center" textRotation="0" wrapText="0" relative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alignment horizontal="left" vertical="center" textRotation="0" wrapText="0" relative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bgColor auto="1"/>
        </patternFill>
      </fill>
    </dxf>
    <dxf>
      <fill>
        <patternFill patternType="none">
          <fgColor indexed="64"/>
          <bgColor theme="0"/>
        </patternFill>
      </fill>
    </dxf>
    <dxf>
      <fill>
        <patternFill patternType="none">
          <bgColor auto="1"/>
        </patternFill>
      </fill>
    </dxf>
    <dxf>
      <font>
        <b val="0"/>
        <i val="0"/>
        <strike val="0"/>
        <condense val="0"/>
        <extend val="0"/>
        <outline val="0"/>
        <shadow val="0"/>
        <u val="none"/>
        <vertAlign val="baseline"/>
        <sz val="10"/>
        <color theme="5" tint="-0.49998474074526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5" tint="-0.49998474074526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n">
          <color theme="5"/>
        </left>
        <right/>
        <top/>
        <bottom style="thick">
          <color theme="0"/>
        </bottom>
      </border>
      <protection locked="1" hidden="0"/>
    </dxf>
    <dxf>
      <font>
        <strike val="0"/>
        <outline val="0"/>
        <shadow val="0"/>
        <u val="none"/>
        <vertAlign val="baseline"/>
        <sz val="10"/>
        <color theme="5" tint="-0.499984740745262"/>
        <name val="Arial"/>
        <family val="2"/>
        <scheme val="minor"/>
      </font>
      <fill>
        <patternFill patternType="none">
          <bgColor auto="1"/>
        </patternFill>
      </fill>
    </dxf>
    <dxf>
      <font>
        <strike val="0"/>
        <outline val="0"/>
        <shadow val="0"/>
        <u val="none"/>
        <vertAlign val="baseline"/>
        <sz val="10"/>
        <color theme="5" tint="-0.499984740745262"/>
        <name val="Arial"/>
        <family val="2"/>
        <scheme val="minor"/>
      </font>
      <fill>
        <patternFill patternType="none">
          <bgColor auto="1"/>
        </patternFill>
      </fill>
    </dxf>
    <dxf>
      <font>
        <strike val="0"/>
        <outline val="0"/>
        <shadow val="0"/>
        <u val="none"/>
        <vertAlign val="baseline"/>
        <sz val="10"/>
        <color theme="5" tint="-0.499984740745262"/>
        <name val="Arial"/>
        <family val="2"/>
        <scheme val="minor"/>
      </font>
      <fill>
        <patternFill patternType="none">
          <bgColor auto="1"/>
        </patternFill>
      </fill>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4" tint="-0.49998474074526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medium">
          <color theme="4"/>
        </left>
        <right/>
        <top/>
        <bottom style="thick">
          <color theme="0"/>
        </bottom>
      </border>
      <protection locked="1" hidden="0"/>
    </dxf>
    <dxf>
      <fill>
        <patternFill patternType="none">
          <bgColor auto="1"/>
        </patternFill>
      </fill>
    </dxf>
    <dxf>
      <font>
        <strike val="0"/>
        <outline val="0"/>
        <shadow val="0"/>
        <u val="none"/>
        <vertAlign val="baseline"/>
        <sz val="10"/>
        <color theme="4" tint="-0.499984740745262"/>
        <name val="Arial"/>
        <family val="2"/>
        <scheme val="minor"/>
      </font>
      <fill>
        <patternFill patternType="none">
          <bgColor auto="1"/>
        </patternFill>
      </fill>
    </dxf>
    <dxf>
      <fill>
        <patternFill patternType="none">
          <bgColor auto="1"/>
        </patternFill>
      </fill>
    </dxf>
    <dxf>
      <font>
        <color rgb="FF9C0006"/>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val="0"/>
        <i val="0"/>
        <color theme="1"/>
      </font>
    </dxf>
    <dxf>
      <font>
        <b/>
        <color theme="1"/>
      </font>
      <border>
        <top style="double">
          <color theme="4"/>
        </top>
      </border>
    </dxf>
    <dxf>
      <font>
        <b/>
        <color theme="0"/>
      </font>
      <fill>
        <patternFill patternType="solid">
          <fgColor theme="4"/>
          <bgColor theme="4"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font>
      <fill>
        <patternFill>
          <bgColor theme="6" tint="-0.499984740745262"/>
        </patternFill>
      </fill>
      <border>
        <top style="thick">
          <color theme="0"/>
        </top>
      </border>
    </dxf>
    <dxf>
      <font>
        <b val="0"/>
        <i val="0"/>
        <color auto="1"/>
      </font>
      <fill>
        <patternFill patternType="none">
          <bgColor auto="1"/>
        </patternFill>
      </fill>
      <border diagonalUp="0" diagonalDown="0">
        <left/>
        <right/>
        <top/>
        <bottom style="thick">
          <color theme="6" tint="-0.499984740745262"/>
        </bottom>
        <vertical/>
        <horizontal/>
      </border>
    </dxf>
  </dxfs>
  <tableStyles count="2" defaultTableStyle="TableStyleMedium2" defaultPivotStyle="PivotStyleLight16">
    <tableStyle name="Investment Tracker Table" pivot="0" count="4" xr9:uid="{585CC81A-2C5B-4FC9-A185-E5BE884EAE18}">
      <tableStyleElement type="wholeTable" dxfId="322"/>
      <tableStyleElement type="headerRow" dxfId="321"/>
      <tableStyleElement type="firstRowStripe" dxfId="320"/>
      <tableStyleElement type="secondRowStripe" dxfId="319"/>
    </tableStyle>
    <tableStyle name="Personal monthly budget" pivot="0" count="7" xr9:uid="{82794595-C99B-4612-A5C2-B9106526DA13}">
      <tableStyleElement type="wholeTable" dxfId="318"/>
      <tableStyleElement type="headerRow" dxfId="317"/>
      <tableStyleElement type="totalRow" dxfId="316"/>
      <tableStyleElement type="firstColumn" dxfId="315"/>
      <tableStyleElement type="lastColumn" dxfId="314"/>
      <tableStyleElement type="firstRowStripe" dxfId="313"/>
      <tableStyleElement type="firstColumnStripe" dxfId="312"/>
    </tableStyle>
  </tableStyles>
  <colors>
    <mruColors>
      <color rgb="FF00CC99"/>
      <color rgb="FFFF3300"/>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Discover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Discover!$I$1</c:f>
              <c:strCache>
                <c:ptCount val="1"/>
                <c:pt idx="0">
                  <c:v>Cumulative</c:v>
                </c:pt>
              </c:strCache>
            </c:strRef>
          </c:tx>
          <c:spPr>
            <a:ln w="28575" cap="rnd">
              <a:solidFill>
                <a:schemeClr val="accent1"/>
              </a:solidFill>
              <a:round/>
            </a:ln>
            <a:effectLst/>
          </c:spPr>
          <c:marker>
            <c:symbol val="none"/>
          </c:marker>
          <c:cat>
            <c:numRef>
              <c:f>Discover!$C$2:$C$776</c:f>
              <c:numCache>
                <c:formatCode>m/d/yyyy</c:formatCode>
                <c:ptCount val="775"/>
                <c:pt idx="0">
                  <c:v>44197</c:v>
                </c:pt>
                <c:pt idx="1">
                  <c:v>44197</c:v>
                </c:pt>
                <c:pt idx="2">
                  <c:v>44197</c:v>
                </c:pt>
                <c:pt idx="3">
                  <c:v>44197</c:v>
                </c:pt>
                <c:pt idx="4">
                  <c:v>44201</c:v>
                </c:pt>
                <c:pt idx="5">
                  <c:v>44201</c:v>
                </c:pt>
                <c:pt idx="6">
                  <c:v>44201</c:v>
                </c:pt>
                <c:pt idx="7">
                  <c:v>44202</c:v>
                </c:pt>
                <c:pt idx="8">
                  <c:v>44202</c:v>
                </c:pt>
                <c:pt idx="9">
                  <c:v>44202</c:v>
                </c:pt>
                <c:pt idx="10">
                  <c:v>44203</c:v>
                </c:pt>
                <c:pt idx="11">
                  <c:v>44203</c:v>
                </c:pt>
                <c:pt idx="12">
                  <c:v>44203</c:v>
                </c:pt>
                <c:pt idx="13">
                  <c:v>44204</c:v>
                </c:pt>
                <c:pt idx="14">
                  <c:v>44204</c:v>
                </c:pt>
                <c:pt idx="15">
                  <c:v>44205</c:v>
                </c:pt>
                <c:pt idx="16">
                  <c:v>44205</c:v>
                </c:pt>
                <c:pt idx="17">
                  <c:v>44206</c:v>
                </c:pt>
                <c:pt idx="18">
                  <c:v>44206</c:v>
                </c:pt>
                <c:pt idx="19">
                  <c:v>44206</c:v>
                </c:pt>
                <c:pt idx="20">
                  <c:v>44206</c:v>
                </c:pt>
                <c:pt idx="21">
                  <c:v>44207</c:v>
                </c:pt>
                <c:pt idx="22">
                  <c:v>44207</c:v>
                </c:pt>
                <c:pt idx="23">
                  <c:v>44208</c:v>
                </c:pt>
                <c:pt idx="24">
                  <c:v>44208</c:v>
                </c:pt>
                <c:pt idx="25">
                  <c:v>44208</c:v>
                </c:pt>
                <c:pt idx="26">
                  <c:v>44211</c:v>
                </c:pt>
                <c:pt idx="27">
                  <c:v>44211</c:v>
                </c:pt>
                <c:pt idx="28">
                  <c:v>44211</c:v>
                </c:pt>
                <c:pt idx="29">
                  <c:v>44211</c:v>
                </c:pt>
                <c:pt idx="30">
                  <c:v>44211</c:v>
                </c:pt>
                <c:pt idx="31">
                  <c:v>44211</c:v>
                </c:pt>
                <c:pt idx="32">
                  <c:v>44212</c:v>
                </c:pt>
                <c:pt idx="33">
                  <c:v>44215</c:v>
                </c:pt>
                <c:pt idx="34">
                  <c:v>44215</c:v>
                </c:pt>
                <c:pt idx="35">
                  <c:v>44215</c:v>
                </c:pt>
                <c:pt idx="36">
                  <c:v>44216</c:v>
                </c:pt>
                <c:pt idx="37">
                  <c:v>44217</c:v>
                </c:pt>
                <c:pt idx="38">
                  <c:v>44217</c:v>
                </c:pt>
                <c:pt idx="39">
                  <c:v>44218</c:v>
                </c:pt>
                <c:pt idx="40">
                  <c:v>44219</c:v>
                </c:pt>
                <c:pt idx="41">
                  <c:v>44219</c:v>
                </c:pt>
                <c:pt idx="42">
                  <c:v>44219</c:v>
                </c:pt>
                <c:pt idx="43">
                  <c:v>44221</c:v>
                </c:pt>
                <c:pt idx="44">
                  <c:v>44221</c:v>
                </c:pt>
                <c:pt idx="45">
                  <c:v>44222</c:v>
                </c:pt>
                <c:pt idx="46">
                  <c:v>44222</c:v>
                </c:pt>
                <c:pt idx="47">
                  <c:v>44223</c:v>
                </c:pt>
                <c:pt idx="48">
                  <c:v>44223</c:v>
                </c:pt>
                <c:pt idx="49">
                  <c:v>44223</c:v>
                </c:pt>
                <c:pt idx="50">
                  <c:v>44224</c:v>
                </c:pt>
                <c:pt idx="51">
                  <c:v>44226</c:v>
                </c:pt>
                <c:pt idx="52">
                  <c:v>44227</c:v>
                </c:pt>
                <c:pt idx="53">
                  <c:v>44227</c:v>
                </c:pt>
                <c:pt idx="54">
                  <c:v>44228</c:v>
                </c:pt>
                <c:pt idx="55">
                  <c:v>44228</c:v>
                </c:pt>
                <c:pt idx="56">
                  <c:v>44228</c:v>
                </c:pt>
                <c:pt idx="57">
                  <c:v>44229</c:v>
                </c:pt>
                <c:pt idx="58">
                  <c:v>44229</c:v>
                </c:pt>
                <c:pt idx="59">
                  <c:v>44230</c:v>
                </c:pt>
                <c:pt idx="60">
                  <c:v>44230</c:v>
                </c:pt>
                <c:pt idx="61">
                  <c:v>44232</c:v>
                </c:pt>
                <c:pt idx="62">
                  <c:v>44232</c:v>
                </c:pt>
                <c:pt idx="63">
                  <c:v>44234</c:v>
                </c:pt>
                <c:pt idx="64">
                  <c:v>44237</c:v>
                </c:pt>
                <c:pt idx="65">
                  <c:v>44237</c:v>
                </c:pt>
                <c:pt idx="66">
                  <c:v>44238</c:v>
                </c:pt>
                <c:pt idx="67">
                  <c:v>44238</c:v>
                </c:pt>
                <c:pt idx="68">
                  <c:v>44238</c:v>
                </c:pt>
                <c:pt idx="69">
                  <c:v>44239</c:v>
                </c:pt>
                <c:pt idx="70">
                  <c:v>44239</c:v>
                </c:pt>
                <c:pt idx="71">
                  <c:v>44239</c:v>
                </c:pt>
                <c:pt idx="72">
                  <c:v>44241</c:v>
                </c:pt>
                <c:pt idx="73">
                  <c:v>44241</c:v>
                </c:pt>
                <c:pt idx="74">
                  <c:v>44241</c:v>
                </c:pt>
                <c:pt idx="75">
                  <c:v>44244</c:v>
                </c:pt>
                <c:pt idx="76">
                  <c:v>44246</c:v>
                </c:pt>
                <c:pt idx="77">
                  <c:v>44247</c:v>
                </c:pt>
                <c:pt idx="78">
                  <c:v>44247</c:v>
                </c:pt>
                <c:pt idx="79">
                  <c:v>44247</c:v>
                </c:pt>
                <c:pt idx="80">
                  <c:v>44247</c:v>
                </c:pt>
                <c:pt idx="81">
                  <c:v>44248</c:v>
                </c:pt>
                <c:pt idx="82">
                  <c:v>44248</c:v>
                </c:pt>
                <c:pt idx="83">
                  <c:v>44248</c:v>
                </c:pt>
                <c:pt idx="84">
                  <c:v>44248</c:v>
                </c:pt>
                <c:pt idx="85">
                  <c:v>44248</c:v>
                </c:pt>
                <c:pt idx="86">
                  <c:v>44248</c:v>
                </c:pt>
                <c:pt idx="87">
                  <c:v>44248</c:v>
                </c:pt>
                <c:pt idx="88">
                  <c:v>44250</c:v>
                </c:pt>
                <c:pt idx="89">
                  <c:v>44251</c:v>
                </c:pt>
                <c:pt idx="90">
                  <c:v>44253</c:v>
                </c:pt>
                <c:pt idx="91">
                  <c:v>44253</c:v>
                </c:pt>
                <c:pt idx="92">
                  <c:v>44253</c:v>
                </c:pt>
                <c:pt idx="93">
                  <c:v>44254</c:v>
                </c:pt>
                <c:pt idx="94">
                  <c:v>44254</c:v>
                </c:pt>
                <c:pt idx="95">
                  <c:v>44254</c:v>
                </c:pt>
                <c:pt idx="96">
                  <c:v>44254</c:v>
                </c:pt>
                <c:pt idx="97">
                  <c:v>44254</c:v>
                </c:pt>
                <c:pt idx="98">
                  <c:v>44255</c:v>
                </c:pt>
                <c:pt idx="99">
                  <c:v>44255</c:v>
                </c:pt>
                <c:pt idx="100">
                  <c:v>44255</c:v>
                </c:pt>
                <c:pt idx="101">
                  <c:v>44255</c:v>
                </c:pt>
                <c:pt idx="102">
                  <c:v>44255</c:v>
                </c:pt>
                <c:pt idx="103">
                  <c:v>44256</c:v>
                </c:pt>
                <c:pt idx="104">
                  <c:v>44256</c:v>
                </c:pt>
                <c:pt idx="105">
                  <c:v>44257</c:v>
                </c:pt>
                <c:pt idx="106">
                  <c:v>44259</c:v>
                </c:pt>
                <c:pt idx="107">
                  <c:v>44260</c:v>
                </c:pt>
                <c:pt idx="108">
                  <c:v>44261</c:v>
                </c:pt>
                <c:pt idx="109">
                  <c:v>44262</c:v>
                </c:pt>
                <c:pt idx="110">
                  <c:v>44262</c:v>
                </c:pt>
                <c:pt idx="111">
                  <c:v>44262</c:v>
                </c:pt>
                <c:pt idx="112">
                  <c:v>44262</c:v>
                </c:pt>
                <c:pt idx="113">
                  <c:v>44262</c:v>
                </c:pt>
                <c:pt idx="114">
                  <c:v>44263</c:v>
                </c:pt>
                <c:pt idx="115">
                  <c:v>44264</c:v>
                </c:pt>
                <c:pt idx="116">
                  <c:v>44264</c:v>
                </c:pt>
                <c:pt idx="117">
                  <c:v>44264</c:v>
                </c:pt>
                <c:pt idx="118">
                  <c:v>44265</c:v>
                </c:pt>
                <c:pt idx="119">
                  <c:v>44265</c:v>
                </c:pt>
                <c:pt idx="120">
                  <c:v>44265</c:v>
                </c:pt>
                <c:pt idx="121">
                  <c:v>44265</c:v>
                </c:pt>
                <c:pt idx="122">
                  <c:v>44265</c:v>
                </c:pt>
                <c:pt idx="123">
                  <c:v>44265</c:v>
                </c:pt>
                <c:pt idx="124">
                  <c:v>44265</c:v>
                </c:pt>
                <c:pt idx="125">
                  <c:v>44266</c:v>
                </c:pt>
                <c:pt idx="126">
                  <c:v>44266</c:v>
                </c:pt>
                <c:pt idx="127">
                  <c:v>44267</c:v>
                </c:pt>
                <c:pt idx="128">
                  <c:v>44267</c:v>
                </c:pt>
                <c:pt idx="129">
                  <c:v>44267</c:v>
                </c:pt>
                <c:pt idx="130">
                  <c:v>44267</c:v>
                </c:pt>
                <c:pt idx="131">
                  <c:v>44267</c:v>
                </c:pt>
                <c:pt idx="132">
                  <c:v>44268</c:v>
                </c:pt>
                <c:pt idx="133">
                  <c:v>44268</c:v>
                </c:pt>
                <c:pt idx="134">
                  <c:v>44268</c:v>
                </c:pt>
                <c:pt idx="135">
                  <c:v>44269</c:v>
                </c:pt>
                <c:pt idx="136">
                  <c:v>44269</c:v>
                </c:pt>
                <c:pt idx="137">
                  <c:v>44269</c:v>
                </c:pt>
                <c:pt idx="138">
                  <c:v>44269</c:v>
                </c:pt>
                <c:pt idx="139">
                  <c:v>44269</c:v>
                </c:pt>
                <c:pt idx="140">
                  <c:v>44270</c:v>
                </c:pt>
                <c:pt idx="141">
                  <c:v>44271</c:v>
                </c:pt>
                <c:pt idx="142">
                  <c:v>44272</c:v>
                </c:pt>
                <c:pt idx="143">
                  <c:v>44272</c:v>
                </c:pt>
                <c:pt idx="144">
                  <c:v>44274</c:v>
                </c:pt>
                <c:pt idx="145">
                  <c:v>44274</c:v>
                </c:pt>
                <c:pt idx="146">
                  <c:v>44274</c:v>
                </c:pt>
                <c:pt idx="147">
                  <c:v>44275</c:v>
                </c:pt>
                <c:pt idx="148">
                  <c:v>44275</c:v>
                </c:pt>
                <c:pt idx="149">
                  <c:v>44275</c:v>
                </c:pt>
                <c:pt idx="150">
                  <c:v>44275</c:v>
                </c:pt>
                <c:pt idx="151">
                  <c:v>44275</c:v>
                </c:pt>
                <c:pt idx="152">
                  <c:v>44276</c:v>
                </c:pt>
                <c:pt idx="153">
                  <c:v>44276</c:v>
                </c:pt>
                <c:pt idx="154">
                  <c:v>44276</c:v>
                </c:pt>
                <c:pt idx="155">
                  <c:v>44276</c:v>
                </c:pt>
                <c:pt idx="156">
                  <c:v>44278</c:v>
                </c:pt>
                <c:pt idx="157">
                  <c:v>44278</c:v>
                </c:pt>
                <c:pt idx="158">
                  <c:v>44280</c:v>
                </c:pt>
                <c:pt idx="159">
                  <c:v>44280</c:v>
                </c:pt>
                <c:pt idx="160">
                  <c:v>44280</c:v>
                </c:pt>
                <c:pt idx="161">
                  <c:v>44281</c:v>
                </c:pt>
                <c:pt idx="162">
                  <c:v>44281</c:v>
                </c:pt>
                <c:pt idx="163">
                  <c:v>44281</c:v>
                </c:pt>
                <c:pt idx="164">
                  <c:v>44281</c:v>
                </c:pt>
                <c:pt idx="165">
                  <c:v>44281</c:v>
                </c:pt>
                <c:pt idx="166">
                  <c:v>44282</c:v>
                </c:pt>
                <c:pt idx="167">
                  <c:v>44282</c:v>
                </c:pt>
                <c:pt idx="168">
                  <c:v>44282</c:v>
                </c:pt>
                <c:pt idx="169">
                  <c:v>44282</c:v>
                </c:pt>
                <c:pt idx="170">
                  <c:v>44282</c:v>
                </c:pt>
                <c:pt idx="171">
                  <c:v>44282</c:v>
                </c:pt>
                <c:pt idx="172">
                  <c:v>44283</c:v>
                </c:pt>
                <c:pt idx="173">
                  <c:v>44283</c:v>
                </c:pt>
                <c:pt idx="174">
                  <c:v>44284</c:v>
                </c:pt>
                <c:pt idx="175">
                  <c:v>44284</c:v>
                </c:pt>
                <c:pt idx="176">
                  <c:v>44286</c:v>
                </c:pt>
                <c:pt idx="177">
                  <c:v>44287</c:v>
                </c:pt>
                <c:pt idx="178">
                  <c:v>44287</c:v>
                </c:pt>
                <c:pt idx="179">
                  <c:v>44288</c:v>
                </c:pt>
                <c:pt idx="180">
                  <c:v>44289</c:v>
                </c:pt>
                <c:pt idx="181">
                  <c:v>44289</c:v>
                </c:pt>
                <c:pt idx="182">
                  <c:v>44289</c:v>
                </c:pt>
                <c:pt idx="183">
                  <c:v>44289</c:v>
                </c:pt>
                <c:pt idx="184">
                  <c:v>44290</c:v>
                </c:pt>
                <c:pt idx="185">
                  <c:v>44290</c:v>
                </c:pt>
                <c:pt idx="186">
                  <c:v>44291</c:v>
                </c:pt>
                <c:pt idx="187">
                  <c:v>44293</c:v>
                </c:pt>
                <c:pt idx="188">
                  <c:v>44293</c:v>
                </c:pt>
                <c:pt idx="189">
                  <c:v>44293</c:v>
                </c:pt>
                <c:pt idx="190">
                  <c:v>44294</c:v>
                </c:pt>
                <c:pt idx="191">
                  <c:v>44295</c:v>
                </c:pt>
                <c:pt idx="192">
                  <c:v>44295</c:v>
                </c:pt>
                <c:pt idx="193">
                  <c:v>44296</c:v>
                </c:pt>
                <c:pt idx="194">
                  <c:v>44296</c:v>
                </c:pt>
                <c:pt idx="195">
                  <c:v>44296</c:v>
                </c:pt>
                <c:pt idx="196">
                  <c:v>44296</c:v>
                </c:pt>
                <c:pt idx="197">
                  <c:v>44297</c:v>
                </c:pt>
                <c:pt idx="198">
                  <c:v>44298</c:v>
                </c:pt>
                <c:pt idx="199">
                  <c:v>44298</c:v>
                </c:pt>
                <c:pt idx="200">
                  <c:v>44298</c:v>
                </c:pt>
                <c:pt idx="201">
                  <c:v>44298</c:v>
                </c:pt>
                <c:pt idx="202">
                  <c:v>44298</c:v>
                </c:pt>
                <c:pt idx="203">
                  <c:v>44299</c:v>
                </c:pt>
                <c:pt idx="204">
                  <c:v>44299</c:v>
                </c:pt>
                <c:pt idx="205">
                  <c:v>44300</c:v>
                </c:pt>
                <c:pt idx="206">
                  <c:v>44300</c:v>
                </c:pt>
                <c:pt idx="207">
                  <c:v>44300</c:v>
                </c:pt>
                <c:pt idx="208">
                  <c:v>44300</c:v>
                </c:pt>
                <c:pt idx="209">
                  <c:v>44301</c:v>
                </c:pt>
                <c:pt idx="210">
                  <c:v>44301</c:v>
                </c:pt>
                <c:pt idx="211">
                  <c:v>44303</c:v>
                </c:pt>
                <c:pt idx="212">
                  <c:v>44303</c:v>
                </c:pt>
                <c:pt idx="213">
                  <c:v>44303</c:v>
                </c:pt>
                <c:pt idx="214">
                  <c:v>44304</c:v>
                </c:pt>
                <c:pt idx="215">
                  <c:v>44305</c:v>
                </c:pt>
                <c:pt idx="216">
                  <c:v>44306</c:v>
                </c:pt>
                <c:pt idx="217">
                  <c:v>44306</c:v>
                </c:pt>
                <c:pt idx="218">
                  <c:v>44307</c:v>
                </c:pt>
                <c:pt idx="219">
                  <c:v>44307</c:v>
                </c:pt>
                <c:pt idx="220">
                  <c:v>44307</c:v>
                </c:pt>
                <c:pt idx="221">
                  <c:v>44307</c:v>
                </c:pt>
                <c:pt idx="222">
                  <c:v>44309</c:v>
                </c:pt>
                <c:pt idx="223">
                  <c:v>44310</c:v>
                </c:pt>
                <c:pt idx="224">
                  <c:v>44310</c:v>
                </c:pt>
                <c:pt idx="225">
                  <c:v>44310</c:v>
                </c:pt>
                <c:pt idx="226">
                  <c:v>44312</c:v>
                </c:pt>
                <c:pt idx="227">
                  <c:v>44313</c:v>
                </c:pt>
                <c:pt idx="228">
                  <c:v>44313</c:v>
                </c:pt>
                <c:pt idx="229">
                  <c:v>44313</c:v>
                </c:pt>
                <c:pt idx="230">
                  <c:v>44314</c:v>
                </c:pt>
                <c:pt idx="231">
                  <c:v>44314</c:v>
                </c:pt>
                <c:pt idx="232">
                  <c:v>44314</c:v>
                </c:pt>
                <c:pt idx="233">
                  <c:v>44314</c:v>
                </c:pt>
                <c:pt idx="234">
                  <c:v>44316</c:v>
                </c:pt>
                <c:pt idx="235">
                  <c:v>44316</c:v>
                </c:pt>
                <c:pt idx="236">
                  <c:v>44317</c:v>
                </c:pt>
                <c:pt idx="237">
                  <c:v>44317</c:v>
                </c:pt>
                <c:pt idx="238">
                  <c:v>44317</c:v>
                </c:pt>
                <c:pt idx="239">
                  <c:v>44317</c:v>
                </c:pt>
                <c:pt idx="240">
                  <c:v>44317</c:v>
                </c:pt>
                <c:pt idx="241">
                  <c:v>44317</c:v>
                </c:pt>
                <c:pt idx="242">
                  <c:v>44317</c:v>
                </c:pt>
                <c:pt idx="243">
                  <c:v>44317</c:v>
                </c:pt>
                <c:pt idx="244">
                  <c:v>44317</c:v>
                </c:pt>
                <c:pt idx="245">
                  <c:v>44318</c:v>
                </c:pt>
                <c:pt idx="246">
                  <c:v>44318</c:v>
                </c:pt>
                <c:pt idx="247">
                  <c:v>44318</c:v>
                </c:pt>
                <c:pt idx="248">
                  <c:v>44318</c:v>
                </c:pt>
                <c:pt idx="249">
                  <c:v>44319</c:v>
                </c:pt>
                <c:pt idx="250">
                  <c:v>44319</c:v>
                </c:pt>
                <c:pt idx="251">
                  <c:v>44319</c:v>
                </c:pt>
                <c:pt idx="252">
                  <c:v>44319</c:v>
                </c:pt>
                <c:pt idx="253">
                  <c:v>44319</c:v>
                </c:pt>
                <c:pt idx="254">
                  <c:v>44319</c:v>
                </c:pt>
                <c:pt idx="255">
                  <c:v>44320</c:v>
                </c:pt>
                <c:pt idx="256">
                  <c:v>44321</c:v>
                </c:pt>
                <c:pt idx="257">
                  <c:v>44323</c:v>
                </c:pt>
                <c:pt idx="258">
                  <c:v>44323</c:v>
                </c:pt>
                <c:pt idx="259">
                  <c:v>44323</c:v>
                </c:pt>
                <c:pt idx="260">
                  <c:v>44325</c:v>
                </c:pt>
                <c:pt idx="261">
                  <c:v>44326</c:v>
                </c:pt>
                <c:pt idx="262">
                  <c:v>44326</c:v>
                </c:pt>
                <c:pt idx="263">
                  <c:v>44327</c:v>
                </c:pt>
                <c:pt idx="264">
                  <c:v>44327</c:v>
                </c:pt>
                <c:pt idx="265">
                  <c:v>44327</c:v>
                </c:pt>
                <c:pt idx="266">
                  <c:v>44327</c:v>
                </c:pt>
                <c:pt idx="267">
                  <c:v>44328</c:v>
                </c:pt>
                <c:pt idx="268">
                  <c:v>44328</c:v>
                </c:pt>
                <c:pt idx="269">
                  <c:v>44329</c:v>
                </c:pt>
                <c:pt idx="270">
                  <c:v>44330</c:v>
                </c:pt>
                <c:pt idx="271">
                  <c:v>44330</c:v>
                </c:pt>
                <c:pt idx="272">
                  <c:v>44330</c:v>
                </c:pt>
                <c:pt idx="273">
                  <c:v>44330</c:v>
                </c:pt>
                <c:pt idx="274">
                  <c:v>44331</c:v>
                </c:pt>
                <c:pt idx="275">
                  <c:v>44332</c:v>
                </c:pt>
                <c:pt idx="276">
                  <c:v>44332</c:v>
                </c:pt>
                <c:pt idx="277">
                  <c:v>44333</c:v>
                </c:pt>
                <c:pt idx="278">
                  <c:v>44333</c:v>
                </c:pt>
                <c:pt idx="279">
                  <c:v>44334</c:v>
                </c:pt>
                <c:pt idx="280">
                  <c:v>44335</c:v>
                </c:pt>
                <c:pt idx="281">
                  <c:v>44335</c:v>
                </c:pt>
                <c:pt idx="282">
                  <c:v>44335</c:v>
                </c:pt>
                <c:pt idx="283">
                  <c:v>44335</c:v>
                </c:pt>
                <c:pt idx="284">
                  <c:v>44336</c:v>
                </c:pt>
                <c:pt idx="285">
                  <c:v>44336</c:v>
                </c:pt>
                <c:pt idx="286">
                  <c:v>44337</c:v>
                </c:pt>
                <c:pt idx="287">
                  <c:v>44337</c:v>
                </c:pt>
                <c:pt idx="288">
                  <c:v>44337</c:v>
                </c:pt>
                <c:pt idx="289">
                  <c:v>44338</c:v>
                </c:pt>
                <c:pt idx="290">
                  <c:v>44338</c:v>
                </c:pt>
                <c:pt idx="291">
                  <c:v>44339</c:v>
                </c:pt>
                <c:pt idx="292">
                  <c:v>44340</c:v>
                </c:pt>
                <c:pt idx="293">
                  <c:v>44340</c:v>
                </c:pt>
                <c:pt idx="294">
                  <c:v>44340</c:v>
                </c:pt>
                <c:pt idx="295">
                  <c:v>44341</c:v>
                </c:pt>
                <c:pt idx="296">
                  <c:v>44341</c:v>
                </c:pt>
                <c:pt idx="297">
                  <c:v>44341</c:v>
                </c:pt>
                <c:pt idx="298">
                  <c:v>44341</c:v>
                </c:pt>
                <c:pt idx="299">
                  <c:v>44342</c:v>
                </c:pt>
                <c:pt idx="300">
                  <c:v>44343</c:v>
                </c:pt>
                <c:pt idx="301">
                  <c:v>44343</c:v>
                </c:pt>
                <c:pt idx="302">
                  <c:v>44344</c:v>
                </c:pt>
                <c:pt idx="303">
                  <c:v>44344</c:v>
                </c:pt>
                <c:pt idx="304">
                  <c:v>44344</c:v>
                </c:pt>
                <c:pt idx="305">
                  <c:v>44345</c:v>
                </c:pt>
                <c:pt idx="306">
                  <c:v>44345</c:v>
                </c:pt>
                <c:pt idx="307">
                  <c:v>44345</c:v>
                </c:pt>
                <c:pt idx="308">
                  <c:v>44345</c:v>
                </c:pt>
                <c:pt idx="309">
                  <c:v>44345</c:v>
                </c:pt>
                <c:pt idx="310">
                  <c:v>44346</c:v>
                </c:pt>
                <c:pt idx="311">
                  <c:v>44346</c:v>
                </c:pt>
                <c:pt idx="312">
                  <c:v>44346</c:v>
                </c:pt>
                <c:pt idx="313">
                  <c:v>44346</c:v>
                </c:pt>
                <c:pt idx="314">
                  <c:v>44347</c:v>
                </c:pt>
                <c:pt idx="315">
                  <c:v>44347</c:v>
                </c:pt>
                <c:pt idx="316">
                  <c:v>44347</c:v>
                </c:pt>
                <c:pt idx="317">
                  <c:v>44347</c:v>
                </c:pt>
                <c:pt idx="318">
                  <c:v>44347</c:v>
                </c:pt>
                <c:pt idx="319">
                  <c:v>44348</c:v>
                </c:pt>
                <c:pt idx="320">
                  <c:v>44348</c:v>
                </c:pt>
                <c:pt idx="321">
                  <c:v>44348</c:v>
                </c:pt>
                <c:pt idx="322">
                  <c:v>44349</c:v>
                </c:pt>
                <c:pt idx="323">
                  <c:v>44349</c:v>
                </c:pt>
                <c:pt idx="324">
                  <c:v>44349</c:v>
                </c:pt>
                <c:pt idx="325">
                  <c:v>44349</c:v>
                </c:pt>
                <c:pt idx="326">
                  <c:v>44349</c:v>
                </c:pt>
                <c:pt idx="327">
                  <c:v>44350</c:v>
                </c:pt>
                <c:pt idx="328">
                  <c:v>44350</c:v>
                </c:pt>
                <c:pt idx="329">
                  <c:v>44350</c:v>
                </c:pt>
                <c:pt idx="330">
                  <c:v>44350</c:v>
                </c:pt>
                <c:pt idx="331">
                  <c:v>44351</c:v>
                </c:pt>
                <c:pt idx="332">
                  <c:v>44351</c:v>
                </c:pt>
                <c:pt idx="333">
                  <c:v>44351</c:v>
                </c:pt>
                <c:pt idx="334">
                  <c:v>44352</c:v>
                </c:pt>
                <c:pt idx="335">
                  <c:v>44352</c:v>
                </c:pt>
                <c:pt idx="336">
                  <c:v>44352</c:v>
                </c:pt>
                <c:pt idx="337">
                  <c:v>44352</c:v>
                </c:pt>
                <c:pt idx="338">
                  <c:v>44353</c:v>
                </c:pt>
                <c:pt idx="339">
                  <c:v>44353</c:v>
                </c:pt>
                <c:pt idx="340">
                  <c:v>44354</c:v>
                </c:pt>
                <c:pt idx="341">
                  <c:v>44354</c:v>
                </c:pt>
                <c:pt idx="342">
                  <c:v>44356</c:v>
                </c:pt>
                <c:pt idx="343">
                  <c:v>44356</c:v>
                </c:pt>
                <c:pt idx="344">
                  <c:v>44356</c:v>
                </c:pt>
                <c:pt idx="345">
                  <c:v>44357</c:v>
                </c:pt>
                <c:pt idx="346">
                  <c:v>44357</c:v>
                </c:pt>
                <c:pt idx="347">
                  <c:v>44357</c:v>
                </c:pt>
                <c:pt idx="348">
                  <c:v>44357</c:v>
                </c:pt>
                <c:pt idx="349">
                  <c:v>44357</c:v>
                </c:pt>
                <c:pt idx="350">
                  <c:v>44358</c:v>
                </c:pt>
                <c:pt idx="351">
                  <c:v>44358</c:v>
                </c:pt>
                <c:pt idx="352">
                  <c:v>44358</c:v>
                </c:pt>
                <c:pt idx="353">
                  <c:v>44358</c:v>
                </c:pt>
                <c:pt idx="354">
                  <c:v>44359</c:v>
                </c:pt>
                <c:pt idx="355">
                  <c:v>44359</c:v>
                </c:pt>
                <c:pt idx="356">
                  <c:v>44359</c:v>
                </c:pt>
                <c:pt idx="357">
                  <c:v>44359</c:v>
                </c:pt>
                <c:pt idx="358">
                  <c:v>44360</c:v>
                </c:pt>
                <c:pt idx="359">
                  <c:v>44361</c:v>
                </c:pt>
                <c:pt idx="360">
                  <c:v>44363</c:v>
                </c:pt>
                <c:pt idx="361">
                  <c:v>44364</c:v>
                </c:pt>
                <c:pt idx="362">
                  <c:v>44364</c:v>
                </c:pt>
                <c:pt idx="363">
                  <c:v>44365</c:v>
                </c:pt>
                <c:pt idx="364">
                  <c:v>44365</c:v>
                </c:pt>
                <c:pt idx="365">
                  <c:v>44366</c:v>
                </c:pt>
                <c:pt idx="366">
                  <c:v>44366</c:v>
                </c:pt>
                <c:pt idx="367">
                  <c:v>44367</c:v>
                </c:pt>
                <c:pt idx="368">
                  <c:v>44368</c:v>
                </c:pt>
                <c:pt idx="369">
                  <c:v>44368</c:v>
                </c:pt>
                <c:pt idx="370">
                  <c:v>44368</c:v>
                </c:pt>
                <c:pt idx="371">
                  <c:v>44368</c:v>
                </c:pt>
                <c:pt idx="372">
                  <c:v>44368</c:v>
                </c:pt>
                <c:pt idx="373">
                  <c:v>44368</c:v>
                </c:pt>
                <c:pt idx="374">
                  <c:v>44368</c:v>
                </c:pt>
                <c:pt idx="375">
                  <c:v>44369</c:v>
                </c:pt>
                <c:pt idx="376">
                  <c:v>44369</c:v>
                </c:pt>
                <c:pt idx="377">
                  <c:v>44370</c:v>
                </c:pt>
                <c:pt idx="378">
                  <c:v>44370</c:v>
                </c:pt>
                <c:pt idx="379">
                  <c:v>44371</c:v>
                </c:pt>
                <c:pt idx="380">
                  <c:v>44371</c:v>
                </c:pt>
                <c:pt idx="381">
                  <c:v>44372</c:v>
                </c:pt>
                <c:pt idx="382">
                  <c:v>44372</c:v>
                </c:pt>
                <c:pt idx="383">
                  <c:v>44372</c:v>
                </c:pt>
                <c:pt idx="384">
                  <c:v>44373</c:v>
                </c:pt>
                <c:pt idx="385">
                  <c:v>44373</c:v>
                </c:pt>
                <c:pt idx="386">
                  <c:v>44373</c:v>
                </c:pt>
                <c:pt idx="387">
                  <c:v>44373</c:v>
                </c:pt>
                <c:pt idx="388">
                  <c:v>44374</c:v>
                </c:pt>
                <c:pt idx="389">
                  <c:v>44374</c:v>
                </c:pt>
                <c:pt idx="390">
                  <c:v>44374</c:v>
                </c:pt>
                <c:pt idx="391">
                  <c:v>44374</c:v>
                </c:pt>
                <c:pt idx="392">
                  <c:v>44374</c:v>
                </c:pt>
                <c:pt idx="393">
                  <c:v>44374</c:v>
                </c:pt>
                <c:pt idx="394">
                  <c:v>44375</c:v>
                </c:pt>
                <c:pt idx="395">
                  <c:v>44375</c:v>
                </c:pt>
                <c:pt idx="396">
                  <c:v>44375</c:v>
                </c:pt>
                <c:pt idx="397">
                  <c:v>44375</c:v>
                </c:pt>
                <c:pt idx="398">
                  <c:v>44375</c:v>
                </c:pt>
                <c:pt idx="399">
                  <c:v>44376</c:v>
                </c:pt>
                <c:pt idx="400">
                  <c:v>44376</c:v>
                </c:pt>
                <c:pt idx="401">
                  <c:v>44376</c:v>
                </c:pt>
                <c:pt idx="402">
                  <c:v>44377</c:v>
                </c:pt>
                <c:pt idx="403">
                  <c:v>44377</c:v>
                </c:pt>
                <c:pt idx="404">
                  <c:v>44378</c:v>
                </c:pt>
                <c:pt idx="405">
                  <c:v>44378</c:v>
                </c:pt>
                <c:pt idx="406">
                  <c:v>44378</c:v>
                </c:pt>
                <c:pt idx="407">
                  <c:v>44378</c:v>
                </c:pt>
                <c:pt idx="408">
                  <c:v>44378</c:v>
                </c:pt>
                <c:pt idx="409">
                  <c:v>44378</c:v>
                </c:pt>
                <c:pt idx="410">
                  <c:v>44379</c:v>
                </c:pt>
                <c:pt idx="411">
                  <c:v>44379</c:v>
                </c:pt>
                <c:pt idx="412">
                  <c:v>44379</c:v>
                </c:pt>
                <c:pt idx="413">
                  <c:v>44379</c:v>
                </c:pt>
                <c:pt idx="414">
                  <c:v>44379</c:v>
                </c:pt>
                <c:pt idx="415">
                  <c:v>44379</c:v>
                </c:pt>
                <c:pt idx="416">
                  <c:v>44379</c:v>
                </c:pt>
                <c:pt idx="417">
                  <c:v>44379</c:v>
                </c:pt>
                <c:pt idx="418">
                  <c:v>44379</c:v>
                </c:pt>
                <c:pt idx="419">
                  <c:v>44379</c:v>
                </c:pt>
                <c:pt idx="420">
                  <c:v>44380</c:v>
                </c:pt>
                <c:pt idx="421">
                  <c:v>44380</c:v>
                </c:pt>
                <c:pt idx="422">
                  <c:v>44380</c:v>
                </c:pt>
                <c:pt idx="423">
                  <c:v>44380</c:v>
                </c:pt>
                <c:pt idx="424">
                  <c:v>44380</c:v>
                </c:pt>
                <c:pt idx="425">
                  <c:v>44380</c:v>
                </c:pt>
                <c:pt idx="426">
                  <c:v>44380</c:v>
                </c:pt>
                <c:pt idx="427">
                  <c:v>44380</c:v>
                </c:pt>
                <c:pt idx="428">
                  <c:v>44380</c:v>
                </c:pt>
                <c:pt idx="429">
                  <c:v>44380</c:v>
                </c:pt>
                <c:pt idx="430">
                  <c:v>44381</c:v>
                </c:pt>
                <c:pt idx="431">
                  <c:v>44381</c:v>
                </c:pt>
                <c:pt idx="432">
                  <c:v>44381</c:v>
                </c:pt>
                <c:pt idx="433">
                  <c:v>44381</c:v>
                </c:pt>
                <c:pt idx="434">
                  <c:v>44381</c:v>
                </c:pt>
                <c:pt idx="435">
                  <c:v>44381</c:v>
                </c:pt>
                <c:pt idx="436">
                  <c:v>44381</c:v>
                </c:pt>
                <c:pt idx="437">
                  <c:v>44381</c:v>
                </c:pt>
                <c:pt idx="438">
                  <c:v>44382</c:v>
                </c:pt>
                <c:pt idx="439">
                  <c:v>44382</c:v>
                </c:pt>
                <c:pt idx="440">
                  <c:v>44382</c:v>
                </c:pt>
                <c:pt idx="441">
                  <c:v>44382</c:v>
                </c:pt>
                <c:pt idx="442">
                  <c:v>44382</c:v>
                </c:pt>
                <c:pt idx="443">
                  <c:v>44384</c:v>
                </c:pt>
                <c:pt idx="444">
                  <c:v>44384</c:v>
                </c:pt>
                <c:pt idx="445">
                  <c:v>44384</c:v>
                </c:pt>
                <c:pt idx="446">
                  <c:v>44385</c:v>
                </c:pt>
                <c:pt idx="447">
                  <c:v>44385</c:v>
                </c:pt>
                <c:pt idx="448">
                  <c:v>44386</c:v>
                </c:pt>
                <c:pt idx="449">
                  <c:v>44386</c:v>
                </c:pt>
                <c:pt idx="450">
                  <c:v>44386</c:v>
                </c:pt>
                <c:pt idx="451">
                  <c:v>44386</c:v>
                </c:pt>
                <c:pt idx="452">
                  <c:v>44386</c:v>
                </c:pt>
                <c:pt idx="453">
                  <c:v>44387</c:v>
                </c:pt>
                <c:pt idx="454">
                  <c:v>44387</c:v>
                </c:pt>
                <c:pt idx="455">
                  <c:v>44387</c:v>
                </c:pt>
                <c:pt idx="456">
                  <c:v>44387</c:v>
                </c:pt>
                <c:pt idx="457">
                  <c:v>44387</c:v>
                </c:pt>
                <c:pt idx="458">
                  <c:v>44388</c:v>
                </c:pt>
                <c:pt idx="459">
                  <c:v>44389</c:v>
                </c:pt>
                <c:pt idx="460">
                  <c:v>44389</c:v>
                </c:pt>
                <c:pt idx="461">
                  <c:v>44389</c:v>
                </c:pt>
                <c:pt idx="462">
                  <c:v>44389</c:v>
                </c:pt>
                <c:pt idx="463">
                  <c:v>44389</c:v>
                </c:pt>
                <c:pt idx="464">
                  <c:v>44390</c:v>
                </c:pt>
                <c:pt idx="465">
                  <c:v>44390</c:v>
                </c:pt>
                <c:pt idx="466">
                  <c:v>44391</c:v>
                </c:pt>
                <c:pt idx="467">
                  <c:v>44392</c:v>
                </c:pt>
                <c:pt idx="468">
                  <c:v>44392</c:v>
                </c:pt>
                <c:pt idx="469">
                  <c:v>44393</c:v>
                </c:pt>
                <c:pt idx="470">
                  <c:v>44393</c:v>
                </c:pt>
                <c:pt idx="471">
                  <c:v>44393</c:v>
                </c:pt>
                <c:pt idx="472">
                  <c:v>44393</c:v>
                </c:pt>
                <c:pt idx="473">
                  <c:v>44393</c:v>
                </c:pt>
                <c:pt idx="474">
                  <c:v>44393</c:v>
                </c:pt>
                <c:pt idx="475">
                  <c:v>44393</c:v>
                </c:pt>
                <c:pt idx="476">
                  <c:v>44393</c:v>
                </c:pt>
                <c:pt idx="477">
                  <c:v>44393</c:v>
                </c:pt>
                <c:pt idx="478">
                  <c:v>44393</c:v>
                </c:pt>
                <c:pt idx="479">
                  <c:v>44393</c:v>
                </c:pt>
                <c:pt idx="480">
                  <c:v>44394</c:v>
                </c:pt>
                <c:pt idx="481">
                  <c:v>44394</c:v>
                </c:pt>
                <c:pt idx="482">
                  <c:v>44394</c:v>
                </c:pt>
                <c:pt idx="483">
                  <c:v>44394</c:v>
                </c:pt>
                <c:pt idx="484">
                  <c:v>44394</c:v>
                </c:pt>
                <c:pt idx="485">
                  <c:v>44394</c:v>
                </c:pt>
                <c:pt idx="486">
                  <c:v>44394</c:v>
                </c:pt>
                <c:pt idx="487">
                  <c:v>44394</c:v>
                </c:pt>
                <c:pt idx="488">
                  <c:v>44394</c:v>
                </c:pt>
                <c:pt idx="489">
                  <c:v>44394</c:v>
                </c:pt>
                <c:pt idx="490">
                  <c:v>44395</c:v>
                </c:pt>
                <c:pt idx="491">
                  <c:v>44395</c:v>
                </c:pt>
                <c:pt idx="492">
                  <c:v>44395</c:v>
                </c:pt>
                <c:pt idx="493">
                  <c:v>44395</c:v>
                </c:pt>
                <c:pt idx="494">
                  <c:v>44396</c:v>
                </c:pt>
                <c:pt idx="495">
                  <c:v>44396</c:v>
                </c:pt>
                <c:pt idx="496">
                  <c:v>44396</c:v>
                </c:pt>
                <c:pt idx="497">
                  <c:v>44397</c:v>
                </c:pt>
                <c:pt idx="498">
                  <c:v>44397</c:v>
                </c:pt>
                <c:pt idx="499">
                  <c:v>44397</c:v>
                </c:pt>
                <c:pt idx="500">
                  <c:v>44397</c:v>
                </c:pt>
                <c:pt idx="501">
                  <c:v>44397</c:v>
                </c:pt>
                <c:pt idx="502">
                  <c:v>44397</c:v>
                </c:pt>
                <c:pt idx="503">
                  <c:v>44397</c:v>
                </c:pt>
                <c:pt idx="504">
                  <c:v>44398</c:v>
                </c:pt>
                <c:pt idx="505">
                  <c:v>44398</c:v>
                </c:pt>
                <c:pt idx="506">
                  <c:v>44398</c:v>
                </c:pt>
                <c:pt idx="507">
                  <c:v>44399</c:v>
                </c:pt>
                <c:pt idx="508">
                  <c:v>44399</c:v>
                </c:pt>
                <c:pt idx="509">
                  <c:v>44400</c:v>
                </c:pt>
                <c:pt idx="510">
                  <c:v>44402</c:v>
                </c:pt>
                <c:pt idx="511">
                  <c:v>44402</c:v>
                </c:pt>
                <c:pt idx="512">
                  <c:v>44402</c:v>
                </c:pt>
                <c:pt idx="513">
                  <c:v>44404</c:v>
                </c:pt>
                <c:pt idx="514">
                  <c:v>44404</c:v>
                </c:pt>
                <c:pt idx="515">
                  <c:v>44404</c:v>
                </c:pt>
                <c:pt idx="516">
                  <c:v>44405</c:v>
                </c:pt>
                <c:pt idx="517">
                  <c:v>44406</c:v>
                </c:pt>
                <c:pt idx="518">
                  <c:v>44406</c:v>
                </c:pt>
                <c:pt idx="519">
                  <c:v>44407</c:v>
                </c:pt>
                <c:pt idx="520">
                  <c:v>44407</c:v>
                </c:pt>
                <c:pt idx="521">
                  <c:v>44408</c:v>
                </c:pt>
                <c:pt idx="522">
                  <c:v>44408</c:v>
                </c:pt>
                <c:pt idx="523">
                  <c:v>44408</c:v>
                </c:pt>
                <c:pt idx="524">
                  <c:v>44408</c:v>
                </c:pt>
                <c:pt idx="525">
                  <c:v>44409</c:v>
                </c:pt>
                <c:pt idx="526">
                  <c:v>44409</c:v>
                </c:pt>
                <c:pt idx="527">
                  <c:v>44409</c:v>
                </c:pt>
                <c:pt idx="528">
                  <c:v>44409</c:v>
                </c:pt>
                <c:pt idx="529">
                  <c:v>44409</c:v>
                </c:pt>
                <c:pt idx="530">
                  <c:v>44409</c:v>
                </c:pt>
                <c:pt idx="531">
                  <c:v>44410</c:v>
                </c:pt>
                <c:pt idx="532">
                  <c:v>44410</c:v>
                </c:pt>
                <c:pt idx="533">
                  <c:v>44410</c:v>
                </c:pt>
                <c:pt idx="534">
                  <c:v>44410</c:v>
                </c:pt>
                <c:pt idx="535">
                  <c:v>44410</c:v>
                </c:pt>
                <c:pt idx="536">
                  <c:v>44410</c:v>
                </c:pt>
                <c:pt idx="537">
                  <c:v>44411</c:v>
                </c:pt>
                <c:pt idx="538">
                  <c:v>44411</c:v>
                </c:pt>
                <c:pt idx="539">
                  <c:v>44411</c:v>
                </c:pt>
                <c:pt idx="540">
                  <c:v>44411</c:v>
                </c:pt>
                <c:pt idx="541">
                  <c:v>44411</c:v>
                </c:pt>
                <c:pt idx="542">
                  <c:v>44411</c:v>
                </c:pt>
                <c:pt idx="543">
                  <c:v>44411</c:v>
                </c:pt>
                <c:pt idx="544">
                  <c:v>44411</c:v>
                </c:pt>
                <c:pt idx="545">
                  <c:v>44411</c:v>
                </c:pt>
                <c:pt idx="546">
                  <c:v>44412</c:v>
                </c:pt>
                <c:pt idx="547">
                  <c:v>44412</c:v>
                </c:pt>
                <c:pt idx="548">
                  <c:v>44412</c:v>
                </c:pt>
                <c:pt idx="549">
                  <c:v>44413</c:v>
                </c:pt>
                <c:pt idx="550">
                  <c:v>44413</c:v>
                </c:pt>
                <c:pt idx="551">
                  <c:v>44416</c:v>
                </c:pt>
                <c:pt idx="552">
                  <c:v>44416</c:v>
                </c:pt>
                <c:pt idx="553">
                  <c:v>44416</c:v>
                </c:pt>
                <c:pt idx="554">
                  <c:v>44416</c:v>
                </c:pt>
                <c:pt idx="555">
                  <c:v>44416</c:v>
                </c:pt>
                <c:pt idx="556">
                  <c:v>44416</c:v>
                </c:pt>
                <c:pt idx="557">
                  <c:v>44417</c:v>
                </c:pt>
                <c:pt idx="558">
                  <c:v>44418</c:v>
                </c:pt>
                <c:pt idx="559">
                  <c:v>44418</c:v>
                </c:pt>
                <c:pt idx="560">
                  <c:v>44419</c:v>
                </c:pt>
                <c:pt idx="561">
                  <c:v>44419</c:v>
                </c:pt>
                <c:pt idx="562">
                  <c:v>44419</c:v>
                </c:pt>
                <c:pt idx="563">
                  <c:v>44420</c:v>
                </c:pt>
                <c:pt idx="564">
                  <c:v>44420</c:v>
                </c:pt>
                <c:pt idx="565">
                  <c:v>44420</c:v>
                </c:pt>
                <c:pt idx="566">
                  <c:v>44421</c:v>
                </c:pt>
                <c:pt idx="567">
                  <c:v>44421</c:v>
                </c:pt>
                <c:pt idx="568">
                  <c:v>44421</c:v>
                </c:pt>
                <c:pt idx="569">
                  <c:v>44422</c:v>
                </c:pt>
                <c:pt idx="570">
                  <c:v>44422</c:v>
                </c:pt>
                <c:pt idx="571">
                  <c:v>44422</c:v>
                </c:pt>
                <c:pt idx="572">
                  <c:v>44423</c:v>
                </c:pt>
                <c:pt idx="573">
                  <c:v>44423</c:v>
                </c:pt>
                <c:pt idx="574">
                  <c:v>44424</c:v>
                </c:pt>
                <c:pt idx="575">
                  <c:v>44424</c:v>
                </c:pt>
                <c:pt idx="576">
                  <c:v>44424</c:v>
                </c:pt>
                <c:pt idx="577">
                  <c:v>44426</c:v>
                </c:pt>
                <c:pt idx="578">
                  <c:v>44426</c:v>
                </c:pt>
                <c:pt idx="579">
                  <c:v>44427</c:v>
                </c:pt>
                <c:pt idx="580">
                  <c:v>44427</c:v>
                </c:pt>
                <c:pt idx="581">
                  <c:v>44427</c:v>
                </c:pt>
                <c:pt idx="582">
                  <c:v>44428</c:v>
                </c:pt>
                <c:pt idx="583">
                  <c:v>44428</c:v>
                </c:pt>
                <c:pt idx="584">
                  <c:v>44428</c:v>
                </c:pt>
                <c:pt idx="585">
                  <c:v>44429</c:v>
                </c:pt>
                <c:pt idx="586">
                  <c:v>44429</c:v>
                </c:pt>
                <c:pt idx="587">
                  <c:v>44429</c:v>
                </c:pt>
                <c:pt idx="588">
                  <c:v>44429</c:v>
                </c:pt>
                <c:pt idx="589">
                  <c:v>44429</c:v>
                </c:pt>
                <c:pt idx="590">
                  <c:v>44430</c:v>
                </c:pt>
                <c:pt idx="591">
                  <c:v>44430</c:v>
                </c:pt>
                <c:pt idx="592">
                  <c:v>44430</c:v>
                </c:pt>
                <c:pt idx="593">
                  <c:v>44430</c:v>
                </c:pt>
                <c:pt idx="594">
                  <c:v>44430</c:v>
                </c:pt>
                <c:pt idx="595">
                  <c:v>44431</c:v>
                </c:pt>
                <c:pt idx="596">
                  <c:v>44432</c:v>
                </c:pt>
                <c:pt idx="597">
                  <c:v>44432</c:v>
                </c:pt>
                <c:pt idx="598">
                  <c:v>44432</c:v>
                </c:pt>
                <c:pt idx="599">
                  <c:v>44433</c:v>
                </c:pt>
                <c:pt idx="600">
                  <c:v>44433</c:v>
                </c:pt>
                <c:pt idx="601">
                  <c:v>44433</c:v>
                </c:pt>
                <c:pt idx="602">
                  <c:v>44434</c:v>
                </c:pt>
                <c:pt idx="603">
                  <c:v>44434</c:v>
                </c:pt>
                <c:pt idx="604">
                  <c:v>44434</c:v>
                </c:pt>
                <c:pt idx="605">
                  <c:v>44434</c:v>
                </c:pt>
                <c:pt idx="606">
                  <c:v>44434</c:v>
                </c:pt>
                <c:pt idx="607">
                  <c:v>44435</c:v>
                </c:pt>
                <c:pt idx="608">
                  <c:v>44435</c:v>
                </c:pt>
                <c:pt idx="609">
                  <c:v>44435</c:v>
                </c:pt>
                <c:pt idx="610">
                  <c:v>44435</c:v>
                </c:pt>
                <c:pt idx="611">
                  <c:v>44435</c:v>
                </c:pt>
                <c:pt idx="612">
                  <c:v>44435</c:v>
                </c:pt>
                <c:pt idx="613">
                  <c:v>44436</c:v>
                </c:pt>
                <c:pt idx="614">
                  <c:v>44436</c:v>
                </c:pt>
                <c:pt idx="615">
                  <c:v>44436</c:v>
                </c:pt>
                <c:pt idx="616">
                  <c:v>44436</c:v>
                </c:pt>
                <c:pt idx="617">
                  <c:v>44436</c:v>
                </c:pt>
                <c:pt idx="618">
                  <c:v>44436</c:v>
                </c:pt>
                <c:pt idx="619">
                  <c:v>44437</c:v>
                </c:pt>
                <c:pt idx="620">
                  <c:v>44437</c:v>
                </c:pt>
                <c:pt idx="621">
                  <c:v>44437</c:v>
                </c:pt>
                <c:pt idx="622">
                  <c:v>44437</c:v>
                </c:pt>
                <c:pt idx="623">
                  <c:v>44437</c:v>
                </c:pt>
                <c:pt idx="624">
                  <c:v>44437</c:v>
                </c:pt>
                <c:pt idx="625">
                  <c:v>44437</c:v>
                </c:pt>
                <c:pt idx="626">
                  <c:v>44437</c:v>
                </c:pt>
                <c:pt idx="627">
                  <c:v>44437</c:v>
                </c:pt>
                <c:pt idx="628">
                  <c:v>44437</c:v>
                </c:pt>
                <c:pt idx="629">
                  <c:v>44438</c:v>
                </c:pt>
                <c:pt idx="630">
                  <c:v>44438</c:v>
                </c:pt>
                <c:pt idx="631">
                  <c:v>44438</c:v>
                </c:pt>
                <c:pt idx="632">
                  <c:v>44438</c:v>
                </c:pt>
                <c:pt idx="633">
                  <c:v>44438</c:v>
                </c:pt>
                <c:pt idx="634">
                  <c:v>44439</c:v>
                </c:pt>
                <c:pt idx="635">
                  <c:v>44439</c:v>
                </c:pt>
                <c:pt idx="636">
                  <c:v>44439</c:v>
                </c:pt>
                <c:pt idx="637">
                  <c:v>44439</c:v>
                </c:pt>
                <c:pt idx="638">
                  <c:v>44439</c:v>
                </c:pt>
                <c:pt idx="639">
                  <c:v>44440</c:v>
                </c:pt>
                <c:pt idx="640">
                  <c:v>44440</c:v>
                </c:pt>
                <c:pt idx="641">
                  <c:v>44440</c:v>
                </c:pt>
                <c:pt idx="642">
                  <c:v>44440</c:v>
                </c:pt>
                <c:pt idx="643">
                  <c:v>44440</c:v>
                </c:pt>
                <c:pt idx="644">
                  <c:v>44440</c:v>
                </c:pt>
                <c:pt idx="645">
                  <c:v>44440</c:v>
                </c:pt>
                <c:pt idx="646">
                  <c:v>44441</c:v>
                </c:pt>
                <c:pt idx="647">
                  <c:v>44441</c:v>
                </c:pt>
                <c:pt idx="648">
                  <c:v>44441</c:v>
                </c:pt>
                <c:pt idx="649">
                  <c:v>44441</c:v>
                </c:pt>
                <c:pt idx="650">
                  <c:v>44441</c:v>
                </c:pt>
                <c:pt idx="651">
                  <c:v>44441</c:v>
                </c:pt>
                <c:pt idx="652">
                  <c:v>44441</c:v>
                </c:pt>
                <c:pt idx="653">
                  <c:v>44441</c:v>
                </c:pt>
                <c:pt idx="654">
                  <c:v>44441</c:v>
                </c:pt>
                <c:pt idx="655">
                  <c:v>44441</c:v>
                </c:pt>
                <c:pt idx="656">
                  <c:v>44441</c:v>
                </c:pt>
                <c:pt idx="657">
                  <c:v>44441</c:v>
                </c:pt>
                <c:pt idx="658">
                  <c:v>44441</c:v>
                </c:pt>
                <c:pt idx="659">
                  <c:v>44442</c:v>
                </c:pt>
                <c:pt idx="660">
                  <c:v>44442</c:v>
                </c:pt>
                <c:pt idx="661">
                  <c:v>44442</c:v>
                </c:pt>
                <c:pt idx="662">
                  <c:v>44442</c:v>
                </c:pt>
                <c:pt idx="663">
                  <c:v>44442</c:v>
                </c:pt>
                <c:pt idx="664">
                  <c:v>44442</c:v>
                </c:pt>
                <c:pt idx="665">
                  <c:v>44442</c:v>
                </c:pt>
                <c:pt idx="666">
                  <c:v>44443</c:v>
                </c:pt>
                <c:pt idx="667">
                  <c:v>44444</c:v>
                </c:pt>
                <c:pt idx="668">
                  <c:v>44444</c:v>
                </c:pt>
                <c:pt idx="669">
                  <c:v>44444</c:v>
                </c:pt>
                <c:pt idx="670">
                  <c:v>44444</c:v>
                </c:pt>
                <c:pt idx="671">
                  <c:v>44444</c:v>
                </c:pt>
                <c:pt idx="672">
                  <c:v>44445</c:v>
                </c:pt>
                <c:pt idx="673">
                  <c:v>44445</c:v>
                </c:pt>
                <c:pt idx="674">
                  <c:v>44446</c:v>
                </c:pt>
                <c:pt idx="675">
                  <c:v>44446</c:v>
                </c:pt>
                <c:pt idx="676">
                  <c:v>44446</c:v>
                </c:pt>
                <c:pt idx="677">
                  <c:v>44447</c:v>
                </c:pt>
                <c:pt idx="678">
                  <c:v>44447</c:v>
                </c:pt>
                <c:pt idx="679">
                  <c:v>44447</c:v>
                </c:pt>
                <c:pt idx="680">
                  <c:v>44447</c:v>
                </c:pt>
                <c:pt idx="681">
                  <c:v>44447</c:v>
                </c:pt>
                <c:pt idx="682">
                  <c:v>44447</c:v>
                </c:pt>
                <c:pt idx="683">
                  <c:v>44448</c:v>
                </c:pt>
                <c:pt idx="684">
                  <c:v>44448</c:v>
                </c:pt>
                <c:pt idx="685">
                  <c:v>44448</c:v>
                </c:pt>
                <c:pt idx="686">
                  <c:v>44449</c:v>
                </c:pt>
                <c:pt idx="687">
                  <c:v>44449</c:v>
                </c:pt>
                <c:pt idx="688">
                  <c:v>44449</c:v>
                </c:pt>
                <c:pt idx="689">
                  <c:v>44449</c:v>
                </c:pt>
                <c:pt idx="690">
                  <c:v>44450</c:v>
                </c:pt>
                <c:pt idx="691">
                  <c:v>44450</c:v>
                </c:pt>
                <c:pt idx="692">
                  <c:v>44450</c:v>
                </c:pt>
                <c:pt idx="693">
                  <c:v>44450</c:v>
                </c:pt>
                <c:pt idx="694">
                  <c:v>44450</c:v>
                </c:pt>
                <c:pt idx="695">
                  <c:v>44450</c:v>
                </c:pt>
                <c:pt idx="696">
                  <c:v>44450</c:v>
                </c:pt>
                <c:pt idx="697">
                  <c:v>44450</c:v>
                </c:pt>
                <c:pt idx="698">
                  <c:v>44450</c:v>
                </c:pt>
                <c:pt idx="699">
                  <c:v>44451</c:v>
                </c:pt>
                <c:pt idx="700">
                  <c:v>44451</c:v>
                </c:pt>
                <c:pt idx="701">
                  <c:v>44451</c:v>
                </c:pt>
                <c:pt idx="702">
                  <c:v>44452</c:v>
                </c:pt>
                <c:pt idx="703">
                  <c:v>44452</c:v>
                </c:pt>
                <c:pt idx="704">
                  <c:v>44452</c:v>
                </c:pt>
                <c:pt idx="705">
                  <c:v>44453</c:v>
                </c:pt>
                <c:pt idx="706">
                  <c:v>44453</c:v>
                </c:pt>
                <c:pt idx="707">
                  <c:v>44453</c:v>
                </c:pt>
                <c:pt idx="708">
                  <c:v>44453</c:v>
                </c:pt>
                <c:pt idx="709">
                  <c:v>44454</c:v>
                </c:pt>
                <c:pt idx="710">
                  <c:v>44454</c:v>
                </c:pt>
                <c:pt idx="711">
                  <c:v>44455</c:v>
                </c:pt>
                <c:pt idx="712">
                  <c:v>44455</c:v>
                </c:pt>
                <c:pt idx="713">
                  <c:v>44455</c:v>
                </c:pt>
                <c:pt idx="714">
                  <c:v>44455</c:v>
                </c:pt>
                <c:pt idx="715">
                  <c:v>44455</c:v>
                </c:pt>
                <c:pt idx="716">
                  <c:v>44455</c:v>
                </c:pt>
                <c:pt idx="717">
                  <c:v>44455</c:v>
                </c:pt>
                <c:pt idx="718">
                  <c:v>44455</c:v>
                </c:pt>
                <c:pt idx="719">
                  <c:v>44455</c:v>
                </c:pt>
                <c:pt idx="720">
                  <c:v>44456</c:v>
                </c:pt>
                <c:pt idx="721">
                  <c:v>44456</c:v>
                </c:pt>
                <c:pt idx="722">
                  <c:v>44456</c:v>
                </c:pt>
                <c:pt idx="723">
                  <c:v>44456</c:v>
                </c:pt>
                <c:pt idx="724">
                  <c:v>44456</c:v>
                </c:pt>
                <c:pt idx="725">
                  <c:v>44456</c:v>
                </c:pt>
                <c:pt idx="726">
                  <c:v>44456</c:v>
                </c:pt>
                <c:pt idx="727">
                  <c:v>44456</c:v>
                </c:pt>
                <c:pt idx="728">
                  <c:v>44456</c:v>
                </c:pt>
                <c:pt idx="729">
                  <c:v>44456</c:v>
                </c:pt>
                <c:pt idx="730">
                  <c:v>44456</c:v>
                </c:pt>
                <c:pt idx="731">
                  <c:v>44456</c:v>
                </c:pt>
                <c:pt idx="732">
                  <c:v>44457</c:v>
                </c:pt>
                <c:pt idx="733">
                  <c:v>44457</c:v>
                </c:pt>
                <c:pt idx="734">
                  <c:v>44457</c:v>
                </c:pt>
                <c:pt idx="735">
                  <c:v>44457</c:v>
                </c:pt>
                <c:pt idx="736">
                  <c:v>44458</c:v>
                </c:pt>
                <c:pt idx="737">
                  <c:v>44458</c:v>
                </c:pt>
                <c:pt idx="738">
                  <c:v>44458</c:v>
                </c:pt>
                <c:pt idx="739">
                  <c:v>44459</c:v>
                </c:pt>
                <c:pt idx="740">
                  <c:v>44459</c:v>
                </c:pt>
                <c:pt idx="741">
                  <c:v>44459</c:v>
                </c:pt>
                <c:pt idx="742">
                  <c:v>44459</c:v>
                </c:pt>
                <c:pt idx="743">
                  <c:v>44460</c:v>
                </c:pt>
                <c:pt idx="744">
                  <c:v>44461</c:v>
                </c:pt>
                <c:pt idx="745">
                  <c:v>44461</c:v>
                </c:pt>
                <c:pt idx="746">
                  <c:v>44461</c:v>
                </c:pt>
                <c:pt idx="747">
                  <c:v>44461</c:v>
                </c:pt>
                <c:pt idx="748">
                  <c:v>44462</c:v>
                </c:pt>
                <c:pt idx="749">
                  <c:v>44462</c:v>
                </c:pt>
                <c:pt idx="750">
                  <c:v>44462</c:v>
                </c:pt>
                <c:pt idx="751">
                  <c:v>44462</c:v>
                </c:pt>
                <c:pt idx="752">
                  <c:v>44462</c:v>
                </c:pt>
                <c:pt idx="753">
                  <c:v>44463</c:v>
                </c:pt>
                <c:pt idx="754">
                  <c:v>44463</c:v>
                </c:pt>
                <c:pt idx="755">
                  <c:v>44463</c:v>
                </c:pt>
                <c:pt idx="756">
                  <c:v>44464</c:v>
                </c:pt>
                <c:pt idx="757">
                  <c:v>44464</c:v>
                </c:pt>
                <c:pt idx="758">
                  <c:v>44464</c:v>
                </c:pt>
                <c:pt idx="759">
                  <c:v>44464</c:v>
                </c:pt>
                <c:pt idx="760">
                  <c:v>44465</c:v>
                </c:pt>
                <c:pt idx="761">
                  <c:v>44465</c:v>
                </c:pt>
                <c:pt idx="762">
                  <c:v>44465</c:v>
                </c:pt>
                <c:pt idx="763">
                  <c:v>44466</c:v>
                </c:pt>
                <c:pt idx="764">
                  <c:v>44466</c:v>
                </c:pt>
                <c:pt idx="765">
                  <c:v>44466</c:v>
                </c:pt>
                <c:pt idx="766">
                  <c:v>44467</c:v>
                </c:pt>
                <c:pt idx="767">
                  <c:v>44467</c:v>
                </c:pt>
                <c:pt idx="768">
                  <c:v>44467</c:v>
                </c:pt>
                <c:pt idx="769">
                  <c:v>44467</c:v>
                </c:pt>
                <c:pt idx="770">
                  <c:v>44468</c:v>
                </c:pt>
                <c:pt idx="771">
                  <c:v>44468</c:v>
                </c:pt>
                <c:pt idx="772">
                  <c:v>44468</c:v>
                </c:pt>
                <c:pt idx="773">
                  <c:v>44468</c:v>
                </c:pt>
                <c:pt idx="774">
                  <c:v>44468</c:v>
                </c:pt>
              </c:numCache>
            </c:numRef>
          </c:cat>
          <c:val>
            <c:numRef>
              <c:f>Discover!$I$2:$I$776</c:f>
              <c:numCache>
                <c:formatCode>"$"#,##0.00</c:formatCode>
                <c:ptCount val="775"/>
                <c:pt idx="0">
                  <c:v>728.15</c:v>
                </c:pt>
                <c:pt idx="1">
                  <c:v>742.14</c:v>
                </c:pt>
                <c:pt idx="2">
                  <c:v>752.13</c:v>
                </c:pt>
                <c:pt idx="3">
                  <c:v>771</c:v>
                </c:pt>
                <c:pt idx="4">
                  <c:v>810.95</c:v>
                </c:pt>
                <c:pt idx="5">
                  <c:v>902.73</c:v>
                </c:pt>
                <c:pt idx="6">
                  <c:v>922.72</c:v>
                </c:pt>
                <c:pt idx="7">
                  <c:v>947.67000000000007</c:v>
                </c:pt>
                <c:pt idx="8">
                  <c:v>977.67000000000007</c:v>
                </c:pt>
                <c:pt idx="9">
                  <c:v>1001.9100000000001</c:v>
                </c:pt>
                <c:pt idx="10">
                  <c:v>1014.0000000000001</c:v>
                </c:pt>
                <c:pt idx="11">
                  <c:v>1058</c:v>
                </c:pt>
                <c:pt idx="12">
                  <c:v>1072.52</c:v>
                </c:pt>
                <c:pt idx="13">
                  <c:v>1075.8899999999999</c:v>
                </c:pt>
                <c:pt idx="14">
                  <c:v>1116.3999999999999</c:v>
                </c:pt>
                <c:pt idx="15">
                  <c:v>1146.3999999999999</c:v>
                </c:pt>
                <c:pt idx="16">
                  <c:v>1183.8999999999999</c:v>
                </c:pt>
                <c:pt idx="17">
                  <c:v>1198.8899999999999</c:v>
                </c:pt>
                <c:pt idx="18">
                  <c:v>1213.3599999999999</c:v>
                </c:pt>
                <c:pt idx="19">
                  <c:v>1224.81</c:v>
                </c:pt>
                <c:pt idx="20">
                  <c:v>1298.97</c:v>
                </c:pt>
                <c:pt idx="21">
                  <c:v>1401.97</c:v>
                </c:pt>
                <c:pt idx="22">
                  <c:v>1450.97</c:v>
                </c:pt>
                <c:pt idx="23">
                  <c:v>1474.24</c:v>
                </c:pt>
                <c:pt idx="24">
                  <c:v>1477.57</c:v>
                </c:pt>
                <c:pt idx="25">
                  <c:v>1479.56</c:v>
                </c:pt>
                <c:pt idx="26">
                  <c:v>1457.3799999999999</c:v>
                </c:pt>
                <c:pt idx="27">
                  <c:v>729.2299999999999</c:v>
                </c:pt>
                <c:pt idx="28">
                  <c:v>0</c:v>
                </c:pt>
                <c:pt idx="29">
                  <c:v>4.32</c:v>
                </c:pt>
                <c:pt idx="30">
                  <c:v>25.51</c:v>
                </c:pt>
                <c:pt idx="31">
                  <c:v>44.91</c:v>
                </c:pt>
                <c:pt idx="32">
                  <c:v>103.19999999999999</c:v>
                </c:pt>
                <c:pt idx="33">
                  <c:v>111.42999999999999</c:v>
                </c:pt>
                <c:pt idx="34">
                  <c:v>114.28999999999999</c:v>
                </c:pt>
                <c:pt idx="35">
                  <c:v>214.19</c:v>
                </c:pt>
                <c:pt idx="36">
                  <c:v>229.34</c:v>
                </c:pt>
                <c:pt idx="37">
                  <c:v>239.29</c:v>
                </c:pt>
                <c:pt idx="38">
                  <c:v>247.28</c:v>
                </c:pt>
                <c:pt idx="39">
                  <c:v>262.89</c:v>
                </c:pt>
                <c:pt idx="40">
                  <c:v>347.32</c:v>
                </c:pt>
                <c:pt idx="41">
                  <c:v>350.67</c:v>
                </c:pt>
                <c:pt idx="42">
                  <c:v>365.35</c:v>
                </c:pt>
                <c:pt idx="43">
                  <c:v>368.11</c:v>
                </c:pt>
                <c:pt idx="44">
                  <c:v>391.08000000000004</c:v>
                </c:pt>
                <c:pt idx="45">
                  <c:v>399.31000000000006</c:v>
                </c:pt>
                <c:pt idx="46">
                  <c:v>463.18000000000006</c:v>
                </c:pt>
                <c:pt idx="47">
                  <c:v>464.69000000000005</c:v>
                </c:pt>
                <c:pt idx="48">
                  <c:v>466.93000000000006</c:v>
                </c:pt>
                <c:pt idx="49">
                  <c:v>471.68000000000006</c:v>
                </c:pt>
                <c:pt idx="50">
                  <c:v>481.63000000000005</c:v>
                </c:pt>
                <c:pt idx="51">
                  <c:v>489.05000000000007</c:v>
                </c:pt>
                <c:pt idx="52">
                  <c:v>498.94000000000005</c:v>
                </c:pt>
                <c:pt idx="53">
                  <c:v>518.16000000000008</c:v>
                </c:pt>
                <c:pt idx="54">
                  <c:v>532.15000000000009</c:v>
                </c:pt>
                <c:pt idx="55">
                  <c:v>542.1400000000001</c:v>
                </c:pt>
                <c:pt idx="56">
                  <c:v>558.06000000000006</c:v>
                </c:pt>
                <c:pt idx="57">
                  <c:v>595.07000000000005</c:v>
                </c:pt>
                <c:pt idx="58">
                  <c:v>605.07000000000005</c:v>
                </c:pt>
                <c:pt idx="59">
                  <c:v>696.85</c:v>
                </c:pt>
                <c:pt idx="60">
                  <c:v>711.94</c:v>
                </c:pt>
                <c:pt idx="61">
                  <c:v>713.57</c:v>
                </c:pt>
                <c:pt idx="62">
                  <c:v>716.0200000000001</c:v>
                </c:pt>
                <c:pt idx="63">
                  <c:v>725.38000000000011</c:v>
                </c:pt>
                <c:pt idx="64">
                  <c:v>729.37000000000012</c:v>
                </c:pt>
                <c:pt idx="65">
                  <c:v>734.10000000000014</c:v>
                </c:pt>
                <c:pt idx="66">
                  <c:v>739.10000000000014</c:v>
                </c:pt>
                <c:pt idx="67">
                  <c:v>744.10000000000014</c:v>
                </c:pt>
                <c:pt idx="68">
                  <c:v>749.10000000000014</c:v>
                </c:pt>
                <c:pt idx="69">
                  <c:v>735.10000000000014</c:v>
                </c:pt>
                <c:pt idx="70">
                  <c:v>19.730000000000132</c:v>
                </c:pt>
                <c:pt idx="71">
                  <c:v>21.72000000000013</c:v>
                </c:pt>
                <c:pt idx="72">
                  <c:v>36.710000000000129</c:v>
                </c:pt>
                <c:pt idx="73">
                  <c:v>44.590000000000131</c:v>
                </c:pt>
                <c:pt idx="74">
                  <c:v>93.17000000000013</c:v>
                </c:pt>
                <c:pt idx="75">
                  <c:v>169.47000000000014</c:v>
                </c:pt>
                <c:pt idx="76">
                  <c:v>209.89000000000016</c:v>
                </c:pt>
                <c:pt idx="77">
                  <c:v>345.24000000000012</c:v>
                </c:pt>
                <c:pt idx="78">
                  <c:v>431.49000000000012</c:v>
                </c:pt>
                <c:pt idx="79">
                  <c:v>442.13000000000011</c:v>
                </c:pt>
                <c:pt idx="80">
                  <c:v>449.12000000000012</c:v>
                </c:pt>
                <c:pt idx="81">
                  <c:v>457.35000000000014</c:v>
                </c:pt>
                <c:pt idx="82">
                  <c:v>467.30000000000013</c:v>
                </c:pt>
                <c:pt idx="83">
                  <c:v>475.29000000000013</c:v>
                </c:pt>
                <c:pt idx="84">
                  <c:v>500.64000000000016</c:v>
                </c:pt>
                <c:pt idx="85">
                  <c:v>512.2800000000002</c:v>
                </c:pt>
                <c:pt idx="86">
                  <c:v>532.42000000000019</c:v>
                </c:pt>
                <c:pt idx="87">
                  <c:v>553.56000000000017</c:v>
                </c:pt>
                <c:pt idx="88">
                  <c:v>555.55000000000018</c:v>
                </c:pt>
                <c:pt idx="89">
                  <c:v>770.55000000000018</c:v>
                </c:pt>
                <c:pt idx="90">
                  <c:v>777.54000000000019</c:v>
                </c:pt>
                <c:pt idx="91">
                  <c:v>6.9900000000002365</c:v>
                </c:pt>
                <c:pt idx="92">
                  <c:v>20.660000000000238</c:v>
                </c:pt>
                <c:pt idx="93">
                  <c:v>22.650000000000237</c:v>
                </c:pt>
                <c:pt idx="94">
                  <c:v>32.640000000000235</c:v>
                </c:pt>
                <c:pt idx="95">
                  <c:v>48.880000000000237</c:v>
                </c:pt>
                <c:pt idx="96">
                  <c:v>60.420000000000236</c:v>
                </c:pt>
                <c:pt idx="97">
                  <c:v>65.420000000000243</c:v>
                </c:pt>
                <c:pt idx="98">
                  <c:v>75.370000000000246</c:v>
                </c:pt>
                <c:pt idx="99">
                  <c:v>101.25000000000024</c:v>
                </c:pt>
                <c:pt idx="100">
                  <c:v>179.94000000000023</c:v>
                </c:pt>
                <c:pt idx="101">
                  <c:v>220.09000000000023</c:v>
                </c:pt>
                <c:pt idx="102">
                  <c:v>225.26000000000022</c:v>
                </c:pt>
                <c:pt idx="103">
                  <c:v>295.25000000000023</c:v>
                </c:pt>
                <c:pt idx="104">
                  <c:v>309.24000000000024</c:v>
                </c:pt>
                <c:pt idx="105">
                  <c:v>319.23000000000025</c:v>
                </c:pt>
                <c:pt idx="106">
                  <c:v>411.01000000000022</c:v>
                </c:pt>
                <c:pt idx="107">
                  <c:v>761.01000000000022</c:v>
                </c:pt>
                <c:pt idx="108">
                  <c:v>831.01000000000022</c:v>
                </c:pt>
                <c:pt idx="109">
                  <c:v>832.01000000000022</c:v>
                </c:pt>
                <c:pt idx="110">
                  <c:v>833.01000000000022</c:v>
                </c:pt>
                <c:pt idx="111">
                  <c:v>923.39000000000021</c:v>
                </c:pt>
                <c:pt idx="112">
                  <c:v>922.39000000000021</c:v>
                </c:pt>
                <c:pt idx="113">
                  <c:v>921.39000000000021</c:v>
                </c:pt>
                <c:pt idx="114">
                  <c:v>976.39000000000021</c:v>
                </c:pt>
                <c:pt idx="115">
                  <c:v>1062.5600000000002</c:v>
                </c:pt>
                <c:pt idx="116">
                  <c:v>1080.9000000000001</c:v>
                </c:pt>
                <c:pt idx="117">
                  <c:v>1084.8900000000001</c:v>
                </c:pt>
                <c:pt idx="118">
                  <c:v>1098.3400000000001</c:v>
                </c:pt>
                <c:pt idx="119">
                  <c:v>1126.6400000000001</c:v>
                </c:pt>
                <c:pt idx="120">
                  <c:v>1160.3800000000001</c:v>
                </c:pt>
                <c:pt idx="121">
                  <c:v>1169.5700000000002</c:v>
                </c:pt>
                <c:pt idx="122">
                  <c:v>1190.7500000000002</c:v>
                </c:pt>
                <c:pt idx="123">
                  <c:v>1227.8200000000002</c:v>
                </c:pt>
                <c:pt idx="124">
                  <c:v>1247.6100000000001</c:v>
                </c:pt>
                <c:pt idx="125">
                  <c:v>1274.0600000000002</c:v>
                </c:pt>
                <c:pt idx="126">
                  <c:v>1289.7200000000003</c:v>
                </c:pt>
                <c:pt idx="127">
                  <c:v>1304.7100000000003</c:v>
                </c:pt>
                <c:pt idx="128">
                  <c:v>144.33000000000015</c:v>
                </c:pt>
                <c:pt idx="129">
                  <c:v>155.33000000000015</c:v>
                </c:pt>
                <c:pt idx="130">
                  <c:v>157.32000000000016</c:v>
                </c:pt>
                <c:pt idx="131">
                  <c:v>177.31000000000017</c:v>
                </c:pt>
                <c:pt idx="132">
                  <c:v>194.31000000000017</c:v>
                </c:pt>
                <c:pt idx="133">
                  <c:v>204.48000000000016</c:v>
                </c:pt>
                <c:pt idx="134">
                  <c:v>209.48000000000016</c:v>
                </c:pt>
                <c:pt idx="135">
                  <c:v>289.47000000000014</c:v>
                </c:pt>
                <c:pt idx="136">
                  <c:v>297.01000000000016</c:v>
                </c:pt>
                <c:pt idx="137">
                  <c:v>323.09000000000015</c:v>
                </c:pt>
                <c:pt idx="138">
                  <c:v>399.07000000000016</c:v>
                </c:pt>
                <c:pt idx="139">
                  <c:v>485.32000000000016</c:v>
                </c:pt>
                <c:pt idx="140">
                  <c:v>505.32000000000016</c:v>
                </c:pt>
                <c:pt idx="141">
                  <c:v>535.6600000000002</c:v>
                </c:pt>
                <c:pt idx="142">
                  <c:v>521.61000000000024</c:v>
                </c:pt>
                <c:pt idx="143">
                  <c:v>50.340000000000259</c:v>
                </c:pt>
                <c:pt idx="144">
                  <c:v>2.5579538487363607E-13</c:v>
                </c:pt>
                <c:pt idx="145">
                  <c:v>24.750000000000256</c:v>
                </c:pt>
                <c:pt idx="146">
                  <c:v>111.32000000000025</c:v>
                </c:pt>
                <c:pt idx="147">
                  <c:v>121.82000000000025</c:v>
                </c:pt>
                <c:pt idx="148">
                  <c:v>124.57000000000025</c:v>
                </c:pt>
                <c:pt idx="149">
                  <c:v>127.32000000000025</c:v>
                </c:pt>
                <c:pt idx="150">
                  <c:v>130.07000000000025</c:v>
                </c:pt>
                <c:pt idx="151">
                  <c:v>137.06000000000026</c:v>
                </c:pt>
                <c:pt idx="152">
                  <c:v>164.82000000000025</c:v>
                </c:pt>
                <c:pt idx="153">
                  <c:v>174.77000000000024</c:v>
                </c:pt>
                <c:pt idx="154">
                  <c:v>239.76000000000022</c:v>
                </c:pt>
                <c:pt idx="155">
                  <c:v>247.75000000000023</c:v>
                </c:pt>
                <c:pt idx="156">
                  <c:v>250.50000000000023</c:v>
                </c:pt>
                <c:pt idx="157">
                  <c:v>264.60000000000025</c:v>
                </c:pt>
                <c:pt idx="158">
                  <c:v>281.54000000000025</c:v>
                </c:pt>
                <c:pt idx="159">
                  <c:v>298.23000000000025</c:v>
                </c:pt>
                <c:pt idx="160">
                  <c:v>418.23000000000025</c:v>
                </c:pt>
                <c:pt idx="161">
                  <c:v>433.22000000000025</c:v>
                </c:pt>
                <c:pt idx="162">
                  <c:v>574.81000000000029</c:v>
                </c:pt>
                <c:pt idx="163">
                  <c:v>310.21000000000026</c:v>
                </c:pt>
                <c:pt idx="164">
                  <c:v>312.96000000000026</c:v>
                </c:pt>
                <c:pt idx="165">
                  <c:v>315.71000000000026</c:v>
                </c:pt>
                <c:pt idx="166">
                  <c:v>338.65000000000026</c:v>
                </c:pt>
                <c:pt idx="167">
                  <c:v>341.40000000000026</c:v>
                </c:pt>
                <c:pt idx="168">
                  <c:v>344.15000000000026</c:v>
                </c:pt>
                <c:pt idx="169">
                  <c:v>354.14000000000027</c:v>
                </c:pt>
                <c:pt idx="170">
                  <c:v>370.08000000000027</c:v>
                </c:pt>
                <c:pt idx="171">
                  <c:v>375.08000000000027</c:v>
                </c:pt>
                <c:pt idx="172">
                  <c:v>385.03000000000026</c:v>
                </c:pt>
                <c:pt idx="173">
                  <c:v>393.16000000000025</c:v>
                </c:pt>
                <c:pt idx="174">
                  <c:v>416.81000000000023</c:v>
                </c:pt>
                <c:pt idx="175">
                  <c:v>465.0300000000002</c:v>
                </c:pt>
                <c:pt idx="176">
                  <c:v>0</c:v>
                </c:pt>
                <c:pt idx="177">
                  <c:v>14.83</c:v>
                </c:pt>
                <c:pt idx="178">
                  <c:v>24.82</c:v>
                </c:pt>
                <c:pt idx="179">
                  <c:v>26.81</c:v>
                </c:pt>
                <c:pt idx="180">
                  <c:v>41.81</c:v>
                </c:pt>
                <c:pt idx="181">
                  <c:v>62.47</c:v>
                </c:pt>
                <c:pt idx="182">
                  <c:v>79.900000000000006</c:v>
                </c:pt>
                <c:pt idx="183">
                  <c:v>171.68</c:v>
                </c:pt>
                <c:pt idx="184">
                  <c:v>172.67000000000002</c:v>
                </c:pt>
                <c:pt idx="185">
                  <c:v>342.52</c:v>
                </c:pt>
                <c:pt idx="186">
                  <c:v>353.4</c:v>
                </c:pt>
                <c:pt idx="187">
                  <c:v>357.64</c:v>
                </c:pt>
                <c:pt idx="188">
                  <c:v>442.59</c:v>
                </c:pt>
                <c:pt idx="189">
                  <c:v>450.02</c:v>
                </c:pt>
                <c:pt idx="190">
                  <c:v>454.26</c:v>
                </c:pt>
                <c:pt idx="191">
                  <c:v>572.05999999999995</c:v>
                </c:pt>
                <c:pt idx="192">
                  <c:v>122.03999999999996</c:v>
                </c:pt>
                <c:pt idx="193">
                  <c:v>137.03999999999996</c:v>
                </c:pt>
                <c:pt idx="194">
                  <c:v>142.68999999999997</c:v>
                </c:pt>
                <c:pt idx="195">
                  <c:v>147.18999999999997</c:v>
                </c:pt>
                <c:pt idx="196">
                  <c:v>152.84999999999997</c:v>
                </c:pt>
                <c:pt idx="197">
                  <c:v>169.21999999999997</c:v>
                </c:pt>
                <c:pt idx="198">
                  <c:v>172.21999999999997</c:v>
                </c:pt>
                <c:pt idx="199">
                  <c:v>181.51999999999998</c:v>
                </c:pt>
                <c:pt idx="200">
                  <c:v>183.51</c:v>
                </c:pt>
                <c:pt idx="201">
                  <c:v>244.56</c:v>
                </c:pt>
                <c:pt idx="202">
                  <c:v>252.47</c:v>
                </c:pt>
                <c:pt idx="203">
                  <c:v>287.47000000000003</c:v>
                </c:pt>
                <c:pt idx="204">
                  <c:v>291.87</c:v>
                </c:pt>
                <c:pt idx="205">
                  <c:v>299.54000000000002</c:v>
                </c:pt>
                <c:pt idx="206">
                  <c:v>315.43</c:v>
                </c:pt>
                <c:pt idx="207">
                  <c:v>341.14</c:v>
                </c:pt>
                <c:pt idx="208">
                  <c:v>367.61</c:v>
                </c:pt>
                <c:pt idx="209">
                  <c:v>393.12</c:v>
                </c:pt>
                <c:pt idx="210">
                  <c:v>419.52</c:v>
                </c:pt>
                <c:pt idx="211">
                  <c:v>423.15</c:v>
                </c:pt>
                <c:pt idx="212">
                  <c:v>440.28999999999996</c:v>
                </c:pt>
                <c:pt idx="213">
                  <c:v>419.23999999999995</c:v>
                </c:pt>
                <c:pt idx="214">
                  <c:v>449.23999999999995</c:v>
                </c:pt>
                <c:pt idx="215">
                  <c:v>608.24</c:v>
                </c:pt>
                <c:pt idx="216">
                  <c:v>634.32000000000005</c:v>
                </c:pt>
                <c:pt idx="217">
                  <c:v>641.31000000000006</c:v>
                </c:pt>
                <c:pt idx="218">
                  <c:v>645.55000000000007</c:v>
                </c:pt>
                <c:pt idx="219">
                  <c:v>655.50000000000011</c:v>
                </c:pt>
                <c:pt idx="220">
                  <c:v>663.49000000000012</c:v>
                </c:pt>
                <c:pt idx="221">
                  <c:v>708.10000000000014</c:v>
                </c:pt>
                <c:pt idx="222">
                  <c:v>755.71000000000015</c:v>
                </c:pt>
                <c:pt idx="223">
                  <c:v>840.38000000000011</c:v>
                </c:pt>
                <c:pt idx="224">
                  <c:v>846.16000000000008</c:v>
                </c:pt>
                <c:pt idx="225">
                  <c:v>858.40000000000009</c:v>
                </c:pt>
                <c:pt idx="226">
                  <c:v>871.67000000000007</c:v>
                </c:pt>
                <c:pt idx="227">
                  <c:v>898.6400000000001</c:v>
                </c:pt>
                <c:pt idx="228">
                  <c:v>908.63000000000011</c:v>
                </c:pt>
                <c:pt idx="229">
                  <c:v>913.63000000000011</c:v>
                </c:pt>
                <c:pt idx="230">
                  <c:v>915.75000000000011</c:v>
                </c:pt>
                <c:pt idx="231">
                  <c:v>944.29000000000008</c:v>
                </c:pt>
                <c:pt idx="232">
                  <c:v>968.24000000000012</c:v>
                </c:pt>
                <c:pt idx="233">
                  <c:v>1023.9000000000001</c:v>
                </c:pt>
                <c:pt idx="234">
                  <c:v>1044.8200000000002</c:v>
                </c:pt>
                <c:pt idx="235">
                  <c:v>1046.94</c:v>
                </c:pt>
                <c:pt idx="236">
                  <c:v>1054.48</c:v>
                </c:pt>
                <c:pt idx="237">
                  <c:v>1069.31</c:v>
                </c:pt>
                <c:pt idx="238">
                  <c:v>1079.3</c:v>
                </c:pt>
                <c:pt idx="239">
                  <c:v>1097.7</c:v>
                </c:pt>
                <c:pt idx="240">
                  <c:v>1167.22</c:v>
                </c:pt>
                <c:pt idx="241">
                  <c:v>1192.6400000000001</c:v>
                </c:pt>
                <c:pt idx="242">
                  <c:v>1235.0200000000002</c:v>
                </c:pt>
                <c:pt idx="243">
                  <c:v>1284.5500000000002</c:v>
                </c:pt>
                <c:pt idx="244">
                  <c:v>1328.5500000000002</c:v>
                </c:pt>
                <c:pt idx="245">
                  <c:v>1347.5100000000002</c:v>
                </c:pt>
                <c:pt idx="246">
                  <c:v>1386.2500000000002</c:v>
                </c:pt>
                <c:pt idx="247">
                  <c:v>1347.5100000000002</c:v>
                </c:pt>
                <c:pt idx="248">
                  <c:v>1349.5000000000002</c:v>
                </c:pt>
                <c:pt idx="249">
                  <c:v>1380.2300000000002</c:v>
                </c:pt>
                <c:pt idx="250">
                  <c:v>1381.7300000000002</c:v>
                </c:pt>
                <c:pt idx="251">
                  <c:v>1409.3000000000002</c:v>
                </c:pt>
                <c:pt idx="252">
                  <c:v>1415.2900000000002</c:v>
                </c:pt>
                <c:pt idx="253">
                  <c:v>1469.89</c:v>
                </c:pt>
                <c:pt idx="254">
                  <c:v>1543.2600000000002</c:v>
                </c:pt>
                <c:pt idx="255">
                  <c:v>1635.0400000000002</c:v>
                </c:pt>
                <c:pt idx="256">
                  <c:v>230.94000000000028</c:v>
                </c:pt>
                <c:pt idx="257">
                  <c:v>241.42000000000027</c:v>
                </c:pt>
                <c:pt idx="258">
                  <c:v>336.37000000000029</c:v>
                </c:pt>
                <c:pt idx="259">
                  <c:v>434.85000000000031</c:v>
                </c:pt>
                <c:pt idx="260">
                  <c:v>545.4200000000003</c:v>
                </c:pt>
                <c:pt idx="261">
                  <c:v>561.31000000000029</c:v>
                </c:pt>
                <c:pt idx="262">
                  <c:v>639.25000000000023</c:v>
                </c:pt>
                <c:pt idx="263">
                  <c:v>640.77000000000021</c:v>
                </c:pt>
                <c:pt idx="264">
                  <c:v>655.1600000000002</c:v>
                </c:pt>
                <c:pt idx="265">
                  <c:v>741.33000000000015</c:v>
                </c:pt>
                <c:pt idx="266">
                  <c:v>755.19000000000017</c:v>
                </c:pt>
                <c:pt idx="267">
                  <c:v>757.19000000000017</c:v>
                </c:pt>
                <c:pt idx="268">
                  <c:v>759.18000000000018</c:v>
                </c:pt>
                <c:pt idx="269">
                  <c:v>789.46000000000015</c:v>
                </c:pt>
                <c:pt idx="270">
                  <c:v>879.46000000000015</c:v>
                </c:pt>
                <c:pt idx="271">
                  <c:v>899.19000000000017</c:v>
                </c:pt>
                <c:pt idx="272">
                  <c:v>906.80000000000018</c:v>
                </c:pt>
                <c:pt idx="273">
                  <c:v>922.80000000000018</c:v>
                </c:pt>
                <c:pt idx="274">
                  <c:v>935.44000000000017</c:v>
                </c:pt>
                <c:pt idx="275">
                  <c:v>967.23000000000013</c:v>
                </c:pt>
                <c:pt idx="276">
                  <c:v>975.50000000000011</c:v>
                </c:pt>
                <c:pt idx="277">
                  <c:v>1007.2900000000001</c:v>
                </c:pt>
                <c:pt idx="278">
                  <c:v>1030</c:v>
                </c:pt>
                <c:pt idx="279">
                  <c:v>1116.25</c:v>
                </c:pt>
                <c:pt idx="280">
                  <c:v>1128.96</c:v>
                </c:pt>
                <c:pt idx="281">
                  <c:v>1220.81</c:v>
                </c:pt>
                <c:pt idx="282">
                  <c:v>1289.6599999999999</c:v>
                </c:pt>
                <c:pt idx="283">
                  <c:v>1312.2399999999998</c:v>
                </c:pt>
                <c:pt idx="284">
                  <c:v>1330.1099999999997</c:v>
                </c:pt>
                <c:pt idx="285">
                  <c:v>1357.0799999999997</c:v>
                </c:pt>
                <c:pt idx="286">
                  <c:v>1373.0799999999997</c:v>
                </c:pt>
                <c:pt idx="287">
                  <c:v>1381.0699999999997</c:v>
                </c:pt>
                <c:pt idx="288">
                  <c:v>1412.3199999999997</c:v>
                </c:pt>
                <c:pt idx="289">
                  <c:v>1463.0199999999998</c:v>
                </c:pt>
                <c:pt idx="290">
                  <c:v>1500.9099999999999</c:v>
                </c:pt>
                <c:pt idx="291">
                  <c:v>1535.9099999999999</c:v>
                </c:pt>
                <c:pt idx="292">
                  <c:v>1537.9099999999999</c:v>
                </c:pt>
                <c:pt idx="293">
                  <c:v>125.58999999999992</c:v>
                </c:pt>
                <c:pt idx="294">
                  <c:v>138.17999999999992</c:v>
                </c:pt>
                <c:pt idx="295">
                  <c:v>143.46999999999991</c:v>
                </c:pt>
                <c:pt idx="296">
                  <c:v>178.46999999999991</c:v>
                </c:pt>
                <c:pt idx="297">
                  <c:v>191.05999999999992</c:v>
                </c:pt>
                <c:pt idx="298">
                  <c:v>213.30999999999992</c:v>
                </c:pt>
                <c:pt idx="299">
                  <c:v>230.67999999999992</c:v>
                </c:pt>
                <c:pt idx="300">
                  <c:v>240.66999999999993</c:v>
                </c:pt>
                <c:pt idx="301">
                  <c:v>267.01999999999992</c:v>
                </c:pt>
                <c:pt idx="302">
                  <c:v>553.32999999999993</c:v>
                </c:pt>
                <c:pt idx="303">
                  <c:v>574.56999999999994</c:v>
                </c:pt>
                <c:pt idx="304">
                  <c:v>626.33999999999992</c:v>
                </c:pt>
                <c:pt idx="305">
                  <c:v>655.25999999999988</c:v>
                </c:pt>
                <c:pt idx="306">
                  <c:v>682.09999999999991</c:v>
                </c:pt>
                <c:pt idx="307">
                  <c:v>721.3</c:v>
                </c:pt>
                <c:pt idx="308">
                  <c:v>725.44999999999993</c:v>
                </c:pt>
                <c:pt idx="309">
                  <c:v>748.52</c:v>
                </c:pt>
                <c:pt idx="310">
                  <c:v>802.52</c:v>
                </c:pt>
                <c:pt idx="311">
                  <c:v>837.52</c:v>
                </c:pt>
                <c:pt idx="312">
                  <c:v>845.8</c:v>
                </c:pt>
                <c:pt idx="313">
                  <c:v>906.71999999999991</c:v>
                </c:pt>
                <c:pt idx="314">
                  <c:v>924.02999999999986</c:v>
                </c:pt>
                <c:pt idx="315">
                  <c:v>961.11999999999989</c:v>
                </c:pt>
                <c:pt idx="316">
                  <c:v>970.66999999999985</c:v>
                </c:pt>
                <c:pt idx="317">
                  <c:v>991.8499999999998</c:v>
                </c:pt>
                <c:pt idx="318">
                  <c:v>1049.1199999999999</c:v>
                </c:pt>
                <c:pt idx="319">
                  <c:v>1098.1199999999999</c:v>
                </c:pt>
                <c:pt idx="320">
                  <c:v>1112.9499999999998</c:v>
                </c:pt>
                <c:pt idx="321">
                  <c:v>1122.9399999999998</c:v>
                </c:pt>
                <c:pt idx="322">
                  <c:v>1151.9799999999998</c:v>
                </c:pt>
                <c:pt idx="323">
                  <c:v>1161.9799999999998</c:v>
                </c:pt>
                <c:pt idx="324">
                  <c:v>1162.3799999999999</c:v>
                </c:pt>
                <c:pt idx="325">
                  <c:v>1212.3699999999999</c:v>
                </c:pt>
                <c:pt idx="326">
                  <c:v>1214.3599999999999</c:v>
                </c:pt>
                <c:pt idx="327">
                  <c:v>1226.3499999999999</c:v>
                </c:pt>
                <c:pt idx="328">
                  <c:v>1304.3499999999999</c:v>
                </c:pt>
                <c:pt idx="329">
                  <c:v>1374.23</c:v>
                </c:pt>
                <c:pt idx="330">
                  <c:v>1479.23</c:v>
                </c:pt>
                <c:pt idx="331">
                  <c:v>110.91000000000008</c:v>
                </c:pt>
                <c:pt idx="332">
                  <c:v>195.71000000000009</c:v>
                </c:pt>
                <c:pt idx="333">
                  <c:v>284.0800000000001</c:v>
                </c:pt>
                <c:pt idx="334">
                  <c:v>285.44000000000011</c:v>
                </c:pt>
                <c:pt idx="335">
                  <c:v>299.16000000000014</c:v>
                </c:pt>
                <c:pt idx="336">
                  <c:v>379.71000000000015</c:v>
                </c:pt>
                <c:pt idx="337">
                  <c:v>380.76000000000016</c:v>
                </c:pt>
                <c:pt idx="338">
                  <c:v>412.53000000000014</c:v>
                </c:pt>
                <c:pt idx="339">
                  <c:v>605.3900000000001</c:v>
                </c:pt>
                <c:pt idx="340">
                  <c:v>700.34000000000015</c:v>
                </c:pt>
                <c:pt idx="341">
                  <c:v>810.5300000000002</c:v>
                </c:pt>
                <c:pt idx="342">
                  <c:v>815.52000000000021</c:v>
                </c:pt>
                <c:pt idx="343">
                  <c:v>819.4100000000002</c:v>
                </c:pt>
                <c:pt idx="344">
                  <c:v>897.35000000000014</c:v>
                </c:pt>
                <c:pt idx="345">
                  <c:v>922.41000000000008</c:v>
                </c:pt>
                <c:pt idx="346">
                  <c:v>928.66000000000008</c:v>
                </c:pt>
                <c:pt idx="347">
                  <c:v>938.65000000000009</c:v>
                </c:pt>
                <c:pt idx="348">
                  <c:v>950.6400000000001</c:v>
                </c:pt>
                <c:pt idx="349">
                  <c:v>953.7700000000001</c:v>
                </c:pt>
                <c:pt idx="350">
                  <c:v>969.66000000000008</c:v>
                </c:pt>
                <c:pt idx="351">
                  <c:v>986.44</c:v>
                </c:pt>
                <c:pt idx="352">
                  <c:v>1038.55</c:v>
                </c:pt>
                <c:pt idx="353">
                  <c:v>1070.3499999999999</c:v>
                </c:pt>
                <c:pt idx="354">
                  <c:v>1078.7199999999998</c:v>
                </c:pt>
                <c:pt idx="355">
                  <c:v>1078.9599999999998</c:v>
                </c:pt>
                <c:pt idx="356">
                  <c:v>1093.1399999999999</c:v>
                </c:pt>
                <c:pt idx="357">
                  <c:v>1095.1299999999999</c:v>
                </c:pt>
                <c:pt idx="358">
                  <c:v>1097.4499999999998</c:v>
                </c:pt>
                <c:pt idx="359">
                  <c:v>1127.5699999999997</c:v>
                </c:pt>
                <c:pt idx="360">
                  <c:v>1321.5699999999997</c:v>
                </c:pt>
                <c:pt idx="361">
                  <c:v>1324.6999999999998</c:v>
                </c:pt>
                <c:pt idx="362">
                  <c:v>1374.6999999999998</c:v>
                </c:pt>
                <c:pt idx="363">
                  <c:v>1382.5199999999998</c:v>
                </c:pt>
                <c:pt idx="364">
                  <c:v>1468.7699999999998</c:v>
                </c:pt>
                <c:pt idx="365">
                  <c:v>1479.8199999999997</c:v>
                </c:pt>
                <c:pt idx="366">
                  <c:v>1554.0099999999998</c:v>
                </c:pt>
                <c:pt idx="367">
                  <c:v>1571.5399999999997</c:v>
                </c:pt>
                <c:pt idx="368">
                  <c:v>1576.9399999999998</c:v>
                </c:pt>
                <c:pt idx="369">
                  <c:v>1604.8099999999997</c:v>
                </c:pt>
                <c:pt idx="370">
                  <c:v>1608.6199999999997</c:v>
                </c:pt>
                <c:pt idx="371">
                  <c:v>1683.6199999999997</c:v>
                </c:pt>
                <c:pt idx="372">
                  <c:v>1691.6099999999997</c:v>
                </c:pt>
                <c:pt idx="373">
                  <c:v>1751.9899999999998</c:v>
                </c:pt>
                <c:pt idx="374">
                  <c:v>1951.9899999999998</c:v>
                </c:pt>
                <c:pt idx="375">
                  <c:v>1986.9899999999998</c:v>
                </c:pt>
                <c:pt idx="376">
                  <c:v>2185.9899999999998</c:v>
                </c:pt>
                <c:pt idx="377">
                  <c:v>316.98999999999978</c:v>
                </c:pt>
                <c:pt idx="378">
                  <c:v>338.98999999999978</c:v>
                </c:pt>
                <c:pt idx="379">
                  <c:v>375.50999999999976</c:v>
                </c:pt>
                <c:pt idx="380">
                  <c:v>464.35999999999979</c:v>
                </c:pt>
                <c:pt idx="381">
                  <c:v>519.4699999999998</c:v>
                </c:pt>
                <c:pt idx="382">
                  <c:v>528.0999999999998</c:v>
                </c:pt>
                <c:pt idx="383">
                  <c:v>796.24999999999977</c:v>
                </c:pt>
                <c:pt idx="384">
                  <c:v>805.31999999999982</c:v>
                </c:pt>
                <c:pt idx="385">
                  <c:v>808.06999999999982</c:v>
                </c:pt>
                <c:pt idx="386">
                  <c:v>810.81999999999982</c:v>
                </c:pt>
                <c:pt idx="387">
                  <c:v>805.41999999999985</c:v>
                </c:pt>
                <c:pt idx="388">
                  <c:v>815.41999999999985</c:v>
                </c:pt>
                <c:pt idx="389">
                  <c:v>819.40999999999985</c:v>
                </c:pt>
                <c:pt idx="390">
                  <c:v>822.15999999999985</c:v>
                </c:pt>
                <c:pt idx="391">
                  <c:v>824.90999999999985</c:v>
                </c:pt>
                <c:pt idx="392">
                  <c:v>834.89999999999986</c:v>
                </c:pt>
                <c:pt idx="393">
                  <c:v>845.14999999999986</c:v>
                </c:pt>
                <c:pt idx="394">
                  <c:v>866.91999999999985</c:v>
                </c:pt>
                <c:pt idx="395">
                  <c:v>872.29999999999984</c:v>
                </c:pt>
                <c:pt idx="396">
                  <c:v>875.04999999999984</c:v>
                </c:pt>
                <c:pt idx="397">
                  <c:v>927.06999999999982</c:v>
                </c:pt>
                <c:pt idx="398">
                  <c:v>871.95999999999981</c:v>
                </c:pt>
                <c:pt idx="399">
                  <c:v>874.70999999999981</c:v>
                </c:pt>
                <c:pt idx="400">
                  <c:v>877.45999999999981</c:v>
                </c:pt>
                <c:pt idx="401">
                  <c:v>920.99999999999977</c:v>
                </c:pt>
                <c:pt idx="402">
                  <c:v>927.3399999999998</c:v>
                </c:pt>
                <c:pt idx="403">
                  <c:v>970.9699999999998</c:v>
                </c:pt>
                <c:pt idx="404">
                  <c:v>99.009999999999764</c:v>
                </c:pt>
                <c:pt idx="405">
                  <c:v>113.83999999999976</c:v>
                </c:pt>
                <c:pt idx="406">
                  <c:v>1494.4699999999998</c:v>
                </c:pt>
                <c:pt idx="407">
                  <c:v>1504.4599999999998</c:v>
                </c:pt>
                <c:pt idx="408">
                  <c:v>1724.4599999999998</c:v>
                </c:pt>
                <c:pt idx="409">
                  <c:v>1854.2599999999998</c:v>
                </c:pt>
                <c:pt idx="410">
                  <c:v>1926.0399999999997</c:v>
                </c:pt>
                <c:pt idx="411">
                  <c:v>1939.9199999999998</c:v>
                </c:pt>
                <c:pt idx="412">
                  <c:v>1946.1599999999999</c:v>
                </c:pt>
                <c:pt idx="413">
                  <c:v>1956.1599999999999</c:v>
                </c:pt>
                <c:pt idx="414">
                  <c:v>1959.1599999999999</c:v>
                </c:pt>
                <c:pt idx="415">
                  <c:v>1961.9099999999999</c:v>
                </c:pt>
                <c:pt idx="416">
                  <c:v>1964.6599999999999</c:v>
                </c:pt>
                <c:pt idx="417">
                  <c:v>1974.0199999999998</c:v>
                </c:pt>
                <c:pt idx="418">
                  <c:v>2173.4199999999996</c:v>
                </c:pt>
                <c:pt idx="419">
                  <c:v>2043.7199999999996</c:v>
                </c:pt>
                <c:pt idx="420">
                  <c:v>2106.2599999999998</c:v>
                </c:pt>
                <c:pt idx="421">
                  <c:v>2109.0099999999998</c:v>
                </c:pt>
                <c:pt idx="422">
                  <c:v>2111.7599999999998</c:v>
                </c:pt>
                <c:pt idx="423">
                  <c:v>2114.5099999999998</c:v>
                </c:pt>
                <c:pt idx="424">
                  <c:v>2117.2599999999998</c:v>
                </c:pt>
                <c:pt idx="425">
                  <c:v>2120.0099999999998</c:v>
                </c:pt>
                <c:pt idx="426">
                  <c:v>2122.7599999999998</c:v>
                </c:pt>
                <c:pt idx="427">
                  <c:v>2134.7499999999995</c:v>
                </c:pt>
                <c:pt idx="428">
                  <c:v>2226.8199999999997</c:v>
                </c:pt>
                <c:pt idx="429">
                  <c:v>2256.7199999999998</c:v>
                </c:pt>
                <c:pt idx="430">
                  <c:v>402.45999999999981</c:v>
                </c:pt>
                <c:pt idx="431">
                  <c:v>480.62999999999982</c:v>
                </c:pt>
                <c:pt idx="432">
                  <c:v>518.24999999999977</c:v>
                </c:pt>
                <c:pt idx="433">
                  <c:v>520.99999999999977</c:v>
                </c:pt>
                <c:pt idx="434">
                  <c:v>523.74999999999977</c:v>
                </c:pt>
                <c:pt idx="435">
                  <c:v>526.49999999999977</c:v>
                </c:pt>
                <c:pt idx="436">
                  <c:v>529.24999999999977</c:v>
                </c:pt>
                <c:pt idx="437">
                  <c:v>580.68999999999983</c:v>
                </c:pt>
                <c:pt idx="438">
                  <c:v>212.95999999999981</c:v>
                </c:pt>
                <c:pt idx="439">
                  <c:v>223.85999999999981</c:v>
                </c:pt>
                <c:pt idx="440">
                  <c:v>256.18999999999983</c:v>
                </c:pt>
                <c:pt idx="441">
                  <c:v>305.17999999999984</c:v>
                </c:pt>
                <c:pt idx="442">
                  <c:v>114.38999999999984</c:v>
                </c:pt>
                <c:pt idx="443">
                  <c:v>209.33999999999986</c:v>
                </c:pt>
                <c:pt idx="444">
                  <c:v>224.33999999999986</c:v>
                </c:pt>
                <c:pt idx="445">
                  <c:v>607.31999999999994</c:v>
                </c:pt>
                <c:pt idx="446">
                  <c:v>635.41999999999996</c:v>
                </c:pt>
                <c:pt idx="447">
                  <c:v>663.09999999999991</c:v>
                </c:pt>
                <c:pt idx="448">
                  <c:v>683.08999999999992</c:v>
                </c:pt>
                <c:pt idx="449">
                  <c:v>718.08999999999992</c:v>
                </c:pt>
                <c:pt idx="450">
                  <c:v>731.20999999999992</c:v>
                </c:pt>
                <c:pt idx="451">
                  <c:v>792.03</c:v>
                </c:pt>
                <c:pt idx="452">
                  <c:v>816.31999999999994</c:v>
                </c:pt>
                <c:pt idx="453">
                  <c:v>832.20999999999992</c:v>
                </c:pt>
                <c:pt idx="454">
                  <c:v>897.3599999999999</c:v>
                </c:pt>
                <c:pt idx="455">
                  <c:v>1298.8699999999999</c:v>
                </c:pt>
                <c:pt idx="456">
                  <c:v>1385.12</c:v>
                </c:pt>
                <c:pt idx="457">
                  <c:v>1393.9099999999999</c:v>
                </c:pt>
                <c:pt idx="458">
                  <c:v>1410.58</c:v>
                </c:pt>
                <c:pt idx="459">
                  <c:v>1417.25</c:v>
                </c:pt>
                <c:pt idx="460">
                  <c:v>1419.24</c:v>
                </c:pt>
                <c:pt idx="461">
                  <c:v>1426.58</c:v>
                </c:pt>
                <c:pt idx="462">
                  <c:v>1443.54</c:v>
                </c:pt>
                <c:pt idx="463">
                  <c:v>1463.54</c:v>
                </c:pt>
                <c:pt idx="464">
                  <c:v>1530.76</c:v>
                </c:pt>
                <c:pt idx="465">
                  <c:v>1644.72</c:v>
                </c:pt>
                <c:pt idx="466">
                  <c:v>1704.72</c:v>
                </c:pt>
                <c:pt idx="467">
                  <c:v>1744.72</c:v>
                </c:pt>
                <c:pt idx="468">
                  <c:v>1761.32</c:v>
                </c:pt>
                <c:pt idx="469">
                  <c:v>1786.32</c:v>
                </c:pt>
                <c:pt idx="470">
                  <c:v>1843.1299999999999</c:v>
                </c:pt>
                <c:pt idx="471">
                  <c:v>1899.9399999999998</c:v>
                </c:pt>
                <c:pt idx="472">
                  <c:v>1969.9199999999998</c:v>
                </c:pt>
                <c:pt idx="473">
                  <c:v>1975.62</c:v>
                </c:pt>
                <c:pt idx="474">
                  <c:v>1996.1599999999999</c:v>
                </c:pt>
                <c:pt idx="475">
                  <c:v>996.15999999999985</c:v>
                </c:pt>
                <c:pt idx="476">
                  <c:v>1026.4499999999998</c:v>
                </c:pt>
                <c:pt idx="477">
                  <c:v>1031.4399999999998</c:v>
                </c:pt>
                <c:pt idx="478">
                  <c:v>1091.4299999999998</c:v>
                </c:pt>
                <c:pt idx="479">
                  <c:v>1141.4299999999998</c:v>
                </c:pt>
                <c:pt idx="480">
                  <c:v>1147.2999999999997</c:v>
                </c:pt>
                <c:pt idx="481">
                  <c:v>1156.1699999999996</c:v>
                </c:pt>
                <c:pt idx="482">
                  <c:v>1169.4799999999996</c:v>
                </c:pt>
                <c:pt idx="483">
                  <c:v>1196.3999999999996</c:v>
                </c:pt>
                <c:pt idx="484">
                  <c:v>1224.2199999999996</c:v>
                </c:pt>
                <c:pt idx="485">
                  <c:v>1267.0099999999995</c:v>
                </c:pt>
                <c:pt idx="486">
                  <c:v>1309.8099999999995</c:v>
                </c:pt>
                <c:pt idx="487">
                  <c:v>1334.8099999999995</c:v>
                </c:pt>
                <c:pt idx="488">
                  <c:v>1344.8099999999995</c:v>
                </c:pt>
                <c:pt idx="489">
                  <c:v>1354.5299999999995</c:v>
                </c:pt>
                <c:pt idx="490">
                  <c:v>1368.5899999999995</c:v>
                </c:pt>
                <c:pt idx="491">
                  <c:v>1373.3799999999994</c:v>
                </c:pt>
                <c:pt idx="492">
                  <c:v>1388.1299999999994</c:v>
                </c:pt>
                <c:pt idx="493">
                  <c:v>1410.7599999999995</c:v>
                </c:pt>
                <c:pt idx="494">
                  <c:v>1415.7599999999995</c:v>
                </c:pt>
                <c:pt idx="495">
                  <c:v>1609.7599999999995</c:v>
                </c:pt>
                <c:pt idx="496">
                  <c:v>1415.7599999999995</c:v>
                </c:pt>
                <c:pt idx="497">
                  <c:v>1425.2199999999996</c:v>
                </c:pt>
                <c:pt idx="498">
                  <c:v>1495.2599999999995</c:v>
                </c:pt>
                <c:pt idx="499">
                  <c:v>1511.1399999999996</c:v>
                </c:pt>
                <c:pt idx="500">
                  <c:v>1539.7399999999996</c:v>
                </c:pt>
                <c:pt idx="501">
                  <c:v>1557.7399999999996</c:v>
                </c:pt>
                <c:pt idx="502">
                  <c:v>1614.0299999999995</c:v>
                </c:pt>
                <c:pt idx="503">
                  <c:v>1634.0499999999995</c:v>
                </c:pt>
                <c:pt idx="504">
                  <c:v>1638.2799999999995</c:v>
                </c:pt>
                <c:pt idx="505">
                  <c:v>1650.9899999999996</c:v>
                </c:pt>
                <c:pt idx="506">
                  <c:v>1658.9799999999996</c:v>
                </c:pt>
                <c:pt idx="507">
                  <c:v>1693.9799999999996</c:v>
                </c:pt>
                <c:pt idx="508">
                  <c:v>175.32999999999947</c:v>
                </c:pt>
                <c:pt idx="509">
                  <c:v>193.31999999999948</c:v>
                </c:pt>
                <c:pt idx="510">
                  <c:v>226.65999999999948</c:v>
                </c:pt>
                <c:pt idx="511">
                  <c:v>259.40999999999951</c:v>
                </c:pt>
                <c:pt idx="512">
                  <c:v>262.40999999999951</c:v>
                </c:pt>
                <c:pt idx="513">
                  <c:v>263.52999999999952</c:v>
                </c:pt>
                <c:pt idx="514">
                  <c:v>273.51999999999953</c:v>
                </c:pt>
                <c:pt idx="515">
                  <c:v>303.01999999999953</c:v>
                </c:pt>
                <c:pt idx="516">
                  <c:v>627.05999999999949</c:v>
                </c:pt>
                <c:pt idx="517">
                  <c:v>689.02999999999952</c:v>
                </c:pt>
                <c:pt idx="518">
                  <c:v>719.02999999999952</c:v>
                </c:pt>
                <c:pt idx="519">
                  <c:v>727.32999999999947</c:v>
                </c:pt>
                <c:pt idx="520">
                  <c:v>742.62999999999943</c:v>
                </c:pt>
                <c:pt idx="521">
                  <c:v>746.4099999999994</c:v>
                </c:pt>
                <c:pt idx="522">
                  <c:v>758.42999999999938</c:v>
                </c:pt>
                <c:pt idx="523">
                  <c:v>842.42999999999938</c:v>
                </c:pt>
                <c:pt idx="524">
                  <c:v>851.42999999999938</c:v>
                </c:pt>
                <c:pt idx="525">
                  <c:v>866.25999999999942</c:v>
                </c:pt>
                <c:pt idx="526">
                  <c:v>896.31999999999937</c:v>
                </c:pt>
                <c:pt idx="527">
                  <c:v>912.29999999999939</c:v>
                </c:pt>
                <c:pt idx="528">
                  <c:v>977.95999999999935</c:v>
                </c:pt>
                <c:pt idx="529">
                  <c:v>987.94999999999936</c:v>
                </c:pt>
                <c:pt idx="530">
                  <c:v>1005.4199999999994</c:v>
                </c:pt>
                <c:pt idx="531">
                  <c:v>1026.6099999999994</c:v>
                </c:pt>
                <c:pt idx="532">
                  <c:v>1058.3999999999994</c:v>
                </c:pt>
                <c:pt idx="533">
                  <c:v>1073.3999999999994</c:v>
                </c:pt>
                <c:pt idx="534">
                  <c:v>1105.1499999999994</c:v>
                </c:pt>
                <c:pt idx="535">
                  <c:v>1112.6399999999994</c:v>
                </c:pt>
                <c:pt idx="536">
                  <c:v>1122.6399999999994</c:v>
                </c:pt>
                <c:pt idx="537">
                  <c:v>1174.5799999999995</c:v>
                </c:pt>
                <c:pt idx="538">
                  <c:v>1238.1699999999994</c:v>
                </c:pt>
                <c:pt idx="539">
                  <c:v>1243.1399999999994</c:v>
                </c:pt>
                <c:pt idx="540">
                  <c:v>1256.8599999999994</c:v>
                </c:pt>
                <c:pt idx="541">
                  <c:v>1293.6399999999994</c:v>
                </c:pt>
                <c:pt idx="542">
                  <c:v>1323.3299999999995</c:v>
                </c:pt>
                <c:pt idx="543">
                  <c:v>1335.3199999999995</c:v>
                </c:pt>
                <c:pt idx="544">
                  <c:v>1427.3899999999994</c:v>
                </c:pt>
                <c:pt idx="545">
                  <c:v>1432.1899999999994</c:v>
                </c:pt>
                <c:pt idx="546">
                  <c:v>1495.7799999999993</c:v>
                </c:pt>
                <c:pt idx="547">
                  <c:v>1515.7799999999993</c:v>
                </c:pt>
                <c:pt idx="548">
                  <c:v>342.60999999999922</c:v>
                </c:pt>
                <c:pt idx="549">
                  <c:v>355.19999999999919</c:v>
                </c:pt>
                <c:pt idx="550">
                  <c:v>359.94999999999919</c:v>
                </c:pt>
                <c:pt idx="551">
                  <c:v>367.09999999999917</c:v>
                </c:pt>
                <c:pt idx="552">
                  <c:v>398.67999999999915</c:v>
                </c:pt>
                <c:pt idx="553">
                  <c:v>411.66999999999916</c:v>
                </c:pt>
                <c:pt idx="554">
                  <c:v>424.65999999999917</c:v>
                </c:pt>
                <c:pt idx="555">
                  <c:v>555.46999999999912</c:v>
                </c:pt>
                <c:pt idx="556">
                  <c:v>577.19999999999914</c:v>
                </c:pt>
                <c:pt idx="557">
                  <c:v>672.14999999999918</c:v>
                </c:pt>
                <c:pt idx="558">
                  <c:v>726.17999999999915</c:v>
                </c:pt>
                <c:pt idx="559">
                  <c:v>733.11999999999921</c:v>
                </c:pt>
                <c:pt idx="560">
                  <c:v>882.11999999999921</c:v>
                </c:pt>
                <c:pt idx="561">
                  <c:v>924.46999999999923</c:v>
                </c:pt>
                <c:pt idx="562">
                  <c:v>980.82999999999925</c:v>
                </c:pt>
                <c:pt idx="563">
                  <c:v>1015.8299999999992</c:v>
                </c:pt>
                <c:pt idx="564">
                  <c:v>1017.8199999999993</c:v>
                </c:pt>
                <c:pt idx="565">
                  <c:v>1060.4999999999993</c:v>
                </c:pt>
                <c:pt idx="566">
                  <c:v>1082.4999999999993</c:v>
                </c:pt>
                <c:pt idx="567">
                  <c:v>1113.9999999999993</c:v>
                </c:pt>
                <c:pt idx="568">
                  <c:v>1247.9999999999993</c:v>
                </c:pt>
                <c:pt idx="569">
                  <c:v>1327.9999999999993</c:v>
                </c:pt>
                <c:pt idx="570">
                  <c:v>1331.9899999999993</c:v>
                </c:pt>
                <c:pt idx="571">
                  <c:v>1338.8199999999993</c:v>
                </c:pt>
                <c:pt idx="572">
                  <c:v>1345.1199999999992</c:v>
                </c:pt>
                <c:pt idx="573">
                  <c:v>1355.0599999999993</c:v>
                </c:pt>
                <c:pt idx="574">
                  <c:v>1705.0599999999993</c:v>
                </c:pt>
                <c:pt idx="575">
                  <c:v>1755.0599999999993</c:v>
                </c:pt>
                <c:pt idx="576">
                  <c:v>1782.2099999999994</c:v>
                </c:pt>
                <c:pt idx="577">
                  <c:v>1790.6799999999994</c:v>
                </c:pt>
                <c:pt idx="578">
                  <c:v>1833.0699999999995</c:v>
                </c:pt>
                <c:pt idx="579">
                  <c:v>1867.1099999999994</c:v>
                </c:pt>
                <c:pt idx="580">
                  <c:v>1902.1099999999994</c:v>
                </c:pt>
                <c:pt idx="581">
                  <c:v>1906.7199999999993</c:v>
                </c:pt>
                <c:pt idx="582">
                  <c:v>1933.9399999999994</c:v>
                </c:pt>
                <c:pt idx="583">
                  <c:v>1953.9399999999994</c:v>
                </c:pt>
                <c:pt idx="584">
                  <c:v>1974.1899999999994</c:v>
                </c:pt>
                <c:pt idx="585">
                  <c:v>2014.1899999999994</c:v>
                </c:pt>
                <c:pt idx="586">
                  <c:v>2019.5899999999995</c:v>
                </c:pt>
                <c:pt idx="587">
                  <c:v>2047.9299999999994</c:v>
                </c:pt>
                <c:pt idx="588">
                  <c:v>2055.9199999999992</c:v>
                </c:pt>
                <c:pt idx="589">
                  <c:v>2075.1799999999994</c:v>
                </c:pt>
                <c:pt idx="590">
                  <c:v>2105.9199999999992</c:v>
                </c:pt>
                <c:pt idx="591">
                  <c:v>2067.059999999999</c:v>
                </c:pt>
                <c:pt idx="592">
                  <c:v>1105.9199999999992</c:v>
                </c:pt>
                <c:pt idx="593">
                  <c:v>1144.8899999999992</c:v>
                </c:pt>
                <c:pt idx="594">
                  <c:v>1145.9399999999991</c:v>
                </c:pt>
                <c:pt idx="595">
                  <c:v>1162.2199999999991</c:v>
                </c:pt>
                <c:pt idx="596">
                  <c:v>1170.7299999999991</c:v>
                </c:pt>
                <c:pt idx="597">
                  <c:v>1251.799999999999</c:v>
                </c:pt>
                <c:pt idx="598">
                  <c:v>1154.799999999999</c:v>
                </c:pt>
                <c:pt idx="599">
                  <c:v>1165.389999999999</c:v>
                </c:pt>
                <c:pt idx="600">
                  <c:v>1173.589999999999</c:v>
                </c:pt>
                <c:pt idx="601">
                  <c:v>1182.0299999999991</c:v>
                </c:pt>
                <c:pt idx="602">
                  <c:v>1199.4899999999991</c:v>
                </c:pt>
                <c:pt idx="603">
                  <c:v>1234.4899999999991</c:v>
                </c:pt>
                <c:pt idx="604">
                  <c:v>193.55999999999904</c:v>
                </c:pt>
                <c:pt idx="605">
                  <c:v>202.82999999999905</c:v>
                </c:pt>
                <c:pt idx="606">
                  <c:v>210.23999999999904</c:v>
                </c:pt>
                <c:pt idx="607">
                  <c:v>232.28999999999905</c:v>
                </c:pt>
                <c:pt idx="608">
                  <c:v>239.96999999999906</c:v>
                </c:pt>
                <c:pt idx="609">
                  <c:v>260.38999999999908</c:v>
                </c:pt>
                <c:pt idx="610">
                  <c:v>285.9299999999991</c:v>
                </c:pt>
                <c:pt idx="611">
                  <c:v>295.91999999999911</c:v>
                </c:pt>
                <c:pt idx="612">
                  <c:v>331.69999999999914</c:v>
                </c:pt>
                <c:pt idx="613">
                  <c:v>351.19999999999914</c:v>
                </c:pt>
                <c:pt idx="614">
                  <c:v>401.18999999999915</c:v>
                </c:pt>
                <c:pt idx="615">
                  <c:v>421.64999999999912</c:v>
                </c:pt>
                <c:pt idx="616">
                  <c:v>454.46999999999912</c:v>
                </c:pt>
                <c:pt idx="617">
                  <c:v>478.80999999999909</c:v>
                </c:pt>
                <c:pt idx="618">
                  <c:v>530.33999999999912</c:v>
                </c:pt>
                <c:pt idx="619">
                  <c:v>540.92999999999915</c:v>
                </c:pt>
                <c:pt idx="620">
                  <c:v>572.05999999999915</c:v>
                </c:pt>
                <c:pt idx="621">
                  <c:v>608.5099999999992</c:v>
                </c:pt>
                <c:pt idx="622">
                  <c:v>639.40999999999917</c:v>
                </c:pt>
                <c:pt idx="623">
                  <c:v>674.40999999999917</c:v>
                </c:pt>
                <c:pt idx="624">
                  <c:v>676.66999999999916</c:v>
                </c:pt>
                <c:pt idx="625">
                  <c:v>678.94999999999914</c:v>
                </c:pt>
                <c:pt idx="626">
                  <c:v>681.9899999999991</c:v>
                </c:pt>
                <c:pt idx="627">
                  <c:v>686.83999999999912</c:v>
                </c:pt>
                <c:pt idx="628">
                  <c:v>693.17999999999915</c:v>
                </c:pt>
                <c:pt idx="629">
                  <c:v>698.16999999999916</c:v>
                </c:pt>
                <c:pt idx="630">
                  <c:v>725.39999999999918</c:v>
                </c:pt>
                <c:pt idx="631">
                  <c:v>755.39999999999918</c:v>
                </c:pt>
                <c:pt idx="632">
                  <c:v>756.39999999999918</c:v>
                </c:pt>
                <c:pt idx="633">
                  <c:v>823.95999999999913</c:v>
                </c:pt>
                <c:pt idx="634">
                  <c:v>828.95999999999913</c:v>
                </c:pt>
                <c:pt idx="635">
                  <c:v>831.39999999999918</c:v>
                </c:pt>
                <c:pt idx="636">
                  <c:v>846.39999999999918</c:v>
                </c:pt>
                <c:pt idx="637">
                  <c:v>896.39999999999918</c:v>
                </c:pt>
                <c:pt idx="638">
                  <c:v>897.39999999999918</c:v>
                </c:pt>
                <c:pt idx="639">
                  <c:v>901.16999999999916</c:v>
                </c:pt>
                <c:pt idx="640">
                  <c:v>915.9999999999992</c:v>
                </c:pt>
                <c:pt idx="641">
                  <c:v>925.98999999999921</c:v>
                </c:pt>
                <c:pt idx="642">
                  <c:v>931.39999999999918</c:v>
                </c:pt>
                <c:pt idx="643">
                  <c:v>946.76999999999919</c:v>
                </c:pt>
                <c:pt idx="644">
                  <c:v>956.76999999999919</c:v>
                </c:pt>
                <c:pt idx="645">
                  <c:v>1036.7699999999991</c:v>
                </c:pt>
                <c:pt idx="646">
                  <c:v>1076.7699999999991</c:v>
                </c:pt>
                <c:pt idx="647">
                  <c:v>1088.4099999999992</c:v>
                </c:pt>
                <c:pt idx="648">
                  <c:v>1108.4099999999992</c:v>
                </c:pt>
                <c:pt idx="649">
                  <c:v>1118.4099999999992</c:v>
                </c:pt>
                <c:pt idx="650">
                  <c:v>1156.2899999999993</c:v>
                </c:pt>
                <c:pt idx="651">
                  <c:v>1157.2299999999993</c:v>
                </c:pt>
                <c:pt idx="652">
                  <c:v>1158.1699999999994</c:v>
                </c:pt>
                <c:pt idx="653">
                  <c:v>1159.7399999999993</c:v>
                </c:pt>
                <c:pt idx="654">
                  <c:v>1162.1899999999994</c:v>
                </c:pt>
                <c:pt idx="655">
                  <c:v>1171.1899999999994</c:v>
                </c:pt>
                <c:pt idx="656">
                  <c:v>1202.1899999999994</c:v>
                </c:pt>
                <c:pt idx="657">
                  <c:v>1249.6899999999994</c:v>
                </c:pt>
                <c:pt idx="658">
                  <c:v>1256.4099999999994</c:v>
                </c:pt>
                <c:pt idx="659">
                  <c:v>1296.0999999999995</c:v>
                </c:pt>
                <c:pt idx="660">
                  <c:v>1314.1599999999994</c:v>
                </c:pt>
                <c:pt idx="661">
                  <c:v>1318.1599999999994</c:v>
                </c:pt>
                <c:pt idx="662">
                  <c:v>1330.1499999999994</c:v>
                </c:pt>
                <c:pt idx="663">
                  <c:v>1365.5299999999995</c:v>
                </c:pt>
                <c:pt idx="664">
                  <c:v>1434.0499999999995</c:v>
                </c:pt>
                <c:pt idx="665">
                  <c:v>1559.0799999999995</c:v>
                </c:pt>
                <c:pt idx="666">
                  <c:v>1652.7899999999995</c:v>
                </c:pt>
                <c:pt idx="667">
                  <c:v>398.82999999999947</c:v>
                </c:pt>
                <c:pt idx="668">
                  <c:v>408.82999999999947</c:v>
                </c:pt>
                <c:pt idx="669">
                  <c:v>437.94999999999948</c:v>
                </c:pt>
                <c:pt idx="670">
                  <c:v>517.94999999999948</c:v>
                </c:pt>
                <c:pt idx="671">
                  <c:v>546.10999999999945</c:v>
                </c:pt>
                <c:pt idx="672">
                  <c:v>561.09999999999945</c:v>
                </c:pt>
                <c:pt idx="673">
                  <c:v>621.09999999999945</c:v>
                </c:pt>
                <c:pt idx="674">
                  <c:v>648.24999999999943</c:v>
                </c:pt>
                <c:pt idx="675">
                  <c:v>679.18999999999949</c:v>
                </c:pt>
                <c:pt idx="676">
                  <c:v>801.73999999999944</c:v>
                </c:pt>
                <c:pt idx="677">
                  <c:v>804.70999999999947</c:v>
                </c:pt>
                <c:pt idx="678">
                  <c:v>813.34999999999945</c:v>
                </c:pt>
                <c:pt idx="679">
                  <c:v>824.34999999999945</c:v>
                </c:pt>
                <c:pt idx="680">
                  <c:v>877.34999999999945</c:v>
                </c:pt>
                <c:pt idx="681">
                  <c:v>902.9299999999995</c:v>
                </c:pt>
                <c:pt idx="682">
                  <c:v>989.1799999999995</c:v>
                </c:pt>
                <c:pt idx="683">
                  <c:v>997.76999999999953</c:v>
                </c:pt>
                <c:pt idx="684">
                  <c:v>1026.5299999999995</c:v>
                </c:pt>
                <c:pt idx="685">
                  <c:v>1075.0299999999995</c:v>
                </c:pt>
                <c:pt idx="686">
                  <c:v>1086.8999999999994</c:v>
                </c:pt>
                <c:pt idx="687">
                  <c:v>1098.6099999999994</c:v>
                </c:pt>
                <c:pt idx="688">
                  <c:v>173.4299999999995</c:v>
                </c:pt>
                <c:pt idx="689">
                  <c:v>233.4299999999995</c:v>
                </c:pt>
                <c:pt idx="690">
                  <c:v>257.78999999999951</c:v>
                </c:pt>
                <c:pt idx="691">
                  <c:v>317.78999999999951</c:v>
                </c:pt>
                <c:pt idx="692">
                  <c:v>319.63999999999953</c:v>
                </c:pt>
                <c:pt idx="693">
                  <c:v>321.48999999999955</c:v>
                </c:pt>
                <c:pt idx="694">
                  <c:v>323.33999999999958</c:v>
                </c:pt>
                <c:pt idx="695">
                  <c:v>403.33999999999958</c:v>
                </c:pt>
                <c:pt idx="696">
                  <c:v>413.66999999999956</c:v>
                </c:pt>
                <c:pt idx="697">
                  <c:v>432.81999999999954</c:v>
                </c:pt>
                <c:pt idx="698">
                  <c:v>577.73999999999955</c:v>
                </c:pt>
                <c:pt idx="699">
                  <c:v>593.62999999999954</c:v>
                </c:pt>
                <c:pt idx="700">
                  <c:v>595.61999999999955</c:v>
                </c:pt>
                <c:pt idx="701">
                  <c:v>1725.6199999999994</c:v>
                </c:pt>
                <c:pt idx="702">
                  <c:v>1761.5199999999995</c:v>
                </c:pt>
                <c:pt idx="703">
                  <c:v>1763.3699999999994</c:v>
                </c:pt>
                <c:pt idx="704">
                  <c:v>1778.6399999999994</c:v>
                </c:pt>
                <c:pt idx="705">
                  <c:v>1781.3399999999995</c:v>
                </c:pt>
                <c:pt idx="706">
                  <c:v>1787.2699999999995</c:v>
                </c:pt>
                <c:pt idx="707">
                  <c:v>1796.0899999999995</c:v>
                </c:pt>
                <c:pt idx="708">
                  <c:v>1799.0899999999995</c:v>
                </c:pt>
                <c:pt idx="709">
                  <c:v>1881.4599999999996</c:v>
                </c:pt>
                <c:pt idx="710">
                  <c:v>1898.2699999999995</c:v>
                </c:pt>
                <c:pt idx="711">
                  <c:v>1900.2699999999995</c:v>
                </c:pt>
                <c:pt idx="712">
                  <c:v>1930.2699999999995</c:v>
                </c:pt>
                <c:pt idx="713">
                  <c:v>1937.7599999999995</c:v>
                </c:pt>
                <c:pt idx="714">
                  <c:v>1962.7599999999995</c:v>
                </c:pt>
                <c:pt idx="715">
                  <c:v>1990.1399999999996</c:v>
                </c:pt>
                <c:pt idx="716">
                  <c:v>1991.7499999999995</c:v>
                </c:pt>
                <c:pt idx="717">
                  <c:v>1998.4999999999995</c:v>
                </c:pt>
                <c:pt idx="718">
                  <c:v>2008.1299999999997</c:v>
                </c:pt>
                <c:pt idx="719">
                  <c:v>2015.1299999999997</c:v>
                </c:pt>
                <c:pt idx="720">
                  <c:v>2016.2199999999996</c:v>
                </c:pt>
                <c:pt idx="721">
                  <c:v>2075.7899999999995</c:v>
                </c:pt>
                <c:pt idx="722">
                  <c:v>2081.0799999999995</c:v>
                </c:pt>
                <c:pt idx="723">
                  <c:v>2086.8599999999997</c:v>
                </c:pt>
                <c:pt idx="724">
                  <c:v>2108.64</c:v>
                </c:pt>
                <c:pt idx="725">
                  <c:v>2117.2599999999998</c:v>
                </c:pt>
                <c:pt idx="726">
                  <c:v>1191.2699999999998</c:v>
                </c:pt>
                <c:pt idx="727">
                  <c:v>1241.2699999999998</c:v>
                </c:pt>
                <c:pt idx="728">
                  <c:v>1261.2699999999998</c:v>
                </c:pt>
                <c:pt idx="729">
                  <c:v>1291.2699999999998</c:v>
                </c:pt>
                <c:pt idx="730">
                  <c:v>1378.0099999999998</c:v>
                </c:pt>
                <c:pt idx="731">
                  <c:v>1408.0099999999998</c:v>
                </c:pt>
                <c:pt idx="732">
                  <c:v>1439.1599999999999</c:v>
                </c:pt>
                <c:pt idx="733">
                  <c:v>1449.83</c:v>
                </c:pt>
                <c:pt idx="734">
                  <c:v>1454.82</c:v>
                </c:pt>
                <c:pt idx="735">
                  <c:v>1470.77</c:v>
                </c:pt>
                <c:pt idx="736">
                  <c:v>1529.1399999999999</c:v>
                </c:pt>
                <c:pt idx="737">
                  <c:v>1743.08</c:v>
                </c:pt>
                <c:pt idx="738">
                  <c:v>1773.08</c:v>
                </c:pt>
                <c:pt idx="739">
                  <c:v>1785.55</c:v>
                </c:pt>
                <c:pt idx="740">
                  <c:v>1790.97</c:v>
                </c:pt>
                <c:pt idx="741">
                  <c:v>1809.22</c:v>
                </c:pt>
                <c:pt idx="742">
                  <c:v>1822.51</c:v>
                </c:pt>
                <c:pt idx="743">
                  <c:v>1828.98</c:v>
                </c:pt>
                <c:pt idx="744">
                  <c:v>1859.42</c:v>
                </c:pt>
                <c:pt idx="745">
                  <c:v>1926.42</c:v>
                </c:pt>
                <c:pt idx="746">
                  <c:v>1934.41</c:v>
                </c:pt>
                <c:pt idx="747">
                  <c:v>2060.96</c:v>
                </c:pt>
                <c:pt idx="748">
                  <c:v>2069.0500000000002</c:v>
                </c:pt>
                <c:pt idx="749">
                  <c:v>2116.94</c:v>
                </c:pt>
                <c:pt idx="750">
                  <c:v>2149.92</c:v>
                </c:pt>
                <c:pt idx="751">
                  <c:v>2235.71</c:v>
                </c:pt>
                <c:pt idx="752">
                  <c:v>2273.69</c:v>
                </c:pt>
                <c:pt idx="753">
                  <c:v>2279.77</c:v>
                </c:pt>
                <c:pt idx="754">
                  <c:v>2300.34</c:v>
                </c:pt>
                <c:pt idx="755">
                  <c:v>2372.09</c:v>
                </c:pt>
                <c:pt idx="756">
                  <c:v>2385.83</c:v>
                </c:pt>
                <c:pt idx="757">
                  <c:v>2705.83</c:v>
                </c:pt>
                <c:pt idx="758">
                  <c:v>1205.83</c:v>
                </c:pt>
                <c:pt idx="759">
                  <c:v>1232.8</c:v>
                </c:pt>
                <c:pt idx="760">
                  <c:v>1237.1399999999999</c:v>
                </c:pt>
                <c:pt idx="761">
                  <c:v>1312.1399999999999</c:v>
                </c:pt>
                <c:pt idx="762">
                  <c:v>1345.9599999999998</c:v>
                </c:pt>
                <c:pt idx="763">
                  <c:v>1355.9499999999998</c:v>
                </c:pt>
                <c:pt idx="764">
                  <c:v>1380.6699999999998</c:v>
                </c:pt>
                <c:pt idx="765">
                  <c:v>1420.1699999999998</c:v>
                </c:pt>
                <c:pt idx="766">
                  <c:v>1421.2699999999998</c:v>
                </c:pt>
                <c:pt idx="767">
                  <c:v>1422.3699999999997</c:v>
                </c:pt>
                <c:pt idx="768">
                  <c:v>1423.4699999999996</c:v>
                </c:pt>
                <c:pt idx="769">
                  <c:v>1424.5699999999995</c:v>
                </c:pt>
                <c:pt idx="770">
                  <c:v>1435.1599999999994</c:v>
                </c:pt>
                <c:pt idx="771">
                  <c:v>1460.1599999999994</c:v>
                </c:pt>
                <c:pt idx="772">
                  <c:v>1477.1599999999994</c:v>
                </c:pt>
                <c:pt idx="773">
                  <c:v>1510.1699999999994</c:v>
                </c:pt>
                <c:pt idx="774">
                  <c:v>1531.6099999999994</c:v>
                </c:pt>
              </c:numCache>
            </c:numRef>
          </c:val>
          <c:smooth val="0"/>
          <c:extLst>
            <c:ext xmlns:c16="http://schemas.microsoft.com/office/drawing/2014/chart" uri="{C3380CC4-5D6E-409C-BE32-E72D297353CC}">
              <c16:uniqueId val="{00000000-58BF-4A07-AA34-8DDFBA405AFD}"/>
            </c:ext>
          </c:extLst>
        </c:ser>
        <c:dLbls>
          <c:showLegendKey val="0"/>
          <c:showVal val="0"/>
          <c:showCatName val="0"/>
          <c:showSerName val="0"/>
          <c:showPercent val="0"/>
          <c:showBubbleSize val="0"/>
        </c:dLbls>
        <c:smooth val="0"/>
        <c:axId val="995592192"/>
        <c:axId val="995568480"/>
      </c:lineChart>
      <c:dateAx>
        <c:axId val="9955921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8480"/>
        <c:crosses val="autoZero"/>
        <c:auto val="1"/>
        <c:lblOffset val="100"/>
        <c:baseTimeUnit val="days"/>
      </c:dateAx>
      <c:valAx>
        <c:axId val="99556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9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Waterfall</a:t>
            </a:r>
            <a:r>
              <a:rPr lang="en-US" baseline="0"/>
              <a:t> of Cashflow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57920728162016"/>
          <c:y val="9.0274969310661993E-2"/>
          <c:w val="0.8702826281866658"/>
          <c:h val="0.6535616534873101"/>
        </c:manualLayout>
      </c:layout>
      <c:barChart>
        <c:barDir val="col"/>
        <c:grouping val="stacked"/>
        <c:varyColors val="0"/>
        <c:ser>
          <c:idx val="0"/>
          <c:order val="0"/>
          <c:tx>
            <c:strRef>
              <c:f>Waterfall!$H$1</c:f>
              <c:strCache>
                <c:ptCount val="1"/>
                <c:pt idx="0">
                  <c:v>Balance</c:v>
                </c:pt>
              </c:strCache>
            </c:strRef>
          </c:tx>
          <c:spPr>
            <a:no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618D-4E30-A022-B3EF54AF20B3}"/>
              </c:ext>
            </c:extLst>
          </c:dPt>
          <c:dPt>
            <c:idx val="27"/>
            <c:invertIfNegative val="0"/>
            <c:bubble3D val="0"/>
            <c:spPr>
              <a:noFill/>
              <a:ln>
                <a:noFill/>
              </a:ln>
              <a:effectLst/>
            </c:spPr>
            <c:extLst>
              <c:ext xmlns:c16="http://schemas.microsoft.com/office/drawing/2014/chart" uri="{C3380CC4-5D6E-409C-BE32-E72D297353CC}">
                <c16:uniqueId val="{00000004-618D-4E30-A022-B3EF54AF20B3}"/>
              </c:ext>
            </c:extLst>
          </c:dPt>
          <c:dPt>
            <c:idx val="30"/>
            <c:invertIfNegative val="0"/>
            <c:bubble3D val="0"/>
            <c:spPr>
              <a:noFill/>
              <a:ln>
                <a:noFill/>
              </a:ln>
              <a:effectLst/>
            </c:spPr>
            <c:extLst>
              <c:ext xmlns:c16="http://schemas.microsoft.com/office/drawing/2014/chart" uri="{C3380CC4-5D6E-409C-BE32-E72D297353CC}">
                <c16:uniqueId val="{00000005-BC0A-49CF-80F4-C66B417F3BE9}"/>
              </c:ext>
            </c:extLst>
          </c:dPt>
          <c:dPt>
            <c:idx val="32"/>
            <c:invertIfNegative val="0"/>
            <c:bubble3D val="0"/>
            <c:spPr>
              <a:noFill/>
              <a:ln>
                <a:noFill/>
              </a:ln>
              <a:effectLst/>
            </c:spPr>
            <c:extLst>
              <c:ext xmlns:c16="http://schemas.microsoft.com/office/drawing/2014/chart" uri="{C3380CC4-5D6E-409C-BE32-E72D297353CC}">
                <c16:uniqueId val="{00000007-B226-4AB7-9A3F-2318C3FEBDDD}"/>
              </c:ext>
            </c:extLst>
          </c:dPt>
          <c:dPt>
            <c:idx val="36"/>
            <c:invertIfNegative val="0"/>
            <c:bubble3D val="0"/>
            <c:spPr>
              <a:noFill/>
              <a:ln>
                <a:noFill/>
              </a:ln>
              <a:effectLst/>
            </c:spPr>
            <c:extLst>
              <c:ext xmlns:c16="http://schemas.microsoft.com/office/drawing/2014/chart" uri="{C3380CC4-5D6E-409C-BE32-E72D297353CC}">
                <c16:uniqueId val="{00000009-EFC9-4938-BF79-464780F2055B}"/>
              </c:ext>
            </c:extLst>
          </c:dPt>
          <c:dPt>
            <c:idx val="39"/>
            <c:invertIfNegative val="0"/>
            <c:bubble3D val="0"/>
            <c:spPr>
              <a:noFill/>
              <a:ln>
                <a:noFill/>
              </a:ln>
              <a:effectLst/>
            </c:spPr>
            <c:extLst>
              <c:ext xmlns:c16="http://schemas.microsoft.com/office/drawing/2014/chart" uri="{C3380CC4-5D6E-409C-BE32-E72D297353CC}">
                <c16:uniqueId val="{0000000B-D329-4B5C-98E5-83A621AA34EF}"/>
              </c:ext>
            </c:extLst>
          </c:dPt>
          <c:dPt>
            <c:idx val="45"/>
            <c:invertIfNegative val="0"/>
            <c:bubble3D val="0"/>
            <c:spPr>
              <a:noFill/>
              <a:ln>
                <a:noFill/>
              </a:ln>
              <a:effectLst/>
            </c:spPr>
            <c:extLst>
              <c:ext xmlns:c16="http://schemas.microsoft.com/office/drawing/2014/chart" uri="{C3380CC4-5D6E-409C-BE32-E72D297353CC}">
                <c16:uniqueId val="{0000000D-37CB-4BE3-A999-CD14198CD9EE}"/>
              </c:ext>
            </c:extLst>
          </c:dPt>
          <c:cat>
            <c:strRef>
              <c:f>Waterfall!$G$2:$G$46</c:f>
              <c:strCache>
                <c:ptCount val="45"/>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Closing Balance</c:v>
                </c:pt>
              </c:strCache>
            </c:strRef>
          </c:cat>
          <c:val>
            <c:numRef>
              <c:f>Waterfall!$H$2:$H$47</c:f>
              <c:numCache>
                <c:formatCode>_("$"* #,##0_);_("$"* \(#,##0\);_("$"* "-"??_);_(@_)</c:formatCode>
                <c:ptCount val="46"/>
                <c:pt idx="0">
                  <c:v>167.58</c:v>
                </c:pt>
                <c:pt idx="1">
                  <c:v>67.580000000000013</c:v>
                </c:pt>
                <c:pt idx="2">
                  <c:v>67.580000000000013</c:v>
                </c:pt>
                <c:pt idx="3">
                  <c:v>70.020000000000095</c:v>
                </c:pt>
                <c:pt idx="4">
                  <c:v>70.020000000000095</c:v>
                </c:pt>
                <c:pt idx="5">
                  <c:v>144.67000000000019</c:v>
                </c:pt>
                <c:pt idx="6">
                  <c:v>144.67000000000019</c:v>
                </c:pt>
                <c:pt idx="7">
                  <c:v>265.14000000000044</c:v>
                </c:pt>
                <c:pt idx="8">
                  <c:v>265.14000000000044</c:v>
                </c:pt>
                <c:pt idx="9">
                  <c:v>331.39000000000078</c:v>
                </c:pt>
                <c:pt idx="10">
                  <c:v>331.39000000000078</c:v>
                </c:pt>
                <c:pt idx="11">
                  <c:v>563.0000000000008</c:v>
                </c:pt>
                <c:pt idx="12">
                  <c:v>2076.1200000000008</c:v>
                </c:pt>
                <c:pt idx="13">
                  <c:v>2676.9800000000005</c:v>
                </c:pt>
                <c:pt idx="14">
                  <c:v>2276.9800000000005</c:v>
                </c:pt>
                <c:pt idx="15">
                  <c:v>2276.9800000000005</c:v>
                </c:pt>
                <c:pt idx="16">
                  <c:v>2581.2600000000007</c:v>
                </c:pt>
                <c:pt idx="17">
                  <c:v>2581.2600000000007</c:v>
                </c:pt>
                <c:pt idx="18">
                  <c:v>3264.1700000000005</c:v>
                </c:pt>
                <c:pt idx="19">
                  <c:v>3264.1700000000005</c:v>
                </c:pt>
                <c:pt idx="20">
                  <c:v>3338.1800000000003</c:v>
                </c:pt>
                <c:pt idx="21">
                  <c:v>3338.1800000000003</c:v>
                </c:pt>
                <c:pt idx="22">
                  <c:v>2864.2000000000003</c:v>
                </c:pt>
                <c:pt idx="23">
                  <c:v>2864.2000000000003</c:v>
                </c:pt>
                <c:pt idx="24">
                  <c:v>2864.2000000000003</c:v>
                </c:pt>
                <c:pt idx="25">
                  <c:v>2786.21</c:v>
                </c:pt>
                <c:pt idx="26">
                  <c:v>2786.21</c:v>
                </c:pt>
                <c:pt idx="27">
                  <c:v>6533.6800000000012</c:v>
                </c:pt>
                <c:pt idx="28">
                  <c:v>4729.3400000000011</c:v>
                </c:pt>
                <c:pt idx="29">
                  <c:v>4729.3400000000011</c:v>
                </c:pt>
                <c:pt idx="30">
                  <c:v>3853.650000000001</c:v>
                </c:pt>
                <c:pt idx="31">
                  <c:v>3838.8000000000011</c:v>
                </c:pt>
                <c:pt idx="32">
                  <c:v>1481.9800000000009</c:v>
                </c:pt>
                <c:pt idx="33">
                  <c:v>1481.9800000000009</c:v>
                </c:pt>
                <c:pt idx="34">
                  <c:v>2004.4900000000007</c:v>
                </c:pt>
                <c:pt idx="35">
                  <c:v>2004.4900000000007</c:v>
                </c:pt>
                <c:pt idx="36">
                  <c:v>3606.9700000000007</c:v>
                </c:pt>
                <c:pt idx="37">
                  <c:v>3030.5000000000009</c:v>
                </c:pt>
                <c:pt idx="38">
                  <c:v>3030.5000000000009</c:v>
                </c:pt>
                <c:pt idx="39">
                  <c:v>2830.5000000000009</c:v>
                </c:pt>
                <c:pt idx="40">
                  <c:v>2830.5000000000009</c:v>
                </c:pt>
                <c:pt idx="41">
                  <c:v>2805.5700000000011</c:v>
                </c:pt>
                <c:pt idx="42">
                  <c:v>2805.5700000000011</c:v>
                </c:pt>
                <c:pt idx="43">
                  <c:v>2892.2200000000016</c:v>
                </c:pt>
                <c:pt idx="44">
                  <c:v>1025.5500000000015</c:v>
                </c:pt>
              </c:numCache>
            </c:numRef>
          </c:val>
          <c:extLst>
            <c:ext xmlns:c16="http://schemas.microsoft.com/office/drawing/2014/chart" uri="{C3380CC4-5D6E-409C-BE32-E72D297353CC}">
              <c16:uniqueId val="{00000000-618D-4E30-A022-B3EF54AF20B3}"/>
            </c:ext>
          </c:extLst>
        </c:ser>
        <c:ser>
          <c:idx val="1"/>
          <c:order val="1"/>
          <c:tx>
            <c:strRef>
              <c:f>Waterfall!$I$1</c:f>
              <c:strCache>
                <c:ptCount val="1"/>
                <c:pt idx="0">
                  <c:v>Decrease</c:v>
                </c:pt>
              </c:strCache>
            </c:strRef>
          </c:tx>
          <c:spPr>
            <a:solidFill>
              <a:schemeClr val="accent5"/>
            </a:solidFill>
            <a:ln>
              <a:noFill/>
            </a:ln>
            <a:effectLst/>
          </c:spPr>
          <c:invertIfNegative val="0"/>
          <c:cat>
            <c:strRef>
              <c:f>Waterfall!$G$2:$G$46</c:f>
              <c:strCache>
                <c:ptCount val="45"/>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Closing Balance</c:v>
                </c:pt>
              </c:strCache>
            </c:strRef>
          </c:cat>
          <c:val>
            <c:numRef>
              <c:f>Waterfall!$I$2:$I$47</c:f>
              <c:numCache>
                <c:formatCode>_("$"* #,##0_);_("$"* \(#,##0\);_("$"* "-"??_);_(@_)</c:formatCode>
                <c:ptCount val="46"/>
                <c:pt idx="1">
                  <c:v>100</c:v>
                </c:pt>
                <c:pt idx="2">
                  <c:v>0</c:v>
                </c:pt>
                <c:pt idx="3">
                  <c:v>727.98</c:v>
                </c:pt>
                <c:pt idx="4">
                  <c:v>0</c:v>
                </c:pt>
                <c:pt idx="5">
                  <c:v>350.31000000000006</c:v>
                </c:pt>
                <c:pt idx="6">
                  <c:v>0</c:v>
                </c:pt>
                <c:pt idx="7">
                  <c:v>612.29</c:v>
                </c:pt>
                <c:pt idx="8">
                  <c:v>0</c:v>
                </c:pt>
                <c:pt idx="9">
                  <c:v>2261.5299999999997</c:v>
                </c:pt>
                <c:pt idx="10">
                  <c:v>0</c:v>
                </c:pt>
                <c:pt idx="11">
                  <c:v>0</c:v>
                </c:pt>
                <c:pt idx="12">
                  <c:v>0</c:v>
                </c:pt>
                <c:pt idx="13">
                  <c:v>485.0300000000002</c:v>
                </c:pt>
                <c:pt idx="14">
                  <c:v>400</c:v>
                </c:pt>
                <c:pt idx="15">
                  <c:v>0</c:v>
                </c:pt>
                <c:pt idx="16">
                  <c:v>488.52</c:v>
                </c:pt>
                <c:pt idx="17">
                  <c:v>0</c:v>
                </c:pt>
                <c:pt idx="18">
                  <c:v>50</c:v>
                </c:pt>
                <c:pt idx="19">
                  <c:v>0</c:v>
                </c:pt>
                <c:pt idx="20">
                  <c:v>50.320000000000164</c:v>
                </c:pt>
                <c:pt idx="21">
                  <c:v>0</c:v>
                </c:pt>
                <c:pt idx="22">
                  <c:v>1171.96</c:v>
                </c:pt>
                <c:pt idx="23">
                  <c:v>0</c:v>
                </c:pt>
                <c:pt idx="24">
                  <c:v>0</c:v>
                </c:pt>
                <c:pt idx="25">
                  <c:v>592.84000000000015</c:v>
                </c:pt>
                <c:pt idx="26">
                  <c:v>0</c:v>
                </c:pt>
                <c:pt idx="27">
                  <c:v>5102.6099999999997</c:v>
                </c:pt>
                <c:pt idx="28">
                  <c:v>1804.3400000000001</c:v>
                </c:pt>
                <c:pt idx="29">
                  <c:v>0</c:v>
                </c:pt>
                <c:pt idx="30">
                  <c:v>1587.35</c:v>
                </c:pt>
                <c:pt idx="31">
                  <c:v>14.849999999999909</c:v>
                </c:pt>
                <c:pt idx="32">
                  <c:v>2356.8200000000002</c:v>
                </c:pt>
                <c:pt idx="33">
                  <c:v>0</c:v>
                </c:pt>
                <c:pt idx="34">
                  <c:v>1403.17</c:v>
                </c:pt>
                <c:pt idx="35">
                  <c:v>0</c:v>
                </c:pt>
                <c:pt idx="36">
                  <c:v>356.17000000000007</c:v>
                </c:pt>
                <c:pt idx="37">
                  <c:v>576.4699999999998</c:v>
                </c:pt>
                <c:pt idx="38">
                  <c:v>0</c:v>
                </c:pt>
                <c:pt idx="39">
                  <c:v>200</c:v>
                </c:pt>
                <c:pt idx="40">
                  <c:v>0</c:v>
                </c:pt>
                <c:pt idx="41">
                  <c:v>336.23</c:v>
                </c:pt>
                <c:pt idx="42">
                  <c:v>0</c:v>
                </c:pt>
                <c:pt idx="43">
                  <c:v>662.20999999999958</c:v>
                </c:pt>
                <c:pt idx="44">
                  <c:v>1866.67</c:v>
                </c:pt>
              </c:numCache>
            </c:numRef>
          </c:val>
          <c:extLst>
            <c:ext xmlns:c16="http://schemas.microsoft.com/office/drawing/2014/chart" uri="{C3380CC4-5D6E-409C-BE32-E72D297353CC}">
              <c16:uniqueId val="{00000001-618D-4E30-A022-B3EF54AF20B3}"/>
            </c:ext>
          </c:extLst>
        </c:ser>
        <c:ser>
          <c:idx val="2"/>
          <c:order val="2"/>
          <c:tx>
            <c:strRef>
              <c:f>Waterfall!$J$1</c:f>
              <c:strCache>
                <c:ptCount val="1"/>
                <c:pt idx="0">
                  <c:v>Increase</c:v>
                </c:pt>
              </c:strCache>
            </c:strRef>
          </c:tx>
          <c:spPr>
            <a:solidFill>
              <a:schemeClr val="accent4"/>
            </a:solidFill>
            <a:ln>
              <a:noFill/>
            </a:ln>
            <a:effectLst/>
          </c:spPr>
          <c:invertIfNegative val="0"/>
          <c:cat>
            <c:strRef>
              <c:f>Waterfall!$G$2:$G$46</c:f>
              <c:strCache>
                <c:ptCount val="45"/>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Closing Balance</c:v>
                </c:pt>
              </c:strCache>
            </c:strRef>
          </c:cat>
          <c:val>
            <c:numRef>
              <c:f>Waterfall!$J$2:$J$47</c:f>
              <c:numCache>
                <c:formatCode>_("$"* #,##0_);_("$"* \(#,##0\);_("$"* "-"??_);_(@_)</c:formatCode>
                <c:ptCount val="46"/>
                <c:pt idx="1">
                  <c:v>0</c:v>
                </c:pt>
                <c:pt idx="2">
                  <c:v>730.42000000000007</c:v>
                </c:pt>
                <c:pt idx="3">
                  <c:v>0</c:v>
                </c:pt>
                <c:pt idx="4">
                  <c:v>424.96000000000015</c:v>
                </c:pt>
                <c:pt idx="5">
                  <c:v>0</c:v>
                </c:pt>
                <c:pt idx="6">
                  <c:v>732.76000000000022</c:v>
                </c:pt>
                <c:pt idx="7">
                  <c:v>0</c:v>
                </c:pt>
                <c:pt idx="8">
                  <c:v>2327.7800000000002</c:v>
                </c:pt>
                <c:pt idx="9">
                  <c:v>0</c:v>
                </c:pt>
                <c:pt idx="10">
                  <c:v>231.61</c:v>
                </c:pt>
                <c:pt idx="11">
                  <c:v>1513.12</c:v>
                </c:pt>
                <c:pt idx="12">
                  <c:v>1085.8899999999999</c:v>
                </c:pt>
                <c:pt idx="13">
                  <c:v>0</c:v>
                </c:pt>
                <c:pt idx="14">
                  <c:v>0</c:v>
                </c:pt>
                <c:pt idx="15">
                  <c:v>792.80000000000018</c:v>
                </c:pt>
                <c:pt idx="16">
                  <c:v>0</c:v>
                </c:pt>
                <c:pt idx="17">
                  <c:v>732.90999999999985</c:v>
                </c:pt>
                <c:pt idx="18">
                  <c:v>0</c:v>
                </c:pt>
                <c:pt idx="19">
                  <c:v>124.32999999999993</c:v>
                </c:pt>
                <c:pt idx="20">
                  <c:v>0</c:v>
                </c:pt>
                <c:pt idx="21">
                  <c:v>697.98</c:v>
                </c:pt>
                <c:pt idx="22">
                  <c:v>0</c:v>
                </c:pt>
                <c:pt idx="23">
                  <c:v>0</c:v>
                </c:pt>
                <c:pt idx="24">
                  <c:v>514.84999999999991</c:v>
                </c:pt>
                <c:pt idx="25">
                  <c:v>0</c:v>
                </c:pt>
                <c:pt idx="26">
                  <c:v>8850.0800000000017</c:v>
                </c:pt>
                <c:pt idx="27">
                  <c:v>0</c:v>
                </c:pt>
                <c:pt idx="28">
                  <c:v>0</c:v>
                </c:pt>
                <c:pt idx="29">
                  <c:v>711.65999999999985</c:v>
                </c:pt>
                <c:pt idx="30">
                  <c:v>0</c:v>
                </c:pt>
                <c:pt idx="31">
                  <c:v>0</c:v>
                </c:pt>
                <c:pt idx="32">
                  <c:v>0</c:v>
                </c:pt>
                <c:pt idx="33">
                  <c:v>1925.6799999999998</c:v>
                </c:pt>
                <c:pt idx="34">
                  <c:v>0</c:v>
                </c:pt>
                <c:pt idx="35">
                  <c:v>1958.65</c:v>
                </c:pt>
                <c:pt idx="36">
                  <c:v>0</c:v>
                </c:pt>
                <c:pt idx="37">
                  <c:v>0</c:v>
                </c:pt>
                <c:pt idx="38">
                  <c:v>0</c:v>
                </c:pt>
                <c:pt idx="39">
                  <c:v>0</c:v>
                </c:pt>
                <c:pt idx="40">
                  <c:v>311.30000000000018</c:v>
                </c:pt>
                <c:pt idx="41">
                  <c:v>0</c:v>
                </c:pt>
                <c:pt idx="42">
                  <c:v>748.86000000000013</c:v>
                </c:pt>
                <c:pt idx="43">
                  <c:v>0</c:v>
                </c:pt>
                <c:pt idx="44">
                  <c:v>0</c:v>
                </c:pt>
              </c:numCache>
            </c:numRef>
          </c:val>
          <c:extLst>
            <c:ext xmlns:c16="http://schemas.microsoft.com/office/drawing/2014/chart" uri="{C3380CC4-5D6E-409C-BE32-E72D297353CC}">
              <c16:uniqueId val="{00000002-618D-4E30-A022-B3EF54AF20B3}"/>
            </c:ext>
          </c:extLst>
        </c:ser>
        <c:dLbls>
          <c:showLegendKey val="0"/>
          <c:showVal val="0"/>
          <c:showCatName val="0"/>
          <c:showSerName val="0"/>
          <c:showPercent val="0"/>
          <c:showBubbleSize val="0"/>
        </c:dLbls>
        <c:gapWidth val="55"/>
        <c:overlap val="100"/>
        <c:axId val="1621799759"/>
        <c:axId val="1621800175"/>
      </c:barChart>
      <c:catAx>
        <c:axId val="16217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00175"/>
        <c:crosses val="autoZero"/>
        <c:auto val="1"/>
        <c:lblAlgn val="ctr"/>
        <c:lblOffset val="100"/>
        <c:noMultiLvlLbl val="0"/>
      </c:catAx>
      <c:valAx>
        <c:axId val="16218001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99759"/>
        <c:crosses val="autoZero"/>
        <c:crossBetween val="between"/>
      </c:valAx>
      <c:spPr>
        <a:solidFill>
          <a:schemeClr val="accent3">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
          <c:y val="0.14846731367881341"/>
          <c:w val="0.75"/>
          <c:h val="0.62120429713727654"/>
        </c:manualLayout>
      </c:layout>
      <c:scatterChart>
        <c:scatterStyle val="lineMarker"/>
        <c:varyColors val="0"/>
        <c:ser>
          <c:idx val="0"/>
          <c:order val="0"/>
          <c:tx>
            <c:strRef>
              <c:f>'DiscoverPayment Calculator'!$E$21</c:f>
              <c:strCache>
                <c:ptCount val="1"/>
                <c:pt idx="0">
                  <c:v>Total Payment</c:v>
                </c:pt>
              </c:strCache>
            </c:strRef>
          </c:tx>
          <c:spPr>
            <a:ln w="25400">
              <a:solidFill>
                <a:srgbClr val="FF0000"/>
              </a:solidFill>
              <a:prstDash val="solid"/>
            </a:ln>
          </c:spPr>
          <c:marker>
            <c:symbol val="none"/>
          </c:marker>
          <c:xVal>
            <c:strRef>
              <c:f>'DiscoverPayment Calculator'!$A$23:$A$54</c:f>
              <c:strCache>
                <c:ptCount val="10"/>
                <c:pt idx="0">
                  <c:v>1</c:v>
                </c:pt>
                <c:pt idx="1">
                  <c:v>2</c:v>
                </c:pt>
                <c:pt idx="2">
                  <c:v>3</c:v>
                </c:pt>
                <c:pt idx="3">
                  <c:v>4</c:v>
                </c:pt>
                <c:pt idx="4">
                  <c:v>5</c:v>
                </c:pt>
                <c:pt idx="5">
                  <c:v>6</c:v>
                </c:pt>
                <c:pt idx="6">
                  <c:v>7</c:v>
                </c:pt>
                <c:pt idx="7">
                  <c:v>8</c:v>
                </c:pt>
                <c:pt idx="8">
                  <c:v>9</c:v>
                </c:pt>
                <c:pt idx="9">
                  <c:v>10</c:v>
                </c:pt>
              </c:strCache>
            </c:strRef>
          </c:xVal>
          <c:yVal>
            <c:numRef>
              <c:f>'DiscoverPayment Calculator'!$E$23:$E$54</c:f>
              <c:numCache>
                <c:formatCode>_(* #,##0.00_);_(* \(#,##0.00\);_(* "-"??_);_(@_)</c:formatCode>
                <c:ptCount val="32"/>
                <c:pt idx="0">
                  <c:v>200</c:v>
                </c:pt>
                <c:pt idx="1">
                  <c:v>200</c:v>
                </c:pt>
                <c:pt idx="2">
                  <c:v>200</c:v>
                </c:pt>
                <c:pt idx="3">
                  <c:v>200</c:v>
                </c:pt>
                <c:pt idx="4">
                  <c:v>200</c:v>
                </c:pt>
                <c:pt idx="5">
                  <c:v>200</c:v>
                </c:pt>
                <c:pt idx="6">
                  <c:v>200</c:v>
                </c:pt>
                <c:pt idx="7">
                  <c:v>200</c:v>
                </c:pt>
                <c:pt idx="8">
                  <c:v>200</c:v>
                </c:pt>
                <c:pt idx="9">
                  <c:v>19.711793568585634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0-0DF6-4553-B51D-38062BA6112C}"/>
            </c:ext>
          </c:extLst>
        </c:ser>
        <c:dLbls>
          <c:showLegendKey val="0"/>
          <c:showVal val="0"/>
          <c:showCatName val="0"/>
          <c:showSerName val="0"/>
          <c:showPercent val="0"/>
          <c:showBubbleSize val="0"/>
        </c:dLbls>
        <c:axId val="171941248"/>
        <c:axId val="172246912"/>
      </c:scatterChart>
      <c:valAx>
        <c:axId val="171941248"/>
        <c:scaling>
          <c:orientation val="minMax"/>
        </c:scaling>
        <c:delete val="0"/>
        <c:axPos val="b"/>
        <c:title>
          <c:tx>
            <c:rich>
              <a:bodyPr/>
              <a:lstStyle/>
              <a:p>
                <a:pPr>
                  <a:defRPr/>
                </a:pPr>
                <a:r>
                  <a:rPr lang="en-US"/>
                  <a:t>Payment No.</a:t>
                </a:r>
              </a:p>
            </c:rich>
          </c:tx>
          <c:layout>
            <c:manualLayout>
              <c:xMode val="edge"/>
              <c:yMode val="edge"/>
              <c:x val="0.75596214511041004"/>
              <c:y val="0.88023572525132476"/>
            </c:manualLayout>
          </c:layout>
          <c:overlay val="0"/>
          <c:spPr>
            <a:solidFill>
              <a:srgbClr val="FFFFFF"/>
            </a:solid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72246912"/>
        <c:crosses val="autoZero"/>
        <c:crossBetween val="midCat"/>
      </c:valAx>
      <c:valAx>
        <c:axId val="172246912"/>
        <c:scaling>
          <c:orientation val="minMax"/>
        </c:scaling>
        <c:delete val="0"/>
        <c:axPos val="l"/>
        <c:numFmt formatCode="_(\$* #,##0.00_);_(\$* \(#,##0.00\);_(\$* &quot;-&quot;??_);_(@_)" sourceLinked="0"/>
        <c:majorTickMark val="out"/>
        <c:minorTickMark val="none"/>
        <c:tickLblPos val="nextTo"/>
        <c:spPr>
          <a:ln w="3175">
            <a:solidFill>
              <a:srgbClr val="000000"/>
            </a:solidFill>
            <a:prstDash val="solid"/>
          </a:ln>
        </c:spPr>
        <c:txPr>
          <a:bodyPr rot="0" vert="horz"/>
          <a:lstStyle/>
          <a:p>
            <a:pPr>
              <a:defRPr/>
            </a:pPr>
            <a:endParaRPr lang="en-US"/>
          </a:p>
        </c:txPr>
        <c:crossAx val="171941248"/>
        <c:crosses val="autoZero"/>
        <c:crossBetween val="midCat"/>
      </c:valAx>
      <c:spPr>
        <a:noFill/>
        <a:ln w="25400">
          <a:noFill/>
        </a:ln>
      </c:spPr>
    </c:plotArea>
    <c:legend>
      <c:legendPos val="r"/>
      <c:layout>
        <c:manualLayout>
          <c:xMode val="edge"/>
          <c:yMode val="edge"/>
          <c:x val="0.44672363495546663"/>
          <c:y val="3.708112067386922E-3"/>
          <c:w val="0.54796540596359877"/>
          <c:h val="0.14492856182462796"/>
        </c:manualLayout>
      </c:layout>
      <c:overlay val="0"/>
      <c:spPr>
        <a:noFill/>
        <a:ln w="25400">
          <a:noFill/>
        </a:ln>
      </c:spPr>
    </c:legend>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46153846153846"/>
          <c:y val="9.3525508393900322E-2"/>
          <c:w val="0.7615384615384615"/>
          <c:h val="0.64855856307412629"/>
        </c:manualLayout>
      </c:layout>
      <c:scatterChart>
        <c:scatterStyle val="lineMarker"/>
        <c:varyColors val="0"/>
        <c:ser>
          <c:idx val="1"/>
          <c:order val="0"/>
          <c:tx>
            <c:strRef>
              <c:f>'DiscoverPayment Calculator'!$H$21</c:f>
              <c:strCache>
                <c:ptCount val="1"/>
                <c:pt idx="0">
                  <c:v> Balance </c:v>
                </c:pt>
              </c:strCache>
            </c:strRef>
          </c:tx>
          <c:spPr>
            <a:ln w="25400">
              <a:solidFill>
                <a:srgbClr val="182C63"/>
              </a:solidFill>
              <a:prstDash val="solid"/>
            </a:ln>
          </c:spPr>
          <c:marker>
            <c:symbol val="none"/>
          </c:marker>
          <c:xVal>
            <c:numRef>
              <c:f>'DiscoverPayment Calculator'!$A$23:$A$26</c:f>
              <c:numCache>
                <c:formatCode>General</c:formatCode>
                <c:ptCount val="4"/>
                <c:pt idx="0">
                  <c:v>1</c:v>
                </c:pt>
                <c:pt idx="1">
                  <c:v>2</c:v>
                </c:pt>
                <c:pt idx="2">
                  <c:v>3</c:v>
                </c:pt>
                <c:pt idx="3">
                  <c:v>4</c:v>
                </c:pt>
              </c:numCache>
            </c:numRef>
          </c:xVal>
          <c:yVal>
            <c:numRef>
              <c:f>'DiscoverPayment Calculator'!$H$23:$H$26</c:f>
              <c:numCache>
                <c:formatCode>_(* #,##0.00_);_(* \(#,##0.00\);_(* "-"??_);_(@_)</c:formatCode>
                <c:ptCount val="4"/>
                <c:pt idx="0">
                  <c:v>1508.9325557499999</c:v>
                </c:pt>
                <c:pt idx="1">
                  <c:v>1332.8114134447437</c:v>
                </c:pt>
                <c:pt idx="2">
                  <c:v>1153.9031540625067</c:v>
                </c:pt>
                <c:pt idx="3">
                  <c:v>972.16367147554593</c:v>
                </c:pt>
              </c:numCache>
            </c:numRef>
          </c:yVal>
          <c:smooth val="0"/>
          <c:extLst>
            <c:ext xmlns:c16="http://schemas.microsoft.com/office/drawing/2014/chart" uri="{C3380CC4-5D6E-409C-BE32-E72D297353CC}">
              <c16:uniqueId val="{00000000-41CC-445B-B6EA-4499D1650298}"/>
            </c:ext>
          </c:extLst>
        </c:ser>
        <c:dLbls>
          <c:showLegendKey val="0"/>
          <c:showVal val="0"/>
          <c:showCatName val="0"/>
          <c:showSerName val="0"/>
          <c:showPercent val="0"/>
          <c:showBubbleSize val="0"/>
        </c:dLbls>
        <c:axId val="200002176"/>
        <c:axId val="204289152"/>
      </c:scatterChart>
      <c:valAx>
        <c:axId val="200002176"/>
        <c:scaling>
          <c:orientation val="minMax"/>
        </c:scaling>
        <c:delete val="0"/>
        <c:axPos val="b"/>
        <c:title>
          <c:tx>
            <c:rich>
              <a:bodyPr/>
              <a:lstStyle/>
              <a:p>
                <a:pPr>
                  <a:defRPr/>
                </a:pPr>
                <a:r>
                  <a:rPr lang="en-US"/>
                  <a:t>Payment No.</a:t>
                </a:r>
              </a:p>
            </c:rich>
          </c:tx>
          <c:layout>
            <c:manualLayout>
              <c:xMode val="edge"/>
              <c:yMode val="edge"/>
              <c:x val="0.74964401294498362"/>
              <c:y val="0.87377787542568386"/>
            </c:manualLayout>
          </c:layout>
          <c:overlay val="0"/>
          <c:spPr>
            <a:solidFill>
              <a:srgbClr val="FFFFFF"/>
            </a:solid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04289152"/>
        <c:crosses val="autoZero"/>
        <c:crossBetween val="midCat"/>
      </c:valAx>
      <c:valAx>
        <c:axId val="204289152"/>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a:pPr>
            <a:endParaRPr lang="en-US"/>
          </a:p>
        </c:txPr>
        <c:crossAx val="200002176"/>
        <c:crosses val="autoZero"/>
        <c:crossBetween val="midCat"/>
      </c:valAx>
      <c:spPr>
        <a:noFill/>
        <a:ln w="25400">
          <a:noFill/>
        </a:ln>
      </c:spPr>
    </c:plotArea>
    <c:legend>
      <c:legendPos val="r"/>
      <c:layout>
        <c:manualLayout>
          <c:xMode val="edge"/>
          <c:yMode val="edge"/>
          <c:x val="0.54097781894910191"/>
          <c:y val="5.0359868163487032E-2"/>
          <c:w val="0.42701016741839309"/>
          <c:h val="0.14388539752907742"/>
        </c:manualLayout>
      </c:layout>
      <c:overlay val="0"/>
      <c:spPr>
        <a:noFill/>
        <a:ln w="25400">
          <a:noFill/>
        </a:ln>
      </c:spPr>
    </c:legend>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
          <c:y val="0.14846731367881341"/>
          <c:w val="0.75"/>
          <c:h val="0.62120429713727654"/>
        </c:manualLayout>
      </c:layout>
      <c:scatterChart>
        <c:scatterStyle val="lineMarker"/>
        <c:varyColors val="0"/>
        <c:ser>
          <c:idx val="0"/>
          <c:order val="0"/>
          <c:tx>
            <c:strRef>
              <c:f>BestBuyPaymentCalc!$E$21</c:f>
              <c:strCache>
                <c:ptCount val="1"/>
                <c:pt idx="0">
                  <c:v>Total Payment</c:v>
                </c:pt>
              </c:strCache>
            </c:strRef>
          </c:tx>
          <c:spPr>
            <a:ln w="25400">
              <a:solidFill>
                <a:srgbClr val="FF0000"/>
              </a:solidFill>
              <a:prstDash val="solid"/>
            </a:ln>
          </c:spPr>
          <c:marker>
            <c:symbol val="none"/>
          </c:marker>
          <c:xVal>
            <c:strRef>
              <c:f>BestBuyPaymentCalc!$A$23:$A$54</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xVal>
          <c:yVal>
            <c:numRef>
              <c:f>BestBuyPaymentCalc!$E$23:$E$54</c:f>
              <c:numCache>
                <c:formatCode>_(* #,##0.00_);_(* \(#,##0.00\);_(* "-"??_);_(@_)</c:formatCode>
                <c:ptCount val="32"/>
                <c:pt idx="0">
                  <c:v>200</c:v>
                </c:pt>
                <c:pt idx="1">
                  <c:v>200</c:v>
                </c:pt>
                <c:pt idx="2">
                  <c:v>200</c:v>
                </c:pt>
                <c:pt idx="3">
                  <c:v>200</c:v>
                </c:pt>
                <c:pt idx="4">
                  <c:v>200</c:v>
                </c:pt>
                <c:pt idx="5">
                  <c:v>200</c:v>
                </c:pt>
                <c:pt idx="6">
                  <c:v>200</c:v>
                </c:pt>
                <c:pt idx="7">
                  <c:v>200</c:v>
                </c:pt>
                <c:pt idx="8">
                  <c:v>200</c:v>
                </c:pt>
                <c:pt idx="9">
                  <c:v>200</c:v>
                </c:pt>
                <c:pt idx="10">
                  <c:v>200</c:v>
                </c:pt>
                <c:pt idx="11">
                  <c:v>200</c:v>
                </c:pt>
                <c:pt idx="12">
                  <c:v>200</c:v>
                </c:pt>
                <c:pt idx="13">
                  <c:v>166.25570928977857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0-5501-4229-9F71-54640662DF9A}"/>
            </c:ext>
          </c:extLst>
        </c:ser>
        <c:dLbls>
          <c:showLegendKey val="0"/>
          <c:showVal val="0"/>
          <c:showCatName val="0"/>
          <c:showSerName val="0"/>
          <c:showPercent val="0"/>
          <c:showBubbleSize val="0"/>
        </c:dLbls>
        <c:axId val="171941248"/>
        <c:axId val="172246912"/>
      </c:scatterChart>
      <c:valAx>
        <c:axId val="171941248"/>
        <c:scaling>
          <c:orientation val="minMax"/>
        </c:scaling>
        <c:delete val="0"/>
        <c:axPos val="b"/>
        <c:title>
          <c:tx>
            <c:rich>
              <a:bodyPr/>
              <a:lstStyle/>
              <a:p>
                <a:pPr>
                  <a:defRPr/>
                </a:pPr>
                <a:r>
                  <a:rPr lang="en-US"/>
                  <a:t>Payment No.</a:t>
                </a:r>
              </a:p>
            </c:rich>
          </c:tx>
          <c:layout>
            <c:manualLayout>
              <c:xMode val="edge"/>
              <c:yMode val="edge"/>
              <c:x val="0.75596214511041004"/>
              <c:y val="0.88023572525132476"/>
            </c:manualLayout>
          </c:layout>
          <c:overlay val="0"/>
          <c:spPr>
            <a:solidFill>
              <a:srgbClr val="FFFFFF"/>
            </a:solid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72246912"/>
        <c:crosses val="autoZero"/>
        <c:crossBetween val="midCat"/>
      </c:valAx>
      <c:valAx>
        <c:axId val="172246912"/>
        <c:scaling>
          <c:orientation val="minMax"/>
        </c:scaling>
        <c:delete val="0"/>
        <c:axPos val="l"/>
        <c:numFmt formatCode="_(\$* #,##0.00_);_(\$* \(#,##0.00\);_(\$* &quot;-&quot;??_);_(@_)" sourceLinked="0"/>
        <c:majorTickMark val="out"/>
        <c:minorTickMark val="none"/>
        <c:tickLblPos val="nextTo"/>
        <c:spPr>
          <a:ln w="3175">
            <a:solidFill>
              <a:srgbClr val="000000"/>
            </a:solidFill>
            <a:prstDash val="solid"/>
          </a:ln>
        </c:spPr>
        <c:txPr>
          <a:bodyPr rot="0" vert="horz"/>
          <a:lstStyle/>
          <a:p>
            <a:pPr>
              <a:defRPr/>
            </a:pPr>
            <a:endParaRPr lang="en-US"/>
          </a:p>
        </c:txPr>
        <c:crossAx val="171941248"/>
        <c:crosses val="autoZero"/>
        <c:crossBetween val="midCat"/>
      </c:valAx>
      <c:spPr>
        <a:noFill/>
        <a:ln w="25400">
          <a:noFill/>
        </a:ln>
      </c:spPr>
    </c:plotArea>
    <c:legend>
      <c:legendPos val="r"/>
      <c:layout>
        <c:manualLayout>
          <c:xMode val="edge"/>
          <c:yMode val="edge"/>
          <c:x val="0.44672363495546663"/>
          <c:y val="3.708112067386922E-3"/>
          <c:w val="0.54796540596359877"/>
          <c:h val="0.14492856182462796"/>
        </c:manualLayout>
      </c:layout>
      <c:overlay val="0"/>
      <c:spPr>
        <a:noFill/>
        <a:ln w="25400">
          <a:noFill/>
        </a:ln>
      </c:spPr>
    </c:legend>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46153846153846"/>
          <c:y val="9.3525508393900322E-2"/>
          <c:w val="0.7615384615384615"/>
          <c:h val="0.64855856307412629"/>
        </c:manualLayout>
      </c:layout>
      <c:scatterChart>
        <c:scatterStyle val="lineMarker"/>
        <c:varyColors val="0"/>
        <c:ser>
          <c:idx val="1"/>
          <c:order val="0"/>
          <c:tx>
            <c:strRef>
              <c:f>BestBuyPaymentCalc!$H$21</c:f>
              <c:strCache>
                <c:ptCount val="1"/>
                <c:pt idx="0">
                  <c:v> Balance </c:v>
                </c:pt>
              </c:strCache>
            </c:strRef>
          </c:tx>
          <c:spPr>
            <a:ln w="25400">
              <a:solidFill>
                <a:srgbClr val="182C63"/>
              </a:solidFill>
              <a:prstDash val="solid"/>
            </a:ln>
          </c:spPr>
          <c:marker>
            <c:symbol val="none"/>
          </c:marker>
          <c:xVal>
            <c:numRef>
              <c:f>BestBuyPaymentCalc!$A$23:$A$28</c:f>
              <c:numCache>
                <c:formatCode>General</c:formatCode>
                <c:ptCount val="6"/>
                <c:pt idx="0">
                  <c:v>1</c:v>
                </c:pt>
                <c:pt idx="1">
                  <c:v>2</c:v>
                </c:pt>
                <c:pt idx="2">
                  <c:v>3</c:v>
                </c:pt>
                <c:pt idx="3">
                  <c:v>4</c:v>
                </c:pt>
                <c:pt idx="4">
                  <c:v>5</c:v>
                </c:pt>
                <c:pt idx="5">
                  <c:v>6</c:v>
                </c:pt>
              </c:numCache>
            </c:numRef>
          </c:xVal>
          <c:yVal>
            <c:numRef>
              <c:f>BestBuyPaymentCalc!$H$23:$H$28</c:f>
              <c:numCache>
                <c:formatCode>_(* #,##0.00_);_(* \(#,##0.00\);_(* "-"??_);_(@_)</c:formatCode>
                <c:ptCount val="6"/>
                <c:pt idx="0">
                  <c:v>2228.5482040000002</c:v>
                </c:pt>
                <c:pt idx="1">
                  <c:v>2075.4220012241335</c:v>
                </c:pt>
                <c:pt idx="2">
                  <c:v>1919.0750439832145</c:v>
                </c:pt>
                <c:pt idx="3">
                  <c:v>1759.4395890749947</c:v>
                </c:pt>
                <c:pt idx="4">
                  <c:v>1596.4464684318721</c:v>
                </c:pt>
                <c:pt idx="5">
                  <c:v>1430.0250591512224</c:v>
                </c:pt>
              </c:numCache>
            </c:numRef>
          </c:yVal>
          <c:smooth val="0"/>
          <c:extLst>
            <c:ext xmlns:c16="http://schemas.microsoft.com/office/drawing/2014/chart" uri="{C3380CC4-5D6E-409C-BE32-E72D297353CC}">
              <c16:uniqueId val="{00000000-876C-4E4F-82D0-BF9C354AA2CD}"/>
            </c:ext>
          </c:extLst>
        </c:ser>
        <c:dLbls>
          <c:showLegendKey val="0"/>
          <c:showVal val="0"/>
          <c:showCatName val="0"/>
          <c:showSerName val="0"/>
          <c:showPercent val="0"/>
          <c:showBubbleSize val="0"/>
        </c:dLbls>
        <c:axId val="200002176"/>
        <c:axId val="204289152"/>
      </c:scatterChart>
      <c:valAx>
        <c:axId val="200002176"/>
        <c:scaling>
          <c:orientation val="minMax"/>
        </c:scaling>
        <c:delete val="0"/>
        <c:axPos val="b"/>
        <c:title>
          <c:tx>
            <c:rich>
              <a:bodyPr/>
              <a:lstStyle/>
              <a:p>
                <a:pPr>
                  <a:defRPr/>
                </a:pPr>
                <a:r>
                  <a:rPr lang="en-US"/>
                  <a:t>Payment No.</a:t>
                </a:r>
              </a:p>
            </c:rich>
          </c:tx>
          <c:layout>
            <c:manualLayout>
              <c:xMode val="edge"/>
              <c:yMode val="edge"/>
              <c:x val="0.74964401294498362"/>
              <c:y val="0.87377787542568386"/>
            </c:manualLayout>
          </c:layout>
          <c:overlay val="0"/>
          <c:spPr>
            <a:solidFill>
              <a:srgbClr val="FFFFFF"/>
            </a:solid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04289152"/>
        <c:crosses val="autoZero"/>
        <c:crossBetween val="midCat"/>
      </c:valAx>
      <c:valAx>
        <c:axId val="204289152"/>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a:pPr>
            <a:endParaRPr lang="en-US"/>
          </a:p>
        </c:txPr>
        <c:crossAx val="200002176"/>
        <c:crosses val="autoZero"/>
        <c:crossBetween val="midCat"/>
      </c:valAx>
      <c:spPr>
        <a:noFill/>
        <a:ln w="25400">
          <a:noFill/>
        </a:ln>
      </c:spPr>
    </c:plotArea>
    <c:legend>
      <c:legendPos val="r"/>
      <c:layout>
        <c:manualLayout>
          <c:xMode val="edge"/>
          <c:yMode val="edge"/>
          <c:x val="0.54097781894910191"/>
          <c:y val="5.0359868163487032E-2"/>
          <c:w val="0.42701016741839309"/>
          <c:h val="0.14388539752907742"/>
        </c:manualLayout>
      </c:layout>
      <c:overlay val="0"/>
      <c:spPr>
        <a:noFill/>
        <a:ln w="25400">
          <a:noFill/>
        </a:ln>
      </c:spPr>
    </c:legend>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https://www.vertex42.com/" TargetMode="Externa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hyperlink" Target="https://www.vertex42.com/" TargetMode="Externa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16</xdr:col>
      <xdr:colOff>27214</xdr:colOff>
      <xdr:row>23</xdr:row>
      <xdr:rowOff>231321</xdr:rowOff>
    </xdr:from>
    <xdr:to>
      <xdr:col>22</xdr:col>
      <xdr:colOff>530678</xdr:colOff>
      <xdr:row>35</xdr:row>
      <xdr:rowOff>190499</xdr:rowOff>
    </xdr:to>
    <xdr:graphicFrame macro="">
      <xdr:nvGraphicFramePr>
        <xdr:cNvPr id="3" name="Chart 2">
          <a:extLst>
            <a:ext uri="{FF2B5EF4-FFF2-40B4-BE49-F238E27FC236}">
              <a16:creationId xmlns:a16="http://schemas.microsoft.com/office/drawing/2014/main" id="{67A6E76A-484C-4802-991F-EDB704FFE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13162</xdr:colOff>
      <xdr:row>0</xdr:row>
      <xdr:rowOff>0</xdr:rowOff>
    </xdr:from>
    <xdr:to>
      <xdr:col>37</xdr:col>
      <xdr:colOff>41564</xdr:colOff>
      <xdr:row>60</xdr:row>
      <xdr:rowOff>120016</xdr:rowOff>
    </xdr:to>
    <xdr:graphicFrame macro="">
      <xdr:nvGraphicFramePr>
        <xdr:cNvPr id="5" name="Chart 4">
          <a:extLst>
            <a:ext uri="{FF2B5EF4-FFF2-40B4-BE49-F238E27FC236}">
              <a16:creationId xmlns:a16="http://schemas.microsoft.com/office/drawing/2014/main" id="{B37F81AA-2EA9-4489-B10D-7B43696C1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7620</xdr:colOff>
      <xdr:row>1</xdr:row>
      <xdr:rowOff>31549</xdr:rowOff>
    </xdr:from>
    <xdr:to>
      <xdr:col>21</xdr:col>
      <xdr:colOff>106707</xdr:colOff>
      <xdr:row>24</xdr:row>
      <xdr:rowOff>90241</xdr:rowOff>
    </xdr:to>
    <xdr:pic>
      <xdr:nvPicPr>
        <xdr:cNvPr id="2" name="Picture 1">
          <a:extLst>
            <a:ext uri="{FF2B5EF4-FFF2-40B4-BE49-F238E27FC236}">
              <a16:creationId xmlns:a16="http://schemas.microsoft.com/office/drawing/2014/main" id="{4914C468-1FD3-4291-829C-BBF25A33FCB4}"/>
            </a:ext>
          </a:extLst>
        </xdr:cNvPr>
        <xdr:cNvPicPr>
          <a:picLocks noChangeAspect="1"/>
        </xdr:cNvPicPr>
      </xdr:nvPicPr>
      <xdr:blipFill>
        <a:blip xmlns:r="http://schemas.openxmlformats.org/officeDocument/2006/relationships" r:embed="rId1"/>
        <a:stretch>
          <a:fillRect/>
        </a:stretch>
      </xdr:blipFill>
      <xdr:spPr>
        <a:xfrm>
          <a:off x="6225540" y="161089"/>
          <a:ext cx="4762527" cy="3038112"/>
        </a:xfrm>
        <a:prstGeom prst="rect">
          <a:avLst/>
        </a:prstGeom>
      </xdr:spPr>
    </xdr:pic>
    <xdr:clientData/>
  </xdr:twoCellAnchor>
  <xdr:twoCellAnchor editAs="oneCell">
    <xdr:from>
      <xdr:col>2</xdr:col>
      <xdr:colOff>160612</xdr:colOff>
      <xdr:row>0</xdr:row>
      <xdr:rowOff>125729</xdr:rowOff>
    </xdr:from>
    <xdr:to>
      <xdr:col>11</xdr:col>
      <xdr:colOff>3840</xdr:colOff>
      <xdr:row>17</xdr:row>
      <xdr:rowOff>75304</xdr:rowOff>
    </xdr:to>
    <xdr:pic>
      <xdr:nvPicPr>
        <xdr:cNvPr id="3" name="Picture 2">
          <a:extLst>
            <a:ext uri="{FF2B5EF4-FFF2-40B4-BE49-F238E27FC236}">
              <a16:creationId xmlns:a16="http://schemas.microsoft.com/office/drawing/2014/main" id="{6FA6AE68-EB33-46E3-A8CA-3EE3D88E8BB8}"/>
            </a:ext>
          </a:extLst>
        </xdr:cNvPr>
        <xdr:cNvPicPr>
          <a:picLocks noChangeAspect="1"/>
        </xdr:cNvPicPr>
      </xdr:nvPicPr>
      <xdr:blipFill>
        <a:blip xmlns:r="http://schemas.openxmlformats.org/officeDocument/2006/relationships" r:embed="rId2"/>
        <a:stretch>
          <a:fillRect/>
        </a:stretch>
      </xdr:blipFill>
      <xdr:spPr>
        <a:xfrm>
          <a:off x="1196932" y="125729"/>
          <a:ext cx="4506668" cy="21517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71614</xdr:colOff>
      <xdr:row>21</xdr:row>
      <xdr:rowOff>53340</xdr:rowOff>
    </xdr:to>
    <xdr:pic>
      <xdr:nvPicPr>
        <xdr:cNvPr id="2" name="Picture 1">
          <a:extLst>
            <a:ext uri="{FF2B5EF4-FFF2-40B4-BE49-F238E27FC236}">
              <a16:creationId xmlns:a16="http://schemas.microsoft.com/office/drawing/2014/main" id="{21AAD461-1862-4192-A3B7-9423CFA6ECD0}"/>
            </a:ext>
          </a:extLst>
        </xdr:cNvPr>
        <xdr:cNvPicPr>
          <a:picLocks noChangeAspect="1"/>
        </xdr:cNvPicPr>
      </xdr:nvPicPr>
      <xdr:blipFill>
        <a:blip xmlns:r="http://schemas.openxmlformats.org/officeDocument/2006/relationships" r:embed="rId1"/>
        <a:stretch>
          <a:fillRect/>
        </a:stretch>
      </xdr:blipFill>
      <xdr:spPr>
        <a:xfrm>
          <a:off x="0" y="0"/>
          <a:ext cx="4735054" cy="27736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29765</xdr:colOff>
      <xdr:row>1</xdr:row>
      <xdr:rowOff>188141</xdr:rowOff>
    </xdr:from>
    <xdr:to>
      <xdr:col>17</xdr:col>
      <xdr:colOff>19843</xdr:colOff>
      <xdr:row>2</xdr:row>
      <xdr:rowOff>9526</xdr:rowOff>
    </xdr:to>
    <xdr:sp macro="" textlink="$Q$2">
      <xdr:nvSpPr>
        <xdr:cNvPr id="2" name="Rectangle 1" descr="Year">
          <a:extLst>
            <a:ext uri="{FF2B5EF4-FFF2-40B4-BE49-F238E27FC236}">
              <a16:creationId xmlns:a16="http://schemas.microsoft.com/office/drawing/2014/main" id="{8E7D0842-B8E7-420A-935C-E0AEBD03BFA5}"/>
            </a:ext>
          </a:extLst>
        </xdr:cNvPr>
        <xdr:cNvSpPr/>
      </xdr:nvSpPr>
      <xdr:spPr>
        <a:xfrm flipH="1">
          <a:off x="15742840" y="350066"/>
          <a:ext cx="971153" cy="26906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844B8A-4141-4FF4-9316-6625FB86BF57}" type="TxLink">
            <a:rPr lang="en-US" sz="1000" b="1" i="0" u="none" strike="noStrike">
              <a:solidFill>
                <a:schemeClr val="bg1"/>
              </a:solidFill>
              <a:latin typeface="verdana"/>
              <a:ea typeface="verdana"/>
              <a:cs typeface="Arial"/>
            </a:rPr>
            <a:pPr algn="ctr"/>
            <a:t>2021</a:t>
          </a:fld>
          <a:endParaRPr lang="en-US" sz="12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66675</xdr:colOff>
      <xdr:row>2</xdr:row>
      <xdr:rowOff>142875</xdr:rowOff>
    </xdr:from>
    <xdr:to>
      <xdr:col>8</xdr:col>
      <xdr:colOff>1200150</xdr:colOff>
      <xdr:row>11</xdr:row>
      <xdr:rowOff>28575</xdr:rowOff>
    </xdr:to>
    <xdr:graphicFrame macro="">
      <xdr:nvGraphicFramePr>
        <xdr:cNvPr id="2" name="Chart 47">
          <a:extLst>
            <a:ext uri="{FF2B5EF4-FFF2-40B4-BE49-F238E27FC236}">
              <a16:creationId xmlns:a16="http://schemas.microsoft.com/office/drawing/2014/main" id="{1740E1D1-4C7B-4239-8E75-69F67D177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47625</xdr:colOff>
      <xdr:row>11</xdr:row>
      <xdr:rowOff>66676</xdr:rowOff>
    </xdr:from>
    <xdr:to>
      <xdr:col>8</xdr:col>
      <xdr:colOff>1190625</xdr:colOff>
      <xdr:row>19</xdr:row>
      <xdr:rowOff>0</xdr:rowOff>
    </xdr:to>
    <xdr:graphicFrame macro="">
      <xdr:nvGraphicFramePr>
        <xdr:cNvPr id="3" name="Chart 48">
          <a:extLst>
            <a:ext uri="{FF2B5EF4-FFF2-40B4-BE49-F238E27FC236}">
              <a16:creationId xmlns:a16="http://schemas.microsoft.com/office/drawing/2014/main" id="{6DB57905-4D0C-4236-A383-8FC7414AC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871424</xdr:colOff>
      <xdr:row>0</xdr:row>
      <xdr:rowOff>38100</xdr:rowOff>
    </xdr:from>
    <xdr:to>
      <xdr:col>8</xdr:col>
      <xdr:colOff>1138351</xdr:colOff>
      <xdr:row>0</xdr:row>
      <xdr:rowOff>345338</xdr:rowOff>
    </xdr:to>
    <xdr:pic>
      <xdr:nvPicPr>
        <xdr:cNvPr id="4" name="Picture 3">
          <a:hlinkClick xmlns:r="http://schemas.openxmlformats.org/officeDocument/2006/relationships" r:id="rId3"/>
          <a:extLst>
            <a:ext uri="{FF2B5EF4-FFF2-40B4-BE49-F238E27FC236}">
              <a16:creationId xmlns:a16="http://schemas.microsoft.com/office/drawing/2014/main" id="{42173119-5F0B-4D52-9683-3BC5C532839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95874" y="38100"/>
          <a:ext cx="1228952" cy="3072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66675</xdr:colOff>
      <xdr:row>2</xdr:row>
      <xdr:rowOff>142875</xdr:rowOff>
    </xdr:from>
    <xdr:to>
      <xdr:col>8</xdr:col>
      <xdr:colOff>1200150</xdr:colOff>
      <xdr:row>11</xdr:row>
      <xdr:rowOff>28575</xdr:rowOff>
    </xdr:to>
    <xdr:graphicFrame macro="">
      <xdr:nvGraphicFramePr>
        <xdr:cNvPr id="2" name="Chart 47">
          <a:extLst>
            <a:ext uri="{FF2B5EF4-FFF2-40B4-BE49-F238E27FC236}">
              <a16:creationId xmlns:a16="http://schemas.microsoft.com/office/drawing/2014/main" id="{2E6D9C3F-CB0F-44C6-A854-4BE3B9B59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47625</xdr:colOff>
      <xdr:row>11</xdr:row>
      <xdr:rowOff>66676</xdr:rowOff>
    </xdr:from>
    <xdr:to>
      <xdr:col>8</xdr:col>
      <xdr:colOff>1190625</xdr:colOff>
      <xdr:row>19</xdr:row>
      <xdr:rowOff>0</xdr:rowOff>
    </xdr:to>
    <xdr:graphicFrame macro="">
      <xdr:nvGraphicFramePr>
        <xdr:cNvPr id="3" name="Chart 48">
          <a:extLst>
            <a:ext uri="{FF2B5EF4-FFF2-40B4-BE49-F238E27FC236}">
              <a16:creationId xmlns:a16="http://schemas.microsoft.com/office/drawing/2014/main" id="{1F5F7B83-48ED-4878-84CC-318D84659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871424</xdr:colOff>
      <xdr:row>0</xdr:row>
      <xdr:rowOff>38100</xdr:rowOff>
    </xdr:from>
    <xdr:to>
      <xdr:col>8</xdr:col>
      <xdr:colOff>1138351</xdr:colOff>
      <xdr:row>0</xdr:row>
      <xdr:rowOff>345338</xdr:rowOff>
    </xdr:to>
    <xdr:pic>
      <xdr:nvPicPr>
        <xdr:cNvPr id="4" name="Picture 3">
          <a:hlinkClick xmlns:r="http://schemas.openxmlformats.org/officeDocument/2006/relationships" r:id="rId3"/>
          <a:extLst>
            <a:ext uri="{FF2B5EF4-FFF2-40B4-BE49-F238E27FC236}">
              <a16:creationId xmlns:a16="http://schemas.microsoft.com/office/drawing/2014/main" id="{F98847F6-D24D-489A-9A21-86220FAA6A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95874" y="38100"/>
          <a:ext cx="1228952" cy="3072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an/Documents/Yearly_Breakdow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an/Documents/Investment%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0"/>
      <sheetName val="2021 Income"/>
      <sheetName val="Pivot (2021)"/>
      <sheetName val="At-A-Glance"/>
      <sheetName val="Monthly_View"/>
      <sheetName val="Monthly_View b"/>
      <sheetName val="Statement"/>
    </sheetNames>
    <sheetDataSet>
      <sheetData sheetId="0"/>
      <sheetData sheetId="1"/>
      <sheetData sheetId="2">
        <row r="2">
          <cell r="A2">
            <v>800</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ortfolio"/>
      <sheetName val="Asset Allocation"/>
      <sheetName val="Investment tracker1"/>
    </sheetNames>
    <sheetDataSet>
      <sheetData sheetId="0" refreshError="1"/>
      <sheetData sheetId="1" refreshError="1"/>
      <sheetData sheetId="2"/>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FF553A-6128-46CF-A4CD-5B7B9F49E0E1}" name="Income14" displayName="Income14" ref="C5:Q10" totalsRowCount="1" headerRowDxfId="310" dataDxfId="309" totalsRowDxfId="308">
  <autoFilter ref="C5:Q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BB2E098-95C6-4C79-87F5-A1B9F0EA6F02}" name="INCOME" totalsRowLabel="Total" totalsRowDxfId="307"/>
    <tableColumn id="2" xr3:uid="{D9DDEB99-0CEF-4EBE-8B7F-E33AF5819C50}" name="January" totalsRowFunction="sum" dataDxfId="306" totalsRowDxfId="305">
      <calculatedColumnFormula array="1">SUM(SUMIFS('Wells Fargo'!$F:$F,'Wells Fargo'!$G:$G,{"Nationwide";"Elephant"},'Wells Fargo'!$A:$A, D3))</calculatedColumnFormula>
    </tableColumn>
    <tableColumn id="3" xr3:uid="{79CA570B-F2C5-4FAB-B25F-0A2874ECE5C8}" name="February" totalsRowFunction="sum" totalsRowDxfId="304"/>
    <tableColumn id="4" xr3:uid="{2BF53FB7-9792-43F9-8C0B-C4164D25B8D4}" name="March" totalsRowFunction="sum" totalsRowDxfId="303"/>
    <tableColumn id="5" xr3:uid="{A423250B-00F4-4CA1-9FC8-8FD9B4AF2EC4}" name="April" totalsRowFunction="sum" totalsRowDxfId="302"/>
    <tableColumn id="6" xr3:uid="{69B64F5C-4436-45F5-89C3-B1011026B0BD}" name="May" totalsRowFunction="sum" totalsRowDxfId="301"/>
    <tableColumn id="7" xr3:uid="{4C87132D-2107-4B85-98CC-0195B1B78BAC}" name="June" totalsRowFunction="sum" totalsRowDxfId="300"/>
    <tableColumn id="8" xr3:uid="{CA804F34-AECA-44F9-AB1D-68CE42CD3416}" name="July" totalsRowFunction="sum" totalsRowDxfId="299"/>
    <tableColumn id="9" xr3:uid="{C92113C0-E8AA-49C4-9B94-7755096ABF66}" name="August" totalsRowFunction="sum" totalsRowDxfId="298"/>
    <tableColumn id="10" xr3:uid="{2A8A5D0B-06EA-4670-8E59-19A0C9F6A7F9}" name="September" totalsRowFunction="sum" totalsRowDxfId="297"/>
    <tableColumn id="11" xr3:uid="{F4B2F11A-619B-4391-A6D9-AAD034A41BC4}" name="October" totalsRowFunction="sum" totalsRowDxfId="296"/>
    <tableColumn id="12" xr3:uid="{F6254F05-DCDD-4C13-8671-95770C881DFE}" name="November" totalsRowFunction="sum" totalsRowDxfId="295"/>
    <tableColumn id="13" xr3:uid="{78F17CA6-AAB4-4D22-A589-C47B99FD272E}" name="December" totalsRowFunction="sum" totalsRowDxfId="294"/>
    <tableColumn id="14" xr3:uid="{F649DFE0-0AA7-443D-88F1-2790DFA6C1AB}" name="Year" totalsRowFunction="sum" totalsRowDxfId="293">
      <calculatedColumnFormula>SUM(Income14[[#This Row],[January]:[December]])</calculatedColumnFormula>
    </tableColumn>
    <tableColumn id="15" xr3:uid="{5494F317-E129-4A67-8187-FC54CB7BD8DE}" name="Sparkline" totalsRowDxfId="292"/>
  </tableColumns>
  <tableStyleInfo showFirstColumn="1" showLastColumn="0" showRowStripes="0" showColumnStripes="1"/>
  <extLst>
    <ext xmlns:x14="http://schemas.microsoft.com/office/spreadsheetml/2009/9/main" uri="{504A1905-F514-4f6f-8877-14C23A59335A}">
      <x14:table altTextSummary="Enter Income items and monthly amounts in this table. Annual amount and monthly Totals are auto calculated and sparklines are upd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EFD6040-14E9-4B37-9D43-02B09CDE4EE4}" name="Home" displayName="Home" ref="C13:Q15" totalsRowCount="1" headerRowDxfId="291" dataDxfId="290" totalsRowDxfId="289">
  <autoFilter ref="C13:Q1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55BD67E-0771-44C4-B0AC-5ADCE12A0F2E}" name="HOME" totalsRowLabel="Total" totalsRowDxfId="288"/>
    <tableColumn id="2" xr3:uid="{345CBABB-75DE-472E-A66A-FE6960C280DF}" name="January" totalsRowFunction="sum" dataDxfId="287" totalsRowDxfId="286">
      <calculatedColumnFormula array="1">SUM(SUMIFS('Wells Fargo'!$F:$F,'Wells Fargo'!$G:$G,{"Amar - Rent";"New Manchester - Rent"},'Wells Fargo'!$A:$A,'PERSONAL BUDGET - WIP'!D3))*-1</calculatedColumnFormula>
    </tableColumn>
    <tableColumn id="3" xr3:uid="{A558F48E-5F05-402C-80DE-ADA05DC3845A}" name="February" totalsRowFunction="sum" dataDxfId="285" totalsRowDxfId="284">
      <calculatedColumnFormula array="1">SUM(SUMIFS('Wells Fargo'!$F:$F,'Wells Fargo'!$G:$G,{"Amar - Rent";"New Manchester - Rent"},'Wells Fargo'!$A:$A,'PERSONAL BUDGET - WIP'!E3-1))</calculatedColumnFormula>
    </tableColumn>
    <tableColumn id="4" xr3:uid="{F6D74EE0-7231-4E87-99A4-F35F34C511DA}" name="March" totalsRowFunction="sum" totalsRowDxfId="283"/>
    <tableColumn id="5" xr3:uid="{C9BFE9DA-B3FB-4235-8E02-4C868C01881C}" name="April" totalsRowFunction="sum" dataDxfId="282" totalsRowDxfId="281"/>
    <tableColumn id="6" xr3:uid="{ED50E6F7-1C69-404E-820A-5BAC6B1351E2}" name="May" totalsRowFunction="sum" dataDxfId="280" totalsRowDxfId="279"/>
    <tableColumn id="7" xr3:uid="{73EA07BE-5DBA-48E2-9727-B80C331A786F}" name="June" totalsRowFunction="sum" dataDxfId="278" totalsRowDxfId="277">
      <calculatedColumnFormula array="1">SUM(SUMIFS('Wells Fargo'!$F:$F,'Wells Fargo'!$G:$G,{"Amar - Rent";"New Manchester - Rent"},'Wells Fargo'!$A:$A,'PERSONAL BUDGET - WIP'!I3))*-1-807-912.5</calculatedColumnFormula>
    </tableColumn>
    <tableColumn id="8" xr3:uid="{BC46BEC6-526D-4167-8179-288716D55C9D}" name="July" totalsRowFunction="sum" dataDxfId="276" totalsRowDxfId="275"/>
    <tableColumn id="9" xr3:uid="{DC0ADB43-24A4-4B51-BEF5-CFD4D2218DE8}" name="August" totalsRowFunction="sum" dataDxfId="274" totalsRowDxfId="273">
      <calculatedColumnFormula array="1">SUM(SUMIFS('Wells Fargo'!$F:$F,'Wells Fargo'!$G:$G,{"Amar - Rent";"New Manchester - Rent"},'Wells Fargo'!$A:$A,'PERSONAL BUDGET - WIP'!K3))*-1 +1380.63</calculatedColumnFormula>
    </tableColumn>
    <tableColumn id="10" xr3:uid="{14D9944E-515D-480D-8DB1-2962BCEA2241}" name="September" totalsRowFunction="sum" dataDxfId="272" totalsRowDxfId="271"/>
    <tableColumn id="11" xr3:uid="{B04ADF47-D808-45E2-8A94-AAF7E554ADBA}" name="October" totalsRowFunction="sum" dataDxfId="270" totalsRowDxfId="269"/>
    <tableColumn id="12" xr3:uid="{C4E5B066-36FB-4014-A7CA-08C578078C52}" name="November" totalsRowFunction="sum" dataDxfId="268" totalsRowDxfId="267"/>
    <tableColumn id="13" xr3:uid="{6AF7D4EF-F380-42BE-9E5C-83380FA83CA6}" name="December" totalsRowFunction="sum" dataDxfId="266" totalsRowDxfId="265"/>
    <tableColumn id="14" xr3:uid="{89761127-2D7A-4FFE-A7E3-30FE7841E03B}" name="Year" totalsRowFunction="sum" totalsRowDxfId="264">
      <calculatedColumnFormula>SUM(Home[[#This Row],[January]:[December]])</calculatedColumnFormula>
    </tableColumn>
    <tableColumn id="15" xr3:uid="{780A4E83-643A-42AF-AEED-D760ED09D5FA}" name="Sparkline" totalsRowDxfId="263"/>
  </tableColumns>
  <tableStyleInfo showFirstColumn="1" showLastColumn="0" showRowStripes="0" showColumnStripes="1"/>
  <extLst>
    <ext xmlns:x14="http://schemas.microsoft.com/office/spreadsheetml/2009/9/main" uri="{504A1905-F514-4f6f-8877-14C23A59335A}">
      <x14:table altTextSummary="Enter Home expense items and monthly amounts in this table. Annual amount and monthly Totals are auto calculated and sparklines are upd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5656C5-9432-4F47-88D7-65483A9A85DD}" name="Daily" displayName="Daily" ref="C17:Q20" totalsRowCount="1" headerRowDxfId="262" dataDxfId="261" totalsRowDxfId="260">
  <autoFilter ref="C17:Q19"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8B82633-9FA2-4127-8F97-2F152736A2CC}" name="DAILY LIVING" totalsRowLabel="Total" totalsRowDxfId="259"/>
    <tableColumn id="2" xr3:uid="{99726158-EBB0-4886-93C3-7BBB236AF5AE}" name="January" totalsRowFunction="sum" dataDxfId="258" totalsRowDxfId="257">
      <calculatedColumnFormula>SUMIFS(Discover!$F:$F,Discover!$G:$G,"Resteraunts",Discover!$B:$B,'PERSONAL BUDGET - WIP'!D$3)</calculatedColumnFormula>
    </tableColumn>
    <tableColumn id="3" xr3:uid="{A85B4586-2869-4C6F-99EB-603CC548BD8C}" name="February" totalsRowFunction="sum" totalsRowDxfId="256"/>
    <tableColumn id="4" xr3:uid="{1F318A9F-7A6C-4F7A-B09B-2F71664F41D5}" name="March" totalsRowFunction="sum" dataDxfId="255" totalsRowDxfId="254"/>
    <tableColumn id="5" xr3:uid="{1E5176B2-6A69-440D-A2BB-923E01CCA009}" name="April" totalsRowFunction="sum" totalsRowDxfId="253"/>
    <tableColumn id="6" xr3:uid="{A816AA70-40B1-4BD8-B9BF-42018974ED00}" name="May" totalsRowFunction="sum" dataDxfId="252" totalsRowDxfId="251"/>
    <tableColumn id="7" xr3:uid="{66C0191A-DE73-4E37-9154-969FD69245A7}" name="June" totalsRowFunction="sum" totalsRowDxfId="250"/>
    <tableColumn id="8" xr3:uid="{55542483-2C4A-4067-90A2-A3B74845D168}" name="July" totalsRowFunction="sum" dataDxfId="249" totalsRowDxfId="248"/>
    <tableColumn id="9" xr3:uid="{E056D5B4-AE92-41E8-9949-84158F3ED254}" name="August" totalsRowFunction="sum" totalsRowDxfId="247"/>
    <tableColumn id="10" xr3:uid="{7C3ECC08-AFDB-436A-8EE2-B2E849EFEAF4}" name="September" totalsRowFunction="sum" dataDxfId="246" totalsRowDxfId="245"/>
    <tableColumn id="11" xr3:uid="{7A015039-86B6-42A6-BFCC-93D66751F49A}" name="October" totalsRowFunction="sum" totalsRowDxfId="244"/>
    <tableColumn id="12" xr3:uid="{57A6236D-F7CF-42C3-986C-50816EA05098}" name="November" totalsRowFunction="sum" dataDxfId="243" totalsRowDxfId="242"/>
    <tableColumn id="13" xr3:uid="{B4606A44-B90E-414B-A74B-D2BF130153EC}" name="December" totalsRowFunction="sum" totalsRowDxfId="241"/>
    <tableColumn id="14" xr3:uid="{CF80CFE9-8691-48F1-8A76-C18040D9A64F}" name="Year" totalsRowFunction="sum" dataDxfId="240" totalsRowDxfId="239">
      <calculatedColumnFormula>SUM(Daily[[#This Row],[January]:[December]])</calculatedColumnFormula>
    </tableColumn>
    <tableColumn id="15" xr3:uid="{1AD404BA-E118-4EBD-93E6-2F92858CBC65}" name="Sparkline" totalsRowDxfId="238"/>
  </tableColumns>
  <tableStyleInfo showFirstColumn="1" showLastColumn="0" showRowStripes="0" showColumnStripes="1"/>
  <extLst>
    <ext xmlns:x14="http://schemas.microsoft.com/office/spreadsheetml/2009/9/main" uri="{504A1905-F514-4f6f-8877-14C23A59335A}">
      <x14:table altTextSummary="Enter Daily expense items and monthly amounts in this table. Annual amount and monthly Totals are auto calculated and sparklines are upd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93746E-BDA5-40E1-A310-5DB5D8947462}" name="Transportation" displayName="Transportation" ref="C22:Q27" totalsRowCount="1" headerRowDxfId="237" dataDxfId="236" totalsRowDxfId="235">
  <autoFilter ref="C22:Q26"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AC89876-A977-49CC-B3F4-2BFFB2CEB545}" name="TRANSPORTATION" totalsRowLabel="Total" totalsRowDxfId="234"/>
    <tableColumn id="2" xr3:uid="{6EAB42F1-E3DB-4820-82FE-4ACDA5024177}" name="January" totalsRowFunction="sum" dataDxfId="233" totalsRowDxfId="232"/>
    <tableColumn id="3" xr3:uid="{E33AEC59-D94B-41C5-A273-73904A416352}" name="February" totalsRowFunction="sum" totalsRowDxfId="231"/>
    <tableColumn id="4" xr3:uid="{01F3D021-1F1F-4EDB-A51E-AAF7C69BE802}" name="March" totalsRowFunction="sum" dataDxfId="230" totalsRowDxfId="229"/>
    <tableColumn id="5" xr3:uid="{B7A271D2-3F64-46F6-8ADD-C688E527635A}" name="April" totalsRowFunction="sum" totalsRowDxfId="228"/>
    <tableColumn id="6" xr3:uid="{4054708D-9177-4797-BFC6-FBB9239F78C2}" name="May" totalsRowFunction="sum" dataDxfId="227" totalsRowDxfId="226"/>
    <tableColumn id="7" xr3:uid="{85990CCC-3E35-4BBC-B208-AE9423DAD93A}" name="June" totalsRowFunction="sum" totalsRowDxfId="225"/>
    <tableColumn id="8" xr3:uid="{4693357F-8709-4136-B79E-3938E4CC9FC9}" name="July" totalsRowFunction="sum" dataDxfId="224" totalsRowDxfId="223"/>
    <tableColumn id="9" xr3:uid="{D7A9C245-0F7A-4EDA-9F04-41D7C1E7A108}" name="August" totalsRowFunction="sum" totalsRowDxfId="222"/>
    <tableColumn id="10" xr3:uid="{A4B0D908-D968-4D83-BE4B-E33F5AAE760A}" name="September" totalsRowFunction="sum" dataDxfId="221" totalsRowDxfId="220"/>
    <tableColumn id="11" xr3:uid="{6D7E9DBF-F1C9-40AB-8E5A-16550D55D226}" name="October" totalsRowFunction="sum" totalsRowDxfId="219"/>
    <tableColumn id="12" xr3:uid="{0FA3B0DB-92B4-4E69-A9EB-8456982CC108}" name="November" totalsRowFunction="sum" dataDxfId="218" totalsRowDxfId="217"/>
    <tableColumn id="13" xr3:uid="{08C9FE6C-5C0B-4D42-9FFB-25010D746A84}" name="December" totalsRowFunction="sum" totalsRowDxfId="216"/>
    <tableColumn id="14" xr3:uid="{62974BCE-30E3-40BB-AA6B-53C561F0535D}" name="Year" totalsRowFunction="sum" dataDxfId="215" totalsRowDxfId="214">
      <calculatedColumnFormula>SUM(Transportation[[#This Row],[January]:[December]])</calculatedColumnFormula>
    </tableColumn>
    <tableColumn id="15" xr3:uid="{485D60EB-1F5A-4EB2-8727-BAF6EC8E3C3B}" name="Sparkline" totalsRowDxfId="213"/>
  </tableColumns>
  <tableStyleInfo showFirstColumn="1" showLastColumn="0" showRowStripes="0" showColumnStripes="1"/>
  <extLst>
    <ext xmlns:x14="http://schemas.microsoft.com/office/spreadsheetml/2009/9/main" uri="{504A1905-F514-4f6f-8877-14C23A59335A}">
      <x14:table altTextSummary="Enter Transportation expense items and monthly amounts in this table. Annual amount and monthly Totals are auto calculated and sparklines are update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1E951D-30E8-48FB-B33E-022F08A5791F}" name="Entertainment" displayName="Entertainment" ref="C29:Q33" totalsRowCount="1" headerRowDxfId="212" dataDxfId="211" totalsRowDxfId="210">
  <autoFilter ref="C29:Q32"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C7696D4-15EC-41C1-B872-45946A0B0883}" name="ENTERTAINMENT" totalsRowLabel="Total" totalsRowDxfId="209"/>
    <tableColumn id="2" xr3:uid="{57424BF2-C523-4DF2-816F-141176A85F16}" name="January" totalsRowFunction="sum" totalsRowDxfId="208"/>
    <tableColumn id="3" xr3:uid="{168E12AB-A402-414A-BAD6-1BF845FF8D24}" name="February" totalsRowFunction="sum" totalsRowDxfId="207"/>
    <tableColumn id="4" xr3:uid="{352AAE8A-4FE6-4DE0-AC3F-FC7B32EC55A0}" name="March" totalsRowFunction="sum" totalsRowDxfId="206"/>
    <tableColumn id="5" xr3:uid="{712F2476-33ED-4001-A17D-E8D1DDE89666}" name="April" totalsRowFunction="sum" totalsRowDxfId="205"/>
    <tableColumn id="6" xr3:uid="{17EDAF40-6F23-4D80-8595-8E20378356EF}" name="May" totalsRowFunction="sum" totalsRowDxfId="204"/>
    <tableColumn id="7" xr3:uid="{E3A920F6-BCC5-402E-A8A1-1CFD89F783B2}" name="June" totalsRowFunction="sum" totalsRowDxfId="203"/>
    <tableColumn id="8" xr3:uid="{1E18D711-AA79-4DBC-ACA1-7FF177DF0AAA}" name="July" totalsRowFunction="sum" totalsRowDxfId="202"/>
    <tableColumn id="9" xr3:uid="{E79365F4-E1F4-4F79-9EF0-C46E26D14533}" name="August" totalsRowFunction="sum" totalsRowDxfId="201"/>
    <tableColumn id="10" xr3:uid="{F64408A0-DD3E-4952-83AE-A2CC25AB18CA}" name="September" totalsRowFunction="sum" totalsRowDxfId="200"/>
    <tableColumn id="11" xr3:uid="{5550FB4F-E244-43E9-83A9-A4C18F425961}" name="October" totalsRowFunction="sum" totalsRowDxfId="199"/>
    <tableColumn id="12" xr3:uid="{594A339F-FC19-4793-84CE-9DEF5D2A6543}" name="November" totalsRowFunction="sum" totalsRowDxfId="198"/>
    <tableColumn id="13" xr3:uid="{FD96EF4D-80A6-47F9-A418-8BE2766E3378}" name="December" totalsRowFunction="sum" totalsRowDxfId="197"/>
    <tableColumn id="14" xr3:uid="{352CED3E-93BF-4B57-B9BD-D508B27D81F6}" name="Year" totalsRowFunction="sum" totalsRowDxfId="196">
      <calculatedColumnFormula>SUM(Entertainment[[#This Row],[January]:[December]])</calculatedColumnFormula>
    </tableColumn>
    <tableColumn id="15" xr3:uid="{C68F3BB8-C943-4A49-B5F9-DD442DCA6912}" name="Sparkline" totalsRowDxfId="195"/>
  </tableColumns>
  <tableStyleInfo showFirstColumn="1" showLastColumn="0" showRowStripes="0" showColumnStripes="1"/>
  <extLst>
    <ext xmlns:x14="http://schemas.microsoft.com/office/spreadsheetml/2009/9/main" uri="{504A1905-F514-4f6f-8877-14C23A59335A}">
      <x14:table altTextSummary="Enter Entertainment expense items and monthly amounts in this table. Annual amount and monthly Totals are auto calculated and sparklines are update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AE1E771-C0B0-4AAE-9C9E-911AD47556AC}" name="Health" displayName="Health" ref="C35:Q43" totalsRowCount="1" headerRowDxfId="194" dataDxfId="193" totalsRowDxfId="192">
  <autoFilter ref="C35:Q42"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AF316A6-0D49-43B4-9C6F-9A2DBCE9B5FE}" name="HEALTH" totalsRowLabel="Total" totalsRowDxfId="191"/>
    <tableColumn id="2" xr3:uid="{7F7673E6-D729-44F5-8EC5-85AC8F518844}" name="January" totalsRowFunction="sum" totalsRowDxfId="190"/>
    <tableColumn id="3" xr3:uid="{D6797321-4AE3-4E02-BC47-0F8959157942}" name="February" totalsRowFunction="sum" totalsRowDxfId="189"/>
    <tableColumn id="4" xr3:uid="{EB21C391-884C-43E8-A889-AAB0BAE53E35}" name="March" totalsRowFunction="sum" totalsRowDxfId="188"/>
    <tableColumn id="5" xr3:uid="{02FB19F5-8CB8-4E13-AD52-1115C0987F91}" name="April" totalsRowFunction="sum" totalsRowDxfId="187"/>
    <tableColumn id="6" xr3:uid="{2632EBEC-3AE9-4EA9-A39C-7CD4F7E9EC1D}" name="May" totalsRowFunction="sum" totalsRowDxfId="186"/>
    <tableColumn id="7" xr3:uid="{C554D2C2-2A51-4579-BA76-39DC4EC82EF9}" name="June" totalsRowFunction="sum" totalsRowDxfId="185"/>
    <tableColumn id="8" xr3:uid="{1BBE64C7-BC4A-4F8D-96D3-DE24BECC0E34}" name="July" totalsRowFunction="sum" totalsRowDxfId="184"/>
    <tableColumn id="9" xr3:uid="{4E7E1AEE-F40B-49C4-994A-9268818C1C29}" name="August" totalsRowFunction="sum" totalsRowDxfId="183"/>
    <tableColumn id="10" xr3:uid="{B85214E7-8ABD-44E9-975C-1948CCE4070D}" name="September" totalsRowFunction="sum" totalsRowDxfId="182"/>
    <tableColumn id="11" xr3:uid="{CC4559E6-ACCA-4BFE-AFDD-318E46D5AC22}" name="October" totalsRowFunction="sum" totalsRowDxfId="181"/>
    <tableColumn id="12" xr3:uid="{9E0CECB1-06C2-4054-9010-00D420B3BEC7}" name="November" totalsRowFunction="sum" totalsRowDxfId="180"/>
    <tableColumn id="13" xr3:uid="{49D0D7B0-D8CB-4E57-BC2B-BA22105AD82C}" name="December" totalsRowFunction="sum" totalsRowDxfId="179"/>
    <tableColumn id="14" xr3:uid="{648C0F2A-D036-4EDA-A3B1-50314CC53D24}" name="Year" totalsRowFunction="sum" totalsRowDxfId="178">
      <calculatedColumnFormula>SUM(Health[[#This Row],[January]:[December]])</calculatedColumnFormula>
    </tableColumn>
    <tableColumn id="15" xr3:uid="{6D672594-5463-44D9-89C8-45957704244A}" name="Sparkline" totalsRowDxfId="177"/>
  </tableColumns>
  <tableStyleInfo showFirstColumn="1" showLastColumn="0" showRowStripes="0" showColumnStripes="1"/>
  <extLst>
    <ext xmlns:x14="http://schemas.microsoft.com/office/spreadsheetml/2009/9/main" uri="{504A1905-F514-4f6f-8877-14C23A59335A}">
      <x14:table altTextSummary="Enter Health expense items and monthly amounts in this table. Annual amount and monthly Totals are auto calculated and sparklines are update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F4646E3-1DBD-4613-8A10-5C231E5F3BBA}" name="Vacations" displayName="Vacations" ref="C45:Q52" totalsRowCount="1" headerRowDxfId="176" dataDxfId="175" totalsRowDxfId="174">
  <autoFilter ref="C45:Q5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6728363-91BF-49A6-8B33-38DB92FF9DA4}" name="VACATIONS" totalsRowLabel="Total" totalsRowDxfId="173"/>
    <tableColumn id="2" xr3:uid="{68604652-8C9C-4EA5-A46C-425ABA228D4C}" name="January" totalsRowFunction="sum" totalsRowDxfId="172"/>
    <tableColumn id="3" xr3:uid="{3E9BAE07-02A3-4F2E-8190-74845208B6D8}" name="February" totalsRowFunction="sum" totalsRowDxfId="171"/>
    <tableColumn id="4" xr3:uid="{4105778C-B5B3-49E0-B4E7-02FC925C6D3B}" name="March" totalsRowFunction="sum" totalsRowDxfId="170"/>
    <tableColumn id="5" xr3:uid="{EC9BF928-DE33-4673-9477-6ABE10FB6016}" name="April" totalsRowFunction="sum" totalsRowDxfId="169"/>
    <tableColumn id="6" xr3:uid="{283EA6B9-4254-4B73-B1DB-D7B74158121E}" name="May" totalsRowFunction="sum" totalsRowDxfId="168"/>
    <tableColumn id="7" xr3:uid="{E78E86CE-0FFD-4AC1-B753-885AB19D41B7}" name="June" totalsRowFunction="sum" totalsRowDxfId="167"/>
    <tableColumn id="8" xr3:uid="{066B249F-F7F1-4547-846A-BCA529C3FFDB}" name="July" totalsRowFunction="sum" totalsRowDxfId="166"/>
    <tableColumn id="9" xr3:uid="{39B496C7-A91C-4034-B7BF-E0404E174139}" name="August" totalsRowFunction="sum" totalsRowDxfId="165"/>
    <tableColumn id="10" xr3:uid="{9BACB12F-E20E-47EE-8360-3FF48F941C5A}" name="September" totalsRowFunction="sum" totalsRowDxfId="164"/>
    <tableColumn id="11" xr3:uid="{60E76E4C-1BFD-450D-A199-A666A451D868}" name="October" totalsRowFunction="sum" totalsRowDxfId="163"/>
    <tableColumn id="12" xr3:uid="{3F6ED0EB-BF66-4690-A985-695174326D36}" name="November" totalsRowFunction="sum" totalsRowDxfId="162"/>
    <tableColumn id="13" xr3:uid="{55F94D91-3AB7-4DF4-81F5-ED2CCA162B7A}" name="December" totalsRowFunction="sum" totalsRowDxfId="161"/>
    <tableColumn id="14" xr3:uid="{859CA716-6A0E-4F93-BD51-7DA8266E3C18}" name="Year" totalsRowFunction="sum" totalsRowDxfId="160">
      <calculatedColumnFormula>SUM(Vacations[[#This Row],[January]:[December]])</calculatedColumnFormula>
    </tableColumn>
    <tableColumn id="15" xr3:uid="{5A7B0FF9-3A83-408D-B68E-44A27722A07D}" name="Sparkline" totalsRowDxfId="159"/>
  </tableColumns>
  <tableStyleInfo showFirstColumn="1" showLastColumn="0" showRowStripes="0" showColumnStripes="1"/>
  <extLst>
    <ext xmlns:x14="http://schemas.microsoft.com/office/spreadsheetml/2009/9/main" uri="{504A1905-F514-4f6f-8877-14C23A59335A}">
      <x14:table altTextSummary="Enter Vacations expense items and monthly amounts in this table. Annual amount and monthly Totals are auto calculated and sparklines are update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F702B5-6237-4E6E-93C9-D316D5531FDE}" name="Recreation" displayName="Recreation" ref="C54:Q59" totalsRowCount="1" headerRowDxfId="158" dataDxfId="157" totalsRowDxfId="156">
  <autoFilter ref="C54:Q5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56F8EC-FDFA-4D7C-95F6-457284112C28}" name="RECREATION" totalsRowLabel="Total" dataDxfId="155" totalsRowDxfId="154"/>
    <tableColumn id="2" xr3:uid="{6C055DB4-D8B4-404E-999A-8035C9E83E1E}" name="January" totalsRowFunction="sum" dataDxfId="153" totalsRowDxfId="152"/>
    <tableColumn id="3" xr3:uid="{09ADFD48-F844-426E-A768-0809324382DC}" name="February" totalsRowFunction="sum" dataDxfId="151" totalsRowDxfId="150"/>
    <tableColumn id="4" xr3:uid="{ECE5D7ED-E378-433E-9938-B4F717592F66}" name="March" totalsRowFunction="sum" dataDxfId="149" totalsRowDxfId="148"/>
    <tableColumn id="5" xr3:uid="{CD4372D9-1D2F-454B-B88F-CA5419B0262B}" name="April" totalsRowFunction="sum" dataDxfId="147" totalsRowDxfId="146"/>
    <tableColumn id="6" xr3:uid="{7F9E9F1E-0DD1-4C39-A7FC-85546C842D76}" name="May" totalsRowFunction="sum" dataDxfId="145" totalsRowDxfId="144"/>
    <tableColumn id="7" xr3:uid="{7824978F-ABD9-48D1-A8D9-85DD1BBE407E}" name="June" totalsRowFunction="sum" dataDxfId="143" totalsRowDxfId="142"/>
    <tableColumn id="8" xr3:uid="{B04077C7-A11B-4777-8EA1-50F9D3984288}" name="July" totalsRowFunction="sum" dataDxfId="141" totalsRowDxfId="140"/>
    <tableColumn id="9" xr3:uid="{28463AAE-87B8-4894-870B-0D3E35237434}" name="August" totalsRowFunction="sum" dataDxfId="139" totalsRowDxfId="138"/>
    <tableColumn id="10" xr3:uid="{E26D28BD-8335-4728-8811-31AD9CE67E54}" name="September" totalsRowFunction="sum" dataDxfId="137" totalsRowDxfId="136"/>
    <tableColumn id="11" xr3:uid="{1D4CE72B-941D-45CB-BF64-502B4758BEAC}" name="October" totalsRowFunction="sum" dataDxfId="135" totalsRowDxfId="134"/>
    <tableColumn id="12" xr3:uid="{4B7A5370-8D5C-4048-8FA7-5ACE2B4D76EC}" name="November" totalsRowFunction="sum" dataDxfId="133" totalsRowDxfId="132"/>
    <tableColumn id="13" xr3:uid="{87200730-C402-4E44-8ABC-9D5AB2683B70}" name="December" totalsRowFunction="sum" dataDxfId="131" totalsRowDxfId="130"/>
    <tableColumn id="14" xr3:uid="{12330B25-E7B8-44C7-A52B-CD0FF301144C}" name="Year" totalsRowFunction="sum" dataDxfId="129" totalsRowDxfId="128">
      <calculatedColumnFormula>SUM(Recreation[[#This Row],[January]:[December]])</calculatedColumnFormula>
    </tableColumn>
    <tableColumn id="15" xr3:uid="{5EDF3232-A86D-45C3-A221-11D9409DA33E}" name="Sparkline" dataDxfId="127" totalsRowDxfId="126"/>
  </tableColumns>
  <tableStyleInfo showFirstColumn="1" showLastColumn="0" showRowStripes="0" showColumnStripes="1"/>
  <extLst>
    <ext xmlns:x14="http://schemas.microsoft.com/office/spreadsheetml/2009/9/main" uri="{504A1905-F514-4f6f-8877-14C23A59335A}">
      <x14:table altTextSummary="Enter Recreation expense items and monthly amounts in this table. Annual amount and monthly Totals are auto calculated and sparklines are update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155196-3CF1-457B-A485-DA8DEF6C42E5}" name="DuesAndSubscription" displayName="DuesAndSubscription" ref="C61:Q69" totalsRowCount="1" headerRowDxfId="125" dataDxfId="124" totalsRowDxfId="123">
  <autoFilter ref="C61:Q68"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9DA6E5F-22D8-4C35-A13F-D3724883E893}" name="SUBSCRIPTION" totalsRowLabel="Total" dataDxfId="122" totalsRowDxfId="121"/>
    <tableColumn id="2" xr3:uid="{CEBEA1A4-9F5A-4B9E-A410-8E03FD169794}" name="January" totalsRowFunction="sum" dataDxfId="120" totalsRowDxfId="119"/>
    <tableColumn id="3" xr3:uid="{CFFBC6EB-4ECA-4244-80AF-69705D5FA56B}" name="February" totalsRowFunction="sum" dataDxfId="118" totalsRowDxfId="117"/>
    <tableColumn id="4" xr3:uid="{15EB6C80-2FD8-4485-BA74-F3E825A0B084}" name="March" totalsRowFunction="sum" totalsRowDxfId="116"/>
    <tableColumn id="5" xr3:uid="{0248A6F1-A4AA-4C6A-A964-03DB53CAB97C}" name="April" totalsRowFunction="sum" dataDxfId="115" totalsRowDxfId="114"/>
    <tableColumn id="6" xr3:uid="{9E636F14-CF11-44B9-A53C-4E4900809567}" name="May" totalsRowFunction="sum" dataDxfId="113" totalsRowDxfId="112"/>
    <tableColumn id="7" xr3:uid="{E2DBF36F-3CA1-4531-A83E-AE01652F6E9A}" name="June" totalsRowFunction="sum" dataDxfId="111" totalsRowDxfId="110"/>
    <tableColumn id="8" xr3:uid="{D64F5840-2256-473F-9F33-2FA0AB0E1510}" name="July" totalsRowFunction="sum" dataDxfId="109" totalsRowDxfId="108"/>
    <tableColumn id="9" xr3:uid="{52FEEDE7-2D45-4DA1-9129-C59E0AD5A8CA}" name="August" totalsRowFunction="sum" dataDxfId="107" totalsRowDxfId="106"/>
    <tableColumn id="10" xr3:uid="{CED74AE8-7BEF-41B3-9BA1-58C2D6F1155B}" name="September" totalsRowFunction="sum" dataDxfId="105" totalsRowDxfId="104"/>
    <tableColumn id="11" xr3:uid="{DC3422BD-BE59-44BA-BB0F-29539013687A}" name="October" totalsRowFunction="sum" dataDxfId="103" totalsRowDxfId="102"/>
    <tableColumn id="12" xr3:uid="{1EB96579-24A1-48A1-8E6C-AE46E8B10BEA}" name="November" totalsRowFunction="sum" dataDxfId="101" totalsRowDxfId="100"/>
    <tableColumn id="13" xr3:uid="{36492FB7-DA08-4A37-A29D-3812D6FC3945}" name="December" totalsRowFunction="sum" dataDxfId="99" totalsRowDxfId="98"/>
    <tableColumn id="14" xr3:uid="{00DA5EAC-C057-4D02-A2BB-FF2ACA9F3E01}" name="Year" totalsRowFunction="sum" dataDxfId="97" totalsRowDxfId="96">
      <calculatedColumnFormula>SUM(DuesAndSubscription[[#This Row],[January]:[December]])</calculatedColumnFormula>
    </tableColumn>
    <tableColumn id="15" xr3:uid="{628DA1AA-34CD-40DB-92F1-0EB0D94F318B}" name="Sparkline" dataDxfId="95" totalsRowDxfId="94"/>
  </tableColumns>
  <tableStyleInfo showFirstColumn="1" showLastColumn="0" showRowStripes="0" showColumnStripes="1"/>
  <extLst>
    <ext xmlns:x14="http://schemas.microsoft.com/office/spreadsheetml/2009/9/main" uri="{504A1905-F514-4f6f-8877-14C23A59335A}">
      <x14:table altTextSummary="Enter Dues and Subscription items and monthly amounts in this table. Annual amount and monthly Totals are auto calculated and sparklines are update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CAD063-9373-4D9E-8F3C-7DB87F56330F}" name="Personal" displayName="Personal" ref="C71:Q77" totalsRowCount="1" headerRowDxfId="93" dataDxfId="92" totalsRowDxfId="91">
  <autoFilter ref="C71:Q76"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5E3E216-06A4-4AC2-A019-9C8FBAC03E1A}" name="PERSONAL" totalsRowLabel="Total" dataDxfId="90" totalsRowDxfId="89"/>
    <tableColumn id="2" xr3:uid="{DEABC9FB-265F-4DA2-8A10-C6F570F62BEC}" name="January" totalsRowFunction="sum" totalsRowDxfId="88"/>
    <tableColumn id="3" xr3:uid="{96DF45AD-F1DE-4737-8CA0-A60A12718CFF}" name="February" totalsRowFunction="sum" dataDxfId="87" totalsRowDxfId="86"/>
    <tableColumn id="4" xr3:uid="{A4FE367A-6AA5-499D-B588-84C7493E78A8}" name="March" totalsRowFunction="sum" totalsRowDxfId="85"/>
    <tableColumn id="5" xr3:uid="{70ABFEB7-F334-4237-82A8-79FE13BBCA3D}" name="April" totalsRowFunction="sum" dataDxfId="84" totalsRowDxfId="83"/>
    <tableColumn id="6" xr3:uid="{819B9FB9-BD98-48A0-94BB-0D5E6CFE3BEB}" name="May" totalsRowFunction="sum" totalsRowDxfId="82"/>
    <tableColumn id="7" xr3:uid="{05A1947F-87C3-42F5-B4F0-031130821D41}" name="June" totalsRowFunction="sum" dataDxfId="81" totalsRowDxfId="80"/>
    <tableColumn id="8" xr3:uid="{9D33A712-CDDD-4554-9916-1C9B1E8C9712}" name="July" totalsRowFunction="sum" totalsRowDxfId="79"/>
    <tableColumn id="9" xr3:uid="{0B7D64B9-89B8-4047-A5A4-8CF65A9B25A7}" name="August" totalsRowFunction="sum" dataDxfId="78" totalsRowDxfId="77"/>
    <tableColumn id="10" xr3:uid="{218C8B90-F34D-4F38-9C2D-78AF4A725109}" name="September" totalsRowFunction="sum" totalsRowDxfId="76"/>
    <tableColumn id="11" xr3:uid="{1BF3061A-4D80-4446-9948-8D8F7A55922D}" name="October" totalsRowFunction="sum" dataDxfId="75" totalsRowDxfId="74"/>
    <tableColumn id="12" xr3:uid="{1ACC8F82-112A-4895-B301-9B59E8C8BA75}" name="November" totalsRowFunction="sum" totalsRowDxfId="73"/>
    <tableColumn id="13" xr3:uid="{5F8FF70B-78C3-41B5-8035-F625B3C6B666}" name="December" totalsRowFunction="sum" dataDxfId="72" totalsRowDxfId="71"/>
    <tableColumn id="14" xr3:uid="{9BB8419E-1776-474C-8159-EF4D625034B4}" name="Year" totalsRowFunction="sum" totalsRowDxfId="70">
      <calculatedColumnFormula>SUM(Personal[[#This Row],[January]:[December]])</calculatedColumnFormula>
    </tableColumn>
    <tableColumn id="15" xr3:uid="{BBE3140F-A514-46B3-AA96-445507CDED49}" name="Sparkline" dataDxfId="69" totalsRowDxfId="68"/>
  </tableColumns>
  <tableStyleInfo showFirstColumn="1" showLastColumn="0" showRowStripes="0" showColumnStripes="1"/>
  <extLst>
    <ext xmlns:x14="http://schemas.microsoft.com/office/spreadsheetml/2009/9/main" uri="{504A1905-F514-4f6f-8877-14C23A59335A}">
      <x14:table altTextSummary="Enter Personal expenses items and monthly amounts in this table. Annual amount and monthly Totals are auto calculated and sparklines are updated"/>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537F53F-DFAC-45E3-9C9E-8A691C6D5A44}" name="Financial" displayName="Financial" ref="C79:Q85" totalsRowCount="1" headerRowDxfId="67" dataDxfId="66" totalsRowDxfId="65">
  <autoFilter ref="C79:Q8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74A550C-CE0F-40AC-BAD5-999AFB6CB2B2}" name="FINANCIAL OBLIGATIONS" totalsRowLabel="Total" dataDxfId="64" totalsRowDxfId="63"/>
    <tableColumn id="2" xr3:uid="{041281BC-8C00-4E0D-90DF-61D824AD4E84}" name="January" totalsRowFunction="sum" totalsRowDxfId="62"/>
    <tableColumn id="3" xr3:uid="{50604083-5BDC-4EFE-9779-284BE1E3E946}" name="February" totalsRowFunction="sum" dataDxfId="61" totalsRowDxfId="60"/>
    <tableColumn id="4" xr3:uid="{199C60A0-45B1-4298-9C8B-EFD7F4705F77}" name="March" totalsRowFunction="sum" totalsRowDxfId="59"/>
    <tableColumn id="5" xr3:uid="{74B6CBF8-3E25-4280-B8D5-A70B93918C37}" name="April" totalsRowFunction="sum" dataDxfId="58" totalsRowDxfId="57"/>
    <tableColumn id="6" xr3:uid="{201DC9E1-1AD0-41EC-9F72-4A8D213E633C}" name="May" totalsRowFunction="sum" totalsRowDxfId="56"/>
    <tableColumn id="7" xr3:uid="{969CF6B3-61DD-4FF9-AC56-D8F0E6830FCD}" name="June" totalsRowFunction="sum" dataDxfId="55" totalsRowDxfId="54"/>
    <tableColumn id="8" xr3:uid="{48E13813-9B1E-4875-A151-1277E56D5AE5}" name="July" totalsRowFunction="sum" totalsRowDxfId="53"/>
    <tableColumn id="9" xr3:uid="{937B61E7-4784-4503-ACDA-42FEC70759EB}" name="August" totalsRowFunction="sum" dataDxfId="52" totalsRowDxfId="51"/>
    <tableColumn id="10" xr3:uid="{6929FDF4-996A-42B7-A853-846800BFED27}" name="September" totalsRowFunction="sum" totalsRowDxfId="50"/>
    <tableColumn id="11" xr3:uid="{AAB10C59-5640-410C-8F5C-B654ADCCB68D}" name="October" totalsRowFunction="sum" dataDxfId="49" totalsRowDxfId="48"/>
    <tableColumn id="12" xr3:uid="{D5EF8D0E-C96B-422C-BF76-5CA22ED72177}" name="November" totalsRowFunction="sum" totalsRowDxfId="47"/>
    <tableColumn id="13" xr3:uid="{01EBDB16-7855-4257-915C-467BA0AF130B}" name="December" totalsRowFunction="sum" dataDxfId="46" totalsRowDxfId="45"/>
    <tableColumn id="14" xr3:uid="{18D3C6EF-5B5D-466C-9C9B-ABE61C8A29D7}" name="Year" totalsRowFunction="sum" totalsRowDxfId="44">
      <calculatedColumnFormula>SUM(Financial[[#This Row],[January]:[December]])</calculatedColumnFormula>
    </tableColumn>
    <tableColumn id="15" xr3:uid="{68269F2B-BE9C-4944-9801-9B3764A75EF7}" name="Sparkline" dataDxfId="43" totalsRowDxfId="42"/>
  </tableColumns>
  <tableStyleInfo showFirstColumn="1" showLastColumn="0" showRowStripes="0" showColumnStripes="1"/>
  <extLst>
    <ext xmlns:x14="http://schemas.microsoft.com/office/spreadsheetml/2009/9/main" uri="{504A1905-F514-4f6f-8877-14C23A59335A}">
      <x14:table altTextSummary="Enter Financial Obligations items and monthly amounts in this table. Annual amount and monthly Totals are auto calculated and sparklines are updated"/>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68D6BC-15D1-423B-97DB-ED2056D3B6A3}" name="Misc" displayName="Misc" ref="C87:Q92" totalsRowCount="1" headerRowDxfId="41" dataDxfId="40" totalsRowDxfId="39">
  <autoFilter ref="C87:Q91"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ADD1EFC-0B3D-424E-9C2A-174A4859B4F1}" name="MISC PAYMENTS" totalsRowLabel="Total" totalsRowDxfId="38"/>
    <tableColumn id="2" xr3:uid="{D0BF1927-0CD3-4316-BC1E-E4661C891BBA}" name="January" totalsRowFunction="sum" totalsRowDxfId="37"/>
    <tableColumn id="3" xr3:uid="{688420B3-51BB-4CDE-AE85-69EB7D045172}" name="February" totalsRowFunction="sum" dataDxfId="36" totalsRowDxfId="35"/>
    <tableColumn id="4" xr3:uid="{DF8C5DA3-6920-45C9-B969-41ABBAE4F9AB}" name="March" totalsRowFunction="sum" totalsRowDxfId="34"/>
    <tableColumn id="5" xr3:uid="{1FBF61E9-C742-49EE-B386-FDA2F0F4544A}" name="April" totalsRowFunction="sum" dataDxfId="33" totalsRowDxfId="32"/>
    <tableColumn id="6" xr3:uid="{1112E18D-57DC-483F-A8EF-D639C61AC54C}" name="May" totalsRowFunction="sum" totalsRowDxfId="31"/>
    <tableColumn id="7" xr3:uid="{F72D359F-94B9-43B9-AD7A-1DDDB7568E3C}" name="June" totalsRowFunction="sum" dataDxfId="30" totalsRowDxfId="29"/>
    <tableColumn id="8" xr3:uid="{E1125308-605F-4855-BD5A-5E2D743C3915}" name="July" totalsRowFunction="sum" totalsRowDxfId="28"/>
    <tableColumn id="9" xr3:uid="{7D4CC434-F4F5-49ED-8E09-0110145A8AEA}" name="August" totalsRowFunction="sum" dataDxfId="27" totalsRowDxfId="26"/>
    <tableColumn id="10" xr3:uid="{846E02A7-1BCD-4532-BB4B-49793C97939C}" name="September" totalsRowFunction="sum" totalsRowDxfId="25"/>
    <tableColumn id="11" xr3:uid="{75033857-0296-4325-87CE-48E23B82C170}" name="October" totalsRowFunction="sum" dataDxfId="24" totalsRowDxfId="23"/>
    <tableColumn id="12" xr3:uid="{345F3083-76C1-402C-8D66-E7952D18B7AC}" name="November" totalsRowFunction="sum" totalsRowDxfId="22"/>
    <tableColumn id="13" xr3:uid="{299B8EF8-4834-43A8-9217-2534C2545022}" name="December" totalsRowFunction="sum" dataDxfId="21" totalsRowDxfId="20"/>
    <tableColumn id="14" xr3:uid="{40B7D8B1-FB43-49AC-8AF3-D08C3B8CE0FA}" name="Year" totalsRowFunction="sum" totalsRowDxfId="19">
      <calculatedColumnFormula>SUM(Misc[[#This Row],[January]:[December]])</calculatedColumnFormula>
    </tableColumn>
    <tableColumn id="15" xr3:uid="{FFF24372-1329-4D09-8158-DD86991623FF}" name="Sparkline" dataDxfId="18" totalsRowDxfId="17"/>
  </tableColumns>
  <tableStyleInfo showFirstColumn="1" showLastColumn="0" showRowStripes="0" showColumnStripes="1"/>
  <extLst>
    <ext xmlns:x14="http://schemas.microsoft.com/office/spreadsheetml/2009/9/main" uri="{504A1905-F514-4f6f-8877-14C23A59335A}">
      <x14:table altTextSummary="Enter Miscellaneous items and payments in this table. Annual amount and monthly Totals are auto calculated and sparklines are updated"/>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1C98B73-1A82-4204-8103-0E539076A71D}" name="Totals" displayName="Totals" ref="C94:Q96" totalsRowShown="0" headerRowDxfId="16" dataDxfId="15" headerRowCellStyle="Heading 3">
  <tableColumns count="15">
    <tableColumn id="1" xr3:uid="{47E7B069-D671-4AB4-A506-8DE7890EE771}" name="TOTALS" dataDxfId="14"/>
    <tableColumn id="2" xr3:uid="{C167B79B-241D-455F-A68E-E93EEE95D0B0}" name="JAN" dataDxfId="13">
      <calculatedColumnFormula>Income14[[#Totals],[January]]-D94</calculatedColumnFormula>
    </tableColumn>
    <tableColumn id="3" xr3:uid="{D4BD936D-B318-41A2-8AAE-225341F44820}" name="FEB" dataDxfId="12">
      <calculatedColumnFormula>Income14[[#Totals],[February]]-E94</calculatedColumnFormula>
    </tableColumn>
    <tableColumn id="4" xr3:uid="{9DB5C81F-430D-4FB8-AD62-8B6F16BD6B24}" name="MAR" dataDxfId="11">
      <calculatedColumnFormula>Income14[[#Totals],[March]]-F94</calculatedColumnFormula>
    </tableColumn>
    <tableColumn id="5" xr3:uid="{43B96B36-76F2-4F7B-BC4C-AEC31296307D}" name="APR" dataDxfId="10">
      <calculatedColumnFormula>Income14[[#Totals],[April]]-G94</calculatedColumnFormula>
    </tableColumn>
    <tableColumn id="6" xr3:uid="{4B2A57AD-543F-48AB-871F-06B7FE4073B4}" name="MAY" dataDxfId="9">
      <calculatedColumnFormula>Income14[[#Totals],[May]]-H94</calculatedColumnFormula>
    </tableColumn>
    <tableColumn id="7" xr3:uid="{0BEB5383-8921-4B39-9E02-99E7D946FE5D}" name="JUN" dataDxfId="8">
      <calculatedColumnFormula>Income14[[#Totals],[June]]-I94</calculatedColumnFormula>
    </tableColumn>
    <tableColumn id="8" xr3:uid="{7DA4F8EF-80B1-4154-8EC0-945DD4D2999B}" name="JUL" dataDxfId="7">
      <calculatedColumnFormula>Income14[[#Totals],[July]]-J94</calculatedColumnFormula>
    </tableColumn>
    <tableColumn id="9" xr3:uid="{AE2E04DB-24B3-4A83-8C74-33471D466CBB}" name="AUG" dataDxfId="6">
      <calculatedColumnFormula>Income14[[#Totals],[August]]-K94</calculatedColumnFormula>
    </tableColumn>
    <tableColumn id="10" xr3:uid="{F28339DB-9DE8-425B-86ED-EF0BF968FC8C}" name="SEP" dataDxfId="5">
      <calculatedColumnFormula>Income14[[#Totals],[September]]-L94</calculatedColumnFormula>
    </tableColumn>
    <tableColumn id="11" xr3:uid="{24923772-B9A1-4695-9395-83911E771E4C}" name="OCT" dataDxfId="4">
      <calculatedColumnFormula>Income14[[#Totals],[October]]-M94</calculatedColumnFormula>
    </tableColumn>
    <tableColumn id="12" xr3:uid="{7C096916-7245-4057-A6A5-8C874E7999F3}" name="NOV" dataDxfId="3">
      <calculatedColumnFormula>Income14[[#Totals],[November]]-N94</calculatedColumnFormula>
    </tableColumn>
    <tableColumn id="13" xr3:uid="{4942DC7E-DA13-4FDE-B054-E512EAECDAF2}" name="DEC" dataDxfId="2">
      <calculatedColumnFormula>Income14[[#Totals],[December]]-O94</calculatedColumnFormula>
    </tableColumn>
    <tableColumn id="14" xr3:uid="{A2B3264C-B037-4961-A36F-5BA7B27FDD1A}" name="YEAR" dataDxfId="1">
      <calculatedColumnFormula>Income14[[#Totals],[Year]]-P94</calculatedColumnFormula>
    </tableColumn>
    <tableColumn id="15" xr3:uid="{19FED85D-8B81-465F-AC3C-09D94D8B85BF}" name="SPARKLINE" dataDxfId="0"/>
  </tableColumns>
  <tableStyleInfo showFirstColumn="1" showLastColumn="0" showRowStripes="0" showColumnStripes="1"/>
  <extLst>
    <ext xmlns:x14="http://schemas.microsoft.com/office/spreadsheetml/2009/9/main" uri="{504A1905-F514-4f6f-8877-14C23A59335A}">
      <x14:table altTextSummary="Total expenses and Cash shortage or surplus are auto calculated for each month and entire year, and sparklines are updated in this table"/>
    </ext>
  </extLst>
</table>
</file>

<file path=xl/theme/theme1.xml><?xml version="1.0" encoding="utf-8"?>
<a:theme xmlns:a="http://schemas.openxmlformats.org/drawingml/2006/main" name="Tradeshow">
  <a:themeElements>
    <a:clrScheme name="Expense Calendar">
      <a:dk1>
        <a:srgbClr val="000000"/>
      </a:dk1>
      <a:lt1>
        <a:srgbClr val="FFFFFF"/>
      </a:lt1>
      <a:dk2>
        <a:srgbClr val="635C50"/>
      </a:dk2>
      <a:lt2>
        <a:srgbClr val="E8E7E5"/>
      </a:lt2>
      <a:accent1>
        <a:srgbClr val="84C183"/>
      </a:accent1>
      <a:accent2>
        <a:srgbClr val="F4D647"/>
      </a:accent2>
      <a:accent3>
        <a:srgbClr val="82CECC"/>
      </a:accent3>
      <a:accent4>
        <a:srgbClr val="FFAD2E"/>
      </a:accent4>
      <a:accent5>
        <a:srgbClr val="E67342"/>
      </a:accent5>
      <a:accent6>
        <a:srgbClr val="B580A1"/>
      </a:accent6>
      <a:hlink>
        <a:srgbClr val="82CECC"/>
      </a:hlink>
      <a:folHlink>
        <a:srgbClr val="B580A1"/>
      </a:folHlink>
    </a:clrScheme>
    <a:fontScheme name="Expense Calendar">
      <a:majorFont>
        <a:latin typeface="Bookman Old Style"/>
        <a:ea typeface=""/>
        <a:cs typeface=""/>
      </a:majorFont>
      <a:minorFont>
        <a:latin typeface="Arial"/>
        <a:ea typeface=""/>
        <a:cs typeface=""/>
      </a:minorFont>
    </a:fontScheme>
    <a:fmtScheme name="Tradeshow">
      <a:fillStyleLst>
        <a:solidFill>
          <a:schemeClr val="phClr"/>
        </a:solidFill>
        <a:gradFill rotWithShape="1">
          <a:gsLst>
            <a:gs pos="0">
              <a:schemeClr val="phClr">
                <a:tint val="45000"/>
                <a:satMod val="300000"/>
              </a:schemeClr>
            </a:gs>
            <a:gs pos="35000">
              <a:schemeClr val="phClr">
                <a:tint val="45000"/>
                <a:satMod val="300000"/>
              </a:schemeClr>
            </a:gs>
            <a:gs pos="69000">
              <a:schemeClr val="phClr">
                <a:tint val="45000"/>
                <a:satMod val="350000"/>
              </a:schemeClr>
            </a:gs>
            <a:gs pos="100000">
              <a:schemeClr val="phClr">
                <a:tint val="60000"/>
                <a:satMod val="350000"/>
              </a:schemeClr>
            </a:gs>
          </a:gsLst>
          <a:path path="circle">
            <a:fillToRect l="50000" t="50000" r="100000" b="100000"/>
          </a:path>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9525" cap="rnd" cmpd="sng" algn="ctr">
          <a:solidFill>
            <a:schemeClr val="phClr"/>
          </a:solidFill>
          <a:prstDash val="solid"/>
        </a:ln>
        <a:ln w="38475" cap="flat" cmpd="sng" algn="ctr">
          <a:solidFill>
            <a:schemeClr val="phClr"/>
          </a:solidFill>
          <a:prstDash val="solid"/>
        </a:ln>
        <a:ln w="54850" cap="flat" cmpd="sng" algn="ctr">
          <a:solidFill>
            <a:schemeClr val="phClr"/>
          </a:solidFill>
          <a:prstDash val="solid"/>
        </a:ln>
      </a:lnStyleLst>
      <a:effectStyleLst>
        <a:effectStyle>
          <a:effectLst>
            <a:outerShdw blurRad="50800" dist="25400" dir="5400000" rotWithShape="0">
              <a:srgbClr val="000000">
                <a:alpha val="55000"/>
              </a:srgbClr>
            </a:outerShdw>
          </a:effectLst>
        </a:effectStyle>
        <a:effectStyle>
          <a:effectLst>
            <a:outerShdw blurRad="50800" dist="25400" dir="5400000" rotWithShape="0">
              <a:srgbClr val="000000">
                <a:alpha val="44000"/>
              </a:srgbClr>
            </a:outerShdw>
          </a:effectLst>
        </a:effectStyle>
        <a:effectStyle>
          <a:effectLst>
            <a:outerShdw blurRad="50800" dist="25400" dir="5400000" rotWithShape="0">
              <a:srgbClr val="000000">
                <a:alpha val="55000"/>
              </a:srgbClr>
            </a:outerShdw>
          </a:effectLst>
          <a:scene3d>
            <a:camera prst="orthographicFront">
              <a:rot lat="0" lon="0" rev="0"/>
            </a:camera>
            <a:lightRig rig="brightRoom" dir="tl">
              <a:rot lat="0" lon="0" rev="3600000"/>
            </a:lightRig>
          </a:scene3d>
          <a:sp3d contourW="31750" prstMaterial="flat">
            <a:bevelT w="127000" h="254000" prst="angle"/>
            <a:contourClr>
              <a:schemeClr val="phClr">
                <a:shade val="20000"/>
              </a:schemeClr>
            </a:contourClr>
          </a:sp3d>
        </a:effectStyle>
      </a:effectStyleLst>
      <a:bgFillStyleLst>
        <a:solidFill>
          <a:schemeClr val="phClr"/>
        </a:solidFill>
        <a:gradFill rotWithShape="1">
          <a:gsLst>
            <a:gs pos="20000">
              <a:schemeClr val="phClr">
                <a:tint val="80000"/>
                <a:lumMod val="100000"/>
              </a:schemeClr>
            </a:gs>
            <a:gs pos="100000">
              <a:schemeClr val="phClr">
                <a:tint val="100000"/>
                <a:lumMod val="80000"/>
              </a:schemeClr>
            </a:gs>
          </a:gsLst>
          <a:path path="circle">
            <a:fillToRect l="50000" t="20000" r="100000" b="100000"/>
          </a:path>
        </a:gradFill>
        <a:gradFill rotWithShape="1">
          <a:gsLst>
            <a:gs pos="0">
              <a:schemeClr val="phClr">
                <a:tint val="100000"/>
                <a:lumMod val="100000"/>
              </a:schemeClr>
            </a:gs>
            <a:gs pos="100000">
              <a:schemeClr val="phClr">
                <a:shade val="100000"/>
                <a:lumMod val="60000"/>
              </a:schemeClr>
            </a:gs>
          </a:gsLst>
          <a:path path="circle">
            <a:fillToRect l="50000" t="20000" r="100000" b="10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hyperlink" Target="https://www.vertex42.com/Calculators/credit-card-payment-calculator.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s://www.vertex42.com/Calculators/credit-card-payment-calculator.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EAD7-88F2-46FC-803D-C310896A282C}">
  <sheetPr>
    <tabColor rgb="FFFFC000"/>
  </sheetPr>
  <dimension ref="A1:M215"/>
  <sheetViews>
    <sheetView zoomScale="70" zoomScaleNormal="70" workbookViewId="0">
      <selection activeCell="E27" sqref="E27"/>
    </sheetView>
  </sheetViews>
  <sheetFormatPr defaultColWidth="9.1640625" defaultRowHeight="15" x14ac:dyDescent="0.2"/>
  <cols>
    <col min="1" max="2" width="9.33203125" style="325" bestFit="1" customWidth="1"/>
    <col min="3" max="3" width="14.33203125" style="325" bestFit="1" customWidth="1"/>
    <col min="4" max="4" width="20.1640625" style="325" bestFit="1" customWidth="1"/>
    <col min="5" max="5" width="141.5" style="325" bestFit="1" customWidth="1"/>
    <col min="6" max="6" width="16.1640625" style="325" bestFit="1" customWidth="1"/>
    <col min="7" max="7" width="39.1640625" style="325" bestFit="1" customWidth="1"/>
    <col min="8" max="8" width="8.83203125" customWidth="1"/>
    <col min="9" max="16384" width="9.1640625" style="18"/>
  </cols>
  <sheetData>
    <row r="1" spans="1:12" x14ac:dyDescent="0.2">
      <c r="A1" s="325" t="s">
        <v>14</v>
      </c>
      <c r="B1" s="325" t="s">
        <v>328</v>
      </c>
      <c r="C1" s="325" t="s">
        <v>474</v>
      </c>
      <c r="D1" s="325" t="s">
        <v>496</v>
      </c>
      <c r="E1" s="325" t="s">
        <v>0</v>
      </c>
      <c r="F1" s="325" t="s">
        <v>1</v>
      </c>
      <c r="G1" s="325" t="s">
        <v>528</v>
      </c>
      <c r="H1" s="18"/>
    </row>
    <row r="2" spans="1:12" x14ac:dyDescent="0.2">
      <c r="A2" s="325">
        <f>MONTH(C2)</f>
        <v>1</v>
      </c>
      <c r="B2" s="325">
        <f>DAY(C2)</f>
        <v>4</v>
      </c>
      <c r="C2" s="326">
        <v>44200</v>
      </c>
      <c r="D2" s="325" t="s">
        <v>485</v>
      </c>
      <c r="E2" s="325" t="s">
        <v>354</v>
      </c>
      <c r="F2" s="327">
        <v>-700</v>
      </c>
      <c r="G2" s="325" t="s">
        <v>481</v>
      </c>
      <c r="H2" s="18"/>
    </row>
    <row r="3" spans="1:12" x14ac:dyDescent="0.2">
      <c r="A3" s="325">
        <f t="shared" ref="A3:A66" si="0">MONTH(C3)</f>
        <v>1</v>
      </c>
      <c r="B3" s="325">
        <f t="shared" ref="B3:B66" si="1">DAY(C3)</f>
        <v>4</v>
      </c>
      <c r="C3" s="326">
        <v>44200</v>
      </c>
      <c r="D3" s="325" t="s">
        <v>108</v>
      </c>
      <c r="E3" s="325" t="s">
        <v>355</v>
      </c>
      <c r="F3" s="327">
        <v>600</v>
      </c>
      <c r="G3" s="325" t="s">
        <v>11</v>
      </c>
      <c r="H3" s="18"/>
    </row>
    <row r="4" spans="1:12" x14ac:dyDescent="0.2">
      <c r="A4" s="325">
        <f t="shared" si="0"/>
        <v>1</v>
      </c>
      <c r="B4" s="325">
        <f t="shared" si="1"/>
        <v>15</v>
      </c>
      <c r="C4" s="326">
        <v>44211</v>
      </c>
      <c r="D4" s="325" t="s">
        <v>485</v>
      </c>
      <c r="E4" s="325" t="s">
        <v>356</v>
      </c>
      <c r="F4" s="327">
        <v>-729.23</v>
      </c>
      <c r="G4" s="325" t="s">
        <v>481</v>
      </c>
      <c r="H4" s="18"/>
    </row>
    <row r="5" spans="1:12" x14ac:dyDescent="0.2">
      <c r="A5" s="325">
        <f t="shared" si="0"/>
        <v>1</v>
      </c>
      <c r="B5" s="325">
        <f t="shared" si="1"/>
        <v>15</v>
      </c>
      <c r="C5" s="326">
        <v>44211</v>
      </c>
      <c r="D5" s="325" t="s">
        <v>10</v>
      </c>
      <c r="E5" s="325" t="s">
        <v>357</v>
      </c>
      <c r="F5" s="327">
        <v>1459.65</v>
      </c>
      <c r="G5" s="325" t="s">
        <v>10</v>
      </c>
      <c r="H5" s="18"/>
    </row>
    <row r="6" spans="1:12" x14ac:dyDescent="0.2">
      <c r="A6" s="325">
        <f t="shared" si="0"/>
        <v>1</v>
      </c>
      <c r="B6" s="325">
        <f t="shared" si="1"/>
        <v>19</v>
      </c>
      <c r="C6" s="326">
        <v>44215</v>
      </c>
      <c r="D6" s="325" t="s">
        <v>476</v>
      </c>
      <c r="E6" s="325" t="s">
        <v>358</v>
      </c>
      <c r="F6" s="327">
        <v>-569.12</v>
      </c>
      <c r="G6" s="325" t="s">
        <v>70</v>
      </c>
      <c r="H6" s="18"/>
    </row>
    <row r="7" spans="1:12" x14ac:dyDescent="0.2">
      <c r="A7" s="325">
        <f t="shared" si="0"/>
        <v>1</v>
      </c>
      <c r="B7" s="325">
        <f t="shared" si="1"/>
        <v>19</v>
      </c>
      <c r="C7" s="326">
        <v>44215</v>
      </c>
      <c r="D7" s="325" t="s">
        <v>476</v>
      </c>
      <c r="E7" s="325" t="s">
        <v>359</v>
      </c>
      <c r="F7" s="327">
        <v>-78.86</v>
      </c>
      <c r="G7" s="325" t="s">
        <v>500</v>
      </c>
      <c r="H7" s="18"/>
    </row>
    <row r="8" spans="1:12" x14ac:dyDescent="0.2">
      <c r="A8" s="325">
        <f t="shared" si="0"/>
        <v>1</v>
      </c>
      <c r="B8" s="325">
        <f t="shared" si="1"/>
        <v>19</v>
      </c>
      <c r="C8" s="326">
        <v>44215</v>
      </c>
      <c r="D8" s="325" t="s">
        <v>476</v>
      </c>
      <c r="E8" s="325" t="s">
        <v>360</v>
      </c>
      <c r="F8" s="327">
        <v>150</v>
      </c>
      <c r="G8" s="325" t="s">
        <v>505</v>
      </c>
      <c r="H8" s="18"/>
    </row>
    <row r="9" spans="1:12" x14ac:dyDescent="0.2">
      <c r="A9" s="325">
        <f t="shared" si="0"/>
        <v>1</v>
      </c>
      <c r="B9" s="325">
        <f t="shared" si="1"/>
        <v>21</v>
      </c>
      <c r="C9" s="326">
        <v>44217</v>
      </c>
      <c r="D9" s="325" t="s">
        <v>477</v>
      </c>
      <c r="E9" s="325" t="s">
        <v>361</v>
      </c>
      <c r="F9" s="327">
        <v>-155</v>
      </c>
      <c r="G9" s="325" t="s">
        <v>510</v>
      </c>
      <c r="H9" s="18"/>
      <c r="K9" s="19"/>
    </row>
    <row r="10" spans="1:12" x14ac:dyDescent="0.2">
      <c r="A10" s="325">
        <f t="shared" si="0"/>
        <v>1</v>
      </c>
      <c r="B10" s="325">
        <f t="shared" si="1"/>
        <v>22</v>
      </c>
      <c r="C10" s="326">
        <v>44218</v>
      </c>
      <c r="D10" s="325" t="s">
        <v>477</v>
      </c>
      <c r="E10" s="325" t="s">
        <v>362</v>
      </c>
      <c r="F10" s="327">
        <v>-75</v>
      </c>
      <c r="G10" s="325" t="s">
        <v>520</v>
      </c>
      <c r="H10" s="18"/>
      <c r="K10" s="19"/>
    </row>
    <row r="11" spans="1:12" x14ac:dyDescent="0.2">
      <c r="A11" s="325">
        <f t="shared" si="0"/>
        <v>1</v>
      </c>
      <c r="B11" s="325">
        <f t="shared" si="1"/>
        <v>26</v>
      </c>
      <c r="C11" s="326">
        <v>44222</v>
      </c>
      <c r="D11" s="325" t="s">
        <v>478</v>
      </c>
      <c r="E11" s="325" t="s">
        <v>363</v>
      </c>
      <c r="F11" s="327">
        <v>155</v>
      </c>
      <c r="G11" s="325" t="s">
        <v>510</v>
      </c>
      <c r="H11" s="18"/>
      <c r="L11" s="19"/>
    </row>
    <row r="12" spans="1:12" x14ac:dyDescent="0.2">
      <c r="A12" s="325">
        <f t="shared" si="0"/>
        <v>1</v>
      </c>
      <c r="B12" s="325">
        <f t="shared" si="1"/>
        <v>28</v>
      </c>
      <c r="C12" s="326">
        <v>44224</v>
      </c>
      <c r="D12" s="325" t="s">
        <v>479</v>
      </c>
      <c r="E12" s="325" t="s">
        <v>364</v>
      </c>
      <c r="F12" s="327">
        <v>-100</v>
      </c>
      <c r="G12" s="325" t="s">
        <v>497</v>
      </c>
      <c r="H12" s="18"/>
    </row>
    <row r="13" spans="1:12" x14ac:dyDescent="0.2">
      <c r="A13" s="325">
        <f t="shared" si="0"/>
        <v>1</v>
      </c>
      <c r="B13" s="325">
        <f t="shared" si="1"/>
        <v>28</v>
      </c>
      <c r="C13" s="326">
        <v>44224</v>
      </c>
      <c r="D13" s="325" t="s">
        <v>479</v>
      </c>
      <c r="E13" s="325" t="s">
        <v>364</v>
      </c>
      <c r="F13" s="327">
        <v>-50</v>
      </c>
      <c r="G13" s="325" t="s">
        <v>497</v>
      </c>
      <c r="H13" s="18"/>
    </row>
    <row r="14" spans="1:12" x14ac:dyDescent="0.2">
      <c r="A14" s="325">
        <f t="shared" si="0"/>
        <v>1</v>
      </c>
      <c r="B14" s="325">
        <f t="shared" si="1"/>
        <v>28</v>
      </c>
      <c r="C14" s="326">
        <v>44224</v>
      </c>
      <c r="D14" s="325" t="s">
        <v>480</v>
      </c>
      <c r="E14" s="325" t="s">
        <v>365</v>
      </c>
      <c r="F14" s="327">
        <v>388.47</v>
      </c>
      <c r="G14" s="325" t="s">
        <v>487</v>
      </c>
      <c r="H14" s="18"/>
      <c r="L14" s="19"/>
    </row>
    <row r="15" spans="1:12" x14ac:dyDescent="0.2">
      <c r="A15" s="325">
        <f t="shared" si="0"/>
        <v>1</v>
      </c>
      <c r="B15" s="325">
        <f t="shared" si="1"/>
        <v>29</v>
      </c>
      <c r="C15" s="326">
        <v>44225</v>
      </c>
      <c r="D15" s="325" t="s">
        <v>476</v>
      </c>
      <c r="E15" s="325" t="s">
        <v>366</v>
      </c>
      <c r="F15" s="327">
        <v>-728.15</v>
      </c>
      <c r="G15" s="325" t="s">
        <v>70</v>
      </c>
      <c r="H15" s="18"/>
    </row>
    <row r="16" spans="1:12" x14ac:dyDescent="0.2">
      <c r="A16" s="325">
        <f t="shared" si="0"/>
        <v>1</v>
      </c>
      <c r="B16" s="325">
        <f t="shared" si="1"/>
        <v>29</v>
      </c>
      <c r="C16" s="326">
        <v>44225</v>
      </c>
      <c r="D16" s="325" t="s">
        <v>476</v>
      </c>
      <c r="E16" s="325" t="s">
        <v>367</v>
      </c>
      <c r="F16" s="327">
        <v>-700</v>
      </c>
      <c r="G16" s="325" t="s">
        <v>501</v>
      </c>
      <c r="H16" s="18"/>
    </row>
    <row r="17" spans="1:12" x14ac:dyDescent="0.2">
      <c r="A17" s="325">
        <f t="shared" si="0"/>
        <v>1</v>
      </c>
      <c r="B17" s="325">
        <f t="shared" si="1"/>
        <v>29</v>
      </c>
      <c r="C17" s="326">
        <v>44225</v>
      </c>
      <c r="D17" s="325" t="s">
        <v>10</v>
      </c>
      <c r="E17" s="325" t="s">
        <v>368</v>
      </c>
      <c r="F17" s="327">
        <v>1459.64</v>
      </c>
      <c r="G17" s="325" t="s">
        <v>10</v>
      </c>
      <c r="H17" s="18"/>
    </row>
    <row r="18" spans="1:12" x14ac:dyDescent="0.2">
      <c r="A18" s="325">
        <f t="shared" si="0"/>
        <v>2</v>
      </c>
      <c r="B18" s="325">
        <f t="shared" si="1"/>
        <v>2</v>
      </c>
      <c r="C18" s="326">
        <v>44229</v>
      </c>
      <c r="D18" s="325" t="s">
        <v>481</v>
      </c>
      <c r="E18" s="325" t="s">
        <v>369</v>
      </c>
      <c r="F18" s="327">
        <v>-1</v>
      </c>
      <c r="G18" s="325" t="s">
        <v>92</v>
      </c>
      <c r="H18" s="18"/>
    </row>
    <row r="19" spans="1:12" x14ac:dyDescent="0.2">
      <c r="A19" s="325">
        <f t="shared" si="0"/>
        <v>2</v>
      </c>
      <c r="B19" s="325">
        <f t="shared" si="1"/>
        <v>2</v>
      </c>
      <c r="C19" s="326">
        <v>44229</v>
      </c>
      <c r="D19" s="325" t="s">
        <v>477</v>
      </c>
      <c r="E19" s="325" t="s">
        <v>370</v>
      </c>
      <c r="F19" s="327">
        <v>-36.840000000000003</v>
      </c>
      <c r="G19" s="325" t="s">
        <v>521</v>
      </c>
      <c r="H19" s="18"/>
      <c r="K19" s="19"/>
    </row>
    <row r="20" spans="1:12" x14ac:dyDescent="0.2">
      <c r="A20" s="325">
        <f t="shared" si="0"/>
        <v>2</v>
      </c>
      <c r="B20" s="325">
        <f t="shared" si="1"/>
        <v>2</v>
      </c>
      <c r="C20" s="326">
        <v>44229</v>
      </c>
      <c r="D20" s="325" t="s">
        <v>482</v>
      </c>
      <c r="E20" s="325" t="s">
        <v>371</v>
      </c>
      <c r="F20" s="327">
        <v>495</v>
      </c>
      <c r="G20" s="325" t="s">
        <v>70</v>
      </c>
      <c r="H20" s="18"/>
      <c r="L20" s="19"/>
    </row>
    <row r="21" spans="1:12" x14ac:dyDescent="0.2">
      <c r="A21" s="325">
        <f t="shared" si="0"/>
        <v>2</v>
      </c>
      <c r="B21" s="325">
        <f t="shared" si="1"/>
        <v>3</v>
      </c>
      <c r="C21" s="326">
        <v>44230</v>
      </c>
      <c r="D21" s="325" t="s">
        <v>483</v>
      </c>
      <c r="E21" s="325" t="s">
        <v>372</v>
      </c>
      <c r="F21" s="327">
        <v>-157.47</v>
      </c>
      <c r="G21" s="325" t="s">
        <v>481</v>
      </c>
      <c r="H21" s="18"/>
    </row>
    <row r="22" spans="1:12" x14ac:dyDescent="0.2">
      <c r="A22" s="325">
        <f t="shared" si="0"/>
        <v>2</v>
      </c>
      <c r="B22" s="325">
        <f t="shared" si="1"/>
        <v>3</v>
      </c>
      <c r="C22" s="326">
        <v>44230</v>
      </c>
      <c r="D22" s="325" t="s">
        <v>477</v>
      </c>
      <c r="E22" s="325" t="s">
        <v>373</v>
      </c>
      <c r="F22" s="327">
        <v>-600</v>
      </c>
      <c r="G22" s="325" t="s">
        <v>91</v>
      </c>
      <c r="H22" s="18"/>
      <c r="K22" s="19"/>
    </row>
    <row r="23" spans="1:12" x14ac:dyDescent="0.2">
      <c r="A23" s="325">
        <f t="shared" si="0"/>
        <v>2</v>
      </c>
      <c r="B23" s="325">
        <f t="shared" si="1"/>
        <v>4</v>
      </c>
      <c r="C23" s="326">
        <v>44231</v>
      </c>
      <c r="D23" s="325" t="s">
        <v>479</v>
      </c>
      <c r="E23" s="325" t="s">
        <v>374</v>
      </c>
      <c r="F23" s="327">
        <v>-50</v>
      </c>
      <c r="G23" s="325" t="s">
        <v>497</v>
      </c>
      <c r="H23" s="18"/>
    </row>
    <row r="24" spans="1:12" x14ac:dyDescent="0.2">
      <c r="A24" s="325">
        <f t="shared" si="0"/>
        <v>2</v>
      </c>
      <c r="B24" s="325">
        <f t="shared" si="1"/>
        <v>8</v>
      </c>
      <c r="C24" s="326">
        <v>44235</v>
      </c>
      <c r="D24" s="325" t="s">
        <v>479</v>
      </c>
      <c r="E24" s="325" t="s">
        <v>375</v>
      </c>
      <c r="F24" s="327">
        <v>-40</v>
      </c>
      <c r="G24" s="325" t="s">
        <v>497</v>
      </c>
      <c r="H24" s="18"/>
    </row>
    <row r="25" spans="1:12" x14ac:dyDescent="0.2">
      <c r="A25" s="325">
        <f t="shared" si="0"/>
        <v>2</v>
      </c>
      <c r="B25" s="325">
        <f t="shared" si="1"/>
        <v>8</v>
      </c>
      <c r="C25" s="326">
        <v>44235</v>
      </c>
      <c r="D25" s="325" t="s">
        <v>479</v>
      </c>
      <c r="E25" s="325" t="s">
        <v>375</v>
      </c>
      <c r="F25" s="327">
        <v>-10</v>
      </c>
      <c r="G25" s="325" t="s">
        <v>497</v>
      </c>
      <c r="H25" s="18"/>
    </row>
    <row r="26" spans="1:12" x14ac:dyDescent="0.2">
      <c r="A26" s="325">
        <f t="shared" si="0"/>
        <v>2</v>
      </c>
      <c r="B26" s="325">
        <f t="shared" si="1"/>
        <v>9</v>
      </c>
      <c r="C26" s="326">
        <v>44236</v>
      </c>
      <c r="D26" s="325" t="s">
        <v>484</v>
      </c>
      <c r="E26" s="325" t="s">
        <v>376</v>
      </c>
      <c r="F26" s="327">
        <v>138.47999999999999</v>
      </c>
      <c r="G26" s="325" t="s">
        <v>487</v>
      </c>
      <c r="H26" s="18"/>
    </row>
    <row r="27" spans="1:12" x14ac:dyDescent="0.2">
      <c r="A27" s="325">
        <f t="shared" si="0"/>
        <v>2</v>
      </c>
      <c r="B27" s="325">
        <f t="shared" si="1"/>
        <v>12</v>
      </c>
      <c r="C27" s="326">
        <v>44239</v>
      </c>
      <c r="D27" s="325" t="s">
        <v>485</v>
      </c>
      <c r="E27" s="325" t="s">
        <v>377</v>
      </c>
      <c r="F27" s="327">
        <v>-715.37</v>
      </c>
      <c r="G27" s="325" t="s">
        <v>481</v>
      </c>
      <c r="H27" s="18"/>
    </row>
    <row r="28" spans="1:12" x14ac:dyDescent="0.2">
      <c r="A28" s="325">
        <f t="shared" si="0"/>
        <v>2</v>
      </c>
      <c r="B28" s="325">
        <f t="shared" si="1"/>
        <v>12</v>
      </c>
      <c r="C28" s="326">
        <v>44239</v>
      </c>
      <c r="D28" s="325" t="s">
        <v>476</v>
      </c>
      <c r="E28" s="325" t="s">
        <v>378</v>
      </c>
      <c r="F28" s="327">
        <v>-350</v>
      </c>
      <c r="G28" s="325" t="s">
        <v>70</v>
      </c>
      <c r="H28" s="18"/>
    </row>
    <row r="29" spans="1:12" x14ac:dyDescent="0.2">
      <c r="A29" s="325">
        <f t="shared" si="0"/>
        <v>2</v>
      </c>
      <c r="B29" s="325">
        <f t="shared" si="1"/>
        <v>12</v>
      </c>
      <c r="C29" s="326">
        <v>44239</v>
      </c>
      <c r="D29" s="325" t="s">
        <v>479</v>
      </c>
      <c r="E29" s="325" t="s">
        <v>379</v>
      </c>
      <c r="F29" s="327">
        <v>-100</v>
      </c>
      <c r="G29" s="325" t="s">
        <v>497</v>
      </c>
      <c r="H29" s="18"/>
    </row>
    <row r="30" spans="1:12" x14ac:dyDescent="0.2">
      <c r="A30" s="325">
        <f t="shared" si="0"/>
        <v>2</v>
      </c>
      <c r="B30" s="325">
        <f t="shared" si="1"/>
        <v>12</v>
      </c>
      <c r="C30" s="326">
        <v>44239</v>
      </c>
      <c r="D30" s="325" t="s">
        <v>10</v>
      </c>
      <c r="E30" s="325" t="s">
        <v>380</v>
      </c>
      <c r="F30" s="327">
        <v>1809.65</v>
      </c>
      <c r="G30" s="325" t="s">
        <v>10</v>
      </c>
      <c r="H30" s="18"/>
    </row>
    <row r="31" spans="1:12" x14ac:dyDescent="0.2">
      <c r="A31" s="325">
        <f t="shared" si="0"/>
        <v>2</v>
      </c>
      <c r="B31" s="325">
        <f t="shared" si="1"/>
        <v>16</v>
      </c>
      <c r="C31" s="326">
        <v>44243</v>
      </c>
      <c r="D31" s="325" t="s">
        <v>476</v>
      </c>
      <c r="E31" s="325" t="s">
        <v>381</v>
      </c>
      <c r="F31" s="327">
        <v>-500</v>
      </c>
      <c r="G31" s="325" t="s">
        <v>70</v>
      </c>
      <c r="H31" s="18"/>
    </row>
    <row r="32" spans="1:12" x14ac:dyDescent="0.2">
      <c r="A32" s="325">
        <f t="shared" si="0"/>
        <v>2</v>
      </c>
      <c r="B32" s="325">
        <f t="shared" si="1"/>
        <v>16</v>
      </c>
      <c r="C32" s="326">
        <v>44243</v>
      </c>
      <c r="D32" s="325" t="s">
        <v>486</v>
      </c>
      <c r="E32" s="325" t="s">
        <v>382</v>
      </c>
      <c r="F32" s="327">
        <v>-100</v>
      </c>
      <c r="G32" s="325" t="s">
        <v>497</v>
      </c>
      <c r="H32" s="18"/>
    </row>
    <row r="33" spans="1:12" x14ac:dyDescent="0.2">
      <c r="A33" s="325">
        <f t="shared" si="0"/>
        <v>2</v>
      </c>
      <c r="B33" s="325">
        <f t="shared" si="1"/>
        <v>16</v>
      </c>
      <c r="C33" s="326">
        <v>44243</v>
      </c>
      <c r="D33" s="325" t="s">
        <v>479</v>
      </c>
      <c r="E33" s="325" t="s">
        <v>383</v>
      </c>
      <c r="F33" s="327">
        <v>-100</v>
      </c>
      <c r="G33" s="325" t="s">
        <v>497</v>
      </c>
      <c r="H33" s="18"/>
    </row>
    <row r="34" spans="1:12" x14ac:dyDescent="0.2">
      <c r="A34" s="325">
        <f t="shared" si="0"/>
        <v>2</v>
      </c>
      <c r="B34" s="325">
        <f t="shared" si="1"/>
        <v>16</v>
      </c>
      <c r="C34" s="326">
        <v>44243</v>
      </c>
      <c r="D34" s="325" t="s">
        <v>478</v>
      </c>
      <c r="E34" s="325" t="s">
        <v>384</v>
      </c>
      <c r="F34" s="327">
        <v>492.5</v>
      </c>
      <c r="G34" s="325" t="s">
        <v>91</v>
      </c>
      <c r="H34" s="18"/>
      <c r="L34" s="19"/>
    </row>
    <row r="35" spans="1:12" x14ac:dyDescent="0.2">
      <c r="A35" s="325">
        <f t="shared" si="0"/>
        <v>2</v>
      </c>
      <c r="B35" s="325">
        <f t="shared" si="1"/>
        <v>17</v>
      </c>
      <c r="C35" s="326">
        <v>44244</v>
      </c>
      <c r="D35" s="325" t="s">
        <v>479</v>
      </c>
      <c r="E35" s="325" t="s">
        <v>385</v>
      </c>
      <c r="F35" s="327">
        <v>-300</v>
      </c>
      <c r="G35" s="325" t="s">
        <v>497</v>
      </c>
      <c r="H35" s="18"/>
    </row>
    <row r="36" spans="1:12" x14ac:dyDescent="0.2">
      <c r="A36" s="325">
        <f t="shared" si="0"/>
        <v>2</v>
      </c>
      <c r="B36" s="325">
        <f t="shared" si="1"/>
        <v>17</v>
      </c>
      <c r="C36" s="326">
        <v>44244</v>
      </c>
      <c r="D36" s="325" t="s">
        <v>479</v>
      </c>
      <c r="E36" s="325" t="s">
        <v>385</v>
      </c>
      <c r="F36" s="327">
        <v>-150</v>
      </c>
      <c r="G36" s="325" t="s">
        <v>497</v>
      </c>
      <c r="H36" s="18"/>
    </row>
    <row r="37" spans="1:12" x14ac:dyDescent="0.2">
      <c r="A37" s="325">
        <f t="shared" si="0"/>
        <v>2</v>
      </c>
      <c r="B37" s="325">
        <f t="shared" si="1"/>
        <v>17</v>
      </c>
      <c r="C37" s="326">
        <v>44244</v>
      </c>
      <c r="D37" s="325" t="s">
        <v>479</v>
      </c>
      <c r="E37" s="325" t="s">
        <v>385</v>
      </c>
      <c r="F37" s="327">
        <v>-50</v>
      </c>
      <c r="G37" s="325" t="s">
        <v>497</v>
      </c>
      <c r="H37" s="18"/>
    </row>
    <row r="38" spans="1:12" x14ac:dyDescent="0.2">
      <c r="A38" s="325">
        <f t="shared" si="0"/>
        <v>2</v>
      </c>
      <c r="B38" s="325">
        <f t="shared" si="1"/>
        <v>17</v>
      </c>
      <c r="C38" s="326">
        <v>44244</v>
      </c>
      <c r="D38" s="325" t="s">
        <v>491</v>
      </c>
      <c r="E38" s="325" t="s">
        <v>386</v>
      </c>
      <c r="F38" s="327">
        <v>56.74</v>
      </c>
      <c r="G38" s="325" t="s">
        <v>497</v>
      </c>
      <c r="H38" s="18"/>
    </row>
    <row r="39" spans="1:12" x14ac:dyDescent="0.2">
      <c r="A39" s="325">
        <f t="shared" si="0"/>
        <v>2</v>
      </c>
      <c r="B39" s="325">
        <f t="shared" si="1"/>
        <v>19</v>
      </c>
      <c r="C39" s="326">
        <v>44246</v>
      </c>
      <c r="D39" s="325" t="s">
        <v>479</v>
      </c>
      <c r="E39" s="325" t="s">
        <v>387</v>
      </c>
      <c r="F39" s="327">
        <v>-100</v>
      </c>
      <c r="G39" s="325" t="s">
        <v>497</v>
      </c>
      <c r="H39" s="18"/>
    </row>
    <row r="40" spans="1:12" x14ac:dyDescent="0.2">
      <c r="A40" s="325">
        <f t="shared" si="0"/>
        <v>2</v>
      </c>
      <c r="B40" s="325">
        <f t="shared" si="1"/>
        <v>19</v>
      </c>
      <c r="C40" s="326">
        <v>44246</v>
      </c>
      <c r="D40" s="325" t="s">
        <v>484</v>
      </c>
      <c r="E40" s="325" t="s">
        <v>388</v>
      </c>
      <c r="F40" s="327">
        <v>138.47</v>
      </c>
      <c r="G40" s="325" t="s">
        <v>487</v>
      </c>
      <c r="H40" s="18"/>
    </row>
    <row r="41" spans="1:12" x14ac:dyDescent="0.2">
      <c r="A41" s="325">
        <f t="shared" si="0"/>
        <v>2</v>
      </c>
      <c r="B41" s="325">
        <f t="shared" si="1"/>
        <v>22</v>
      </c>
      <c r="C41" s="326">
        <v>44249</v>
      </c>
      <c r="D41" s="325" t="s">
        <v>476</v>
      </c>
      <c r="E41" s="325" t="s">
        <v>389</v>
      </c>
      <c r="F41" s="327">
        <v>-81.319999999999993</v>
      </c>
      <c r="G41" s="325" t="s">
        <v>500</v>
      </c>
      <c r="H41" s="18"/>
    </row>
    <row r="42" spans="1:12" x14ac:dyDescent="0.2">
      <c r="A42" s="325">
        <f t="shared" si="0"/>
        <v>2</v>
      </c>
      <c r="B42" s="325">
        <f t="shared" si="1"/>
        <v>23</v>
      </c>
      <c r="C42" s="326">
        <v>44250</v>
      </c>
      <c r="D42" s="325" t="s">
        <v>488</v>
      </c>
      <c r="E42" s="325" t="s">
        <v>390</v>
      </c>
      <c r="F42" s="327">
        <v>-0.01</v>
      </c>
      <c r="G42" s="325" t="s">
        <v>498</v>
      </c>
      <c r="H42" s="18"/>
    </row>
    <row r="43" spans="1:12" x14ac:dyDescent="0.2">
      <c r="A43" s="325">
        <f t="shared" si="0"/>
        <v>2</v>
      </c>
      <c r="B43" s="325">
        <f t="shared" si="1"/>
        <v>23</v>
      </c>
      <c r="C43" s="326">
        <v>44250</v>
      </c>
      <c r="D43" s="325" t="s">
        <v>488</v>
      </c>
      <c r="E43" s="325" t="s">
        <v>391</v>
      </c>
      <c r="F43" s="327">
        <v>0.01</v>
      </c>
      <c r="G43" s="325" t="s">
        <v>498</v>
      </c>
      <c r="H43" s="18"/>
    </row>
    <row r="44" spans="1:12" x14ac:dyDescent="0.2">
      <c r="A44" s="325">
        <f t="shared" si="0"/>
        <v>2</v>
      </c>
      <c r="B44" s="325">
        <f t="shared" si="1"/>
        <v>26</v>
      </c>
      <c r="C44" s="326">
        <v>44253</v>
      </c>
      <c r="D44" s="325" t="s">
        <v>485</v>
      </c>
      <c r="E44" s="325" t="s">
        <v>392</v>
      </c>
      <c r="F44" s="327">
        <v>-770.55</v>
      </c>
      <c r="G44" s="325" t="s">
        <v>481</v>
      </c>
      <c r="H44" s="18"/>
    </row>
    <row r="45" spans="1:12" x14ac:dyDescent="0.2">
      <c r="A45" s="325">
        <f t="shared" si="0"/>
        <v>2</v>
      </c>
      <c r="B45" s="325">
        <f t="shared" si="1"/>
        <v>26</v>
      </c>
      <c r="C45" s="326">
        <v>44253</v>
      </c>
      <c r="D45" s="325" t="s">
        <v>476</v>
      </c>
      <c r="E45" s="325" t="s">
        <v>393</v>
      </c>
      <c r="F45" s="327">
        <v>-700</v>
      </c>
      <c r="G45" s="325" t="s">
        <v>501</v>
      </c>
      <c r="H45" s="18"/>
    </row>
    <row r="46" spans="1:12" x14ac:dyDescent="0.2">
      <c r="A46" s="325">
        <f t="shared" si="0"/>
        <v>2</v>
      </c>
      <c r="B46" s="325">
        <f t="shared" si="1"/>
        <v>26</v>
      </c>
      <c r="C46" s="326">
        <v>44253</v>
      </c>
      <c r="D46" s="325" t="s">
        <v>108</v>
      </c>
      <c r="E46" s="325" t="s">
        <v>394</v>
      </c>
      <c r="F46" s="327">
        <v>2420</v>
      </c>
      <c r="G46" s="325" t="s">
        <v>475</v>
      </c>
      <c r="H46" s="18"/>
    </row>
    <row r="47" spans="1:12" x14ac:dyDescent="0.2">
      <c r="A47" s="325">
        <f t="shared" si="0"/>
        <v>2</v>
      </c>
      <c r="B47" s="325">
        <f t="shared" si="1"/>
        <v>26</v>
      </c>
      <c r="C47" s="326">
        <v>44253</v>
      </c>
      <c r="D47" s="325" t="s">
        <v>10</v>
      </c>
      <c r="E47" s="325" t="s">
        <v>395</v>
      </c>
      <c r="F47" s="327">
        <v>1459.65</v>
      </c>
      <c r="G47" s="325" t="s">
        <v>10</v>
      </c>
      <c r="H47" s="18"/>
    </row>
    <row r="48" spans="1:12" x14ac:dyDescent="0.2">
      <c r="A48" s="325">
        <f t="shared" si="0"/>
        <v>3</v>
      </c>
      <c r="B48" s="325">
        <f t="shared" si="1"/>
        <v>1</v>
      </c>
      <c r="C48" s="326">
        <v>44256</v>
      </c>
      <c r="D48" s="325" t="s">
        <v>479</v>
      </c>
      <c r="E48" s="325" t="s">
        <v>396</v>
      </c>
      <c r="F48" s="327">
        <v>-200</v>
      </c>
      <c r="G48" s="325" t="s">
        <v>497</v>
      </c>
      <c r="H48" s="18"/>
    </row>
    <row r="49" spans="1:13" x14ac:dyDescent="0.2">
      <c r="A49" s="325">
        <f t="shared" si="0"/>
        <v>3</v>
      </c>
      <c r="B49" s="325">
        <f t="shared" si="1"/>
        <v>1</v>
      </c>
      <c r="C49" s="326">
        <v>44256</v>
      </c>
      <c r="D49" s="325" t="s">
        <v>479</v>
      </c>
      <c r="E49" s="325" t="s">
        <v>396</v>
      </c>
      <c r="F49" s="327">
        <v>-200</v>
      </c>
      <c r="G49" s="325" t="s">
        <v>497</v>
      </c>
      <c r="H49" s="18"/>
    </row>
    <row r="50" spans="1:13" x14ac:dyDescent="0.2">
      <c r="A50" s="325">
        <f t="shared" si="0"/>
        <v>3</v>
      </c>
      <c r="B50" s="325">
        <f t="shared" si="1"/>
        <v>1</v>
      </c>
      <c r="C50" s="326">
        <v>44256</v>
      </c>
      <c r="D50" s="325" t="s">
        <v>477</v>
      </c>
      <c r="E50" s="325" t="s">
        <v>397</v>
      </c>
      <c r="F50" s="327">
        <v>-500</v>
      </c>
      <c r="G50" s="325" t="s">
        <v>35</v>
      </c>
      <c r="H50" s="18"/>
      <c r="K50" s="19"/>
    </row>
    <row r="51" spans="1:13" x14ac:dyDescent="0.2">
      <c r="A51" s="325">
        <f t="shared" si="0"/>
        <v>3</v>
      </c>
      <c r="B51" s="325">
        <f t="shared" si="1"/>
        <v>2</v>
      </c>
      <c r="C51" s="326">
        <v>44257</v>
      </c>
      <c r="D51" s="325" t="s">
        <v>479</v>
      </c>
      <c r="E51" s="325" t="s">
        <v>398</v>
      </c>
      <c r="F51" s="327">
        <v>-1000</v>
      </c>
      <c r="G51" s="325" t="s">
        <v>497</v>
      </c>
      <c r="H51" s="18"/>
    </row>
    <row r="52" spans="1:13" x14ac:dyDescent="0.2">
      <c r="A52" s="325">
        <f t="shared" si="0"/>
        <v>3</v>
      </c>
      <c r="B52" s="325">
        <f t="shared" si="1"/>
        <v>2</v>
      </c>
      <c r="C52" s="326">
        <v>44257</v>
      </c>
      <c r="D52" s="325" t="s">
        <v>479</v>
      </c>
      <c r="E52" s="325" t="s">
        <v>398</v>
      </c>
      <c r="F52" s="327">
        <v>-500</v>
      </c>
      <c r="G52" s="325" t="s">
        <v>497</v>
      </c>
      <c r="H52" s="18"/>
    </row>
    <row r="53" spans="1:13" x14ac:dyDescent="0.2">
      <c r="A53" s="325">
        <f t="shared" si="0"/>
        <v>3</v>
      </c>
      <c r="B53" s="325">
        <f t="shared" si="1"/>
        <v>4</v>
      </c>
      <c r="C53" s="326">
        <v>44259</v>
      </c>
      <c r="D53" s="325" t="s">
        <v>484</v>
      </c>
      <c r="E53" s="325" t="s">
        <v>399</v>
      </c>
      <c r="F53" s="327">
        <v>138.47</v>
      </c>
      <c r="G53" s="325" t="s">
        <v>487</v>
      </c>
      <c r="H53" s="18"/>
    </row>
    <row r="54" spans="1:13" x14ac:dyDescent="0.2">
      <c r="A54" s="325">
        <f t="shared" si="0"/>
        <v>3</v>
      </c>
      <c r="B54" s="325">
        <f t="shared" si="1"/>
        <v>9</v>
      </c>
      <c r="C54" s="326">
        <v>44264</v>
      </c>
      <c r="D54" s="325" t="s">
        <v>476</v>
      </c>
      <c r="E54" s="325" t="s">
        <v>400</v>
      </c>
      <c r="F54" s="327">
        <v>-150</v>
      </c>
      <c r="G54" s="325" t="s">
        <v>502</v>
      </c>
      <c r="H54" s="18"/>
    </row>
    <row r="55" spans="1:13" x14ac:dyDescent="0.2">
      <c r="A55" s="325">
        <f t="shared" si="0"/>
        <v>3</v>
      </c>
      <c r="B55" s="325">
        <f t="shared" si="1"/>
        <v>9</v>
      </c>
      <c r="C55" s="326">
        <v>44264</v>
      </c>
      <c r="D55" s="325" t="s">
        <v>490</v>
      </c>
      <c r="E55" s="325" t="s">
        <v>401</v>
      </c>
      <c r="F55" s="327">
        <v>55</v>
      </c>
      <c r="G55" s="325" t="s">
        <v>475</v>
      </c>
      <c r="H55" s="18"/>
    </row>
    <row r="56" spans="1:13" x14ac:dyDescent="0.2">
      <c r="A56" s="325">
        <f t="shared" si="0"/>
        <v>3</v>
      </c>
      <c r="B56" s="325">
        <f t="shared" si="1"/>
        <v>10</v>
      </c>
      <c r="C56" s="326">
        <v>44265</v>
      </c>
      <c r="D56" s="325" t="s">
        <v>479</v>
      </c>
      <c r="E56" s="325" t="s">
        <v>402</v>
      </c>
      <c r="F56" s="327">
        <v>-200</v>
      </c>
      <c r="G56" s="325" t="s">
        <v>497</v>
      </c>
      <c r="H56" s="18"/>
    </row>
    <row r="57" spans="1:13" x14ac:dyDescent="0.2">
      <c r="A57" s="325">
        <f t="shared" si="0"/>
        <v>3</v>
      </c>
      <c r="B57" s="325">
        <f t="shared" si="1"/>
        <v>10</v>
      </c>
      <c r="C57" s="326">
        <v>44265</v>
      </c>
      <c r="D57" s="325" t="s">
        <v>478</v>
      </c>
      <c r="E57" s="325" t="s">
        <v>403</v>
      </c>
      <c r="F57" s="327">
        <v>227.35</v>
      </c>
      <c r="G57" s="325" t="s">
        <v>35</v>
      </c>
      <c r="H57" s="18"/>
      <c r="L57" s="19"/>
    </row>
    <row r="58" spans="1:13" x14ac:dyDescent="0.2">
      <c r="A58" s="325">
        <f t="shared" si="0"/>
        <v>3</v>
      </c>
      <c r="B58" s="325">
        <f t="shared" si="1"/>
        <v>12</v>
      </c>
      <c r="C58" s="326">
        <v>44267</v>
      </c>
      <c r="D58" s="325" t="s">
        <v>485</v>
      </c>
      <c r="E58" s="325" t="s">
        <v>404</v>
      </c>
      <c r="F58" s="327">
        <v>-1160.3800000000001</v>
      </c>
      <c r="G58" s="325" t="s">
        <v>481</v>
      </c>
      <c r="H58" s="18"/>
    </row>
    <row r="59" spans="1:13" x14ac:dyDescent="0.2">
      <c r="A59" s="325">
        <f t="shared" si="0"/>
        <v>3</v>
      </c>
      <c r="B59" s="325">
        <f t="shared" si="1"/>
        <v>12</v>
      </c>
      <c r="C59" s="326">
        <v>44267</v>
      </c>
      <c r="D59" s="325" t="s">
        <v>10</v>
      </c>
      <c r="E59" s="325" t="s">
        <v>405</v>
      </c>
      <c r="F59" s="327">
        <v>1459.64</v>
      </c>
      <c r="G59" s="325" t="s">
        <v>10</v>
      </c>
      <c r="H59" s="18"/>
    </row>
    <row r="60" spans="1:13" x14ac:dyDescent="0.2">
      <c r="A60" s="325">
        <f t="shared" si="0"/>
        <v>3</v>
      </c>
      <c r="B60" s="325">
        <f t="shared" si="1"/>
        <v>16</v>
      </c>
      <c r="C60" s="326">
        <v>44271</v>
      </c>
      <c r="D60" s="325" t="s">
        <v>488</v>
      </c>
      <c r="E60" s="325" t="s">
        <v>406</v>
      </c>
      <c r="F60" s="327">
        <v>-25.57</v>
      </c>
      <c r="G60" s="325" t="s">
        <v>498</v>
      </c>
      <c r="H60" s="18"/>
    </row>
    <row r="61" spans="1:13" x14ac:dyDescent="0.2">
      <c r="A61" s="325">
        <f t="shared" si="0"/>
        <v>3</v>
      </c>
      <c r="B61" s="325">
        <f t="shared" si="1"/>
        <v>17</v>
      </c>
      <c r="C61" s="326">
        <v>44272</v>
      </c>
      <c r="D61" s="325" t="s">
        <v>485</v>
      </c>
      <c r="E61" s="325" t="s">
        <v>407</v>
      </c>
      <c r="F61" s="327">
        <v>-471.27</v>
      </c>
      <c r="G61" s="325" t="s">
        <v>481</v>
      </c>
      <c r="H61" s="18"/>
    </row>
    <row r="62" spans="1:13" x14ac:dyDescent="0.2">
      <c r="A62" s="325">
        <f t="shared" si="0"/>
        <v>3</v>
      </c>
      <c r="B62" s="325">
        <f t="shared" si="1"/>
        <v>17</v>
      </c>
      <c r="C62" s="326">
        <v>44272</v>
      </c>
      <c r="D62" s="325" t="s">
        <v>476</v>
      </c>
      <c r="E62" s="325" t="s">
        <v>408</v>
      </c>
      <c r="F62" s="327">
        <v>-700</v>
      </c>
      <c r="G62" s="325" t="s">
        <v>501</v>
      </c>
      <c r="H62" s="18"/>
    </row>
    <row r="63" spans="1:13" x14ac:dyDescent="0.2">
      <c r="A63" s="325">
        <f t="shared" si="0"/>
        <v>3</v>
      </c>
      <c r="B63" s="325">
        <f t="shared" si="1"/>
        <v>17</v>
      </c>
      <c r="C63" s="326">
        <v>44272</v>
      </c>
      <c r="D63" s="325" t="s">
        <v>476</v>
      </c>
      <c r="E63" s="325" t="s">
        <v>409</v>
      </c>
      <c r="F63" s="327">
        <v>-39.700000000000003</v>
      </c>
      <c r="G63" s="325" t="s">
        <v>500</v>
      </c>
      <c r="H63" s="18"/>
    </row>
    <row r="64" spans="1:13" x14ac:dyDescent="0.2">
      <c r="A64" s="325">
        <f t="shared" si="0"/>
        <v>3</v>
      </c>
      <c r="B64" s="325">
        <f t="shared" si="1"/>
        <v>17</v>
      </c>
      <c r="C64" s="326">
        <v>44272</v>
      </c>
      <c r="D64" s="325" t="s">
        <v>489</v>
      </c>
      <c r="E64" s="325" t="s">
        <v>410</v>
      </c>
      <c r="F64" s="327">
        <v>-1000</v>
      </c>
      <c r="G64" s="325" t="s">
        <v>503</v>
      </c>
      <c r="H64" s="18"/>
      <c r="M64" s="19"/>
    </row>
    <row r="65" spans="1:13" x14ac:dyDescent="0.2">
      <c r="A65" s="325">
        <f t="shared" si="0"/>
        <v>3</v>
      </c>
      <c r="B65" s="325">
        <f t="shared" si="1"/>
        <v>17</v>
      </c>
      <c r="C65" s="326">
        <v>44272</v>
      </c>
      <c r="D65" s="325" t="s">
        <v>489</v>
      </c>
      <c r="E65" s="325" t="s">
        <v>411</v>
      </c>
      <c r="F65" s="327">
        <v>1000</v>
      </c>
      <c r="G65" s="325" t="s">
        <v>503</v>
      </c>
      <c r="H65" s="18"/>
      <c r="M65" s="19"/>
    </row>
    <row r="66" spans="1:13" x14ac:dyDescent="0.2">
      <c r="A66" s="325">
        <f t="shared" si="0"/>
        <v>3</v>
      </c>
      <c r="B66" s="325">
        <f t="shared" si="1"/>
        <v>17</v>
      </c>
      <c r="C66" s="326">
        <v>44272</v>
      </c>
      <c r="D66" s="325" t="s">
        <v>108</v>
      </c>
      <c r="E66" s="325" t="s">
        <v>412</v>
      </c>
      <c r="F66" s="327">
        <v>2800</v>
      </c>
      <c r="G66" s="325" t="s">
        <v>12</v>
      </c>
      <c r="H66" s="18"/>
    </row>
    <row r="67" spans="1:13" x14ac:dyDescent="0.2">
      <c r="A67" s="325">
        <f t="shared" ref="A67:A127" si="2">MONTH(C67)</f>
        <v>3</v>
      </c>
      <c r="B67" s="325">
        <f t="shared" ref="B67:B127" si="3">DAY(C67)</f>
        <v>19</v>
      </c>
      <c r="C67" s="326">
        <v>44274</v>
      </c>
      <c r="D67" s="325" t="s">
        <v>485</v>
      </c>
      <c r="E67" s="325" t="s">
        <v>413</v>
      </c>
      <c r="F67" s="327">
        <v>-50.34</v>
      </c>
      <c r="G67" s="325" t="s">
        <v>481</v>
      </c>
      <c r="H67" s="18"/>
    </row>
    <row r="68" spans="1:13" x14ac:dyDescent="0.2">
      <c r="A68" s="325">
        <f t="shared" si="2"/>
        <v>3</v>
      </c>
      <c r="B68" s="325">
        <f t="shared" si="3"/>
        <v>23</v>
      </c>
      <c r="C68" s="326">
        <v>44278</v>
      </c>
      <c r="D68" s="325" t="s">
        <v>476</v>
      </c>
      <c r="E68" s="325" t="s">
        <v>414</v>
      </c>
      <c r="F68" s="327">
        <v>-59</v>
      </c>
      <c r="G68" s="325" t="s">
        <v>70</v>
      </c>
      <c r="H68" s="18"/>
    </row>
    <row r="69" spans="1:13" x14ac:dyDescent="0.2">
      <c r="A69" s="325">
        <f t="shared" si="2"/>
        <v>3</v>
      </c>
      <c r="B69" s="325">
        <f t="shared" si="3"/>
        <v>23</v>
      </c>
      <c r="C69" s="326">
        <v>44278</v>
      </c>
      <c r="D69" s="325" t="s">
        <v>476</v>
      </c>
      <c r="E69" s="325" t="s">
        <v>415</v>
      </c>
      <c r="F69" s="327">
        <v>-40</v>
      </c>
      <c r="G69" s="325" t="s">
        <v>207</v>
      </c>
      <c r="H69" s="18"/>
    </row>
    <row r="70" spans="1:13" x14ac:dyDescent="0.2">
      <c r="A70" s="325">
        <f t="shared" si="2"/>
        <v>3</v>
      </c>
      <c r="B70" s="325">
        <f t="shared" si="3"/>
        <v>23</v>
      </c>
      <c r="C70" s="326">
        <v>44278</v>
      </c>
      <c r="D70" s="325" t="s">
        <v>476</v>
      </c>
      <c r="E70" s="325" t="s">
        <v>416</v>
      </c>
      <c r="F70" s="327">
        <v>-8.33</v>
      </c>
      <c r="G70" s="325" t="s">
        <v>207</v>
      </c>
      <c r="H70" s="18"/>
    </row>
    <row r="71" spans="1:13" x14ac:dyDescent="0.2">
      <c r="A71" s="325">
        <f t="shared" si="2"/>
        <v>3</v>
      </c>
      <c r="B71" s="325">
        <f t="shared" si="3"/>
        <v>26</v>
      </c>
      <c r="C71" s="326">
        <v>44281</v>
      </c>
      <c r="D71" s="325" t="s">
        <v>485</v>
      </c>
      <c r="E71" s="325" t="s">
        <v>417</v>
      </c>
      <c r="F71" s="327">
        <v>-264.60000000000002</v>
      </c>
      <c r="G71" s="325" t="s">
        <v>481</v>
      </c>
      <c r="H71" s="18"/>
    </row>
    <row r="72" spans="1:13" x14ac:dyDescent="0.2">
      <c r="A72" s="325">
        <f t="shared" si="2"/>
        <v>3</v>
      </c>
      <c r="B72" s="325">
        <f t="shared" si="3"/>
        <v>26</v>
      </c>
      <c r="C72" s="326">
        <v>44281</v>
      </c>
      <c r="D72" s="325" t="s">
        <v>10</v>
      </c>
      <c r="E72" s="325" t="s">
        <v>418</v>
      </c>
      <c r="F72" s="327">
        <v>1457.82</v>
      </c>
      <c r="G72" s="325" t="s">
        <v>10</v>
      </c>
      <c r="H72" s="18"/>
    </row>
    <row r="73" spans="1:13" x14ac:dyDescent="0.2">
      <c r="A73" s="325">
        <f t="shared" si="2"/>
        <v>3</v>
      </c>
      <c r="B73" s="325">
        <f t="shared" si="3"/>
        <v>29</v>
      </c>
      <c r="C73" s="326">
        <v>44284</v>
      </c>
      <c r="D73" s="325" t="s">
        <v>476</v>
      </c>
      <c r="E73" s="325" t="s">
        <v>419</v>
      </c>
      <c r="F73" s="327">
        <v>-20</v>
      </c>
      <c r="G73" s="325" t="s">
        <v>208</v>
      </c>
      <c r="H73" s="18"/>
    </row>
    <row r="74" spans="1:13" x14ac:dyDescent="0.2">
      <c r="A74" s="325">
        <f t="shared" si="2"/>
        <v>3</v>
      </c>
      <c r="B74" s="325">
        <f t="shared" si="3"/>
        <v>31</v>
      </c>
      <c r="C74" s="326">
        <v>44286</v>
      </c>
      <c r="D74" s="325" t="s">
        <v>485</v>
      </c>
      <c r="E74" s="325" t="s">
        <v>420</v>
      </c>
      <c r="F74" s="327">
        <v>-465.03</v>
      </c>
      <c r="G74" s="325" t="s">
        <v>481</v>
      </c>
      <c r="H74" s="18"/>
    </row>
    <row r="75" spans="1:13" x14ac:dyDescent="0.2">
      <c r="A75" s="325">
        <f t="shared" si="2"/>
        <v>4</v>
      </c>
      <c r="B75" s="325">
        <f t="shared" si="3"/>
        <v>1</v>
      </c>
      <c r="C75" s="326">
        <v>44287</v>
      </c>
      <c r="D75" s="325" t="s">
        <v>477</v>
      </c>
      <c r="E75" s="325" t="s">
        <v>421</v>
      </c>
      <c r="F75" s="327">
        <v>-400</v>
      </c>
      <c r="G75" s="325" t="s">
        <v>37</v>
      </c>
      <c r="H75" s="18"/>
      <c r="K75" s="19"/>
    </row>
    <row r="76" spans="1:13" x14ac:dyDescent="0.2">
      <c r="A76" s="325">
        <f t="shared" si="2"/>
        <v>4</v>
      </c>
      <c r="B76" s="325">
        <f t="shared" si="3"/>
        <v>9</v>
      </c>
      <c r="C76" s="326">
        <v>44295</v>
      </c>
      <c r="D76" s="325" t="s">
        <v>485</v>
      </c>
      <c r="E76" s="325" t="s">
        <v>422</v>
      </c>
      <c r="F76" s="327">
        <v>-450.02</v>
      </c>
      <c r="G76" s="325" t="s">
        <v>481</v>
      </c>
      <c r="H76" s="18"/>
    </row>
    <row r="77" spans="1:13" x14ac:dyDescent="0.2">
      <c r="A77" s="325">
        <f t="shared" si="2"/>
        <v>4</v>
      </c>
      <c r="B77" s="325">
        <f t="shared" si="3"/>
        <v>9</v>
      </c>
      <c r="C77" s="326">
        <v>44295</v>
      </c>
      <c r="D77" s="325" t="s">
        <v>10</v>
      </c>
      <c r="E77" s="325" t="s">
        <v>423</v>
      </c>
      <c r="F77" s="327">
        <v>1242.82</v>
      </c>
      <c r="G77" s="325" t="s">
        <v>10</v>
      </c>
      <c r="H77" s="18"/>
    </row>
    <row r="78" spans="1:13" x14ac:dyDescent="0.2">
      <c r="A78" s="325">
        <f t="shared" si="2"/>
        <v>4</v>
      </c>
      <c r="B78" s="325">
        <f t="shared" si="3"/>
        <v>12</v>
      </c>
      <c r="C78" s="326">
        <v>44298</v>
      </c>
      <c r="D78" s="325" t="s">
        <v>476</v>
      </c>
      <c r="E78" s="325" t="s">
        <v>424</v>
      </c>
      <c r="F78" s="327">
        <v>-138.52000000000001</v>
      </c>
      <c r="G78" s="325" t="s">
        <v>500</v>
      </c>
      <c r="H78" s="18"/>
    </row>
    <row r="79" spans="1:13" x14ac:dyDescent="0.2">
      <c r="A79" s="325">
        <f t="shared" si="2"/>
        <v>4</v>
      </c>
      <c r="B79" s="325">
        <f t="shared" si="3"/>
        <v>12</v>
      </c>
      <c r="C79" s="326">
        <v>44298</v>
      </c>
      <c r="D79" s="325" t="s">
        <v>476</v>
      </c>
      <c r="E79" s="325" t="s">
        <v>425</v>
      </c>
      <c r="F79" s="327">
        <v>-100</v>
      </c>
      <c r="G79" s="325" t="s">
        <v>502</v>
      </c>
      <c r="H79" s="18"/>
    </row>
    <row r="80" spans="1:13" x14ac:dyDescent="0.2">
      <c r="A80" s="325">
        <f t="shared" si="2"/>
        <v>4</v>
      </c>
      <c r="B80" s="325">
        <f t="shared" si="3"/>
        <v>12</v>
      </c>
      <c r="C80" s="326">
        <v>44298</v>
      </c>
      <c r="D80" s="325" t="s">
        <v>477</v>
      </c>
      <c r="E80" s="325" t="s">
        <v>426</v>
      </c>
      <c r="F80" s="327">
        <v>-250</v>
      </c>
      <c r="G80" s="325" t="s">
        <v>504</v>
      </c>
      <c r="H80" s="18"/>
      <c r="K80" s="19"/>
    </row>
    <row r="81" spans="1:12" x14ac:dyDescent="0.2">
      <c r="A81" s="325">
        <f t="shared" si="2"/>
        <v>4</v>
      </c>
      <c r="B81" s="325">
        <f t="shared" si="3"/>
        <v>19</v>
      </c>
      <c r="C81" s="326">
        <v>44305</v>
      </c>
      <c r="D81" s="325" t="s">
        <v>476</v>
      </c>
      <c r="E81" s="325" t="s">
        <v>427</v>
      </c>
      <c r="F81" s="327">
        <v>50</v>
      </c>
      <c r="G81" s="325" t="s">
        <v>505</v>
      </c>
      <c r="H81" s="18"/>
    </row>
    <row r="82" spans="1:12" x14ac:dyDescent="0.2">
      <c r="A82" s="325">
        <f t="shared" si="2"/>
        <v>4</v>
      </c>
      <c r="B82" s="325">
        <f t="shared" si="3"/>
        <v>19</v>
      </c>
      <c r="C82" s="326">
        <v>44305</v>
      </c>
      <c r="D82" s="325" t="s">
        <v>492</v>
      </c>
      <c r="E82" s="325" t="s">
        <v>428</v>
      </c>
      <c r="F82" s="327">
        <v>30</v>
      </c>
      <c r="G82" s="325" t="s">
        <v>3</v>
      </c>
      <c r="H82" s="18"/>
    </row>
    <row r="83" spans="1:12" x14ac:dyDescent="0.2">
      <c r="A83" s="325">
        <f t="shared" si="2"/>
        <v>4</v>
      </c>
      <c r="B83" s="325">
        <f t="shared" si="3"/>
        <v>20</v>
      </c>
      <c r="C83" s="326">
        <v>44306</v>
      </c>
      <c r="D83" s="325" t="s">
        <v>478</v>
      </c>
      <c r="E83" s="325" t="s">
        <v>429</v>
      </c>
      <c r="F83" s="327">
        <v>189</v>
      </c>
      <c r="G83" s="325" t="s">
        <v>35</v>
      </c>
      <c r="H83" s="18"/>
      <c r="L83" s="19"/>
    </row>
    <row r="84" spans="1:12" x14ac:dyDescent="0.2">
      <c r="A84" s="325">
        <f t="shared" si="2"/>
        <v>4</v>
      </c>
      <c r="B84" s="325">
        <f t="shared" si="3"/>
        <v>23</v>
      </c>
      <c r="C84" s="326">
        <v>44309</v>
      </c>
      <c r="D84" s="325" t="s">
        <v>476</v>
      </c>
      <c r="E84" s="325" t="s">
        <v>430</v>
      </c>
      <c r="F84" s="327">
        <v>-700</v>
      </c>
      <c r="G84" s="325" t="s">
        <v>501</v>
      </c>
      <c r="H84" s="18"/>
    </row>
    <row r="85" spans="1:12" x14ac:dyDescent="0.2">
      <c r="A85" s="325">
        <f t="shared" si="2"/>
        <v>4</v>
      </c>
      <c r="B85" s="325">
        <f t="shared" si="3"/>
        <v>23</v>
      </c>
      <c r="C85" s="326">
        <v>44309</v>
      </c>
      <c r="D85" s="325" t="s">
        <v>477</v>
      </c>
      <c r="E85" s="325" t="s">
        <v>431</v>
      </c>
      <c r="F85" s="327">
        <v>-10.6</v>
      </c>
      <c r="G85" s="325" t="s">
        <v>521</v>
      </c>
      <c r="H85" s="18"/>
      <c r="K85" s="19"/>
    </row>
    <row r="86" spans="1:12" x14ac:dyDescent="0.2">
      <c r="A86" s="325">
        <f t="shared" si="2"/>
        <v>4</v>
      </c>
      <c r="B86" s="325">
        <f t="shared" si="3"/>
        <v>23</v>
      </c>
      <c r="C86" s="326">
        <v>44309</v>
      </c>
      <c r="D86" s="325" t="s">
        <v>10</v>
      </c>
      <c r="E86" s="325" t="s">
        <v>432</v>
      </c>
      <c r="F86" s="327">
        <v>1174.51</v>
      </c>
      <c r="G86" s="325" t="s">
        <v>10</v>
      </c>
      <c r="H86" s="18"/>
    </row>
    <row r="87" spans="1:12" x14ac:dyDescent="0.2">
      <c r="A87" s="325">
        <f t="shared" si="2"/>
        <v>4</v>
      </c>
      <c r="B87" s="325">
        <f t="shared" si="3"/>
        <v>30</v>
      </c>
      <c r="C87" s="326">
        <v>44316</v>
      </c>
      <c r="D87" s="325" t="s">
        <v>477</v>
      </c>
      <c r="E87" s="325" t="s">
        <v>433</v>
      </c>
      <c r="F87" s="327">
        <v>-50</v>
      </c>
      <c r="G87" s="325" t="s">
        <v>504</v>
      </c>
      <c r="H87" s="18"/>
      <c r="K87" s="19"/>
    </row>
    <row r="88" spans="1:12" x14ac:dyDescent="0.2">
      <c r="A88" s="325">
        <f t="shared" si="2"/>
        <v>5</v>
      </c>
      <c r="B88" s="325">
        <f t="shared" si="3"/>
        <v>3</v>
      </c>
      <c r="C88" s="326">
        <v>44319</v>
      </c>
      <c r="D88" s="325" t="s">
        <v>476</v>
      </c>
      <c r="E88" s="325" t="s">
        <v>434</v>
      </c>
      <c r="F88" s="327">
        <v>-50</v>
      </c>
      <c r="G88" s="325" t="s">
        <v>506</v>
      </c>
      <c r="H88" s="18"/>
    </row>
    <row r="89" spans="1:12" x14ac:dyDescent="0.2">
      <c r="A89" s="325">
        <f t="shared" si="2"/>
        <v>5</v>
      </c>
      <c r="B89" s="325">
        <f t="shared" si="3"/>
        <v>5</v>
      </c>
      <c r="C89" s="326">
        <v>44321</v>
      </c>
      <c r="D89" s="325" t="s">
        <v>485</v>
      </c>
      <c r="E89" s="325" t="s">
        <v>435</v>
      </c>
      <c r="F89" s="327">
        <v>-1404.1</v>
      </c>
      <c r="G89" s="325" t="s">
        <v>481</v>
      </c>
      <c r="H89" s="18"/>
    </row>
    <row r="90" spans="1:12" x14ac:dyDescent="0.2">
      <c r="A90" s="325">
        <f t="shared" si="2"/>
        <v>5</v>
      </c>
      <c r="B90" s="325">
        <f t="shared" si="3"/>
        <v>6</v>
      </c>
      <c r="C90" s="326">
        <v>44322</v>
      </c>
      <c r="D90" s="325" t="s">
        <v>493</v>
      </c>
      <c r="E90" s="325" t="s">
        <v>436</v>
      </c>
      <c r="F90" s="327">
        <v>-200</v>
      </c>
      <c r="G90" s="325" t="s">
        <v>513</v>
      </c>
      <c r="H90" s="18"/>
    </row>
    <row r="91" spans="1:12" x14ac:dyDescent="0.2">
      <c r="A91" s="325">
        <f t="shared" si="2"/>
        <v>5</v>
      </c>
      <c r="B91" s="325">
        <f t="shared" si="3"/>
        <v>6</v>
      </c>
      <c r="C91" s="326">
        <v>44322</v>
      </c>
      <c r="D91" s="325" t="s">
        <v>493</v>
      </c>
      <c r="E91" s="325" t="s">
        <v>437</v>
      </c>
      <c r="F91" s="327">
        <v>-200</v>
      </c>
      <c r="G91" s="325" t="s">
        <v>514</v>
      </c>
      <c r="H91" s="18"/>
    </row>
    <row r="92" spans="1:12" x14ac:dyDescent="0.2">
      <c r="A92" s="325">
        <f t="shared" si="2"/>
        <v>5</v>
      </c>
      <c r="B92" s="325">
        <f t="shared" si="3"/>
        <v>7</v>
      </c>
      <c r="C92" s="326">
        <v>44323</v>
      </c>
      <c r="D92" s="325" t="s">
        <v>10</v>
      </c>
      <c r="E92" s="325" t="s">
        <v>438</v>
      </c>
      <c r="F92" s="327">
        <v>1174.52</v>
      </c>
      <c r="G92" s="325" t="s">
        <v>10</v>
      </c>
      <c r="H92" s="18"/>
    </row>
    <row r="93" spans="1:12" x14ac:dyDescent="0.2">
      <c r="A93" s="325">
        <f t="shared" si="2"/>
        <v>5</v>
      </c>
      <c r="B93" s="325">
        <f t="shared" si="3"/>
        <v>7</v>
      </c>
      <c r="C93" s="326">
        <v>44323</v>
      </c>
      <c r="D93" s="325" t="s">
        <v>484</v>
      </c>
      <c r="E93" s="325" t="s">
        <v>439</v>
      </c>
      <c r="F93" s="327">
        <v>803.91</v>
      </c>
      <c r="G93" s="325" t="s">
        <v>487</v>
      </c>
      <c r="H93" s="18"/>
    </row>
    <row r="94" spans="1:12" x14ac:dyDescent="0.2">
      <c r="A94" s="325">
        <f t="shared" si="2"/>
        <v>5</v>
      </c>
      <c r="B94" s="325">
        <f t="shared" si="3"/>
        <v>10</v>
      </c>
      <c r="C94" s="326">
        <v>44326</v>
      </c>
      <c r="D94" s="325" t="s">
        <v>476</v>
      </c>
      <c r="E94" s="325" t="s">
        <v>440</v>
      </c>
      <c r="F94" s="327">
        <v>-150</v>
      </c>
      <c r="G94" s="325" t="s">
        <v>502</v>
      </c>
      <c r="H94" s="18"/>
    </row>
    <row r="95" spans="1:12" x14ac:dyDescent="0.2">
      <c r="A95" s="325">
        <f t="shared" si="2"/>
        <v>5</v>
      </c>
      <c r="B95" s="325">
        <f t="shared" si="3"/>
        <v>10</v>
      </c>
      <c r="C95" s="326">
        <v>44326</v>
      </c>
      <c r="D95" s="325" t="s">
        <v>476</v>
      </c>
      <c r="E95" s="325" t="s">
        <v>441</v>
      </c>
      <c r="F95" s="327">
        <v>-136.13999999999999</v>
      </c>
      <c r="G95" s="325" t="s">
        <v>500</v>
      </c>
      <c r="H95" s="18"/>
    </row>
    <row r="96" spans="1:12" x14ac:dyDescent="0.2">
      <c r="A96" s="325">
        <f t="shared" si="2"/>
        <v>5</v>
      </c>
      <c r="B96" s="325">
        <f t="shared" si="3"/>
        <v>11</v>
      </c>
      <c r="C96" s="326">
        <v>44327</v>
      </c>
      <c r="D96" s="325" t="s">
        <v>488</v>
      </c>
      <c r="E96" s="325" t="s">
        <v>442</v>
      </c>
      <c r="F96" s="327">
        <v>-28.93</v>
      </c>
      <c r="G96" s="325" t="s">
        <v>498</v>
      </c>
      <c r="H96" s="18"/>
    </row>
    <row r="97" spans="1:12" x14ac:dyDescent="0.2">
      <c r="A97" s="325">
        <f t="shared" si="2"/>
        <v>5</v>
      </c>
      <c r="B97" s="325">
        <f t="shared" si="3"/>
        <v>12</v>
      </c>
      <c r="C97" s="326">
        <v>44328</v>
      </c>
      <c r="D97" s="325" t="s">
        <v>476</v>
      </c>
      <c r="E97" s="325" t="s">
        <v>443</v>
      </c>
      <c r="F97" s="327">
        <v>150</v>
      </c>
      <c r="G97" s="325" t="s">
        <v>505</v>
      </c>
      <c r="H97" s="18"/>
    </row>
    <row r="98" spans="1:12" x14ac:dyDescent="0.2">
      <c r="A98" s="325">
        <f t="shared" si="2"/>
        <v>5</v>
      </c>
      <c r="B98" s="325">
        <f t="shared" si="3"/>
        <v>14</v>
      </c>
      <c r="C98" s="326">
        <v>44330</v>
      </c>
      <c r="D98" s="325" t="s">
        <v>488</v>
      </c>
      <c r="E98" s="325" t="s">
        <v>444</v>
      </c>
      <c r="F98" s="327">
        <v>-21.39</v>
      </c>
      <c r="G98" s="325" t="s">
        <v>498</v>
      </c>
      <c r="H98" s="18"/>
    </row>
    <row r="99" spans="1:12" x14ac:dyDescent="0.2">
      <c r="A99" s="325">
        <f t="shared" si="2"/>
        <v>5</v>
      </c>
      <c r="B99" s="325">
        <f t="shared" si="3"/>
        <v>14</v>
      </c>
      <c r="C99" s="326">
        <v>44330</v>
      </c>
      <c r="D99" s="325" t="s">
        <v>478</v>
      </c>
      <c r="E99" s="325" t="s">
        <v>445</v>
      </c>
      <c r="F99" s="327">
        <v>136.13999999999999</v>
      </c>
      <c r="G99" s="325" t="s">
        <v>35</v>
      </c>
      <c r="H99" s="18"/>
      <c r="L99" s="19"/>
    </row>
    <row r="100" spans="1:12" x14ac:dyDescent="0.2">
      <c r="A100" s="325">
        <f t="shared" si="2"/>
        <v>5</v>
      </c>
      <c r="B100" s="325">
        <f t="shared" si="3"/>
        <v>17</v>
      </c>
      <c r="C100" s="326">
        <v>44333</v>
      </c>
      <c r="D100" s="325" t="s">
        <v>476</v>
      </c>
      <c r="E100" s="325" t="s">
        <v>446</v>
      </c>
      <c r="F100" s="327">
        <v>-220</v>
      </c>
      <c r="G100" s="325" t="s">
        <v>70</v>
      </c>
      <c r="H100" s="18"/>
    </row>
    <row r="101" spans="1:12" x14ac:dyDescent="0.2">
      <c r="A101" s="325">
        <f t="shared" si="2"/>
        <v>5</v>
      </c>
      <c r="B101" s="325">
        <f t="shared" si="3"/>
        <v>20</v>
      </c>
      <c r="C101" s="326">
        <v>44336</v>
      </c>
      <c r="D101" s="325" t="s">
        <v>476</v>
      </c>
      <c r="E101" s="325" t="s">
        <v>447</v>
      </c>
      <c r="F101" s="327">
        <v>-85</v>
      </c>
      <c r="G101" s="325" t="s">
        <v>70</v>
      </c>
      <c r="H101" s="18"/>
    </row>
    <row r="102" spans="1:12" x14ac:dyDescent="0.2">
      <c r="A102" s="325">
        <f t="shared" si="2"/>
        <v>5</v>
      </c>
      <c r="B102" s="325">
        <f t="shared" si="3"/>
        <v>21</v>
      </c>
      <c r="C102" s="326">
        <v>44337</v>
      </c>
      <c r="D102" s="325" t="s">
        <v>476</v>
      </c>
      <c r="E102" s="325" t="s">
        <v>448</v>
      </c>
      <c r="F102" s="327">
        <v>-340</v>
      </c>
      <c r="G102" s="325" t="s">
        <v>507</v>
      </c>
      <c r="H102" s="18"/>
    </row>
    <row r="103" spans="1:12" x14ac:dyDescent="0.2">
      <c r="A103" s="325">
        <f t="shared" si="2"/>
        <v>5</v>
      </c>
      <c r="B103" s="325">
        <f t="shared" si="3"/>
        <v>21</v>
      </c>
      <c r="C103" s="326">
        <v>44337</v>
      </c>
      <c r="D103" s="325" t="s">
        <v>10</v>
      </c>
      <c r="E103" s="325" t="s">
        <v>449</v>
      </c>
      <c r="F103" s="327">
        <v>1342.98</v>
      </c>
      <c r="G103" s="325" t="s">
        <v>10</v>
      </c>
      <c r="H103" s="18"/>
    </row>
    <row r="104" spans="1:12" x14ac:dyDescent="0.2">
      <c r="A104" s="325">
        <f t="shared" si="2"/>
        <v>5</v>
      </c>
      <c r="B104" s="325">
        <f t="shared" si="3"/>
        <v>24</v>
      </c>
      <c r="C104" s="326">
        <v>44340</v>
      </c>
      <c r="D104" s="325" t="s">
        <v>485</v>
      </c>
      <c r="E104" s="325" t="s">
        <v>450</v>
      </c>
      <c r="F104" s="327">
        <v>-1412.32</v>
      </c>
      <c r="G104" s="325" t="s">
        <v>481</v>
      </c>
      <c r="H104" s="18"/>
    </row>
    <row r="105" spans="1:12" x14ac:dyDescent="0.2">
      <c r="A105" s="325">
        <f t="shared" si="2"/>
        <v>5</v>
      </c>
      <c r="B105" s="325">
        <f t="shared" si="3"/>
        <v>24</v>
      </c>
      <c r="C105" s="326">
        <v>44340</v>
      </c>
      <c r="D105" s="325" t="s">
        <v>477</v>
      </c>
      <c r="E105" s="325" t="s">
        <v>451</v>
      </c>
      <c r="F105" s="327">
        <v>-50</v>
      </c>
      <c r="G105" s="325" t="s">
        <v>512</v>
      </c>
      <c r="H105" s="18"/>
      <c r="K105" s="19"/>
    </row>
    <row r="106" spans="1:12" x14ac:dyDescent="0.2">
      <c r="A106" s="325">
        <f t="shared" si="2"/>
        <v>5</v>
      </c>
      <c r="B106" s="325">
        <f t="shared" si="3"/>
        <v>24</v>
      </c>
      <c r="C106" s="326">
        <v>44340</v>
      </c>
      <c r="D106" s="325" t="s">
        <v>477</v>
      </c>
      <c r="E106" s="325" t="s">
        <v>452</v>
      </c>
      <c r="F106" s="327">
        <v>-50</v>
      </c>
      <c r="G106" s="325" t="s">
        <v>511</v>
      </c>
      <c r="H106" s="18"/>
      <c r="K106" s="19"/>
    </row>
    <row r="107" spans="1:12" x14ac:dyDescent="0.2">
      <c r="A107" s="325">
        <f t="shared" si="2"/>
        <v>5</v>
      </c>
      <c r="B107" s="325">
        <f t="shared" si="3"/>
        <v>24</v>
      </c>
      <c r="C107" s="326">
        <v>44340</v>
      </c>
      <c r="D107" s="325" t="s">
        <v>477</v>
      </c>
      <c r="E107" s="325" t="s">
        <v>453</v>
      </c>
      <c r="F107" s="327">
        <v>-120</v>
      </c>
      <c r="G107" s="325" t="s">
        <v>91</v>
      </c>
      <c r="H107" s="18"/>
      <c r="K107" s="19"/>
    </row>
    <row r="108" spans="1:12" x14ac:dyDescent="0.2">
      <c r="A108" s="325">
        <f t="shared" si="2"/>
        <v>5</v>
      </c>
      <c r="B108" s="325">
        <f t="shared" si="3"/>
        <v>24</v>
      </c>
      <c r="C108" s="326">
        <v>44340</v>
      </c>
      <c r="D108" s="325" t="s">
        <v>482</v>
      </c>
      <c r="E108" s="325" t="s">
        <v>454</v>
      </c>
      <c r="F108" s="327">
        <v>815.63</v>
      </c>
      <c r="G108" s="325" t="s">
        <v>70</v>
      </c>
      <c r="H108" s="18"/>
      <c r="L108" s="19"/>
    </row>
    <row r="109" spans="1:12" x14ac:dyDescent="0.2">
      <c r="A109" s="325">
        <f t="shared" si="2"/>
        <v>5</v>
      </c>
      <c r="B109" s="325">
        <f t="shared" si="3"/>
        <v>25</v>
      </c>
      <c r="C109" s="326">
        <v>44341</v>
      </c>
      <c r="D109" s="325" t="s">
        <v>476</v>
      </c>
      <c r="E109" s="325" t="s">
        <v>455</v>
      </c>
      <c r="F109" s="327">
        <v>-215.27</v>
      </c>
      <c r="G109" s="325" t="s">
        <v>70</v>
      </c>
      <c r="H109" s="18"/>
    </row>
    <row r="110" spans="1:12" x14ac:dyDescent="0.2">
      <c r="A110" s="325">
        <f t="shared" si="2"/>
        <v>5</v>
      </c>
      <c r="B110" s="325">
        <f t="shared" si="3"/>
        <v>28</v>
      </c>
      <c r="C110" s="326">
        <v>44344</v>
      </c>
      <c r="D110" s="325" t="s">
        <v>477</v>
      </c>
      <c r="E110" s="325" t="s">
        <v>456</v>
      </c>
      <c r="F110" s="327">
        <v>-140</v>
      </c>
      <c r="G110" s="325" t="s">
        <v>37</v>
      </c>
      <c r="H110" s="18"/>
      <c r="K110" s="19"/>
    </row>
    <row r="111" spans="1:12" x14ac:dyDescent="0.2">
      <c r="A111" s="325">
        <f t="shared" si="2"/>
        <v>6</v>
      </c>
      <c r="B111" s="325">
        <f t="shared" si="3"/>
        <v>1</v>
      </c>
      <c r="C111" s="326">
        <v>44348</v>
      </c>
      <c r="D111" s="325" t="s">
        <v>477</v>
      </c>
      <c r="E111" s="325" t="s">
        <v>457</v>
      </c>
      <c r="F111" s="327">
        <v>-500</v>
      </c>
      <c r="G111" s="325" t="s">
        <v>35</v>
      </c>
      <c r="H111" s="18"/>
      <c r="K111" s="19"/>
    </row>
    <row r="112" spans="1:12" x14ac:dyDescent="0.2">
      <c r="A112" s="325">
        <f t="shared" si="2"/>
        <v>6</v>
      </c>
      <c r="B112" s="325">
        <f t="shared" si="3"/>
        <v>1</v>
      </c>
      <c r="C112" s="326">
        <v>44348</v>
      </c>
      <c r="D112" s="325" t="s">
        <v>479</v>
      </c>
      <c r="E112" s="325" t="s">
        <v>458</v>
      </c>
      <c r="F112" s="327">
        <v>2000</v>
      </c>
      <c r="G112" s="325" t="s">
        <v>497</v>
      </c>
      <c r="H112" s="18"/>
    </row>
    <row r="113" spans="1:12" x14ac:dyDescent="0.2">
      <c r="A113" s="325">
        <f t="shared" si="2"/>
        <v>6</v>
      </c>
      <c r="B113" s="325">
        <f t="shared" si="3"/>
        <v>4</v>
      </c>
      <c r="C113" s="326">
        <v>44351</v>
      </c>
      <c r="D113" s="325" t="s">
        <v>476</v>
      </c>
      <c r="E113" s="325" t="s">
        <v>459</v>
      </c>
      <c r="F113" s="327">
        <v>-118</v>
      </c>
      <c r="G113" s="325" t="s">
        <v>500</v>
      </c>
      <c r="H113" s="18"/>
    </row>
    <row r="114" spans="1:12" x14ac:dyDescent="0.2">
      <c r="A114" s="325">
        <f t="shared" si="2"/>
        <v>6</v>
      </c>
      <c r="B114" s="325">
        <f t="shared" si="3"/>
        <v>4</v>
      </c>
      <c r="C114" s="326">
        <v>44351</v>
      </c>
      <c r="D114" s="325" t="s">
        <v>477</v>
      </c>
      <c r="E114" s="325" t="s">
        <v>460</v>
      </c>
      <c r="F114" s="327">
        <v>-2041.66</v>
      </c>
      <c r="G114" s="325" t="s">
        <v>508</v>
      </c>
      <c r="H114" s="18"/>
    </row>
    <row r="115" spans="1:12" x14ac:dyDescent="0.2">
      <c r="A115" s="325">
        <f t="shared" si="2"/>
        <v>6</v>
      </c>
      <c r="B115" s="325">
        <f t="shared" si="3"/>
        <v>4</v>
      </c>
      <c r="C115" s="326">
        <v>44351</v>
      </c>
      <c r="D115" s="325" t="s">
        <v>10</v>
      </c>
      <c r="E115" s="325" t="s">
        <v>461</v>
      </c>
      <c r="F115" s="327">
        <v>1174.51</v>
      </c>
      <c r="G115" s="325" t="s">
        <v>10</v>
      </c>
      <c r="H115" s="18"/>
    </row>
    <row r="116" spans="1:12" x14ac:dyDescent="0.2">
      <c r="A116" s="325">
        <f t="shared" si="2"/>
        <v>6</v>
      </c>
      <c r="B116" s="325">
        <f t="shared" si="3"/>
        <v>7</v>
      </c>
      <c r="C116" s="326">
        <v>44354</v>
      </c>
      <c r="D116" s="325" t="s">
        <v>485</v>
      </c>
      <c r="E116" s="325" t="s">
        <v>462</v>
      </c>
      <c r="F116" s="327">
        <v>-1368.32</v>
      </c>
      <c r="G116" s="325" t="s">
        <v>481</v>
      </c>
      <c r="H116" s="18"/>
    </row>
    <row r="117" spans="1:12" x14ac:dyDescent="0.2">
      <c r="A117" s="325">
        <f t="shared" si="2"/>
        <v>6</v>
      </c>
      <c r="B117" s="325">
        <f t="shared" si="3"/>
        <v>7</v>
      </c>
      <c r="C117" s="326">
        <v>44354</v>
      </c>
      <c r="D117" s="325" t="s">
        <v>476</v>
      </c>
      <c r="E117" s="325" t="s">
        <v>463</v>
      </c>
      <c r="F117" s="327">
        <v>-564.69000000000005</v>
      </c>
      <c r="G117" s="325" t="s">
        <v>599</v>
      </c>
      <c r="H117" s="18"/>
    </row>
    <row r="118" spans="1:12" x14ac:dyDescent="0.2">
      <c r="A118" s="325">
        <f t="shared" si="2"/>
        <v>6</v>
      </c>
      <c r="B118" s="325">
        <f t="shared" si="3"/>
        <v>7</v>
      </c>
      <c r="C118" s="326">
        <v>44354</v>
      </c>
      <c r="D118" s="325" t="s">
        <v>476</v>
      </c>
      <c r="E118" s="325" t="s">
        <v>464</v>
      </c>
      <c r="F118" s="327">
        <v>-70.58</v>
      </c>
      <c r="G118" s="325" t="s">
        <v>599</v>
      </c>
      <c r="H118" s="18"/>
    </row>
    <row r="119" spans="1:12" x14ac:dyDescent="0.2">
      <c r="A119" s="325">
        <f t="shared" si="2"/>
        <v>6</v>
      </c>
      <c r="B119" s="325">
        <f t="shared" si="3"/>
        <v>7</v>
      </c>
      <c r="C119" s="326">
        <v>44354</v>
      </c>
      <c r="D119" s="325" t="s">
        <v>480</v>
      </c>
      <c r="E119" s="325" t="s">
        <v>465</v>
      </c>
      <c r="F119" s="327">
        <v>-200</v>
      </c>
      <c r="G119" s="325" t="s">
        <v>515</v>
      </c>
      <c r="H119" s="18"/>
      <c r="L119" s="19"/>
    </row>
    <row r="120" spans="1:12" x14ac:dyDescent="0.2">
      <c r="A120" s="325">
        <f t="shared" si="2"/>
        <v>6</v>
      </c>
      <c r="B120" s="325">
        <f t="shared" si="3"/>
        <v>7</v>
      </c>
      <c r="C120" s="326">
        <v>44354</v>
      </c>
      <c r="D120" s="325" t="s">
        <v>478</v>
      </c>
      <c r="E120" s="325" t="s">
        <v>466</v>
      </c>
      <c r="F120" s="327">
        <v>128.05000000000001</v>
      </c>
      <c r="G120" s="325" t="s">
        <v>37</v>
      </c>
      <c r="H120" s="18"/>
      <c r="L120" s="19"/>
    </row>
    <row r="121" spans="1:12" x14ac:dyDescent="0.2">
      <c r="A121" s="325">
        <f t="shared" si="2"/>
        <v>6</v>
      </c>
      <c r="B121" s="325">
        <f t="shared" si="3"/>
        <v>8</v>
      </c>
      <c r="C121" s="326">
        <v>44355</v>
      </c>
      <c r="D121" s="325" t="s">
        <v>477</v>
      </c>
      <c r="E121" s="325" t="s">
        <v>467</v>
      </c>
      <c r="F121" s="327">
        <v>-12.17</v>
      </c>
      <c r="G121" s="325" t="s">
        <v>521</v>
      </c>
      <c r="H121" s="18"/>
      <c r="K121" s="19"/>
    </row>
    <row r="122" spans="1:12" x14ac:dyDescent="0.2">
      <c r="A122" s="325">
        <f t="shared" si="2"/>
        <v>6</v>
      </c>
      <c r="B122" s="325">
        <f t="shared" si="3"/>
        <v>8</v>
      </c>
      <c r="C122" s="326">
        <v>44355</v>
      </c>
      <c r="D122" s="325" t="s">
        <v>484</v>
      </c>
      <c r="E122" s="325" t="s">
        <v>468</v>
      </c>
      <c r="F122" s="327">
        <v>415.42</v>
      </c>
      <c r="G122" s="325" t="s">
        <v>487</v>
      </c>
      <c r="H122" s="18"/>
    </row>
    <row r="123" spans="1:12" x14ac:dyDescent="0.2">
      <c r="A123" s="325">
        <f t="shared" si="2"/>
        <v>6</v>
      </c>
      <c r="B123" s="325">
        <f t="shared" si="3"/>
        <v>9</v>
      </c>
      <c r="C123" s="326">
        <v>44356</v>
      </c>
      <c r="D123" s="325" t="s">
        <v>479</v>
      </c>
      <c r="E123" s="325" t="s">
        <v>469</v>
      </c>
      <c r="F123" s="327">
        <v>1158.2</v>
      </c>
      <c r="G123" s="325" t="s">
        <v>497</v>
      </c>
      <c r="H123" s="18"/>
    </row>
    <row r="124" spans="1:12" x14ac:dyDescent="0.2">
      <c r="A124" s="325">
        <f t="shared" si="2"/>
        <v>6</v>
      </c>
      <c r="B124" s="325">
        <f t="shared" si="3"/>
        <v>11</v>
      </c>
      <c r="C124" s="326">
        <v>44358</v>
      </c>
      <c r="D124" s="325" t="s">
        <v>476</v>
      </c>
      <c r="E124" s="325" t="s">
        <v>470</v>
      </c>
      <c r="F124" s="327">
        <v>-78.75</v>
      </c>
      <c r="G124" s="325" t="s">
        <v>509</v>
      </c>
      <c r="H124" s="18"/>
    </row>
    <row r="125" spans="1:12" x14ac:dyDescent="0.2">
      <c r="A125" s="325">
        <f t="shared" si="2"/>
        <v>6</v>
      </c>
      <c r="B125" s="325">
        <f t="shared" si="3"/>
        <v>14</v>
      </c>
      <c r="C125" s="326">
        <v>44361</v>
      </c>
      <c r="D125" s="325" t="s">
        <v>480</v>
      </c>
      <c r="E125" s="325" t="s">
        <v>471</v>
      </c>
      <c r="F125" s="327">
        <v>-200</v>
      </c>
      <c r="G125" s="325" t="s">
        <v>511</v>
      </c>
      <c r="H125" s="18"/>
      <c r="L125" s="19"/>
    </row>
    <row r="126" spans="1:12" x14ac:dyDescent="0.2">
      <c r="A126" s="325">
        <f t="shared" si="2"/>
        <v>6</v>
      </c>
      <c r="B126" s="325">
        <f t="shared" si="3"/>
        <v>16</v>
      </c>
      <c r="C126" s="326">
        <v>44363</v>
      </c>
      <c r="D126" s="325" t="s">
        <v>494</v>
      </c>
      <c r="E126" s="325" t="s">
        <v>472</v>
      </c>
      <c r="F126" s="327">
        <v>-33.61</v>
      </c>
      <c r="G126" s="325" t="s">
        <v>499</v>
      </c>
      <c r="H126" s="18"/>
    </row>
    <row r="127" spans="1:12" x14ac:dyDescent="0.2">
      <c r="A127" s="325">
        <f t="shared" si="2"/>
        <v>6</v>
      </c>
      <c r="B127" s="325">
        <f t="shared" si="3"/>
        <v>17</v>
      </c>
      <c r="C127" s="326">
        <v>44364</v>
      </c>
      <c r="D127" s="325" t="s">
        <v>495</v>
      </c>
      <c r="E127" s="325" t="s">
        <v>473</v>
      </c>
      <c r="F127" s="327">
        <v>4436.57</v>
      </c>
      <c r="G127" s="325" t="s">
        <v>495</v>
      </c>
      <c r="H127" s="18"/>
    </row>
    <row r="128" spans="1:12" x14ac:dyDescent="0.2">
      <c r="A128" s="325">
        <f t="shared" ref="A128:A147" si="4">MONTH(C128)</f>
        <v>6</v>
      </c>
      <c r="B128" s="325">
        <f t="shared" ref="B128:B147" si="5">DAY(C128)</f>
        <v>18</v>
      </c>
      <c r="C128" s="326">
        <v>44365</v>
      </c>
      <c r="D128" s="325" t="str">
        <f>LEFT(E128, FIND(" ",E128)-1)</f>
        <v>PRINCIPAL</v>
      </c>
      <c r="E128" s="325" t="s">
        <v>601</v>
      </c>
      <c r="F128" s="327">
        <v>3967.1</v>
      </c>
      <c r="G128" s="325" t="s">
        <v>621</v>
      </c>
      <c r="H128" s="18"/>
    </row>
    <row r="129" spans="1:8" x14ac:dyDescent="0.2">
      <c r="A129" s="325">
        <f t="shared" si="4"/>
        <v>6</v>
      </c>
      <c r="B129" s="325">
        <f t="shared" si="5"/>
        <v>18</v>
      </c>
      <c r="C129" s="326">
        <v>44365</v>
      </c>
      <c r="D129" s="325" t="str">
        <f t="shared" ref="D129:D192" si="6">LEFT(E129, FIND(" ",E129)-1)</f>
        <v>Elephant</v>
      </c>
      <c r="E129" s="325" t="s">
        <v>602</v>
      </c>
      <c r="F129" s="327">
        <v>680.02</v>
      </c>
      <c r="G129" s="325" t="s">
        <v>10</v>
      </c>
      <c r="H129" s="18"/>
    </row>
    <row r="130" spans="1:8" x14ac:dyDescent="0.2">
      <c r="A130" s="325">
        <f t="shared" si="4"/>
        <v>6</v>
      </c>
      <c r="B130" s="325">
        <f t="shared" si="5"/>
        <v>21</v>
      </c>
      <c r="C130" s="326">
        <v>44368</v>
      </c>
      <c r="D130" s="325" t="str">
        <f t="shared" si="6"/>
        <v>VENMO</v>
      </c>
      <c r="E130" s="325" t="s">
        <v>603</v>
      </c>
      <c r="F130" s="327">
        <v>-2738.5</v>
      </c>
      <c r="G130" s="325" t="s">
        <v>622</v>
      </c>
      <c r="H130" s="18"/>
    </row>
    <row r="131" spans="1:8" x14ac:dyDescent="0.2">
      <c r="A131" s="325">
        <f t="shared" si="4"/>
        <v>6</v>
      </c>
      <c r="B131" s="325">
        <f t="shared" si="5"/>
        <v>21</v>
      </c>
      <c r="C131" s="326">
        <v>44368</v>
      </c>
      <c r="D131" s="325" t="str">
        <f t="shared" si="6"/>
        <v>VENMO</v>
      </c>
      <c r="E131" s="325" t="s">
        <v>604</v>
      </c>
      <c r="F131" s="327">
        <v>-615</v>
      </c>
      <c r="G131" s="325" t="s">
        <v>623</v>
      </c>
      <c r="H131" s="18"/>
    </row>
    <row r="132" spans="1:8" x14ac:dyDescent="0.2">
      <c r="A132" s="325">
        <f t="shared" si="4"/>
        <v>6</v>
      </c>
      <c r="B132" s="325">
        <f t="shared" si="5"/>
        <v>23</v>
      </c>
      <c r="C132" s="326">
        <v>44370</v>
      </c>
      <c r="D132" s="325" t="str">
        <f t="shared" si="6"/>
        <v>DISCOVER</v>
      </c>
      <c r="E132" s="325" t="s">
        <v>605</v>
      </c>
      <c r="F132" s="327">
        <v>-1869</v>
      </c>
      <c r="G132" s="325" t="s">
        <v>481</v>
      </c>
      <c r="H132" s="18"/>
    </row>
    <row r="133" spans="1:8" x14ac:dyDescent="0.2">
      <c r="A133" s="325">
        <f t="shared" si="4"/>
        <v>6</v>
      </c>
      <c r="B133" s="325">
        <f t="shared" si="5"/>
        <v>23</v>
      </c>
      <c r="C133" s="326">
        <v>44370</v>
      </c>
      <c r="D133" s="325" t="str">
        <f t="shared" si="6"/>
        <v>PURCHASE</v>
      </c>
      <c r="E133" s="325" t="s">
        <v>606</v>
      </c>
      <c r="F133" s="327">
        <v>-20</v>
      </c>
      <c r="G133" s="325" t="s">
        <v>597</v>
      </c>
      <c r="H133" s="18"/>
    </row>
    <row r="134" spans="1:8" x14ac:dyDescent="0.2">
      <c r="A134" s="325">
        <f t="shared" si="4"/>
        <v>6</v>
      </c>
      <c r="B134" s="325">
        <f t="shared" si="5"/>
        <v>23</v>
      </c>
      <c r="C134" s="326">
        <v>44370</v>
      </c>
      <c r="D134" s="325" t="str">
        <f t="shared" si="6"/>
        <v>PRINCIPAL</v>
      </c>
      <c r="E134" s="325" t="s">
        <v>607</v>
      </c>
      <c r="F134" s="327">
        <v>198.46</v>
      </c>
      <c r="G134" s="325" t="s">
        <v>621</v>
      </c>
      <c r="H134" s="18"/>
    </row>
    <row r="135" spans="1:8" x14ac:dyDescent="0.2">
      <c r="A135" s="325">
        <f t="shared" si="4"/>
        <v>6</v>
      </c>
      <c r="B135" s="325">
        <f t="shared" si="5"/>
        <v>25</v>
      </c>
      <c r="C135" s="326">
        <v>44372</v>
      </c>
      <c r="D135" s="325" t="str">
        <f t="shared" si="6"/>
        <v>PURCHASE</v>
      </c>
      <c r="E135" s="325" t="s">
        <v>608</v>
      </c>
      <c r="F135" s="327">
        <v>-58.57</v>
      </c>
      <c r="G135" s="325" t="s">
        <v>624</v>
      </c>
      <c r="H135" s="18"/>
    </row>
    <row r="136" spans="1:8" x14ac:dyDescent="0.2">
      <c r="A136" s="325">
        <f t="shared" si="4"/>
        <v>6</v>
      </c>
      <c r="B136" s="325">
        <f t="shared" si="5"/>
        <v>30</v>
      </c>
      <c r="C136" s="326">
        <v>44377</v>
      </c>
      <c r="D136" s="325" t="str">
        <f t="shared" si="6"/>
        <v>New</v>
      </c>
      <c r="E136" s="325" t="s">
        <v>609</v>
      </c>
      <c r="F136" s="327">
        <v>-1804.34</v>
      </c>
      <c r="G136" s="325" t="s">
        <v>508</v>
      </c>
      <c r="H136" s="18"/>
    </row>
    <row r="137" spans="1:8" x14ac:dyDescent="0.2">
      <c r="A137" s="325">
        <f t="shared" si="4"/>
        <v>7</v>
      </c>
      <c r="B137" s="325">
        <f t="shared" si="5"/>
        <v>1</v>
      </c>
      <c r="C137" s="326">
        <v>44378</v>
      </c>
      <c r="D137" s="325" t="str">
        <f t="shared" si="6"/>
        <v>DISCOVER</v>
      </c>
      <c r="E137" s="325" t="s">
        <v>610</v>
      </c>
      <c r="F137" s="327">
        <v>-871.96</v>
      </c>
      <c r="G137" s="325" t="s">
        <v>481</v>
      </c>
      <c r="H137" s="18"/>
    </row>
    <row r="138" spans="1:8" x14ac:dyDescent="0.2">
      <c r="A138" s="325">
        <f t="shared" si="4"/>
        <v>7</v>
      </c>
      <c r="B138" s="325">
        <f t="shared" si="5"/>
        <v>1</v>
      </c>
      <c r="C138" s="326">
        <v>44378</v>
      </c>
      <c r="D138" s="325" t="str">
        <f t="shared" si="6"/>
        <v>Nationwide</v>
      </c>
      <c r="E138" s="325" t="s">
        <v>611</v>
      </c>
      <c r="F138" s="327">
        <v>1583.62</v>
      </c>
      <c r="G138" s="325" t="s">
        <v>495</v>
      </c>
      <c r="H138" s="18"/>
    </row>
    <row r="139" spans="1:8" x14ac:dyDescent="0.2">
      <c r="A139" s="325">
        <f t="shared" si="4"/>
        <v>7</v>
      </c>
      <c r="B139" s="325">
        <f t="shared" si="5"/>
        <v>6</v>
      </c>
      <c r="C139" s="326">
        <v>44383</v>
      </c>
      <c r="D139" s="325" t="str">
        <f t="shared" si="6"/>
        <v>DISCOVER</v>
      </c>
      <c r="E139" s="325" t="s">
        <v>612</v>
      </c>
      <c r="F139" s="327">
        <v>-367.73</v>
      </c>
      <c r="G139" s="325" t="s">
        <v>481</v>
      </c>
      <c r="H139" s="18"/>
    </row>
    <row r="140" spans="1:8" x14ac:dyDescent="0.2">
      <c r="A140" s="325">
        <f t="shared" si="4"/>
        <v>7</v>
      </c>
      <c r="B140" s="325">
        <f t="shared" si="5"/>
        <v>6</v>
      </c>
      <c r="C140" s="326">
        <v>44383</v>
      </c>
      <c r="D140" s="325" t="str">
        <f t="shared" si="6"/>
        <v>VENMO</v>
      </c>
      <c r="E140" s="325" t="s">
        <v>613</v>
      </c>
      <c r="F140" s="327">
        <v>-32</v>
      </c>
      <c r="G140" s="325" t="s">
        <v>599</v>
      </c>
      <c r="H140" s="18"/>
    </row>
    <row r="141" spans="1:8" x14ac:dyDescent="0.2">
      <c r="A141" s="325">
        <f t="shared" si="4"/>
        <v>7</v>
      </c>
      <c r="B141" s="325">
        <f t="shared" si="5"/>
        <v>6</v>
      </c>
      <c r="C141" s="326">
        <v>44383</v>
      </c>
      <c r="D141" s="325" t="str">
        <f t="shared" si="6"/>
        <v>DISCOVER</v>
      </c>
      <c r="E141" s="325" t="s">
        <v>614</v>
      </c>
      <c r="F141" s="327">
        <v>-1854.26</v>
      </c>
      <c r="G141" s="325" t="s">
        <v>481</v>
      </c>
      <c r="H141" s="18"/>
    </row>
    <row r="142" spans="1:8" x14ac:dyDescent="0.2">
      <c r="A142" s="325">
        <f t="shared" si="4"/>
        <v>7</v>
      </c>
      <c r="B142" s="325">
        <f t="shared" si="5"/>
        <v>6</v>
      </c>
      <c r="C142" s="326">
        <v>44383</v>
      </c>
      <c r="D142" s="325" t="str">
        <f t="shared" si="6"/>
        <v>PURCHASE</v>
      </c>
      <c r="E142" s="325" t="s">
        <v>615</v>
      </c>
      <c r="F142" s="327">
        <v>-35.700000000000003</v>
      </c>
      <c r="G142" s="325" t="s">
        <v>599</v>
      </c>
      <c r="H142" s="18"/>
    </row>
    <row r="143" spans="1:8" x14ac:dyDescent="0.2">
      <c r="A143" s="325">
        <f t="shared" si="4"/>
        <v>7</v>
      </c>
      <c r="B143" s="325">
        <f t="shared" si="5"/>
        <v>6</v>
      </c>
      <c r="C143" s="326">
        <v>44383</v>
      </c>
      <c r="D143" s="325" t="str">
        <f t="shared" si="6"/>
        <v>PURCHASE</v>
      </c>
      <c r="E143" s="325" t="s">
        <v>616</v>
      </c>
      <c r="F143" s="327">
        <v>-26.66</v>
      </c>
      <c r="G143" s="325" t="s">
        <v>599</v>
      </c>
      <c r="H143" s="18"/>
    </row>
    <row r="144" spans="1:8" x14ac:dyDescent="0.2">
      <c r="A144" s="325">
        <f t="shared" si="4"/>
        <v>7</v>
      </c>
      <c r="B144" s="325">
        <f t="shared" si="5"/>
        <v>6</v>
      </c>
      <c r="C144" s="326">
        <v>44383</v>
      </c>
      <c r="D144" s="325" t="str">
        <f t="shared" si="6"/>
        <v>PURCHASE</v>
      </c>
      <c r="E144" s="325" t="s">
        <v>617</v>
      </c>
      <c r="F144" s="327">
        <v>-222.5</v>
      </c>
      <c r="G144" s="325" t="s">
        <v>599</v>
      </c>
      <c r="H144" s="18"/>
    </row>
    <row r="145" spans="1:8" x14ac:dyDescent="0.2">
      <c r="A145" s="325">
        <f t="shared" si="4"/>
        <v>7</v>
      </c>
      <c r="B145" s="325">
        <f t="shared" si="5"/>
        <v>6</v>
      </c>
      <c r="C145" s="326">
        <v>44383</v>
      </c>
      <c r="D145" s="325" t="str">
        <f t="shared" si="6"/>
        <v>VENMO</v>
      </c>
      <c r="E145" s="325" t="s">
        <v>618</v>
      </c>
      <c r="F145" s="327">
        <v>1076.8800000000001</v>
      </c>
      <c r="G145" s="325" t="s">
        <v>70</v>
      </c>
      <c r="H145" s="18"/>
    </row>
    <row r="146" spans="1:8" x14ac:dyDescent="0.2">
      <c r="A146" s="325">
        <f t="shared" si="4"/>
        <v>7</v>
      </c>
      <c r="B146" s="325">
        <f t="shared" si="5"/>
        <v>7</v>
      </c>
      <c r="C146" s="326">
        <v>44384</v>
      </c>
      <c r="D146" s="325" t="str">
        <f t="shared" si="6"/>
        <v>BEST</v>
      </c>
      <c r="E146" s="325" t="s">
        <v>619</v>
      </c>
      <c r="F146" s="327">
        <v>-95.38</v>
      </c>
      <c r="G146" s="325" t="s">
        <v>481</v>
      </c>
      <c r="H146" s="18"/>
    </row>
    <row r="147" spans="1:8" x14ac:dyDescent="0.2">
      <c r="A147" s="325">
        <f t="shared" si="4"/>
        <v>7</v>
      </c>
      <c r="B147" s="325">
        <f t="shared" si="5"/>
        <v>7</v>
      </c>
      <c r="C147" s="326">
        <v>44384</v>
      </c>
      <c r="D147" s="325" t="str">
        <f t="shared" si="6"/>
        <v>PURCHASE</v>
      </c>
      <c r="E147" s="325" t="s">
        <v>620</v>
      </c>
      <c r="F147" s="327">
        <v>-30</v>
      </c>
      <c r="G147" s="325" t="s">
        <v>624</v>
      </c>
      <c r="H147" s="18"/>
    </row>
    <row r="148" spans="1:8" x14ac:dyDescent="0.2">
      <c r="A148" s="325">
        <f t="shared" ref="A148:A163" si="7">MONTH(C148)</f>
        <v>7</v>
      </c>
      <c r="B148" s="325">
        <f t="shared" ref="B148:B163" si="8">DAY(C148)</f>
        <v>12</v>
      </c>
      <c r="C148" s="326">
        <v>44389</v>
      </c>
      <c r="D148" s="325" t="str">
        <f t="shared" si="6"/>
        <v>PURCHASE</v>
      </c>
      <c r="E148" s="325" t="s">
        <v>745</v>
      </c>
      <c r="F148" s="327">
        <v>-143.24</v>
      </c>
      <c r="G148" s="325" t="s">
        <v>597</v>
      </c>
      <c r="H148" s="18"/>
    </row>
    <row r="149" spans="1:8" x14ac:dyDescent="0.2">
      <c r="A149" s="325">
        <f t="shared" si="7"/>
        <v>7</v>
      </c>
      <c r="B149" s="325">
        <f t="shared" si="8"/>
        <v>13</v>
      </c>
      <c r="C149" s="326">
        <v>44390</v>
      </c>
      <c r="D149" s="325" t="str">
        <f t="shared" si="6"/>
        <v>PURCHASE</v>
      </c>
      <c r="E149" s="325" t="s">
        <v>746</v>
      </c>
      <c r="F149" s="327">
        <v>-411.99</v>
      </c>
      <c r="G149" s="325" t="s">
        <v>761</v>
      </c>
      <c r="H149" s="18"/>
    </row>
    <row r="150" spans="1:8" x14ac:dyDescent="0.2">
      <c r="A150" s="325">
        <f t="shared" si="7"/>
        <v>7</v>
      </c>
      <c r="B150" s="325">
        <f t="shared" si="8"/>
        <v>13</v>
      </c>
      <c r="C150" s="326">
        <v>44390</v>
      </c>
      <c r="D150" s="325" t="str">
        <f t="shared" si="6"/>
        <v>VENMO</v>
      </c>
      <c r="E150" s="325" t="s">
        <v>747</v>
      </c>
      <c r="F150" s="327">
        <v>156.77000000000001</v>
      </c>
      <c r="G150" s="325" t="s">
        <v>70</v>
      </c>
      <c r="H150" s="18"/>
    </row>
    <row r="151" spans="1:8" x14ac:dyDescent="0.2">
      <c r="A151" s="325">
        <f t="shared" si="7"/>
        <v>7</v>
      </c>
      <c r="B151" s="325">
        <f t="shared" si="8"/>
        <v>14</v>
      </c>
      <c r="C151" s="326">
        <v>44391</v>
      </c>
      <c r="D151" s="325" t="str">
        <f t="shared" si="6"/>
        <v>VENMO</v>
      </c>
      <c r="E151" s="325" t="s">
        <v>748</v>
      </c>
      <c r="F151" s="327">
        <v>-500</v>
      </c>
      <c r="G151" s="325" t="s">
        <v>762</v>
      </c>
      <c r="H151" s="18"/>
    </row>
    <row r="152" spans="1:8" x14ac:dyDescent="0.2">
      <c r="A152" s="325">
        <f t="shared" si="7"/>
        <v>7</v>
      </c>
      <c r="B152" s="325">
        <f t="shared" si="8"/>
        <v>15</v>
      </c>
      <c r="C152" s="326">
        <v>44392</v>
      </c>
      <c r="D152" s="325" t="str">
        <f t="shared" si="6"/>
        <v>VENMO</v>
      </c>
      <c r="E152" s="325" t="s">
        <v>749</v>
      </c>
      <c r="F152" s="327">
        <v>-400</v>
      </c>
      <c r="G152" s="325" t="s">
        <v>763</v>
      </c>
      <c r="H152" s="18"/>
    </row>
    <row r="153" spans="1:8" x14ac:dyDescent="0.2">
      <c r="A153" s="325">
        <f t="shared" si="7"/>
        <v>7</v>
      </c>
      <c r="B153" s="325">
        <f t="shared" si="8"/>
        <v>15</v>
      </c>
      <c r="C153" s="326">
        <v>44392</v>
      </c>
      <c r="D153" s="325" t="str">
        <f t="shared" si="6"/>
        <v>Nationwide</v>
      </c>
      <c r="E153" s="325" t="s">
        <v>750</v>
      </c>
      <c r="F153" s="327">
        <v>1583.61</v>
      </c>
      <c r="G153" s="325" t="s">
        <v>495</v>
      </c>
      <c r="H153" s="18"/>
    </row>
    <row r="154" spans="1:8" x14ac:dyDescent="0.2">
      <c r="A154" s="325">
        <f t="shared" si="7"/>
        <v>7</v>
      </c>
      <c r="B154" s="325">
        <f t="shared" si="8"/>
        <v>16</v>
      </c>
      <c r="C154" s="326">
        <v>44393</v>
      </c>
      <c r="D154" s="325" t="str">
        <f t="shared" si="6"/>
        <v>DISCOVER</v>
      </c>
      <c r="E154" s="325" t="s">
        <v>751</v>
      </c>
      <c r="F154" s="327">
        <v>-1000</v>
      </c>
      <c r="G154" s="325" t="s">
        <v>481</v>
      </c>
      <c r="H154" s="18"/>
    </row>
    <row r="155" spans="1:8" x14ac:dyDescent="0.2">
      <c r="A155" s="325">
        <f t="shared" si="7"/>
        <v>7</v>
      </c>
      <c r="B155" s="325">
        <f t="shared" si="8"/>
        <v>16</v>
      </c>
      <c r="C155" s="326">
        <v>44393</v>
      </c>
      <c r="D155" s="325" t="str">
        <f t="shared" si="6"/>
        <v>PURCHASE</v>
      </c>
      <c r="E155" s="325" t="s">
        <v>752</v>
      </c>
      <c r="F155" s="327">
        <v>-200</v>
      </c>
      <c r="G155" s="325" t="s">
        <v>37</v>
      </c>
      <c r="H155" s="18"/>
    </row>
    <row r="156" spans="1:8" x14ac:dyDescent="0.2">
      <c r="A156" s="325">
        <f t="shared" si="7"/>
        <v>7</v>
      </c>
      <c r="B156" s="325">
        <f t="shared" si="8"/>
        <v>16</v>
      </c>
      <c r="C156" s="326">
        <v>44393</v>
      </c>
      <c r="D156" s="325" t="str">
        <f t="shared" si="6"/>
        <v>VENMO</v>
      </c>
      <c r="E156" s="325" t="s">
        <v>753</v>
      </c>
      <c r="F156" s="327">
        <v>500</v>
      </c>
      <c r="G156" s="325" t="s">
        <v>764</v>
      </c>
      <c r="H156" s="18"/>
    </row>
    <row r="157" spans="1:8" x14ac:dyDescent="0.2">
      <c r="A157" s="325">
        <f t="shared" si="7"/>
        <v>7</v>
      </c>
      <c r="B157" s="325">
        <f t="shared" si="8"/>
        <v>16</v>
      </c>
      <c r="C157" s="326">
        <v>44393</v>
      </c>
      <c r="D157" s="325" t="str">
        <f t="shared" si="6"/>
        <v>VENMO</v>
      </c>
      <c r="E157" s="325" t="s">
        <v>754</v>
      </c>
      <c r="F157" s="327">
        <v>400</v>
      </c>
      <c r="G157" s="325" t="s">
        <v>763</v>
      </c>
      <c r="H157" s="18"/>
    </row>
    <row r="158" spans="1:8" x14ac:dyDescent="0.2">
      <c r="A158" s="325">
        <f t="shared" si="7"/>
        <v>7</v>
      </c>
      <c r="B158" s="325">
        <f t="shared" si="8"/>
        <v>19</v>
      </c>
      <c r="C158" s="326">
        <v>44396</v>
      </c>
      <c r="D158" s="325" t="str">
        <f t="shared" si="6"/>
        <v>DOMINION</v>
      </c>
      <c r="E158" s="325" t="s">
        <v>755</v>
      </c>
      <c r="F158" s="327">
        <v>-120.94</v>
      </c>
      <c r="G158" s="325" t="s">
        <v>499</v>
      </c>
      <c r="H158" s="18"/>
    </row>
    <row r="159" spans="1:8" x14ac:dyDescent="0.2">
      <c r="A159" s="325">
        <f t="shared" si="7"/>
        <v>7</v>
      </c>
      <c r="B159" s="325">
        <f t="shared" si="8"/>
        <v>21</v>
      </c>
      <c r="C159" s="326">
        <v>44398</v>
      </c>
      <c r="D159" s="325" t="str">
        <f t="shared" si="6"/>
        <v>GasBuddy</v>
      </c>
      <c r="E159" s="325" t="s">
        <v>756</v>
      </c>
      <c r="F159" s="327">
        <v>-29.73</v>
      </c>
      <c r="G159" s="325" t="s">
        <v>498</v>
      </c>
      <c r="H159" s="18"/>
    </row>
    <row r="160" spans="1:8" x14ac:dyDescent="0.2">
      <c r="A160" s="325">
        <f t="shared" si="7"/>
        <v>7</v>
      </c>
      <c r="B160" s="325">
        <f t="shared" si="8"/>
        <v>21</v>
      </c>
      <c r="C160" s="326">
        <v>44398</v>
      </c>
      <c r="D160" s="325" t="str">
        <f t="shared" si="6"/>
        <v>VENMO</v>
      </c>
      <c r="E160" s="325" t="s">
        <v>757</v>
      </c>
      <c r="F160" s="327">
        <v>937.5</v>
      </c>
      <c r="G160" s="325" t="s">
        <v>70</v>
      </c>
      <c r="H160" s="18"/>
    </row>
    <row r="161" spans="1:8" x14ac:dyDescent="0.2">
      <c r="A161" s="325">
        <f t="shared" si="7"/>
        <v>7</v>
      </c>
      <c r="B161" s="325">
        <f t="shared" si="8"/>
        <v>22</v>
      </c>
      <c r="C161" s="326">
        <v>44399</v>
      </c>
      <c r="D161" s="325" t="str">
        <f t="shared" si="6"/>
        <v>DISCOVER</v>
      </c>
      <c r="E161" s="325" t="s">
        <v>758</v>
      </c>
      <c r="F161" s="327">
        <v>-1518.65</v>
      </c>
      <c r="G161" s="325" t="s">
        <v>481</v>
      </c>
      <c r="H161" s="18"/>
    </row>
    <row r="162" spans="1:8" x14ac:dyDescent="0.2">
      <c r="A162" s="325">
        <f t="shared" si="7"/>
        <v>7</v>
      </c>
      <c r="B162" s="325">
        <f t="shared" si="8"/>
        <v>22</v>
      </c>
      <c r="C162" s="326">
        <v>44399</v>
      </c>
      <c r="D162" s="325" t="str">
        <f t="shared" si="6"/>
        <v>New</v>
      </c>
      <c r="E162" s="325" t="s">
        <v>759</v>
      </c>
      <c r="F162" s="327">
        <v>-1825</v>
      </c>
      <c r="G162" s="325" t="s">
        <v>508</v>
      </c>
      <c r="H162" s="18"/>
    </row>
    <row r="163" spans="1:8" x14ac:dyDescent="0.2">
      <c r="A163" s="325">
        <f t="shared" si="7"/>
        <v>7</v>
      </c>
      <c r="B163" s="325">
        <f t="shared" si="8"/>
        <v>22</v>
      </c>
      <c r="C163" s="326">
        <v>44399</v>
      </c>
      <c r="D163" s="325" t="str">
        <f t="shared" si="6"/>
        <v>HEALTHEQUITY</v>
      </c>
      <c r="E163" s="325" t="s">
        <v>760</v>
      </c>
      <c r="F163" s="327">
        <v>200</v>
      </c>
      <c r="G163" s="325" t="s">
        <v>487</v>
      </c>
      <c r="H163" s="18"/>
    </row>
    <row r="164" spans="1:8" x14ac:dyDescent="0.2">
      <c r="A164" s="325">
        <f t="shared" ref="A164:A174" si="9">MONTH(C164)</f>
        <v>7</v>
      </c>
      <c r="B164" s="325">
        <f t="shared" ref="B164:B174" si="10">DAY(C164)</f>
        <v>27</v>
      </c>
      <c r="C164" s="326">
        <v>44404</v>
      </c>
      <c r="D164" s="325" t="str">
        <f t="shared" si="6"/>
        <v>NW</v>
      </c>
      <c r="E164" s="325" t="s">
        <v>844</v>
      </c>
      <c r="F164" s="327">
        <v>30</v>
      </c>
      <c r="G164" s="325" t="s">
        <v>855</v>
      </c>
      <c r="H164" s="18"/>
    </row>
    <row r="165" spans="1:8" x14ac:dyDescent="0.2">
      <c r="A165" s="325">
        <f t="shared" si="9"/>
        <v>7</v>
      </c>
      <c r="B165" s="325">
        <f t="shared" si="10"/>
        <v>28</v>
      </c>
      <c r="C165" s="326">
        <v>44405</v>
      </c>
      <c r="D165" s="325" t="str">
        <f t="shared" si="6"/>
        <v>VENMO</v>
      </c>
      <c r="E165" s="325" t="s">
        <v>845</v>
      </c>
      <c r="F165" s="327">
        <v>162.02000000000001</v>
      </c>
      <c r="G165" s="325" t="s">
        <v>70</v>
      </c>
      <c r="H165" s="18"/>
    </row>
    <row r="166" spans="1:8" x14ac:dyDescent="0.2">
      <c r="A166" s="325">
        <f t="shared" si="9"/>
        <v>7</v>
      </c>
      <c r="B166" s="325">
        <f t="shared" si="10"/>
        <v>29</v>
      </c>
      <c r="C166" s="326">
        <v>44406</v>
      </c>
      <c r="D166" s="325" t="str">
        <f t="shared" si="6"/>
        <v>Nationwide</v>
      </c>
      <c r="E166" s="325" t="s">
        <v>846</v>
      </c>
      <c r="F166" s="327">
        <v>1733.66</v>
      </c>
      <c r="G166" s="325" t="s">
        <v>495</v>
      </c>
      <c r="H166" s="18"/>
    </row>
    <row r="167" spans="1:8" x14ac:dyDescent="0.2">
      <c r="A167" s="325">
        <f t="shared" si="9"/>
        <v>8</v>
      </c>
      <c r="B167" s="325">
        <f t="shared" si="10"/>
        <v>4</v>
      </c>
      <c r="C167" s="326">
        <v>44412</v>
      </c>
      <c r="D167" s="325" t="str">
        <f t="shared" si="6"/>
        <v>DISCOVER</v>
      </c>
      <c r="E167" s="325" t="s">
        <v>847</v>
      </c>
      <c r="F167" s="327">
        <v>-1173.17</v>
      </c>
      <c r="G167" s="325" t="s">
        <v>481</v>
      </c>
      <c r="H167" s="18"/>
    </row>
    <row r="168" spans="1:8" x14ac:dyDescent="0.2">
      <c r="A168" s="325">
        <f t="shared" si="9"/>
        <v>8</v>
      </c>
      <c r="B168" s="325">
        <f t="shared" si="10"/>
        <v>5</v>
      </c>
      <c r="C168" s="326">
        <v>44413</v>
      </c>
      <c r="D168" s="325" t="str">
        <f t="shared" si="6"/>
        <v>PURCHASE</v>
      </c>
      <c r="E168" s="325" t="s">
        <v>848</v>
      </c>
      <c r="F168" s="327">
        <v>-230</v>
      </c>
      <c r="G168" s="325" t="s">
        <v>37</v>
      </c>
      <c r="H168" s="18"/>
    </row>
    <row r="169" spans="1:8" x14ac:dyDescent="0.2">
      <c r="A169" s="325">
        <f t="shared" si="9"/>
        <v>8</v>
      </c>
      <c r="B169" s="325">
        <f t="shared" si="10"/>
        <v>9</v>
      </c>
      <c r="C169" s="326">
        <v>44417</v>
      </c>
      <c r="D169" s="325" t="str">
        <f t="shared" si="6"/>
        <v>PURCHASE</v>
      </c>
      <c r="E169" s="325" t="s">
        <v>849</v>
      </c>
      <c r="F169" s="327">
        <v>-40</v>
      </c>
      <c r="G169" s="325" t="s">
        <v>504</v>
      </c>
      <c r="H169" s="18"/>
    </row>
    <row r="170" spans="1:8" x14ac:dyDescent="0.2">
      <c r="A170" s="325">
        <f t="shared" si="9"/>
        <v>8</v>
      </c>
      <c r="B170" s="325">
        <f t="shared" si="10"/>
        <v>11</v>
      </c>
      <c r="C170" s="326">
        <v>44419</v>
      </c>
      <c r="D170" s="325" t="str">
        <f t="shared" si="6"/>
        <v>PURCHASE</v>
      </c>
      <c r="E170" s="325" t="s">
        <v>850</v>
      </c>
      <c r="F170" s="327">
        <v>-20</v>
      </c>
      <c r="G170" s="325" t="s">
        <v>71</v>
      </c>
      <c r="H170" s="18"/>
    </row>
    <row r="171" spans="1:8" x14ac:dyDescent="0.2">
      <c r="A171" s="325">
        <f t="shared" si="9"/>
        <v>8</v>
      </c>
      <c r="B171" s="325">
        <f t="shared" si="10"/>
        <v>11</v>
      </c>
      <c r="C171" s="326">
        <v>44419</v>
      </c>
      <c r="D171" s="325" t="str">
        <f t="shared" si="6"/>
        <v>PURCHASE</v>
      </c>
      <c r="E171" s="325" t="s">
        <v>851</v>
      </c>
      <c r="F171" s="327">
        <v>-15</v>
      </c>
      <c r="G171" s="325" t="s">
        <v>856</v>
      </c>
      <c r="H171" s="18"/>
    </row>
    <row r="172" spans="1:8" x14ac:dyDescent="0.2">
      <c r="A172" s="325">
        <f t="shared" si="9"/>
        <v>8</v>
      </c>
      <c r="B172" s="325">
        <f t="shared" si="10"/>
        <v>12</v>
      </c>
      <c r="C172" s="326">
        <v>44420</v>
      </c>
      <c r="D172" s="325" t="str">
        <f t="shared" si="6"/>
        <v>Nationwide</v>
      </c>
      <c r="E172" s="325" t="s">
        <v>852</v>
      </c>
      <c r="F172" s="327">
        <v>2033.65</v>
      </c>
      <c r="G172" s="325" t="s">
        <v>495</v>
      </c>
      <c r="H172" s="18"/>
    </row>
    <row r="173" spans="1:8" x14ac:dyDescent="0.2">
      <c r="A173" s="325">
        <f t="shared" si="9"/>
        <v>8</v>
      </c>
      <c r="B173" s="325">
        <f t="shared" si="10"/>
        <v>16</v>
      </c>
      <c r="C173" s="326">
        <v>44424</v>
      </c>
      <c r="D173" s="325" t="str">
        <f t="shared" si="6"/>
        <v>PURCHASE</v>
      </c>
      <c r="E173" s="325" t="s">
        <v>853</v>
      </c>
      <c r="F173" s="327">
        <v>-200</v>
      </c>
      <c r="G173" s="325" t="s">
        <v>35</v>
      </c>
      <c r="H173" s="18"/>
    </row>
    <row r="174" spans="1:8" x14ac:dyDescent="0.2">
      <c r="A174" s="325">
        <f t="shared" si="9"/>
        <v>8</v>
      </c>
      <c r="B174" s="325">
        <f t="shared" si="10"/>
        <v>16</v>
      </c>
      <c r="C174" s="326">
        <v>44424</v>
      </c>
      <c r="D174" s="325" t="str">
        <f t="shared" si="6"/>
        <v>PURCHASE</v>
      </c>
      <c r="E174" s="325" t="s">
        <v>854</v>
      </c>
      <c r="F174" s="327">
        <v>-70</v>
      </c>
      <c r="G174" s="325" t="s">
        <v>91</v>
      </c>
      <c r="H174" s="18"/>
    </row>
    <row r="175" spans="1:8" x14ac:dyDescent="0.2">
      <c r="A175" s="325">
        <f t="shared" ref="A175:A182" si="11">MONTH(C175)</f>
        <v>8</v>
      </c>
      <c r="B175" s="325">
        <f t="shared" ref="B175:B182" si="12">DAY(C175)</f>
        <v>20</v>
      </c>
      <c r="C175" s="326">
        <v>44428</v>
      </c>
      <c r="D175" s="325" t="str">
        <f t="shared" si="6"/>
        <v>DOMINION</v>
      </c>
      <c r="E175" s="325" t="s">
        <v>920</v>
      </c>
      <c r="F175" s="327">
        <v>-86.17</v>
      </c>
      <c r="G175" s="325" t="s">
        <v>499</v>
      </c>
    </row>
    <row r="176" spans="1:8" x14ac:dyDescent="0.2">
      <c r="A176" s="325">
        <f t="shared" si="11"/>
        <v>8</v>
      </c>
      <c r="B176" s="325">
        <f t="shared" si="12"/>
        <v>23</v>
      </c>
      <c r="C176" s="326">
        <v>44431</v>
      </c>
      <c r="D176" s="325" t="str">
        <f t="shared" si="6"/>
        <v>DISCOVER</v>
      </c>
      <c r="E176" s="325" t="s">
        <v>921</v>
      </c>
      <c r="F176" s="327">
        <v>-961.14</v>
      </c>
      <c r="G176" s="325" t="s">
        <v>481</v>
      </c>
    </row>
    <row r="177" spans="1:7" x14ac:dyDescent="0.2">
      <c r="A177" s="325">
        <f t="shared" si="11"/>
        <v>8</v>
      </c>
      <c r="B177" s="325">
        <f t="shared" si="12"/>
        <v>23</v>
      </c>
      <c r="C177" s="326">
        <v>44431</v>
      </c>
      <c r="D177" s="325" t="str">
        <f t="shared" si="6"/>
        <v>PURCHASE</v>
      </c>
      <c r="E177" s="325" t="s">
        <v>922</v>
      </c>
      <c r="F177" s="327">
        <v>-230</v>
      </c>
      <c r="G177" s="325" t="s">
        <v>37</v>
      </c>
    </row>
    <row r="178" spans="1:7" x14ac:dyDescent="0.2">
      <c r="A178" s="325">
        <f t="shared" si="11"/>
        <v>8</v>
      </c>
      <c r="B178" s="325">
        <f t="shared" si="12"/>
        <v>23</v>
      </c>
      <c r="C178" s="326">
        <v>44431</v>
      </c>
      <c r="D178" s="325" t="str">
        <f t="shared" si="6"/>
        <v>PURCHASE</v>
      </c>
      <c r="E178" s="325" t="s">
        <v>923</v>
      </c>
      <c r="F178" s="327">
        <v>-30</v>
      </c>
      <c r="G178" s="325" t="s">
        <v>928</v>
      </c>
    </row>
    <row r="179" spans="1:7" x14ac:dyDescent="0.2">
      <c r="A179" s="325">
        <f t="shared" si="11"/>
        <v>8</v>
      </c>
      <c r="B179" s="325">
        <f t="shared" si="12"/>
        <v>26</v>
      </c>
      <c r="C179" s="326">
        <v>44434</v>
      </c>
      <c r="D179" s="325" t="str">
        <f t="shared" si="6"/>
        <v>DISCOVER</v>
      </c>
      <c r="E179" s="325" t="s">
        <v>924</v>
      </c>
      <c r="F179" s="327">
        <v>-1040.93</v>
      </c>
      <c r="G179" s="325" t="s">
        <v>481</v>
      </c>
    </row>
    <row r="180" spans="1:7" x14ac:dyDescent="0.2">
      <c r="A180" s="325">
        <f t="shared" si="11"/>
        <v>8</v>
      </c>
      <c r="B180" s="325">
        <f t="shared" si="12"/>
        <v>26</v>
      </c>
      <c r="C180" s="326">
        <v>44434</v>
      </c>
      <c r="D180" s="325" t="str">
        <f t="shared" si="6"/>
        <v>Nationwide</v>
      </c>
      <c r="E180" s="325" t="s">
        <v>925</v>
      </c>
      <c r="F180" s="327">
        <v>2033.65</v>
      </c>
      <c r="G180" s="325" t="s">
        <v>495</v>
      </c>
    </row>
    <row r="181" spans="1:7" x14ac:dyDescent="0.2">
      <c r="A181" s="325">
        <f t="shared" si="11"/>
        <v>8</v>
      </c>
      <c r="B181" s="325">
        <f t="shared" si="12"/>
        <v>27</v>
      </c>
      <c r="C181" s="326">
        <v>44435</v>
      </c>
      <c r="D181" s="325" t="str">
        <f t="shared" si="6"/>
        <v>New</v>
      </c>
      <c r="E181" s="325" t="s">
        <v>926</v>
      </c>
      <c r="F181" s="327">
        <v>-348.05</v>
      </c>
      <c r="G181" s="325" t="s">
        <v>508</v>
      </c>
    </row>
    <row r="182" spans="1:7" x14ac:dyDescent="0.2">
      <c r="A182" s="325">
        <f t="shared" si="11"/>
        <v>9</v>
      </c>
      <c r="B182" s="325">
        <f t="shared" si="12"/>
        <v>1</v>
      </c>
      <c r="C182" s="326">
        <v>44440</v>
      </c>
      <c r="D182" s="325" t="str">
        <f t="shared" si="6"/>
        <v>PURCHASE</v>
      </c>
      <c r="E182" s="325" t="s">
        <v>927</v>
      </c>
      <c r="F182" s="327">
        <v>-200</v>
      </c>
      <c r="G182" s="325" t="s">
        <v>504</v>
      </c>
    </row>
    <row r="183" spans="1:7" x14ac:dyDescent="0.2">
      <c r="A183" s="325">
        <f t="shared" ref="A183:A215" si="13">MONTH(C183)</f>
        <v>9</v>
      </c>
      <c r="B183" s="325">
        <f t="shared" ref="B183:B215" si="14">DAY(C183)</f>
        <v>7</v>
      </c>
      <c r="C183" s="326">
        <v>44446</v>
      </c>
      <c r="D183" s="325" t="str">
        <f t="shared" si="6"/>
        <v>VENMO</v>
      </c>
      <c r="E183" s="325" t="s">
        <v>1012</v>
      </c>
      <c r="F183" s="327">
        <v>-92.68</v>
      </c>
      <c r="G183" s="325" t="s">
        <v>70</v>
      </c>
    </row>
    <row r="184" spans="1:7" x14ac:dyDescent="0.2">
      <c r="A184" s="325">
        <f t="shared" si="13"/>
        <v>9</v>
      </c>
      <c r="B184" s="325">
        <f t="shared" si="14"/>
        <v>7</v>
      </c>
      <c r="C184" s="326">
        <v>44446</v>
      </c>
      <c r="D184" s="325" t="str">
        <f t="shared" si="6"/>
        <v>VENMO</v>
      </c>
      <c r="E184" s="325" t="s">
        <v>1013</v>
      </c>
      <c r="F184" s="327">
        <v>-32.28</v>
      </c>
      <c r="G184" s="325" t="s">
        <v>70</v>
      </c>
    </row>
    <row r="185" spans="1:7" x14ac:dyDescent="0.2">
      <c r="A185" s="325">
        <f t="shared" si="13"/>
        <v>9</v>
      </c>
      <c r="B185" s="325">
        <f t="shared" si="14"/>
        <v>7</v>
      </c>
      <c r="C185" s="326">
        <v>44446</v>
      </c>
      <c r="D185" s="325" t="str">
        <f t="shared" si="6"/>
        <v>DISCOVER</v>
      </c>
      <c r="E185" s="325" t="s">
        <v>1014</v>
      </c>
      <c r="F185" s="327">
        <v>-1253.96</v>
      </c>
      <c r="G185" s="325" t="s">
        <v>481</v>
      </c>
    </row>
    <row r="186" spans="1:7" x14ac:dyDescent="0.2">
      <c r="A186" s="325">
        <f t="shared" si="13"/>
        <v>9</v>
      </c>
      <c r="B186" s="325">
        <f t="shared" si="14"/>
        <v>7</v>
      </c>
      <c r="C186" s="326">
        <v>44446</v>
      </c>
      <c r="D186" s="325" t="str">
        <f t="shared" si="6"/>
        <v>BEST</v>
      </c>
      <c r="E186" s="325" t="s">
        <v>1015</v>
      </c>
      <c r="F186" s="327">
        <v>-190.78</v>
      </c>
      <c r="G186" s="325" t="s">
        <v>1047</v>
      </c>
    </row>
    <row r="187" spans="1:7" x14ac:dyDescent="0.2">
      <c r="A187" s="325">
        <f t="shared" si="13"/>
        <v>9</v>
      </c>
      <c r="B187" s="325">
        <f t="shared" si="14"/>
        <v>7</v>
      </c>
      <c r="C187" s="326">
        <v>44446</v>
      </c>
      <c r="D187" s="325" t="str">
        <f t="shared" si="6"/>
        <v>VENMO</v>
      </c>
      <c r="E187" s="325" t="s">
        <v>1016</v>
      </c>
      <c r="F187" s="327">
        <v>-97.02</v>
      </c>
      <c r="G187" s="325" t="s">
        <v>70</v>
      </c>
    </row>
    <row r="188" spans="1:7" x14ac:dyDescent="0.2">
      <c r="A188" s="325">
        <f t="shared" si="13"/>
        <v>9</v>
      </c>
      <c r="B188" s="325">
        <f t="shared" si="14"/>
        <v>7</v>
      </c>
      <c r="C188" s="326">
        <v>44446</v>
      </c>
      <c r="D188" s="325" t="str">
        <f t="shared" si="6"/>
        <v>VENMO</v>
      </c>
      <c r="E188" s="325" t="s">
        <v>1017</v>
      </c>
      <c r="F188" s="327">
        <v>911.7</v>
      </c>
      <c r="G188" s="325" t="s">
        <v>70</v>
      </c>
    </row>
    <row r="189" spans="1:7" x14ac:dyDescent="0.2">
      <c r="A189" s="325">
        <f t="shared" si="13"/>
        <v>9</v>
      </c>
      <c r="B189" s="325">
        <f t="shared" si="14"/>
        <v>7</v>
      </c>
      <c r="C189" s="326">
        <v>44446</v>
      </c>
      <c r="D189" s="325" t="str">
        <f t="shared" si="6"/>
        <v>MONEY</v>
      </c>
      <c r="E189" s="325" t="s">
        <v>1018</v>
      </c>
      <c r="F189" s="327">
        <v>103.42</v>
      </c>
      <c r="G189" s="325" t="s">
        <v>504</v>
      </c>
    </row>
    <row r="190" spans="1:7" x14ac:dyDescent="0.2">
      <c r="A190" s="325">
        <f t="shared" si="13"/>
        <v>9</v>
      </c>
      <c r="B190" s="325">
        <f t="shared" si="14"/>
        <v>8</v>
      </c>
      <c r="C190" s="326">
        <v>44447</v>
      </c>
      <c r="D190" s="325" t="str">
        <f t="shared" si="6"/>
        <v>Patientco</v>
      </c>
      <c r="E190" s="325" t="s">
        <v>1019</v>
      </c>
      <c r="F190" s="327">
        <v>-419.93</v>
      </c>
      <c r="G190" s="325" t="s">
        <v>1049</v>
      </c>
    </row>
    <row r="191" spans="1:7" x14ac:dyDescent="0.2">
      <c r="A191" s="325">
        <f t="shared" si="13"/>
        <v>9</v>
      </c>
      <c r="B191" s="325">
        <f t="shared" si="14"/>
        <v>9</v>
      </c>
      <c r="C191" s="326">
        <v>44448</v>
      </c>
      <c r="D191" s="325" t="str">
        <f t="shared" si="6"/>
        <v>PURCHASE</v>
      </c>
      <c r="E191" s="325" t="s">
        <v>1020</v>
      </c>
      <c r="F191" s="327">
        <v>-8</v>
      </c>
      <c r="G191" s="325" t="s">
        <v>1050</v>
      </c>
    </row>
    <row r="192" spans="1:7" x14ac:dyDescent="0.2">
      <c r="A192" s="325">
        <f t="shared" si="13"/>
        <v>9</v>
      </c>
      <c r="B192" s="325">
        <f t="shared" si="14"/>
        <v>9</v>
      </c>
      <c r="C192" s="326">
        <v>44448</v>
      </c>
      <c r="D192" s="325" t="str">
        <f t="shared" si="6"/>
        <v>Nationwide</v>
      </c>
      <c r="E192" s="325" t="s">
        <v>1021</v>
      </c>
      <c r="F192" s="327">
        <v>2033.66</v>
      </c>
      <c r="G192" s="325" t="s">
        <v>495</v>
      </c>
    </row>
    <row r="193" spans="1:7" x14ac:dyDescent="0.2">
      <c r="A193" s="325">
        <f t="shared" si="13"/>
        <v>9</v>
      </c>
      <c r="B193" s="325">
        <f t="shared" si="14"/>
        <v>10</v>
      </c>
      <c r="C193" s="326">
        <v>44449</v>
      </c>
      <c r="D193" s="325" t="str">
        <f t="shared" ref="D193:D215" si="15">LEFT(E193, FIND(" ",E193)-1)</f>
        <v>DISCOVER</v>
      </c>
      <c r="E193" s="325" t="s">
        <v>1022</v>
      </c>
      <c r="F193" s="327">
        <v>-925.18</v>
      </c>
      <c r="G193" s="325" t="s">
        <v>481</v>
      </c>
    </row>
    <row r="194" spans="1:7" x14ac:dyDescent="0.2">
      <c r="A194" s="325">
        <f t="shared" si="13"/>
        <v>9</v>
      </c>
      <c r="B194" s="325">
        <f t="shared" si="14"/>
        <v>10</v>
      </c>
      <c r="C194" s="326">
        <v>44449</v>
      </c>
      <c r="D194" s="325" t="str">
        <f t="shared" si="15"/>
        <v>VENMO</v>
      </c>
      <c r="E194" s="325" t="s">
        <v>1023</v>
      </c>
      <c r="F194" s="327">
        <v>282.35000000000002</v>
      </c>
      <c r="G194" s="325" t="s">
        <v>70</v>
      </c>
    </row>
    <row r="195" spans="1:7" x14ac:dyDescent="0.2">
      <c r="A195" s="325">
        <f t="shared" si="13"/>
        <v>9</v>
      </c>
      <c r="B195" s="325">
        <f t="shared" si="14"/>
        <v>13</v>
      </c>
      <c r="C195" s="326">
        <v>44452</v>
      </c>
      <c r="D195" s="325" t="str">
        <f t="shared" si="15"/>
        <v>BEST</v>
      </c>
      <c r="E195" s="325" t="s">
        <v>1024</v>
      </c>
      <c r="F195" s="327">
        <v>-608.14</v>
      </c>
      <c r="G195" s="325" t="s">
        <v>1047</v>
      </c>
    </row>
    <row r="196" spans="1:7" x14ac:dyDescent="0.2">
      <c r="A196" s="325">
        <f t="shared" si="13"/>
        <v>9</v>
      </c>
      <c r="B196" s="325">
        <f t="shared" si="14"/>
        <v>13</v>
      </c>
      <c r="C196" s="326">
        <v>44452</v>
      </c>
      <c r="D196" s="325" t="str">
        <f t="shared" si="15"/>
        <v>HEALTHEQUITY</v>
      </c>
      <c r="E196" s="325" t="s">
        <v>1025</v>
      </c>
      <c r="F196" s="327">
        <v>419.93</v>
      </c>
      <c r="G196" s="325" t="s">
        <v>487</v>
      </c>
    </row>
    <row r="197" spans="1:7" x14ac:dyDescent="0.2">
      <c r="A197" s="325">
        <f t="shared" si="13"/>
        <v>9</v>
      </c>
      <c r="B197" s="325">
        <f t="shared" si="14"/>
        <v>14</v>
      </c>
      <c r="C197" s="326">
        <v>44453</v>
      </c>
      <c r="D197" s="325" t="str">
        <f t="shared" si="15"/>
        <v>VENMO</v>
      </c>
      <c r="E197" s="325" t="s">
        <v>1026</v>
      </c>
      <c r="F197" s="327">
        <v>-100</v>
      </c>
      <c r="G197" s="325" t="s">
        <v>1048</v>
      </c>
    </row>
    <row r="198" spans="1:7" x14ac:dyDescent="0.2">
      <c r="A198" s="325">
        <f t="shared" si="13"/>
        <v>9</v>
      </c>
      <c r="B198" s="325">
        <f t="shared" si="14"/>
        <v>16</v>
      </c>
      <c r="C198" s="326">
        <v>44455</v>
      </c>
      <c r="D198" s="325" t="str">
        <f t="shared" si="15"/>
        <v>PURCHASE</v>
      </c>
      <c r="E198" s="325" t="s">
        <v>1027</v>
      </c>
      <c r="F198" s="327">
        <v>-48.02</v>
      </c>
      <c r="G198" s="325" t="s">
        <v>498</v>
      </c>
    </row>
    <row r="199" spans="1:7" x14ac:dyDescent="0.2">
      <c r="A199" s="325">
        <f t="shared" si="13"/>
        <v>9</v>
      </c>
      <c r="B199" s="325">
        <f t="shared" si="14"/>
        <v>20</v>
      </c>
      <c r="C199" s="326">
        <v>44459</v>
      </c>
      <c r="D199" s="325" t="str">
        <f t="shared" si="15"/>
        <v>DOMINION</v>
      </c>
      <c r="E199" s="325" t="s">
        <v>1028</v>
      </c>
      <c r="F199" s="327">
        <v>-120.69</v>
      </c>
      <c r="G199" s="325" t="s">
        <v>499</v>
      </c>
    </row>
    <row r="200" spans="1:7" x14ac:dyDescent="0.2">
      <c r="A200" s="325">
        <f t="shared" si="13"/>
        <v>9</v>
      </c>
      <c r="B200" s="325">
        <f t="shared" si="14"/>
        <v>20</v>
      </c>
      <c r="C200" s="326">
        <v>44459</v>
      </c>
      <c r="D200" s="325" t="str">
        <f t="shared" si="15"/>
        <v>DISCOVER</v>
      </c>
      <c r="E200" s="325" t="s">
        <v>1029</v>
      </c>
      <c r="F200" s="327">
        <v>-925.99</v>
      </c>
      <c r="G200" s="325" t="s">
        <v>481</v>
      </c>
    </row>
    <row r="201" spans="1:7" x14ac:dyDescent="0.2">
      <c r="A201" s="325">
        <f t="shared" si="13"/>
        <v>9</v>
      </c>
      <c r="B201" s="325">
        <f t="shared" si="14"/>
        <v>20</v>
      </c>
      <c r="C201" s="326">
        <v>44459</v>
      </c>
      <c r="D201" s="325" t="str">
        <f t="shared" si="15"/>
        <v>PURCHASE</v>
      </c>
      <c r="E201" s="325" t="s">
        <v>1030</v>
      </c>
      <c r="F201" s="327">
        <v>-60</v>
      </c>
      <c r="G201" s="325" t="s">
        <v>37</v>
      </c>
    </row>
    <row r="202" spans="1:7" x14ac:dyDescent="0.2">
      <c r="A202" s="325">
        <f t="shared" si="13"/>
        <v>9</v>
      </c>
      <c r="B202" s="325">
        <f t="shared" si="14"/>
        <v>23</v>
      </c>
      <c r="C202" s="326">
        <v>44462</v>
      </c>
      <c r="D202" s="325" t="str">
        <f t="shared" si="15"/>
        <v>TRANSFER</v>
      </c>
      <c r="E202" s="325" t="s">
        <v>1031</v>
      </c>
      <c r="F202" s="327">
        <v>-500</v>
      </c>
      <c r="G202" s="325" t="s">
        <v>503</v>
      </c>
    </row>
    <row r="203" spans="1:7" x14ac:dyDescent="0.2">
      <c r="A203" s="325">
        <f t="shared" si="13"/>
        <v>9</v>
      </c>
      <c r="B203" s="325">
        <f t="shared" si="14"/>
        <v>23</v>
      </c>
      <c r="C203" s="326">
        <v>44462</v>
      </c>
      <c r="D203" s="325" t="str">
        <f t="shared" si="15"/>
        <v>Nationwide</v>
      </c>
      <c r="E203" s="325" t="s">
        <v>1032</v>
      </c>
      <c r="F203" s="327">
        <v>2179.34</v>
      </c>
      <c r="G203" s="325" t="s">
        <v>495</v>
      </c>
    </row>
    <row r="204" spans="1:7" x14ac:dyDescent="0.2">
      <c r="A204" s="325">
        <f t="shared" si="13"/>
        <v>9</v>
      </c>
      <c r="B204" s="325">
        <f t="shared" si="14"/>
        <v>24</v>
      </c>
      <c r="C204" s="326">
        <v>44463</v>
      </c>
      <c r="D204" s="325" t="str">
        <f t="shared" si="15"/>
        <v>VENMO</v>
      </c>
      <c r="E204" s="325" t="s">
        <v>1033</v>
      </c>
      <c r="F204" s="327">
        <v>-250</v>
      </c>
      <c r="G204" s="325" t="s">
        <v>1045</v>
      </c>
    </row>
    <row r="205" spans="1:7" x14ac:dyDescent="0.2">
      <c r="A205" s="325">
        <f t="shared" si="13"/>
        <v>9</v>
      </c>
      <c r="B205" s="325">
        <f t="shared" si="14"/>
        <v>24</v>
      </c>
      <c r="C205" s="326">
        <v>44463</v>
      </c>
      <c r="D205" s="325" t="str">
        <f t="shared" si="15"/>
        <v>PURCHASE</v>
      </c>
      <c r="E205" s="325" t="s">
        <v>1034</v>
      </c>
      <c r="F205" s="327">
        <v>-10</v>
      </c>
      <c r="G205" s="325" t="s">
        <v>35</v>
      </c>
    </row>
    <row r="206" spans="1:7" x14ac:dyDescent="0.2">
      <c r="A206" s="325">
        <f t="shared" si="13"/>
        <v>9</v>
      </c>
      <c r="B206" s="325">
        <f t="shared" si="14"/>
        <v>24</v>
      </c>
      <c r="C206" s="326">
        <v>44463</v>
      </c>
      <c r="D206" s="325" t="str">
        <f t="shared" si="15"/>
        <v>DEPOSIT</v>
      </c>
      <c r="E206" s="325" t="s">
        <v>1035</v>
      </c>
      <c r="F206" s="327">
        <v>436.2</v>
      </c>
      <c r="G206" s="325" t="s">
        <v>508</v>
      </c>
    </row>
    <row r="207" spans="1:7" x14ac:dyDescent="0.2">
      <c r="A207" s="325">
        <f t="shared" si="13"/>
        <v>9</v>
      </c>
      <c r="B207" s="325">
        <f t="shared" si="14"/>
        <v>27</v>
      </c>
      <c r="C207" s="326">
        <v>44466</v>
      </c>
      <c r="D207" s="325" t="str">
        <f t="shared" si="15"/>
        <v>VENMO</v>
      </c>
      <c r="E207" s="325" t="s">
        <v>1036</v>
      </c>
      <c r="F207" s="327">
        <v>-1551.11</v>
      </c>
      <c r="G207" s="325" t="s">
        <v>1045</v>
      </c>
    </row>
    <row r="208" spans="1:7" x14ac:dyDescent="0.2">
      <c r="A208" s="325">
        <f t="shared" si="13"/>
        <v>9</v>
      </c>
      <c r="B208" s="325">
        <f t="shared" si="14"/>
        <v>27</v>
      </c>
      <c r="C208" s="326">
        <v>44466</v>
      </c>
      <c r="D208" s="325" t="str">
        <f t="shared" si="15"/>
        <v>DISCOVER</v>
      </c>
      <c r="E208" s="325" t="s">
        <v>1037</v>
      </c>
      <c r="F208" s="327">
        <v>-1500</v>
      </c>
      <c r="G208" s="325" t="s">
        <v>481</v>
      </c>
    </row>
    <row r="209" spans="1:7" x14ac:dyDescent="0.2">
      <c r="A209" s="325">
        <f t="shared" si="13"/>
        <v>9</v>
      </c>
      <c r="B209" s="325">
        <f t="shared" si="14"/>
        <v>27</v>
      </c>
      <c r="C209" s="326">
        <v>44466</v>
      </c>
      <c r="D209" s="325" t="str">
        <f t="shared" si="15"/>
        <v>VENMO</v>
      </c>
      <c r="E209" s="325" t="s">
        <v>1038</v>
      </c>
      <c r="F209" s="327">
        <v>-101.11</v>
      </c>
      <c r="G209" s="325" t="s">
        <v>1045</v>
      </c>
    </row>
    <row r="210" spans="1:7" x14ac:dyDescent="0.2">
      <c r="A210" s="325">
        <f t="shared" si="13"/>
        <v>9</v>
      </c>
      <c r="B210" s="325">
        <f t="shared" si="14"/>
        <v>27</v>
      </c>
      <c r="C210" s="326">
        <v>44466</v>
      </c>
      <c r="D210" s="325" t="str">
        <f t="shared" si="15"/>
        <v>PURCHASE</v>
      </c>
      <c r="E210" s="325" t="s">
        <v>1039</v>
      </c>
      <c r="F210" s="327">
        <v>-95</v>
      </c>
      <c r="G210" s="325" t="s">
        <v>1046</v>
      </c>
    </row>
    <row r="211" spans="1:7" x14ac:dyDescent="0.2">
      <c r="A211" s="325">
        <f t="shared" si="13"/>
        <v>9</v>
      </c>
      <c r="B211" s="325">
        <f t="shared" si="14"/>
        <v>27</v>
      </c>
      <c r="C211" s="326">
        <v>44466</v>
      </c>
      <c r="D211" s="325" t="str">
        <f t="shared" si="15"/>
        <v>VENMO</v>
      </c>
      <c r="E211" s="325" t="s">
        <v>1040</v>
      </c>
      <c r="F211" s="327">
        <v>188.34</v>
      </c>
      <c r="G211" s="325" t="s">
        <v>499</v>
      </c>
    </row>
    <row r="212" spans="1:7" x14ac:dyDescent="0.2">
      <c r="A212" s="325">
        <f t="shared" si="13"/>
        <v>9</v>
      </c>
      <c r="B212" s="325">
        <f t="shared" si="14"/>
        <v>27</v>
      </c>
      <c r="C212" s="326">
        <v>44466</v>
      </c>
      <c r="D212" s="325" t="str">
        <f t="shared" si="15"/>
        <v>NW</v>
      </c>
      <c r="E212" s="325" t="s">
        <v>1041</v>
      </c>
      <c r="F212" s="327">
        <v>30</v>
      </c>
      <c r="G212" s="325" t="s">
        <v>855</v>
      </c>
    </row>
    <row r="213" spans="1:7" x14ac:dyDescent="0.2">
      <c r="A213" s="325">
        <f t="shared" si="13"/>
        <v>9</v>
      </c>
      <c r="B213" s="325">
        <f t="shared" si="14"/>
        <v>28</v>
      </c>
      <c r="C213" s="326">
        <v>44467</v>
      </c>
      <c r="D213" s="325" t="str">
        <f t="shared" si="15"/>
        <v>TRANSFER</v>
      </c>
      <c r="E213" s="325" t="s">
        <v>1042</v>
      </c>
      <c r="F213" s="327">
        <v>500</v>
      </c>
      <c r="G213" s="325" t="s">
        <v>503</v>
      </c>
    </row>
    <row r="214" spans="1:7" x14ac:dyDescent="0.2">
      <c r="A214" s="325">
        <f t="shared" si="13"/>
        <v>9</v>
      </c>
      <c r="B214" s="325">
        <f t="shared" si="14"/>
        <v>28</v>
      </c>
      <c r="C214" s="326">
        <v>44467</v>
      </c>
      <c r="D214" s="325" t="str">
        <f t="shared" si="15"/>
        <v>VENMO</v>
      </c>
      <c r="E214" s="325" t="s">
        <v>1043</v>
      </c>
      <c r="F214" s="327">
        <v>1866.67</v>
      </c>
      <c r="G214" s="325" t="s">
        <v>70</v>
      </c>
    </row>
    <row r="215" spans="1:7" x14ac:dyDescent="0.2">
      <c r="A215" s="325">
        <f t="shared" si="13"/>
        <v>10</v>
      </c>
      <c r="B215" s="325">
        <f t="shared" si="14"/>
        <v>1</v>
      </c>
      <c r="C215" s="326">
        <v>44470</v>
      </c>
      <c r="D215" s="325" t="str">
        <f t="shared" si="15"/>
        <v>VENMO</v>
      </c>
      <c r="E215" s="325" t="s">
        <v>1044</v>
      </c>
      <c r="F215" s="327">
        <v>-1866.67</v>
      </c>
      <c r="G215" s="325" t="s">
        <v>1045</v>
      </c>
    </row>
  </sheetData>
  <autoFilter ref="A1:G215" xr:uid="{960FEAD7-88F2-46FC-803D-C310896A28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96C8-7254-425B-861C-3AE606D68153}">
  <sheetPr>
    <tabColor rgb="FFFFC000"/>
  </sheetPr>
  <dimension ref="A1:AD779"/>
  <sheetViews>
    <sheetView tabSelected="1" zoomScale="70" zoomScaleNormal="70" workbookViewId="0">
      <selection activeCell="E11" sqref="E11"/>
    </sheetView>
  </sheetViews>
  <sheetFormatPr defaultColWidth="9.33203125" defaultRowHeight="15" x14ac:dyDescent="0.2"/>
  <cols>
    <col min="1" max="2" width="15.83203125" style="274" customWidth="1"/>
    <col min="3" max="4" width="15.83203125" style="320" customWidth="1"/>
    <col min="5" max="5" width="103.6640625" style="323" customWidth="1"/>
    <col min="6" max="6" width="15.33203125" style="324" bestFit="1" customWidth="1"/>
    <col min="7" max="7" width="41.1640625" style="320" customWidth="1"/>
    <col min="8" max="8" width="15.83203125" style="320" customWidth="1"/>
    <col min="9" max="9" width="15.83203125" style="324" customWidth="1"/>
    <col min="10" max="10" width="33.6640625" style="320" customWidth="1"/>
    <col min="11" max="11" width="32.5" style="320" customWidth="1"/>
    <col min="12" max="12" width="32.5" customWidth="1"/>
    <col min="13" max="13" width="9.33203125" style="3"/>
    <col min="14" max="14" width="11.5" style="3" bestFit="1" customWidth="1"/>
    <col min="15" max="15" width="14.6640625" style="3" bestFit="1" customWidth="1"/>
    <col min="16" max="16" width="9.33203125" style="3"/>
    <col min="17" max="17" width="29.33203125" style="3" bestFit="1" customWidth="1"/>
    <col min="18" max="18" width="13.6640625" style="3" customWidth="1"/>
    <col min="19" max="30" width="15.83203125" style="3" customWidth="1"/>
    <col min="31" max="16384" width="9.33203125" style="3"/>
  </cols>
  <sheetData>
    <row r="1" spans="1:30" ht="20.25" customHeight="1" x14ac:dyDescent="0.25">
      <c r="A1" s="267" t="s">
        <v>13</v>
      </c>
      <c r="B1" s="267" t="s">
        <v>14</v>
      </c>
      <c r="C1" s="275" t="s">
        <v>15</v>
      </c>
      <c r="D1" s="275" t="s">
        <v>16</v>
      </c>
      <c r="E1" s="276" t="s">
        <v>0</v>
      </c>
      <c r="F1" s="277" t="s">
        <v>1</v>
      </c>
      <c r="G1" s="275" t="s">
        <v>17</v>
      </c>
      <c r="H1" s="275" t="s">
        <v>18</v>
      </c>
      <c r="I1" s="277" t="s">
        <v>19</v>
      </c>
      <c r="J1" s="275" t="s">
        <v>20</v>
      </c>
      <c r="K1" s="278" t="s">
        <v>783</v>
      </c>
    </row>
    <row r="2" spans="1:30" ht="20.25" customHeight="1" x14ac:dyDescent="0.2">
      <c r="A2" s="268">
        <f>YEAR(C2)</f>
        <v>2021</v>
      </c>
      <c r="B2" s="268">
        <f>MONTH(C2)</f>
        <v>1</v>
      </c>
      <c r="C2" s="279">
        <v>44197</v>
      </c>
      <c r="D2" s="279">
        <v>44197</v>
      </c>
      <c r="E2" s="280" t="s">
        <v>21</v>
      </c>
      <c r="F2" s="281">
        <v>-700</v>
      </c>
      <c r="G2" s="281" t="s">
        <v>22</v>
      </c>
      <c r="H2" s="282" t="str">
        <f>VLOOKUP(G2,Expense_Lookup,2,0)</f>
        <v>Payment</v>
      </c>
      <c r="I2" s="283">
        <v>728.15</v>
      </c>
      <c r="J2" s="282">
        <v>0</v>
      </c>
      <c r="K2" s="281">
        <v>0</v>
      </c>
    </row>
    <row r="3" spans="1:30" ht="20.25" customHeight="1" x14ac:dyDescent="0.2">
      <c r="A3" s="268">
        <f t="shared" ref="A3:A66" si="0">YEAR(C3)</f>
        <v>2021</v>
      </c>
      <c r="B3" s="268">
        <f t="shared" ref="B3:B66" si="1">MONTH(C3)</f>
        <v>1</v>
      </c>
      <c r="C3" s="279">
        <v>44197</v>
      </c>
      <c r="D3" s="279">
        <v>44199</v>
      </c>
      <c r="E3" s="280" t="s">
        <v>28</v>
      </c>
      <c r="F3" s="281">
        <v>13.99</v>
      </c>
      <c r="G3" s="281" t="s">
        <v>26</v>
      </c>
      <c r="H3" s="282" t="str">
        <f t="shared" ref="H3:H34" si="2">VLOOKUP(G3,Expense_Lookup,2,0)</f>
        <v>Fixed</v>
      </c>
      <c r="I3" s="284">
        <f>I2+F3</f>
        <v>742.14</v>
      </c>
      <c r="J3" s="282" t="s">
        <v>7</v>
      </c>
      <c r="K3" s="281" t="s">
        <v>781</v>
      </c>
    </row>
    <row r="4" spans="1:30" ht="20.25" customHeight="1" thickBot="1" x14ac:dyDescent="0.25">
      <c r="A4" s="268">
        <f t="shared" si="0"/>
        <v>2021</v>
      </c>
      <c r="B4" s="268">
        <f t="shared" si="1"/>
        <v>1</v>
      </c>
      <c r="C4" s="279">
        <v>44197</v>
      </c>
      <c r="D4" s="279">
        <v>44199</v>
      </c>
      <c r="E4" s="280" t="s">
        <v>25</v>
      </c>
      <c r="F4" s="281">
        <v>9.99</v>
      </c>
      <c r="G4" s="281" t="s">
        <v>26</v>
      </c>
      <c r="H4" s="282" t="str">
        <f t="shared" si="2"/>
        <v>Fixed</v>
      </c>
      <c r="I4" s="284">
        <f t="shared" ref="I4:I67" si="3">I3+F4</f>
        <v>752.13</v>
      </c>
      <c r="J4" s="282" t="s">
        <v>6</v>
      </c>
      <c r="K4" s="281" t="s">
        <v>781</v>
      </c>
      <c r="N4" s="3" t="s">
        <v>27</v>
      </c>
      <c r="O4" s="4">
        <f>SUMIFS(F:F,H:H,N4)</f>
        <v>22208.979999999981</v>
      </c>
      <c r="S4" s="102" t="s">
        <v>2</v>
      </c>
      <c r="T4" s="102" t="s">
        <v>302</v>
      </c>
      <c r="U4" s="102" t="s">
        <v>303</v>
      </c>
      <c r="V4" s="102" t="s">
        <v>304</v>
      </c>
      <c r="W4" s="102" t="s">
        <v>305</v>
      </c>
      <c r="X4" s="102" t="s">
        <v>278</v>
      </c>
      <c r="Y4" s="104" t="s">
        <v>322</v>
      </c>
      <c r="Z4" s="104" t="s">
        <v>324</v>
      </c>
      <c r="AA4" s="104" t="s">
        <v>325</v>
      </c>
      <c r="AB4" s="104" t="s">
        <v>323</v>
      </c>
      <c r="AC4" s="104" t="s">
        <v>326</v>
      </c>
      <c r="AD4" s="104" t="s">
        <v>327</v>
      </c>
    </row>
    <row r="5" spans="1:30" ht="20.25" customHeight="1" thickTop="1" thickBot="1" x14ac:dyDescent="0.3">
      <c r="A5" s="268">
        <f t="shared" si="0"/>
        <v>2021</v>
      </c>
      <c r="B5" s="268">
        <f t="shared" si="1"/>
        <v>1</v>
      </c>
      <c r="C5" s="279">
        <v>44197</v>
      </c>
      <c r="D5" s="279">
        <v>44199</v>
      </c>
      <c r="E5" s="280" t="s">
        <v>23</v>
      </c>
      <c r="F5" s="281">
        <v>18.87</v>
      </c>
      <c r="G5" s="281" t="s">
        <v>24</v>
      </c>
      <c r="H5" s="282" t="str">
        <f t="shared" si="2"/>
        <v>Variable</v>
      </c>
      <c r="I5" s="284">
        <f t="shared" si="3"/>
        <v>771</v>
      </c>
      <c r="J5" s="282">
        <v>0</v>
      </c>
      <c r="K5" s="281" t="s">
        <v>628</v>
      </c>
      <c r="N5" s="3" t="s">
        <v>29</v>
      </c>
      <c r="O5" s="4">
        <f>SUMIFS(F:F,H:H,N5)</f>
        <v>4179.4999999999964</v>
      </c>
      <c r="Q5" s="5" t="str" cm="1">
        <f t="array" ref="Q5:Q21">_xlfn.UNIQUE(_xlfn._xlws.FILTER(G:G,(G:G&lt;&gt;0) ))</f>
        <v>Category</v>
      </c>
      <c r="R5" s="7"/>
      <c r="S5" s="4"/>
    </row>
    <row r="6" spans="1:30" ht="20.25" customHeight="1" thickTop="1" x14ac:dyDescent="0.25">
      <c r="A6" s="268">
        <f t="shared" si="0"/>
        <v>2021</v>
      </c>
      <c r="B6" s="268">
        <f t="shared" si="1"/>
        <v>1</v>
      </c>
      <c r="C6" s="279">
        <v>44201</v>
      </c>
      <c r="D6" s="279">
        <v>44201</v>
      </c>
      <c r="E6" s="280" t="s">
        <v>30</v>
      </c>
      <c r="F6" s="281">
        <v>39.950000000000003</v>
      </c>
      <c r="G6" s="281" t="s">
        <v>26</v>
      </c>
      <c r="H6" s="282" t="str">
        <f t="shared" si="2"/>
        <v>Fixed</v>
      </c>
      <c r="I6" s="284">
        <f t="shared" si="3"/>
        <v>810.95</v>
      </c>
      <c r="J6" s="282" t="s">
        <v>291</v>
      </c>
      <c r="K6" s="281" t="s">
        <v>781</v>
      </c>
      <c r="O6" s="4">
        <f>SUM(O4:O5)</f>
        <v>26388.479999999978</v>
      </c>
      <c r="Q6" s="6" t="str">
        <v>Payments and Credits</v>
      </c>
      <c r="R6" s="7" t="s">
        <v>31</v>
      </c>
      <c r="S6" s="4">
        <f t="shared" ref="S6:S21" si="4">SUMIFS(F:F,G:G,Q6,$B:$B,1)</f>
        <v>-2157.38</v>
      </c>
      <c r="T6" s="4">
        <f t="shared" ref="T6:T21" si="5">SUMIFS(F:F,G:G,Q6,$B:$B,2)</f>
        <v>-1485.92</v>
      </c>
      <c r="U6" s="4">
        <f t="shared" ref="U6:U21" si="6">SUMIFS(F:F,G:G,Q6,$B:$B,3)</f>
        <v>-2413.62</v>
      </c>
      <c r="V6" s="4">
        <f>SUMIFS($F:$F,$G:$G,$Q6,$B:$B,4)</f>
        <v>-471.07</v>
      </c>
      <c r="W6" s="4">
        <f t="shared" ref="W6:W21" si="7">SUMIFS($F:$F,$G:$G,$Q6,$B:$B,5)</f>
        <v>-2855.16</v>
      </c>
      <c r="X6" s="4">
        <f t="shared" ref="X6:X21" si="8">SUMIFS($F:$F,$G:$G,$Q6,$B:$B,6)</f>
        <v>-3297.83</v>
      </c>
      <c r="Y6" s="4">
        <f t="shared" ref="Y6:Y21" si="9">SUMIFS($F:$F,$G:$G,$Q6,$B:$B,7)</f>
        <v>-5612.6</v>
      </c>
      <c r="Z6" s="4">
        <f t="shared" ref="Z6:Z21" si="10">SUMIFS($F:$F,$G:$G,$Q6,$B:$B,8)</f>
        <v>-3175.24</v>
      </c>
      <c r="AA6" s="4">
        <f t="shared" ref="AA6:AA21" si="11">SUMIFS($F:$F,$G:$G,$Q6,$B:$B,9)</f>
        <v>-4605.13</v>
      </c>
      <c r="AB6" s="4">
        <f t="shared" ref="AB6:AB21" si="12">SUMIFS($F:$F,$G:$G,$Q6,$B:$B,10)</f>
        <v>0</v>
      </c>
    </row>
    <row r="7" spans="1:30" ht="20.25" customHeight="1" x14ac:dyDescent="0.25">
      <c r="A7" s="268">
        <f t="shared" si="0"/>
        <v>2021</v>
      </c>
      <c r="B7" s="268">
        <f t="shared" si="1"/>
        <v>1</v>
      </c>
      <c r="C7" s="279">
        <v>44201</v>
      </c>
      <c r="D7" s="279">
        <v>44201</v>
      </c>
      <c r="E7" s="280" t="s">
        <v>32</v>
      </c>
      <c r="F7" s="281">
        <v>91.78</v>
      </c>
      <c r="G7" s="281" t="s">
        <v>26</v>
      </c>
      <c r="H7" s="282" t="str">
        <f t="shared" si="2"/>
        <v>Fixed</v>
      </c>
      <c r="I7" s="284">
        <f t="shared" si="3"/>
        <v>902.73</v>
      </c>
      <c r="J7" s="282" t="s">
        <v>8</v>
      </c>
      <c r="K7" s="281" t="s">
        <v>628</v>
      </c>
      <c r="N7" s="27" t="s">
        <v>56</v>
      </c>
      <c r="Q7" s="6" t="str">
        <v>APP</v>
      </c>
      <c r="R7" s="7" t="s">
        <v>29</v>
      </c>
      <c r="S7" s="4">
        <f t="shared" si="4"/>
        <v>190.63000000000002</v>
      </c>
      <c r="T7" s="4">
        <f t="shared" si="5"/>
        <v>250.90000000000003</v>
      </c>
      <c r="U7" s="4">
        <f t="shared" si="6"/>
        <v>417.88000000000005</v>
      </c>
      <c r="V7" s="4">
        <f t="shared" ref="V7:V21" si="13">SUMIFS(F:F,G:G,Q7,$B:$B,4)</f>
        <v>216.49</v>
      </c>
      <c r="W7" s="4">
        <f t="shared" si="7"/>
        <v>497.40000000000009</v>
      </c>
      <c r="X7" s="4">
        <f t="shared" si="8"/>
        <v>447.13</v>
      </c>
      <c r="Y7" s="4">
        <f t="shared" si="9"/>
        <v>310.99</v>
      </c>
      <c r="Z7" s="4">
        <f t="shared" si="10"/>
        <v>555.48</v>
      </c>
      <c r="AA7" s="4">
        <f t="shared" si="11"/>
        <v>277.67999999999995</v>
      </c>
      <c r="AB7" s="4">
        <f t="shared" si="12"/>
        <v>0</v>
      </c>
    </row>
    <row r="8" spans="1:30" ht="20.25" customHeight="1" x14ac:dyDescent="0.25">
      <c r="A8" s="268">
        <f t="shared" si="0"/>
        <v>2021</v>
      </c>
      <c r="B8" s="268">
        <f t="shared" si="1"/>
        <v>1</v>
      </c>
      <c r="C8" s="279">
        <v>44201</v>
      </c>
      <c r="D8" s="279">
        <v>44201</v>
      </c>
      <c r="E8" s="280" t="s">
        <v>33</v>
      </c>
      <c r="F8" s="281">
        <v>19.989999999999998</v>
      </c>
      <c r="G8" s="281" t="s">
        <v>67</v>
      </c>
      <c r="H8" s="282" t="str">
        <f t="shared" si="2"/>
        <v>Variable</v>
      </c>
      <c r="I8" s="284">
        <f t="shared" si="3"/>
        <v>922.72</v>
      </c>
      <c r="J8" s="282" t="s">
        <v>34</v>
      </c>
      <c r="K8" s="281" t="s">
        <v>627</v>
      </c>
      <c r="N8" s="3" t="s">
        <v>35</v>
      </c>
      <c r="O8" s="4">
        <f>SUMIFS(F:F,J:J,N8)+SUMIFS('Cash Flow'!$B:$B,'Cash Flow'!$A:$A,Discover!N8)*-1</f>
        <v>956.14999999999986</v>
      </c>
      <c r="Q8" s="6" t="str">
        <v>Gasoline</v>
      </c>
      <c r="R8" s="7" t="s">
        <v>27</v>
      </c>
      <c r="S8" s="4">
        <f t="shared" si="4"/>
        <v>67.87</v>
      </c>
      <c r="T8" s="4">
        <f t="shared" si="5"/>
        <v>67.47</v>
      </c>
      <c r="U8" s="4">
        <f t="shared" si="6"/>
        <v>80.06</v>
      </c>
      <c r="V8" s="4">
        <f t="shared" si="13"/>
        <v>125.95</v>
      </c>
      <c r="W8" s="4">
        <f t="shared" si="7"/>
        <v>115.16</v>
      </c>
      <c r="X8" s="4">
        <f t="shared" si="8"/>
        <v>104.56</v>
      </c>
      <c r="Y8" s="4">
        <f t="shared" si="9"/>
        <v>99.509999999999991</v>
      </c>
      <c r="Z8" s="4">
        <f t="shared" si="10"/>
        <v>199.87999999999997</v>
      </c>
      <c r="AA8" s="4">
        <f t="shared" si="11"/>
        <v>353.18</v>
      </c>
      <c r="AB8" s="4">
        <f t="shared" si="12"/>
        <v>0</v>
      </c>
    </row>
    <row r="9" spans="1:30" ht="20.25" customHeight="1" x14ac:dyDescent="0.25">
      <c r="A9" s="268">
        <f t="shared" si="0"/>
        <v>2021</v>
      </c>
      <c r="B9" s="268">
        <f t="shared" si="1"/>
        <v>1</v>
      </c>
      <c r="C9" s="279">
        <v>44202</v>
      </c>
      <c r="D9" s="279">
        <v>44202</v>
      </c>
      <c r="E9" s="280" t="s">
        <v>36</v>
      </c>
      <c r="F9" s="281">
        <v>24.95</v>
      </c>
      <c r="G9" s="281" t="s">
        <v>56</v>
      </c>
      <c r="H9" s="282" t="str">
        <f t="shared" si="2"/>
        <v>Variable</v>
      </c>
      <c r="I9" s="284">
        <f t="shared" si="3"/>
        <v>947.67000000000007</v>
      </c>
      <c r="J9" s="282" t="s">
        <v>35</v>
      </c>
      <c r="K9" s="281" t="s">
        <v>697</v>
      </c>
      <c r="N9" s="3" t="s">
        <v>37</v>
      </c>
      <c r="O9" s="4">
        <f>SUMIFS(F:F,J:J,N9)+SUMIFS('Cash Flow'!$B:$B,'Cash Flow'!$A:$A,Discover!N9)*-1</f>
        <v>1234.95</v>
      </c>
      <c r="Q9" s="6" t="str">
        <v>Merchandise</v>
      </c>
      <c r="R9" s="7" t="s">
        <v>27</v>
      </c>
      <c r="S9" s="4">
        <f t="shared" si="4"/>
        <v>434.07999999999993</v>
      </c>
      <c r="T9" s="4">
        <f t="shared" si="5"/>
        <v>225.61999999999995</v>
      </c>
      <c r="U9" s="4">
        <f t="shared" si="6"/>
        <v>569.61000000000013</v>
      </c>
      <c r="V9" s="4">
        <f t="shared" si="13"/>
        <v>456.94</v>
      </c>
      <c r="W9" s="4">
        <f t="shared" si="7"/>
        <v>817.18</v>
      </c>
      <c r="X9" s="4">
        <f t="shared" si="8"/>
        <v>1283.97</v>
      </c>
      <c r="Y9" s="4">
        <f t="shared" si="9"/>
        <v>894.13</v>
      </c>
      <c r="Z9" s="4">
        <f t="shared" si="10"/>
        <v>781.37</v>
      </c>
      <c r="AA9" s="4">
        <f t="shared" si="11"/>
        <v>1024.8900000000001</v>
      </c>
      <c r="AB9" s="4">
        <f t="shared" si="12"/>
        <v>0</v>
      </c>
    </row>
    <row r="10" spans="1:30" ht="20.25" customHeight="1" x14ac:dyDescent="0.25">
      <c r="A10" s="268">
        <f t="shared" si="0"/>
        <v>2021</v>
      </c>
      <c r="B10" s="268">
        <f t="shared" si="1"/>
        <v>1</v>
      </c>
      <c r="C10" s="279">
        <v>44202</v>
      </c>
      <c r="D10" s="279">
        <v>44202</v>
      </c>
      <c r="E10" s="280" t="s">
        <v>38</v>
      </c>
      <c r="F10" s="281">
        <v>30</v>
      </c>
      <c r="G10" s="281" t="s">
        <v>45</v>
      </c>
      <c r="H10" s="282" t="str">
        <f t="shared" si="2"/>
        <v>Variable</v>
      </c>
      <c r="I10" s="284">
        <f t="shared" si="3"/>
        <v>977.67000000000007</v>
      </c>
      <c r="J10" s="282">
        <v>0</v>
      </c>
      <c r="K10" s="281" t="s">
        <v>671</v>
      </c>
      <c r="N10" s="27" t="s">
        <v>91</v>
      </c>
      <c r="O10" s="4">
        <f>SUMIFS(F:F,J:J,N10)+SUMIFS('Cash Flow'!$B:$B,'Cash Flow'!$A:$A,Discover!N10)*-1</f>
        <v>297.5</v>
      </c>
      <c r="Q10" s="6" t="str">
        <v>Family</v>
      </c>
      <c r="R10" s="7" t="s">
        <v>27</v>
      </c>
      <c r="S10" s="4">
        <f t="shared" si="4"/>
        <v>165.42000000000002</v>
      </c>
      <c r="T10" s="4">
        <f t="shared" si="5"/>
        <v>90.68</v>
      </c>
      <c r="U10" s="4">
        <f t="shared" si="6"/>
        <v>84.95</v>
      </c>
      <c r="V10" s="4">
        <f t="shared" si="13"/>
        <v>35.46</v>
      </c>
      <c r="W10" s="4">
        <f t="shared" si="7"/>
        <v>154.13</v>
      </c>
      <c r="X10" s="4">
        <f t="shared" si="8"/>
        <v>0</v>
      </c>
      <c r="Y10" s="4">
        <f t="shared" si="9"/>
        <v>0</v>
      </c>
      <c r="Z10" s="4">
        <f t="shared" si="10"/>
        <v>0</v>
      </c>
      <c r="AA10" s="4">
        <f t="shared" si="11"/>
        <v>0</v>
      </c>
      <c r="AB10" s="4">
        <f t="shared" si="12"/>
        <v>0</v>
      </c>
    </row>
    <row r="11" spans="1:30" ht="20.25" customHeight="1" x14ac:dyDescent="0.25">
      <c r="A11" s="268">
        <f t="shared" si="0"/>
        <v>2021</v>
      </c>
      <c r="B11" s="268">
        <f t="shared" si="1"/>
        <v>1</v>
      </c>
      <c r="C11" s="279">
        <v>44202</v>
      </c>
      <c r="D11" s="279">
        <v>44202</v>
      </c>
      <c r="E11" s="280" t="s">
        <v>39</v>
      </c>
      <c r="F11" s="281">
        <v>24.24</v>
      </c>
      <c r="G11" s="281" t="s">
        <v>89</v>
      </c>
      <c r="H11" s="282" t="str">
        <f t="shared" si="2"/>
        <v>Variable</v>
      </c>
      <c r="I11" s="284">
        <f t="shared" si="3"/>
        <v>1001.9100000000001</v>
      </c>
      <c r="J11" s="282">
        <v>0</v>
      </c>
      <c r="K11" s="281" t="s">
        <v>670</v>
      </c>
      <c r="N11" s="27" t="s">
        <v>504</v>
      </c>
      <c r="O11" s="4">
        <f>SUMIFS(F:F,J:J,N11)+SUMIFS('Cash Flow'!$B:$B,'Cash Flow'!$A:$A,Discover!N11)*-1</f>
        <v>545.57999999999993</v>
      </c>
      <c r="Q11" s="6" t="str">
        <v>Medical Services</v>
      </c>
      <c r="R11" s="7" t="s">
        <v>27</v>
      </c>
      <c r="S11" s="4">
        <f t="shared" si="4"/>
        <v>70.509999999999991</v>
      </c>
      <c r="T11" s="4">
        <f t="shared" si="5"/>
        <v>0</v>
      </c>
      <c r="U11" s="4">
        <f t="shared" si="6"/>
        <v>0</v>
      </c>
      <c r="V11" s="4">
        <f t="shared" si="13"/>
        <v>0</v>
      </c>
      <c r="W11" s="4">
        <f t="shared" si="7"/>
        <v>0</v>
      </c>
      <c r="X11" s="4">
        <f t="shared" si="8"/>
        <v>0</v>
      </c>
      <c r="Y11" s="4">
        <f t="shared" si="9"/>
        <v>0</v>
      </c>
      <c r="Z11" s="4">
        <f t="shared" si="10"/>
        <v>0</v>
      </c>
      <c r="AA11" s="4">
        <f t="shared" si="11"/>
        <v>320</v>
      </c>
      <c r="AB11" s="4">
        <f t="shared" si="12"/>
        <v>0</v>
      </c>
    </row>
    <row r="12" spans="1:30" ht="20.25" customHeight="1" x14ac:dyDescent="0.25">
      <c r="A12" s="268">
        <f t="shared" si="0"/>
        <v>2021</v>
      </c>
      <c r="B12" s="268">
        <f t="shared" si="1"/>
        <v>1</v>
      </c>
      <c r="C12" s="279">
        <v>44203</v>
      </c>
      <c r="D12" s="279">
        <v>44203</v>
      </c>
      <c r="E12" s="280" t="s">
        <v>40</v>
      </c>
      <c r="F12" s="281">
        <v>12.09</v>
      </c>
      <c r="G12" s="281" t="s">
        <v>41</v>
      </c>
      <c r="H12" s="282" t="str">
        <f t="shared" si="2"/>
        <v>Variable</v>
      </c>
      <c r="I12" s="284">
        <f t="shared" si="3"/>
        <v>1014.0000000000001</v>
      </c>
      <c r="J12" s="282">
        <v>0</v>
      </c>
      <c r="K12" s="281" t="s">
        <v>670</v>
      </c>
      <c r="N12" s="27" t="s">
        <v>510</v>
      </c>
      <c r="O12" s="4">
        <f>SUMIFS(F:F,J:J,N12)+SUMIFS('Cash Flow'!$B:$B,'Cash Flow'!$A:$A,Discover!N12)*-1</f>
        <v>0</v>
      </c>
      <c r="Q12" s="6" t="str">
        <v>Supermarkets</v>
      </c>
      <c r="R12" s="7" t="s">
        <v>27</v>
      </c>
      <c r="S12" s="4">
        <f t="shared" si="4"/>
        <v>145.55999999999997</v>
      </c>
      <c r="T12" s="4">
        <f t="shared" si="5"/>
        <v>247.64999999999998</v>
      </c>
      <c r="U12" s="4">
        <f t="shared" si="6"/>
        <v>132.85</v>
      </c>
      <c r="V12" s="4">
        <f t="shared" si="13"/>
        <v>25.32</v>
      </c>
      <c r="W12" s="4">
        <f t="shared" si="7"/>
        <v>247.18</v>
      </c>
      <c r="X12" s="4">
        <f t="shared" si="8"/>
        <v>100.64000000000001</v>
      </c>
      <c r="Y12" s="4">
        <f t="shared" si="9"/>
        <v>328.94</v>
      </c>
      <c r="Z12" s="4">
        <f t="shared" si="10"/>
        <v>114.91</v>
      </c>
      <c r="AA12" s="4">
        <f t="shared" si="11"/>
        <v>187.81</v>
      </c>
      <c r="AB12" s="4">
        <f t="shared" si="12"/>
        <v>0</v>
      </c>
    </row>
    <row r="13" spans="1:30" ht="20.25" customHeight="1" x14ac:dyDescent="0.25">
      <c r="A13" s="268">
        <f t="shared" si="0"/>
        <v>2021</v>
      </c>
      <c r="B13" s="268">
        <f t="shared" si="1"/>
        <v>1</v>
      </c>
      <c r="C13" s="279">
        <v>44203</v>
      </c>
      <c r="D13" s="279">
        <v>44203</v>
      </c>
      <c r="E13" s="280" t="s">
        <v>42</v>
      </c>
      <c r="F13" s="281">
        <v>44</v>
      </c>
      <c r="G13" s="281" t="s">
        <v>41</v>
      </c>
      <c r="H13" s="282" t="str">
        <f t="shared" si="2"/>
        <v>Variable</v>
      </c>
      <c r="I13" s="284">
        <f t="shared" si="3"/>
        <v>1058</v>
      </c>
      <c r="J13" s="282">
        <v>0</v>
      </c>
      <c r="K13" s="281" t="s">
        <v>670</v>
      </c>
      <c r="O13" s="4">
        <f>SUM(O8:O12)</f>
        <v>3034.18</v>
      </c>
      <c r="Q13" s="6" t="str">
        <v>Restaurants</v>
      </c>
      <c r="R13" s="7" t="s">
        <v>27</v>
      </c>
      <c r="S13" s="4">
        <f t="shared" si="4"/>
        <v>117.23</v>
      </c>
      <c r="T13" s="4">
        <f t="shared" si="5"/>
        <v>69.550000000000011</v>
      </c>
      <c r="U13" s="4">
        <f t="shared" si="6"/>
        <v>259.85000000000002</v>
      </c>
      <c r="V13" s="4">
        <f t="shared" si="13"/>
        <v>461.62</v>
      </c>
      <c r="W13" s="4">
        <f t="shared" si="7"/>
        <v>184.83</v>
      </c>
      <c r="X13" s="4">
        <f t="shared" si="8"/>
        <v>472.59</v>
      </c>
      <c r="Y13" s="4">
        <f t="shared" si="9"/>
        <v>689.57999999999981</v>
      </c>
      <c r="Z13" s="4">
        <f t="shared" si="10"/>
        <v>1021.4699999999999</v>
      </c>
      <c r="AA13" s="4">
        <f t="shared" si="11"/>
        <v>1109.5400000000004</v>
      </c>
      <c r="AB13" s="4">
        <f t="shared" si="12"/>
        <v>0</v>
      </c>
    </row>
    <row r="14" spans="1:30" ht="20.25" customHeight="1" x14ac:dyDescent="0.25">
      <c r="A14" s="268">
        <f t="shared" si="0"/>
        <v>2021</v>
      </c>
      <c r="B14" s="268">
        <f t="shared" si="1"/>
        <v>1</v>
      </c>
      <c r="C14" s="279">
        <v>44203</v>
      </c>
      <c r="D14" s="279">
        <v>44203</v>
      </c>
      <c r="E14" s="280" t="s">
        <v>39</v>
      </c>
      <c r="F14" s="281">
        <v>14.52</v>
      </c>
      <c r="G14" s="281" t="s">
        <v>89</v>
      </c>
      <c r="H14" s="282" t="str">
        <f t="shared" si="2"/>
        <v>Variable</v>
      </c>
      <c r="I14" s="284">
        <f t="shared" si="3"/>
        <v>1072.52</v>
      </c>
      <c r="J14" s="282">
        <v>0</v>
      </c>
      <c r="K14" s="281" t="s">
        <v>670</v>
      </c>
      <c r="Q14" s="6" t="str">
        <v>Services</v>
      </c>
      <c r="R14" s="7" t="s">
        <v>27</v>
      </c>
      <c r="S14" s="4">
        <f t="shared" si="4"/>
        <v>29.270000000000003</v>
      </c>
      <c r="T14" s="4">
        <f t="shared" si="5"/>
        <v>0</v>
      </c>
      <c r="U14" s="4">
        <f t="shared" si="6"/>
        <v>470</v>
      </c>
      <c r="V14" s="4">
        <f t="shared" si="13"/>
        <v>98</v>
      </c>
      <c r="W14" s="4">
        <f t="shared" si="7"/>
        <v>106.5</v>
      </c>
      <c r="X14" s="4">
        <f t="shared" si="8"/>
        <v>248.84</v>
      </c>
      <c r="Y14" s="4">
        <f t="shared" si="9"/>
        <v>1964.5900000000001</v>
      </c>
      <c r="Z14" s="4">
        <f t="shared" si="10"/>
        <v>388.03000000000003</v>
      </c>
      <c r="AA14" s="4">
        <f t="shared" si="11"/>
        <v>547.63</v>
      </c>
      <c r="AB14" s="4">
        <f t="shared" si="12"/>
        <v>0</v>
      </c>
    </row>
    <row r="15" spans="1:30" ht="20.25" customHeight="1" x14ac:dyDescent="0.25">
      <c r="A15" s="268">
        <f t="shared" si="0"/>
        <v>2021</v>
      </c>
      <c r="B15" s="268">
        <f t="shared" si="1"/>
        <v>1</v>
      </c>
      <c r="C15" s="279">
        <v>44204</v>
      </c>
      <c r="D15" s="279">
        <v>44204</v>
      </c>
      <c r="E15" s="280" t="s">
        <v>43</v>
      </c>
      <c r="F15" s="281">
        <v>3.37</v>
      </c>
      <c r="G15" s="281" t="s">
        <v>56</v>
      </c>
      <c r="H15" s="282" t="str">
        <f t="shared" si="2"/>
        <v>Variable</v>
      </c>
      <c r="I15" s="284">
        <f t="shared" si="3"/>
        <v>1075.8899999999999</v>
      </c>
      <c r="J15" s="282" t="s">
        <v>35</v>
      </c>
      <c r="K15" s="281" t="s">
        <v>697</v>
      </c>
      <c r="N15" s="27" t="s">
        <v>626</v>
      </c>
      <c r="Q15" s="6" t="str">
        <v>Education</v>
      </c>
      <c r="R15" s="7" t="s">
        <v>27</v>
      </c>
      <c r="S15" s="4">
        <f t="shared" si="4"/>
        <v>49</v>
      </c>
      <c r="T15" s="4">
        <f t="shared" si="5"/>
        <v>215</v>
      </c>
      <c r="U15" s="4">
        <f t="shared" si="6"/>
        <v>0</v>
      </c>
      <c r="V15" s="4">
        <f t="shared" si="13"/>
        <v>0</v>
      </c>
      <c r="W15" s="4">
        <f t="shared" si="7"/>
        <v>0</v>
      </c>
      <c r="X15" s="4">
        <f t="shared" si="8"/>
        <v>199</v>
      </c>
      <c r="Y15" s="4">
        <f t="shared" si="9"/>
        <v>0</v>
      </c>
      <c r="Z15" s="4">
        <f t="shared" si="10"/>
        <v>4.8</v>
      </c>
      <c r="AA15" s="4">
        <f t="shared" si="11"/>
        <v>0</v>
      </c>
      <c r="AB15" s="4">
        <f t="shared" si="12"/>
        <v>0</v>
      </c>
    </row>
    <row r="16" spans="1:30" ht="20.25" customHeight="1" x14ac:dyDescent="0.25">
      <c r="A16" s="268">
        <f t="shared" si="0"/>
        <v>2021</v>
      </c>
      <c r="B16" s="268">
        <f t="shared" si="1"/>
        <v>1</v>
      </c>
      <c r="C16" s="279">
        <v>44204</v>
      </c>
      <c r="D16" s="279">
        <v>44204</v>
      </c>
      <c r="E16" s="280" t="s">
        <v>44</v>
      </c>
      <c r="F16" s="281">
        <v>40.51</v>
      </c>
      <c r="G16" s="281" t="s">
        <v>45</v>
      </c>
      <c r="H16" s="282" t="str">
        <f t="shared" si="2"/>
        <v>Variable</v>
      </c>
      <c r="I16" s="284">
        <f t="shared" si="3"/>
        <v>1116.3999999999999</v>
      </c>
      <c r="J16" s="282" t="s">
        <v>46</v>
      </c>
      <c r="K16" s="281" t="s">
        <v>671</v>
      </c>
      <c r="N16" s="9" t="s">
        <v>205</v>
      </c>
      <c r="O16" s="4">
        <f>SUMIFS(F:F,J:J,N16)+SUMIFS('Cash Flow'!$B:$B,'Cash Flow'!$A:$A,Discover!N16)*-1</f>
        <v>368.46000000000004</v>
      </c>
      <c r="Q16" s="6" t="str">
        <v>Awards and Rebate Credits</v>
      </c>
      <c r="R16" s="7" t="s">
        <v>31</v>
      </c>
      <c r="S16" s="4">
        <f t="shared" si="4"/>
        <v>-22.18</v>
      </c>
      <c r="T16" s="4">
        <f t="shared" si="5"/>
        <v>-14</v>
      </c>
      <c r="U16" s="4">
        <f t="shared" si="6"/>
        <v>-14.05</v>
      </c>
      <c r="V16" s="4">
        <f t="shared" si="13"/>
        <v>0</v>
      </c>
      <c r="W16" s="4">
        <f t="shared" si="7"/>
        <v>0</v>
      </c>
      <c r="X16" s="4">
        <f t="shared" si="8"/>
        <v>0</v>
      </c>
      <c r="Y16" s="4">
        <f t="shared" si="9"/>
        <v>0</v>
      </c>
      <c r="Z16" s="4">
        <f t="shared" si="10"/>
        <v>-38.86</v>
      </c>
      <c r="AA16" s="4">
        <f t="shared" si="11"/>
        <v>0</v>
      </c>
      <c r="AB16" s="4">
        <f t="shared" si="12"/>
        <v>0</v>
      </c>
    </row>
    <row r="17" spans="1:28" ht="20.25" customHeight="1" x14ac:dyDescent="0.25">
      <c r="A17" s="268">
        <f t="shared" si="0"/>
        <v>2021</v>
      </c>
      <c r="B17" s="268">
        <f t="shared" si="1"/>
        <v>1</v>
      </c>
      <c r="C17" s="279">
        <v>44205</v>
      </c>
      <c r="D17" s="279">
        <v>44205</v>
      </c>
      <c r="E17" s="280" t="s">
        <v>47</v>
      </c>
      <c r="F17" s="281">
        <v>30</v>
      </c>
      <c r="G17" s="281" t="s">
        <v>41</v>
      </c>
      <c r="H17" s="282" t="str">
        <f t="shared" si="2"/>
        <v>Variable</v>
      </c>
      <c r="I17" s="284">
        <f t="shared" si="3"/>
        <v>1146.3999999999999</v>
      </c>
      <c r="J17" s="282" t="s">
        <v>48</v>
      </c>
      <c r="K17" s="281" t="s">
        <v>670</v>
      </c>
      <c r="N17" s="27" t="s">
        <v>599</v>
      </c>
      <c r="O17" s="4">
        <f>SUMIFS(F:F,J:J,N17)+SUMIFS('Cash Flow'!$B:$B,'Cash Flow'!$A:$A,Discover!N17)*-1</f>
        <v>1983.8</v>
      </c>
      <c r="Q17" s="6" t="str">
        <v>Government Services</v>
      </c>
      <c r="R17" s="7" t="s">
        <v>27</v>
      </c>
      <c r="S17" s="4">
        <f t="shared" si="4"/>
        <v>0</v>
      </c>
      <c r="T17" s="4">
        <f t="shared" si="5"/>
        <v>40.15</v>
      </c>
      <c r="U17" s="4">
        <f t="shared" si="6"/>
        <v>0</v>
      </c>
      <c r="V17" s="4">
        <f t="shared" si="13"/>
        <v>0</v>
      </c>
      <c r="W17" s="4">
        <f t="shared" si="7"/>
        <v>26.35</v>
      </c>
      <c r="X17" s="4">
        <f t="shared" si="8"/>
        <v>195.05</v>
      </c>
      <c r="Y17" s="4">
        <f t="shared" si="9"/>
        <v>0</v>
      </c>
      <c r="Z17" s="4">
        <f t="shared" si="10"/>
        <v>-75.490000000000009</v>
      </c>
      <c r="AA17" s="4">
        <f t="shared" si="11"/>
        <v>140.91</v>
      </c>
      <c r="AB17" s="4">
        <f t="shared" si="12"/>
        <v>0</v>
      </c>
    </row>
    <row r="18" spans="1:28" ht="20.25" customHeight="1" x14ac:dyDescent="0.25">
      <c r="A18" s="268">
        <f t="shared" si="0"/>
        <v>2021</v>
      </c>
      <c r="B18" s="268">
        <f t="shared" si="1"/>
        <v>1</v>
      </c>
      <c r="C18" s="279">
        <v>44205</v>
      </c>
      <c r="D18" s="279">
        <v>44205</v>
      </c>
      <c r="E18" s="280" t="s">
        <v>49</v>
      </c>
      <c r="F18" s="281">
        <v>37.5</v>
      </c>
      <c r="G18" s="281" t="s">
        <v>67</v>
      </c>
      <c r="H18" s="282" t="str">
        <f t="shared" si="2"/>
        <v>Variable</v>
      </c>
      <c r="I18" s="284">
        <f t="shared" si="3"/>
        <v>1183.8999999999999</v>
      </c>
      <c r="J18" s="282">
        <v>0</v>
      </c>
      <c r="K18" s="281" t="s">
        <v>688</v>
      </c>
      <c r="O18" s="4">
        <f>SUM(O16:O17)</f>
        <v>2352.2600000000002</v>
      </c>
      <c r="Q18" s="6" t="str">
        <v>Automotive</v>
      </c>
      <c r="R18" s="7" t="s">
        <v>29</v>
      </c>
      <c r="S18" s="4">
        <f t="shared" si="4"/>
        <v>0</v>
      </c>
      <c r="T18" s="4">
        <f t="shared" si="5"/>
        <v>0</v>
      </c>
      <c r="U18" s="4">
        <f t="shared" si="6"/>
        <v>86.17</v>
      </c>
      <c r="V18" s="4">
        <f t="shared" si="13"/>
        <v>5.65</v>
      </c>
      <c r="W18" s="4">
        <f t="shared" si="7"/>
        <v>401.19</v>
      </c>
      <c r="X18" s="4">
        <f t="shared" si="8"/>
        <v>0</v>
      </c>
      <c r="Y18" s="4">
        <f t="shared" si="9"/>
        <v>411.20000000000005</v>
      </c>
      <c r="Z18" s="4">
        <f t="shared" si="10"/>
        <v>0</v>
      </c>
      <c r="AA18" s="4">
        <f t="shared" si="11"/>
        <v>110.71</v>
      </c>
      <c r="AB18" s="4">
        <f t="shared" si="12"/>
        <v>0</v>
      </c>
    </row>
    <row r="19" spans="1:28" ht="20.25" customHeight="1" x14ac:dyDescent="0.25">
      <c r="A19" s="268">
        <f t="shared" si="0"/>
        <v>2021</v>
      </c>
      <c r="B19" s="268">
        <f t="shared" si="1"/>
        <v>1</v>
      </c>
      <c r="C19" s="279">
        <v>44206</v>
      </c>
      <c r="D19" s="279">
        <v>44206</v>
      </c>
      <c r="E19" s="285" t="s">
        <v>50</v>
      </c>
      <c r="F19" s="281">
        <v>14.99</v>
      </c>
      <c r="G19" s="281" t="s">
        <v>26</v>
      </c>
      <c r="H19" s="282" t="str">
        <f t="shared" si="2"/>
        <v>Fixed</v>
      </c>
      <c r="I19" s="284">
        <f t="shared" si="3"/>
        <v>1198.8899999999999</v>
      </c>
      <c r="J19" s="282" t="s">
        <v>292</v>
      </c>
      <c r="K19" s="281" t="s">
        <v>781</v>
      </c>
      <c r="Q19" s="6" t="str">
        <v>Travel/ Entertainment</v>
      </c>
      <c r="R19" s="7" t="s">
        <v>27</v>
      </c>
      <c r="S19" s="4">
        <f t="shared" si="4"/>
        <v>0</v>
      </c>
      <c r="T19" s="4">
        <f t="shared" si="5"/>
        <v>0</v>
      </c>
      <c r="U19" s="4">
        <f t="shared" si="6"/>
        <v>101.04</v>
      </c>
      <c r="V19" s="4">
        <f t="shared" si="13"/>
        <v>0</v>
      </c>
      <c r="W19" s="4">
        <f t="shared" si="7"/>
        <v>253.05</v>
      </c>
      <c r="X19" s="4">
        <f t="shared" si="8"/>
        <v>144.76999999999998</v>
      </c>
      <c r="Y19" s="4">
        <f t="shared" si="9"/>
        <v>794.11999999999989</v>
      </c>
      <c r="Z19" s="4">
        <f t="shared" si="10"/>
        <v>117.03</v>
      </c>
      <c r="AA19" s="4">
        <f t="shared" si="11"/>
        <v>1317.69</v>
      </c>
      <c r="AB19" s="4">
        <f t="shared" si="12"/>
        <v>0</v>
      </c>
    </row>
    <row r="20" spans="1:28" ht="20.25" customHeight="1" x14ac:dyDescent="0.25">
      <c r="A20" s="268">
        <f t="shared" si="0"/>
        <v>2021</v>
      </c>
      <c r="B20" s="268">
        <f t="shared" si="1"/>
        <v>1</v>
      </c>
      <c r="C20" s="279">
        <v>44206</v>
      </c>
      <c r="D20" s="279">
        <v>44206</v>
      </c>
      <c r="E20" s="280" t="s">
        <v>51</v>
      </c>
      <c r="F20" s="281">
        <v>14.47</v>
      </c>
      <c r="G20" s="281" t="s">
        <v>52</v>
      </c>
      <c r="H20" s="282" t="str">
        <f t="shared" si="2"/>
        <v>Variable</v>
      </c>
      <c r="I20" s="284">
        <f t="shared" si="3"/>
        <v>1213.3599999999999</v>
      </c>
      <c r="J20" s="282" t="s">
        <v>53</v>
      </c>
      <c r="K20" s="281" t="s">
        <v>697</v>
      </c>
      <c r="N20" s="27" t="s">
        <v>625</v>
      </c>
      <c r="Q20" s="6" t="str">
        <v>Home Improvement</v>
      </c>
      <c r="R20" s="7" t="s">
        <v>27</v>
      </c>
      <c r="S20" s="4">
        <f t="shared" si="4"/>
        <v>0</v>
      </c>
      <c r="T20" s="4">
        <f t="shared" si="5"/>
        <v>0</v>
      </c>
      <c r="U20" s="4">
        <f t="shared" si="6"/>
        <v>0</v>
      </c>
      <c r="V20" s="4">
        <f t="shared" si="13"/>
        <v>92.58</v>
      </c>
      <c r="W20" s="4">
        <f t="shared" si="7"/>
        <v>54.37</v>
      </c>
      <c r="X20" s="4">
        <f t="shared" si="8"/>
        <v>23.13</v>
      </c>
      <c r="Y20" s="4">
        <f t="shared" si="9"/>
        <v>0</v>
      </c>
      <c r="Z20" s="4">
        <f t="shared" si="10"/>
        <v>89.509999999999991</v>
      </c>
      <c r="AA20" s="4">
        <f t="shared" si="11"/>
        <v>0</v>
      </c>
      <c r="AB20" s="4">
        <f t="shared" si="12"/>
        <v>0</v>
      </c>
    </row>
    <row r="21" spans="1:28" ht="20.25" customHeight="1" x14ac:dyDescent="0.25">
      <c r="A21" s="268">
        <f t="shared" si="0"/>
        <v>2021</v>
      </c>
      <c r="B21" s="268">
        <f t="shared" si="1"/>
        <v>1</v>
      </c>
      <c r="C21" s="279">
        <v>44206</v>
      </c>
      <c r="D21" s="279">
        <v>44206</v>
      </c>
      <c r="E21" s="280" t="s">
        <v>54</v>
      </c>
      <c r="F21" s="281">
        <v>11.45</v>
      </c>
      <c r="G21" s="281" t="s">
        <v>52</v>
      </c>
      <c r="H21" s="282" t="str">
        <f t="shared" si="2"/>
        <v>Variable</v>
      </c>
      <c r="I21" s="284">
        <f t="shared" si="3"/>
        <v>1224.81</v>
      </c>
      <c r="J21" s="282" t="s">
        <v>53</v>
      </c>
      <c r="K21" s="281" t="s">
        <v>697</v>
      </c>
      <c r="N21" s="11" t="s">
        <v>297</v>
      </c>
      <c r="O21" s="4">
        <f>SUMIFS(F:F,J:J,N21)+SUMIFS('Cash Flow'!$B:$B,'Cash Flow'!$A:$A,Discover!N21)*-1</f>
        <v>1530.78</v>
      </c>
      <c r="Q21" s="6" t="str">
        <v>Car Wash</v>
      </c>
      <c r="R21" s="7" t="s">
        <v>27</v>
      </c>
      <c r="S21" s="4">
        <f t="shared" si="4"/>
        <v>0</v>
      </c>
      <c r="T21" s="4">
        <f t="shared" si="5"/>
        <v>0</v>
      </c>
      <c r="U21" s="4">
        <f t="shared" si="6"/>
        <v>0</v>
      </c>
      <c r="V21" s="4">
        <f t="shared" si="13"/>
        <v>0</v>
      </c>
      <c r="W21" s="4">
        <f t="shared" si="7"/>
        <v>0</v>
      </c>
      <c r="X21" s="4">
        <f t="shared" si="8"/>
        <v>0</v>
      </c>
      <c r="Y21" s="4">
        <f t="shared" si="9"/>
        <v>0</v>
      </c>
      <c r="Z21" s="4">
        <f t="shared" si="10"/>
        <v>63.08</v>
      </c>
      <c r="AA21" s="4">
        <f t="shared" si="11"/>
        <v>0</v>
      </c>
      <c r="AB21" s="4">
        <f t="shared" si="12"/>
        <v>0</v>
      </c>
    </row>
    <row r="22" spans="1:28" ht="20.25" customHeight="1" thickBot="1" x14ac:dyDescent="0.25">
      <c r="A22" s="268">
        <f t="shared" si="0"/>
        <v>2021</v>
      </c>
      <c r="B22" s="268">
        <f t="shared" si="1"/>
        <v>1</v>
      </c>
      <c r="C22" s="279">
        <v>44206</v>
      </c>
      <c r="D22" s="279">
        <v>44206</v>
      </c>
      <c r="E22" s="280" t="s">
        <v>49</v>
      </c>
      <c r="F22" s="281">
        <v>74.16</v>
      </c>
      <c r="G22" s="281" t="s">
        <v>67</v>
      </c>
      <c r="H22" s="282" t="str">
        <f t="shared" si="2"/>
        <v>Variable</v>
      </c>
      <c r="I22" s="284">
        <f t="shared" si="3"/>
        <v>1298.97</v>
      </c>
      <c r="J22" s="282">
        <v>0</v>
      </c>
      <c r="K22" s="281" t="s">
        <v>688</v>
      </c>
      <c r="N22" s="27" t="s">
        <v>596</v>
      </c>
      <c r="O22" s="4">
        <f>SUMIFS(F:F,J:J,N22)+SUMIFS('Cash Flow'!$B:$B,'Cash Flow'!$A:$A,Discover!N22)*-1</f>
        <v>1467.3700000000001</v>
      </c>
      <c r="S22" s="4">
        <f t="shared" ref="S22:AB22" si="14">SUM(S6:S21)</f>
        <v>-909.99000000000012</v>
      </c>
      <c r="T22" s="4">
        <f t="shared" si="14"/>
        <v>-292.89999999999998</v>
      </c>
      <c r="U22" s="4">
        <f t="shared" si="14"/>
        <v>-225.25999999999971</v>
      </c>
      <c r="V22" s="8">
        <f t="shared" si="14"/>
        <v>1046.94</v>
      </c>
      <c r="W22" s="8">
        <f t="shared" si="14"/>
        <v>2.1800000000001702</v>
      </c>
      <c r="X22" s="8">
        <f t="shared" si="14"/>
        <v>-78.149999999999807</v>
      </c>
      <c r="Y22" s="8">
        <f>SUM(Y6:Y21)</f>
        <v>-119.54000000000019</v>
      </c>
      <c r="Z22" s="8">
        <f t="shared" si="14"/>
        <v>45.97000000000024</v>
      </c>
      <c r="AA22" s="8">
        <f t="shared" si="14"/>
        <v>784.91000000000031</v>
      </c>
      <c r="AB22" s="8">
        <f t="shared" si="14"/>
        <v>0</v>
      </c>
    </row>
    <row r="23" spans="1:28" ht="20.25" customHeight="1" thickBot="1" x14ac:dyDescent="0.25">
      <c r="A23" s="268">
        <f t="shared" si="0"/>
        <v>2021</v>
      </c>
      <c r="B23" s="268">
        <f t="shared" si="1"/>
        <v>1</v>
      </c>
      <c r="C23" s="279">
        <v>44207</v>
      </c>
      <c r="D23" s="279">
        <v>44207</v>
      </c>
      <c r="E23" s="280" t="s">
        <v>55</v>
      </c>
      <c r="F23" s="281">
        <v>103</v>
      </c>
      <c r="G23" s="281" t="s">
        <v>56</v>
      </c>
      <c r="H23" s="282" t="str">
        <f t="shared" si="2"/>
        <v>Variable</v>
      </c>
      <c r="I23" s="284">
        <f t="shared" si="3"/>
        <v>1401.97</v>
      </c>
      <c r="J23" s="282" t="s">
        <v>37</v>
      </c>
      <c r="K23" s="281" t="s">
        <v>697</v>
      </c>
      <c r="N23" s="103" t="s">
        <v>919</v>
      </c>
      <c r="O23" s="4">
        <f>SUMIFS(F:F,J:J,N23)+SUMIFS('Cash Flow'!$B:$B,'Cash Flow'!$A:$A,Discover!N23)*-1</f>
        <v>1213.2900000000002</v>
      </c>
      <c r="R23" s="25" t="s">
        <v>529</v>
      </c>
      <c r="S23" s="24">
        <f t="shared" ref="S23:AA23" si="15">SUM(S7:S15,S17:S21)</f>
        <v>1269.57</v>
      </c>
      <c r="T23" s="24">
        <f t="shared" si="15"/>
        <v>1207.0200000000002</v>
      </c>
      <c r="U23" s="24">
        <f t="shared" si="15"/>
        <v>2202.4100000000003</v>
      </c>
      <c r="V23" s="24">
        <f t="shared" si="15"/>
        <v>1518.0100000000002</v>
      </c>
      <c r="W23" s="24">
        <f t="shared" si="15"/>
        <v>2857.34</v>
      </c>
      <c r="X23" s="24">
        <f t="shared" si="15"/>
        <v>3219.6800000000007</v>
      </c>
      <c r="Y23" s="24">
        <f t="shared" si="15"/>
        <v>5493.0599999999995</v>
      </c>
      <c r="Z23" s="24">
        <f t="shared" si="15"/>
        <v>3260.0700000000006</v>
      </c>
      <c r="AA23" s="24">
        <f t="shared" si="15"/>
        <v>5390.0400000000009</v>
      </c>
      <c r="AB23" s="24">
        <f t="shared" ref="AB23" si="16">SUM(AB7:AB15,AB17:AB21)</f>
        <v>0</v>
      </c>
    </row>
    <row r="24" spans="1:28" ht="20.25" customHeight="1" x14ac:dyDescent="0.2">
      <c r="A24" s="268">
        <f t="shared" si="0"/>
        <v>2021</v>
      </c>
      <c r="B24" s="268">
        <f t="shared" si="1"/>
        <v>1</v>
      </c>
      <c r="C24" s="279">
        <v>44207</v>
      </c>
      <c r="D24" s="279">
        <v>44207</v>
      </c>
      <c r="E24" s="280" t="s">
        <v>57</v>
      </c>
      <c r="F24" s="281">
        <v>49</v>
      </c>
      <c r="G24" s="281" t="s">
        <v>90</v>
      </c>
      <c r="H24" s="282" t="str">
        <f t="shared" si="2"/>
        <v>Variable</v>
      </c>
      <c r="I24" s="284">
        <f t="shared" si="3"/>
        <v>1450.97</v>
      </c>
      <c r="J24" s="282">
        <v>0</v>
      </c>
      <c r="K24" s="281" t="s">
        <v>688</v>
      </c>
      <c r="O24" s="4">
        <f>SUM(O21:O22)</f>
        <v>2998.15</v>
      </c>
    </row>
    <row r="25" spans="1:28" ht="20.25" customHeight="1" x14ac:dyDescent="0.2">
      <c r="A25" s="268">
        <f t="shared" si="0"/>
        <v>2021</v>
      </c>
      <c r="B25" s="268">
        <f t="shared" si="1"/>
        <v>1</v>
      </c>
      <c r="C25" s="279">
        <v>44208</v>
      </c>
      <c r="D25" s="279">
        <v>44208</v>
      </c>
      <c r="E25" s="280" t="s">
        <v>60</v>
      </c>
      <c r="F25" s="281">
        <v>23.27</v>
      </c>
      <c r="G25" s="281" t="s">
        <v>24</v>
      </c>
      <c r="H25" s="282" t="str">
        <f t="shared" si="2"/>
        <v>Variable</v>
      </c>
      <c r="I25" s="284">
        <f t="shared" si="3"/>
        <v>1474.24</v>
      </c>
      <c r="J25" s="282">
        <v>0</v>
      </c>
      <c r="K25" s="281" t="s">
        <v>628</v>
      </c>
    </row>
    <row r="26" spans="1:28" ht="20.25" customHeight="1" x14ac:dyDescent="0.2">
      <c r="A26" s="268">
        <f t="shared" si="0"/>
        <v>2021</v>
      </c>
      <c r="B26" s="268">
        <f t="shared" si="1"/>
        <v>1</v>
      </c>
      <c r="C26" s="279">
        <v>44208</v>
      </c>
      <c r="D26" s="279">
        <v>44208</v>
      </c>
      <c r="E26" s="280" t="s">
        <v>58</v>
      </c>
      <c r="F26" s="281">
        <v>3.33</v>
      </c>
      <c r="G26" s="281" t="s">
        <v>56</v>
      </c>
      <c r="H26" s="282" t="str">
        <f t="shared" si="2"/>
        <v>Variable</v>
      </c>
      <c r="I26" s="284">
        <f t="shared" si="3"/>
        <v>1477.57</v>
      </c>
      <c r="J26" s="282" t="s">
        <v>35</v>
      </c>
      <c r="K26" s="281" t="s">
        <v>697</v>
      </c>
    </row>
    <row r="27" spans="1:28" ht="20.25" customHeight="1" x14ac:dyDescent="0.2">
      <c r="A27" s="268">
        <f t="shared" si="0"/>
        <v>2021</v>
      </c>
      <c r="B27" s="268">
        <f t="shared" si="1"/>
        <v>1</v>
      </c>
      <c r="C27" s="279">
        <v>44208</v>
      </c>
      <c r="D27" s="279">
        <v>44208</v>
      </c>
      <c r="E27" s="280" t="s">
        <v>59</v>
      </c>
      <c r="F27" s="281">
        <v>1.99</v>
      </c>
      <c r="G27" s="281" t="s">
        <v>26</v>
      </c>
      <c r="H27" s="282" t="str">
        <f t="shared" si="2"/>
        <v>Fixed</v>
      </c>
      <c r="I27" s="284">
        <f t="shared" si="3"/>
        <v>1479.56</v>
      </c>
      <c r="J27" s="282" t="s">
        <v>282</v>
      </c>
      <c r="K27" s="281" t="s">
        <v>781</v>
      </c>
    </row>
    <row r="28" spans="1:28" ht="20.25" customHeight="1" x14ac:dyDescent="0.2">
      <c r="A28" s="268">
        <f t="shared" si="0"/>
        <v>2021</v>
      </c>
      <c r="B28" s="268">
        <f t="shared" si="1"/>
        <v>1</v>
      </c>
      <c r="C28" s="279">
        <v>44211</v>
      </c>
      <c r="D28" s="279">
        <v>44211</v>
      </c>
      <c r="E28" s="280" t="s">
        <v>61</v>
      </c>
      <c r="F28" s="281">
        <v>-22.18</v>
      </c>
      <c r="G28" s="281" t="s">
        <v>62</v>
      </c>
      <c r="H28" s="282" t="str">
        <f t="shared" si="2"/>
        <v>Payment</v>
      </c>
      <c r="I28" s="284">
        <f t="shared" si="3"/>
        <v>1457.3799999999999</v>
      </c>
      <c r="J28" s="282">
        <v>0</v>
      </c>
      <c r="K28" s="281">
        <v>0</v>
      </c>
    </row>
    <row r="29" spans="1:28" ht="20.25" customHeight="1" x14ac:dyDescent="0.2">
      <c r="A29" s="268">
        <f t="shared" si="0"/>
        <v>2021</v>
      </c>
      <c r="B29" s="268">
        <f t="shared" si="1"/>
        <v>1</v>
      </c>
      <c r="C29" s="279">
        <v>44211</v>
      </c>
      <c r="D29" s="279">
        <v>44211</v>
      </c>
      <c r="E29" s="280" t="s">
        <v>77</v>
      </c>
      <c r="F29" s="281">
        <v>-728.15</v>
      </c>
      <c r="G29" s="281" t="s">
        <v>22</v>
      </c>
      <c r="H29" s="282" t="str">
        <f t="shared" si="2"/>
        <v>Payment</v>
      </c>
      <c r="I29" s="284">
        <f t="shared" si="3"/>
        <v>729.2299999999999</v>
      </c>
      <c r="J29" s="282">
        <v>0</v>
      </c>
      <c r="K29" s="281">
        <v>0</v>
      </c>
    </row>
    <row r="30" spans="1:28" ht="20.25" customHeight="1" x14ac:dyDescent="0.2">
      <c r="A30" s="268">
        <f t="shared" si="0"/>
        <v>2021</v>
      </c>
      <c r="B30" s="268">
        <f t="shared" si="1"/>
        <v>1</v>
      </c>
      <c r="C30" s="279">
        <v>44211</v>
      </c>
      <c r="D30" s="279">
        <v>44211</v>
      </c>
      <c r="E30" s="280" t="s">
        <v>21</v>
      </c>
      <c r="F30" s="281">
        <v>-729.23</v>
      </c>
      <c r="G30" s="281" t="s">
        <v>22</v>
      </c>
      <c r="H30" s="282" t="str">
        <f t="shared" si="2"/>
        <v>Payment</v>
      </c>
      <c r="I30" s="284">
        <f t="shared" si="3"/>
        <v>0</v>
      </c>
      <c r="J30" s="282">
        <v>0</v>
      </c>
      <c r="K30" s="281">
        <v>0</v>
      </c>
    </row>
    <row r="31" spans="1:28" ht="20.25" customHeight="1" x14ac:dyDescent="0.2">
      <c r="A31" s="268">
        <f t="shared" si="0"/>
        <v>2021</v>
      </c>
      <c r="B31" s="268">
        <f t="shared" si="1"/>
        <v>1</v>
      </c>
      <c r="C31" s="279">
        <v>44211</v>
      </c>
      <c r="D31" s="279">
        <v>44211</v>
      </c>
      <c r="E31" s="280" t="s">
        <v>63</v>
      </c>
      <c r="F31" s="281">
        <v>4.32</v>
      </c>
      <c r="G31" s="281" t="s">
        <v>56</v>
      </c>
      <c r="H31" s="282" t="str">
        <f t="shared" si="2"/>
        <v>Variable</v>
      </c>
      <c r="I31" s="284">
        <f t="shared" si="3"/>
        <v>4.32</v>
      </c>
      <c r="J31" s="282" t="s">
        <v>35</v>
      </c>
      <c r="K31" s="281" t="s">
        <v>697</v>
      </c>
    </row>
    <row r="32" spans="1:28" ht="20.25" customHeight="1" x14ac:dyDescent="0.2">
      <c r="A32" s="268">
        <f t="shared" si="0"/>
        <v>2021</v>
      </c>
      <c r="B32" s="268">
        <f t="shared" si="1"/>
        <v>1</v>
      </c>
      <c r="C32" s="279">
        <v>44211</v>
      </c>
      <c r="D32" s="279">
        <v>44211</v>
      </c>
      <c r="E32" s="280" t="s">
        <v>64</v>
      </c>
      <c r="F32" s="281">
        <v>21.19</v>
      </c>
      <c r="G32" s="281" t="s">
        <v>67</v>
      </c>
      <c r="H32" s="282" t="str">
        <f t="shared" si="2"/>
        <v>Variable</v>
      </c>
      <c r="I32" s="284">
        <f t="shared" si="3"/>
        <v>25.51</v>
      </c>
      <c r="J32" s="282" t="s">
        <v>65</v>
      </c>
      <c r="K32" s="281" t="s">
        <v>697</v>
      </c>
    </row>
    <row r="33" spans="1:11" ht="20.25" customHeight="1" x14ac:dyDescent="0.2">
      <c r="A33" s="268">
        <f t="shared" si="0"/>
        <v>2021</v>
      </c>
      <c r="B33" s="268">
        <f t="shared" si="1"/>
        <v>1</v>
      </c>
      <c r="C33" s="279">
        <v>44211</v>
      </c>
      <c r="D33" s="279">
        <v>44211</v>
      </c>
      <c r="E33" s="280" t="s">
        <v>49</v>
      </c>
      <c r="F33" s="281">
        <v>19.399999999999999</v>
      </c>
      <c r="G33" s="281" t="s">
        <v>67</v>
      </c>
      <c r="H33" s="282" t="str">
        <f t="shared" si="2"/>
        <v>Variable</v>
      </c>
      <c r="I33" s="284">
        <f t="shared" si="3"/>
        <v>44.91</v>
      </c>
      <c r="J33" s="282">
        <v>0</v>
      </c>
      <c r="K33" s="281" t="s">
        <v>688</v>
      </c>
    </row>
    <row r="34" spans="1:11" ht="20.25" customHeight="1" x14ac:dyDescent="0.2">
      <c r="A34" s="268">
        <f t="shared" si="0"/>
        <v>2021</v>
      </c>
      <c r="B34" s="268">
        <f t="shared" si="1"/>
        <v>1</v>
      </c>
      <c r="C34" s="279">
        <v>44212</v>
      </c>
      <c r="D34" s="279">
        <v>44212</v>
      </c>
      <c r="E34" s="280" t="s">
        <v>66</v>
      </c>
      <c r="F34" s="281">
        <v>58.29</v>
      </c>
      <c r="G34" s="281" t="s">
        <v>67</v>
      </c>
      <c r="H34" s="282" t="str">
        <f t="shared" si="2"/>
        <v>Variable</v>
      </c>
      <c r="I34" s="284">
        <f t="shared" si="3"/>
        <v>103.19999999999999</v>
      </c>
      <c r="J34" s="282" t="s">
        <v>68</v>
      </c>
      <c r="K34" s="281" t="s">
        <v>688</v>
      </c>
    </row>
    <row r="35" spans="1:11" ht="20.25" customHeight="1" x14ac:dyDescent="0.2">
      <c r="A35" s="268">
        <f t="shared" si="0"/>
        <v>2021</v>
      </c>
      <c r="B35" s="268">
        <f t="shared" si="1"/>
        <v>1</v>
      </c>
      <c r="C35" s="279">
        <v>44215</v>
      </c>
      <c r="D35" s="279">
        <v>44215</v>
      </c>
      <c r="E35" s="280" t="s">
        <v>78</v>
      </c>
      <c r="F35" s="281">
        <v>8.23</v>
      </c>
      <c r="G35" s="281" t="s">
        <v>41</v>
      </c>
      <c r="H35" s="282" t="str">
        <f t="shared" ref="H35:H66" si="17">VLOOKUP(G35,Expense_Lookup,2,0)</f>
        <v>Variable</v>
      </c>
      <c r="I35" s="284">
        <f t="shared" si="3"/>
        <v>111.42999999999999</v>
      </c>
      <c r="J35" s="282">
        <v>0</v>
      </c>
      <c r="K35" s="281" t="s">
        <v>670</v>
      </c>
    </row>
    <row r="36" spans="1:11" ht="20.25" customHeight="1" x14ac:dyDescent="0.2">
      <c r="A36" s="268">
        <f t="shared" si="0"/>
        <v>2021</v>
      </c>
      <c r="B36" s="268">
        <f t="shared" si="1"/>
        <v>1</v>
      </c>
      <c r="C36" s="279">
        <v>44215</v>
      </c>
      <c r="D36" s="279">
        <v>44215</v>
      </c>
      <c r="E36" s="280" t="s">
        <v>43</v>
      </c>
      <c r="F36" s="281">
        <v>2.86</v>
      </c>
      <c r="G36" s="281" t="s">
        <v>56</v>
      </c>
      <c r="H36" s="282" t="str">
        <f t="shared" si="17"/>
        <v>Variable</v>
      </c>
      <c r="I36" s="284">
        <f t="shared" si="3"/>
        <v>114.28999999999999</v>
      </c>
      <c r="J36" s="282" t="s">
        <v>35</v>
      </c>
      <c r="K36" s="281" t="s">
        <v>697</v>
      </c>
    </row>
    <row r="37" spans="1:11" ht="20.25" customHeight="1" x14ac:dyDescent="0.2">
      <c r="A37" s="268">
        <f t="shared" si="0"/>
        <v>2021</v>
      </c>
      <c r="B37" s="268">
        <f t="shared" si="1"/>
        <v>1</v>
      </c>
      <c r="C37" s="279">
        <v>44215</v>
      </c>
      <c r="D37" s="279">
        <v>44215</v>
      </c>
      <c r="E37" s="280" t="s">
        <v>69</v>
      </c>
      <c r="F37" s="281">
        <v>99.9</v>
      </c>
      <c r="G37" s="281" t="s">
        <v>67</v>
      </c>
      <c r="H37" s="282" t="str">
        <f t="shared" si="17"/>
        <v>Variable</v>
      </c>
      <c r="I37" s="284">
        <f t="shared" si="3"/>
        <v>214.19</v>
      </c>
      <c r="J37" s="282">
        <v>0</v>
      </c>
      <c r="K37" s="281" t="s">
        <v>688</v>
      </c>
    </row>
    <row r="38" spans="1:11" ht="20.25" customHeight="1" x14ac:dyDescent="0.2">
      <c r="A38" s="268">
        <f t="shared" si="0"/>
        <v>2021</v>
      </c>
      <c r="B38" s="268">
        <f t="shared" si="1"/>
        <v>1</v>
      </c>
      <c r="C38" s="279">
        <v>44216</v>
      </c>
      <c r="D38" s="279">
        <v>44216</v>
      </c>
      <c r="E38" s="280" t="s">
        <v>39</v>
      </c>
      <c r="F38" s="281">
        <v>15.15</v>
      </c>
      <c r="G38" s="281" t="s">
        <v>89</v>
      </c>
      <c r="H38" s="282" t="str">
        <f t="shared" si="17"/>
        <v>Variable</v>
      </c>
      <c r="I38" s="284">
        <f t="shared" si="3"/>
        <v>229.34</v>
      </c>
      <c r="J38" s="282">
        <v>0</v>
      </c>
      <c r="K38" s="281" t="s">
        <v>670</v>
      </c>
    </row>
    <row r="39" spans="1:11" ht="20.25" customHeight="1" x14ac:dyDescent="0.2">
      <c r="A39" s="268">
        <f t="shared" si="0"/>
        <v>2021</v>
      </c>
      <c r="B39" s="268">
        <f t="shared" si="1"/>
        <v>1</v>
      </c>
      <c r="C39" s="279">
        <v>44217</v>
      </c>
      <c r="D39" s="279">
        <v>44217</v>
      </c>
      <c r="E39" s="280" t="s">
        <v>79</v>
      </c>
      <c r="F39" s="281">
        <v>9.9499999999999993</v>
      </c>
      <c r="G39" s="281" t="s">
        <v>56</v>
      </c>
      <c r="H39" s="282" t="str">
        <f t="shared" si="17"/>
        <v>Variable</v>
      </c>
      <c r="I39" s="284">
        <f t="shared" si="3"/>
        <v>239.29</v>
      </c>
      <c r="J39" s="282" t="s">
        <v>35</v>
      </c>
      <c r="K39" s="281" t="s">
        <v>697</v>
      </c>
    </row>
    <row r="40" spans="1:11" ht="20.25" customHeight="1" x14ac:dyDescent="0.2">
      <c r="A40" s="268">
        <f t="shared" si="0"/>
        <v>2021</v>
      </c>
      <c r="B40" s="268">
        <f t="shared" si="1"/>
        <v>1</v>
      </c>
      <c r="C40" s="279">
        <v>44217</v>
      </c>
      <c r="D40" s="279">
        <v>44217</v>
      </c>
      <c r="E40" s="280" t="s">
        <v>80</v>
      </c>
      <c r="F40" s="281">
        <v>7.99</v>
      </c>
      <c r="G40" s="281" t="s">
        <v>26</v>
      </c>
      <c r="H40" s="282" t="str">
        <f t="shared" si="17"/>
        <v>Fixed</v>
      </c>
      <c r="I40" s="284">
        <f t="shared" si="3"/>
        <v>247.28</v>
      </c>
      <c r="J40" s="282" t="s">
        <v>9</v>
      </c>
      <c r="K40" s="281" t="s">
        <v>781</v>
      </c>
    </row>
    <row r="41" spans="1:11" ht="20.25" customHeight="1" x14ac:dyDescent="0.2">
      <c r="A41" s="268">
        <f t="shared" si="0"/>
        <v>2021</v>
      </c>
      <c r="B41" s="268">
        <f t="shared" si="1"/>
        <v>1</v>
      </c>
      <c r="C41" s="279">
        <v>44218</v>
      </c>
      <c r="D41" s="279">
        <v>44218</v>
      </c>
      <c r="E41" s="280" t="s">
        <v>39</v>
      </c>
      <c r="F41" s="281">
        <v>15.61</v>
      </c>
      <c r="G41" s="281" t="s">
        <v>89</v>
      </c>
      <c r="H41" s="282" t="str">
        <f t="shared" si="17"/>
        <v>Variable</v>
      </c>
      <c r="I41" s="284">
        <f t="shared" si="3"/>
        <v>262.89</v>
      </c>
      <c r="J41" s="282">
        <v>0</v>
      </c>
      <c r="K41" s="281" t="s">
        <v>670</v>
      </c>
    </row>
    <row r="42" spans="1:11" ht="20.25" customHeight="1" x14ac:dyDescent="0.2">
      <c r="A42" s="268">
        <f t="shared" si="0"/>
        <v>2021</v>
      </c>
      <c r="B42" s="268">
        <f t="shared" si="1"/>
        <v>1</v>
      </c>
      <c r="C42" s="279">
        <v>44219</v>
      </c>
      <c r="D42" s="279">
        <v>44219</v>
      </c>
      <c r="E42" s="280" t="s">
        <v>81</v>
      </c>
      <c r="F42" s="281">
        <v>84.43</v>
      </c>
      <c r="G42" s="281" t="s">
        <v>67</v>
      </c>
      <c r="H42" s="282" t="str">
        <f t="shared" si="17"/>
        <v>Variable</v>
      </c>
      <c r="I42" s="284">
        <f t="shared" si="3"/>
        <v>347.32</v>
      </c>
      <c r="J42" s="282" t="s">
        <v>72</v>
      </c>
      <c r="K42" s="281" t="s">
        <v>670</v>
      </c>
    </row>
    <row r="43" spans="1:11" ht="20.25" customHeight="1" x14ac:dyDescent="0.2">
      <c r="A43" s="268">
        <f t="shared" si="0"/>
        <v>2021</v>
      </c>
      <c r="B43" s="268">
        <f t="shared" si="1"/>
        <v>1</v>
      </c>
      <c r="C43" s="279">
        <v>44219</v>
      </c>
      <c r="D43" s="279">
        <v>44219</v>
      </c>
      <c r="E43" s="280" t="s">
        <v>82</v>
      </c>
      <c r="F43" s="281">
        <v>3.35</v>
      </c>
      <c r="G43" s="281" t="s">
        <v>52</v>
      </c>
      <c r="H43" s="282" t="str">
        <f t="shared" si="17"/>
        <v>Variable</v>
      </c>
      <c r="I43" s="284">
        <f t="shared" si="3"/>
        <v>350.67</v>
      </c>
      <c r="J43" s="282" t="s">
        <v>48</v>
      </c>
      <c r="K43" s="281" t="s">
        <v>628</v>
      </c>
    </row>
    <row r="44" spans="1:11" ht="20.25" customHeight="1" x14ac:dyDescent="0.2">
      <c r="A44" s="268">
        <f t="shared" si="0"/>
        <v>2021</v>
      </c>
      <c r="B44" s="268">
        <f t="shared" si="1"/>
        <v>1</v>
      </c>
      <c r="C44" s="279">
        <v>44219</v>
      </c>
      <c r="D44" s="279">
        <v>44219</v>
      </c>
      <c r="E44" s="280" t="s">
        <v>83</v>
      </c>
      <c r="F44" s="281">
        <v>14.68</v>
      </c>
      <c r="G44" s="281" t="s">
        <v>41</v>
      </c>
      <c r="H44" s="282" t="str">
        <f t="shared" si="17"/>
        <v>Variable</v>
      </c>
      <c r="I44" s="284">
        <f t="shared" si="3"/>
        <v>365.35</v>
      </c>
      <c r="J44" s="282" t="s">
        <v>71</v>
      </c>
      <c r="K44" s="281" t="s">
        <v>670</v>
      </c>
    </row>
    <row r="45" spans="1:11" ht="20.25" customHeight="1" x14ac:dyDescent="0.2">
      <c r="A45" s="268">
        <f t="shared" si="0"/>
        <v>2021</v>
      </c>
      <c r="B45" s="268">
        <f t="shared" si="1"/>
        <v>1</v>
      </c>
      <c r="C45" s="279">
        <v>44221</v>
      </c>
      <c r="D45" s="279">
        <v>44221</v>
      </c>
      <c r="E45" s="280" t="s">
        <v>60</v>
      </c>
      <c r="F45" s="281">
        <v>2.76</v>
      </c>
      <c r="G45" s="281" t="s">
        <v>24</v>
      </c>
      <c r="H45" s="282" t="str">
        <f t="shared" si="17"/>
        <v>Variable</v>
      </c>
      <c r="I45" s="284">
        <f t="shared" si="3"/>
        <v>368.11</v>
      </c>
      <c r="J45" s="282">
        <v>0</v>
      </c>
      <c r="K45" s="281" t="s">
        <v>628</v>
      </c>
    </row>
    <row r="46" spans="1:11" ht="20.25" customHeight="1" x14ac:dyDescent="0.2">
      <c r="A46" s="268">
        <f t="shared" si="0"/>
        <v>2021</v>
      </c>
      <c r="B46" s="268">
        <f t="shared" si="1"/>
        <v>1</v>
      </c>
      <c r="C46" s="279">
        <v>44221</v>
      </c>
      <c r="D46" s="279">
        <v>44221</v>
      </c>
      <c r="E46" s="280" t="s">
        <v>60</v>
      </c>
      <c r="F46" s="281">
        <v>22.97</v>
      </c>
      <c r="G46" s="281" t="s">
        <v>24</v>
      </c>
      <c r="H46" s="282" t="str">
        <f t="shared" si="17"/>
        <v>Variable</v>
      </c>
      <c r="I46" s="284">
        <f t="shared" si="3"/>
        <v>391.08000000000004</v>
      </c>
      <c r="J46" s="282">
        <v>0</v>
      </c>
      <c r="K46" s="281" t="s">
        <v>628</v>
      </c>
    </row>
    <row r="47" spans="1:11" x14ac:dyDescent="0.2">
      <c r="A47" s="268">
        <f t="shared" si="0"/>
        <v>2021</v>
      </c>
      <c r="B47" s="268">
        <f t="shared" si="1"/>
        <v>1</v>
      </c>
      <c r="C47" s="279">
        <v>44222</v>
      </c>
      <c r="D47" s="279">
        <v>44222</v>
      </c>
      <c r="E47" s="280" t="s">
        <v>78</v>
      </c>
      <c r="F47" s="281">
        <v>8.23</v>
      </c>
      <c r="G47" s="281" t="s">
        <v>41</v>
      </c>
      <c r="H47" s="282" t="str">
        <f t="shared" si="17"/>
        <v>Variable</v>
      </c>
      <c r="I47" s="284">
        <f t="shared" si="3"/>
        <v>399.31000000000006</v>
      </c>
      <c r="J47" s="282">
        <v>0</v>
      </c>
      <c r="K47" s="281" t="s">
        <v>670</v>
      </c>
    </row>
    <row r="48" spans="1:11" x14ac:dyDescent="0.2">
      <c r="A48" s="268">
        <f t="shared" si="0"/>
        <v>2021</v>
      </c>
      <c r="B48" s="268">
        <f t="shared" si="1"/>
        <v>1</v>
      </c>
      <c r="C48" s="279">
        <v>44222</v>
      </c>
      <c r="D48" s="279">
        <v>44222</v>
      </c>
      <c r="E48" s="280" t="s">
        <v>84</v>
      </c>
      <c r="F48" s="281">
        <v>63.87</v>
      </c>
      <c r="G48" s="281" t="s">
        <v>89</v>
      </c>
      <c r="H48" s="282" t="str">
        <f t="shared" si="17"/>
        <v>Variable</v>
      </c>
      <c r="I48" s="284">
        <f t="shared" si="3"/>
        <v>463.18000000000006</v>
      </c>
      <c r="J48" s="282">
        <v>0</v>
      </c>
      <c r="K48" s="281" t="s">
        <v>670</v>
      </c>
    </row>
    <row r="49" spans="1:11" x14ac:dyDescent="0.2">
      <c r="A49" s="268">
        <f t="shared" si="0"/>
        <v>2021</v>
      </c>
      <c r="B49" s="268">
        <f t="shared" si="1"/>
        <v>1</v>
      </c>
      <c r="C49" s="279">
        <v>44223</v>
      </c>
      <c r="D49" s="279">
        <v>44223</v>
      </c>
      <c r="E49" s="280" t="s">
        <v>43</v>
      </c>
      <c r="F49" s="281">
        <v>1.51</v>
      </c>
      <c r="G49" s="281" t="s">
        <v>56</v>
      </c>
      <c r="H49" s="282" t="str">
        <f t="shared" si="17"/>
        <v>Variable</v>
      </c>
      <c r="I49" s="284">
        <f t="shared" si="3"/>
        <v>464.69000000000005</v>
      </c>
      <c r="J49" s="282" t="s">
        <v>35</v>
      </c>
      <c r="K49" s="281" t="s">
        <v>697</v>
      </c>
    </row>
    <row r="50" spans="1:11" x14ac:dyDescent="0.2">
      <c r="A50" s="268">
        <f t="shared" si="0"/>
        <v>2021</v>
      </c>
      <c r="B50" s="268">
        <f t="shared" si="1"/>
        <v>1</v>
      </c>
      <c r="C50" s="279">
        <v>44223</v>
      </c>
      <c r="D50" s="279">
        <v>44223</v>
      </c>
      <c r="E50" s="280" t="s">
        <v>43</v>
      </c>
      <c r="F50" s="281">
        <v>2.2400000000000002</v>
      </c>
      <c r="G50" s="281" t="s">
        <v>56</v>
      </c>
      <c r="H50" s="282" t="str">
        <f t="shared" si="17"/>
        <v>Variable</v>
      </c>
      <c r="I50" s="284">
        <f t="shared" si="3"/>
        <v>466.93000000000006</v>
      </c>
      <c r="J50" s="282" t="s">
        <v>35</v>
      </c>
      <c r="K50" s="281" t="s">
        <v>697</v>
      </c>
    </row>
    <row r="51" spans="1:11" x14ac:dyDescent="0.2">
      <c r="A51" s="268">
        <f t="shared" si="0"/>
        <v>2021</v>
      </c>
      <c r="B51" s="268">
        <f t="shared" si="1"/>
        <v>1</v>
      </c>
      <c r="C51" s="279">
        <v>44223</v>
      </c>
      <c r="D51" s="279">
        <v>44223</v>
      </c>
      <c r="E51" s="280" t="s">
        <v>85</v>
      </c>
      <c r="F51" s="281">
        <v>4.75</v>
      </c>
      <c r="G51" s="281" t="s">
        <v>89</v>
      </c>
      <c r="H51" s="282" t="str">
        <f t="shared" si="17"/>
        <v>Variable</v>
      </c>
      <c r="I51" s="284">
        <f t="shared" si="3"/>
        <v>471.68000000000006</v>
      </c>
      <c r="J51" s="282">
        <v>0</v>
      </c>
      <c r="K51" s="281" t="s">
        <v>670</v>
      </c>
    </row>
    <row r="52" spans="1:11" x14ac:dyDescent="0.2">
      <c r="A52" s="268">
        <f t="shared" si="0"/>
        <v>2021</v>
      </c>
      <c r="B52" s="268">
        <f t="shared" si="1"/>
        <v>1</v>
      </c>
      <c r="C52" s="279">
        <v>44224</v>
      </c>
      <c r="D52" s="279">
        <v>44224</v>
      </c>
      <c r="E52" s="280" t="s">
        <v>86</v>
      </c>
      <c r="F52" s="281">
        <v>9.9499999999999993</v>
      </c>
      <c r="G52" s="281" t="s">
        <v>26</v>
      </c>
      <c r="H52" s="282" t="str">
        <f t="shared" si="17"/>
        <v>Fixed</v>
      </c>
      <c r="I52" s="284">
        <f t="shared" si="3"/>
        <v>481.63000000000005</v>
      </c>
      <c r="J52" s="282" t="s">
        <v>319</v>
      </c>
      <c r="K52" s="281" t="s">
        <v>781</v>
      </c>
    </row>
    <row r="53" spans="1:11" x14ac:dyDescent="0.2">
      <c r="A53" s="268">
        <f t="shared" si="0"/>
        <v>2021</v>
      </c>
      <c r="B53" s="286">
        <f t="shared" si="1"/>
        <v>1</v>
      </c>
      <c r="C53" s="279">
        <v>44226</v>
      </c>
      <c r="D53" s="279">
        <v>44226</v>
      </c>
      <c r="E53" s="287" t="s">
        <v>39</v>
      </c>
      <c r="F53" s="282">
        <v>7.42</v>
      </c>
      <c r="G53" s="281" t="s">
        <v>89</v>
      </c>
      <c r="H53" s="282" t="str">
        <f t="shared" si="17"/>
        <v>Variable</v>
      </c>
      <c r="I53" s="284">
        <f t="shared" si="3"/>
        <v>489.05000000000007</v>
      </c>
      <c r="J53" s="282">
        <v>0</v>
      </c>
      <c r="K53" s="281" t="s">
        <v>670</v>
      </c>
    </row>
    <row r="54" spans="1:11" x14ac:dyDescent="0.2">
      <c r="A54" s="268">
        <f t="shared" si="0"/>
        <v>2021</v>
      </c>
      <c r="B54" s="286">
        <f t="shared" si="1"/>
        <v>1</v>
      </c>
      <c r="C54" s="279">
        <v>44227</v>
      </c>
      <c r="D54" s="279">
        <v>44227</v>
      </c>
      <c r="E54" s="287" t="s">
        <v>87</v>
      </c>
      <c r="F54" s="282">
        <v>9.89</v>
      </c>
      <c r="G54" s="281" t="s">
        <v>56</v>
      </c>
      <c r="H54" s="282" t="str">
        <f t="shared" si="17"/>
        <v>Variable</v>
      </c>
      <c r="I54" s="284">
        <f t="shared" si="3"/>
        <v>498.94000000000005</v>
      </c>
      <c r="J54" s="282" t="s">
        <v>35</v>
      </c>
      <c r="K54" s="281" t="s">
        <v>697</v>
      </c>
    </row>
    <row r="55" spans="1:11" ht="15.75" thickBot="1" x14ac:dyDescent="0.25">
      <c r="A55" s="269">
        <f t="shared" si="0"/>
        <v>2021</v>
      </c>
      <c r="B55" s="288">
        <f t="shared" si="1"/>
        <v>1</v>
      </c>
      <c r="C55" s="289">
        <v>44227</v>
      </c>
      <c r="D55" s="289">
        <v>44227</v>
      </c>
      <c r="E55" s="290" t="s">
        <v>49</v>
      </c>
      <c r="F55" s="291">
        <v>19.22</v>
      </c>
      <c r="G55" s="291" t="s">
        <v>67</v>
      </c>
      <c r="H55" s="291" t="str">
        <f t="shared" si="17"/>
        <v>Variable</v>
      </c>
      <c r="I55" s="284">
        <f t="shared" si="3"/>
        <v>518.16000000000008</v>
      </c>
      <c r="J55" s="291">
        <v>0</v>
      </c>
      <c r="K55" s="291" t="s">
        <v>688</v>
      </c>
    </row>
    <row r="56" spans="1:11" x14ac:dyDescent="0.2">
      <c r="A56" s="270">
        <f t="shared" si="0"/>
        <v>2021</v>
      </c>
      <c r="B56" s="292">
        <f t="shared" si="1"/>
        <v>2</v>
      </c>
      <c r="C56" s="293">
        <v>44228</v>
      </c>
      <c r="D56" s="293">
        <v>44228</v>
      </c>
      <c r="E56" s="294" t="s">
        <v>73</v>
      </c>
      <c r="F56" s="295">
        <v>13.99</v>
      </c>
      <c r="G56" s="295" t="s">
        <v>26</v>
      </c>
      <c r="H56" s="295" t="str">
        <f t="shared" si="17"/>
        <v>Fixed</v>
      </c>
      <c r="I56" s="284">
        <f t="shared" si="3"/>
        <v>532.15000000000009</v>
      </c>
      <c r="J56" s="296" t="s">
        <v>7</v>
      </c>
      <c r="K56" s="295" t="s">
        <v>781</v>
      </c>
    </row>
    <row r="57" spans="1:11" x14ac:dyDescent="0.2">
      <c r="A57" s="271">
        <f t="shared" si="0"/>
        <v>2021</v>
      </c>
      <c r="B57" s="268">
        <f t="shared" si="1"/>
        <v>2</v>
      </c>
      <c r="C57" s="297">
        <v>44228</v>
      </c>
      <c r="D57" s="297">
        <v>44228</v>
      </c>
      <c r="E57" s="280" t="s">
        <v>74</v>
      </c>
      <c r="F57" s="281">
        <v>9.99</v>
      </c>
      <c r="G57" s="281" t="s">
        <v>26</v>
      </c>
      <c r="H57" s="282" t="str">
        <f t="shared" si="17"/>
        <v>Fixed</v>
      </c>
      <c r="I57" s="284">
        <f t="shared" si="3"/>
        <v>542.1400000000001</v>
      </c>
      <c r="J57" s="298" t="s">
        <v>6</v>
      </c>
      <c r="K57" s="281" t="s">
        <v>781</v>
      </c>
    </row>
    <row r="58" spans="1:11" x14ac:dyDescent="0.2">
      <c r="A58" s="271">
        <f t="shared" si="0"/>
        <v>2021</v>
      </c>
      <c r="B58" s="268">
        <f t="shared" si="1"/>
        <v>2</v>
      </c>
      <c r="C58" s="297">
        <v>44228</v>
      </c>
      <c r="D58" s="297">
        <v>44230</v>
      </c>
      <c r="E58" s="280" t="s">
        <v>43</v>
      </c>
      <c r="F58" s="281">
        <v>15.92</v>
      </c>
      <c r="G58" s="281" t="s">
        <v>56</v>
      </c>
      <c r="H58" s="281" t="str">
        <f t="shared" si="17"/>
        <v>Variable</v>
      </c>
      <c r="I58" s="284">
        <f t="shared" si="3"/>
        <v>558.06000000000006</v>
      </c>
      <c r="J58" s="299" t="s">
        <v>35</v>
      </c>
      <c r="K58" s="281" t="s">
        <v>697</v>
      </c>
    </row>
    <row r="59" spans="1:11" x14ac:dyDescent="0.2">
      <c r="A59" s="271">
        <f t="shared" si="0"/>
        <v>2021</v>
      </c>
      <c r="B59" s="286">
        <f t="shared" si="1"/>
        <v>2</v>
      </c>
      <c r="C59" s="297">
        <v>44229</v>
      </c>
      <c r="D59" s="297">
        <v>44230</v>
      </c>
      <c r="E59" s="287" t="s">
        <v>43</v>
      </c>
      <c r="F59" s="282">
        <v>37.01</v>
      </c>
      <c r="G59" s="282" t="s">
        <v>56</v>
      </c>
      <c r="H59" s="282" t="str">
        <f t="shared" si="17"/>
        <v>Variable</v>
      </c>
      <c r="I59" s="284">
        <f t="shared" si="3"/>
        <v>595.07000000000005</v>
      </c>
      <c r="J59" s="298" t="s">
        <v>35</v>
      </c>
      <c r="K59" s="282" t="s">
        <v>697</v>
      </c>
    </row>
    <row r="60" spans="1:11" x14ac:dyDescent="0.2">
      <c r="A60" s="271">
        <f t="shared" si="0"/>
        <v>2021</v>
      </c>
      <c r="B60" s="286">
        <f t="shared" si="1"/>
        <v>2</v>
      </c>
      <c r="C60" s="297">
        <v>44229</v>
      </c>
      <c r="D60" s="297">
        <v>44230</v>
      </c>
      <c r="E60" s="287" t="s">
        <v>75</v>
      </c>
      <c r="F60" s="282">
        <v>10</v>
      </c>
      <c r="G60" s="282" t="s">
        <v>67</v>
      </c>
      <c r="H60" s="282" t="str">
        <f t="shared" si="17"/>
        <v>Variable</v>
      </c>
      <c r="I60" s="284">
        <f t="shared" si="3"/>
        <v>605.07000000000005</v>
      </c>
      <c r="J60" s="298" t="s">
        <v>76</v>
      </c>
      <c r="K60" s="282" t="s">
        <v>671</v>
      </c>
    </row>
    <row r="61" spans="1:11" x14ac:dyDescent="0.2">
      <c r="A61" s="271">
        <f t="shared" si="0"/>
        <v>2021</v>
      </c>
      <c r="B61" s="286">
        <f t="shared" si="1"/>
        <v>2</v>
      </c>
      <c r="C61" s="297">
        <v>44230</v>
      </c>
      <c r="D61" s="297">
        <v>44230</v>
      </c>
      <c r="E61" s="287" t="s">
        <v>32</v>
      </c>
      <c r="F61" s="282">
        <v>91.78</v>
      </c>
      <c r="G61" s="282" t="s">
        <v>26</v>
      </c>
      <c r="H61" s="282" t="str">
        <f t="shared" si="17"/>
        <v>Fixed</v>
      </c>
      <c r="I61" s="284">
        <f t="shared" si="3"/>
        <v>696.85</v>
      </c>
      <c r="J61" s="298" t="s">
        <v>8</v>
      </c>
      <c r="K61" s="282" t="s">
        <v>628</v>
      </c>
    </row>
    <row r="62" spans="1:11" x14ac:dyDescent="0.2">
      <c r="A62" s="271">
        <f t="shared" si="0"/>
        <v>2021</v>
      </c>
      <c r="B62" s="286">
        <f t="shared" si="1"/>
        <v>2</v>
      </c>
      <c r="C62" s="297">
        <v>44230</v>
      </c>
      <c r="D62" s="297">
        <v>44230</v>
      </c>
      <c r="E62" s="287" t="s">
        <v>39</v>
      </c>
      <c r="F62" s="282">
        <v>15.09</v>
      </c>
      <c r="G62" s="282" t="s">
        <v>89</v>
      </c>
      <c r="H62" s="282" t="str">
        <f t="shared" si="17"/>
        <v>Variable</v>
      </c>
      <c r="I62" s="284">
        <f t="shared" si="3"/>
        <v>711.94</v>
      </c>
      <c r="J62" s="298">
        <v>0</v>
      </c>
      <c r="K62" s="282" t="s">
        <v>670</v>
      </c>
    </row>
    <row r="63" spans="1:11" x14ac:dyDescent="0.2">
      <c r="A63" s="271">
        <f t="shared" si="0"/>
        <v>2021</v>
      </c>
      <c r="B63" s="286">
        <f t="shared" si="1"/>
        <v>2</v>
      </c>
      <c r="C63" s="297">
        <v>44232</v>
      </c>
      <c r="D63" s="297">
        <v>44232</v>
      </c>
      <c r="E63" s="287" t="s">
        <v>43</v>
      </c>
      <c r="F63" s="282">
        <v>1.63</v>
      </c>
      <c r="G63" s="281" t="s">
        <v>56</v>
      </c>
      <c r="H63" s="282" t="str">
        <f t="shared" si="17"/>
        <v>Variable</v>
      </c>
      <c r="I63" s="284">
        <f t="shared" si="3"/>
        <v>713.57</v>
      </c>
      <c r="J63" s="298" t="s">
        <v>35</v>
      </c>
      <c r="K63" s="281" t="s">
        <v>697</v>
      </c>
    </row>
    <row r="64" spans="1:11" x14ac:dyDescent="0.2">
      <c r="A64" s="271">
        <f t="shared" si="0"/>
        <v>2021</v>
      </c>
      <c r="B64" s="286">
        <f t="shared" si="1"/>
        <v>2</v>
      </c>
      <c r="C64" s="297">
        <v>44232</v>
      </c>
      <c r="D64" s="297">
        <v>44232</v>
      </c>
      <c r="E64" s="287" t="s">
        <v>43</v>
      </c>
      <c r="F64" s="282">
        <v>2.4500000000000002</v>
      </c>
      <c r="G64" s="281" t="s">
        <v>56</v>
      </c>
      <c r="H64" s="282" t="str">
        <f t="shared" si="17"/>
        <v>Variable</v>
      </c>
      <c r="I64" s="284">
        <f t="shared" si="3"/>
        <v>716.0200000000001</v>
      </c>
      <c r="J64" s="298" t="s">
        <v>35</v>
      </c>
      <c r="K64" s="281" t="s">
        <v>697</v>
      </c>
    </row>
    <row r="65" spans="1:11" x14ac:dyDescent="0.2">
      <c r="A65" s="271">
        <f t="shared" si="0"/>
        <v>2021</v>
      </c>
      <c r="B65" s="286">
        <f t="shared" si="1"/>
        <v>2</v>
      </c>
      <c r="C65" s="297">
        <v>44234</v>
      </c>
      <c r="D65" s="297">
        <v>44234</v>
      </c>
      <c r="E65" s="287" t="s">
        <v>78</v>
      </c>
      <c r="F65" s="282">
        <v>9.36</v>
      </c>
      <c r="G65" s="281" t="s">
        <v>41</v>
      </c>
      <c r="H65" s="282" t="str">
        <f t="shared" si="17"/>
        <v>Variable</v>
      </c>
      <c r="I65" s="284">
        <f t="shared" si="3"/>
        <v>725.38000000000011</v>
      </c>
      <c r="J65" s="298">
        <v>0</v>
      </c>
      <c r="K65" s="281" t="s">
        <v>670</v>
      </c>
    </row>
    <row r="66" spans="1:11" ht="30" x14ac:dyDescent="0.2">
      <c r="A66" s="271">
        <f t="shared" si="0"/>
        <v>2021</v>
      </c>
      <c r="B66" s="286">
        <f t="shared" si="1"/>
        <v>2</v>
      </c>
      <c r="C66" s="297">
        <v>44237</v>
      </c>
      <c r="D66" s="297">
        <v>44237</v>
      </c>
      <c r="E66" s="287" t="s">
        <v>94</v>
      </c>
      <c r="F66" s="282">
        <v>3.99</v>
      </c>
      <c r="G66" s="281" t="s">
        <v>56</v>
      </c>
      <c r="H66" s="282" t="str">
        <f t="shared" si="17"/>
        <v>Variable</v>
      </c>
      <c r="I66" s="284">
        <f t="shared" si="3"/>
        <v>729.37000000000012</v>
      </c>
      <c r="J66" s="298" t="s">
        <v>35</v>
      </c>
      <c r="K66" s="281" t="s">
        <v>697</v>
      </c>
    </row>
    <row r="67" spans="1:11" x14ac:dyDescent="0.2">
      <c r="A67" s="271">
        <f t="shared" ref="A67:A129" si="18">YEAR(C67)</f>
        <v>2021</v>
      </c>
      <c r="B67" s="286">
        <f t="shared" ref="B67:B129" si="19">MONTH(C67)</f>
        <v>2</v>
      </c>
      <c r="C67" s="297">
        <v>44237</v>
      </c>
      <c r="D67" s="297">
        <v>44237</v>
      </c>
      <c r="E67" s="287" t="s">
        <v>43</v>
      </c>
      <c r="F67" s="282">
        <v>4.7300000000000004</v>
      </c>
      <c r="G67" s="281" t="s">
        <v>56</v>
      </c>
      <c r="H67" s="282" t="str">
        <f t="shared" ref="H67:H97" si="20">VLOOKUP(G67,Expense_Lookup,2,0)</f>
        <v>Variable</v>
      </c>
      <c r="I67" s="284">
        <f t="shared" si="3"/>
        <v>734.10000000000014</v>
      </c>
      <c r="J67" s="298" t="s">
        <v>35</v>
      </c>
      <c r="K67" s="281" t="s">
        <v>697</v>
      </c>
    </row>
    <row r="68" spans="1:11" x14ac:dyDescent="0.2">
      <c r="A68" s="271">
        <f t="shared" si="18"/>
        <v>2021</v>
      </c>
      <c r="B68" s="286">
        <f t="shared" si="19"/>
        <v>2</v>
      </c>
      <c r="C68" s="297">
        <v>44238</v>
      </c>
      <c r="D68" s="297">
        <v>44238</v>
      </c>
      <c r="E68" s="287" t="s">
        <v>95</v>
      </c>
      <c r="F68" s="282">
        <v>5</v>
      </c>
      <c r="G68" s="281" t="s">
        <v>56</v>
      </c>
      <c r="H68" s="282" t="str">
        <f t="shared" si="20"/>
        <v>Variable</v>
      </c>
      <c r="I68" s="284">
        <f t="shared" ref="I68:I131" si="21">I67+F68</f>
        <v>739.10000000000014</v>
      </c>
      <c r="J68" s="298" t="s">
        <v>35</v>
      </c>
      <c r="K68" s="281" t="s">
        <v>697</v>
      </c>
    </row>
    <row r="69" spans="1:11" x14ac:dyDescent="0.2">
      <c r="A69" s="271">
        <f t="shared" si="18"/>
        <v>2021</v>
      </c>
      <c r="B69" s="286">
        <f t="shared" si="19"/>
        <v>2</v>
      </c>
      <c r="C69" s="297">
        <v>44238</v>
      </c>
      <c r="D69" s="297">
        <v>44238</v>
      </c>
      <c r="E69" s="287" t="s">
        <v>95</v>
      </c>
      <c r="F69" s="282">
        <v>5</v>
      </c>
      <c r="G69" s="281" t="s">
        <v>56</v>
      </c>
      <c r="H69" s="282" t="str">
        <f t="shared" si="20"/>
        <v>Variable</v>
      </c>
      <c r="I69" s="284">
        <f t="shared" si="21"/>
        <v>744.10000000000014</v>
      </c>
      <c r="J69" s="298" t="s">
        <v>35</v>
      </c>
      <c r="K69" s="281" t="s">
        <v>697</v>
      </c>
    </row>
    <row r="70" spans="1:11" x14ac:dyDescent="0.2">
      <c r="A70" s="271">
        <f t="shared" si="18"/>
        <v>2021</v>
      </c>
      <c r="B70" s="286">
        <f t="shared" si="19"/>
        <v>2</v>
      </c>
      <c r="C70" s="297">
        <v>44238</v>
      </c>
      <c r="D70" s="297">
        <v>44238</v>
      </c>
      <c r="E70" s="287" t="s">
        <v>95</v>
      </c>
      <c r="F70" s="282">
        <v>5</v>
      </c>
      <c r="G70" s="281" t="s">
        <v>56</v>
      </c>
      <c r="H70" s="282" t="str">
        <f t="shared" si="20"/>
        <v>Variable</v>
      </c>
      <c r="I70" s="284">
        <f t="shared" si="21"/>
        <v>749.10000000000014</v>
      </c>
      <c r="J70" s="298" t="s">
        <v>35</v>
      </c>
      <c r="K70" s="281" t="s">
        <v>697</v>
      </c>
    </row>
    <row r="71" spans="1:11" x14ac:dyDescent="0.2">
      <c r="A71" s="271">
        <f t="shared" si="18"/>
        <v>2021</v>
      </c>
      <c r="B71" s="286">
        <f t="shared" si="19"/>
        <v>2</v>
      </c>
      <c r="C71" s="297">
        <v>44239</v>
      </c>
      <c r="D71" s="297">
        <v>44239</v>
      </c>
      <c r="E71" s="287" t="s">
        <v>61</v>
      </c>
      <c r="F71" s="282">
        <v>-14</v>
      </c>
      <c r="G71" s="282" t="s">
        <v>62</v>
      </c>
      <c r="H71" s="282" t="str">
        <f t="shared" si="20"/>
        <v>Payment</v>
      </c>
      <c r="I71" s="284">
        <f t="shared" si="21"/>
        <v>735.10000000000014</v>
      </c>
      <c r="J71" s="298">
        <v>0</v>
      </c>
      <c r="K71" s="282">
        <v>0</v>
      </c>
    </row>
    <row r="72" spans="1:11" x14ac:dyDescent="0.2">
      <c r="A72" s="271">
        <f t="shared" si="18"/>
        <v>2021</v>
      </c>
      <c r="B72" s="286">
        <f t="shared" si="19"/>
        <v>2</v>
      </c>
      <c r="C72" s="297">
        <v>44239</v>
      </c>
      <c r="D72" s="297">
        <v>44239</v>
      </c>
      <c r="E72" s="287" t="s">
        <v>21</v>
      </c>
      <c r="F72" s="282">
        <v>-715.37</v>
      </c>
      <c r="G72" s="282" t="s">
        <v>22</v>
      </c>
      <c r="H72" s="282" t="str">
        <f t="shared" si="20"/>
        <v>Payment</v>
      </c>
      <c r="I72" s="284">
        <f t="shared" si="21"/>
        <v>19.730000000000132</v>
      </c>
      <c r="J72" s="298">
        <v>0</v>
      </c>
      <c r="K72" s="282">
        <v>0</v>
      </c>
    </row>
    <row r="73" spans="1:11" x14ac:dyDescent="0.2">
      <c r="A73" s="271">
        <f t="shared" si="18"/>
        <v>2021</v>
      </c>
      <c r="B73" s="286">
        <f t="shared" si="19"/>
        <v>2</v>
      </c>
      <c r="C73" s="297">
        <v>44239</v>
      </c>
      <c r="D73" s="297">
        <v>44239</v>
      </c>
      <c r="E73" s="287" t="s">
        <v>59</v>
      </c>
      <c r="F73" s="282">
        <v>1.99</v>
      </c>
      <c r="G73" s="282" t="s">
        <v>26</v>
      </c>
      <c r="H73" s="282" t="str">
        <f t="shared" si="20"/>
        <v>Fixed</v>
      </c>
      <c r="I73" s="284">
        <f t="shared" si="21"/>
        <v>21.72000000000013</v>
      </c>
      <c r="J73" s="298" t="s">
        <v>282</v>
      </c>
      <c r="K73" s="282" t="s">
        <v>781</v>
      </c>
    </row>
    <row r="74" spans="1:11" ht="30" x14ac:dyDescent="0.2">
      <c r="A74" s="271">
        <f t="shared" si="18"/>
        <v>2021</v>
      </c>
      <c r="B74" s="286">
        <f t="shared" si="19"/>
        <v>2</v>
      </c>
      <c r="C74" s="297">
        <v>44241</v>
      </c>
      <c r="D74" s="297">
        <v>44241</v>
      </c>
      <c r="E74" s="287" t="s">
        <v>96</v>
      </c>
      <c r="F74" s="282">
        <v>14.99</v>
      </c>
      <c r="G74" s="282" t="s">
        <v>26</v>
      </c>
      <c r="H74" s="282" t="str">
        <f t="shared" si="20"/>
        <v>Fixed</v>
      </c>
      <c r="I74" s="284">
        <f t="shared" si="21"/>
        <v>36.710000000000129</v>
      </c>
      <c r="J74" s="298" t="s">
        <v>292</v>
      </c>
      <c r="K74" s="282" t="s">
        <v>781</v>
      </c>
    </row>
    <row r="75" spans="1:11" x14ac:dyDescent="0.2">
      <c r="A75" s="271">
        <f t="shared" si="18"/>
        <v>2021</v>
      </c>
      <c r="B75" s="286">
        <f t="shared" si="19"/>
        <v>2</v>
      </c>
      <c r="C75" s="297">
        <v>44241</v>
      </c>
      <c r="D75" s="297">
        <v>44241</v>
      </c>
      <c r="E75" s="287" t="s">
        <v>39</v>
      </c>
      <c r="F75" s="282">
        <v>7.88</v>
      </c>
      <c r="G75" s="282" t="s">
        <v>89</v>
      </c>
      <c r="H75" s="282" t="str">
        <f t="shared" si="20"/>
        <v>Variable</v>
      </c>
      <c r="I75" s="284">
        <f t="shared" si="21"/>
        <v>44.590000000000131</v>
      </c>
      <c r="J75" s="298">
        <v>0</v>
      </c>
      <c r="K75" s="282" t="s">
        <v>670</v>
      </c>
    </row>
    <row r="76" spans="1:11" x14ac:dyDescent="0.2">
      <c r="A76" s="271">
        <f t="shared" si="18"/>
        <v>2021</v>
      </c>
      <c r="B76" s="286">
        <f t="shared" si="19"/>
        <v>2</v>
      </c>
      <c r="C76" s="297">
        <v>44241</v>
      </c>
      <c r="D76" s="297">
        <v>44241</v>
      </c>
      <c r="E76" s="287" t="s">
        <v>49</v>
      </c>
      <c r="F76" s="282">
        <v>48.58</v>
      </c>
      <c r="G76" s="282" t="s">
        <v>67</v>
      </c>
      <c r="H76" s="282" t="str">
        <f t="shared" si="20"/>
        <v>Variable</v>
      </c>
      <c r="I76" s="284">
        <f t="shared" si="21"/>
        <v>93.17000000000013</v>
      </c>
      <c r="J76" s="298">
        <v>0</v>
      </c>
      <c r="K76" s="282" t="s">
        <v>688</v>
      </c>
    </row>
    <row r="77" spans="1:11" x14ac:dyDescent="0.2">
      <c r="A77" s="271">
        <f t="shared" si="18"/>
        <v>2021</v>
      </c>
      <c r="B77" s="286">
        <f t="shared" si="19"/>
        <v>2</v>
      </c>
      <c r="C77" s="297">
        <v>44244</v>
      </c>
      <c r="D77" s="297">
        <v>44244</v>
      </c>
      <c r="E77" s="287" t="s">
        <v>97</v>
      </c>
      <c r="F77" s="282">
        <v>76.3</v>
      </c>
      <c r="G77" s="282" t="s">
        <v>67</v>
      </c>
      <c r="H77" s="282" t="str">
        <f t="shared" si="20"/>
        <v>Variable</v>
      </c>
      <c r="I77" s="284">
        <f t="shared" si="21"/>
        <v>169.47000000000014</v>
      </c>
      <c r="J77" s="298" t="s">
        <v>105</v>
      </c>
      <c r="K77" s="282" t="s">
        <v>688</v>
      </c>
    </row>
    <row r="78" spans="1:11" x14ac:dyDescent="0.2">
      <c r="A78" s="271">
        <f t="shared" si="18"/>
        <v>2021</v>
      </c>
      <c r="B78" s="286">
        <f t="shared" si="19"/>
        <v>2</v>
      </c>
      <c r="C78" s="297">
        <v>44246</v>
      </c>
      <c r="D78" s="297">
        <v>44246</v>
      </c>
      <c r="E78" s="287" t="s">
        <v>98</v>
      </c>
      <c r="F78" s="282">
        <v>40.42</v>
      </c>
      <c r="G78" s="282" t="s">
        <v>41</v>
      </c>
      <c r="H78" s="282" t="str">
        <f t="shared" si="20"/>
        <v>Variable</v>
      </c>
      <c r="I78" s="284">
        <f t="shared" si="21"/>
        <v>209.89000000000016</v>
      </c>
      <c r="J78" s="298">
        <v>0</v>
      </c>
      <c r="K78" s="282" t="s">
        <v>670</v>
      </c>
    </row>
    <row r="79" spans="1:11" x14ac:dyDescent="0.2">
      <c r="A79" s="271">
        <f t="shared" si="18"/>
        <v>2021</v>
      </c>
      <c r="B79" s="286">
        <f t="shared" si="19"/>
        <v>2</v>
      </c>
      <c r="C79" s="297">
        <v>44247</v>
      </c>
      <c r="D79" s="297">
        <v>44247</v>
      </c>
      <c r="E79" s="287" t="s">
        <v>85</v>
      </c>
      <c r="F79" s="282">
        <v>135.35</v>
      </c>
      <c r="G79" s="282" t="s">
        <v>89</v>
      </c>
      <c r="H79" s="282" t="str">
        <f t="shared" si="20"/>
        <v>Variable</v>
      </c>
      <c r="I79" s="284">
        <f t="shared" si="21"/>
        <v>345.24000000000012</v>
      </c>
      <c r="J79" s="298">
        <v>0</v>
      </c>
      <c r="K79" s="282" t="s">
        <v>670</v>
      </c>
    </row>
    <row r="80" spans="1:11" ht="15.75" customHeight="1" x14ac:dyDescent="0.2">
      <c r="A80" s="271">
        <f t="shared" si="18"/>
        <v>2021</v>
      </c>
      <c r="B80" s="286">
        <f t="shared" si="19"/>
        <v>2</v>
      </c>
      <c r="C80" s="297">
        <v>44247</v>
      </c>
      <c r="D80" s="297">
        <v>44247</v>
      </c>
      <c r="E80" s="287" t="s">
        <v>99</v>
      </c>
      <c r="F80" s="282">
        <v>86.25</v>
      </c>
      <c r="G80" s="282" t="s">
        <v>26</v>
      </c>
      <c r="H80" s="282" t="str">
        <f t="shared" si="20"/>
        <v>Fixed</v>
      </c>
      <c r="I80" s="284">
        <f t="shared" si="21"/>
        <v>431.49000000000012</v>
      </c>
      <c r="J80" s="298" t="s">
        <v>293</v>
      </c>
      <c r="K80" s="282" t="s">
        <v>781</v>
      </c>
    </row>
    <row r="81" spans="1:11" x14ac:dyDescent="0.2">
      <c r="A81" s="271">
        <f t="shared" si="18"/>
        <v>2021</v>
      </c>
      <c r="B81" s="286">
        <f t="shared" si="19"/>
        <v>2</v>
      </c>
      <c r="C81" s="297">
        <v>44247</v>
      </c>
      <c r="D81" s="297">
        <v>44247</v>
      </c>
      <c r="E81" s="287" t="s">
        <v>39</v>
      </c>
      <c r="F81" s="282">
        <v>10.64</v>
      </c>
      <c r="G81" s="282" t="s">
        <v>89</v>
      </c>
      <c r="H81" s="282" t="str">
        <f t="shared" si="20"/>
        <v>Variable</v>
      </c>
      <c r="I81" s="284">
        <f t="shared" si="21"/>
        <v>442.13000000000011</v>
      </c>
      <c r="J81" s="298">
        <v>0</v>
      </c>
      <c r="K81" s="282" t="s">
        <v>670</v>
      </c>
    </row>
    <row r="82" spans="1:11" x14ac:dyDescent="0.2">
      <c r="A82" s="271">
        <f t="shared" si="18"/>
        <v>2021</v>
      </c>
      <c r="B82" s="286">
        <f t="shared" si="19"/>
        <v>2</v>
      </c>
      <c r="C82" s="297">
        <v>44247</v>
      </c>
      <c r="D82" s="297">
        <v>44247</v>
      </c>
      <c r="E82" s="287" t="s">
        <v>100</v>
      </c>
      <c r="F82" s="282">
        <v>6.99</v>
      </c>
      <c r="G82" s="282" t="s">
        <v>67</v>
      </c>
      <c r="H82" s="282" t="str">
        <f t="shared" si="20"/>
        <v>Variable</v>
      </c>
      <c r="I82" s="284">
        <f t="shared" si="21"/>
        <v>449.12000000000012</v>
      </c>
      <c r="J82" s="298" t="s">
        <v>106</v>
      </c>
      <c r="K82" s="282" t="s">
        <v>688</v>
      </c>
    </row>
    <row r="83" spans="1:11" x14ac:dyDescent="0.2">
      <c r="A83" s="271">
        <f t="shared" si="18"/>
        <v>2021</v>
      </c>
      <c r="B83" s="286">
        <f t="shared" si="19"/>
        <v>2</v>
      </c>
      <c r="C83" s="297">
        <v>44248</v>
      </c>
      <c r="D83" s="297">
        <v>44248</v>
      </c>
      <c r="E83" s="287" t="s">
        <v>78</v>
      </c>
      <c r="F83" s="282">
        <v>8.23</v>
      </c>
      <c r="G83" s="281" t="s">
        <v>41</v>
      </c>
      <c r="H83" s="282" t="str">
        <f t="shared" si="20"/>
        <v>Variable</v>
      </c>
      <c r="I83" s="284">
        <f t="shared" si="21"/>
        <v>457.35000000000014</v>
      </c>
      <c r="J83" s="298">
        <v>0</v>
      </c>
      <c r="K83" s="281" t="s">
        <v>670</v>
      </c>
    </row>
    <row r="84" spans="1:11" x14ac:dyDescent="0.2">
      <c r="A84" s="271">
        <f t="shared" si="18"/>
        <v>2021</v>
      </c>
      <c r="B84" s="286">
        <f t="shared" si="19"/>
        <v>2</v>
      </c>
      <c r="C84" s="297">
        <v>44248</v>
      </c>
      <c r="D84" s="297">
        <v>44248</v>
      </c>
      <c r="E84" s="287" t="s">
        <v>101</v>
      </c>
      <c r="F84" s="282">
        <v>9.9499999999999993</v>
      </c>
      <c r="G84" s="281" t="s">
        <v>56</v>
      </c>
      <c r="H84" s="282" t="str">
        <f t="shared" si="20"/>
        <v>Variable</v>
      </c>
      <c r="I84" s="284">
        <f t="shared" si="21"/>
        <v>467.30000000000013</v>
      </c>
      <c r="J84" s="298" t="s">
        <v>35</v>
      </c>
      <c r="K84" s="281" t="s">
        <v>697</v>
      </c>
    </row>
    <row r="85" spans="1:11" x14ac:dyDescent="0.2">
      <c r="A85" s="271">
        <f t="shared" si="18"/>
        <v>2021</v>
      </c>
      <c r="B85" s="286">
        <f t="shared" si="19"/>
        <v>2</v>
      </c>
      <c r="C85" s="297">
        <v>44248</v>
      </c>
      <c r="D85" s="297">
        <v>44248</v>
      </c>
      <c r="E85" s="287" t="s">
        <v>80</v>
      </c>
      <c r="F85" s="282">
        <v>7.99</v>
      </c>
      <c r="G85" s="282" t="s">
        <v>26</v>
      </c>
      <c r="H85" s="282" t="str">
        <f t="shared" si="20"/>
        <v>Fixed</v>
      </c>
      <c r="I85" s="284">
        <f t="shared" si="21"/>
        <v>475.29000000000013</v>
      </c>
      <c r="J85" s="298" t="s">
        <v>9</v>
      </c>
      <c r="K85" s="282" t="s">
        <v>781</v>
      </c>
    </row>
    <row r="86" spans="1:11" x14ac:dyDescent="0.2">
      <c r="A86" s="271">
        <f t="shared" si="18"/>
        <v>2021</v>
      </c>
      <c r="B86" s="286">
        <f t="shared" si="19"/>
        <v>2</v>
      </c>
      <c r="C86" s="297">
        <v>44248</v>
      </c>
      <c r="D86" s="297">
        <v>44248</v>
      </c>
      <c r="E86" s="287" t="s">
        <v>102</v>
      </c>
      <c r="F86" s="282">
        <v>25.35</v>
      </c>
      <c r="G86" s="282" t="s">
        <v>24</v>
      </c>
      <c r="H86" s="282" t="str">
        <f t="shared" si="20"/>
        <v>Variable</v>
      </c>
      <c r="I86" s="284">
        <f t="shared" si="21"/>
        <v>500.64000000000016</v>
      </c>
      <c r="J86" s="298">
        <v>0</v>
      </c>
      <c r="K86" s="281" t="s">
        <v>628</v>
      </c>
    </row>
    <row r="87" spans="1:11" x14ac:dyDescent="0.2">
      <c r="A87" s="271">
        <f t="shared" si="18"/>
        <v>2021</v>
      </c>
      <c r="B87" s="286">
        <f t="shared" si="19"/>
        <v>2</v>
      </c>
      <c r="C87" s="297">
        <v>44248</v>
      </c>
      <c r="D87" s="297">
        <v>44248</v>
      </c>
      <c r="E87" s="287" t="s">
        <v>49</v>
      </c>
      <c r="F87" s="282">
        <v>11.64</v>
      </c>
      <c r="G87" s="282" t="s">
        <v>67</v>
      </c>
      <c r="H87" s="282" t="str">
        <f t="shared" si="20"/>
        <v>Variable</v>
      </c>
      <c r="I87" s="284">
        <f t="shared" si="21"/>
        <v>512.2800000000002</v>
      </c>
      <c r="J87" s="298">
        <v>0</v>
      </c>
      <c r="K87" s="282" t="s">
        <v>688</v>
      </c>
    </row>
    <row r="88" spans="1:11" x14ac:dyDescent="0.2">
      <c r="A88" s="271">
        <f t="shared" si="18"/>
        <v>2021</v>
      </c>
      <c r="B88" s="286">
        <f t="shared" si="19"/>
        <v>2</v>
      </c>
      <c r="C88" s="297">
        <v>44248</v>
      </c>
      <c r="D88" s="297">
        <v>44248</v>
      </c>
      <c r="E88" s="287" t="s">
        <v>49</v>
      </c>
      <c r="F88" s="282">
        <v>20.14</v>
      </c>
      <c r="G88" s="282" t="s">
        <v>67</v>
      </c>
      <c r="H88" s="282" t="str">
        <f t="shared" si="20"/>
        <v>Variable</v>
      </c>
      <c r="I88" s="284">
        <f t="shared" si="21"/>
        <v>532.42000000000019</v>
      </c>
      <c r="J88" s="298">
        <v>0</v>
      </c>
      <c r="K88" s="282" t="s">
        <v>688</v>
      </c>
    </row>
    <row r="89" spans="1:11" x14ac:dyDescent="0.2">
      <c r="A89" s="271">
        <f t="shared" si="18"/>
        <v>2021</v>
      </c>
      <c r="B89" s="286">
        <f t="shared" si="19"/>
        <v>2</v>
      </c>
      <c r="C89" s="297">
        <v>44248</v>
      </c>
      <c r="D89" s="297">
        <v>44248</v>
      </c>
      <c r="E89" s="287" t="s">
        <v>49</v>
      </c>
      <c r="F89" s="282">
        <v>21.14</v>
      </c>
      <c r="G89" s="282" t="s">
        <v>67</v>
      </c>
      <c r="H89" s="282" t="str">
        <f t="shared" si="20"/>
        <v>Variable</v>
      </c>
      <c r="I89" s="284">
        <f t="shared" si="21"/>
        <v>553.56000000000017</v>
      </c>
      <c r="J89" s="298">
        <v>0</v>
      </c>
      <c r="K89" s="282" t="s">
        <v>688</v>
      </c>
    </row>
    <row r="90" spans="1:11" x14ac:dyDescent="0.2">
      <c r="A90" s="271">
        <f t="shared" si="18"/>
        <v>2021</v>
      </c>
      <c r="B90" s="286">
        <f t="shared" si="19"/>
        <v>2</v>
      </c>
      <c r="C90" s="297">
        <v>44250</v>
      </c>
      <c r="D90" s="297">
        <v>44250</v>
      </c>
      <c r="E90" s="287" t="s">
        <v>103</v>
      </c>
      <c r="F90" s="282">
        <v>1.99</v>
      </c>
      <c r="G90" s="282" t="s">
        <v>26</v>
      </c>
      <c r="H90" s="282" t="str">
        <f t="shared" si="20"/>
        <v>Fixed</v>
      </c>
      <c r="I90" s="284">
        <f t="shared" si="21"/>
        <v>555.55000000000018</v>
      </c>
      <c r="J90" s="298" t="s">
        <v>93</v>
      </c>
      <c r="K90" s="282" t="s">
        <v>781</v>
      </c>
    </row>
    <row r="91" spans="1:11" x14ac:dyDescent="0.2">
      <c r="A91" s="271">
        <f t="shared" si="18"/>
        <v>2021</v>
      </c>
      <c r="B91" s="286">
        <f t="shared" si="19"/>
        <v>2</v>
      </c>
      <c r="C91" s="297">
        <v>44251</v>
      </c>
      <c r="D91" s="297">
        <v>44251</v>
      </c>
      <c r="E91" s="287" t="s">
        <v>104</v>
      </c>
      <c r="F91" s="282">
        <v>215</v>
      </c>
      <c r="G91" s="282" t="s">
        <v>90</v>
      </c>
      <c r="H91" s="282" t="str">
        <f t="shared" si="20"/>
        <v>Variable</v>
      </c>
      <c r="I91" s="284">
        <f t="shared" si="21"/>
        <v>770.55000000000018</v>
      </c>
      <c r="J91" s="298" t="s">
        <v>107</v>
      </c>
      <c r="K91" s="282" t="s">
        <v>688</v>
      </c>
    </row>
    <row r="92" spans="1:11" x14ac:dyDescent="0.2">
      <c r="A92" s="271">
        <f t="shared" si="18"/>
        <v>2021</v>
      </c>
      <c r="B92" s="286">
        <f t="shared" si="19"/>
        <v>2</v>
      </c>
      <c r="C92" s="297">
        <v>44253</v>
      </c>
      <c r="D92" s="297">
        <v>44253</v>
      </c>
      <c r="E92" s="287" t="s">
        <v>109</v>
      </c>
      <c r="F92" s="282">
        <v>6.99</v>
      </c>
      <c r="G92" s="282" t="s">
        <v>67</v>
      </c>
      <c r="H92" s="282" t="str">
        <f t="shared" si="20"/>
        <v>Variable</v>
      </c>
      <c r="I92" s="284">
        <f t="shared" si="21"/>
        <v>777.54000000000019</v>
      </c>
      <c r="J92" s="298">
        <v>0</v>
      </c>
      <c r="K92" s="282" t="s">
        <v>688</v>
      </c>
    </row>
    <row r="93" spans="1:11" x14ac:dyDescent="0.2">
      <c r="A93" s="271">
        <f t="shared" si="18"/>
        <v>2021</v>
      </c>
      <c r="B93" s="286">
        <f t="shared" si="19"/>
        <v>2</v>
      </c>
      <c r="C93" s="297">
        <v>44253</v>
      </c>
      <c r="D93" s="297">
        <v>44253</v>
      </c>
      <c r="E93" s="287" t="s">
        <v>21</v>
      </c>
      <c r="F93" s="282">
        <v>-770.55</v>
      </c>
      <c r="G93" s="282" t="s">
        <v>22</v>
      </c>
      <c r="H93" s="282" t="str">
        <f t="shared" si="20"/>
        <v>Payment</v>
      </c>
      <c r="I93" s="284">
        <f t="shared" si="21"/>
        <v>6.9900000000002365</v>
      </c>
      <c r="J93" s="298">
        <v>0</v>
      </c>
      <c r="K93" s="282">
        <v>0</v>
      </c>
    </row>
    <row r="94" spans="1:11" x14ac:dyDescent="0.2">
      <c r="A94" s="271">
        <f t="shared" si="18"/>
        <v>2021</v>
      </c>
      <c r="B94" s="286">
        <f t="shared" si="19"/>
        <v>2</v>
      </c>
      <c r="C94" s="297">
        <v>44253</v>
      </c>
      <c r="D94" s="297">
        <v>44253</v>
      </c>
      <c r="E94" s="287" t="s">
        <v>49</v>
      </c>
      <c r="F94" s="282">
        <v>13.67</v>
      </c>
      <c r="G94" s="282" t="s">
        <v>67</v>
      </c>
      <c r="H94" s="282" t="str">
        <f t="shared" si="20"/>
        <v>Variable</v>
      </c>
      <c r="I94" s="284">
        <f t="shared" si="21"/>
        <v>20.660000000000238</v>
      </c>
      <c r="J94" s="298">
        <v>0</v>
      </c>
      <c r="K94" s="282" t="s">
        <v>688</v>
      </c>
    </row>
    <row r="95" spans="1:11" ht="30" x14ac:dyDescent="0.2">
      <c r="A95" s="271">
        <f t="shared" si="18"/>
        <v>2021</v>
      </c>
      <c r="B95" s="286">
        <f t="shared" si="19"/>
        <v>2</v>
      </c>
      <c r="C95" s="297">
        <v>44254</v>
      </c>
      <c r="D95" s="297">
        <v>44254</v>
      </c>
      <c r="E95" s="287" t="s">
        <v>110</v>
      </c>
      <c r="F95" s="282">
        <v>1.99</v>
      </c>
      <c r="G95" s="282" t="s">
        <v>26</v>
      </c>
      <c r="H95" s="282" t="str">
        <f t="shared" si="20"/>
        <v>Fixed</v>
      </c>
      <c r="I95" s="284">
        <f t="shared" si="21"/>
        <v>22.650000000000237</v>
      </c>
      <c r="J95" s="298" t="s">
        <v>282</v>
      </c>
      <c r="K95" s="282" t="s">
        <v>781</v>
      </c>
    </row>
    <row r="96" spans="1:11" x14ac:dyDescent="0.2">
      <c r="A96" s="271">
        <f t="shared" si="18"/>
        <v>2021</v>
      </c>
      <c r="B96" s="286">
        <f t="shared" si="19"/>
        <v>2</v>
      </c>
      <c r="C96" s="297">
        <v>44254</v>
      </c>
      <c r="D96" s="297">
        <v>44254</v>
      </c>
      <c r="E96" s="287" t="s">
        <v>111</v>
      </c>
      <c r="F96" s="282">
        <v>9.99</v>
      </c>
      <c r="G96" s="282" t="s">
        <v>26</v>
      </c>
      <c r="H96" s="282" t="str">
        <f t="shared" si="20"/>
        <v>Fixed</v>
      </c>
      <c r="I96" s="284">
        <f t="shared" si="21"/>
        <v>32.640000000000235</v>
      </c>
      <c r="J96" s="298" t="s">
        <v>294</v>
      </c>
      <c r="K96" s="282" t="s">
        <v>781</v>
      </c>
    </row>
    <row r="97" spans="1:11" x14ac:dyDescent="0.2">
      <c r="A97" s="271">
        <f t="shared" si="18"/>
        <v>2021</v>
      </c>
      <c r="B97" s="286">
        <f t="shared" si="19"/>
        <v>2</v>
      </c>
      <c r="C97" s="297">
        <v>44254</v>
      </c>
      <c r="D97" s="297">
        <v>44254</v>
      </c>
      <c r="E97" s="287" t="s">
        <v>112</v>
      </c>
      <c r="F97" s="282">
        <v>16.239999999999998</v>
      </c>
      <c r="G97" s="282" t="s">
        <v>24</v>
      </c>
      <c r="H97" s="282" t="str">
        <f t="shared" si="20"/>
        <v>Variable</v>
      </c>
      <c r="I97" s="284">
        <f t="shared" si="21"/>
        <v>48.880000000000237</v>
      </c>
      <c r="J97" s="298">
        <v>0</v>
      </c>
      <c r="K97" s="281" t="s">
        <v>628</v>
      </c>
    </row>
    <row r="98" spans="1:11" x14ac:dyDescent="0.2">
      <c r="A98" s="271">
        <f t="shared" si="18"/>
        <v>2021</v>
      </c>
      <c r="B98" s="286">
        <f t="shared" si="19"/>
        <v>2</v>
      </c>
      <c r="C98" s="297">
        <v>44254</v>
      </c>
      <c r="D98" s="297">
        <v>44254</v>
      </c>
      <c r="E98" s="287" t="s">
        <v>113</v>
      </c>
      <c r="F98" s="282">
        <v>11.54</v>
      </c>
      <c r="G98" s="282" t="s">
        <v>41</v>
      </c>
      <c r="H98" s="282" t="str">
        <f t="shared" ref="H98:H129" si="22">VLOOKUP(G98,Expense_Lookup,2,0)</f>
        <v>Variable</v>
      </c>
      <c r="I98" s="284">
        <f t="shared" si="21"/>
        <v>60.420000000000236</v>
      </c>
      <c r="J98" s="298">
        <v>0</v>
      </c>
      <c r="K98" s="282" t="s">
        <v>670</v>
      </c>
    </row>
    <row r="99" spans="1:11" x14ac:dyDescent="0.2">
      <c r="A99" s="271">
        <f t="shared" si="18"/>
        <v>2021</v>
      </c>
      <c r="B99" s="286">
        <f t="shared" si="19"/>
        <v>2</v>
      </c>
      <c r="C99" s="297">
        <v>44254</v>
      </c>
      <c r="D99" s="297">
        <v>44254</v>
      </c>
      <c r="E99" s="287" t="s">
        <v>114</v>
      </c>
      <c r="F99" s="282">
        <v>5</v>
      </c>
      <c r="G99" s="282" t="s">
        <v>67</v>
      </c>
      <c r="H99" s="282" t="str">
        <f t="shared" si="22"/>
        <v>Variable</v>
      </c>
      <c r="I99" s="284">
        <f t="shared" si="21"/>
        <v>65.420000000000243</v>
      </c>
      <c r="J99" s="298">
        <v>0</v>
      </c>
      <c r="K99" s="282" t="s">
        <v>688</v>
      </c>
    </row>
    <row r="100" spans="1:11" x14ac:dyDescent="0.2">
      <c r="A100" s="271">
        <f t="shared" si="18"/>
        <v>2021</v>
      </c>
      <c r="B100" s="286">
        <f t="shared" si="19"/>
        <v>2</v>
      </c>
      <c r="C100" s="297">
        <v>44255</v>
      </c>
      <c r="D100" s="297">
        <v>44255</v>
      </c>
      <c r="E100" s="287" t="s">
        <v>86</v>
      </c>
      <c r="F100" s="282">
        <v>9.9499999999999993</v>
      </c>
      <c r="G100" s="282" t="s">
        <v>26</v>
      </c>
      <c r="H100" s="282" t="str">
        <f t="shared" si="22"/>
        <v>Fixed</v>
      </c>
      <c r="I100" s="284">
        <f t="shared" si="21"/>
        <v>75.370000000000246</v>
      </c>
      <c r="J100" s="298" t="s">
        <v>319</v>
      </c>
      <c r="K100" s="282" t="s">
        <v>781</v>
      </c>
    </row>
    <row r="101" spans="1:11" x14ac:dyDescent="0.2">
      <c r="A101" s="271">
        <f t="shared" si="18"/>
        <v>2021</v>
      </c>
      <c r="B101" s="286">
        <f t="shared" si="19"/>
        <v>2</v>
      </c>
      <c r="C101" s="297">
        <v>44255</v>
      </c>
      <c r="D101" s="297">
        <v>44255</v>
      </c>
      <c r="E101" s="287" t="s">
        <v>115</v>
      </c>
      <c r="F101" s="282">
        <v>25.88</v>
      </c>
      <c r="G101" s="282" t="s">
        <v>24</v>
      </c>
      <c r="H101" s="282" t="str">
        <f t="shared" si="22"/>
        <v>Variable</v>
      </c>
      <c r="I101" s="284">
        <f t="shared" si="21"/>
        <v>101.25000000000024</v>
      </c>
      <c r="J101" s="298">
        <v>0</v>
      </c>
      <c r="K101" s="281" t="s">
        <v>628</v>
      </c>
    </row>
    <row r="102" spans="1:11" x14ac:dyDescent="0.2">
      <c r="A102" s="271">
        <f t="shared" si="18"/>
        <v>2021</v>
      </c>
      <c r="B102" s="286">
        <f t="shared" si="19"/>
        <v>2</v>
      </c>
      <c r="C102" s="297">
        <v>44255</v>
      </c>
      <c r="D102" s="297">
        <v>44255</v>
      </c>
      <c r="E102" s="287" t="s">
        <v>116</v>
      </c>
      <c r="F102" s="282">
        <v>78.69</v>
      </c>
      <c r="G102" s="282" t="s">
        <v>89</v>
      </c>
      <c r="H102" s="282" t="str">
        <f t="shared" si="22"/>
        <v>Variable</v>
      </c>
      <c r="I102" s="284">
        <f t="shared" si="21"/>
        <v>179.94000000000023</v>
      </c>
      <c r="J102" s="298">
        <v>0</v>
      </c>
      <c r="K102" s="282" t="s">
        <v>670</v>
      </c>
    </row>
    <row r="103" spans="1:11" ht="30" x14ac:dyDescent="0.2">
      <c r="A103" s="271">
        <f t="shared" si="18"/>
        <v>2021</v>
      </c>
      <c r="B103" s="286">
        <f t="shared" si="19"/>
        <v>2</v>
      </c>
      <c r="C103" s="297">
        <v>44255</v>
      </c>
      <c r="D103" s="297">
        <v>44255</v>
      </c>
      <c r="E103" s="287" t="s">
        <v>117</v>
      </c>
      <c r="F103" s="282">
        <v>40.15</v>
      </c>
      <c r="G103" s="282" t="s">
        <v>118</v>
      </c>
      <c r="H103" s="282" t="str">
        <f t="shared" si="22"/>
        <v>Variable</v>
      </c>
      <c r="I103" s="284">
        <f t="shared" si="21"/>
        <v>220.09000000000023</v>
      </c>
      <c r="J103" s="298" t="s">
        <v>137</v>
      </c>
      <c r="K103" s="282" t="s">
        <v>692</v>
      </c>
    </row>
    <row r="104" spans="1:11" ht="15.75" thickBot="1" x14ac:dyDescent="0.25">
      <c r="A104" s="272">
        <f t="shared" si="18"/>
        <v>2021</v>
      </c>
      <c r="B104" s="300">
        <f t="shared" si="19"/>
        <v>2</v>
      </c>
      <c r="C104" s="301">
        <v>44255</v>
      </c>
      <c r="D104" s="301">
        <v>44255</v>
      </c>
      <c r="E104" s="302" t="s">
        <v>49</v>
      </c>
      <c r="F104" s="303">
        <v>5.17</v>
      </c>
      <c r="G104" s="303" t="s">
        <v>67</v>
      </c>
      <c r="H104" s="303" t="str">
        <f t="shared" si="22"/>
        <v>Variable</v>
      </c>
      <c r="I104" s="284">
        <f t="shared" si="21"/>
        <v>225.26000000000022</v>
      </c>
      <c r="J104" s="304">
        <v>0</v>
      </c>
      <c r="K104" s="282" t="s">
        <v>688</v>
      </c>
    </row>
    <row r="105" spans="1:11" x14ac:dyDescent="0.2">
      <c r="A105" s="270">
        <f t="shared" si="18"/>
        <v>2021</v>
      </c>
      <c r="B105" s="292">
        <f t="shared" si="19"/>
        <v>3</v>
      </c>
      <c r="C105" s="305">
        <v>44256</v>
      </c>
      <c r="D105" s="305">
        <v>44256</v>
      </c>
      <c r="E105" s="294" t="s">
        <v>109</v>
      </c>
      <c r="F105" s="295">
        <v>69.989999999999995</v>
      </c>
      <c r="G105" s="295" t="s">
        <v>67</v>
      </c>
      <c r="H105" s="295" t="str">
        <f t="shared" si="22"/>
        <v>Variable</v>
      </c>
      <c r="I105" s="284">
        <f t="shared" si="21"/>
        <v>295.25000000000023</v>
      </c>
      <c r="J105" s="296">
        <v>0</v>
      </c>
      <c r="K105" s="282" t="s">
        <v>688</v>
      </c>
    </row>
    <row r="106" spans="1:11" x14ac:dyDescent="0.2">
      <c r="A106" s="271">
        <f t="shared" si="18"/>
        <v>2021</v>
      </c>
      <c r="B106" s="286">
        <f t="shared" si="19"/>
        <v>3</v>
      </c>
      <c r="C106" s="306">
        <v>44256</v>
      </c>
      <c r="D106" s="306">
        <v>44256</v>
      </c>
      <c r="E106" s="287" t="s">
        <v>119</v>
      </c>
      <c r="F106" s="282">
        <v>13.99</v>
      </c>
      <c r="G106" s="282" t="s">
        <v>26</v>
      </c>
      <c r="H106" s="282" t="str">
        <f t="shared" si="22"/>
        <v>Fixed</v>
      </c>
      <c r="I106" s="284">
        <f t="shared" si="21"/>
        <v>309.24000000000024</v>
      </c>
      <c r="J106" s="298" t="s">
        <v>7</v>
      </c>
      <c r="K106" s="282" t="s">
        <v>781</v>
      </c>
    </row>
    <row r="107" spans="1:11" x14ac:dyDescent="0.2">
      <c r="A107" s="271">
        <f t="shared" si="18"/>
        <v>2021</v>
      </c>
      <c r="B107" s="286">
        <f t="shared" si="19"/>
        <v>3</v>
      </c>
      <c r="C107" s="306">
        <v>44257</v>
      </c>
      <c r="D107" s="306">
        <v>44258</v>
      </c>
      <c r="E107" s="287" t="s">
        <v>120</v>
      </c>
      <c r="F107" s="282">
        <v>9.99</v>
      </c>
      <c r="G107" s="282" t="s">
        <v>26</v>
      </c>
      <c r="H107" s="282" t="str">
        <f t="shared" si="22"/>
        <v>Fixed</v>
      </c>
      <c r="I107" s="284">
        <f t="shared" si="21"/>
        <v>319.23000000000025</v>
      </c>
      <c r="J107" s="298" t="s">
        <v>6</v>
      </c>
      <c r="K107" s="282" t="s">
        <v>781</v>
      </c>
    </row>
    <row r="108" spans="1:11" x14ac:dyDescent="0.2">
      <c r="A108" s="271">
        <f t="shared" si="18"/>
        <v>2021</v>
      </c>
      <c r="B108" s="286">
        <f t="shared" si="19"/>
        <v>3</v>
      </c>
      <c r="C108" s="306">
        <v>44259</v>
      </c>
      <c r="D108" s="306">
        <v>44259</v>
      </c>
      <c r="E108" s="287" t="s">
        <v>32</v>
      </c>
      <c r="F108" s="282">
        <v>91.78</v>
      </c>
      <c r="G108" s="282" t="s">
        <v>26</v>
      </c>
      <c r="H108" s="282" t="str">
        <f t="shared" si="22"/>
        <v>Fixed</v>
      </c>
      <c r="I108" s="284">
        <f t="shared" si="21"/>
        <v>411.01000000000022</v>
      </c>
      <c r="J108" s="298" t="s">
        <v>8</v>
      </c>
      <c r="K108" s="282" t="s">
        <v>628</v>
      </c>
    </row>
    <row r="109" spans="1:11" x14ac:dyDescent="0.2">
      <c r="A109" s="271">
        <f t="shared" si="18"/>
        <v>2021</v>
      </c>
      <c r="B109" s="286">
        <f t="shared" si="19"/>
        <v>3</v>
      </c>
      <c r="C109" s="306">
        <v>44260</v>
      </c>
      <c r="D109" s="306">
        <v>44260</v>
      </c>
      <c r="E109" s="287" t="s">
        <v>121</v>
      </c>
      <c r="F109" s="282">
        <v>350</v>
      </c>
      <c r="G109" s="282" t="s">
        <v>52</v>
      </c>
      <c r="H109" s="282" t="str">
        <f t="shared" si="22"/>
        <v>Variable</v>
      </c>
      <c r="I109" s="284">
        <f t="shared" si="21"/>
        <v>761.01000000000022</v>
      </c>
      <c r="J109" s="298" t="s">
        <v>134</v>
      </c>
      <c r="K109" s="282" t="s">
        <v>688</v>
      </c>
    </row>
    <row r="110" spans="1:11" x14ac:dyDescent="0.2">
      <c r="A110" s="271">
        <f t="shared" si="18"/>
        <v>2021</v>
      </c>
      <c r="B110" s="286">
        <f t="shared" si="19"/>
        <v>3</v>
      </c>
      <c r="C110" s="306">
        <v>44261</v>
      </c>
      <c r="D110" s="306">
        <v>44261</v>
      </c>
      <c r="E110" s="287" t="s">
        <v>122</v>
      </c>
      <c r="F110" s="282">
        <v>70</v>
      </c>
      <c r="G110" s="282" t="s">
        <v>41</v>
      </c>
      <c r="H110" s="282" t="str">
        <f t="shared" si="22"/>
        <v>Variable</v>
      </c>
      <c r="I110" s="284">
        <f t="shared" si="21"/>
        <v>831.01000000000022</v>
      </c>
      <c r="J110" s="298">
        <v>0</v>
      </c>
      <c r="K110" s="282" t="s">
        <v>670</v>
      </c>
    </row>
    <row r="111" spans="1:11" x14ac:dyDescent="0.2">
      <c r="A111" s="271">
        <f t="shared" si="18"/>
        <v>2021</v>
      </c>
      <c r="B111" s="286">
        <f t="shared" si="19"/>
        <v>3</v>
      </c>
      <c r="C111" s="306">
        <v>44262</v>
      </c>
      <c r="D111" s="306">
        <v>44262</v>
      </c>
      <c r="E111" s="287" t="s">
        <v>123</v>
      </c>
      <c r="F111" s="282">
        <v>1</v>
      </c>
      <c r="G111" s="282" t="s">
        <v>67</v>
      </c>
      <c r="H111" s="282" t="str">
        <f t="shared" si="22"/>
        <v>Variable</v>
      </c>
      <c r="I111" s="284">
        <f t="shared" si="21"/>
        <v>832.01000000000022</v>
      </c>
      <c r="J111" s="298">
        <v>0</v>
      </c>
      <c r="K111" s="282" t="s">
        <v>781</v>
      </c>
    </row>
    <row r="112" spans="1:11" x14ac:dyDescent="0.2">
      <c r="A112" s="271">
        <f t="shared" si="18"/>
        <v>2021</v>
      </c>
      <c r="B112" s="286">
        <f t="shared" si="19"/>
        <v>3</v>
      </c>
      <c r="C112" s="306">
        <v>44262</v>
      </c>
      <c r="D112" s="306">
        <v>44262</v>
      </c>
      <c r="E112" s="287" t="s">
        <v>124</v>
      </c>
      <c r="F112" s="282">
        <v>1</v>
      </c>
      <c r="G112" s="282" t="s">
        <v>67</v>
      </c>
      <c r="H112" s="282" t="str">
        <f t="shared" si="22"/>
        <v>Variable</v>
      </c>
      <c r="I112" s="284">
        <f t="shared" si="21"/>
        <v>833.01000000000022</v>
      </c>
      <c r="J112" s="298">
        <v>0</v>
      </c>
      <c r="K112" s="282" t="s">
        <v>781</v>
      </c>
    </row>
    <row r="113" spans="1:11" x14ac:dyDescent="0.2">
      <c r="A113" s="271">
        <f t="shared" si="18"/>
        <v>2021</v>
      </c>
      <c r="B113" s="286">
        <f t="shared" si="19"/>
        <v>3</v>
      </c>
      <c r="C113" s="306">
        <v>44262</v>
      </c>
      <c r="D113" s="306">
        <v>44262</v>
      </c>
      <c r="E113" s="287" t="s">
        <v>49</v>
      </c>
      <c r="F113" s="282">
        <v>90.38</v>
      </c>
      <c r="G113" s="282" t="s">
        <v>67</v>
      </c>
      <c r="H113" s="282" t="str">
        <f t="shared" si="22"/>
        <v>Variable</v>
      </c>
      <c r="I113" s="284">
        <f t="shared" si="21"/>
        <v>923.39000000000021</v>
      </c>
      <c r="J113" s="298">
        <v>0</v>
      </c>
      <c r="K113" s="282" t="s">
        <v>688</v>
      </c>
    </row>
    <row r="114" spans="1:11" x14ac:dyDescent="0.2">
      <c r="A114" s="271">
        <f t="shared" si="18"/>
        <v>2021</v>
      </c>
      <c r="B114" s="286">
        <f t="shared" si="19"/>
        <v>3</v>
      </c>
      <c r="C114" s="306">
        <v>44262</v>
      </c>
      <c r="D114" s="306">
        <v>44263</v>
      </c>
      <c r="E114" s="287" t="s">
        <v>125</v>
      </c>
      <c r="F114" s="282">
        <v>-1</v>
      </c>
      <c r="G114" s="282" t="s">
        <v>22</v>
      </c>
      <c r="H114" s="282" t="str">
        <f t="shared" si="22"/>
        <v>Payment</v>
      </c>
      <c r="I114" s="284">
        <f t="shared" si="21"/>
        <v>922.39000000000021</v>
      </c>
      <c r="J114" s="298">
        <v>0</v>
      </c>
      <c r="K114" s="282">
        <v>0</v>
      </c>
    </row>
    <row r="115" spans="1:11" x14ac:dyDescent="0.2">
      <c r="A115" s="271">
        <f t="shared" si="18"/>
        <v>2021</v>
      </c>
      <c r="B115" s="286">
        <f t="shared" si="19"/>
        <v>3</v>
      </c>
      <c r="C115" s="306">
        <v>44262</v>
      </c>
      <c r="D115" s="306">
        <v>44263</v>
      </c>
      <c r="E115" s="287" t="s">
        <v>126</v>
      </c>
      <c r="F115" s="282">
        <v>-1</v>
      </c>
      <c r="G115" s="282" t="s">
        <v>22</v>
      </c>
      <c r="H115" s="282" t="str">
        <f t="shared" si="22"/>
        <v>Payment</v>
      </c>
      <c r="I115" s="284">
        <f t="shared" si="21"/>
        <v>921.39000000000021</v>
      </c>
      <c r="J115" s="298">
        <v>0</v>
      </c>
      <c r="K115" s="282">
        <v>0</v>
      </c>
    </row>
    <row r="116" spans="1:11" x14ac:dyDescent="0.2">
      <c r="A116" s="271">
        <f t="shared" si="18"/>
        <v>2021</v>
      </c>
      <c r="B116" s="286">
        <f t="shared" si="19"/>
        <v>3</v>
      </c>
      <c r="C116" s="306">
        <v>44263</v>
      </c>
      <c r="D116" s="306">
        <v>44263</v>
      </c>
      <c r="E116" s="287" t="s">
        <v>127</v>
      </c>
      <c r="F116" s="282">
        <v>55</v>
      </c>
      <c r="G116" s="282" t="s">
        <v>56</v>
      </c>
      <c r="H116" s="282" t="str">
        <f t="shared" si="22"/>
        <v>Variable</v>
      </c>
      <c r="I116" s="284">
        <f t="shared" si="21"/>
        <v>976.39000000000021</v>
      </c>
      <c r="J116" s="298" t="s">
        <v>504</v>
      </c>
      <c r="K116" s="282" t="s">
        <v>697</v>
      </c>
    </row>
    <row r="117" spans="1:11" x14ac:dyDescent="0.2">
      <c r="A117" s="271">
        <f t="shared" si="18"/>
        <v>2021</v>
      </c>
      <c r="B117" s="286">
        <f t="shared" si="19"/>
        <v>3</v>
      </c>
      <c r="C117" s="306">
        <v>44264</v>
      </c>
      <c r="D117" s="306">
        <v>44264</v>
      </c>
      <c r="E117" s="287" t="s">
        <v>128</v>
      </c>
      <c r="F117" s="282">
        <v>86.17</v>
      </c>
      <c r="G117" s="282" t="s">
        <v>129</v>
      </c>
      <c r="H117" s="282" t="str">
        <f t="shared" si="22"/>
        <v>Fixed</v>
      </c>
      <c r="I117" s="284">
        <f t="shared" si="21"/>
        <v>1062.5600000000002</v>
      </c>
      <c r="J117" s="298" t="s">
        <v>135</v>
      </c>
      <c r="K117" s="282" t="s">
        <v>628</v>
      </c>
    </row>
    <row r="118" spans="1:11" x14ac:dyDescent="0.2">
      <c r="A118" s="271">
        <f t="shared" si="18"/>
        <v>2021</v>
      </c>
      <c r="B118" s="286">
        <f t="shared" si="19"/>
        <v>3</v>
      </c>
      <c r="C118" s="306">
        <v>44264</v>
      </c>
      <c r="D118" s="306">
        <v>44264</v>
      </c>
      <c r="E118" s="287" t="s">
        <v>130</v>
      </c>
      <c r="F118" s="282">
        <v>18.34</v>
      </c>
      <c r="G118" s="282" t="s">
        <v>67</v>
      </c>
      <c r="H118" s="282" t="str">
        <f t="shared" si="22"/>
        <v>Variable</v>
      </c>
      <c r="I118" s="284">
        <f t="shared" si="21"/>
        <v>1080.9000000000001</v>
      </c>
      <c r="J118" s="298">
        <v>0</v>
      </c>
      <c r="K118" s="282" t="s">
        <v>688</v>
      </c>
    </row>
    <row r="119" spans="1:11" x14ac:dyDescent="0.2">
      <c r="A119" s="271">
        <f t="shared" si="18"/>
        <v>2021</v>
      </c>
      <c r="B119" s="286">
        <f t="shared" si="19"/>
        <v>3</v>
      </c>
      <c r="C119" s="306">
        <v>44264</v>
      </c>
      <c r="D119" s="306">
        <v>44264</v>
      </c>
      <c r="E119" s="287" t="s">
        <v>49</v>
      </c>
      <c r="F119" s="282">
        <v>3.99</v>
      </c>
      <c r="G119" s="282" t="s">
        <v>67</v>
      </c>
      <c r="H119" s="282" t="str">
        <f t="shared" si="22"/>
        <v>Variable</v>
      </c>
      <c r="I119" s="284">
        <f t="shared" si="21"/>
        <v>1084.8900000000001</v>
      </c>
      <c r="J119" s="298">
        <v>0</v>
      </c>
      <c r="K119" s="282" t="s">
        <v>688</v>
      </c>
    </row>
    <row r="120" spans="1:11" x14ac:dyDescent="0.2">
      <c r="A120" s="271">
        <f t="shared" si="18"/>
        <v>2021</v>
      </c>
      <c r="B120" s="286">
        <f t="shared" si="19"/>
        <v>3</v>
      </c>
      <c r="C120" s="306">
        <v>44265</v>
      </c>
      <c r="D120" s="306">
        <v>44265</v>
      </c>
      <c r="E120" s="287" t="s">
        <v>131</v>
      </c>
      <c r="F120" s="282">
        <v>13.45</v>
      </c>
      <c r="G120" s="282" t="s">
        <v>41</v>
      </c>
      <c r="H120" s="282" t="str">
        <f t="shared" si="22"/>
        <v>Variable</v>
      </c>
      <c r="I120" s="284">
        <f t="shared" si="21"/>
        <v>1098.3400000000001</v>
      </c>
      <c r="J120" s="298" t="s">
        <v>136</v>
      </c>
      <c r="K120" s="282" t="s">
        <v>670</v>
      </c>
    </row>
    <row r="121" spans="1:11" x14ac:dyDescent="0.2">
      <c r="A121" s="271">
        <f t="shared" si="18"/>
        <v>2021</v>
      </c>
      <c r="B121" s="286">
        <f t="shared" si="19"/>
        <v>3</v>
      </c>
      <c r="C121" s="306">
        <v>44265</v>
      </c>
      <c r="D121" s="306">
        <v>44265</v>
      </c>
      <c r="E121" s="287" t="s">
        <v>132</v>
      </c>
      <c r="F121" s="282">
        <v>28.3</v>
      </c>
      <c r="G121" s="282" t="s">
        <v>88</v>
      </c>
      <c r="H121" s="282" t="str">
        <f t="shared" si="22"/>
        <v>Variable</v>
      </c>
      <c r="I121" s="284">
        <f t="shared" si="21"/>
        <v>1126.6400000000001</v>
      </c>
      <c r="J121" s="298" t="s">
        <v>136</v>
      </c>
      <c r="K121" s="282" t="s">
        <v>628</v>
      </c>
    </row>
    <row r="122" spans="1:11" x14ac:dyDescent="0.2">
      <c r="A122" s="271">
        <f t="shared" si="18"/>
        <v>2021</v>
      </c>
      <c r="B122" s="286">
        <f t="shared" si="19"/>
        <v>3</v>
      </c>
      <c r="C122" s="306">
        <v>44265</v>
      </c>
      <c r="D122" s="306">
        <v>44265</v>
      </c>
      <c r="E122" s="287" t="s">
        <v>133</v>
      </c>
      <c r="F122" s="282">
        <v>33.74</v>
      </c>
      <c r="G122" s="282" t="s">
        <v>88</v>
      </c>
      <c r="H122" s="282" t="str">
        <f t="shared" si="22"/>
        <v>Variable</v>
      </c>
      <c r="I122" s="284">
        <f t="shared" si="21"/>
        <v>1160.3800000000001</v>
      </c>
      <c r="J122" s="298" t="s">
        <v>136</v>
      </c>
      <c r="K122" s="282" t="s">
        <v>628</v>
      </c>
    </row>
    <row r="123" spans="1:11" x14ac:dyDescent="0.2">
      <c r="A123" s="271">
        <f t="shared" si="18"/>
        <v>2021</v>
      </c>
      <c r="B123" s="286">
        <f t="shared" si="19"/>
        <v>3</v>
      </c>
      <c r="C123" s="306">
        <v>44265</v>
      </c>
      <c r="D123" s="306">
        <v>44265</v>
      </c>
      <c r="E123" s="287" t="s">
        <v>138</v>
      </c>
      <c r="F123" s="282">
        <v>9.19</v>
      </c>
      <c r="G123" s="282" t="s">
        <v>41</v>
      </c>
      <c r="H123" s="282" t="str">
        <f t="shared" si="22"/>
        <v>Variable</v>
      </c>
      <c r="I123" s="284">
        <f t="shared" si="21"/>
        <v>1169.5700000000002</v>
      </c>
      <c r="J123" s="298">
        <v>0</v>
      </c>
      <c r="K123" s="282" t="s">
        <v>670</v>
      </c>
    </row>
    <row r="124" spans="1:11" x14ac:dyDescent="0.2">
      <c r="A124" s="271">
        <f t="shared" si="18"/>
        <v>2021</v>
      </c>
      <c r="B124" s="286">
        <f t="shared" si="19"/>
        <v>3</v>
      </c>
      <c r="C124" s="306">
        <v>44265</v>
      </c>
      <c r="D124" s="306">
        <v>44265</v>
      </c>
      <c r="E124" s="287" t="s">
        <v>139</v>
      </c>
      <c r="F124" s="282">
        <v>21.18</v>
      </c>
      <c r="G124" s="282" t="s">
        <v>67</v>
      </c>
      <c r="H124" s="282" t="str">
        <f t="shared" si="22"/>
        <v>Variable</v>
      </c>
      <c r="I124" s="284">
        <f t="shared" si="21"/>
        <v>1190.7500000000002</v>
      </c>
      <c r="J124" s="298">
        <v>0</v>
      </c>
      <c r="K124" s="282" t="s">
        <v>688</v>
      </c>
    </row>
    <row r="125" spans="1:11" x14ac:dyDescent="0.2">
      <c r="A125" s="271">
        <f t="shared" si="18"/>
        <v>2021</v>
      </c>
      <c r="B125" s="286">
        <f t="shared" si="19"/>
        <v>3</v>
      </c>
      <c r="C125" s="306">
        <v>44265</v>
      </c>
      <c r="D125" s="306">
        <v>44265</v>
      </c>
      <c r="E125" s="287" t="s">
        <v>139</v>
      </c>
      <c r="F125" s="282">
        <v>37.07</v>
      </c>
      <c r="G125" s="282" t="s">
        <v>67</v>
      </c>
      <c r="H125" s="282" t="str">
        <f t="shared" si="22"/>
        <v>Variable</v>
      </c>
      <c r="I125" s="284">
        <f t="shared" si="21"/>
        <v>1227.8200000000002</v>
      </c>
      <c r="J125" s="298">
        <v>0</v>
      </c>
      <c r="K125" s="282" t="s">
        <v>688</v>
      </c>
    </row>
    <row r="126" spans="1:11" x14ac:dyDescent="0.2">
      <c r="A126" s="271">
        <f t="shared" si="18"/>
        <v>2021</v>
      </c>
      <c r="B126" s="286">
        <f t="shared" si="19"/>
        <v>3</v>
      </c>
      <c r="C126" s="306">
        <v>44265</v>
      </c>
      <c r="D126" s="306">
        <v>44265</v>
      </c>
      <c r="E126" s="287" t="s">
        <v>140</v>
      </c>
      <c r="F126" s="282">
        <v>19.79</v>
      </c>
      <c r="G126" s="282" t="s">
        <v>67</v>
      </c>
      <c r="H126" s="282" t="str">
        <f t="shared" si="22"/>
        <v>Variable</v>
      </c>
      <c r="I126" s="284">
        <f t="shared" si="21"/>
        <v>1247.6100000000001</v>
      </c>
      <c r="J126" s="298">
        <v>0</v>
      </c>
      <c r="K126" s="282" t="s">
        <v>688</v>
      </c>
    </row>
    <row r="127" spans="1:11" x14ac:dyDescent="0.2">
      <c r="A127" s="271">
        <f t="shared" si="18"/>
        <v>2021</v>
      </c>
      <c r="B127" s="286">
        <f t="shared" si="19"/>
        <v>3</v>
      </c>
      <c r="C127" s="306">
        <v>44266</v>
      </c>
      <c r="D127" s="306">
        <v>44266</v>
      </c>
      <c r="E127" s="287" t="s">
        <v>60</v>
      </c>
      <c r="F127" s="282">
        <v>26.45</v>
      </c>
      <c r="G127" s="282" t="s">
        <v>24</v>
      </c>
      <c r="H127" s="282" t="str">
        <f t="shared" si="22"/>
        <v>Variable</v>
      </c>
      <c r="I127" s="284">
        <f t="shared" si="21"/>
        <v>1274.0600000000002</v>
      </c>
      <c r="J127" s="298">
        <v>0</v>
      </c>
      <c r="K127" s="281" t="s">
        <v>628</v>
      </c>
    </row>
    <row r="128" spans="1:11" x14ac:dyDescent="0.2">
      <c r="A128" s="271">
        <f t="shared" si="18"/>
        <v>2021</v>
      </c>
      <c r="B128" s="286">
        <f t="shared" si="19"/>
        <v>3</v>
      </c>
      <c r="C128" s="306">
        <v>44266</v>
      </c>
      <c r="D128" s="306">
        <v>44266</v>
      </c>
      <c r="E128" s="287" t="s">
        <v>141</v>
      </c>
      <c r="F128" s="282">
        <v>15.66</v>
      </c>
      <c r="G128" s="282" t="s">
        <v>67</v>
      </c>
      <c r="H128" s="282" t="str">
        <f t="shared" si="22"/>
        <v>Variable</v>
      </c>
      <c r="I128" s="284">
        <f t="shared" si="21"/>
        <v>1289.7200000000003</v>
      </c>
      <c r="J128" s="298">
        <v>0</v>
      </c>
      <c r="K128" s="282" t="s">
        <v>688</v>
      </c>
    </row>
    <row r="129" spans="1:11" x14ac:dyDescent="0.2">
      <c r="A129" s="271">
        <f t="shared" si="18"/>
        <v>2021</v>
      </c>
      <c r="B129" s="286">
        <f t="shared" si="19"/>
        <v>3</v>
      </c>
      <c r="C129" s="306">
        <v>44267</v>
      </c>
      <c r="D129" s="306">
        <v>44267</v>
      </c>
      <c r="E129" s="287" t="s">
        <v>142</v>
      </c>
      <c r="F129" s="282">
        <v>14.99</v>
      </c>
      <c r="G129" s="282" t="s">
        <v>26</v>
      </c>
      <c r="H129" s="282" t="str">
        <f t="shared" si="22"/>
        <v>Fixed</v>
      </c>
      <c r="I129" s="284">
        <f t="shared" si="21"/>
        <v>1304.7100000000003</v>
      </c>
      <c r="J129" s="298" t="s">
        <v>292</v>
      </c>
      <c r="K129" s="282" t="s">
        <v>781</v>
      </c>
    </row>
    <row r="130" spans="1:11" x14ac:dyDescent="0.2">
      <c r="A130" s="271">
        <f t="shared" ref="A130:A193" si="23">YEAR(C130)</f>
        <v>2021</v>
      </c>
      <c r="B130" s="286">
        <f t="shared" ref="B130:B193" si="24">MONTH(C130)</f>
        <v>3</v>
      </c>
      <c r="C130" s="306">
        <v>44267</v>
      </c>
      <c r="D130" s="306">
        <v>44267</v>
      </c>
      <c r="E130" s="287" t="s">
        <v>21</v>
      </c>
      <c r="F130" s="307">
        <v>-1160.3800000000001</v>
      </c>
      <c r="G130" s="282" t="s">
        <v>22</v>
      </c>
      <c r="H130" s="282" t="str">
        <f t="shared" ref="H130:H152" si="25">VLOOKUP(G130,Expense_Lookup,2,0)</f>
        <v>Payment</v>
      </c>
      <c r="I130" s="284">
        <f t="shared" si="21"/>
        <v>144.33000000000015</v>
      </c>
      <c r="J130" s="298">
        <v>0</v>
      </c>
      <c r="K130" s="282">
        <v>0</v>
      </c>
    </row>
    <row r="131" spans="1:11" x14ac:dyDescent="0.2">
      <c r="A131" s="271">
        <f t="shared" si="23"/>
        <v>2021</v>
      </c>
      <c r="B131" s="286">
        <f t="shared" si="24"/>
        <v>3</v>
      </c>
      <c r="C131" s="306">
        <v>44267</v>
      </c>
      <c r="D131" s="306">
        <v>44267</v>
      </c>
      <c r="E131" s="287" t="s">
        <v>143</v>
      </c>
      <c r="F131" s="282">
        <v>11</v>
      </c>
      <c r="G131" s="282" t="s">
        <v>41</v>
      </c>
      <c r="H131" s="282" t="str">
        <f t="shared" si="25"/>
        <v>Variable</v>
      </c>
      <c r="I131" s="284">
        <f t="shared" si="21"/>
        <v>155.33000000000015</v>
      </c>
      <c r="J131" s="298">
        <v>0</v>
      </c>
      <c r="K131" s="282" t="s">
        <v>670</v>
      </c>
    </row>
    <row r="132" spans="1:11" x14ac:dyDescent="0.2">
      <c r="A132" s="271">
        <f t="shared" si="23"/>
        <v>2021</v>
      </c>
      <c r="B132" s="286">
        <f t="shared" si="24"/>
        <v>3</v>
      </c>
      <c r="C132" s="306">
        <v>44267</v>
      </c>
      <c r="D132" s="306">
        <v>44267</v>
      </c>
      <c r="E132" s="287" t="s">
        <v>59</v>
      </c>
      <c r="F132" s="282">
        <v>1.99</v>
      </c>
      <c r="G132" s="282" t="s">
        <v>26</v>
      </c>
      <c r="H132" s="282" t="str">
        <f t="shared" si="25"/>
        <v>Fixed</v>
      </c>
      <c r="I132" s="284">
        <f t="shared" ref="I132:I195" si="26">I131+F132</f>
        <v>157.32000000000016</v>
      </c>
      <c r="J132" s="298" t="s">
        <v>282</v>
      </c>
      <c r="K132" s="282" t="s">
        <v>781</v>
      </c>
    </row>
    <row r="133" spans="1:11" x14ac:dyDescent="0.2">
      <c r="A133" s="271">
        <f t="shared" si="23"/>
        <v>2021</v>
      </c>
      <c r="B133" s="286">
        <f t="shared" si="24"/>
        <v>3</v>
      </c>
      <c r="C133" s="306">
        <v>44267</v>
      </c>
      <c r="D133" s="306">
        <v>44267</v>
      </c>
      <c r="E133" s="287" t="s">
        <v>144</v>
      </c>
      <c r="F133" s="282">
        <v>19.989999999999998</v>
      </c>
      <c r="G133" s="282" t="s">
        <v>24</v>
      </c>
      <c r="H133" s="282" t="str">
        <f t="shared" si="25"/>
        <v>Variable</v>
      </c>
      <c r="I133" s="284">
        <f t="shared" si="26"/>
        <v>177.31000000000017</v>
      </c>
      <c r="J133" s="298">
        <v>0</v>
      </c>
      <c r="K133" s="281" t="s">
        <v>628</v>
      </c>
    </row>
    <row r="134" spans="1:11" x14ac:dyDescent="0.2">
      <c r="A134" s="271">
        <f t="shared" si="23"/>
        <v>2021</v>
      </c>
      <c r="B134" s="286">
        <f t="shared" si="24"/>
        <v>3</v>
      </c>
      <c r="C134" s="306">
        <v>44268</v>
      </c>
      <c r="D134" s="306">
        <v>44268</v>
      </c>
      <c r="E134" s="287" t="s">
        <v>145</v>
      </c>
      <c r="F134" s="282">
        <v>17</v>
      </c>
      <c r="G134" s="282" t="s">
        <v>88</v>
      </c>
      <c r="H134" s="282" t="str">
        <f t="shared" si="25"/>
        <v>Variable</v>
      </c>
      <c r="I134" s="284">
        <f t="shared" si="26"/>
        <v>194.31000000000017</v>
      </c>
      <c r="J134" s="298">
        <v>0</v>
      </c>
      <c r="K134" s="282" t="s">
        <v>628</v>
      </c>
    </row>
    <row r="135" spans="1:11" x14ac:dyDescent="0.2">
      <c r="A135" s="271">
        <f t="shared" si="23"/>
        <v>2021</v>
      </c>
      <c r="B135" s="286">
        <f t="shared" si="24"/>
        <v>3</v>
      </c>
      <c r="C135" s="306">
        <v>44268</v>
      </c>
      <c r="D135" s="306">
        <v>44268</v>
      </c>
      <c r="E135" s="287" t="s">
        <v>146</v>
      </c>
      <c r="F135" s="282">
        <v>10.17</v>
      </c>
      <c r="G135" s="282" t="s">
        <v>41</v>
      </c>
      <c r="H135" s="282" t="str">
        <f t="shared" si="25"/>
        <v>Variable</v>
      </c>
      <c r="I135" s="284">
        <f t="shared" si="26"/>
        <v>204.48000000000016</v>
      </c>
      <c r="J135" s="298">
        <v>0</v>
      </c>
      <c r="K135" s="282" t="s">
        <v>670</v>
      </c>
    </row>
    <row r="136" spans="1:11" x14ac:dyDescent="0.2">
      <c r="A136" s="271">
        <f t="shared" si="23"/>
        <v>2021</v>
      </c>
      <c r="B136" s="286">
        <f t="shared" si="24"/>
        <v>3</v>
      </c>
      <c r="C136" s="306">
        <v>44268</v>
      </c>
      <c r="D136" s="306">
        <v>44268</v>
      </c>
      <c r="E136" s="287" t="s">
        <v>140</v>
      </c>
      <c r="F136" s="282">
        <v>5</v>
      </c>
      <c r="G136" s="282" t="s">
        <v>67</v>
      </c>
      <c r="H136" s="282" t="str">
        <f t="shared" si="25"/>
        <v>Variable</v>
      </c>
      <c r="I136" s="284">
        <f t="shared" si="26"/>
        <v>209.48000000000016</v>
      </c>
      <c r="J136" s="298">
        <v>0</v>
      </c>
      <c r="K136" s="282" t="s">
        <v>688</v>
      </c>
    </row>
    <row r="137" spans="1:11" ht="30" x14ac:dyDescent="0.2">
      <c r="A137" s="271">
        <f t="shared" si="23"/>
        <v>2021</v>
      </c>
      <c r="B137" s="286">
        <f t="shared" si="24"/>
        <v>3</v>
      </c>
      <c r="C137" s="306">
        <v>44269</v>
      </c>
      <c r="D137" s="306">
        <v>44269</v>
      </c>
      <c r="E137" s="287" t="s">
        <v>147</v>
      </c>
      <c r="F137" s="282">
        <v>79.989999999999995</v>
      </c>
      <c r="G137" s="282" t="s">
        <v>26</v>
      </c>
      <c r="H137" s="282" t="str">
        <f t="shared" si="25"/>
        <v>Fixed</v>
      </c>
      <c r="I137" s="284">
        <f t="shared" si="26"/>
        <v>289.47000000000014</v>
      </c>
      <c r="J137" s="298" t="s">
        <v>310</v>
      </c>
      <c r="K137" s="282" t="s">
        <v>781</v>
      </c>
    </row>
    <row r="138" spans="1:11" x14ac:dyDescent="0.2">
      <c r="A138" s="271">
        <f t="shared" si="23"/>
        <v>2021</v>
      </c>
      <c r="B138" s="286">
        <f t="shared" si="24"/>
        <v>3</v>
      </c>
      <c r="C138" s="306">
        <v>44269</v>
      </c>
      <c r="D138" s="306">
        <v>44269</v>
      </c>
      <c r="E138" s="287" t="s">
        <v>148</v>
      </c>
      <c r="F138" s="282">
        <v>7.54</v>
      </c>
      <c r="G138" s="282" t="s">
        <v>24</v>
      </c>
      <c r="H138" s="282" t="str">
        <f t="shared" si="25"/>
        <v>Variable</v>
      </c>
      <c r="I138" s="284">
        <f t="shared" si="26"/>
        <v>297.01000000000016</v>
      </c>
      <c r="J138" s="298">
        <v>0</v>
      </c>
      <c r="K138" s="281" t="s">
        <v>628</v>
      </c>
    </row>
    <row r="139" spans="1:11" x14ac:dyDescent="0.2">
      <c r="A139" s="271">
        <f t="shared" si="23"/>
        <v>2021</v>
      </c>
      <c r="B139" s="286">
        <f t="shared" si="24"/>
        <v>3</v>
      </c>
      <c r="C139" s="306">
        <v>44269</v>
      </c>
      <c r="D139" s="306">
        <v>44269</v>
      </c>
      <c r="E139" s="287" t="s">
        <v>148</v>
      </c>
      <c r="F139" s="282">
        <v>26.08</v>
      </c>
      <c r="G139" s="282" t="s">
        <v>24</v>
      </c>
      <c r="H139" s="282" t="str">
        <f t="shared" si="25"/>
        <v>Variable</v>
      </c>
      <c r="I139" s="284">
        <f t="shared" si="26"/>
        <v>323.09000000000015</v>
      </c>
      <c r="J139" s="298">
        <v>0</v>
      </c>
      <c r="K139" s="281" t="s">
        <v>628</v>
      </c>
    </row>
    <row r="140" spans="1:11" x14ac:dyDescent="0.2">
      <c r="A140" s="271">
        <f t="shared" si="23"/>
        <v>2021</v>
      </c>
      <c r="B140" s="286">
        <f t="shared" si="24"/>
        <v>3</v>
      </c>
      <c r="C140" s="306">
        <v>44269</v>
      </c>
      <c r="D140" s="306">
        <v>44269</v>
      </c>
      <c r="E140" s="287" t="s">
        <v>149</v>
      </c>
      <c r="F140" s="282">
        <v>75.98</v>
      </c>
      <c r="G140" s="282" t="s">
        <v>26</v>
      </c>
      <c r="H140" s="282" t="str">
        <f t="shared" si="25"/>
        <v>Fixed</v>
      </c>
      <c r="I140" s="284">
        <f t="shared" si="26"/>
        <v>399.07000000000016</v>
      </c>
      <c r="J140" s="298">
        <v>0</v>
      </c>
      <c r="K140" s="282" t="s">
        <v>781</v>
      </c>
    </row>
    <row r="141" spans="1:11" ht="30" x14ac:dyDescent="0.2">
      <c r="A141" s="271">
        <f t="shared" si="23"/>
        <v>2021</v>
      </c>
      <c r="B141" s="286">
        <f t="shared" si="24"/>
        <v>3</v>
      </c>
      <c r="C141" s="306">
        <v>44269</v>
      </c>
      <c r="D141" s="306">
        <v>44269</v>
      </c>
      <c r="E141" s="287" t="s">
        <v>99</v>
      </c>
      <c r="F141" s="282">
        <v>86.25</v>
      </c>
      <c r="G141" s="282" t="s">
        <v>26</v>
      </c>
      <c r="H141" s="282" t="str">
        <f t="shared" si="25"/>
        <v>Fixed</v>
      </c>
      <c r="I141" s="284">
        <f t="shared" si="26"/>
        <v>485.32000000000016</v>
      </c>
      <c r="J141" s="298" t="s">
        <v>293</v>
      </c>
      <c r="K141" s="282" t="s">
        <v>781</v>
      </c>
    </row>
    <row r="142" spans="1:11" x14ac:dyDescent="0.2">
      <c r="A142" s="271">
        <f t="shared" si="23"/>
        <v>2021</v>
      </c>
      <c r="B142" s="286">
        <f t="shared" si="24"/>
        <v>3</v>
      </c>
      <c r="C142" s="306">
        <v>44270</v>
      </c>
      <c r="D142" s="306">
        <v>44270</v>
      </c>
      <c r="E142" s="287" t="s">
        <v>150</v>
      </c>
      <c r="F142" s="282">
        <v>20</v>
      </c>
      <c r="G142" s="282" t="s">
        <v>56</v>
      </c>
      <c r="H142" s="282" t="str">
        <f t="shared" si="25"/>
        <v>Variable</v>
      </c>
      <c r="I142" s="284">
        <f t="shared" si="26"/>
        <v>505.32000000000016</v>
      </c>
      <c r="J142" s="298" t="s">
        <v>209</v>
      </c>
      <c r="K142" s="281" t="s">
        <v>697</v>
      </c>
    </row>
    <row r="143" spans="1:11" x14ac:dyDescent="0.2">
      <c r="A143" s="271">
        <f t="shared" si="23"/>
        <v>2021</v>
      </c>
      <c r="B143" s="286">
        <f t="shared" si="24"/>
        <v>3</v>
      </c>
      <c r="C143" s="306">
        <v>44271</v>
      </c>
      <c r="D143" s="306">
        <v>44271</v>
      </c>
      <c r="E143" s="287" t="s">
        <v>151</v>
      </c>
      <c r="F143" s="282">
        <v>30.34</v>
      </c>
      <c r="G143" s="282" t="s">
        <v>89</v>
      </c>
      <c r="H143" s="282" t="str">
        <f t="shared" si="25"/>
        <v>Variable</v>
      </c>
      <c r="I143" s="284">
        <f t="shared" si="26"/>
        <v>535.6600000000002</v>
      </c>
      <c r="J143" s="298">
        <v>0</v>
      </c>
      <c r="K143" s="282" t="s">
        <v>670</v>
      </c>
    </row>
    <row r="144" spans="1:11" x14ac:dyDescent="0.2">
      <c r="A144" s="271">
        <f t="shared" si="23"/>
        <v>2021</v>
      </c>
      <c r="B144" s="286">
        <f t="shared" si="24"/>
        <v>3</v>
      </c>
      <c r="C144" s="306">
        <v>44272</v>
      </c>
      <c r="D144" s="306">
        <v>44272</v>
      </c>
      <c r="E144" s="287" t="s">
        <v>61</v>
      </c>
      <c r="F144" s="282">
        <v>-14.05</v>
      </c>
      <c r="G144" s="282" t="s">
        <v>62</v>
      </c>
      <c r="H144" s="282" t="str">
        <f t="shared" si="25"/>
        <v>Payment</v>
      </c>
      <c r="I144" s="284">
        <f t="shared" si="26"/>
        <v>521.61000000000024</v>
      </c>
      <c r="J144" s="298">
        <v>0</v>
      </c>
      <c r="K144" s="282">
        <v>0</v>
      </c>
    </row>
    <row r="145" spans="1:11" x14ac:dyDescent="0.2">
      <c r="A145" s="271">
        <f t="shared" si="23"/>
        <v>2021</v>
      </c>
      <c r="B145" s="286">
        <f t="shared" si="24"/>
        <v>3</v>
      </c>
      <c r="C145" s="306">
        <v>44272</v>
      </c>
      <c r="D145" s="306">
        <v>44272</v>
      </c>
      <c r="E145" s="287" t="s">
        <v>21</v>
      </c>
      <c r="F145" s="282">
        <v>-471.27</v>
      </c>
      <c r="G145" s="282" t="s">
        <v>22</v>
      </c>
      <c r="H145" s="282" t="str">
        <f t="shared" si="25"/>
        <v>Payment</v>
      </c>
      <c r="I145" s="284">
        <f t="shared" si="26"/>
        <v>50.340000000000259</v>
      </c>
      <c r="J145" s="298">
        <v>0</v>
      </c>
      <c r="K145" s="282">
        <v>0</v>
      </c>
    </row>
    <row r="146" spans="1:11" x14ac:dyDescent="0.2">
      <c r="A146" s="271">
        <f t="shared" si="23"/>
        <v>2021</v>
      </c>
      <c r="B146" s="286">
        <f t="shared" si="24"/>
        <v>3</v>
      </c>
      <c r="C146" s="306">
        <v>44274</v>
      </c>
      <c r="D146" s="306">
        <v>44274</v>
      </c>
      <c r="E146" s="287" t="s">
        <v>21</v>
      </c>
      <c r="F146" s="282">
        <v>-50.34</v>
      </c>
      <c r="G146" s="282" t="s">
        <v>22</v>
      </c>
      <c r="H146" s="282" t="str">
        <f t="shared" si="25"/>
        <v>Payment</v>
      </c>
      <c r="I146" s="284">
        <f t="shared" si="26"/>
        <v>2.5579538487363607E-13</v>
      </c>
      <c r="J146" s="298">
        <v>0</v>
      </c>
      <c r="K146" s="282">
        <v>0</v>
      </c>
    </row>
    <row r="147" spans="1:11" x14ac:dyDescent="0.2">
      <c r="A147" s="271">
        <f t="shared" si="23"/>
        <v>2021</v>
      </c>
      <c r="B147" s="286">
        <f t="shared" si="24"/>
        <v>3</v>
      </c>
      <c r="C147" s="306">
        <v>44274</v>
      </c>
      <c r="D147" s="306">
        <v>44274</v>
      </c>
      <c r="E147" s="287" t="s">
        <v>152</v>
      </c>
      <c r="F147" s="282">
        <v>24.75</v>
      </c>
      <c r="G147" s="282" t="s">
        <v>41</v>
      </c>
      <c r="H147" s="282" t="str">
        <f t="shared" si="25"/>
        <v>Variable</v>
      </c>
      <c r="I147" s="284">
        <f t="shared" si="26"/>
        <v>24.750000000000256</v>
      </c>
      <c r="J147" s="298">
        <v>0</v>
      </c>
      <c r="K147" s="282" t="s">
        <v>670</v>
      </c>
    </row>
    <row r="148" spans="1:11" x14ac:dyDescent="0.2">
      <c r="A148" s="271">
        <f t="shared" si="23"/>
        <v>2021</v>
      </c>
      <c r="B148" s="286">
        <f t="shared" si="24"/>
        <v>3</v>
      </c>
      <c r="C148" s="306">
        <v>44274</v>
      </c>
      <c r="D148" s="306">
        <v>44274</v>
      </c>
      <c r="E148" s="287" t="s">
        <v>84</v>
      </c>
      <c r="F148" s="282">
        <v>86.57</v>
      </c>
      <c r="G148" s="282" t="s">
        <v>89</v>
      </c>
      <c r="H148" s="282" t="str">
        <f t="shared" si="25"/>
        <v>Variable</v>
      </c>
      <c r="I148" s="284">
        <f t="shared" si="26"/>
        <v>111.32000000000025</v>
      </c>
      <c r="J148" s="298">
        <v>0</v>
      </c>
      <c r="K148" s="282" t="s">
        <v>670</v>
      </c>
    </row>
    <row r="149" spans="1:11" x14ac:dyDescent="0.2">
      <c r="A149" s="271">
        <f t="shared" si="23"/>
        <v>2021</v>
      </c>
      <c r="B149" s="286">
        <f t="shared" si="24"/>
        <v>3</v>
      </c>
      <c r="C149" s="306">
        <v>44275</v>
      </c>
      <c r="D149" s="306">
        <v>44275</v>
      </c>
      <c r="E149" s="287" t="s">
        <v>153</v>
      </c>
      <c r="F149" s="282">
        <v>10.5</v>
      </c>
      <c r="G149" s="282" t="s">
        <v>41</v>
      </c>
      <c r="H149" s="282" t="str">
        <f t="shared" si="25"/>
        <v>Variable</v>
      </c>
      <c r="I149" s="284">
        <f t="shared" si="26"/>
        <v>121.82000000000025</v>
      </c>
      <c r="J149" s="298" t="s">
        <v>205</v>
      </c>
      <c r="K149" s="282" t="s">
        <v>677</v>
      </c>
    </row>
    <row r="150" spans="1:11" x14ac:dyDescent="0.2">
      <c r="A150" s="271">
        <f t="shared" si="23"/>
        <v>2021</v>
      </c>
      <c r="B150" s="286">
        <f t="shared" si="24"/>
        <v>3</v>
      </c>
      <c r="C150" s="306">
        <v>44275</v>
      </c>
      <c r="D150" s="306">
        <v>44275</v>
      </c>
      <c r="E150" s="287" t="s">
        <v>154</v>
      </c>
      <c r="F150" s="282">
        <v>2.75</v>
      </c>
      <c r="G150" s="282" t="s">
        <v>88</v>
      </c>
      <c r="H150" s="282" t="str">
        <f t="shared" si="25"/>
        <v>Variable</v>
      </c>
      <c r="I150" s="284">
        <f t="shared" si="26"/>
        <v>124.57000000000025</v>
      </c>
      <c r="J150" s="298" t="s">
        <v>205</v>
      </c>
      <c r="K150" s="282" t="s">
        <v>677</v>
      </c>
    </row>
    <row r="151" spans="1:11" x14ac:dyDescent="0.2">
      <c r="A151" s="271">
        <f t="shared" si="23"/>
        <v>2021</v>
      </c>
      <c r="B151" s="286">
        <f t="shared" si="24"/>
        <v>3</v>
      </c>
      <c r="C151" s="306">
        <v>44275</v>
      </c>
      <c r="D151" s="306">
        <v>44275</v>
      </c>
      <c r="E151" s="287" t="s">
        <v>155</v>
      </c>
      <c r="F151" s="282">
        <v>2.75</v>
      </c>
      <c r="G151" s="282" t="s">
        <v>88</v>
      </c>
      <c r="H151" s="282" t="str">
        <f t="shared" si="25"/>
        <v>Variable</v>
      </c>
      <c r="I151" s="284">
        <f t="shared" si="26"/>
        <v>127.32000000000025</v>
      </c>
      <c r="J151" s="298" t="s">
        <v>205</v>
      </c>
      <c r="K151" s="282" t="s">
        <v>677</v>
      </c>
    </row>
    <row r="152" spans="1:11" x14ac:dyDescent="0.2">
      <c r="A152" s="271">
        <f t="shared" si="23"/>
        <v>2021</v>
      </c>
      <c r="B152" s="286">
        <f t="shared" si="24"/>
        <v>3</v>
      </c>
      <c r="C152" s="306">
        <v>44275</v>
      </c>
      <c r="D152" s="306">
        <v>44275</v>
      </c>
      <c r="E152" s="287" t="s">
        <v>156</v>
      </c>
      <c r="F152" s="282">
        <v>2.75</v>
      </c>
      <c r="G152" s="282" t="s">
        <v>88</v>
      </c>
      <c r="H152" s="282" t="str">
        <f t="shared" si="25"/>
        <v>Variable</v>
      </c>
      <c r="I152" s="284">
        <f t="shared" si="26"/>
        <v>130.07000000000025</v>
      </c>
      <c r="J152" s="298" t="s">
        <v>205</v>
      </c>
      <c r="K152" s="282" t="s">
        <v>677</v>
      </c>
    </row>
    <row r="153" spans="1:11" x14ac:dyDescent="0.2">
      <c r="A153" s="271">
        <f t="shared" si="23"/>
        <v>2021</v>
      </c>
      <c r="B153" s="286">
        <f t="shared" si="24"/>
        <v>3</v>
      </c>
      <c r="C153" s="306">
        <v>44275</v>
      </c>
      <c r="D153" s="306">
        <v>44275</v>
      </c>
      <c r="E153" s="287" t="s">
        <v>100</v>
      </c>
      <c r="F153" s="282">
        <v>6.99</v>
      </c>
      <c r="G153" s="282" t="s">
        <v>67</v>
      </c>
      <c r="H153" s="282" t="s">
        <v>26</v>
      </c>
      <c r="I153" s="284">
        <f t="shared" si="26"/>
        <v>137.06000000000026</v>
      </c>
      <c r="J153" s="298" t="s">
        <v>106</v>
      </c>
      <c r="K153" s="282" t="s">
        <v>688</v>
      </c>
    </row>
    <row r="154" spans="1:11" x14ac:dyDescent="0.2">
      <c r="A154" s="271">
        <f t="shared" si="23"/>
        <v>2021</v>
      </c>
      <c r="B154" s="286">
        <f t="shared" si="24"/>
        <v>3</v>
      </c>
      <c r="C154" s="306">
        <v>44276</v>
      </c>
      <c r="D154" s="306">
        <v>44276</v>
      </c>
      <c r="E154" s="287" t="s">
        <v>157</v>
      </c>
      <c r="F154" s="282">
        <v>27.76</v>
      </c>
      <c r="G154" s="282" t="s">
        <v>67</v>
      </c>
      <c r="H154" s="282" t="str">
        <f t="shared" ref="H154:H217" si="27">VLOOKUP(G154,Expense_Lookup,2,0)</f>
        <v>Variable</v>
      </c>
      <c r="I154" s="284">
        <f t="shared" si="26"/>
        <v>164.82000000000025</v>
      </c>
      <c r="J154" s="298" t="s">
        <v>205</v>
      </c>
      <c r="K154" s="282" t="s">
        <v>677</v>
      </c>
    </row>
    <row r="155" spans="1:11" x14ac:dyDescent="0.2">
      <c r="A155" s="271">
        <f t="shared" si="23"/>
        <v>2021</v>
      </c>
      <c r="B155" s="286">
        <f t="shared" si="24"/>
        <v>3</v>
      </c>
      <c r="C155" s="306">
        <v>44276</v>
      </c>
      <c r="D155" s="306">
        <v>44276</v>
      </c>
      <c r="E155" s="287" t="s">
        <v>158</v>
      </c>
      <c r="F155" s="282">
        <v>9.9499999999999993</v>
      </c>
      <c r="G155" s="281" t="s">
        <v>56</v>
      </c>
      <c r="H155" s="282" t="str">
        <f t="shared" si="27"/>
        <v>Variable</v>
      </c>
      <c r="I155" s="284">
        <f t="shared" si="26"/>
        <v>174.77000000000024</v>
      </c>
      <c r="J155" s="298" t="s">
        <v>35</v>
      </c>
      <c r="K155" s="281" t="s">
        <v>697</v>
      </c>
    </row>
    <row r="156" spans="1:11" x14ac:dyDescent="0.2">
      <c r="A156" s="271">
        <f t="shared" si="23"/>
        <v>2021</v>
      </c>
      <c r="B156" s="286">
        <f t="shared" si="24"/>
        <v>3</v>
      </c>
      <c r="C156" s="306">
        <v>44276</v>
      </c>
      <c r="D156" s="306">
        <v>44276</v>
      </c>
      <c r="E156" s="287" t="s">
        <v>123</v>
      </c>
      <c r="F156" s="282">
        <v>64.989999999999995</v>
      </c>
      <c r="G156" s="282" t="s">
        <v>67</v>
      </c>
      <c r="H156" s="282" t="str">
        <f t="shared" si="27"/>
        <v>Variable</v>
      </c>
      <c r="I156" s="284">
        <f t="shared" si="26"/>
        <v>239.76000000000022</v>
      </c>
      <c r="J156" s="298">
        <v>0</v>
      </c>
      <c r="K156" s="282" t="s">
        <v>781</v>
      </c>
    </row>
    <row r="157" spans="1:11" x14ac:dyDescent="0.2">
      <c r="A157" s="271">
        <f t="shared" si="23"/>
        <v>2021</v>
      </c>
      <c r="B157" s="286">
        <f t="shared" si="24"/>
        <v>3</v>
      </c>
      <c r="C157" s="306">
        <v>44276</v>
      </c>
      <c r="D157" s="306">
        <v>44276</v>
      </c>
      <c r="E157" s="287" t="s">
        <v>80</v>
      </c>
      <c r="F157" s="282">
        <v>7.99</v>
      </c>
      <c r="G157" s="282" t="s">
        <v>26</v>
      </c>
      <c r="H157" s="282" t="str">
        <f t="shared" si="27"/>
        <v>Fixed</v>
      </c>
      <c r="I157" s="284">
        <f t="shared" si="26"/>
        <v>247.75000000000023</v>
      </c>
      <c r="J157" s="298" t="s">
        <v>9</v>
      </c>
      <c r="K157" s="282" t="s">
        <v>781</v>
      </c>
    </row>
    <row r="158" spans="1:11" x14ac:dyDescent="0.2">
      <c r="A158" s="271">
        <f t="shared" si="23"/>
        <v>2021</v>
      </c>
      <c r="B158" s="286">
        <f t="shared" si="24"/>
        <v>3</v>
      </c>
      <c r="C158" s="306">
        <v>44278</v>
      </c>
      <c r="D158" s="306">
        <v>44278</v>
      </c>
      <c r="E158" s="287" t="s">
        <v>159</v>
      </c>
      <c r="F158" s="282">
        <v>2.75</v>
      </c>
      <c r="G158" s="282" t="s">
        <v>88</v>
      </c>
      <c r="H158" s="282" t="str">
        <f t="shared" si="27"/>
        <v>Variable</v>
      </c>
      <c r="I158" s="284">
        <f t="shared" si="26"/>
        <v>250.50000000000023</v>
      </c>
      <c r="J158" s="298" t="s">
        <v>205</v>
      </c>
      <c r="K158" s="282" t="s">
        <v>677</v>
      </c>
    </row>
    <row r="159" spans="1:11" x14ac:dyDescent="0.2">
      <c r="A159" s="271">
        <f t="shared" si="23"/>
        <v>2021</v>
      </c>
      <c r="B159" s="286">
        <f t="shared" si="24"/>
        <v>3</v>
      </c>
      <c r="C159" s="306">
        <v>44278</v>
      </c>
      <c r="D159" s="306">
        <v>44278</v>
      </c>
      <c r="E159" s="287" t="s">
        <v>160</v>
      </c>
      <c r="F159" s="282">
        <v>14.1</v>
      </c>
      <c r="G159" s="282" t="s">
        <v>41</v>
      </c>
      <c r="H159" s="282" t="str">
        <f t="shared" si="27"/>
        <v>Variable</v>
      </c>
      <c r="I159" s="284">
        <f t="shared" si="26"/>
        <v>264.60000000000025</v>
      </c>
      <c r="J159" s="298" t="s">
        <v>205</v>
      </c>
      <c r="K159" s="282" t="s">
        <v>677</v>
      </c>
    </row>
    <row r="160" spans="1:11" x14ac:dyDescent="0.2">
      <c r="A160" s="271">
        <f t="shared" si="23"/>
        <v>2021</v>
      </c>
      <c r="B160" s="286">
        <f t="shared" si="24"/>
        <v>3</v>
      </c>
      <c r="C160" s="306">
        <v>44280</v>
      </c>
      <c r="D160" s="306">
        <v>44280</v>
      </c>
      <c r="E160" s="287" t="s">
        <v>161</v>
      </c>
      <c r="F160" s="282">
        <v>16.940000000000001</v>
      </c>
      <c r="G160" s="282" t="s">
        <v>67</v>
      </c>
      <c r="H160" s="282" t="str">
        <f t="shared" si="27"/>
        <v>Variable</v>
      </c>
      <c r="I160" s="284">
        <f t="shared" si="26"/>
        <v>281.54000000000025</v>
      </c>
      <c r="J160" s="298" t="s">
        <v>205</v>
      </c>
      <c r="K160" s="282" t="s">
        <v>677</v>
      </c>
    </row>
    <row r="161" spans="1:11" x14ac:dyDescent="0.2">
      <c r="A161" s="271">
        <f t="shared" si="23"/>
        <v>2021</v>
      </c>
      <c r="B161" s="286">
        <f t="shared" si="24"/>
        <v>3</v>
      </c>
      <c r="C161" s="306">
        <v>44280</v>
      </c>
      <c r="D161" s="306">
        <v>44280</v>
      </c>
      <c r="E161" s="287" t="s">
        <v>162</v>
      </c>
      <c r="F161" s="282">
        <v>16.690000000000001</v>
      </c>
      <c r="G161" s="282" t="s">
        <v>41</v>
      </c>
      <c r="H161" s="282" t="str">
        <f t="shared" si="27"/>
        <v>Variable</v>
      </c>
      <c r="I161" s="284">
        <f t="shared" si="26"/>
        <v>298.23000000000025</v>
      </c>
      <c r="J161" s="298" t="s">
        <v>205</v>
      </c>
      <c r="K161" s="282" t="s">
        <v>677</v>
      </c>
    </row>
    <row r="162" spans="1:11" x14ac:dyDescent="0.2">
      <c r="A162" s="271">
        <f t="shared" si="23"/>
        <v>2021</v>
      </c>
      <c r="B162" s="286">
        <f t="shared" si="24"/>
        <v>3</v>
      </c>
      <c r="C162" s="306">
        <v>44280</v>
      </c>
      <c r="D162" s="306">
        <v>44280</v>
      </c>
      <c r="E162" s="287" t="s">
        <v>163</v>
      </c>
      <c r="F162" s="282">
        <v>120</v>
      </c>
      <c r="G162" s="282" t="s">
        <v>52</v>
      </c>
      <c r="H162" s="282" t="str">
        <f t="shared" si="27"/>
        <v>Variable</v>
      </c>
      <c r="I162" s="284">
        <f t="shared" si="26"/>
        <v>418.23000000000025</v>
      </c>
      <c r="J162" s="298" t="s">
        <v>206</v>
      </c>
      <c r="K162" s="282" t="s">
        <v>671</v>
      </c>
    </row>
    <row r="163" spans="1:11" ht="30" x14ac:dyDescent="0.2">
      <c r="A163" s="271">
        <f t="shared" si="23"/>
        <v>2021</v>
      </c>
      <c r="B163" s="286">
        <f t="shared" si="24"/>
        <v>3</v>
      </c>
      <c r="C163" s="306">
        <v>44281</v>
      </c>
      <c r="D163" s="306">
        <v>44281</v>
      </c>
      <c r="E163" s="287" t="s">
        <v>164</v>
      </c>
      <c r="F163" s="282">
        <v>14.99</v>
      </c>
      <c r="G163" s="282" t="s">
        <v>26</v>
      </c>
      <c r="H163" s="282" t="str">
        <f t="shared" si="27"/>
        <v>Fixed</v>
      </c>
      <c r="I163" s="284">
        <f t="shared" si="26"/>
        <v>433.22000000000025</v>
      </c>
      <c r="J163" s="298" t="s">
        <v>309</v>
      </c>
      <c r="K163" s="282" t="s">
        <v>781</v>
      </c>
    </row>
    <row r="164" spans="1:11" x14ac:dyDescent="0.2">
      <c r="A164" s="271">
        <f t="shared" si="23"/>
        <v>2021</v>
      </c>
      <c r="B164" s="286">
        <f t="shared" si="24"/>
        <v>3</v>
      </c>
      <c r="C164" s="306">
        <v>44281</v>
      </c>
      <c r="D164" s="306">
        <v>44281</v>
      </c>
      <c r="E164" s="287" t="s">
        <v>165</v>
      </c>
      <c r="F164" s="282">
        <v>141.59</v>
      </c>
      <c r="G164" s="282" t="s">
        <v>67</v>
      </c>
      <c r="H164" s="282" t="str">
        <f t="shared" si="27"/>
        <v>Variable</v>
      </c>
      <c r="I164" s="284">
        <f t="shared" si="26"/>
        <v>574.81000000000029</v>
      </c>
      <c r="J164" s="298" t="s">
        <v>205</v>
      </c>
      <c r="K164" s="282" t="s">
        <v>677</v>
      </c>
    </row>
    <row r="165" spans="1:11" x14ac:dyDescent="0.2">
      <c r="A165" s="271">
        <f t="shared" si="23"/>
        <v>2021</v>
      </c>
      <c r="B165" s="286">
        <f t="shared" si="24"/>
        <v>3</v>
      </c>
      <c r="C165" s="306">
        <v>44281</v>
      </c>
      <c r="D165" s="306">
        <v>44281</v>
      </c>
      <c r="E165" s="287" t="s">
        <v>21</v>
      </c>
      <c r="F165" s="282">
        <v>-264.60000000000002</v>
      </c>
      <c r="G165" s="282" t="s">
        <v>22</v>
      </c>
      <c r="H165" s="282" t="str">
        <f t="shared" si="27"/>
        <v>Payment</v>
      </c>
      <c r="I165" s="284">
        <f t="shared" si="26"/>
        <v>310.21000000000026</v>
      </c>
      <c r="J165" s="298">
        <v>0</v>
      </c>
      <c r="K165" s="282">
        <v>0</v>
      </c>
    </row>
    <row r="166" spans="1:11" x14ac:dyDescent="0.2">
      <c r="A166" s="271">
        <f t="shared" si="23"/>
        <v>2021</v>
      </c>
      <c r="B166" s="286">
        <f t="shared" si="24"/>
        <v>3</v>
      </c>
      <c r="C166" s="306">
        <v>44281</v>
      </c>
      <c r="D166" s="306">
        <v>44281</v>
      </c>
      <c r="E166" s="287" t="s">
        <v>166</v>
      </c>
      <c r="F166" s="282">
        <v>2.75</v>
      </c>
      <c r="G166" s="282" t="s">
        <v>88</v>
      </c>
      <c r="H166" s="282" t="str">
        <f t="shared" si="27"/>
        <v>Variable</v>
      </c>
      <c r="I166" s="284">
        <f t="shared" si="26"/>
        <v>312.96000000000026</v>
      </c>
      <c r="J166" s="298" t="s">
        <v>205</v>
      </c>
      <c r="K166" s="282" t="s">
        <v>677</v>
      </c>
    </row>
    <row r="167" spans="1:11" x14ac:dyDescent="0.2">
      <c r="A167" s="271">
        <f t="shared" si="23"/>
        <v>2021</v>
      </c>
      <c r="B167" s="286">
        <f t="shared" si="24"/>
        <v>3</v>
      </c>
      <c r="C167" s="306">
        <v>44281</v>
      </c>
      <c r="D167" s="306">
        <v>44281</v>
      </c>
      <c r="E167" s="287" t="s">
        <v>167</v>
      </c>
      <c r="F167" s="282">
        <v>2.75</v>
      </c>
      <c r="G167" s="282" t="s">
        <v>88</v>
      </c>
      <c r="H167" s="282" t="str">
        <f t="shared" si="27"/>
        <v>Variable</v>
      </c>
      <c r="I167" s="284">
        <f t="shared" si="26"/>
        <v>315.71000000000026</v>
      </c>
      <c r="J167" s="298" t="s">
        <v>205</v>
      </c>
      <c r="K167" s="282" t="s">
        <v>677</v>
      </c>
    </row>
    <row r="168" spans="1:11" x14ac:dyDescent="0.2">
      <c r="A168" s="271">
        <f t="shared" si="23"/>
        <v>2021</v>
      </c>
      <c r="B168" s="286">
        <f t="shared" si="24"/>
        <v>3</v>
      </c>
      <c r="C168" s="306">
        <v>44282</v>
      </c>
      <c r="D168" s="306">
        <v>44282</v>
      </c>
      <c r="E168" s="287" t="s">
        <v>168</v>
      </c>
      <c r="F168" s="282">
        <v>22.94</v>
      </c>
      <c r="G168" s="282" t="s">
        <v>67</v>
      </c>
      <c r="H168" s="282" t="str">
        <f t="shared" si="27"/>
        <v>Variable</v>
      </c>
      <c r="I168" s="284">
        <f t="shared" si="26"/>
        <v>338.65000000000026</v>
      </c>
      <c r="J168" s="298" t="s">
        <v>205</v>
      </c>
      <c r="K168" s="282" t="s">
        <v>677</v>
      </c>
    </row>
    <row r="169" spans="1:11" x14ac:dyDescent="0.2">
      <c r="A169" s="271">
        <f t="shared" si="23"/>
        <v>2021</v>
      </c>
      <c r="B169" s="286">
        <f t="shared" si="24"/>
        <v>3</v>
      </c>
      <c r="C169" s="306">
        <v>44282</v>
      </c>
      <c r="D169" s="306">
        <v>44282</v>
      </c>
      <c r="E169" s="287" t="s">
        <v>169</v>
      </c>
      <c r="F169" s="282">
        <v>2.75</v>
      </c>
      <c r="G169" s="282" t="s">
        <v>88</v>
      </c>
      <c r="H169" s="282" t="str">
        <f t="shared" si="27"/>
        <v>Variable</v>
      </c>
      <c r="I169" s="284">
        <f t="shared" si="26"/>
        <v>341.40000000000026</v>
      </c>
      <c r="J169" s="298" t="s">
        <v>205</v>
      </c>
      <c r="K169" s="282" t="s">
        <v>677</v>
      </c>
    </row>
    <row r="170" spans="1:11" x14ac:dyDescent="0.2">
      <c r="A170" s="271">
        <f t="shared" si="23"/>
        <v>2021</v>
      </c>
      <c r="B170" s="286">
        <f t="shared" si="24"/>
        <v>3</v>
      </c>
      <c r="C170" s="306">
        <v>44282</v>
      </c>
      <c r="D170" s="306">
        <v>44282</v>
      </c>
      <c r="E170" s="287" t="s">
        <v>170</v>
      </c>
      <c r="F170" s="282">
        <v>2.75</v>
      </c>
      <c r="G170" s="282" t="s">
        <v>88</v>
      </c>
      <c r="H170" s="282" t="str">
        <f t="shared" si="27"/>
        <v>Variable</v>
      </c>
      <c r="I170" s="284">
        <f t="shared" si="26"/>
        <v>344.15000000000026</v>
      </c>
      <c r="J170" s="298" t="s">
        <v>205</v>
      </c>
      <c r="K170" s="282" t="s">
        <v>677</v>
      </c>
    </row>
    <row r="171" spans="1:11" x14ac:dyDescent="0.2">
      <c r="A171" s="271">
        <f t="shared" si="23"/>
        <v>2021</v>
      </c>
      <c r="B171" s="286">
        <f t="shared" si="24"/>
        <v>3</v>
      </c>
      <c r="C171" s="306">
        <v>44282</v>
      </c>
      <c r="D171" s="306">
        <v>44282</v>
      </c>
      <c r="E171" s="287" t="s">
        <v>111</v>
      </c>
      <c r="F171" s="282">
        <v>9.99</v>
      </c>
      <c r="G171" s="282" t="s">
        <v>26</v>
      </c>
      <c r="H171" s="282" t="str">
        <f t="shared" si="27"/>
        <v>Fixed</v>
      </c>
      <c r="I171" s="284">
        <f t="shared" si="26"/>
        <v>354.14000000000027</v>
      </c>
      <c r="J171" s="298" t="s">
        <v>294</v>
      </c>
      <c r="K171" s="282" t="s">
        <v>781</v>
      </c>
    </row>
    <row r="172" spans="1:11" x14ac:dyDescent="0.2">
      <c r="A172" s="271">
        <f t="shared" si="23"/>
        <v>2021</v>
      </c>
      <c r="B172" s="286">
        <f t="shared" si="24"/>
        <v>3</v>
      </c>
      <c r="C172" s="306">
        <v>44282</v>
      </c>
      <c r="D172" s="306">
        <v>44282</v>
      </c>
      <c r="E172" s="287" t="s">
        <v>171</v>
      </c>
      <c r="F172" s="282">
        <v>15.94</v>
      </c>
      <c r="G172" s="282" t="s">
        <v>89</v>
      </c>
      <c r="H172" s="282" t="str">
        <f t="shared" si="27"/>
        <v>Variable</v>
      </c>
      <c r="I172" s="284">
        <f t="shared" si="26"/>
        <v>370.08000000000027</v>
      </c>
      <c r="J172" s="298" t="s">
        <v>205</v>
      </c>
      <c r="K172" s="282" t="s">
        <v>677</v>
      </c>
    </row>
    <row r="173" spans="1:11" x14ac:dyDescent="0.2">
      <c r="A173" s="271">
        <f t="shared" si="23"/>
        <v>2021</v>
      </c>
      <c r="B173" s="286">
        <f t="shared" si="24"/>
        <v>3</v>
      </c>
      <c r="C173" s="306">
        <v>44282</v>
      </c>
      <c r="D173" s="306">
        <v>44282</v>
      </c>
      <c r="E173" s="287" t="s">
        <v>114</v>
      </c>
      <c r="F173" s="282">
        <v>5</v>
      </c>
      <c r="G173" s="282" t="s">
        <v>67</v>
      </c>
      <c r="H173" s="282" t="str">
        <f t="shared" si="27"/>
        <v>Variable</v>
      </c>
      <c r="I173" s="284">
        <f t="shared" si="26"/>
        <v>375.08000000000027</v>
      </c>
      <c r="J173" s="298">
        <v>0</v>
      </c>
      <c r="K173" s="282" t="s">
        <v>688</v>
      </c>
    </row>
    <row r="174" spans="1:11" x14ac:dyDescent="0.2">
      <c r="A174" s="271">
        <f t="shared" si="23"/>
        <v>2021</v>
      </c>
      <c r="B174" s="286">
        <f t="shared" si="24"/>
        <v>3</v>
      </c>
      <c r="C174" s="306">
        <v>44283</v>
      </c>
      <c r="D174" s="306">
        <v>44283</v>
      </c>
      <c r="E174" s="287" t="s">
        <v>172</v>
      </c>
      <c r="F174" s="282">
        <v>9.9499999999999993</v>
      </c>
      <c r="G174" s="282" t="s">
        <v>26</v>
      </c>
      <c r="H174" s="282" t="str">
        <f t="shared" si="27"/>
        <v>Fixed</v>
      </c>
      <c r="I174" s="284">
        <f t="shared" si="26"/>
        <v>385.03000000000026</v>
      </c>
      <c r="J174" s="298" t="s">
        <v>319</v>
      </c>
      <c r="K174" s="282" t="s">
        <v>781</v>
      </c>
    </row>
    <row r="175" spans="1:11" x14ac:dyDescent="0.2">
      <c r="A175" s="271">
        <f t="shared" si="23"/>
        <v>2021</v>
      </c>
      <c r="B175" s="286">
        <f t="shared" si="24"/>
        <v>3</v>
      </c>
      <c r="C175" s="306">
        <v>44283</v>
      </c>
      <c r="D175" s="306">
        <v>44283</v>
      </c>
      <c r="E175" s="287" t="s">
        <v>173</v>
      </c>
      <c r="F175" s="282">
        <v>8.1300000000000008</v>
      </c>
      <c r="G175" s="282" t="s">
        <v>41</v>
      </c>
      <c r="H175" s="282" t="str">
        <f t="shared" si="27"/>
        <v>Variable</v>
      </c>
      <c r="I175" s="284">
        <f t="shared" si="26"/>
        <v>393.16000000000025</v>
      </c>
      <c r="J175" s="298" t="s">
        <v>205</v>
      </c>
      <c r="K175" s="282" t="s">
        <v>677</v>
      </c>
    </row>
    <row r="176" spans="1:11" x14ac:dyDescent="0.2">
      <c r="A176" s="271">
        <f t="shared" si="23"/>
        <v>2021</v>
      </c>
      <c r="B176" s="286">
        <f t="shared" si="24"/>
        <v>3</v>
      </c>
      <c r="C176" s="306">
        <v>44284</v>
      </c>
      <c r="D176" s="306">
        <v>44284</v>
      </c>
      <c r="E176" s="287" t="s">
        <v>174</v>
      </c>
      <c r="F176" s="282">
        <v>23.65</v>
      </c>
      <c r="G176" s="282" t="s">
        <v>41</v>
      </c>
      <c r="H176" s="282" t="str">
        <f t="shared" si="27"/>
        <v>Variable</v>
      </c>
      <c r="I176" s="284">
        <f t="shared" si="26"/>
        <v>416.81000000000023</v>
      </c>
      <c r="J176" s="298" t="s">
        <v>205</v>
      </c>
      <c r="K176" s="282" t="s">
        <v>677</v>
      </c>
    </row>
    <row r="177" spans="1:11" x14ac:dyDescent="0.2">
      <c r="A177" s="271">
        <f t="shared" si="23"/>
        <v>2021</v>
      </c>
      <c r="B177" s="286">
        <f t="shared" si="24"/>
        <v>3</v>
      </c>
      <c r="C177" s="306">
        <v>44284</v>
      </c>
      <c r="D177" s="306">
        <v>44284</v>
      </c>
      <c r="E177" s="287" t="s">
        <v>174</v>
      </c>
      <c r="F177" s="282">
        <v>48.22</v>
      </c>
      <c r="G177" s="282" t="s">
        <v>41</v>
      </c>
      <c r="H177" s="282" t="str">
        <f t="shared" si="27"/>
        <v>Variable</v>
      </c>
      <c r="I177" s="284">
        <f t="shared" si="26"/>
        <v>465.0300000000002</v>
      </c>
      <c r="J177" s="298" t="s">
        <v>205</v>
      </c>
      <c r="K177" s="282" t="s">
        <v>677</v>
      </c>
    </row>
    <row r="178" spans="1:11" ht="15.75" thickBot="1" x14ac:dyDescent="0.25">
      <c r="A178" s="272">
        <f t="shared" si="23"/>
        <v>2021</v>
      </c>
      <c r="B178" s="300">
        <f t="shared" si="24"/>
        <v>3</v>
      </c>
      <c r="C178" s="308">
        <v>44286</v>
      </c>
      <c r="D178" s="308">
        <v>44286</v>
      </c>
      <c r="E178" s="302" t="s">
        <v>21</v>
      </c>
      <c r="F178" s="303">
        <v>-465.03</v>
      </c>
      <c r="G178" s="303" t="s">
        <v>22</v>
      </c>
      <c r="H178" s="303" t="str">
        <f t="shared" si="27"/>
        <v>Payment</v>
      </c>
      <c r="I178" s="284">
        <f t="shared" si="26"/>
        <v>0</v>
      </c>
      <c r="J178" s="304">
        <v>0</v>
      </c>
      <c r="K178" s="303">
        <v>0</v>
      </c>
    </row>
    <row r="179" spans="1:11" x14ac:dyDescent="0.2">
      <c r="A179" s="273">
        <f t="shared" si="23"/>
        <v>2021</v>
      </c>
      <c r="B179" s="309">
        <f t="shared" si="24"/>
        <v>4</v>
      </c>
      <c r="C179" s="310">
        <v>44287</v>
      </c>
      <c r="D179" s="310">
        <v>44287</v>
      </c>
      <c r="E179" s="311" t="s">
        <v>175</v>
      </c>
      <c r="F179" s="312">
        <v>14.83</v>
      </c>
      <c r="G179" s="312" t="s">
        <v>26</v>
      </c>
      <c r="H179" s="312" t="str">
        <f t="shared" si="27"/>
        <v>Fixed</v>
      </c>
      <c r="I179" s="284">
        <f t="shared" si="26"/>
        <v>14.83</v>
      </c>
      <c r="J179" s="312" t="s">
        <v>7</v>
      </c>
      <c r="K179" s="282" t="s">
        <v>781</v>
      </c>
    </row>
    <row r="180" spans="1:11" x14ac:dyDescent="0.2">
      <c r="A180" s="268">
        <f t="shared" si="23"/>
        <v>2021</v>
      </c>
      <c r="B180" s="286">
        <f t="shared" si="24"/>
        <v>4</v>
      </c>
      <c r="C180" s="313">
        <v>44287</v>
      </c>
      <c r="D180" s="313">
        <v>44287</v>
      </c>
      <c r="E180" s="287" t="s">
        <v>176</v>
      </c>
      <c r="F180" s="282">
        <v>9.99</v>
      </c>
      <c r="G180" s="282" t="s">
        <v>26</v>
      </c>
      <c r="H180" s="282" t="str">
        <f t="shared" si="27"/>
        <v>Fixed</v>
      </c>
      <c r="I180" s="284">
        <f t="shared" si="26"/>
        <v>24.82</v>
      </c>
      <c r="J180" s="282" t="s">
        <v>6</v>
      </c>
      <c r="K180" s="282" t="s">
        <v>781</v>
      </c>
    </row>
    <row r="181" spans="1:11" x14ac:dyDescent="0.2">
      <c r="A181" s="268">
        <f t="shared" si="23"/>
        <v>2021</v>
      </c>
      <c r="B181" s="286">
        <f t="shared" si="24"/>
        <v>4</v>
      </c>
      <c r="C181" s="313">
        <v>44288</v>
      </c>
      <c r="D181" s="313">
        <v>44289</v>
      </c>
      <c r="E181" s="287" t="s">
        <v>103</v>
      </c>
      <c r="F181" s="282">
        <v>1.99</v>
      </c>
      <c r="G181" s="282" t="s">
        <v>26</v>
      </c>
      <c r="H181" s="282" t="str">
        <f t="shared" si="27"/>
        <v>Fixed</v>
      </c>
      <c r="I181" s="284">
        <f t="shared" si="26"/>
        <v>26.81</v>
      </c>
      <c r="J181" s="282" t="s">
        <v>93</v>
      </c>
      <c r="K181" s="282" t="s">
        <v>781</v>
      </c>
    </row>
    <row r="182" spans="1:11" x14ac:dyDescent="0.2">
      <c r="A182" s="268">
        <f t="shared" si="23"/>
        <v>2021</v>
      </c>
      <c r="B182" s="286">
        <f t="shared" si="24"/>
        <v>4</v>
      </c>
      <c r="C182" s="313">
        <v>44289</v>
      </c>
      <c r="D182" s="313">
        <v>44289</v>
      </c>
      <c r="E182" s="287" t="s">
        <v>177</v>
      </c>
      <c r="F182" s="282">
        <v>15</v>
      </c>
      <c r="G182" s="282" t="s">
        <v>52</v>
      </c>
      <c r="H182" s="282" t="str">
        <f t="shared" si="27"/>
        <v>Variable</v>
      </c>
      <c r="I182" s="284">
        <f t="shared" si="26"/>
        <v>41.81</v>
      </c>
      <c r="J182" s="282">
        <v>0</v>
      </c>
      <c r="K182" s="282" t="s">
        <v>628</v>
      </c>
    </row>
    <row r="183" spans="1:11" x14ac:dyDescent="0.2">
      <c r="A183" s="268">
        <f t="shared" si="23"/>
        <v>2021</v>
      </c>
      <c r="B183" s="286">
        <f t="shared" si="24"/>
        <v>4</v>
      </c>
      <c r="C183" s="313">
        <v>44289</v>
      </c>
      <c r="D183" s="313">
        <v>44289</v>
      </c>
      <c r="E183" s="287" t="s">
        <v>178</v>
      </c>
      <c r="F183" s="282">
        <v>20.66</v>
      </c>
      <c r="G183" s="282" t="s">
        <v>24</v>
      </c>
      <c r="H183" s="282" t="str">
        <f t="shared" si="27"/>
        <v>Variable</v>
      </c>
      <c r="I183" s="284">
        <f t="shared" si="26"/>
        <v>62.47</v>
      </c>
      <c r="J183" s="282">
        <v>0</v>
      </c>
      <c r="K183" s="281" t="s">
        <v>628</v>
      </c>
    </row>
    <row r="184" spans="1:11" x14ac:dyDescent="0.2">
      <c r="A184" s="268">
        <f t="shared" si="23"/>
        <v>2021</v>
      </c>
      <c r="B184" s="286">
        <f t="shared" si="24"/>
        <v>4</v>
      </c>
      <c r="C184" s="313">
        <v>44289</v>
      </c>
      <c r="D184" s="313">
        <v>44289</v>
      </c>
      <c r="E184" s="287" t="s">
        <v>179</v>
      </c>
      <c r="F184" s="282">
        <v>17.43</v>
      </c>
      <c r="G184" s="282" t="s">
        <v>41</v>
      </c>
      <c r="H184" s="282" t="str">
        <f t="shared" si="27"/>
        <v>Variable</v>
      </c>
      <c r="I184" s="284">
        <f t="shared" si="26"/>
        <v>79.900000000000006</v>
      </c>
      <c r="J184" s="282">
        <v>0</v>
      </c>
      <c r="K184" s="282" t="s">
        <v>670</v>
      </c>
    </row>
    <row r="185" spans="1:11" x14ac:dyDescent="0.2">
      <c r="A185" s="268">
        <f t="shared" si="23"/>
        <v>2021</v>
      </c>
      <c r="B185" s="286">
        <f t="shared" si="24"/>
        <v>4</v>
      </c>
      <c r="C185" s="313">
        <v>44289</v>
      </c>
      <c r="D185" s="313">
        <v>44289</v>
      </c>
      <c r="E185" s="287" t="s">
        <v>32</v>
      </c>
      <c r="F185" s="282">
        <v>91.78</v>
      </c>
      <c r="G185" s="282" t="s">
        <v>26</v>
      </c>
      <c r="H185" s="282" t="str">
        <f t="shared" si="27"/>
        <v>Fixed</v>
      </c>
      <c r="I185" s="284">
        <f t="shared" si="26"/>
        <v>171.68</v>
      </c>
      <c r="J185" s="282" t="s">
        <v>8</v>
      </c>
      <c r="K185" s="282" t="s">
        <v>628</v>
      </c>
    </row>
    <row r="186" spans="1:11" x14ac:dyDescent="0.2">
      <c r="A186" s="268">
        <f t="shared" si="23"/>
        <v>2021</v>
      </c>
      <c r="B186" s="286">
        <f t="shared" si="24"/>
        <v>4</v>
      </c>
      <c r="C186" s="313">
        <v>44290</v>
      </c>
      <c r="D186" s="313">
        <v>44290</v>
      </c>
      <c r="E186" s="287" t="s">
        <v>180</v>
      </c>
      <c r="F186" s="282">
        <v>0.99</v>
      </c>
      <c r="G186" s="282" t="s">
        <v>26</v>
      </c>
      <c r="H186" s="282" t="str">
        <f t="shared" si="27"/>
        <v>Fixed</v>
      </c>
      <c r="I186" s="284">
        <f t="shared" si="26"/>
        <v>172.67000000000002</v>
      </c>
      <c r="J186" s="282" t="s">
        <v>295</v>
      </c>
      <c r="K186" s="282" t="s">
        <v>781</v>
      </c>
    </row>
    <row r="187" spans="1:11" x14ac:dyDescent="0.2">
      <c r="A187" s="268">
        <f t="shared" si="23"/>
        <v>2021</v>
      </c>
      <c r="B187" s="286">
        <f t="shared" si="24"/>
        <v>4</v>
      </c>
      <c r="C187" s="313">
        <v>44290</v>
      </c>
      <c r="D187" s="313">
        <v>44290</v>
      </c>
      <c r="E187" s="287" t="s">
        <v>181</v>
      </c>
      <c r="F187" s="282">
        <v>169.85</v>
      </c>
      <c r="G187" s="282" t="s">
        <v>41</v>
      </c>
      <c r="H187" s="282" t="str">
        <f t="shared" si="27"/>
        <v>Variable</v>
      </c>
      <c r="I187" s="284">
        <f t="shared" si="26"/>
        <v>342.52</v>
      </c>
      <c r="J187" s="282">
        <v>0</v>
      </c>
      <c r="K187" s="282" t="s">
        <v>670</v>
      </c>
    </row>
    <row r="188" spans="1:11" x14ac:dyDescent="0.2">
      <c r="A188" s="268">
        <f t="shared" si="23"/>
        <v>2021</v>
      </c>
      <c r="B188" s="286">
        <f t="shared" si="24"/>
        <v>4</v>
      </c>
      <c r="C188" s="313">
        <v>44291</v>
      </c>
      <c r="D188" s="313">
        <v>44291</v>
      </c>
      <c r="E188" s="287" t="s">
        <v>182</v>
      </c>
      <c r="F188" s="282">
        <v>10.88</v>
      </c>
      <c r="G188" s="282" t="s">
        <v>41</v>
      </c>
      <c r="H188" s="282" t="str">
        <f t="shared" si="27"/>
        <v>Variable</v>
      </c>
      <c r="I188" s="284">
        <f t="shared" si="26"/>
        <v>353.4</v>
      </c>
      <c r="J188" s="282">
        <v>0</v>
      </c>
      <c r="K188" s="282" t="s">
        <v>670</v>
      </c>
    </row>
    <row r="189" spans="1:11" x14ac:dyDescent="0.2">
      <c r="A189" s="268">
        <f t="shared" si="23"/>
        <v>2021</v>
      </c>
      <c r="B189" s="286">
        <f t="shared" si="24"/>
        <v>4</v>
      </c>
      <c r="C189" s="313">
        <v>44293</v>
      </c>
      <c r="D189" s="313">
        <v>44293</v>
      </c>
      <c r="E189" s="287" t="s">
        <v>183</v>
      </c>
      <c r="F189" s="282">
        <v>4.24</v>
      </c>
      <c r="G189" s="282" t="s">
        <v>67</v>
      </c>
      <c r="H189" s="282" t="str">
        <f t="shared" si="27"/>
        <v>Variable</v>
      </c>
      <c r="I189" s="284">
        <f t="shared" si="26"/>
        <v>357.64</v>
      </c>
      <c r="J189" s="282">
        <v>0</v>
      </c>
      <c r="K189" s="282" t="s">
        <v>682</v>
      </c>
    </row>
    <row r="190" spans="1:11" x14ac:dyDescent="0.2">
      <c r="A190" s="268">
        <f t="shared" si="23"/>
        <v>2021</v>
      </c>
      <c r="B190" s="286">
        <f t="shared" si="24"/>
        <v>4</v>
      </c>
      <c r="C190" s="313">
        <v>44293</v>
      </c>
      <c r="D190" s="313">
        <v>44293</v>
      </c>
      <c r="E190" s="287" t="s">
        <v>183</v>
      </c>
      <c r="F190" s="282">
        <v>84.95</v>
      </c>
      <c r="G190" s="282" t="s">
        <v>67</v>
      </c>
      <c r="H190" s="282" t="str">
        <f t="shared" si="27"/>
        <v>Variable</v>
      </c>
      <c r="I190" s="284">
        <f t="shared" si="26"/>
        <v>442.59</v>
      </c>
      <c r="J190" s="282">
        <v>0</v>
      </c>
      <c r="K190" s="282" t="s">
        <v>682</v>
      </c>
    </row>
    <row r="191" spans="1:11" x14ac:dyDescent="0.2">
      <c r="A191" s="268">
        <f t="shared" si="23"/>
        <v>2021</v>
      </c>
      <c r="B191" s="286">
        <f t="shared" si="24"/>
        <v>4</v>
      </c>
      <c r="C191" s="313">
        <v>44293</v>
      </c>
      <c r="D191" s="313">
        <v>44293</v>
      </c>
      <c r="E191" s="287" t="s">
        <v>184</v>
      </c>
      <c r="F191" s="282">
        <v>7.43</v>
      </c>
      <c r="G191" s="282" t="s">
        <v>41</v>
      </c>
      <c r="H191" s="282" t="str">
        <f t="shared" si="27"/>
        <v>Variable</v>
      </c>
      <c r="I191" s="284">
        <f t="shared" si="26"/>
        <v>450.02</v>
      </c>
      <c r="J191" s="282">
        <v>0</v>
      </c>
      <c r="K191" s="282" t="s">
        <v>670</v>
      </c>
    </row>
    <row r="192" spans="1:11" x14ac:dyDescent="0.2">
      <c r="A192" s="268">
        <f t="shared" si="23"/>
        <v>2021</v>
      </c>
      <c r="B192" s="286">
        <f t="shared" si="24"/>
        <v>4</v>
      </c>
      <c r="C192" s="313">
        <v>44294</v>
      </c>
      <c r="D192" s="313">
        <v>44294</v>
      </c>
      <c r="E192" s="287" t="s">
        <v>185</v>
      </c>
      <c r="F192" s="282">
        <v>4.24</v>
      </c>
      <c r="G192" s="282" t="s">
        <v>67</v>
      </c>
      <c r="H192" s="282" t="str">
        <f t="shared" si="27"/>
        <v>Variable</v>
      </c>
      <c r="I192" s="284">
        <f t="shared" si="26"/>
        <v>454.26</v>
      </c>
      <c r="J192" s="282">
        <v>0</v>
      </c>
      <c r="K192" s="282" t="s">
        <v>682</v>
      </c>
    </row>
    <row r="193" spans="1:11" x14ac:dyDescent="0.2">
      <c r="A193" s="268">
        <f t="shared" si="23"/>
        <v>2021</v>
      </c>
      <c r="B193" s="286">
        <f t="shared" si="24"/>
        <v>4</v>
      </c>
      <c r="C193" s="313">
        <v>44295</v>
      </c>
      <c r="D193" s="313">
        <v>44295</v>
      </c>
      <c r="E193" s="287" t="s">
        <v>186</v>
      </c>
      <c r="F193" s="282">
        <v>117.8</v>
      </c>
      <c r="G193" s="282" t="s">
        <v>67</v>
      </c>
      <c r="H193" s="282" t="str">
        <f t="shared" si="27"/>
        <v>Variable</v>
      </c>
      <c r="I193" s="284">
        <f t="shared" si="26"/>
        <v>572.05999999999995</v>
      </c>
      <c r="J193" s="282">
        <v>0</v>
      </c>
      <c r="K193" s="282" t="s">
        <v>688</v>
      </c>
    </row>
    <row r="194" spans="1:11" x14ac:dyDescent="0.2">
      <c r="A194" s="268">
        <f t="shared" ref="A194:A257" si="28">YEAR(C194)</f>
        <v>2021</v>
      </c>
      <c r="B194" s="286">
        <f t="shared" ref="B194:B257" si="29">MONTH(C194)</f>
        <v>4</v>
      </c>
      <c r="C194" s="313">
        <v>44295</v>
      </c>
      <c r="D194" s="313">
        <v>44295</v>
      </c>
      <c r="E194" s="287" t="s">
        <v>21</v>
      </c>
      <c r="F194" s="282">
        <v>-450.02</v>
      </c>
      <c r="G194" s="282" t="s">
        <v>22</v>
      </c>
      <c r="H194" s="282" t="str">
        <f t="shared" si="27"/>
        <v>Payment</v>
      </c>
      <c r="I194" s="284">
        <f t="shared" si="26"/>
        <v>122.03999999999996</v>
      </c>
      <c r="J194" s="282">
        <v>0</v>
      </c>
      <c r="K194" s="282">
        <v>0</v>
      </c>
    </row>
    <row r="195" spans="1:11" x14ac:dyDescent="0.2">
      <c r="A195" s="268">
        <f t="shared" si="28"/>
        <v>2021</v>
      </c>
      <c r="B195" s="286">
        <f t="shared" si="29"/>
        <v>4</v>
      </c>
      <c r="C195" s="313">
        <v>44296</v>
      </c>
      <c r="D195" s="313">
        <v>44296</v>
      </c>
      <c r="E195" s="287" t="s">
        <v>177</v>
      </c>
      <c r="F195" s="282">
        <v>15</v>
      </c>
      <c r="G195" s="282" t="s">
        <v>52</v>
      </c>
      <c r="H195" s="282" t="str">
        <f t="shared" si="27"/>
        <v>Variable</v>
      </c>
      <c r="I195" s="284">
        <f t="shared" si="26"/>
        <v>137.03999999999996</v>
      </c>
      <c r="J195" s="282">
        <v>0</v>
      </c>
      <c r="K195" s="282" t="s">
        <v>628</v>
      </c>
    </row>
    <row r="196" spans="1:11" x14ac:dyDescent="0.2">
      <c r="A196" s="268">
        <f t="shared" si="28"/>
        <v>2021</v>
      </c>
      <c r="B196" s="286">
        <f t="shared" si="29"/>
        <v>4</v>
      </c>
      <c r="C196" s="313">
        <v>44296</v>
      </c>
      <c r="D196" s="313">
        <v>44296</v>
      </c>
      <c r="E196" s="287" t="s">
        <v>187</v>
      </c>
      <c r="F196" s="282">
        <v>5.65</v>
      </c>
      <c r="G196" s="282" t="s">
        <v>129</v>
      </c>
      <c r="H196" s="282" t="str">
        <f t="shared" si="27"/>
        <v>Fixed</v>
      </c>
      <c r="I196" s="284">
        <f t="shared" ref="I196:I259" si="30">I195+F196</f>
        <v>142.68999999999997</v>
      </c>
      <c r="J196" s="282">
        <v>0</v>
      </c>
      <c r="K196" s="282" t="s">
        <v>628</v>
      </c>
    </row>
    <row r="197" spans="1:11" x14ac:dyDescent="0.2">
      <c r="A197" s="268">
        <f t="shared" si="28"/>
        <v>2021</v>
      </c>
      <c r="B197" s="286">
        <f t="shared" si="29"/>
        <v>4</v>
      </c>
      <c r="C197" s="313">
        <v>44296</v>
      </c>
      <c r="D197" s="313">
        <v>44296</v>
      </c>
      <c r="E197" s="287" t="s">
        <v>188</v>
      </c>
      <c r="F197" s="282">
        <v>4.5</v>
      </c>
      <c r="G197" s="282" t="s">
        <v>24</v>
      </c>
      <c r="H197" s="282" t="str">
        <f t="shared" si="27"/>
        <v>Variable</v>
      </c>
      <c r="I197" s="284">
        <f t="shared" si="30"/>
        <v>147.18999999999997</v>
      </c>
      <c r="J197" s="282">
        <v>0</v>
      </c>
      <c r="K197" s="281" t="s">
        <v>628</v>
      </c>
    </row>
    <row r="198" spans="1:11" x14ac:dyDescent="0.2">
      <c r="A198" s="268">
        <f t="shared" si="28"/>
        <v>2021</v>
      </c>
      <c r="B198" s="286">
        <f t="shared" si="29"/>
        <v>4</v>
      </c>
      <c r="C198" s="313">
        <v>44296</v>
      </c>
      <c r="D198" s="313">
        <v>44296</v>
      </c>
      <c r="E198" s="287" t="s">
        <v>188</v>
      </c>
      <c r="F198" s="282">
        <v>5.66</v>
      </c>
      <c r="G198" s="282" t="s">
        <v>24</v>
      </c>
      <c r="H198" s="282" t="str">
        <f t="shared" si="27"/>
        <v>Variable</v>
      </c>
      <c r="I198" s="284">
        <f t="shared" si="30"/>
        <v>152.84999999999997</v>
      </c>
      <c r="J198" s="282">
        <v>0</v>
      </c>
      <c r="K198" s="281" t="s">
        <v>628</v>
      </c>
    </row>
    <row r="199" spans="1:11" x14ac:dyDescent="0.2">
      <c r="A199" s="268">
        <f t="shared" si="28"/>
        <v>2021</v>
      </c>
      <c r="B199" s="286">
        <f t="shared" si="29"/>
        <v>4</v>
      </c>
      <c r="C199" s="313">
        <v>44297</v>
      </c>
      <c r="D199" s="313">
        <v>44297</v>
      </c>
      <c r="E199" s="287" t="s">
        <v>189</v>
      </c>
      <c r="F199" s="282">
        <v>16.37</v>
      </c>
      <c r="G199" s="282" t="s">
        <v>24</v>
      </c>
      <c r="H199" s="282" t="str">
        <f t="shared" si="27"/>
        <v>Variable</v>
      </c>
      <c r="I199" s="284">
        <f t="shared" si="30"/>
        <v>169.21999999999997</v>
      </c>
      <c r="J199" s="282">
        <v>0</v>
      </c>
      <c r="K199" s="281" t="s">
        <v>628</v>
      </c>
    </row>
    <row r="200" spans="1:11" x14ac:dyDescent="0.2">
      <c r="A200" s="268">
        <f t="shared" si="28"/>
        <v>2021</v>
      </c>
      <c r="B200" s="286">
        <f t="shared" si="29"/>
        <v>4</v>
      </c>
      <c r="C200" s="313">
        <v>44298</v>
      </c>
      <c r="D200" s="313">
        <v>44298</v>
      </c>
      <c r="E200" s="287" t="s">
        <v>190</v>
      </c>
      <c r="F200" s="282">
        <v>3</v>
      </c>
      <c r="G200" s="282" t="s">
        <v>52</v>
      </c>
      <c r="H200" s="282" t="str">
        <f t="shared" si="27"/>
        <v>Variable</v>
      </c>
      <c r="I200" s="284">
        <f t="shared" si="30"/>
        <v>172.21999999999997</v>
      </c>
      <c r="J200" s="282">
        <v>0</v>
      </c>
      <c r="K200" s="282" t="s">
        <v>628</v>
      </c>
    </row>
    <row r="201" spans="1:11" x14ac:dyDescent="0.2">
      <c r="A201" s="268">
        <f t="shared" si="28"/>
        <v>2021</v>
      </c>
      <c r="B201" s="286">
        <f t="shared" si="29"/>
        <v>4</v>
      </c>
      <c r="C201" s="313">
        <v>44298</v>
      </c>
      <c r="D201" s="313">
        <v>44298</v>
      </c>
      <c r="E201" s="287" t="s">
        <v>191</v>
      </c>
      <c r="F201" s="282">
        <v>9.3000000000000007</v>
      </c>
      <c r="G201" s="282" t="s">
        <v>41</v>
      </c>
      <c r="H201" s="282" t="str">
        <f t="shared" si="27"/>
        <v>Variable</v>
      </c>
      <c r="I201" s="284">
        <f t="shared" si="30"/>
        <v>181.51999999999998</v>
      </c>
      <c r="J201" s="282">
        <v>0</v>
      </c>
      <c r="K201" s="282" t="s">
        <v>670</v>
      </c>
    </row>
    <row r="202" spans="1:11" x14ac:dyDescent="0.2">
      <c r="A202" s="268">
        <f t="shared" si="28"/>
        <v>2021</v>
      </c>
      <c r="B202" s="286">
        <f t="shared" si="29"/>
        <v>4</v>
      </c>
      <c r="C202" s="313">
        <v>44298</v>
      </c>
      <c r="D202" s="313">
        <v>44298</v>
      </c>
      <c r="E202" s="287" t="s">
        <v>59</v>
      </c>
      <c r="F202" s="282">
        <v>1.99</v>
      </c>
      <c r="G202" s="282" t="s">
        <v>26</v>
      </c>
      <c r="H202" s="282" t="str">
        <f t="shared" si="27"/>
        <v>Fixed</v>
      </c>
      <c r="I202" s="284">
        <f t="shared" si="30"/>
        <v>183.51</v>
      </c>
      <c r="J202" s="282" t="s">
        <v>282</v>
      </c>
      <c r="K202" s="282" t="s">
        <v>781</v>
      </c>
    </row>
    <row r="203" spans="1:11" x14ac:dyDescent="0.2">
      <c r="A203" s="268">
        <f t="shared" si="28"/>
        <v>2021</v>
      </c>
      <c r="B203" s="286">
        <f t="shared" si="29"/>
        <v>4</v>
      </c>
      <c r="C203" s="313">
        <v>44298</v>
      </c>
      <c r="D203" s="313">
        <v>44298</v>
      </c>
      <c r="E203" s="287" t="s">
        <v>192</v>
      </c>
      <c r="F203" s="282">
        <v>61.05</v>
      </c>
      <c r="G203" s="282" t="s">
        <v>26</v>
      </c>
      <c r="H203" s="282" t="str">
        <f t="shared" si="27"/>
        <v>Fixed</v>
      </c>
      <c r="I203" s="284">
        <f t="shared" si="30"/>
        <v>244.56</v>
      </c>
      <c r="J203" s="282" t="s">
        <v>297</v>
      </c>
      <c r="K203" s="282" t="s">
        <v>781</v>
      </c>
    </row>
    <row r="204" spans="1:11" x14ac:dyDescent="0.2">
      <c r="A204" s="268">
        <f t="shared" si="28"/>
        <v>2021</v>
      </c>
      <c r="B204" s="286">
        <f t="shared" si="29"/>
        <v>4</v>
      </c>
      <c r="C204" s="313">
        <v>44298</v>
      </c>
      <c r="D204" s="313">
        <v>44298</v>
      </c>
      <c r="E204" s="287" t="s">
        <v>193</v>
      </c>
      <c r="F204" s="282">
        <v>7.91</v>
      </c>
      <c r="G204" s="282" t="s">
        <v>194</v>
      </c>
      <c r="H204" s="282" t="str">
        <f t="shared" si="27"/>
        <v>Variable</v>
      </c>
      <c r="I204" s="284">
        <f t="shared" si="30"/>
        <v>252.47</v>
      </c>
      <c r="J204" s="282">
        <v>0</v>
      </c>
      <c r="K204" s="282" t="s">
        <v>688</v>
      </c>
    </row>
    <row r="205" spans="1:11" x14ac:dyDescent="0.2">
      <c r="A205" s="268">
        <f t="shared" si="28"/>
        <v>2021</v>
      </c>
      <c r="B205" s="286">
        <f t="shared" si="29"/>
        <v>4</v>
      </c>
      <c r="C205" s="313">
        <v>44299</v>
      </c>
      <c r="D205" s="313">
        <v>44299</v>
      </c>
      <c r="E205" s="287" t="s">
        <v>195</v>
      </c>
      <c r="F205" s="282">
        <v>35</v>
      </c>
      <c r="G205" s="282" t="s">
        <v>52</v>
      </c>
      <c r="H205" s="282" t="str">
        <f t="shared" si="27"/>
        <v>Variable</v>
      </c>
      <c r="I205" s="284">
        <f t="shared" si="30"/>
        <v>287.47000000000003</v>
      </c>
      <c r="J205" s="282" t="s">
        <v>1101</v>
      </c>
      <c r="K205" s="282" t="s">
        <v>628</v>
      </c>
    </row>
    <row r="206" spans="1:11" x14ac:dyDescent="0.2">
      <c r="A206" s="268">
        <f t="shared" si="28"/>
        <v>2021</v>
      </c>
      <c r="B206" s="286">
        <f t="shared" si="29"/>
        <v>4</v>
      </c>
      <c r="C206" s="313">
        <v>44299</v>
      </c>
      <c r="D206" s="313">
        <v>44299</v>
      </c>
      <c r="E206" s="287" t="s">
        <v>196</v>
      </c>
      <c r="F206" s="282">
        <v>4.4000000000000004</v>
      </c>
      <c r="G206" s="282" t="s">
        <v>89</v>
      </c>
      <c r="H206" s="282" t="str">
        <f t="shared" si="27"/>
        <v>Variable</v>
      </c>
      <c r="I206" s="284">
        <f t="shared" si="30"/>
        <v>291.87</v>
      </c>
      <c r="J206" s="282">
        <v>0</v>
      </c>
      <c r="K206" s="282" t="s">
        <v>670</v>
      </c>
    </row>
    <row r="207" spans="1:11" x14ac:dyDescent="0.2">
      <c r="A207" s="268">
        <f t="shared" si="28"/>
        <v>2021</v>
      </c>
      <c r="B207" s="286">
        <f t="shared" si="29"/>
        <v>4</v>
      </c>
      <c r="C207" s="313">
        <v>44300</v>
      </c>
      <c r="D207" s="313">
        <v>44300</v>
      </c>
      <c r="E207" s="287" t="s">
        <v>197</v>
      </c>
      <c r="F207" s="282">
        <v>7.67</v>
      </c>
      <c r="G207" s="282" t="s">
        <v>67</v>
      </c>
      <c r="H207" s="282" t="str">
        <f t="shared" si="27"/>
        <v>Variable</v>
      </c>
      <c r="I207" s="284">
        <f t="shared" si="30"/>
        <v>299.54000000000002</v>
      </c>
      <c r="J207" s="282">
        <v>0</v>
      </c>
      <c r="K207" s="282" t="s">
        <v>682</v>
      </c>
    </row>
    <row r="208" spans="1:11" ht="30" x14ac:dyDescent="0.2">
      <c r="A208" s="268">
        <f t="shared" si="28"/>
        <v>2021</v>
      </c>
      <c r="B208" s="286">
        <f t="shared" si="29"/>
        <v>4</v>
      </c>
      <c r="C208" s="313">
        <v>44300</v>
      </c>
      <c r="D208" s="313">
        <v>44300</v>
      </c>
      <c r="E208" s="287" t="s">
        <v>198</v>
      </c>
      <c r="F208" s="282">
        <v>15.89</v>
      </c>
      <c r="G208" s="282" t="s">
        <v>26</v>
      </c>
      <c r="H208" s="282" t="str">
        <f t="shared" si="27"/>
        <v>Fixed</v>
      </c>
      <c r="I208" s="284">
        <f t="shared" si="30"/>
        <v>315.43</v>
      </c>
      <c r="J208" s="282" t="s">
        <v>292</v>
      </c>
      <c r="K208" s="282" t="s">
        <v>781</v>
      </c>
    </row>
    <row r="209" spans="1:11" x14ac:dyDescent="0.2">
      <c r="A209" s="268">
        <f t="shared" si="28"/>
        <v>2021</v>
      </c>
      <c r="B209" s="286">
        <f t="shared" si="29"/>
        <v>4</v>
      </c>
      <c r="C209" s="313">
        <v>44300</v>
      </c>
      <c r="D209" s="313">
        <v>44300</v>
      </c>
      <c r="E209" s="287" t="s">
        <v>199</v>
      </c>
      <c r="F209" s="282">
        <v>25.71</v>
      </c>
      <c r="G209" s="282" t="s">
        <v>24</v>
      </c>
      <c r="H209" s="282" t="str">
        <f t="shared" si="27"/>
        <v>Variable</v>
      </c>
      <c r="I209" s="284">
        <f t="shared" si="30"/>
        <v>341.14</v>
      </c>
      <c r="J209" s="282">
        <v>0</v>
      </c>
      <c r="K209" s="281" t="s">
        <v>628</v>
      </c>
    </row>
    <row r="210" spans="1:11" x14ac:dyDescent="0.2">
      <c r="A210" s="268">
        <f t="shared" si="28"/>
        <v>2021</v>
      </c>
      <c r="B210" s="286">
        <f t="shared" si="29"/>
        <v>4</v>
      </c>
      <c r="C210" s="313">
        <v>44300</v>
      </c>
      <c r="D210" s="313">
        <v>44300</v>
      </c>
      <c r="E210" s="287" t="s">
        <v>200</v>
      </c>
      <c r="F210" s="282">
        <v>26.47</v>
      </c>
      <c r="G210" s="282" t="s">
        <v>41</v>
      </c>
      <c r="H210" s="282" t="str">
        <f t="shared" si="27"/>
        <v>Variable</v>
      </c>
      <c r="I210" s="284">
        <f t="shared" si="30"/>
        <v>367.61</v>
      </c>
      <c r="J210" s="282">
        <v>0</v>
      </c>
      <c r="K210" s="282" t="s">
        <v>670</v>
      </c>
    </row>
    <row r="211" spans="1:11" x14ac:dyDescent="0.2">
      <c r="A211" s="268">
        <f t="shared" si="28"/>
        <v>2021</v>
      </c>
      <c r="B211" s="286">
        <f t="shared" si="29"/>
        <v>4</v>
      </c>
      <c r="C211" s="313">
        <v>44301</v>
      </c>
      <c r="D211" s="313">
        <v>44301</v>
      </c>
      <c r="E211" s="287" t="s">
        <v>63</v>
      </c>
      <c r="F211" s="282">
        <v>25.51</v>
      </c>
      <c r="G211" s="282" t="s">
        <v>56</v>
      </c>
      <c r="H211" s="282" t="str">
        <f t="shared" si="27"/>
        <v>Variable</v>
      </c>
      <c r="I211" s="284">
        <f t="shared" si="30"/>
        <v>393.12</v>
      </c>
      <c r="J211" s="282" t="s">
        <v>35</v>
      </c>
      <c r="K211" s="282" t="s">
        <v>697</v>
      </c>
    </row>
    <row r="212" spans="1:11" x14ac:dyDescent="0.2">
      <c r="A212" s="268">
        <f t="shared" si="28"/>
        <v>2021</v>
      </c>
      <c r="B212" s="286">
        <f t="shared" si="29"/>
        <v>4</v>
      </c>
      <c r="C212" s="313">
        <v>44301</v>
      </c>
      <c r="D212" s="313">
        <v>44301</v>
      </c>
      <c r="E212" s="287" t="s">
        <v>201</v>
      </c>
      <c r="F212" s="282">
        <v>26.4</v>
      </c>
      <c r="G212" s="282" t="s">
        <v>67</v>
      </c>
      <c r="H212" s="282" t="str">
        <f t="shared" si="27"/>
        <v>Variable</v>
      </c>
      <c r="I212" s="284">
        <f t="shared" si="30"/>
        <v>419.52</v>
      </c>
      <c r="J212" s="282" t="s">
        <v>297</v>
      </c>
      <c r="K212" s="282" t="s">
        <v>697</v>
      </c>
    </row>
    <row r="213" spans="1:11" x14ac:dyDescent="0.2">
      <c r="A213" s="268">
        <f t="shared" si="28"/>
        <v>2021</v>
      </c>
      <c r="B213" s="286">
        <f t="shared" si="29"/>
        <v>4</v>
      </c>
      <c r="C213" s="313">
        <v>44303</v>
      </c>
      <c r="D213" s="313">
        <v>44303</v>
      </c>
      <c r="E213" s="287" t="s">
        <v>202</v>
      </c>
      <c r="F213" s="282">
        <v>3.63</v>
      </c>
      <c r="G213" s="282" t="s">
        <v>67</v>
      </c>
      <c r="H213" s="282" t="str">
        <f t="shared" si="27"/>
        <v>Variable</v>
      </c>
      <c r="I213" s="284">
        <f t="shared" si="30"/>
        <v>423.15</v>
      </c>
      <c r="J213" s="282">
        <v>0</v>
      </c>
      <c r="K213" s="282" t="s">
        <v>682</v>
      </c>
    </row>
    <row r="214" spans="1:11" x14ac:dyDescent="0.2">
      <c r="A214" s="268">
        <f t="shared" si="28"/>
        <v>2021</v>
      </c>
      <c r="B214" s="286">
        <f t="shared" si="29"/>
        <v>4</v>
      </c>
      <c r="C214" s="313">
        <v>44303</v>
      </c>
      <c r="D214" s="313">
        <v>44303</v>
      </c>
      <c r="E214" s="287" t="s">
        <v>203</v>
      </c>
      <c r="F214" s="282">
        <v>17.14</v>
      </c>
      <c r="G214" s="282" t="s">
        <v>41</v>
      </c>
      <c r="H214" s="282" t="str">
        <f t="shared" si="27"/>
        <v>Variable</v>
      </c>
      <c r="I214" s="284">
        <f t="shared" si="30"/>
        <v>440.28999999999996</v>
      </c>
      <c r="J214" s="282">
        <v>0</v>
      </c>
      <c r="K214" s="282" t="s">
        <v>670</v>
      </c>
    </row>
    <row r="215" spans="1:11" x14ac:dyDescent="0.2">
      <c r="A215" s="268">
        <f t="shared" si="28"/>
        <v>2021</v>
      </c>
      <c r="B215" s="286">
        <f t="shared" si="29"/>
        <v>4</v>
      </c>
      <c r="C215" s="313">
        <v>44303</v>
      </c>
      <c r="D215" s="313">
        <v>44304</v>
      </c>
      <c r="E215" s="287" t="s">
        <v>204</v>
      </c>
      <c r="F215" s="282">
        <v>-21.05</v>
      </c>
      <c r="G215" s="282" t="s">
        <v>22</v>
      </c>
      <c r="H215" s="282" t="str">
        <f t="shared" si="27"/>
        <v>Payment</v>
      </c>
      <c r="I215" s="284">
        <f t="shared" si="30"/>
        <v>419.23999999999995</v>
      </c>
      <c r="J215" s="282" t="s">
        <v>297</v>
      </c>
      <c r="K215" s="282">
        <v>0</v>
      </c>
    </row>
    <row r="216" spans="1:11" x14ac:dyDescent="0.2">
      <c r="A216" s="268">
        <f t="shared" si="28"/>
        <v>2021</v>
      </c>
      <c r="B216" s="286">
        <f t="shared" si="29"/>
        <v>4</v>
      </c>
      <c r="C216" s="313">
        <v>44304</v>
      </c>
      <c r="D216" s="313">
        <v>44304</v>
      </c>
      <c r="E216" s="287" t="s">
        <v>210</v>
      </c>
      <c r="F216" s="282">
        <v>30</v>
      </c>
      <c r="G216" s="282" t="s">
        <v>52</v>
      </c>
      <c r="H216" s="282" t="str">
        <f t="shared" si="27"/>
        <v>Variable</v>
      </c>
      <c r="I216" s="284">
        <f t="shared" si="30"/>
        <v>449.23999999999995</v>
      </c>
      <c r="J216" s="282" t="s">
        <v>289</v>
      </c>
      <c r="K216" s="282" t="s">
        <v>688</v>
      </c>
    </row>
    <row r="217" spans="1:11" x14ac:dyDescent="0.2">
      <c r="A217" s="268">
        <f t="shared" si="28"/>
        <v>2021</v>
      </c>
      <c r="B217" s="286">
        <f t="shared" si="29"/>
        <v>4</v>
      </c>
      <c r="C217" s="313">
        <v>44305</v>
      </c>
      <c r="D217" s="313">
        <v>44305</v>
      </c>
      <c r="E217" s="287" t="s">
        <v>211</v>
      </c>
      <c r="F217" s="282">
        <v>159</v>
      </c>
      <c r="G217" s="282" t="s">
        <v>67</v>
      </c>
      <c r="H217" s="282" t="str">
        <f t="shared" si="27"/>
        <v>Variable</v>
      </c>
      <c r="I217" s="284">
        <f t="shared" si="30"/>
        <v>608.24</v>
      </c>
      <c r="J217" s="282" t="s">
        <v>329</v>
      </c>
      <c r="K217" s="282" t="s">
        <v>688</v>
      </c>
    </row>
    <row r="218" spans="1:11" x14ac:dyDescent="0.2">
      <c r="A218" s="268">
        <f t="shared" si="28"/>
        <v>2021</v>
      </c>
      <c r="B218" s="286">
        <f t="shared" si="29"/>
        <v>4</v>
      </c>
      <c r="C218" s="313">
        <v>44306</v>
      </c>
      <c r="D218" s="313">
        <v>44306</v>
      </c>
      <c r="E218" s="287" t="s">
        <v>60</v>
      </c>
      <c r="F218" s="282">
        <v>26.08</v>
      </c>
      <c r="G218" s="282" t="s">
        <v>24</v>
      </c>
      <c r="H218" s="282" t="str">
        <f t="shared" ref="H218:H281" si="31">VLOOKUP(G218,Expense_Lookup,2,0)</f>
        <v>Variable</v>
      </c>
      <c r="I218" s="284">
        <f t="shared" si="30"/>
        <v>634.32000000000005</v>
      </c>
      <c r="J218" s="282">
        <v>0</v>
      </c>
      <c r="K218" s="281" t="s">
        <v>628</v>
      </c>
    </row>
    <row r="219" spans="1:11" x14ac:dyDescent="0.2">
      <c r="A219" s="268">
        <f t="shared" si="28"/>
        <v>2021</v>
      </c>
      <c r="B219" s="286">
        <f t="shared" si="29"/>
        <v>4</v>
      </c>
      <c r="C219" s="313">
        <v>44306</v>
      </c>
      <c r="D219" s="313">
        <v>44306</v>
      </c>
      <c r="E219" s="287" t="s">
        <v>100</v>
      </c>
      <c r="F219" s="282">
        <v>6.99</v>
      </c>
      <c r="G219" s="282" t="s">
        <v>67</v>
      </c>
      <c r="H219" s="282" t="str">
        <f t="shared" si="31"/>
        <v>Variable</v>
      </c>
      <c r="I219" s="284">
        <f t="shared" si="30"/>
        <v>641.31000000000006</v>
      </c>
      <c r="J219" s="282" t="s">
        <v>106</v>
      </c>
      <c r="K219" s="282" t="s">
        <v>688</v>
      </c>
    </row>
    <row r="220" spans="1:11" x14ac:dyDescent="0.2">
      <c r="A220" s="268">
        <f t="shared" si="28"/>
        <v>2021</v>
      </c>
      <c r="B220" s="286">
        <f t="shared" si="29"/>
        <v>4</v>
      </c>
      <c r="C220" s="313">
        <v>44307</v>
      </c>
      <c r="D220" s="313">
        <v>44307</v>
      </c>
      <c r="E220" s="287" t="s">
        <v>185</v>
      </c>
      <c r="F220" s="282">
        <v>4.24</v>
      </c>
      <c r="G220" s="282" t="s">
        <v>67</v>
      </c>
      <c r="H220" s="282" t="str">
        <f t="shared" si="31"/>
        <v>Variable</v>
      </c>
      <c r="I220" s="284">
        <f t="shared" si="30"/>
        <v>645.55000000000007</v>
      </c>
      <c r="J220" s="282">
        <v>0</v>
      </c>
      <c r="K220" s="282" t="s">
        <v>682</v>
      </c>
    </row>
    <row r="221" spans="1:11" x14ac:dyDescent="0.2">
      <c r="A221" s="268">
        <f t="shared" si="28"/>
        <v>2021</v>
      </c>
      <c r="B221" s="286">
        <f t="shared" si="29"/>
        <v>4</v>
      </c>
      <c r="C221" s="313">
        <v>44307</v>
      </c>
      <c r="D221" s="313">
        <v>44307</v>
      </c>
      <c r="E221" s="287" t="s">
        <v>212</v>
      </c>
      <c r="F221" s="282">
        <v>9.9499999999999993</v>
      </c>
      <c r="G221" s="281" t="s">
        <v>56</v>
      </c>
      <c r="H221" s="282" t="str">
        <f t="shared" si="31"/>
        <v>Variable</v>
      </c>
      <c r="I221" s="284">
        <f t="shared" si="30"/>
        <v>655.50000000000011</v>
      </c>
      <c r="J221" s="282" t="s">
        <v>35</v>
      </c>
      <c r="K221" s="281" t="s">
        <v>697</v>
      </c>
    </row>
    <row r="222" spans="1:11" x14ac:dyDescent="0.2">
      <c r="A222" s="268">
        <f t="shared" si="28"/>
        <v>2021</v>
      </c>
      <c r="B222" s="286">
        <f t="shared" si="29"/>
        <v>4</v>
      </c>
      <c r="C222" s="313">
        <v>44307</v>
      </c>
      <c r="D222" s="313">
        <v>44307</v>
      </c>
      <c r="E222" s="287" t="s">
        <v>80</v>
      </c>
      <c r="F222" s="282">
        <v>7.99</v>
      </c>
      <c r="G222" s="282" t="s">
        <v>26</v>
      </c>
      <c r="H222" s="282" t="str">
        <f t="shared" si="31"/>
        <v>Fixed</v>
      </c>
      <c r="I222" s="284">
        <f t="shared" si="30"/>
        <v>663.49000000000012</v>
      </c>
      <c r="J222" s="282" t="s">
        <v>9</v>
      </c>
      <c r="K222" s="282" t="s">
        <v>781</v>
      </c>
    </row>
    <row r="223" spans="1:11" x14ac:dyDescent="0.2">
      <c r="A223" s="268">
        <f t="shared" si="28"/>
        <v>2021</v>
      </c>
      <c r="B223" s="286">
        <f t="shared" si="29"/>
        <v>4</v>
      </c>
      <c r="C223" s="313">
        <v>44307</v>
      </c>
      <c r="D223" s="313">
        <v>44307</v>
      </c>
      <c r="E223" s="287" t="s">
        <v>181</v>
      </c>
      <c r="F223" s="282">
        <v>44.61</v>
      </c>
      <c r="G223" s="282" t="s">
        <v>41</v>
      </c>
      <c r="H223" s="282" t="str">
        <f t="shared" si="31"/>
        <v>Variable</v>
      </c>
      <c r="I223" s="284">
        <f t="shared" si="30"/>
        <v>708.10000000000014</v>
      </c>
      <c r="J223" s="282">
        <v>0</v>
      </c>
      <c r="K223" s="282" t="s">
        <v>670</v>
      </c>
    </row>
    <row r="224" spans="1:11" x14ac:dyDescent="0.2">
      <c r="A224" s="268">
        <f t="shared" si="28"/>
        <v>2021</v>
      </c>
      <c r="B224" s="286">
        <f t="shared" si="29"/>
        <v>4</v>
      </c>
      <c r="C224" s="313">
        <v>44309</v>
      </c>
      <c r="D224" s="313">
        <v>44309</v>
      </c>
      <c r="E224" s="287" t="s">
        <v>213</v>
      </c>
      <c r="F224" s="282">
        <v>47.61</v>
      </c>
      <c r="G224" s="282" t="s">
        <v>41</v>
      </c>
      <c r="H224" s="282" t="str">
        <f t="shared" si="31"/>
        <v>Variable</v>
      </c>
      <c r="I224" s="284">
        <f t="shared" si="30"/>
        <v>755.71000000000015</v>
      </c>
      <c r="J224" s="282">
        <v>0</v>
      </c>
      <c r="K224" s="282" t="s">
        <v>670</v>
      </c>
    </row>
    <row r="225" spans="1:11" x14ac:dyDescent="0.2">
      <c r="A225" s="268">
        <f t="shared" si="28"/>
        <v>2021</v>
      </c>
      <c r="B225" s="286">
        <f t="shared" si="29"/>
        <v>4</v>
      </c>
      <c r="C225" s="313">
        <v>44310</v>
      </c>
      <c r="D225" s="313">
        <v>44310</v>
      </c>
      <c r="E225" s="287" t="s">
        <v>214</v>
      </c>
      <c r="F225" s="282">
        <v>84.67</v>
      </c>
      <c r="G225" s="282" t="s">
        <v>194</v>
      </c>
      <c r="H225" s="282" t="str">
        <f t="shared" si="31"/>
        <v>Variable</v>
      </c>
      <c r="I225" s="284">
        <f t="shared" si="30"/>
        <v>840.38000000000011</v>
      </c>
      <c r="J225" s="282">
        <v>0</v>
      </c>
      <c r="K225" s="282" t="s">
        <v>688</v>
      </c>
    </row>
    <row r="226" spans="1:11" x14ac:dyDescent="0.2">
      <c r="A226" s="268">
        <f t="shared" si="28"/>
        <v>2021</v>
      </c>
      <c r="B226" s="286">
        <f t="shared" si="29"/>
        <v>4</v>
      </c>
      <c r="C226" s="313">
        <v>44310</v>
      </c>
      <c r="D226" s="313">
        <v>44310</v>
      </c>
      <c r="E226" s="287" t="s">
        <v>215</v>
      </c>
      <c r="F226" s="282">
        <v>5.78</v>
      </c>
      <c r="G226" s="282" t="s">
        <v>41</v>
      </c>
      <c r="H226" s="282" t="str">
        <f t="shared" si="31"/>
        <v>Variable</v>
      </c>
      <c r="I226" s="284">
        <f t="shared" si="30"/>
        <v>846.16000000000008</v>
      </c>
      <c r="J226" s="282">
        <v>0</v>
      </c>
      <c r="K226" s="282" t="s">
        <v>670</v>
      </c>
    </row>
    <row r="227" spans="1:11" x14ac:dyDescent="0.2">
      <c r="A227" s="268">
        <f t="shared" si="28"/>
        <v>2021</v>
      </c>
      <c r="B227" s="286">
        <f t="shared" si="29"/>
        <v>4</v>
      </c>
      <c r="C227" s="313">
        <v>44310</v>
      </c>
      <c r="D227" s="313">
        <v>44310</v>
      </c>
      <c r="E227" s="287" t="s">
        <v>216</v>
      </c>
      <c r="F227" s="282">
        <v>12.24</v>
      </c>
      <c r="G227" s="282" t="s">
        <v>41</v>
      </c>
      <c r="H227" s="282" t="str">
        <f t="shared" si="31"/>
        <v>Variable</v>
      </c>
      <c r="I227" s="284">
        <f t="shared" si="30"/>
        <v>858.40000000000009</v>
      </c>
      <c r="J227" s="282">
        <v>0</v>
      </c>
      <c r="K227" s="282" t="s">
        <v>670</v>
      </c>
    </row>
    <row r="228" spans="1:11" x14ac:dyDescent="0.2">
      <c r="A228" s="268">
        <f t="shared" si="28"/>
        <v>2021</v>
      </c>
      <c r="B228" s="286">
        <f t="shared" si="29"/>
        <v>4</v>
      </c>
      <c r="C228" s="313">
        <v>44312</v>
      </c>
      <c r="D228" s="313">
        <v>44312</v>
      </c>
      <c r="E228" s="287" t="s">
        <v>217</v>
      </c>
      <c r="F228" s="282">
        <v>13.27</v>
      </c>
      <c r="G228" s="282" t="s">
        <v>41</v>
      </c>
      <c r="H228" s="282" t="str">
        <f t="shared" si="31"/>
        <v>Variable</v>
      </c>
      <c r="I228" s="284">
        <f t="shared" si="30"/>
        <v>871.67000000000007</v>
      </c>
      <c r="J228" s="282">
        <v>0</v>
      </c>
      <c r="K228" s="282" t="s">
        <v>670</v>
      </c>
    </row>
    <row r="229" spans="1:11" x14ac:dyDescent="0.2">
      <c r="A229" s="268">
        <f t="shared" si="28"/>
        <v>2021</v>
      </c>
      <c r="B229" s="286">
        <f t="shared" si="29"/>
        <v>4</v>
      </c>
      <c r="C229" s="313">
        <v>44313</v>
      </c>
      <c r="D229" s="313">
        <v>44313</v>
      </c>
      <c r="E229" s="287" t="s">
        <v>218</v>
      </c>
      <c r="F229" s="282">
        <v>26.97</v>
      </c>
      <c r="G229" s="282" t="s">
        <v>24</v>
      </c>
      <c r="H229" s="282" t="str">
        <f t="shared" si="31"/>
        <v>Variable</v>
      </c>
      <c r="I229" s="284">
        <f t="shared" si="30"/>
        <v>898.6400000000001</v>
      </c>
      <c r="J229" s="282">
        <v>0</v>
      </c>
      <c r="K229" s="281" t="s">
        <v>628</v>
      </c>
    </row>
    <row r="230" spans="1:11" x14ac:dyDescent="0.2">
      <c r="A230" s="268">
        <f t="shared" si="28"/>
        <v>2021</v>
      </c>
      <c r="B230" s="286">
        <f t="shared" si="29"/>
        <v>4</v>
      </c>
      <c r="C230" s="313">
        <v>44313</v>
      </c>
      <c r="D230" s="313">
        <v>44313</v>
      </c>
      <c r="E230" s="287" t="s">
        <v>111</v>
      </c>
      <c r="F230" s="282">
        <v>9.99</v>
      </c>
      <c r="G230" s="282" t="s">
        <v>26</v>
      </c>
      <c r="H230" s="282" t="str">
        <f t="shared" si="31"/>
        <v>Fixed</v>
      </c>
      <c r="I230" s="284">
        <f t="shared" si="30"/>
        <v>908.63000000000011</v>
      </c>
      <c r="J230" s="282" t="s">
        <v>294</v>
      </c>
      <c r="K230" s="282" t="s">
        <v>781</v>
      </c>
    </row>
    <row r="231" spans="1:11" x14ac:dyDescent="0.2">
      <c r="A231" s="268">
        <f t="shared" si="28"/>
        <v>2021</v>
      </c>
      <c r="B231" s="286">
        <f t="shared" si="29"/>
        <v>4</v>
      </c>
      <c r="C231" s="313">
        <v>44313</v>
      </c>
      <c r="D231" s="313">
        <v>44313</v>
      </c>
      <c r="E231" s="287" t="s">
        <v>114</v>
      </c>
      <c r="F231" s="282">
        <v>5</v>
      </c>
      <c r="G231" s="282" t="s">
        <v>67</v>
      </c>
      <c r="H231" s="282" t="str">
        <f t="shared" si="31"/>
        <v>Variable</v>
      </c>
      <c r="I231" s="284">
        <f t="shared" si="30"/>
        <v>913.63000000000011</v>
      </c>
      <c r="J231" s="282">
        <v>0</v>
      </c>
      <c r="K231" s="282" t="s">
        <v>688</v>
      </c>
    </row>
    <row r="232" spans="1:11" x14ac:dyDescent="0.2">
      <c r="A232" s="268">
        <f t="shared" si="28"/>
        <v>2021</v>
      </c>
      <c r="B232" s="286">
        <f t="shared" si="29"/>
        <v>4</v>
      </c>
      <c r="C232" s="313">
        <v>44314</v>
      </c>
      <c r="D232" s="313">
        <v>44314</v>
      </c>
      <c r="E232" s="287" t="s">
        <v>183</v>
      </c>
      <c r="F232" s="282">
        <v>2.12</v>
      </c>
      <c r="G232" s="282" t="s">
        <v>67</v>
      </c>
      <c r="H232" s="282" t="str">
        <f t="shared" si="31"/>
        <v>Variable</v>
      </c>
      <c r="I232" s="284">
        <f t="shared" si="30"/>
        <v>915.75000000000011</v>
      </c>
      <c r="J232" s="282">
        <v>0</v>
      </c>
      <c r="K232" s="282" t="s">
        <v>682</v>
      </c>
    </row>
    <row r="233" spans="1:11" x14ac:dyDescent="0.2">
      <c r="A233" s="268">
        <f t="shared" si="28"/>
        <v>2021</v>
      </c>
      <c r="B233" s="286">
        <f t="shared" si="29"/>
        <v>4</v>
      </c>
      <c r="C233" s="313">
        <v>44314</v>
      </c>
      <c r="D233" s="313">
        <v>44314</v>
      </c>
      <c r="E233" s="287" t="s">
        <v>219</v>
      </c>
      <c r="F233" s="282">
        <v>28.54</v>
      </c>
      <c r="G233" s="282" t="s">
        <v>67</v>
      </c>
      <c r="H233" s="282" t="str">
        <f t="shared" si="31"/>
        <v>Variable</v>
      </c>
      <c r="I233" s="284">
        <f t="shared" si="30"/>
        <v>944.29000000000008</v>
      </c>
      <c r="J233" s="282">
        <v>0</v>
      </c>
      <c r="K233" s="282" t="s">
        <v>688</v>
      </c>
    </row>
    <row r="234" spans="1:11" x14ac:dyDescent="0.2">
      <c r="A234" s="268">
        <f t="shared" si="28"/>
        <v>2021</v>
      </c>
      <c r="B234" s="286">
        <f t="shared" si="29"/>
        <v>4</v>
      </c>
      <c r="C234" s="313">
        <v>44314</v>
      </c>
      <c r="D234" s="313">
        <v>44314</v>
      </c>
      <c r="E234" s="287" t="s">
        <v>220</v>
      </c>
      <c r="F234" s="282">
        <v>23.95</v>
      </c>
      <c r="G234" s="282" t="s">
        <v>41</v>
      </c>
      <c r="H234" s="282" t="str">
        <f t="shared" si="31"/>
        <v>Variable</v>
      </c>
      <c r="I234" s="284">
        <f t="shared" si="30"/>
        <v>968.24000000000012</v>
      </c>
      <c r="J234" s="282">
        <v>0</v>
      </c>
      <c r="K234" s="282" t="s">
        <v>670</v>
      </c>
    </row>
    <row r="235" spans="1:11" x14ac:dyDescent="0.2">
      <c r="A235" s="268">
        <f t="shared" si="28"/>
        <v>2021</v>
      </c>
      <c r="B235" s="286">
        <f t="shared" si="29"/>
        <v>4</v>
      </c>
      <c r="C235" s="313">
        <v>44314</v>
      </c>
      <c r="D235" s="313">
        <v>44314</v>
      </c>
      <c r="E235" s="287" t="s">
        <v>221</v>
      </c>
      <c r="F235" s="282">
        <v>55.66</v>
      </c>
      <c r="G235" s="282" t="s">
        <v>41</v>
      </c>
      <c r="H235" s="282" t="str">
        <f t="shared" si="31"/>
        <v>Variable</v>
      </c>
      <c r="I235" s="284">
        <f t="shared" si="30"/>
        <v>1023.9000000000001</v>
      </c>
      <c r="J235" s="282">
        <v>0</v>
      </c>
      <c r="K235" s="282" t="s">
        <v>670</v>
      </c>
    </row>
    <row r="236" spans="1:11" x14ac:dyDescent="0.2">
      <c r="A236" s="268">
        <f t="shared" si="28"/>
        <v>2021</v>
      </c>
      <c r="B236" s="286">
        <f t="shared" si="29"/>
        <v>4</v>
      </c>
      <c r="C236" s="313">
        <v>44316</v>
      </c>
      <c r="D236" s="313">
        <v>44316</v>
      </c>
      <c r="E236" s="287" t="s">
        <v>151</v>
      </c>
      <c r="F236" s="282">
        <v>20.92</v>
      </c>
      <c r="G236" s="282" t="s">
        <v>89</v>
      </c>
      <c r="H236" s="282" t="str">
        <f t="shared" si="31"/>
        <v>Variable</v>
      </c>
      <c r="I236" s="284">
        <f t="shared" si="30"/>
        <v>1044.8200000000002</v>
      </c>
      <c r="J236" s="282">
        <v>0</v>
      </c>
      <c r="K236" s="282" t="s">
        <v>670</v>
      </c>
    </row>
    <row r="237" spans="1:11" x14ac:dyDescent="0.2">
      <c r="A237" s="268">
        <f t="shared" si="28"/>
        <v>2021</v>
      </c>
      <c r="B237" s="286">
        <f t="shared" si="29"/>
        <v>4</v>
      </c>
      <c r="C237" s="313">
        <v>44316</v>
      </c>
      <c r="D237" s="313">
        <v>44316</v>
      </c>
      <c r="E237" s="287" t="s">
        <v>185</v>
      </c>
      <c r="F237" s="282">
        <v>2.12</v>
      </c>
      <c r="G237" s="282" t="s">
        <v>67</v>
      </c>
      <c r="H237" s="282" t="str">
        <f t="shared" si="31"/>
        <v>Variable</v>
      </c>
      <c r="I237" s="284">
        <f t="shared" si="30"/>
        <v>1046.94</v>
      </c>
      <c r="J237" s="282">
        <v>0</v>
      </c>
      <c r="K237" s="282" t="s">
        <v>682</v>
      </c>
    </row>
    <row r="238" spans="1:11" x14ac:dyDescent="0.2">
      <c r="A238" s="268">
        <f t="shared" si="28"/>
        <v>2021</v>
      </c>
      <c r="B238" s="286">
        <f t="shared" si="29"/>
        <v>5</v>
      </c>
      <c r="C238" s="314">
        <v>44317</v>
      </c>
      <c r="D238" s="314">
        <v>44317</v>
      </c>
      <c r="E238" s="287" t="s">
        <v>222</v>
      </c>
      <c r="F238" s="282">
        <v>7.54</v>
      </c>
      <c r="G238" s="282" t="s">
        <v>41</v>
      </c>
      <c r="H238" s="282" t="str">
        <f t="shared" si="31"/>
        <v>Variable</v>
      </c>
      <c r="I238" s="284">
        <f t="shared" si="30"/>
        <v>1054.48</v>
      </c>
      <c r="J238" s="282">
        <v>0</v>
      </c>
      <c r="K238" s="282" t="s">
        <v>670</v>
      </c>
    </row>
    <row r="239" spans="1:11" x14ac:dyDescent="0.2">
      <c r="A239" s="268">
        <f t="shared" si="28"/>
        <v>2021</v>
      </c>
      <c r="B239" s="286">
        <f t="shared" si="29"/>
        <v>5</v>
      </c>
      <c r="C239" s="314">
        <v>44317</v>
      </c>
      <c r="D239" s="314">
        <v>44317</v>
      </c>
      <c r="E239" s="287" t="s">
        <v>223</v>
      </c>
      <c r="F239" s="282">
        <v>14.83</v>
      </c>
      <c r="G239" s="282" t="s">
        <v>26</v>
      </c>
      <c r="H239" s="282" t="str">
        <f t="shared" si="31"/>
        <v>Fixed</v>
      </c>
      <c r="I239" s="284">
        <f t="shared" si="30"/>
        <v>1069.31</v>
      </c>
      <c r="J239" s="282" t="s">
        <v>7</v>
      </c>
      <c r="K239" s="282" t="s">
        <v>781</v>
      </c>
    </row>
    <row r="240" spans="1:11" x14ac:dyDescent="0.2">
      <c r="A240" s="268">
        <f t="shared" si="28"/>
        <v>2021</v>
      </c>
      <c r="B240" s="286">
        <f t="shared" si="29"/>
        <v>5</v>
      </c>
      <c r="C240" s="314">
        <v>44317</v>
      </c>
      <c r="D240" s="314">
        <v>44317</v>
      </c>
      <c r="E240" s="287" t="s">
        <v>224</v>
      </c>
      <c r="F240" s="282">
        <v>9.99</v>
      </c>
      <c r="G240" s="282" t="s">
        <v>26</v>
      </c>
      <c r="H240" s="282" t="str">
        <f t="shared" si="31"/>
        <v>Fixed</v>
      </c>
      <c r="I240" s="284">
        <f t="shared" si="30"/>
        <v>1079.3</v>
      </c>
      <c r="J240" s="282" t="s">
        <v>6</v>
      </c>
      <c r="K240" s="282" t="s">
        <v>781</v>
      </c>
    </row>
    <row r="241" spans="1:11" x14ac:dyDescent="0.2">
      <c r="A241" s="268">
        <f t="shared" si="28"/>
        <v>2021</v>
      </c>
      <c r="B241" s="286">
        <f t="shared" si="29"/>
        <v>5</v>
      </c>
      <c r="C241" s="314">
        <v>44317</v>
      </c>
      <c r="D241" s="314">
        <v>44317</v>
      </c>
      <c r="E241" s="287" t="s">
        <v>225</v>
      </c>
      <c r="F241" s="282">
        <v>18.399999999999999</v>
      </c>
      <c r="G241" s="282" t="s">
        <v>41</v>
      </c>
      <c r="H241" s="282" t="str">
        <f t="shared" si="31"/>
        <v>Variable</v>
      </c>
      <c r="I241" s="284">
        <f t="shared" si="30"/>
        <v>1097.7</v>
      </c>
      <c r="J241" s="282">
        <v>0</v>
      </c>
      <c r="K241" s="282" t="s">
        <v>670</v>
      </c>
    </row>
    <row r="242" spans="1:11" x14ac:dyDescent="0.2">
      <c r="A242" s="268">
        <f t="shared" si="28"/>
        <v>2021</v>
      </c>
      <c r="B242" s="286">
        <f t="shared" si="29"/>
        <v>5</v>
      </c>
      <c r="C242" s="314">
        <v>44317</v>
      </c>
      <c r="D242" s="314">
        <v>44317</v>
      </c>
      <c r="E242" s="287" t="s">
        <v>226</v>
      </c>
      <c r="F242" s="282">
        <v>69.52</v>
      </c>
      <c r="G242" s="282" t="s">
        <v>89</v>
      </c>
      <c r="H242" s="282" t="str">
        <f t="shared" si="31"/>
        <v>Variable</v>
      </c>
      <c r="I242" s="284">
        <f t="shared" si="30"/>
        <v>1167.22</v>
      </c>
      <c r="J242" s="282">
        <v>0</v>
      </c>
      <c r="K242" s="282" t="s">
        <v>670</v>
      </c>
    </row>
    <row r="243" spans="1:11" x14ac:dyDescent="0.2">
      <c r="A243" s="268">
        <f t="shared" si="28"/>
        <v>2021</v>
      </c>
      <c r="B243" s="286">
        <f t="shared" si="29"/>
        <v>5</v>
      </c>
      <c r="C243" s="314">
        <v>44317</v>
      </c>
      <c r="D243" s="314">
        <v>44317</v>
      </c>
      <c r="E243" s="287" t="s">
        <v>97</v>
      </c>
      <c r="F243" s="282">
        <v>25.42</v>
      </c>
      <c r="G243" s="282" t="s">
        <v>67</v>
      </c>
      <c r="H243" s="282" t="str">
        <f t="shared" si="31"/>
        <v>Variable</v>
      </c>
      <c r="I243" s="284">
        <f t="shared" si="30"/>
        <v>1192.6400000000001</v>
      </c>
      <c r="J243" s="282" t="s">
        <v>105</v>
      </c>
      <c r="K243" s="282" t="s">
        <v>688</v>
      </c>
    </row>
    <row r="244" spans="1:11" x14ac:dyDescent="0.2">
      <c r="A244" s="268">
        <f t="shared" si="28"/>
        <v>2021</v>
      </c>
      <c r="B244" s="286">
        <f t="shared" si="29"/>
        <v>5</v>
      </c>
      <c r="C244" s="314">
        <v>44317</v>
      </c>
      <c r="D244" s="314">
        <v>44317</v>
      </c>
      <c r="E244" s="287" t="s">
        <v>97</v>
      </c>
      <c r="F244" s="282">
        <v>42.38</v>
      </c>
      <c r="G244" s="282" t="s">
        <v>67</v>
      </c>
      <c r="H244" s="282" t="str">
        <f t="shared" si="31"/>
        <v>Variable</v>
      </c>
      <c r="I244" s="284">
        <f t="shared" si="30"/>
        <v>1235.0200000000002</v>
      </c>
      <c r="J244" s="282" t="s">
        <v>105</v>
      </c>
      <c r="K244" s="282" t="s">
        <v>688</v>
      </c>
    </row>
    <row r="245" spans="1:11" x14ac:dyDescent="0.2">
      <c r="A245" s="268">
        <f t="shared" si="28"/>
        <v>2021</v>
      </c>
      <c r="B245" s="286">
        <f t="shared" si="29"/>
        <v>5</v>
      </c>
      <c r="C245" s="314">
        <v>44317</v>
      </c>
      <c r="D245" s="314">
        <v>44319</v>
      </c>
      <c r="E245" s="287" t="s">
        <v>227</v>
      </c>
      <c r="F245" s="282">
        <v>49.53</v>
      </c>
      <c r="G245" s="282" t="s">
        <v>89</v>
      </c>
      <c r="H245" s="282" t="str">
        <f t="shared" si="31"/>
        <v>Variable</v>
      </c>
      <c r="I245" s="284">
        <f t="shared" si="30"/>
        <v>1284.5500000000002</v>
      </c>
      <c r="J245" s="282">
        <v>0</v>
      </c>
      <c r="K245" s="282" t="s">
        <v>670</v>
      </c>
    </row>
    <row r="246" spans="1:11" x14ac:dyDescent="0.2">
      <c r="A246" s="268">
        <f t="shared" si="28"/>
        <v>2021</v>
      </c>
      <c r="B246" s="286">
        <f t="shared" si="29"/>
        <v>5</v>
      </c>
      <c r="C246" s="314">
        <v>44317</v>
      </c>
      <c r="D246" s="314">
        <v>44319</v>
      </c>
      <c r="E246" s="287" t="s">
        <v>228</v>
      </c>
      <c r="F246" s="282">
        <v>44</v>
      </c>
      <c r="G246" s="282" t="s">
        <v>26</v>
      </c>
      <c r="H246" s="282" t="str">
        <f t="shared" si="31"/>
        <v>Fixed</v>
      </c>
      <c r="I246" s="284">
        <f t="shared" si="30"/>
        <v>1328.5500000000002</v>
      </c>
      <c r="J246" s="282" t="s">
        <v>280</v>
      </c>
      <c r="K246" s="282" t="s">
        <v>781</v>
      </c>
    </row>
    <row r="247" spans="1:11" x14ac:dyDescent="0.2">
      <c r="A247" s="268">
        <f t="shared" si="28"/>
        <v>2021</v>
      </c>
      <c r="B247" s="286">
        <f t="shared" si="29"/>
        <v>5</v>
      </c>
      <c r="C247" s="314">
        <v>44318</v>
      </c>
      <c r="D247" s="314">
        <v>44319</v>
      </c>
      <c r="E247" s="287" t="s">
        <v>229</v>
      </c>
      <c r="F247" s="282">
        <v>18.96</v>
      </c>
      <c r="G247" s="282" t="s">
        <v>88</v>
      </c>
      <c r="H247" s="282" t="str">
        <f t="shared" si="31"/>
        <v>Variable</v>
      </c>
      <c r="I247" s="284">
        <f t="shared" si="30"/>
        <v>1347.5100000000002</v>
      </c>
      <c r="J247" s="282">
        <v>0</v>
      </c>
      <c r="K247" s="282" t="s">
        <v>627</v>
      </c>
    </row>
    <row r="248" spans="1:11" x14ac:dyDescent="0.2">
      <c r="A248" s="268">
        <f t="shared" si="28"/>
        <v>2021</v>
      </c>
      <c r="B248" s="286">
        <f t="shared" si="29"/>
        <v>5</v>
      </c>
      <c r="C248" s="314">
        <v>44318</v>
      </c>
      <c r="D248" s="314">
        <v>44319</v>
      </c>
      <c r="E248" s="287" t="s">
        <v>229</v>
      </c>
      <c r="F248" s="282">
        <v>38.74</v>
      </c>
      <c r="G248" s="282" t="s">
        <v>88</v>
      </c>
      <c r="H248" s="282" t="str">
        <f t="shared" si="31"/>
        <v>Variable</v>
      </c>
      <c r="I248" s="284">
        <f t="shared" si="30"/>
        <v>1386.2500000000002</v>
      </c>
      <c r="J248" s="282">
        <v>0</v>
      </c>
      <c r="K248" s="282" t="s">
        <v>627</v>
      </c>
    </row>
    <row r="249" spans="1:11" x14ac:dyDescent="0.2">
      <c r="A249" s="268">
        <f t="shared" si="28"/>
        <v>2021</v>
      </c>
      <c r="B249" s="286">
        <f t="shared" si="29"/>
        <v>5</v>
      </c>
      <c r="C249" s="314">
        <v>44318</v>
      </c>
      <c r="D249" s="314">
        <v>44319</v>
      </c>
      <c r="E249" s="287" t="s">
        <v>230</v>
      </c>
      <c r="F249" s="282">
        <v>-38.74</v>
      </c>
      <c r="G249" s="282" t="s">
        <v>22</v>
      </c>
      <c r="H249" s="282" t="str">
        <f t="shared" si="31"/>
        <v>Payment</v>
      </c>
      <c r="I249" s="284">
        <f t="shared" si="30"/>
        <v>1347.5100000000002</v>
      </c>
      <c r="J249" s="282" t="s">
        <v>279</v>
      </c>
      <c r="K249" s="282" t="s">
        <v>627</v>
      </c>
    </row>
    <row r="250" spans="1:11" x14ac:dyDescent="0.2">
      <c r="A250" s="268">
        <f t="shared" si="28"/>
        <v>2021</v>
      </c>
      <c r="B250" s="286">
        <f t="shared" si="29"/>
        <v>5</v>
      </c>
      <c r="C250" s="314">
        <v>44318</v>
      </c>
      <c r="D250" s="314">
        <v>44319</v>
      </c>
      <c r="E250" s="287" t="s">
        <v>103</v>
      </c>
      <c r="F250" s="282">
        <v>1.99</v>
      </c>
      <c r="G250" s="282" t="s">
        <v>26</v>
      </c>
      <c r="H250" s="282" t="str">
        <f t="shared" si="31"/>
        <v>Fixed</v>
      </c>
      <c r="I250" s="284">
        <f t="shared" si="30"/>
        <v>1349.5000000000002</v>
      </c>
      <c r="J250" s="282" t="s">
        <v>93</v>
      </c>
      <c r="K250" s="282" t="s">
        <v>781</v>
      </c>
    </row>
    <row r="251" spans="1:11" x14ac:dyDescent="0.2">
      <c r="A251" s="268">
        <f t="shared" si="28"/>
        <v>2021</v>
      </c>
      <c r="B251" s="286">
        <f t="shared" si="29"/>
        <v>5</v>
      </c>
      <c r="C251" s="314">
        <v>44319</v>
      </c>
      <c r="D251" s="314">
        <v>44319</v>
      </c>
      <c r="E251" s="287" t="s">
        <v>231</v>
      </c>
      <c r="F251" s="282">
        <v>30.73</v>
      </c>
      <c r="G251" s="282" t="s">
        <v>41</v>
      </c>
      <c r="H251" s="282" t="str">
        <f t="shared" si="31"/>
        <v>Variable</v>
      </c>
      <c r="I251" s="284">
        <f t="shared" si="30"/>
        <v>1380.2300000000002</v>
      </c>
      <c r="J251" s="282" t="s">
        <v>330</v>
      </c>
      <c r="K251" s="282" t="s">
        <v>670</v>
      </c>
    </row>
    <row r="252" spans="1:11" x14ac:dyDescent="0.2">
      <c r="A252" s="268">
        <f t="shared" si="28"/>
        <v>2021</v>
      </c>
      <c r="B252" s="286">
        <f t="shared" si="29"/>
        <v>5</v>
      </c>
      <c r="C252" s="314">
        <v>44319</v>
      </c>
      <c r="D252" s="314">
        <v>44319</v>
      </c>
      <c r="E252" s="287" t="s">
        <v>190</v>
      </c>
      <c r="F252" s="282">
        <v>1.5</v>
      </c>
      <c r="G252" s="282" t="s">
        <v>52</v>
      </c>
      <c r="H252" s="282" t="str">
        <f t="shared" si="31"/>
        <v>Variable</v>
      </c>
      <c r="I252" s="284">
        <f t="shared" si="30"/>
        <v>1381.7300000000002</v>
      </c>
      <c r="J252" s="282">
        <v>0</v>
      </c>
      <c r="K252" s="282" t="s">
        <v>628</v>
      </c>
    </row>
    <row r="253" spans="1:11" x14ac:dyDescent="0.2">
      <c r="A253" s="268">
        <f t="shared" si="28"/>
        <v>2021</v>
      </c>
      <c r="B253" s="286">
        <f t="shared" si="29"/>
        <v>5</v>
      </c>
      <c r="C253" s="314">
        <v>44319</v>
      </c>
      <c r="D253" s="314">
        <v>44319</v>
      </c>
      <c r="E253" s="287" t="s">
        <v>60</v>
      </c>
      <c r="F253" s="282">
        <v>27.57</v>
      </c>
      <c r="G253" s="282" t="s">
        <v>24</v>
      </c>
      <c r="H253" s="282" t="str">
        <f t="shared" si="31"/>
        <v>Variable</v>
      </c>
      <c r="I253" s="284">
        <f t="shared" si="30"/>
        <v>1409.3000000000002</v>
      </c>
      <c r="J253" s="282">
        <v>0</v>
      </c>
      <c r="K253" s="281" t="s">
        <v>628</v>
      </c>
    </row>
    <row r="254" spans="1:11" x14ac:dyDescent="0.2">
      <c r="A254" s="268">
        <f t="shared" si="28"/>
        <v>2021</v>
      </c>
      <c r="B254" s="286">
        <f t="shared" si="29"/>
        <v>5</v>
      </c>
      <c r="C254" s="314">
        <v>44319</v>
      </c>
      <c r="D254" s="314">
        <v>44319</v>
      </c>
      <c r="E254" s="287" t="s">
        <v>180</v>
      </c>
      <c r="F254" s="282">
        <v>5.99</v>
      </c>
      <c r="G254" s="282" t="s">
        <v>26</v>
      </c>
      <c r="H254" s="282" t="str">
        <f t="shared" si="31"/>
        <v>Fixed</v>
      </c>
      <c r="I254" s="284">
        <f t="shared" si="30"/>
        <v>1415.2900000000002</v>
      </c>
      <c r="J254" s="282" t="s">
        <v>295</v>
      </c>
      <c r="K254" s="282" t="s">
        <v>781</v>
      </c>
    </row>
    <row r="255" spans="1:11" x14ac:dyDescent="0.2">
      <c r="A255" s="268">
        <f t="shared" si="28"/>
        <v>2021</v>
      </c>
      <c r="B255" s="286">
        <f t="shared" si="29"/>
        <v>5</v>
      </c>
      <c r="C255" s="314">
        <v>44319</v>
      </c>
      <c r="D255" s="314">
        <v>44319</v>
      </c>
      <c r="E255" s="287" t="s">
        <v>232</v>
      </c>
      <c r="F255" s="282">
        <v>54.6</v>
      </c>
      <c r="G255" s="282" t="s">
        <v>26</v>
      </c>
      <c r="H255" s="282" t="str">
        <f t="shared" si="31"/>
        <v>Fixed</v>
      </c>
      <c r="I255" s="284">
        <f t="shared" si="30"/>
        <v>1469.89</v>
      </c>
      <c r="J255" s="282" t="s">
        <v>297</v>
      </c>
      <c r="K255" s="282" t="s">
        <v>781</v>
      </c>
    </row>
    <row r="256" spans="1:11" x14ac:dyDescent="0.2">
      <c r="A256" s="268">
        <f t="shared" si="28"/>
        <v>2021</v>
      </c>
      <c r="B256" s="286">
        <f t="shared" si="29"/>
        <v>5</v>
      </c>
      <c r="C256" s="314">
        <v>44319</v>
      </c>
      <c r="D256" s="314">
        <v>44319</v>
      </c>
      <c r="E256" s="287" t="s">
        <v>84</v>
      </c>
      <c r="F256" s="282">
        <v>73.37</v>
      </c>
      <c r="G256" s="282" t="s">
        <v>89</v>
      </c>
      <c r="H256" s="282" t="str">
        <f t="shared" si="31"/>
        <v>Variable</v>
      </c>
      <c r="I256" s="284">
        <f t="shared" si="30"/>
        <v>1543.2600000000002</v>
      </c>
      <c r="J256" s="282">
        <v>0</v>
      </c>
      <c r="K256" s="282" t="s">
        <v>670</v>
      </c>
    </row>
    <row r="257" spans="1:11" x14ac:dyDescent="0.2">
      <c r="A257" s="268">
        <f t="shared" si="28"/>
        <v>2021</v>
      </c>
      <c r="B257" s="286">
        <f t="shared" si="29"/>
        <v>5</v>
      </c>
      <c r="C257" s="314">
        <v>44320</v>
      </c>
      <c r="D257" s="314">
        <v>44320</v>
      </c>
      <c r="E257" s="287" t="s">
        <v>32</v>
      </c>
      <c r="F257" s="282">
        <v>91.78</v>
      </c>
      <c r="G257" s="282" t="s">
        <v>26</v>
      </c>
      <c r="H257" s="282" t="str">
        <f t="shared" si="31"/>
        <v>Fixed</v>
      </c>
      <c r="I257" s="284">
        <f t="shared" si="30"/>
        <v>1635.0400000000002</v>
      </c>
      <c r="J257" s="282" t="s">
        <v>8</v>
      </c>
      <c r="K257" s="282" t="s">
        <v>628</v>
      </c>
    </row>
    <row r="258" spans="1:11" x14ac:dyDescent="0.2">
      <c r="A258" s="268">
        <f t="shared" ref="A258:A321" si="32">YEAR(C258)</f>
        <v>2021</v>
      </c>
      <c r="B258" s="286">
        <f t="shared" ref="B258:B321" si="33">MONTH(C258)</f>
        <v>5</v>
      </c>
      <c r="C258" s="314">
        <v>44321</v>
      </c>
      <c r="D258" s="314">
        <v>44321</v>
      </c>
      <c r="E258" s="287" t="s">
        <v>21</v>
      </c>
      <c r="F258" s="307">
        <v>-1404.1</v>
      </c>
      <c r="G258" s="282" t="s">
        <v>22</v>
      </c>
      <c r="H258" s="282" t="str">
        <f t="shared" si="31"/>
        <v>Payment</v>
      </c>
      <c r="I258" s="284">
        <f t="shared" si="30"/>
        <v>230.94000000000028</v>
      </c>
      <c r="J258" s="282">
        <v>0</v>
      </c>
      <c r="K258" s="282">
        <v>0</v>
      </c>
    </row>
    <row r="259" spans="1:11" x14ac:dyDescent="0.2">
      <c r="A259" s="268">
        <f t="shared" si="32"/>
        <v>2021</v>
      </c>
      <c r="B259" s="286">
        <f t="shared" si="33"/>
        <v>5</v>
      </c>
      <c r="C259" s="314">
        <v>44323</v>
      </c>
      <c r="D259" s="314">
        <v>44323</v>
      </c>
      <c r="E259" s="287" t="s">
        <v>233</v>
      </c>
      <c r="F259" s="282">
        <v>10.48</v>
      </c>
      <c r="G259" s="282" t="s">
        <v>89</v>
      </c>
      <c r="H259" s="282" t="str">
        <f t="shared" si="31"/>
        <v>Variable</v>
      </c>
      <c r="I259" s="284">
        <f t="shared" si="30"/>
        <v>241.42000000000027</v>
      </c>
      <c r="J259" s="282">
        <v>0</v>
      </c>
      <c r="K259" s="282" t="s">
        <v>670</v>
      </c>
    </row>
    <row r="260" spans="1:11" x14ac:dyDescent="0.2">
      <c r="A260" s="268">
        <f t="shared" si="32"/>
        <v>2021</v>
      </c>
      <c r="B260" s="286">
        <f t="shared" si="33"/>
        <v>5</v>
      </c>
      <c r="C260" s="314">
        <v>44323</v>
      </c>
      <c r="D260" s="314">
        <v>44323</v>
      </c>
      <c r="E260" s="287" t="s">
        <v>183</v>
      </c>
      <c r="F260" s="282">
        <v>94.95</v>
      </c>
      <c r="G260" s="282" t="s">
        <v>67</v>
      </c>
      <c r="H260" s="282" t="str">
        <f t="shared" si="31"/>
        <v>Variable</v>
      </c>
      <c r="I260" s="284">
        <f t="shared" ref="I260:I323" si="34">I259+F260</f>
        <v>336.37000000000029</v>
      </c>
      <c r="J260" s="282">
        <v>0</v>
      </c>
      <c r="K260" s="282" t="s">
        <v>682</v>
      </c>
    </row>
    <row r="261" spans="1:11" x14ac:dyDescent="0.2">
      <c r="A261" s="268">
        <f t="shared" si="32"/>
        <v>2021</v>
      </c>
      <c r="B261" s="286">
        <f t="shared" si="33"/>
        <v>5</v>
      </c>
      <c r="C261" s="314">
        <v>44323</v>
      </c>
      <c r="D261" s="314">
        <v>44323</v>
      </c>
      <c r="E261" s="287" t="s">
        <v>234</v>
      </c>
      <c r="F261" s="282">
        <v>98.48</v>
      </c>
      <c r="G261" s="282" t="s">
        <v>67</v>
      </c>
      <c r="H261" s="282" t="str">
        <f t="shared" si="31"/>
        <v>Variable</v>
      </c>
      <c r="I261" s="284">
        <f t="shared" si="34"/>
        <v>434.85000000000031</v>
      </c>
      <c r="J261" s="282" t="s">
        <v>246</v>
      </c>
      <c r="K261" s="282" t="s">
        <v>697</v>
      </c>
    </row>
    <row r="262" spans="1:11" x14ac:dyDescent="0.2">
      <c r="A262" s="268">
        <f t="shared" si="32"/>
        <v>2021</v>
      </c>
      <c r="B262" s="286">
        <f t="shared" si="33"/>
        <v>5</v>
      </c>
      <c r="C262" s="314">
        <v>44325</v>
      </c>
      <c r="D262" s="314">
        <v>44325</v>
      </c>
      <c r="E262" s="287" t="s">
        <v>235</v>
      </c>
      <c r="F262" s="282">
        <v>110.57</v>
      </c>
      <c r="G262" s="282" t="s">
        <v>67</v>
      </c>
      <c r="H262" s="282" t="str">
        <f t="shared" si="31"/>
        <v>Variable</v>
      </c>
      <c r="I262" s="284">
        <f t="shared" si="34"/>
        <v>545.4200000000003</v>
      </c>
      <c r="J262" s="282" t="s">
        <v>246</v>
      </c>
      <c r="K262" s="282" t="s">
        <v>697</v>
      </c>
    </row>
    <row r="263" spans="1:11" ht="30" x14ac:dyDescent="0.2">
      <c r="A263" s="268">
        <f t="shared" si="32"/>
        <v>2021</v>
      </c>
      <c r="B263" s="286">
        <f t="shared" si="33"/>
        <v>5</v>
      </c>
      <c r="C263" s="314">
        <v>44326</v>
      </c>
      <c r="D263" s="314">
        <v>44326</v>
      </c>
      <c r="E263" s="287" t="s">
        <v>236</v>
      </c>
      <c r="F263" s="282">
        <v>15.89</v>
      </c>
      <c r="G263" s="282" t="s">
        <v>26</v>
      </c>
      <c r="H263" s="282" t="str">
        <f t="shared" si="31"/>
        <v>Fixed</v>
      </c>
      <c r="I263" s="284">
        <f t="shared" si="34"/>
        <v>561.31000000000029</v>
      </c>
      <c r="J263" s="282" t="s">
        <v>292</v>
      </c>
      <c r="K263" s="282" t="s">
        <v>781</v>
      </c>
    </row>
    <row r="264" spans="1:11" x14ac:dyDescent="0.2">
      <c r="A264" s="268">
        <f t="shared" si="32"/>
        <v>2021</v>
      </c>
      <c r="B264" s="286">
        <f t="shared" si="33"/>
        <v>5</v>
      </c>
      <c r="C264" s="314">
        <v>44326</v>
      </c>
      <c r="D264" s="314">
        <v>44326</v>
      </c>
      <c r="E264" s="287" t="s">
        <v>237</v>
      </c>
      <c r="F264" s="282">
        <v>77.94</v>
      </c>
      <c r="G264" s="282" t="s">
        <v>26</v>
      </c>
      <c r="H264" s="282" t="str">
        <f t="shared" si="31"/>
        <v>Fixed</v>
      </c>
      <c r="I264" s="284">
        <f t="shared" si="34"/>
        <v>639.25000000000023</v>
      </c>
      <c r="J264" s="282" t="s">
        <v>281</v>
      </c>
      <c r="K264" s="282" t="s">
        <v>781</v>
      </c>
    </row>
    <row r="265" spans="1:11" x14ac:dyDescent="0.2">
      <c r="A265" s="268">
        <f t="shared" si="32"/>
        <v>2021</v>
      </c>
      <c r="B265" s="286">
        <f t="shared" si="33"/>
        <v>5</v>
      </c>
      <c r="C265" s="314">
        <v>44327</v>
      </c>
      <c r="D265" s="314">
        <v>44327</v>
      </c>
      <c r="E265" s="287" t="s">
        <v>185</v>
      </c>
      <c r="F265" s="282">
        <v>1.52</v>
      </c>
      <c r="G265" s="282" t="s">
        <v>67</v>
      </c>
      <c r="H265" s="282" t="str">
        <f t="shared" si="31"/>
        <v>Variable</v>
      </c>
      <c r="I265" s="284">
        <f t="shared" si="34"/>
        <v>640.77000000000021</v>
      </c>
      <c r="J265" s="282">
        <v>0</v>
      </c>
      <c r="K265" s="282" t="s">
        <v>682</v>
      </c>
    </row>
    <row r="266" spans="1:11" x14ac:dyDescent="0.2">
      <c r="A266" s="268">
        <f t="shared" si="32"/>
        <v>2021</v>
      </c>
      <c r="B266" s="286">
        <f t="shared" si="33"/>
        <v>5</v>
      </c>
      <c r="C266" s="314">
        <v>44327</v>
      </c>
      <c r="D266" s="314">
        <v>44327</v>
      </c>
      <c r="E266" s="287" t="s">
        <v>238</v>
      </c>
      <c r="F266" s="282">
        <v>14.39</v>
      </c>
      <c r="G266" s="282" t="s">
        <v>41</v>
      </c>
      <c r="H266" s="282" t="str">
        <f t="shared" si="31"/>
        <v>Variable</v>
      </c>
      <c r="I266" s="284">
        <f t="shared" si="34"/>
        <v>655.1600000000002</v>
      </c>
      <c r="J266" s="282">
        <v>0</v>
      </c>
      <c r="K266" s="282" t="s">
        <v>670</v>
      </c>
    </row>
    <row r="267" spans="1:11" x14ac:dyDescent="0.2">
      <c r="A267" s="268">
        <f t="shared" si="32"/>
        <v>2021</v>
      </c>
      <c r="B267" s="286">
        <f t="shared" si="33"/>
        <v>5</v>
      </c>
      <c r="C267" s="314">
        <v>44327</v>
      </c>
      <c r="D267" s="314">
        <v>44327</v>
      </c>
      <c r="E267" s="287" t="s">
        <v>128</v>
      </c>
      <c r="F267" s="282">
        <v>86.17</v>
      </c>
      <c r="G267" s="282" t="s">
        <v>129</v>
      </c>
      <c r="H267" s="282" t="str">
        <f t="shared" si="31"/>
        <v>Fixed</v>
      </c>
      <c r="I267" s="284">
        <f t="shared" si="34"/>
        <v>741.33000000000015</v>
      </c>
      <c r="J267" s="282" t="s">
        <v>135</v>
      </c>
      <c r="K267" s="282" t="s">
        <v>628</v>
      </c>
    </row>
    <row r="268" spans="1:11" x14ac:dyDescent="0.2">
      <c r="A268" s="268">
        <f t="shared" si="32"/>
        <v>2021</v>
      </c>
      <c r="B268" s="286">
        <f t="shared" si="33"/>
        <v>5</v>
      </c>
      <c r="C268" s="314">
        <v>44327</v>
      </c>
      <c r="D268" s="314">
        <v>44327</v>
      </c>
      <c r="E268" s="287" t="s">
        <v>97</v>
      </c>
      <c r="F268" s="282">
        <v>13.86</v>
      </c>
      <c r="G268" s="282" t="s">
        <v>67</v>
      </c>
      <c r="H268" s="282" t="str">
        <f t="shared" si="31"/>
        <v>Variable</v>
      </c>
      <c r="I268" s="284">
        <f t="shared" si="34"/>
        <v>755.19000000000017</v>
      </c>
      <c r="J268" s="282" t="s">
        <v>105</v>
      </c>
      <c r="K268" s="282" t="s">
        <v>688</v>
      </c>
    </row>
    <row r="269" spans="1:11" x14ac:dyDescent="0.2">
      <c r="A269" s="268">
        <f t="shared" si="32"/>
        <v>2021</v>
      </c>
      <c r="B269" s="286">
        <f t="shared" si="33"/>
        <v>5</v>
      </c>
      <c r="C269" s="314">
        <v>44328</v>
      </c>
      <c r="D269" s="314">
        <v>44328</v>
      </c>
      <c r="E269" s="287" t="s">
        <v>185</v>
      </c>
      <c r="F269" s="282">
        <v>2</v>
      </c>
      <c r="G269" s="282" t="s">
        <v>67</v>
      </c>
      <c r="H269" s="282" t="str">
        <f t="shared" si="31"/>
        <v>Variable</v>
      </c>
      <c r="I269" s="284">
        <f t="shared" si="34"/>
        <v>757.19000000000017</v>
      </c>
      <c r="J269" s="282">
        <v>0</v>
      </c>
      <c r="K269" s="282" t="s">
        <v>682</v>
      </c>
    </row>
    <row r="270" spans="1:11" x14ac:dyDescent="0.2">
      <c r="A270" s="268">
        <f t="shared" si="32"/>
        <v>2021</v>
      </c>
      <c r="B270" s="286">
        <f t="shared" si="33"/>
        <v>5</v>
      </c>
      <c r="C270" s="314">
        <v>44328</v>
      </c>
      <c r="D270" s="314">
        <v>44328</v>
      </c>
      <c r="E270" s="287" t="s">
        <v>59</v>
      </c>
      <c r="F270" s="282">
        <v>1.99</v>
      </c>
      <c r="G270" s="282" t="s">
        <v>26</v>
      </c>
      <c r="H270" s="282" t="str">
        <f t="shared" si="31"/>
        <v>Fixed</v>
      </c>
      <c r="I270" s="284">
        <f t="shared" si="34"/>
        <v>759.18000000000018</v>
      </c>
      <c r="J270" s="282" t="s">
        <v>282</v>
      </c>
      <c r="K270" s="282" t="s">
        <v>781</v>
      </c>
    </row>
    <row r="271" spans="1:11" x14ac:dyDescent="0.2">
      <c r="A271" s="268">
        <f t="shared" si="32"/>
        <v>2021</v>
      </c>
      <c r="B271" s="286">
        <f t="shared" si="33"/>
        <v>5</v>
      </c>
      <c r="C271" s="314">
        <v>44329</v>
      </c>
      <c r="D271" s="314">
        <v>44329</v>
      </c>
      <c r="E271" s="287" t="s">
        <v>97</v>
      </c>
      <c r="F271" s="282">
        <v>30.28</v>
      </c>
      <c r="G271" s="282" t="s">
        <v>67</v>
      </c>
      <c r="H271" s="282" t="str">
        <f t="shared" si="31"/>
        <v>Variable</v>
      </c>
      <c r="I271" s="284">
        <f t="shared" si="34"/>
        <v>789.46000000000015</v>
      </c>
      <c r="J271" s="282" t="s">
        <v>105</v>
      </c>
      <c r="K271" s="282" t="s">
        <v>688</v>
      </c>
    </row>
    <row r="272" spans="1:11" x14ac:dyDescent="0.2">
      <c r="A272" s="268">
        <f t="shared" si="32"/>
        <v>2021</v>
      </c>
      <c r="B272" s="286">
        <f t="shared" si="33"/>
        <v>5</v>
      </c>
      <c r="C272" s="314">
        <v>44330</v>
      </c>
      <c r="D272" s="314">
        <v>44330</v>
      </c>
      <c r="E272" s="287" t="s">
        <v>239</v>
      </c>
      <c r="F272" s="282">
        <v>90</v>
      </c>
      <c r="G272" s="282" t="s">
        <v>88</v>
      </c>
      <c r="H272" s="282" t="str">
        <f t="shared" si="31"/>
        <v>Variable</v>
      </c>
      <c r="I272" s="284">
        <f t="shared" si="34"/>
        <v>879.46000000000015</v>
      </c>
      <c r="J272" s="282" t="s">
        <v>247</v>
      </c>
      <c r="K272" s="282" t="s">
        <v>627</v>
      </c>
    </row>
    <row r="273" spans="1:11" x14ac:dyDescent="0.2">
      <c r="A273" s="268">
        <f t="shared" si="32"/>
        <v>2021</v>
      </c>
      <c r="B273" s="286">
        <f t="shared" si="33"/>
        <v>5</v>
      </c>
      <c r="C273" s="314">
        <v>44330</v>
      </c>
      <c r="D273" s="314">
        <v>44330</v>
      </c>
      <c r="E273" s="287" t="s">
        <v>240</v>
      </c>
      <c r="F273" s="282">
        <v>19.73</v>
      </c>
      <c r="G273" s="282" t="s">
        <v>41</v>
      </c>
      <c r="H273" s="282" t="str">
        <f t="shared" si="31"/>
        <v>Variable</v>
      </c>
      <c r="I273" s="284">
        <f t="shared" si="34"/>
        <v>899.19000000000017</v>
      </c>
      <c r="J273" s="282">
        <v>0</v>
      </c>
      <c r="K273" s="282" t="s">
        <v>670</v>
      </c>
    </row>
    <row r="274" spans="1:11" x14ac:dyDescent="0.2">
      <c r="A274" s="268">
        <f t="shared" si="32"/>
        <v>2021</v>
      </c>
      <c r="B274" s="286">
        <f t="shared" si="33"/>
        <v>5</v>
      </c>
      <c r="C274" s="314">
        <v>44330</v>
      </c>
      <c r="D274" s="314">
        <v>44330</v>
      </c>
      <c r="E274" s="287" t="s">
        <v>241</v>
      </c>
      <c r="F274" s="282">
        <v>7.61</v>
      </c>
      <c r="G274" s="282" t="s">
        <v>67</v>
      </c>
      <c r="H274" s="282" t="str">
        <f t="shared" si="31"/>
        <v>Variable</v>
      </c>
      <c r="I274" s="284">
        <f t="shared" si="34"/>
        <v>906.80000000000018</v>
      </c>
      <c r="J274" s="282" t="s">
        <v>248</v>
      </c>
      <c r="K274" s="282" t="s">
        <v>688</v>
      </c>
    </row>
    <row r="275" spans="1:11" x14ac:dyDescent="0.2">
      <c r="A275" s="268">
        <f t="shared" si="32"/>
        <v>2021</v>
      </c>
      <c r="B275" s="286">
        <f t="shared" si="33"/>
        <v>5</v>
      </c>
      <c r="C275" s="314">
        <v>44330</v>
      </c>
      <c r="D275" s="314">
        <v>44330</v>
      </c>
      <c r="E275" s="287" t="s">
        <v>242</v>
      </c>
      <c r="F275" s="282">
        <v>16</v>
      </c>
      <c r="G275" s="282" t="s">
        <v>129</v>
      </c>
      <c r="H275" s="282" t="str">
        <f t="shared" si="31"/>
        <v>Fixed</v>
      </c>
      <c r="I275" s="284">
        <f t="shared" si="34"/>
        <v>922.80000000000018</v>
      </c>
      <c r="J275" s="282" t="s">
        <v>290</v>
      </c>
      <c r="K275" s="282" t="s">
        <v>628</v>
      </c>
    </row>
    <row r="276" spans="1:11" x14ac:dyDescent="0.2">
      <c r="A276" s="268">
        <f t="shared" si="32"/>
        <v>2021</v>
      </c>
      <c r="B276" s="286">
        <f t="shared" si="33"/>
        <v>5</v>
      </c>
      <c r="C276" s="314">
        <v>44331</v>
      </c>
      <c r="D276" s="314">
        <v>44331</v>
      </c>
      <c r="E276" s="287" t="s">
        <v>243</v>
      </c>
      <c r="F276" s="282">
        <v>12.64</v>
      </c>
      <c r="G276" s="282" t="s">
        <v>67</v>
      </c>
      <c r="H276" s="282" t="str">
        <f t="shared" si="31"/>
        <v>Variable</v>
      </c>
      <c r="I276" s="284">
        <f t="shared" si="34"/>
        <v>935.44000000000017</v>
      </c>
      <c r="J276" s="282" t="s">
        <v>249</v>
      </c>
      <c r="K276" s="282" t="s">
        <v>688</v>
      </c>
    </row>
    <row r="277" spans="1:11" ht="30" x14ac:dyDescent="0.2">
      <c r="A277" s="268">
        <f t="shared" si="32"/>
        <v>2021</v>
      </c>
      <c r="B277" s="286">
        <f t="shared" si="33"/>
        <v>5</v>
      </c>
      <c r="C277" s="314">
        <v>44332</v>
      </c>
      <c r="D277" s="314">
        <v>44332</v>
      </c>
      <c r="E277" s="287" t="s">
        <v>244</v>
      </c>
      <c r="F277" s="282">
        <v>31.79</v>
      </c>
      <c r="G277" s="282" t="s">
        <v>26</v>
      </c>
      <c r="H277" s="282" t="str">
        <f t="shared" si="31"/>
        <v>Fixed</v>
      </c>
      <c r="I277" s="284">
        <f t="shared" si="34"/>
        <v>967.23000000000013</v>
      </c>
      <c r="J277" s="282" t="s">
        <v>308</v>
      </c>
      <c r="K277" s="282" t="s">
        <v>781</v>
      </c>
    </row>
    <row r="278" spans="1:11" x14ac:dyDescent="0.2">
      <c r="A278" s="268">
        <f t="shared" si="32"/>
        <v>2021</v>
      </c>
      <c r="B278" s="286">
        <f t="shared" si="33"/>
        <v>5</v>
      </c>
      <c r="C278" s="314">
        <v>44332</v>
      </c>
      <c r="D278" s="314">
        <v>44332</v>
      </c>
      <c r="E278" s="287" t="s">
        <v>245</v>
      </c>
      <c r="F278" s="282">
        <v>8.27</v>
      </c>
      <c r="G278" s="282" t="s">
        <v>41</v>
      </c>
      <c r="H278" s="282" t="str">
        <f t="shared" si="31"/>
        <v>Variable</v>
      </c>
      <c r="I278" s="284">
        <f t="shared" si="34"/>
        <v>975.50000000000011</v>
      </c>
      <c r="J278" s="282">
        <v>0</v>
      </c>
      <c r="K278" s="282" t="s">
        <v>670</v>
      </c>
    </row>
    <row r="279" spans="1:11" x14ac:dyDescent="0.2">
      <c r="A279" s="268">
        <f t="shared" si="32"/>
        <v>2021</v>
      </c>
      <c r="B279" s="286">
        <f t="shared" si="33"/>
        <v>5</v>
      </c>
      <c r="C279" s="314">
        <v>44333</v>
      </c>
      <c r="D279" s="314">
        <v>44333</v>
      </c>
      <c r="E279" s="287" t="s">
        <v>250</v>
      </c>
      <c r="F279" s="282">
        <v>31.79</v>
      </c>
      <c r="G279" s="282" t="s">
        <v>194</v>
      </c>
      <c r="H279" s="282" t="str">
        <f t="shared" si="31"/>
        <v>Variable</v>
      </c>
      <c r="I279" s="284">
        <f t="shared" si="34"/>
        <v>1007.2900000000001</v>
      </c>
      <c r="J279" s="282" t="s">
        <v>283</v>
      </c>
      <c r="K279" s="282" t="s">
        <v>688</v>
      </c>
    </row>
    <row r="280" spans="1:11" x14ac:dyDescent="0.2">
      <c r="A280" s="268">
        <f t="shared" si="32"/>
        <v>2021</v>
      </c>
      <c r="B280" s="286">
        <f t="shared" si="33"/>
        <v>5</v>
      </c>
      <c r="C280" s="314">
        <v>44333</v>
      </c>
      <c r="D280" s="314">
        <v>44333</v>
      </c>
      <c r="E280" s="287" t="s">
        <v>97</v>
      </c>
      <c r="F280" s="282">
        <v>22.71</v>
      </c>
      <c r="G280" s="282" t="s">
        <v>67</v>
      </c>
      <c r="H280" s="282" t="str">
        <f t="shared" si="31"/>
        <v>Variable</v>
      </c>
      <c r="I280" s="284">
        <f t="shared" si="34"/>
        <v>1030</v>
      </c>
      <c r="J280" s="282" t="s">
        <v>105</v>
      </c>
      <c r="K280" s="282" t="s">
        <v>688</v>
      </c>
    </row>
    <row r="281" spans="1:11" ht="17.25" customHeight="1" x14ac:dyDescent="0.2">
      <c r="A281" s="268">
        <f t="shared" si="32"/>
        <v>2021</v>
      </c>
      <c r="B281" s="286">
        <f t="shared" si="33"/>
        <v>5</v>
      </c>
      <c r="C281" s="314">
        <v>44334</v>
      </c>
      <c r="D281" s="314">
        <v>44334</v>
      </c>
      <c r="E281" s="287" t="s">
        <v>99</v>
      </c>
      <c r="F281" s="282">
        <v>86.25</v>
      </c>
      <c r="G281" s="282" t="s">
        <v>26</v>
      </c>
      <c r="H281" s="282" t="str">
        <f t="shared" si="31"/>
        <v>Fixed</v>
      </c>
      <c r="I281" s="284">
        <f t="shared" si="34"/>
        <v>1116.25</v>
      </c>
      <c r="J281" s="282" t="s">
        <v>293</v>
      </c>
      <c r="K281" s="282" t="s">
        <v>781</v>
      </c>
    </row>
    <row r="282" spans="1:11" x14ac:dyDescent="0.2">
      <c r="A282" s="268">
        <f t="shared" si="32"/>
        <v>2021</v>
      </c>
      <c r="B282" s="286">
        <f t="shared" si="33"/>
        <v>5</v>
      </c>
      <c r="C282" s="314">
        <v>44335</v>
      </c>
      <c r="D282" s="314">
        <v>44335</v>
      </c>
      <c r="E282" s="287" t="s">
        <v>251</v>
      </c>
      <c r="F282" s="282">
        <v>12.71</v>
      </c>
      <c r="G282" s="282" t="s">
        <v>129</v>
      </c>
      <c r="H282" s="282" t="str">
        <f t="shared" ref="H282:H345" si="35">VLOOKUP(G282,Expense_Lookup,2,0)</f>
        <v>Fixed</v>
      </c>
      <c r="I282" s="284">
        <f t="shared" si="34"/>
        <v>1128.96</v>
      </c>
      <c r="J282" s="282">
        <v>0</v>
      </c>
      <c r="K282" s="282" t="s">
        <v>628</v>
      </c>
    </row>
    <row r="283" spans="1:11" x14ac:dyDescent="0.2">
      <c r="A283" s="268">
        <f t="shared" si="32"/>
        <v>2021</v>
      </c>
      <c r="B283" s="286">
        <f t="shared" si="33"/>
        <v>5</v>
      </c>
      <c r="C283" s="314">
        <v>44335</v>
      </c>
      <c r="D283" s="314">
        <v>44335</v>
      </c>
      <c r="E283" s="287" t="s">
        <v>252</v>
      </c>
      <c r="F283" s="282">
        <v>91.85</v>
      </c>
      <c r="G283" s="281" t="s">
        <v>56</v>
      </c>
      <c r="H283" s="282" t="str">
        <f t="shared" si="35"/>
        <v>Variable</v>
      </c>
      <c r="I283" s="284">
        <f t="shared" si="34"/>
        <v>1220.81</v>
      </c>
      <c r="J283" s="282" t="s">
        <v>35</v>
      </c>
      <c r="K283" s="281" t="s">
        <v>697</v>
      </c>
    </row>
    <row r="284" spans="1:11" x14ac:dyDescent="0.2">
      <c r="A284" s="268">
        <f t="shared" si="32"/>
        <v>2021</v>
      </c>
      <c r="B284" s="286">
        <f t="shared" si="33"/>
        <v>5</v>
      </c>
      <c r="C284" s="314">
        <v>44335</v>
      </c>
      <c r="D284" s="314">
        <v>44335</v>
      </c>
      <c r="E284" s="287" t="s">
        <v>97</v>
      </c>
      <c r="F284" s="282">
        <v>68.849999999999994</v>
      </c>
      <c r="G284" s="282" t="s">
        <v>67</v>
      </c>
      <c r="H284" s="282" t="str">
        <f t="shared" si="35"/>
        <v>Variable</v>
      </c>
      <c r="I284" s="284">
        <f t="shared" si="34"/>
        <v>1289.6599999999999</v>
      </c>
      <c r="J284" s="282" t="s">
        <v>105</v>
      </c>
      <c r="K284" s="282" t="s">
        <v>688</v>
      </c>
    </row>
    <row r="285" spans="1:11" x14ac:dyDescent="0.2">
      <c r="A285" s="268">
        <f t="shared" si="32"/>
        <v>2021</v>
      </c>
      <c r="B285" s="286">
        <f t="shared" si="33"/>
        <v>5</v>
      </c>
      <c r="C285" s="314">
        <v>44335</v>
      </c>
      <c r="D285" s="314">
        <v>44335</v>
      </c>
      <c r="E285" s="287" t="s">
        <v>253</v>
      </c>
      <c r="F285" s="282">
        <v>22.58</v>
      </c>
      <c r="G285" s="282" t="s">
        <v>194</v>
      </c>
      <c r="H285" s="282" t="str">
        <f t="shared" si="35"/>
        <v>Variable</v>
      </c>
      <c r="I285" s="284">
        <f t="shared" si="34"/>
        <v>1312.2399999999998</v>
      </c>
      <c r="J285" s="282">
        <v>0</v>
      </c>
      <c r="K285" s="282" t="s">
        <v>688</v>
      </c>
    </row>
    <row r="286" spans="1:11" x14ac:dyDescent="0.2">
      <c r="A286" s="268">
        <f t="shared" si="32"/>
        <v>2021</v>
      </c>
      <c r="B286" s="286">
        <f t="shared" si="33"/>
        <v>5</v>
      </c>
      <c r="C286" s="314">
        <v>44336</v>
      </c>
      <c r="D286" s="314">
        <v>44336</v>
      </c>
      <c r="E286" s="287" t="s">
        <v>60</v>
      </c>
      <c r="F286" s="282">
        <v>17.87</v>
      </c>
      <c r="G286" s="282" t="s">
        <v>24</v>
      </c>
      <c r="H286" s="282" t="str">
        <f t="shared" si="35"/>
        <v>Variable</v>
      </c>
      <c r="I286" s="284">
        <f t="shared" si="34"/>
        <v>1330.1099999999997</v>
      </c>
      <c r="J286" s="282">
        <v>0</v>
      </c>
      <c r="K286" s="281" t="s">
        <v>628</v>
      </c>
    </row>
    <row r="287" spans="1:11" x14ac:dyDescent="0.2">
      <c r="A287" s="268">
        <f t="shared" si="32"/>
        <v>2021</v>
      </c>
      <c r="B287" s="286">
        <f t="shared" si="33"/>
        <v>5</v>
      </c>
      <c r="C287" s="314">
        <v>44336</v>
      </c>
      <c r="D287" s="314">
        <v>44336</v>
      </c>
      <c r="E287" s="287" t="s">
        <v>254</v>
      </c>
      <c r="F287" s="282">
        <v>26.97</v>
      </c>
      <c r="G287" s="282" t="s">
        <v>89</v>
      </c>
      <c r="H287" s="282" t="str">
        <f t="shared" si="35"/>
        <v>Variable</v>
      </c>
      <c r="I287" s="284">
        <f t="shared" si="34"/>
        <v>1357.0799999999997</v>
      </c>
      <c r="J287" s="282">
        <v>0</v>
      </c>
      <c r="K287" s="282" t="s">
        <v>670</v>
      </c>
    </row>
    <row r="288" spans="1:11" x14ac:dyDescent="0.2">
      <c r="A288" s="268">
        <f t="shared" si="32"/>
        <v>2021</v>
      </c>
      <c r="B288" s="286">
        <f t="shared" si="33"/>
        <v>5</v>
      </c>
      <c r="C288" s="314">
        <v>44337</v>
      </c>
      <c r="D288" s="314">
        <v>44337</v>
      </c>
      <c r="E288" s="287" t="s">
        <v>255</v>
      </c>
      <c r="F288" s="282">
        <v>16</v>
      </c>
      <c r="G288" s="282" t="s">
        <v>41</v>
      </c>
      <c r="H288" s="282" t="str">
        <f t="shared" si="35"/>
        <v>Variable</v>
      </c>
      <c r="I288" s="284">
        <f t="shared" si="34"/>
        <v>1373.0799999999997</v>
      </c>
      <c r="J288" s="282">
        <v>0</v>
      </c>
      <c r="K288" s="282" t="s">
        <v>670</v>
      </c>
    </row>
    <row r="289" spans="1:11" x14ac:dyDescent="0.2">
      <c r="A289" s="268">
        <f t="shared" si="32"/>
        <v>2021</v>
      </c>
      <c r="B289" s="286">
        <f t="shared" si="33"/>
        <v>5</v>
      </c>
      <c r="C289" s="314">
        <v>44337</v>
      </c>
      <c r="D289" s="314">
        <v>44337</v>
      </c>
      <c r="E289" s="287" t="s">
        <v>80</v>
      </c>
      <c r="F289" s="282">
        <v>7.99</v>
      </c>
      <c r="G289" s="282" t="s">
        <v>26</v>
      </c>
      <c r="H289" s="282" t="str">
        <f t="shared" si="35"/>
        <v>Fixed</v>
      </c>
      <c r="I289" s="284">
        <f t="shared" si="34"/>
        <v>1381.0699999999997</v>
      </c>
      <c r="J289" s="282" t="s">
        <v>9</v>
      </c>
      <c r="K289" s="282" t="s">
        <v>781</v>
      </c>
    </row>
    <row r="290" spans="1:11" x14ac:dyDescent="0.2">
      <c r="A290" s="268">
        <f t="shared" si="32"/>
        <v>2021</v>
      </c>
      <c r="B290" s="286">
        <f t="shared" si="33"/>
        <v>5</v>
      </c>
      <c r="C290" s="314">
        <v>44337</v>
      </c>
      <c r="D290" s="314">
        <v>44337</v>
      </c>
      <c r="E290" s="287" t="s">
        <v>256</v>
      </c>
      <c r="F290" s="282">
        <v>31.25</v>
      </c>
      <c r="G290" s="282" t="s">
        <v>24</v>
      </c>
      <c r="H290" s="282" t="str">
        <f t="shared" si="35"/>
        <v>Variable</v>
      </c>
      <c r="I290" s="284">
        <f t="shared" si="34"/>
        <v>1412.3199999999997</v>
      </c>
      <c r="J290" s="282">
        <v>0</v>
      </c>
      <c r="K290" s="281" t="s">
        <v>628</v>
      </c>
    </row>
    <row r="291" spans="1:11" x14ac:dyDescent="0.2">
      <c r="A291" s="268">
        <f t="shared" si="32"/>
        <v>2021</v>
      </c>
      <c r="B291" s="286">
        <f t="shared" si="33"/>
        <v>5</v>
      </c>
      <c r="C291" s="314">
        <v>44338</v>
      </c>
      <c r="D291" s="314">
        <v>44338</v>
      </c>
      <c r="E291" s="287" t="s">
        <v>257</v>
      </c>
      <c r="F291" s="282">
        <v>50.7</v>
      </c>
      <c r="G291" s="282" t="s">
        <v>67</v>
      </c>
      <c r="H291" s="282" t="str">
        <f t="shared" si="35"/>
        <v>Variable</v>
      </c>
      <c r="I291" s="284">
        <f t="shared" si="34"/>
        <v>1463.0199999999998</v>
      </c>
      <c r="J291" s="282" t="s">
        <v>284</v>
      </c>
      <c r="K291" s="282" t="s">
        <v>688</v>
      </c>
    </row>
    <row r="292" spans="1:11" x14ac:dyDescent="0.2">
      <c r="A292" s="268">
        <f t="shared" si="32"/>
        <v>2021</v>
      </c>
      <c r="B292" s="286">
        <f t="shared" si="33"/>
        <v>5</v>
      </c>
      <c r="C292" s="314">
        <v>44338</v>
      </c>
      <c r="D292" s="314">
        <v>44338</v>
      </c>
      <c r="E292" s="287" t="s">
        <v>258</v>
      </c>
      <c r="F292" s="282">
        <v>37.89</v>
      </c>
      <c r="G292" s="282" t="s">
        <v>67</v>
      </c>
      <c r="H292" s="282" t="str">
        <f t="shared" si="35"/>
        <v>Variable</v>
      </c>
      <c r="I292" s="284">
        <f t="shared" si="34"/>
        <v>1500.9099999999999</v>
      </c>
      <c r="J292" s="282" t="s">
        <v>285</v>
      </c>
      <c r="K292" s="282" t="s">
        <v>688</v>
      </c>
    </row>
    <row r="293" spans="1:11" x14ac:dyDescent="0.2">
      <c r="A293" s="268">
        <f t="shared" si="32"/>
        <v>2021</v>
      </c>
      <c r="B293" s="286">
        <f t="shared" si="33"/>
        <v>5</v>
      </c>
      <c r="C293" s="314">
        <v>44339</v>
      </c>
      <c r="D293" s="314">
        <v>44339</v>
      </c>
      <c r="E293" s="287" t="s">
        <v>195</v>
      </c>
      <c r="F293" s="282">
        <v>35</v>
      </c>
      <c r="G293" s="282" t="s">
        <v>52</v>
      </c>
      <c r="H293" s="282" t="str">
        <f t="shared" si="35"/>
        <v>Variable</v>
      </c>
      <c r="I293" s="284">
        <f t="shared" si="34"/>
        <v>1535.9099999999999</v>
      </c>
      <c r="J293" s="282" t="s">
        <v>297</v>
      </c>
      <c r="K293" s="282" t="s">
        <v>628</v>
      </c>
    </row>
    <row r="294" spans="1:11" x14ac:dyDescent="0.2">
      <c r="A294" s="268">
        <f t="shared" si="32"/>
        <v>2021</v>
      </c>
      <c r="B294" s="286">
        <f t="shared" si="33"/>
        <v>5</v>
      </c>
      <c r="C294" s="314">
        <v>44340</v>
      </c>
      <c r="D294" s="314">
        <v>44340</v>
      </c>
      <c r="E294" s="287" t="s">
        <v>185</v>
      </c>
      <c r="F294" s="282">
        <v>2</v>
      </c>
      <c r="G294" s="282" t="s">
        <v>67</v>
      </c>
      <c r="H294" s="282" t="str">
        <f t="shared" si="35"/>
        <v>Variable</v>
      </c>
      <c r="I294" s="284">
        <f t="shared" si="34"/>
        <v>1537.9099999999999</v>
      </c>
      <c r="J294" s="282">
        <v>0</v>
      </c>
      <c r="K294" s="282" t="s">
        <v>682</v>
      </c>
    </row>
    <row r="295" spans="1:11" x14ac:dyDescent="0.2">
      <c r="A295" s="268">
        <f t="shared" si="32"/>
        <v>2021</v>
      </c>
      <c r="B295" s="286">
        <f t="shared" si="33"/>
        <v>5</v>
      </c>
      <c r="C295" s="314">
        <v>44340</v>
      </c>
      <c r="D295" s="314">
        <v>44340</v>
      </c>
      <c r="E295" s="287" t="s">
        <v>21</v>
      </c>
      <c r="F295" s="307">
        <v>-1412.32</v>
      </c>
      <c r="G295" s="282" t="s">
        <v>22</v>
      </c>
      <c r="H295" s="282" t="str">
        <f t="shared" si="35"/>
        <v>Payment</v>
      </c>
      <c r="I295" s="284">
        <f t="shared" si="34"/>
        <v>125.58999999999992</v>
      </c>
      <c r="J295" s="282">
        <v>0</v>
      </c>
      <c r="K295" s="282">
        <v>0</v>
      </c>
    </row>
    <row r="296" spans="1:11" x14ac:dyDescent="0.2">
      <c r="A296" s="268">
        <f t="shared" si="32"/>
        <v>2021</v>
      </c>
      <c r="B296" s="286">
        <f t="shared" si="33"/>
        <v>5</v>
      </c>
      <c r="C296" s="314">
        <v>44340</v>
      </c>
      <c r="D296" s="314">
        <v>44340</v>
      </c>
      <c r="E296" s="287" t="s">
        <v>259</v>
      </c>
      <c r="F296" s="282">
        <v>12.59</v>
      </c>
      <c r="G296" s="282" t="s">
        <v>41</v>
      </c>
      <c r="H296" s="282" t="str">
        <f t="shared" si="35"/>
        <v>Variable</v>
      </c>
      <c r="I296" s="284">
        <f t="shared" si="34"/>
        <v>138.17999999999992</v>
      </c>
      <c r="J296" s="282">
        <v>0</v>
      </c>
      <c r="K296" s="282" t="s">
        <v>670</v>
      </c>
    </row>
    <row r="297" spans="1:11" ht="30" x14ac:dyDescent="0.2">
      <c r="A297" s="268">
        <f t="shared" si="32"/>
        <v>2021</v>
      </c>
      <c r="B297" s="286">
        <f t="shared" si="33"/>
        <v>5</v>
      </c>
      <c r="C297" s="314">
        <v>44341</v>
      </c>
      <c r="D297" s="314">
        <v>44341</v>
      </c>
      <c r="E297" s="287" t="s">
        <v>260</v>
      </c>
      <c r="F297" s="282">
        <v>5.29</v>
      </c>
      <c r="G297" s="282" t="s">
        <v>26</v>
      </c>
      <c r="H297" s="282" t="str">
        <f t="shared" si="35"/>
        <v>Fixed</v>
      </c>
      <c r="I297" s="284">
        <f t="shared" si="34"/>
        <v>143.46999999999991</v>
      </c>
      <c r="J297" s="282" t="s">
        <v>307</v>
      </c>
      <c r="K297" s="282" t="s">
        <v>781</v>
      </c>
    </row>
    <row r="298" spans="1:11" x14ac:dyDescent="0.2">
      <c r="A298" s="268">
        <f t="shared" si="32"/>
        <v>2021</v>
      </c>
      <c r="B298" s="286">
        <f t="shared" si="33"/>
        <v>5</v>
      </c>
      <c r="C298" s="314">
        <v>44341</v>
      </c>
      <c r="D298" s="314">
        <v>44341</v>
      </c>
      <c r="E298" s="287" t="s">
        <v>195</v>
      </c>
      <c r="F298" s="282">
        <v>35</v>
      </c>
      <c r="G298" s="282" t="s">
        <v>52</v>
      </c>
      <c r="H298" s="282" t="str">
        <f t="shared" si="35"/>
        <v>Variable</v>
      </c>
      <c r="I298" s="284">
        <f t="shared" si="34"/>
        <v>178.46999999999991</v>
      </c>
      <c r="J298" s="282" t="s">
        <v>297</v>
      </c>
      <c r="K298" s="282" t="s">
        <v>628</v>
      </c>
    </row>
    <row r="299" spans="1:11" x14ac:dyDescent="0.2">
      <c r="A299" s="268">
        <f t="shared" si="32"/>
        <v>2021</v>
      </c>
      <c r="B299" s="286">
        <f t="shared" si="33"/>
        <v>5</v>
      </c>
      <c r="C299" s="314">
        <v>44341</v>
      </c>
      <c r="D299" s="314">
        <v>44341</v>
      </c>
      <c r="E299" s="287" t="s">
        <v>203</v>
      </c>
      <c r="F299" s="282">
        <v>12.59</v>
      </c>
      <c r="G299" s="282" t="s">
        <v>41</v>
      </c>
      <c r="H299" s="282" t="str">
        <f t="shared" si="35"/>
        <v>Variable</v>
      </c>
      <c r="I299" s="284">
        <f t="shared" si="34"/>
        <v>191.05999999999992</v>
      </c>
      <c r="J299" s="282">
        <v>0</v>
      </c>
      <c r="K299" s="282" t="s">
        <v>670</v>
      </c>
    </row>
    <row r="300" spans="1:11" x14ac:dyDescent="0.2">
      <c r="A300" s="268">
        <f t="shared" si="32"/>
        <v>2021</v>
      </c>
      <c r="B300" s="286">
        <f t="shared" si="33"/>
        <v>5</v>
      </c>
      <c r="C300" s="314">
        <v>44341</v>
      </c>
      <c r="D300" s="314">
        <v>44341</v>
      </c>
      <c r="E300" s="287" t="s">
        <v>261</v>
      </c>
      <c r="F300" s="282">
        <v>22.25</v>
      </c>
      <c r="G300" s="282" t="s">
        <v>67</v>
      </c>
      <c r="H300" s="282" t="str">
        <f t="shared" si="35"/>
        <v>Variable</v>
      </c>
      <c r="I300" s="284">
        <f t="shared" si="34"/>
        <v>213.30999999999992</v>
      </c>
      <c r="J300" s="282">
        <v>0</v>
      </c>
      <c r="K300" s="282" t="s">
        <v>688</v>
      </c>
    </row>
    <row r="301" spans="1:11" x14ac:dyDescent="0.2">
      <c r="A301" s="268">
        <f t="shared" si="32"/>
        <v>2021</v>
      </c>
      <c r="B301" s="286">
        <f t="shared" si="33"/>
        <v>5</v>
      </c>
      <c r="C301" s="314">
        <v>44342</v>
      </c>
      <c r="D301" s="314">
        <v>44342</v>
      </c>
      <c r="E301" s="287" t="s">
        <v>203</v>
      </c>
      <c r="F301" s="282">
        <v>17.37</v>
      </c>
      <c r="G301" s="282" t="s">
        <v>41</v>
      </c>
      <c r="H301" s="282" t="str">
        <f t="shared" si="35"/>
        <v>Variable</v>
      </c>
      <c r="I301" s="284">
        <f t="shared" si="34"/>
        <v>230.67999999999992</v>
      </c>
      <c r="J301" s="282">
        <v>0</v>
      </c>
      <c r="K301" s="282" t="s">
        <v>670</v>
      </c>
    </row>
    <row r="302" spans="1:11" x14ac:dyDescent="0.2">
      <c r="A302" s="268">
        <f t="shared" si="32"/>
        <v>2021</v>
      </c>
      <c r="B302" s="286">
        <f t="shared" si="33"/>
        <v>5</v>
      </c>
      <c r="C302" s="314">
        <v>44343</v>
      </c>
      <c r="D302" s="314">
        <v>44343</v>
      </c>
      <c r="E302" s="287" t="s">
        <v>111</v>
      </c>
      <c r="F302" s="282">
        <v>9.99</v>
      </c>
      <c r="G302" s="282" t="s">
        <v>26</v>
      </c>
      <c r="H302" s="282" t="str">
        <f t="shared" si="35"/>
        <v>Fixed</v>
      </c>
      <c r="I302" s="284">
        <f t="shared" si="34"/>
        <v>240.66999999999993</v>
      </c>
      <c r="J302" s="282" t="s">
        <v>294</v>
      </c>
      <c r="K302" s="282" t="s">
        <v>781</v>
      </c>
    </row>
    <row r="303" spans="1:11" ht="30" x14ac:dyDescent="0.2">
      <c r="A303" s="268">
        <f t="shared" si="32"/>
        <v>2021</v>
      </c>
      <c r="B303" s="286">
        <f t="shared" si="33"/>
        <v>5</v>
      </c>
      <c r="C303" s="314">
        <v>44343</v>
      </c>
      <c r="D303" s="314">
        <v>44343</v>
      </c>
      <c r="E303" s="287" t="s">
        <v>262</v>
      </c>
      <c r="F303" s="282">
        <v>26.35</v>
      </c>
      <c r="G303" s="282" t="s">
        <v>118</v>
      </c>
      <c r="H303" s="282" t="str">
        <f t="shared" si="35"/>
        <v>Variable</v>
      </c>
      <c r="I303" s="284">
        <f t="shared" si="34"/>
        <v>267.01999999999992</v>
      </c>
      <c r="J303" s="282">
        <v>0</v>
      </c>
      <c r="K303" s="282" t="s">
        <v>692</v>
      </c>
    </row>
    <row r="304" spans="1:11" x14ac:dyDescent="0.2">
      <c r="A304" s="268">
        <f t="shared" si="32"/>
        <v>2021</v>
      </c>
      <c r="B304" s="286">
        <f t="shared" si="33"/>
        <v>5</v>
      </c>
      <c r="C304" s="314">
        <v>44344</v>
      </c>
      <c r="D304" s="314">
        <v>44344</v>
      </c>
      <c r="E304" s="287" t="s">
        <v>263</v>
      </c>
      <c r="F304" s="282">
        <v>286.31</v>
      </c>
      <c r="G304" s="282" t="s">
        <v>129</v>
      </c>
      <c r="H304" s="282" t="str">
        <f t="shared" si="35"/>
        <v>Fixed</v>
      </c>
      <c r="I304" s="284">
        <f t="shared" si="34"/>
        <v>553.32999999999993</v>
      </c>
      <c r="J304" s="282" t="s">
        <v>286</v>
      </c>
      <c r="K304" s="282" t="s">
        <v>628</v>
      </c>
    </row>
    <row r="305" spans="1:11" x14ac:dyDescent="0.2">
      <c r="A305" s="268">
        <f t="shared" si="32"/>
        <v>2021</v>
      </c>
      <c r="B305" s="286">
        <f t="shared" si="33"/>
        <v>5</v>
      </c>
      <c r="C305" s="314">
        <v>44344</v>
      </c>
      <c r="D305" s="314">
        <v>44344</v>
      </c>
      <c r="E305" s="287" t="s">
        <v>264</v>
      </c>
      <c r="F305" s="282">
        <v>21.24</v>
      </c>
      <c r="G305" s="282" t="s">
        <v>88</v>
      </c>
      <c r="H305" s="282" t="str">
        <f t="shared" si="35"/>
        <v>Variable</v>
      </c>
      <c r="I305" s="284">
        <f t="shared" si="34"/>
        <v>574.56999999999994</v>
      </c>
      <c r="J305" s="282">
        <v>0</v>
      </c>
      <c r="K305" s="282" t="s">
        <v>628</v>
      </c>
    </row>
    <row r="306" spans="1:11" x14ac:dyDescent="0.2">
      <c r="A306" s="268">
        <f t="shared" si="32"/>
        <v>2021</v>
      </c>
      <c r="B306" s="286">
        <f t="shared" si="33"/>
        <v>5</v>
      </c>
      <c r="C306" s="314">
        <v>44344</v>
      </c>
      <c r="D306" s="314">
        <v>44344</v>
      </c>
      <c r="E306" s="287" t="s">
        <v>265</v>
      </c>
      <c r="F306" s="282">
        <v>51.77</v>
      </c>
      <c r="G306" s="282" t="s">
        <v>67</v>
      </c>
      <c r="H306" s="282" t="str">
        <f t="shared" si="35"/>
        <v>Variable</v>
      </c>
      <c r="I306" s="284">
        <f t="shared" si="34"/>
        <v>626.33999999999992</v>
      </c>
      <c r="J306" s="282">
        <v>0</v>
      </c>
      <c r="K306" s="282" t="s">
        <v>688</v>
      </c>
    </row>
    <row r="307" spans="1:11" x14ac:dyDescent="0.2">
      <c r="A307" s="268">
        <f t="shared" si="32"/>
        <v>2021</v>
      </c>
      <c r="B307" s="286">
        <f t="shared" si="33"/>
        <v>5</v>
      </c>
      <c r="C307" s="314">
        <v>44345</v>
      </c>
      <c r="D307" s="314">
        <v>44345</v>
      </c>
      <c r="E307" s="287" t="s">
        <v>60</v>
      </c>
      <c r="F307" s="282">
        <v>28.92</v>
      </c>
      <c r="G307" s="282" t="s">
        <v>24</v>
      </c>
      <c r="H307" s="282" t="str">
        <f t="shared" si="35"/>
        <v>Variable</v>
      </c>
      <c r="I307" s="284">
        <f t="shared" si="34"/>
        <v>655.25999999999988</v>
      </c>
      <c r="J307" s="282">
        <v>0</v>
      </c>
      <c r="K307" s="281" t="s">
        <v>628</v>
      </c>
    </row>
    <row r="308" spans="1:11" x14ac:dyDescent="0.2">
      <c r="A308" s="268">
        <f t="shared" si="32"/>
        <v>2021</v>
      </c>
      <c r="B308" s="286">
        <f t="shared" si="33"/>
        <v>5</v>
      </c>
      <c r="C308" s="314">
        <v>44345</v>
      </c>
      <c r="D308" s="314">
        <v>44345</v>
      </c>
      <c r="E308" s="287" t="s">
        <v>266</v>
      </c>
      <c r="F308" s="282">
        <v>26.84</v>
      </c>
      <c r="G308" s="282" t="s">
        <v>88</v>
      </c>
      <c r="H308" s="282" t="str">
        <f t="shared" si="35"/>
        <v>Variable</v>
      </c>
      <c r="I308" s="284">
        <f t="shared" si="34"/>
        <v>682.09999999999991</v>
      </c>
      <c r="J308" s="282">
        <v>0</v>
      </c>
      <c r="K308" s="282" t="s">
        <v>628</v>
      </c>
    </row>
    <row r="309" spans="1:11" x14ac:dyDescent="0.2">
      <c r="A309" s="268">
        <f t="shared" si="32"/>
        <v>2021</v>
      </c>
      <c r="B309" s="286">
        <f t="shared" si="33"/>
        <v>5</v>
      </c>
      <c r="C309" s="314">
        <v>44345</v>
      </c>
      <c r="D309" s="314">
        <v>44345</v>
      </c>
      <c r="E309" s="287" t="s">
        <v>97</v>
      </c>
      <c r="F309" s="282">
        <v>39.200000000000003</v>
      </c>
      <c r="G309" s="282" t="s">
        <v>67</v>
      </c>
      <c r="H309" s="282" t="str">
        <f t="shared" si="35"/>
        <v>Variable</v>
      </c>
      <c r="I309" s="284">
        <f t="shared" si="34"/>
        <v>721.3</v>
      </c>
      <c r="J309" s="282" t="s">
        <v>105</v>
      </c>
      <c r="K309" s="282" t="s">
        <v>688</v>
      </c>
    </row>
    <row r="310" spans="1:11" x14ac:dyDescent="0.2">
      <c r="A310" s="268">
        <f t="shared" si="32"/>
        <v>2021</v>
      </c>
      <c r="B310" s="286">
        <f t="shared" si="33"/>
        <v>5</v>
      </c>
      <c r="C310" s="314">
        <v>44345</v>
      </c>
      <c r="D310" s="314">
        <v>44345</v>
      </c>
      <c r="E310" s="287" t="s">
        <v>181</v>
      </c>
      <c r="F310" s="282">
        <v>4.1500000000000004</v>
      </c>
      <c r="G310" s="282" t="s">
        <v>41</v>
      </c>
      <c r="H310" s="282" t="str">
        <f t="shared" si="35"/>
        <v>Variable</v>
      </c>
      <c r="I310" s="284">
        <f t="shared" si="34"/>
        <v>725.44999999999993</v>
      </c>
      <c r="J310" s="282">
        <v>0</v>
      </c>
      <c r="K310" s="282" t="s">
        <v>670</v>
      </c>
    </row>
    <row r="311" spans="1:11" x14ac:dyDescent="0.2">
      <c r="A311" s="268">
        <f t="shared" si="32"/>
        <v>2021</v>
      </c>
      <c r="B311" s="286">
        <f t="shared" si="33"/>
        <v>5</v>
      </c>
      <c r="C311" s="314">
        <v>44345</v>
      </c>
      <c r="D311" s="314">
        <v>44345</v>
      </c>
      <c r="E311" s="287" t="s">
        <v>181</v>
      </c>
      <c r="F311" s="282">
        <v>23.07</v>
      </c>
      <c r="G311" s="282" t="s">
        <v>41</v>
      </c>
      <c r="H311" s="282" t="str">
        <f t="shared" si="35"/>
        <v>Variable</v>
      </c>
      <c r="I311" s="284">
        <f t="shared" si="34"/>
        <v>748.52</v>
      </c>
      <c r="J311" s="282">
        <v>0</v>
      </c>
      <c r="K311" s="282" t="s">
        <v>670</v>
      </c>
    </row>
    <row r="312" spans="1:11" x14ac:dyDescent="0.2">
      <c r="A312" s="268">
        <f t="shared" si="32"/>
        <v>2021</v>
      </c>
      <c r="B312" s="286">
        <f t="shared" si="33"/>
        <v>5</v>
      </c>
      <c r="C312" s="314">
        <v>44346</v>
      </c>
      <c r="D312" s="314">
        <v>44346</v>
      </c>
      <c r="E312" s="287" t="s">
        <v>127</v>
      </c>
      <c r="F312" s="282">
        <v>54</v>
      </c>
      <c r="G312" s="282" t="s">
        <v>56</v>
      </c>
      <c r="H312" s="282" t="str">
        <f t="shared" si="35"/>
        <v>Variable</v>
      </c>
      <c r="I312" s="284">
        <f t="shared" si="34"/>
        <v>802.52</v>
      </c>
      <c r="J312" s="282" t="s">
        <v>504</v>
      </c>
      <c r="K312" s="282" t="s">
        <v>697</v>
      </c>
    </row>
    <row r="313" spans="1:11" x14ac:dyDescent="0.2">
      <c r="A313" s="268">
        <f t="shared" si="32"/>
        <v>2021</v>
      </c>
      <c r="B313" s="286">
        <f t="shared" si="33"/>
        <v>5</v>
      </c>
      <c r="C313" s="314">
        <v>44346</v>
      </c>
      <c r="D313" s="314">
        <v>44346</v>
      </c>
      <c r="E313" s="287" t="s">
        <v>195</v>
      </c>
      <c r="F313" s="282">
        <v>35</v>
      </c>
      <c r="G313" s="282" t="s">
        <v>52</v>
      </c>
      <c r="H313" s="282" t="str">
        <f t="shared" si="35"/>
        <v>Variable</v>
      </c>
      <c r="I313" s="284">
        <f t="shared" si="34"/>
        <v>837.52</v>
      </c>
      <c r="J313" s="282" t="s">
        <v>297</v>
      </c>
      <c r="K313" s="282" t="s">
        <v>628</v>
      </c>
    </row>
    <row r="314" spans="1:11" x14ac:dyDescent="0.2">
      <c r="A314" s="268">
        <f t="shared" si="32"/>
        <v>2021</v>
      </c>
      <c r="B314" s="286">
        <f t="shared" si="33"/>
        <v>5</v>
      </c>
      <c r="C314" s="314">
        <v>44346</v>
      </c>
      <c r="D314" s="314">
        <v>44346</v>
      </c>
      <c r="E314" s="287" t="s">
        <v>63</v>
      </c>
      <c r="F314" s="282">
        <v>8.2799999999999994</v>
      </c>
      <c r="G314" s="282" t="s">
        <v>56</v>
      </c>
      <c r="H314" s="282" t="str">
        <f t="shared" si="35"/>
        <v>Variable</v>
      </c>
      <c r="I314" s="284">
        <f t="shared" si="34"/>
        <v>845.8</v>
      </c>
      <c r="J314" s="282" t="s">
        <v>35</v>
      </c>
      <c r="K314" s="282" t="s">
        <v>697</v>
      </c>
    </row>
    <row r="315" spans="1:11" x14ac:dyDescent="0.2">
      <c r="A315" s="268">
        <f t="shared" si="32"/>
        <v>2021</v>
      </c>
      <c r="B315" s="286">
        <f t="shared" si="33"/>
        <v>5</v>
      </c>
      <c r="C315" s="314">
        <v>44346</v>
      </c>
      <c r="D315" s="314">
        <v>44346</v>
      </c>
      <c r="E315" s="287" t="s">
        <v>261</v>
      </c>
      <c r="F315" s="282">
        <v>60.92</v>
      </c>
      <c r="G315" s="282" t="s">
        <v>67</v>
      </c>
      <c r="H315" s="282" t="str">
        <f t="shared" si="35"/>
        <v>Variable</v>
      </c>
      <c r="I315" s="284">
        <f t="shared" si="34"/>
        <v>906.71999999999991</v>
      </c>
      <c r="J315" s="282">
        <v>0</v>
      </c>
      <c r="K315" s="282" t="s">
        <v>688</v>
      </c>
    </row>
    <row r="316" spans="1:11" x14ac:dyDescent="0.2">
      <c r="A316" s="268">
        <f t="shared" si="32"/>
        <v>2021</v>
      </c>
      <c r="B316" s="286">
        <f t="shared" si="33"/>
        <v>5</v>
      </c>
      <c r="C316" s="314">
        <v>44347</v>
      </c>
      <c r="D316" s="314">
        <v>44347</v>
      </c>
      <c r="E316" s="287" t="s">
        <v>267</v>
      </c>
      <c r="F316" s="282">
        <v>17.309999999999999</v>
      </c>
      <c r="G316" s="282" t="s">
        <v>89</v>
      </c>
      <c r="H316" s="282" t="str">
        <f t="shared" si="35"/>
        <v>Variable</v>
      </c>
      <c r="I316" s="284">
        <f t="shared" si="34"/>
        <v>924.02999999999986</v>
      </c>
      <c r="J316" s="282">
        <v>0</v>
      </c>
      <c r="K316" s="282" t="s">
        <v>670</v>
      </c>
    </row>
    <row r="317" spans="1:11" ht="30" x14ac:dyDescent="0.2">
      <c r="A317" s="268">
        <f t="shared" si="32"/>
        <v>2021</v>
      </c>
      <c r="B317" s="286">
        <f t="shared" si="33"/>
        <v>5</v>
      </c>
      <c r="C317" s="314">
        <v>44347</v>
      </c>
      <c r="D317" s="314">
        <v>44347</v>
      </c>
      <c r="E317" s="287" t="s">
        <v>268</v>
      </c>
      <c r="F317" s="282">
        <v>37.090000000000003</v>
      </c>
      <c r="G317" s="282" t="s">
        <v>26</v>
      </c>
      <c r="H317" s="282" t="str">
        <f t="shared" si="35"/>
        <v>Fixed</v>
      </c>
      <c r="I317" s="284">
        <f t="shared" si="34"/>
        <v>961.11999999999989</v>
      </c>
      <c r="J317" s="282" t="s">
        <v>306</v>
      </c>
      <c r="K317" s="282" t="s">
        <v>781</v>
      </c>
    </row>
    <row r="318" spans="1:11" x14ac:dyDescent="0.2">
      <c r="A318" s="268">
        <f t="shared" si="32"/>
        <v>2021</v>
      </c>
      <c r="B318" s="286">
        <f t="shared" si="33"/>
        <v>5</v>
      </c>
      <c r="C318" s="314">
        <v>44347</v>
      </c>
      <c r="D318" s="314">
        <v>44347</v>
      </c>
      <c r="E318" s="287" t="s">
        <v>269</v>
      </c>
      <c r="F318" s="282">
        <v>9.5500000000000007</v>
      </c>
      <c r="G318" s="282" t="s">
        <v>24</v>
      </c>
      <c r="H318" s="282" t="str">
        <f t="shared" si="35"/>
        <v>Variable</v>
      </c>
      <c r="I318" s="284">
        <f t="shared" si="34"/>
        <v>970.66999999999985</v>
      </c>
      <c r="J318" s="282">
        <v>0</v>
      </c>
      <c r="K318" s="281" t="s">
        <v>628</v>
      </c>
    </row>
    <row r="319" spans="1:11" x14ac:dyDescent="0.2">
      <c r="A319" s="268">
        <f t="shared" si="32"/>
        <v>2021</v>
      </c>
      <c r="B319" s="286">
        <f t="shared" si="33"/>
        <v>5</v>
      </c>
      <c r="C319" s="314">
        <v>44347</v>
      </c>
      <c r="D319" s="314">
        <v>44347</v>
      </c>
      <c r="E319" s="287" t="s">
        <v>97</v>
      </c>
      <c r="F319" s="282">
        <v>21.18</v>
      </c>
      <c r="G319" s="282" t="s">
        <v>67</v>
      </c>
      <c r="H319" s="282" t="str">
        <f t="shared" si="35"/>
        <v>Variable</v>
      </c>
      <c r="I319" s="284">
        <f t="shared" si="34"/>
        <v>991.8499999999998</v>
      </c>
      <c r="J319" s="282" t="s">
        <v>105</v>
      </c>
      <c r="K319" s="282" t="s">
        <v>688</v>
      </c>
    </row>
    <row r="320" spans="1:11" x14ac:dyDescent="0.2">
      <c r="A320" s="268">
        <f t="shared" si="32"/>
        <v>2021</v>
      </c>
      <c r="B320" s="286">
        <f t="shared" si="33"/>
        <v>5</v>
      </c>
      <c r="C320" s="314">
        <v>44347</v>
      </c>
      <c r="D320" s="314">
        <v>44347</v>
      </c>
      <c r="E320" s="287" t="s">
        <v>270</v>
      </c>
      <c r="F320" s="282">
        <v>57.27</v>
      </c>
      <c r="G320" s="282" t="s">
        <v>88</v>
      </c>
      <c r="H320" s="282" t="str">
        <f t="shared" si="35"/>
        <v>Variable</v>
      </c>
      <c r="I320" s="284">
        <f t="shared" si="34"/>
        <v>1049.1199999999999</v>
      </c>
      <c r="J320" s="282" t="s">
        <v>297</v>
      </c>
      <c r="K320" s="282" t="s">
        <v>688</v>
      </c>
    </row>
    <row r="321" spans="1:11" x14ac:dyDescent="0.2">
      <c r="A321" s="268">
        <f t="shared" si="32"/>
        <v>2021</v>
      </c>
      <c r="B321" s="286">
        <f t="shared" si="33"/>
        <v>6</v>
      </c>
      <c r="C321" s="315">
        <v>44348</v>
      </c>
      <c r="D321" s="315">
        <v>44348</v>
      </c>
      <c r="E321" s="287" t="s">
        <v>183</v>
      </c>
      <c r="F321" s="282">
        <v>49</v>
      </c>
      <c r="G321" s="282" t="s">
        <v>67</v>
      </c>
      <c r="H321" s="282" t="str">
        <f t="shared" si="35"/>
        <v>Variable</v>
      </c>
      <c r="I321" s="284">
        <f t="shared" si="34"/>
        <v>1098.1199999999999</v>
      </c>
      <c r="J321" s="282">
        <v>0</v>
      </c>
      <c r="K321" s="282" t="s">
        <v>682</v>
      </c>
    </row>
    <row r="322" spans="1:11" x14ac:dyDescent="0.2">
      <c r="A322" s="268">
        <f t="shared" ref="A322:A362" si="36">YEAR(C322)</f>
        <v>2021</v>
      </c>
      <c r="B322" s="286">
        <f t="shared" ref="B322:B385" si="37">MONTH(C322)</f>
        <v>6</v>
      </c>
      <c r="C322" s="315">
        <v>44348</v>
      </c>
      <c r="D322" s="315">
        <v>44348</v>
      </c>
      <c r="E322" s="287" t="s">
        <v>271</v>
      </c>
      <c r="F322" s="282">
        <v>14.83</v>
      </c>
      <c r="G322" s="282" t="s">
        <v>26</v>
      </c>
      <c r="H322" s="282" t="str">
        <f t="shared" si="35"/>
        <v>Fixed</v>
      </c>
      <c r="I322" s="284">
        <f t="shared" si="34"/>
        <v>1112.9499999999998</v>
      </c>
      <c r="J322" s="282" t="s">
        <v>7</v>
      </c>
      <c r="K322" s="282" t="s">
        <v>781</v>
      </c>
    </row>
    <row r="323" spans="1:11" x14ac:dyDescent="0.2">
      <c r="A323" s="268">
        <f t="shared" si="36"/>
        <v>2021</v>
      </c>
      <c r="B323" s="286">
        <f t="shared" si="37"/>
        <v>6</v>
      </c>
      <c r="C323" s="315">
        <v>44348</v>
      </c>
      <c r="D323" s="315">
        <v>44348</v>
      </c>
      <c r="E323" s="287" t="s">
        <v>272</v>
      </c>
      <c r="F323" s="282">
        <v>9.99</v>
      </c>
      <c r="G323" s="282" t="s">
        <v>26</v>
      </c>
      <c r="H323" s="282" t="str">
        <f t="shared" si="35"/>
        <v>Fixed</v>
      </c>
      <c r="I323" s="284">
        <f t="shared" si="34"/>
        <v>1122.9399999999998</v>
      </c>
      <c r="J323" s="282" t="s">
        <v>6</v>
      </c>
      <c r="K323" s="282" t="s">
        <v>781</v>
      </c>
    </row>
    <row r="324" spans="1:11" x14ac:dyDescent="0.2">
      <c r="A324" s="268">
        <f t="shared" si="36"/>
        <v>2021</v>
      </c>
      <c r="B324" s="286">
        <f t="shared" si="37"/>
        <v>6</v>
      </c>
      <c r="C324" s="315">
        <v>44349</v>
      </c>
      <c r="D324" s="315">
        <v>44350</v>
      </c>
      <c r="E324" s="287" t="s">
        <v>273</v>
      </c>
      <c r="F324" s="282">
        <v>29.04</v>
      </c>
      <c r="G324" s="282" t="s">
        <v>24</v>
      </c>
      <c r="H324" s="282" t="str">
        <f t="shared" si="35"/>
        <v>Variable</v>
      </c>
      <c r="I324" s="284">
        <f t="shared" ref="I324:I387" si="38">I323+F324</f>
        <v>1151.9799999999998</v>
      </c>
      <c r="J324" s="282">
        <v>0</v>
      </c>
      <c r="K324" s="281" t="s">
        <v>628</v>
      </c>
    </row>
    <row r="325" spans="1:11" x14ac:dyDescent="0.2">
      <c r="A325" s="268">
        <f t="shared" si="36"/>
        <v>2021</v>
      </c>
      <c r="B325" s="286">
        <f t="shared" si="37"/>
        <v>6</v>
      </c>
      <c r="C325" s="315">
        <v>44349</v>
      </c>
      <c r="D325" s="315">
        <v>44350</v>
      </c>
      <c r="E325" s="287" t="s">
        <v>274</v>
      </c>
      <c r="F325" s="282">
        <v>10</v>
      </c>
      <c r="G325" s="282" t="s">
        <v>26</v>
      </c>
      <c r="H325" s="282" t="str">
        <f t="shared" si="35"/>
        <v>Fixed</v>
      </c>
      <c r="I325" s="284">
        <f t="shared" si="38"/>
        <v>1161.9799999999998</v>
      </c>
      <c r="J325" s="282" t="s">
        <v>296</v>
      </c>
      <c r="K325" s="282" t="s">
        <v>781</v>
      </c>
    </row>
    <row r="326" spans="1:11" x14ac:dyDescent="0.2">
      <c r="A326" s="268">
        <f t="shared" si="36"/>
        <v>2021</v>
      </c>
      <c r="B326" s="286">
        <f t="shared" si="37"/>
        <v>6</v>
      </c>
      <c r="C326" s="315">
        <v>44349</v>
      </c>
      <c r="D326" s="315">
        <v>44350</v>
      </c>
      <c r="E326" s="287" t="s">
        <v>180</v>
      </c>
      <c r="F326" s="282">
        <v>0.4</v>
      </c>
      <c r="G326" s="282" t="s">
        <v>26</v>
      </c>
      <c r="H326" s="282" t="str">
        <f t="shared" si="35"/>
        <v>Fixed</v>
      </c>
      <c r="I326" s="284">
        <f t="shared" si="38"/>
        <v>1162.3799999999999</v>
      </c>
      <c r="J326" s="282" t="s">
        <v>295</v>
      </c>
      <c r="K326" s="282" t="s">
        <v>781</v>
      </c>
    </row>
    <row r="327" spans="1:11" ht="30" x14ac:dyDescent="0.2">
      <c r="A327" s="268">
        <f t="shared" si="36"/>
        <v>2021</v>
      </c>
      <c r="B327" s="286">
        <f t="shared" si="37"/>
        <v>6</v>
      </c>
      <c r="C327" s="315">
        <v>44349</v>
      </c>
      <c r="D327" s="315">
        <v>44350</v>
      </c>
      <c r="E327" s="287" t="s">
        <v>275</v>
      </c>
      <c r="F327" s="282">
        <v>49.99</v>
      </c>
      <c r="G327" s="282" t="s">
        <v>52</v>
      </c>
      <c r="H327" s="282" t="str">
        <f t="shared" si="35"/>
        <v>Variable</v>
      </c>
      <c r="I327" s="284">
        <f t="shared" si="38"/>
        <v>1212.3699999999999</v>
      </c>
      <c r="J327" s="282" t="s">
        <v>287</v>
      </c>
      <c r="K327" s="282" t="s">
        <v>627</v>
      </c>
    </row>
    <row r="328" spans="1:11" x14ac:dyDescent="0.2">
      <c r="A328" s="268">
        <f t="shared" si="36"/>
        <v>2021</v>
      </c>
      <c r="B328" s="286">
        <f t="shared" si="37"/>
        <v>6</v>
      </c>
      <c r="C328" s="315">
        <v>44349</v>
      </c>
      <c r="D328" s="315">
        <v>44350</v>
      </c>
      <c r="E328" s="287" t="s">
        <v>103</v>
      </c>
      <c r="F328" s="282">
        <v>1.99</v>
      </c>
      <c r="G328" s="282" t="s">
        <v>26</v>
      </c>
      <c r="H328" s="282" t="str">
        <f t="shared" si="35"/>
        <v>Fixed</v>
      </c>
      <c r="I328" s="284">
        <f t="shared" si="38"/>
        <v>1214.3599999999999</v>
      </c>
      <c r="J328" s="282" t="s">
        <v>93</v>
      </c>
      <c r="K328" s="282" t="s">
        <v>781</v>
      </c>
    </row>
    <row r="329" spans="1:11" x14ac:dyDescent="0.2">
      <c r="A329" s="268">
        <f t="shared" si="36"/>
        <v>2021</v>
      </c>
      <c r="B329" s="286">
        <f t="shared" si="37"/>
        <v>6</v>
      </c>
      <c r="C329" s="315">
        <v>44350</v>
      </c>
      <c r="D329" s="315">
        <v>44350</v>
      </c>
      <c r="E329" s="287" t="s">
        <v>180</v>
      </c>
      <c r="F329" s="282">
        <v>11.99</v>
      </c>
      <c r="G329" s="282" t="s">
        <v>26</v>
      </c>
      <c r="H329" s="282" t="str">
        <f t="shared" si="35"/>
        <v>Fixed</v>
      </c>
      <c r="I329" s="284">
        <f t="shared" si="38"/>
        <v>1226.3499999999999</v>
      </c>
      <c r="J329" s="282" t="s">
        <v>295</v>
      </c>
      <c r="K329" s="282" t="s">
        <v>781</v>
      </c>
    </row>
    <row r="330" spans="1:11" x14ac:dyDescent="0.2">
      <c r="A330" s="268">
        <f t="shared" si="36"/>
        <v>2021</v>
      </c>
      <c r="B330" s="286">
        <f t="shared" si="37"/>
        <v>6</v>
      </c>
      <c r="C330" s="315">
        <v>44350</v>
      </c>
      <c r="D330" s="315">
        <v>44350</v>
      </c>
      <c r="E330" s="287" t="s">
        <v>276</v>
      </c>
      <c r="F330" s="282">
        <v>78</v>
      </c>
      <c r="G330" s="282" t="s">
        <v>26</v>
      </c>
      <c r="H330" s="282" t="str">
        <f t="shared" si="35"/>
        <v>Fixed</v>
      </c>
      <c r="I330" s="284">
        <f t="shared" si="38"/>
        <v>1304.3499999999999</v>
      </c>
      <c r="J330" s="282" t="s">
        <v>297</v>
      </c>
      <c r="K330" s="282" t="s">
        <v>781</v>
      </c>
    </row>
    <row r="331" spans="1:11" x14ac:dyDescent="0.2">
      <c r="A331" s="268">
        <f t="shared" si="36"/>
        <v>2021</v>
      </c>
      <c r="B331" s="286">
        <f t="shared" si="37"/>
        <v>6</v>
      </c>
      <c r="C331" s="315">
        <v>44350</v>
      </c>
      <c r="D331" s="315">
        <v>44350</v>
      </c>
      <c r="E331" s="287" t="s">
        <v>32</v>
      </c>
      <c r="F331" s="282">
        <v>69.88</v>
      </c>
      <c r="G331" s="282" t="s">
        <v>26</v>
      </c>
      <c r="H331" s="282" t="str">
        <f t="shared" si="35"/>
        <v>Fixed</v>
      </c>
      <c r="I331" s="284">
        <f t="shared" si="38"/>
        <v>1374.23</v>
      </c>
      <c r="J331" s="282" t="s">
        <v>8</v>
      </c>
      <c r="K331" s="282" t="s">
        <v>628</v>
      </c>
    </row>
    <row r="332" spans="1:11" x14ac:dyDescent="0.2">
      <c r="A332" s="268">
        <f t="shared" si="36"/>
        <v>2021</v>
      </c>
      <c r="B332" s="286">
        <f t="shared" si="37"/>
        <v>6</v>
      </c>
      <c r="C332" s="315">
        <v>44350</v>
      </c>
      <c r="D332" s="315">
        <v>44350</v>
      </c>
      <c r="E332" s="287" t="s">
        <v>277</v>
      </c>
      <c r="F332" s="282">
        <v>105</v>
      </c>
      <c r="G332" s="282" t="s">
        <v>41</v>
      </c>
      <c r="H332" s="282" t="str">
        <f t="shared" si="35"/>
        <v>Variable</v>
      </c>
      <c r="I332" s="284">
        <f t="shared" si="38"/>
        <v>1479.23</v>
      </c>
      <c r="J332" s="282" t="s">
        <v>288</v>
      </c>
      <c r="K332" s="282" t="s">
        <v>670</v>
      </c>
    </row>
    <row r="333" spans="1:11" x14ac:dyDescent="0.2">
      <c r="A333" s="268">
        <f t="shared" si="36"/>
        <v>2021</v>
      </c>
      <c r="B333" s="286">
        <f t="shared" si="37"/>
        <v>6</v>
      </c>
      <c r="C333" s="315">
        <v>44351</v>
      </c>
      <c r="D333" s="315">
        <v>44351</v>
      </c>
      <c r="E333" s="287" t="s">
        <v>21</v>
      </c>
      <c r="F333" s="307">
        <v>-1368.32</v>
      </c>
      <c r="G333" s="282" t="s">
        <v>22</v>
      </c>
      <c r="H333" s="282" t="str">
        <f t="shared" si="35"/>
        <v>Payment</v>
      </c>
      <c r="I333" s="284">
        <f t="shared" si="38"/>
        <v>110.91000000000008</v>
      </c>
      <c r="J333" s="282">
        <v>0</v>
      </c>
      <c r="K333" s="282">
        <v>0</v>
      </c>
    </row>
    <row r="334" spans="1:11" x14ac:dyDescent="0.2">
      <c r="A334" s="268">
        <f t="shared" si="36"/>
        <v>2021</v>
      </c>
      <c r="B334" s="286">
        <f t="shared" si="37"/>
        <v>6</v>
      </c>
      <c r="C334" s="315">
        <v>44351</v>
      </c>
      <c r="D334" s="315">
        <v>44351</v>
      </c>
      <c r="E334" s="287" t="s">
        <v>97</v>
      </c>
      <c r="F334" s="282">
        <v>84.8</v>
      </c>
      <c r="G334" s="282" t="s">
        <v>67</v>
      </c>
      <c r="H334" s="282" t="str">
        <f t="shared" si="35"/>
        <v>Variable</v>
      </c>
      <c r="I334" s="284">
        <f t="shared" si="38"/>
        <v>195.71000000000009</v>
      </c>
      <c r="J334" s="282" t="s">
        <v>105</v>
      </c>
      <c r="K334" s="282" t="s">
        <v>688</v>
      </c>
    </row>
    <row r="335" spans="1:11" x14ac:dyDescent="0.2">
      <c r="A335" s="268">
        <f t="shared" si="36"/>
        <v>2021</v>
      </c>
      <c r="B335" s="286">
        <f t="shared" si="37"/>
        <v>6</v>
      </c>
      <c r="C335" s="315">
        <v>44351</v>
      </c>
      <c r="D335" s="315">
        <v>44351</v>
      </c>
      <c r="E335" s="287" t="s">
        <v>331</v>
      </c>
      <c r="F335" s="282">
        <v>88.37</v>
      </c>
      <c r="G335" s="282" t="s">
        <v>88</v>
      </c>
      <c r="H335" s="282" t="str">
        <f t="shared" si="35"/>
        <v>Variable</v>
      </c>
      <c r="I335" s="284">
        <f t="shared" si="38"/>
        <v>284.0800000000001</v>
      </c>
      <c r="J335" s="282" t="s">
        <v>350</v>
      </c>
      <c r="K335" s="282" t="s">
        <v>688</v>
      </c>
    </row>
    <row r="336" spans="1:11" x14ac:dyDescent="0.2">
      <c r="A336" s="268">
        <f t="shared" si="36"/>
        <v>2021</v>
      </c>
      <c r="B336" s="286">
        <f t="shared" si="37"/>
        <v>6</v>
      </c>
      <c r="C336" s="315">
        <v>44352</v>
      </c>
      <c r="D336" s="315">
        <v>44352</v>
      </c>
      <c r="E336" s="287" t="s">
        <v>250</v>
      </c>
      <c r="F336" s="282">
        <v>1.36</v>
      </c>
      <c r="G336" s="282" t="s">
        <v>194</v>
      </c>
      <c r="H336" s="282" t="str">
        <f t="shared" si="35"/>
        <v>Variable</v>
      </c>
      <c r="I336" s="284">
        <f t="shared" si="38"/>
        <v>285.44000000000011</v>
      </c>
      <c r="J336" s="282" t="s">
        <v>283</v>
      </c>
      <c r="K336" s="282" t="s">
        <v>688</v>
      </c>
    </row>
    <row r="337" spans="1:11" x14ac:dyDescent="0.2">
      <c r="A337" s="268">
        <f t="shared" si="36"/>
        <v>2021</v>
      </c>
      <c r="B337" s="286">
        <f t="shared" si="37"/>
        <v>6</v>
      </c>
      <c r="C337" s="315">
        <v>44352</v>
      </c>
      <c r="D337" s="315">
        <v>44352</v>
      </c>
      <c r="E337" s="287" t="s">
        <v>332</v>
      </c>
      <c r="F337" s="282">
        <v>13.72</v>
      </c>
      <c r="G337" s="282" t="s">
        <v>41</v>
      </c>
      <c r="H337" s="282" t="str">
        <f t="shared" si="35"/>
        <v>Variable</v>
      </c>
      <c r="I337" s="284">
        <f t="shared" si="38"/>
        <v>299.16000000000014</v>
      </c>
      <c r="J337" s="282">
        <v>0</v>
      </c>
      <c r="K337" s="282" t="s">
        <v>670</v>
      </c>
    </row>
    <row r="338" spans="1:11" x14ac:dyDescent="0.2">
      <c r="A338" s="268">
        <f t="shared" si="36"/>
        <v>2021</v>
      </c>
      <c r="B338" s="286">
        <f t="shared" si="37"/>
        <v>6</v>
      </c>
      <c r="C338" s="315">
        <v>44352</v>
      </c>
      <c r="D338" s="315">
        <v>44352</v>
      </c>
      <c r="E338" s="287" t="s">
        <v>97</v>
      </c>
      <c r="F338" s="282">
        <v>80.55</v>
      </c>
      <c r="G338" s="282" t="s">
        <v>67</v>
      </c>
      <c r="H338" s="282" t="str">
        <f t="shared" si="35"/>
        <v>Variable</v>
      </c>
      <c r="I338" s="284">
        <f t="shared" si="38"/>
        <v>379.71000000000015</v>
      </c>
      <c r="J338" s="282" t="s">
        <v>105</v>
      </c>
      <c r="K338" s="282" t="s">
        <v>688</v>
      </c>
    </row>
    <row r="339" spans="1:11" x14ac:dyDescent="0.2">
      <c r="A339" s="268">
        <f t="shared" si="36"/>
        <v>2021</v>
      </c>
      <c r="B339" s="286">
        <f t="shared" si="37"/>
        <v>6</v>
      </c>
      <c r="C339" s="315">
        <v>44352</v>
      </c>
      <c r="D339" s="315">
        <v>44352</v>
      </c>
      <c r="E339" s="287" t="s">
        <v>333</v>
      </c>
      <c r="F339" s="282">
        <v>1.05</v>
      </c>
      <c r="G339" s="282" t="s">
        <v>118</v>
      </c>
      <c r="H339" s="282" t="str">
        <f t="shared" si="35"/>
        <v>Variable</v>
      </c>
      <c r="I339" s="284">
        <f t="shared" si="38"/>
        <v>380.76000000000016</v>
      </c>
      <c r="J339" s="282" t="s">
        <v>350</v>
      </c>
      <c r="K339" s="282" t="s">
        <v>688</v>
      </c>
    </row>
    <row r="340" spans="1:11" x14ac:dyDescent="0.2">
      <c r="A340" s="268">
        <f t="shared" si="36"/>
        <v>2021</v>
      </c>
      <c r="B340" s="286">
        <f t="shared" si="37"/>
        <v>6</v>
      </c>
      <c r="C340" s="315">
        <v>44353</v>
      </c>
      <c r="D340" s="315">
        <v>44353</v>
      </c>
      <c r="E340" s="287" t="s">
        <v>334</v>
      </c>
      <c r="F340" s="282">
        <v>31.77</v>
      </c>
      <c r="G340" s="282" t="s">
        <v>88</v>
      </c>
      <c r="H340" s="282" t="str">
        <f t="shared" si="35"/>
        <v>Variable</v>
      </c>
      <c r="I340" s="284">
        <f t="shared" si="38"/>
        <v>412.53000000000014</v>
      </c>
      <c r="J340" s="282">
        <v>0</v>
      </c>
      <c r="K340" s="282" t="s">
        <v>628</v>
      </c>
    </row>
    <row r="341" spans="1:11" x14ac:dyDescent="0.2">
      <c r="A341" s="268">
        <f t="shared" si="36"/>
        <v>2021</v>
      </c>
      <c r="B341" s="286">
        <f t="shared" si="37"/>
        <v>6</v>
      </c>
      <c r="C341" s="315">
        <v>44353</v>
      </c>
      <c r="D341" s="315">
        <v>44353</v>
      </c>
      <c r="E341" s="287" t="s">
        <v>97</v>
      </c>
      <c r="F341" s="282">
        <v>192.86</v>
      </c>
      <c r="G341" s="282" t="s">
        <v>67</v>
      </c>
      <c r="H341" s="282" t="str">
        <f t="shared" si="35"/>
        <v>Variable</v>
      </c>
      <c r="I341" s="284">
        <f t="shared" si="38"/>
        <v>605.3900000000001</v>
      </c>
      <c r="J341" s="282" t="s">
        <v>105</v>
      </c>
      <c r="K341" s="282" t="s">
        <v>688</v>
      </c>
    </row>
    <row r="342" spans="1:11" x14ac:dyDescent="0.2">
      <c r="A342" s="268">
        <f t="shared" si="36"/>
        <v>2021</v>
      </c>
      <c r="B342" s="286">
        <f t="shared" si="37"/>
        <v>6</v>
      </c>
      <c r="C342" s="315">
        <v>44354</v>
      </c>
      <c r="D342" s="315">
        <v>44354</v>
      </c>
      <c r="E342" s="287" t="s">
        <v>183</v>
      </c>
      <c r="F342" s="282">
        <v>94.95</v>
      </c>
      <c r="G342" s="282" t="s">
        <v>67</v>
      </c>
      <c r="H342" s="282" t="str">
        <f t="shared" si="35"/>
        <v>Variable</v>
      </c>
      <c r="I342" s="284">
        <f t="shared" si="38"/>
        <v>700.34000000000015</v>
      </c>
      <c r="J342" s="282">
        <v>0</v>
      </c>
      <c r="K342" s="282" t="s">
        <v>682</v>
      </c>
    </row>
    <row r="343" spans="1:11" x14ac:dyDescent="0.2">
      <c r="A343" s="268">
        <f t="shared" si="36"/>
        <v>2021</v>
      </c>
      <c r="B343" s="286">
        <f t="shared" si="37"/>
        <v>6</v>
      </c>
      <c r="C343" s="315">
        <v>44354</v>
      </c>
      <c r="D343" s="315">
        <v>44354</v>
      </c>
      <c r="E343" s="287" t="s">
        <v>335</v>
      </c>
      <c r="F343" s="282">
        <v>110.19</v>
      </c>
      <c r="G343" s="282" t="s">
        <v>67</v>
      </c>
      <c r="H343" s="282" t="str">
        <f t="shared" si="35"/>
        <v>Variable</v>
      </c>
      <c r="I343" s="284">
        <f t="shared" si="38"/>
        <v>810.5300000000002</v>
      </c>
      <c r="J343" s="282">
        <v>0</v>
      </c>
      <c r="K343" s="282" t="s">
        <v>688</v>
      </c>
    </row>
    <row r="344" spans="1:11" x14ac:dyDescent="0.2">
      <c r="A344" s="268">
        <f t="shared" si="36"/>
        <v>2021</v>
      </c>
      <c r="B344" s="286">
        <f t="shared" si="37"/>
        <v>6</v>
      </c>
      <c r="C344" s="315">
        <v>44356</v>
      </c>
      <c r="D344" s="315">
        <v>44356</v>
      </c>
      <c r="E344" s="287" t="s">
        <v>336</v>
      </c>
      <c r="F344" s="282">
        <v>4.99</v>
      </c>
      <c r="G344" s="282" t="s">
        <v>67</v>
      </c>
      <c r="H344" s="282" t="str">
        <f t="shared" si="35"/>
        <v>Variable</v>
      </c>
      <c r="I344" s="284">
        <f t="shared" si="38"/>
        <v>815.52000000000021</v>
      </c>
      <c r="J344" s="282" t="s">
        <v>719</v>
      </c>
      <c r="K344" s="282" t="s">
        <v>688</v>
      </c>
    </row>
    <row r="345" spans="1:11" x14ac:dyDescent="0.2">
      <c r="A345" s="268">
        <f t="shared" si="36"/>
        <v>2021</v>
      </c>
      <c r="B345" s="286">
        <f t="shared" si="37"/>
        <v>6</v>
      </c>
      <c r="C345" s="315">
        <v>44356</v>
      </c>
      <c r="D345" s="315">
        <v>44356</v>
      </c>
      <c r="E345" s="287" t="s">
        <v>337</v>
      </c>
      <c r="F345" s="282">
        <v>3.89</v>
      </c>
      <c r="G345" s="282" t="s">
        <v>67</v>
      </c>
      <c r="H345" s="282" t="str">
        <f t="shared" si="35"/>
        <v>Variable</v>
      </c>
      <c r="I345" s="284">
        <f t="shared" si="38"/>
        <v>819.4100000000002</v>
      </c>
      <c r="J345" s="282" t="s">
        <v>719</v>
      </c>
      <c r="K345" s="282" t="s">
        <v>688</v>
      </c>
    </row>
    <row r="346" spans="1:11" x14ac:dyDescent="0.2">
      <c r="A346" s="268">
        <f t="shared" si="36"/>
        <v>2021</v>
      </c>
      <c r="B346" s="286">
        <f t="shared" si="37"/>
        <v>6</v>
      </c>
      <c r="C346" s="315">
        <v>44356</v>
      </c>
      <c r="D346" s="315">
        <v>44356</v>
      </c>
      <c r="E346" s="287" t="s">
        <v>237</v>
      </c>
      <c r="F346" s="282">
        <v>77.94</v>
      </c>
      <c r="G346" s="282" t="s">
        <v>26</v>
      </c>
      <c r="H346" s="282" t="str">
        <f t="shared" ref="H346:H409" si="39">VLOOKUP(G346,Expense_Lookup,2,0)</f>
        <v>Fixed</v>
      </c>
      <c r="I346" s="284">
        <f t="shared" si="38"/>
        <v>897.35000000000014</v>
      </c>
      <c r="J346" s="282" t="s">
        <v>281</v>
      </c>
      <c r="K346" s="282" t="s">
        <v>781</v>
      </c>
    </row>
    <row r="347" spans="1:11" x14ac:dyDescent="0.2">
      <c r="A347" s="268">
        <f t="shared" si="36"/>
        <v>2021</v>
      </c>
      <c r="B347" s="286">
        <f t="shared" si="37"/>
        <v>6</v>
      </c>
      <c r="C347" s="315">
        <v>44357</v>
      </c>
      <c r="D347" s="315">
        <v>44357</v>
      </c>
      <c r="E347" s="287" t="s">
        <v>338</v>
      </c>
      <c r="F347" s="282">
        <v>25.06</v>
      </c>
      <c r="G347" s="282" t="s">
        <v>41</v>
      </c>
      <c r="H347" s="282" t="str">
        <f t="shared" si="39"/>
        <v>Variable</v>
      </c>
      <c r="I347" s="284">
        <f t="shared" si="38"/>
        <v>922.41000000000008</v>
      </c>
      <c r="J347" s="282">
        <v>0</v>
      </c>
      <c r="K347" s="282" t="s">
        <v>670</v>
      </c>
    </row>
    <row r="348" spans="1:11" x14ac:dyDescent="0.2">
      <c r="A348" s="268">
        <f t="shared" si="36"/>
        <v>2021</v>
      </c>
      <c r="B348" s="286">
        <f t="shared" si="37"/>
        <v>6</v>
      </c>
      <c r="C348" s="315">
        <v>44357</v>
      </c>
      <c r="D348" s="315">
        <v>44357</v>
      </c>
      <c r="E348" s="287" t="s">
        <v>336</v>
      </c>
      <c r="F348" s="282">
        <v>6.25</v>
      </c>
      <c r="G348" s="282" t="s">
        <v>67</v>
      </c>
      <c r="H348" s="282" t="str">
        <f t="shared" si="39"/>
        <v>Variable</v>
      </c>
      <c r="I348" s="284">
        <f t="shared" si="38"/>
        <v>928.66000000000008</v>
      </c>
      <c r="J348" s="282" t="s">
        <v>719</v>
      </c>
      <c r="K348" s="282" t="s">
        <v>688</v>
      </c>
    </row>
    <row r="349" spans="1:11" x14ac:dyDescent="0.2">
      <c r="A349" s="268">
        <f t="shared" si="36"/>
        <v>2021</v>
      </c>
      <c r="B349" s="286">
        <f t="shared" si="37"/>
        <v>6</v>
      </c>
      <c r="C349" s="315">
        <v>44357</v>
      </c>
      <c r="D349" s="315">
        <v>44357</v>
      </c>
      <c r="E349" s="287" t="s">
        <v>336</v>
      </c>
      <c r="F349" s="282">
        <v>9.99</v>
      </c>
      <c r="G349" s="282" t="s">
        <v>67</v>
      </c>
      <c r="H349" s="282" t="str">
        <f t="shared" si="39"/>
        <v>Variable</v>
      </c>
      <c r="I349" s="284">
        <f t="shared" si="38"/>
        <v>938.65000000000009</v>
      </c>
      <c r="J349" s="282" t="s">
        <v>719</v>
      </c>
      <c r="K349" s="282" t="s">
        <v>688</v>
      </c>
    </row>
    <row r="350" spans="1:11" x14ac:dyDescent="0.2">
      <c r="A350" s="268">
        <f t="shared" si="36"/>
        <v>2021</v>
      </c>
      <c r="B350" s="286">
        <f t="shared" si="37"/>
        <v>6</v>
      </c>
      <c r="C350" s="315">
        <v>44357</v>
      </c>
      <c r="D350" s="315">
        <v>44357</v>
      </c>
      <c r="E350" s="287" t="s">
        <v>336</v>
      </c>
      <c r="F350" s="282">
        <v>11.99</v>
      </c>
      <c r="G350" s="282" t="s">
        <v>67</v>
      </c>
      <c r="H350" s="282" t="str">
        <f t="shared" si="39"/>
        <v>Variable</v>
      </c>
      <c r="I350" s="284">
        <f t="shared" si="38"/>
        <v>950.6400000000001</v>
      </c>
      <c r="J350" s="282" t="s">
        <v>719</v>
      </c>
      <c r="K350" s="282" t="s">
        <v>688</v>
      </c>
    </row>
    <row r="351" spans="1:11" x14ac:dyDescent="0.2">
      <c r="A351" s="268">
        <f t="shared" si="36"/>
        <v>2021</v>
      </c>
      <c r="B351" s="286">
        <f t="shared" si="37"/>
        <v>6</v>
      </c>
      <c r="C351" s="315">
        <v>44357</v>
      </c>
      <c r="D351" s="315">
        <v>44357</v>
      </c>
      <c r="E351" s="287" t="s">
        <v>339</v>
      </c>
      <c r="F351" s="282">
        <v>3.13</v>
      </c>
      <c r="G351" s="282" t="s">
        <v>41</v>
      </c>
      <c r="H351" s="282" t="str">
        <f t="shared" si="39"/>
        <v>Variable</v>
      </c>
      <c r="I351" s="284">
        <f t="shared" si="38"/>
        <v>953.7700000000001</v>
      </c>
      <c r="J351" s="282">
        <v>0</v>
      </c>
      <c r="K351" s="282" t="s">
        <v>670</v>
      </c>
    </row>
    <row r="352" spans="1:11" ht="30" x14ac:dyDescent="0.2">
      <c r="A352" s="268">
        <f t="shared" si="36"/>
        <v>2021</v>
      </c>
      <c r="B352" s="286">
        <f t="shared" si="37"/>
        <v>6</v>
      </c>
      <c r="C352" s="315">
        <v>44358</v>
      </c>
      <c r="D352" s="315">
        <v>44358</v>
      </c>
      <c r="E352" s="287" t="s">
        <v>340</v>
      </c>
      <c r="F352" s="282">
        <v>15.89</v>
      </c>
      <c r="G352" s="282" t="s">
        <v>26</v>
      </c>
      <c r="H352" s="282" t="str">
        <f t="shared" si="39"/>
        <v>Fixed</v>
      </c>
      <c r="I352" s="284">
        <f t="shared" si="38"/>
        <v>969.66000000000008</v>
      </c>
      <c r="J352" s="282" t="s">
        <v>292</v>
      </c>
      <c r="K352" s="282" t="s">
        <v>781</v>
      </c>
    </row>
    <row r="353" spans="1:11" x14ac:dyDescent="0.2">
      <c r="A353" s="268">
        <f t="shared" si="36"/>
        <v>2021</v>
      </c>
      <c r="B353" s="286">
        <f t="shared" si="37"/>
        <v>6</v>
      </c>
      <c r="C353" s="315">
        <v>44358</v>
      </c>
      <c r="D353" s="315">
        <v>44358</v>
      </c>
      <c r="E353" s="287" t="s">
        <v>341</v>
      </c>
      <c r="F353" s="282">
        <v>16.78</v>
      </c>
      <c r="G353" s="282" t="s">
        <v>41</v>
      </c>
      <c r="H353" s="282" t="str">
        <f t="shared" si="39"/>
        <v>Variable</v>
      </c>
      <c r="I353" s="284">
        <f t="shared" si="38"/>
        <v>986.44</v>
      </c>
      <c r="J353" s="282">
        <v>0</v>
      </c>
      <c r="K353" s="282" t="s">
        <v>670</v>
      </c>
    </row>
    <row r="354" spans="1:11" x14ac:dyDescent="0.2">
      <c r="A354" s="268">
        <f t="shared" si="36"/>
        <v>2021</v>
      </c>
      <c r="B354" s="286">
        <f t="shared" si="37"/>
        <v>6</v>
      </c>
      <c r="C354" s="315">
        <v>44358</v>
      </c>
      <c r="D354" s="315">
        <v>44358</v>
      </c>
      <c r="E354" s="287" t="s">
        <v>342</v>
      </c>
      <c r="F354" s="282">
        <v>52.11</v>
      </c>
      <c r="G354" s="282" t="s">
        <v>67</v>
      </c>
      <c r="H354" s="282" t="str">
        <f t="shared" si="39"/>
        <v>Variable</v>
      </c>
      <c r="I354" s="284">
        <f t="shared" si="38"/>
        <v>1038.55</v>
      </c>
      <c r="J354" s="282" t="s">
        <v>351</v>
      </c>
      <c r="K354" s="282" t="s">
        <v>688</v>
      </c>
    </row>
    <row r="355" spans="1:11" x14ac:dyDescent="0.2">
      <c r="A355" s="268">
        <f t="shared" si="36"/>
        <v>2021</v>
      </c>
      <c r="B355" s="286">
        <f t="shared" si="37"/>
        <v>6</v>
      </c>
      <c r="C355" s="315">
        <v>44358</v>
      </c>
      <c r="D355" s="315">
        <v>44358</v>
      </c>
      <c r="E355" s="287" t="s">
        <v>343</v>
      </c>
      <c r="F355" s="282">
        <v>31.8</v>
      </c>
      <c r="G355" s="282" t="s">
        <v>67</v>
      </c>
      <c r="H355" s="282" t="str">
        <f t="shared" si="39"/>
        <v>Variable</v>
      </c>
      <c r="I355" s="284">
        <f t="shared" si="38"/>
        <v>1070.3499999999999</v>
      </c>
      <c r="J355" s="282">
        <v>0</v>
      </c>
      <c r="K355" s="282" t="s">
        <v>688</v>
      </c>
    </row>
    <row r="356" spans="1:11" x14ac:dyDescent="0.2">
      <c r="A356" s="268">
        <f t="shared" si="36"/>
        <v>2021</v>
      </c>
      <c r="B356" s="286">
        <f t="shared" si="37"/>
        <v>6</v>
      </c>
      <c r="C356" s="315">
        <v>44359</v>
      </c>
      <c r="D356" s="315">
        <v>44359</v>
      </c>
      <c r="E356" s="287" t="s">
        <v>344</v>
      </c>
      <c r="F356" s="282">
        <v>8.3699999999999992</v>
      </c>
      <c r="G356" s="282" t="s">
        <v>67</v>
      </c>
      <c r="H356" s="282" t="str">
        <f t="shared" si="39"/>
        <v>Variable</v>
      </c>
      <c r="I356" s="284">
        <f t="shared" si="38"/>
        <v>1078.7199999999998</v>
      </c>
      <c r="J356" s="282">
        <v>0</v>
      </c>
      <c r="K356" s="282" t="s">
        <v>688</v>
      </c>
    </row>
    <row r="357" spans="1:11" x14ac:dyDescent="0.2">
      <c r="A357" s="268">
        <f t="shared" si="36"/>
        <v>2021</v>
      </c>
      <c r="B357" s="286">
        <f t="shared" si="37"/>
        <v>6</v>
      </c>
      <c r="C357" s="315">
        <v>44359</v>
      </c>
      <c r="D357" s="315">
        <v>44359</v>
      </c>
      <c r="E357" s="287" t="s">
        <v>345</v>
      </c>
      <c r="F357" s="282">
        <v>0.24</v>
      </c>
      <c r="G357" s="282" t="s">
        <v>67</v>
      </c>
      <c r="H357" s="282" t="str">
        <f t="shared" si="39"/>
        <v>Variable</v>
      </c>
      <c r="I357" s="284">
        <f t="shared" si="38"/>
        <v>1078.9599999999998</v>
      </c>
      <c r="J357" s="282" t="s">
        <v>352</v>
      </c>
      <c r="K357" s="282" t="s">
        <v>688</v>
      </c>
    </row>
    <row r="358" spans="1:11" x14ac:dyDescent="0.2">
      <c r="A358" s="268">
        <f t="shared" si="36"/>
        <v>2021</v>
      </c>
      <c r="B358" s="286">
        <f t="shared" si="37"/>
        <v>6</v>
      </c>
      <c r="C358" s="315">
        <v>44359</v>
      </c>
      <c r="D358" s="315">
        <v>44359</v>
      </c>
      <c r="E358" s="287" t="s">
        <v>345</v>
      </c>
      <c r="F358" s="282">
        <v>14.18</v>
      </c>
      <c r="G358" s="282" t="s">
        <v>67</v>
      </c>
      <c r="H358" s="282" t="str">
        <f t="shared" si="39"/>
        <v>Variable</v>
      </c>
      <c r="I358" s="284">
        <f t="shared" si="38"/>
        <v>1093.1399999999999</v>
      </c>
      <c r="J358" s="282" t="s">
        <v>352</v>
      </c>
      <c r="K358" s="282" t="s">
        <v>688</v>
      </c>
    </row>
    <row r="359" spans="1:11" x14ac:dyDescent="0.2">
      <c r="A359" s="268">
        <f t="shared" si="36"/>
        <v>2021</v>
      </c>
      <c r="B359" s="286">
        <f t="shared" si="37"/>
        <v>6</v>
      </c>
      <c r="C359" s="315">
        <v>44359</v>
      </c>
      <c r="D359" s="315">
        <v>44359</v>
      </c>
      <c r="E359" s="287" t="s">
        <v>59</v>
      </c>
      <c r="F359" s="282">
        <v>1.99</v>
      </c>
      <c r="G359" s="282" t="s">
        <v>26</v>
      </c>
      <c r="H359" s="282" t="str">
        <f t="shared" si="39"/>
        <v>Fixed</v>
      </c>
      <c r="I359" s="284">
        <f t="shared" si="38"/>
        <v>1095.1299999999999</v>
      </c>
      <c r="J359" s="282" t="s">
        <v>282</v>
      </c>
      <c r="K359" s="282" t="s">
        <v>781</v>
      </c>
    </row>
    <row r="360" spans="1:11" x14ac:dyDescent="0.2">
      <c r="A360" s="268">
        <f t="shared" si="36"/>
        <v>2021</v>
      </c>
      <c r="B360" s="286">
        <f t="shared" si="37"/>
        <v>6</v>
      </c>
      <c r="C360" s="315">
        <v>44360</v>
      </c>
      <c r="D360" s="315">
        <v>44360</v>
      </c>
      <c r="E360" s="287" t="s">
        <v>346</v>
      </c>
      <c r="F360" s="282">
        <v>2.3199999999999998</v>
      </c>
      <c r="G360" s="282" t="s">
        <v>41</v>
      </c>
      <c r="H360" s="282" t="str">
        <f t="shared" si="39"/>
        <v>Variable</v>
      </c>
      <c r="I360" s="284">
        <f t="shared" si="38"/>
        <v>1097.4499999999998</v>
      </c>
      <c r="J360" s="282">
        <v>0</v>
      </c>
      <c r="K360" s="281" t="s">
        <v>670</v>
      </c>
    </row>
    <row r="361" spans="1:11" x14ac:dyDescent="0.2">
      <c r="A361" s="268">
        <f t="shared" si="36"/>
        <v>2021</v>
      </c>
      <c r="B361" s="286">
        <f t="shared" si="37"/>
        <v>6</v>
      </c>
      <c r="C361" s="315">
        <v>44361</v>
      </c>
      <c r="D361" s="315">
        <v>44361</v>
      </c>
      <c r="E361" s="287" t="s">
        <v>347</v>
      </c>
      <c r="F361" s="282">
        <v>30.12</v>
      </c>
      <c r="G361" s="282" t="s">
        <v>24</v>
      </c>
      <c r="H361" s="282" t="str">
        <f t="shared" si="39"/>
        <v>Variable</v>
      </c>
      <c r="I361" s="284">
        <f t="shared" si="38"/>
        <v>1127.5699999999997</v>
      </c>
      <c r="J361" s="282">
        <v>0</v>
      </c>
      <c r="K361" s="282" t="s">
        <v>628</v>
      </c>
    </row>
    <row r="362" spans="1:11" ht="30" x14ac:dyDescent="0.2">
      <c r="A362" s="268">
        <f t="shared" si="36"/>
        <v>2021</v>
      </c>
      <c r="B362" s="286">
        <f t="shared" si="37"/>
        <v>6</v>
      </c>
      <c r="C362" s="315">
        <v>44363</v>
      </c>
      <c r="D362" s="315">
        <v>44363</v>
      </c>
      <c r="E362" s="287" t="s">
        <v>348</v>
      </c>
      <c r="F362" s="282">
        <v>194</v>
      </c>
      <c r="G362" s="282" t="s">
        <v>118</v>
      </c>
      <c r="H362" s="282" t="str">
        <f t="shared" si="39"/>
        <v>Variable</v>
      </c>
      <c r="I362" s="284">
        <f t="shared" si="38"/>
        <v>1321.5699999999997</v>
      </c>
      <c r="J362" s="282">
        <v>0</v>
      </c>
      <c r="K362" s="282" t="s">
        <v>692</v>
      </c>
    </row>
    <row r="363" spans="1:11" x14ac:dyDescent="0.2">
      <c r="A363" s="268">
        <f t="shared" ref="A363:A426" si="40">YEAR(C363)</f>
        <v>2021</v>
      </c>
      <c r="B363" s="286">
        <f t="shared" si="37"/>
        <v>6</v>
      </c>
      <c r="C363" s="315">
        <v>44364</v>
      </c>
      <c r="D363" s="315">
        <v>44364</v>
      </c>
      <c r="E363" s="287" t="s">
        <v>1098</v>
      </c>
      <c r="F363" s="282">
        <v>3.13</v>
      </c>
      <c r="G363" s="316" t="s">
        <v>67</v>
      </c>
      <c r="H363" s="282" t="str">
        <f t="shared" si="39"/>
        <v>Variable</v>
      </c>
      <c r="I363" s="284">
        <f t="shared" si="38"/>
        <v>1324.6999999999998</v>
      </c>
      <c r="J363" s="282"/>
      <c r="K363" s="282"/>
    </row>
    <row r="364" spans="1:11" x14ac:dyDescent="0.2">
      <c r="A364" s="268">
        <f t="shared" si="40"/>
        <v>2021</v>
      </c>
      <c r="B364" s="286">
        <f t="shared" si="37"/>
        <v>6</v>
      </c>
      <c r="C364" s="315">
        <v>44364</v>
      </c>
      <c r="D364" s="315">
        <v>44364</v>
      </c>
      <c r="E364" s="287" t="s">
        <v>349</v>
      </c>
      <c r="F364" s="282">
        <v>50</v>
      </c>
      <c r="G364" s="282" t="s">
        <v>26</v>
      </c>
      <c r="H364" s="282" t="str">
        <f t="shared" si="39"/>
        <v>Fixed</v>
      </c>
      <c r="I364" s="284">
        <f t="shared" si="38"/>
        <v>1374.6999999999998</v>
      </c>
      <c r="J364" s="282" t="s">
        <v>353</v>
      </c>
      <c r="K364" s="282" t="s">
        <v>781</v>
      </c>
    </row>
    <row r="365" spans="1:11" x14ac:dyDescent="0.2">
      <c r="A365" s="268">
        <f t="shared" si="40"/>
        <v>2021</v>
      </c>
      <c r="B365" s="286">
        <f t="shared" si="37"/>
        <v>6</v>
      </c>
      <c r="C365" s="315">
        <v>44365</v>
      </c>
      <c r="D365" s="315">
        <v>44365</v>
      </c>
      <c r="E365" s="287" t="s">
        <v>531</v>
      </c>
      <c r="F365" s="282">
        <v>7.82</v>
      </c>
      <c r="G365" s="282" t="s">
        <v>67</v>
      </c>
      <c r="H365" s="282" t="str">
        <f t="shared" si="39"/>
        <v>Variable</v>
      </c>
      <c r="I365" s="284">
        <f t="shared" si="38"/>
        <v>1382.5199999999998</v>
      </c>
      <c r="J365" s="282">
        <v>0</v>
      </c>
      <c r="K365" s="282" t="s">
        <v>688</v>
      </c>
    </row>
    <row r="366" spans="1:11" ht="30" x14ac:dyDescent="0.2">
      <c r="A366" s="268">
        <f t="shared" si="40"/>
        <v>2021</v>
      </c>
      <c r="B366" s="286">
        <f t="shared" si="37"/>
        <v>6</v>
      </c>
      <c r="C366" s="315">
        <v>44365</v>
      </c>
      <c r="D366" s="315">
        <v>44365</v>
      </c>
      <c r="E366" s="287" t="s">
        <v>99</v>
      </c>
      <c r="F366" s="282">
        <v>86.25</v>
      </c>
      <c r="G366" s="282" t="s">
        <v>26</v>
      </c>
      <c r="H366" s="282" t="str">
        <f t="shared" si="39"/>
        <v>Fixed</v>
      </c>
      <c r="I366" s="284">
        <f t="shared" si="38"/>
        <v>1468.7699999999998</v>
      </c>
      <c r="J366" s="282" t="s">
        <v>293</v>
      </c>
      <c r="K366" s="282" t="s">
        <v>781</v>
      </c>
    </row>
    <row r="367" spans="1:11" x14ac:dyDescent="0.2">
      <c r="A367" s="268">
        <f t="shared" si="40"/>
        <v>2021</v>
      </c>
      <c r="B367" s="286">
        <f t="shared" si="37"/>
        <v>6</v>
      </c>
      <c r="C367" s="315">
        <v>44366</v>
      </c>
      <c r="D367" s="315">
        <v>44366</v>
      </c>
      <c r="E367" s="287" t="s">
        <v>532</v>
      </c>
      <c r="F367" s="282">
        <v>11.05</v>
      </c>
      <c r="G367" s="282" t="s">
        <v>41</v>
      </c>
      <c r="H367" s="282" t="str">
        <f t="shared" si="39"/>
        <v>Variable</v>
      </c>
      <c r="I367" s="284">
        <f t="shared" si="38"/>
        <v>1479.8199999999997</v>
      </c>
      <c r="J367" s="282">
        <v>0</v>
      </c>
      <c r="K367" s="281" t="s">
        <v>670</v>
      </c>
    </row>
    <row r="368" spans="1:11" x14ac:dyDescent="0.2">
      <c r="A368" s="268">
        <f t="shared" si="40"/>
        <v>2021</v>
      </c>
      <c r="B368" s="286">
        <f t="shared" si="37"/>
        <v>6</v>
      </c>
      <c r="C368" s="315">
        <v>44366</v>
      </c>
      <c r="D368" s="315">
        <v>44366</v>
      </c>
      <c r="E368" s="287" t="s">
        <v>533</v>
      </c>
      <c r="F368" s="282">
        <v>74.19</v>
      </c>
      <c r="G368" s="282" t="s">
        <v>67</v>
      </c>
      <c r="H368" s="282" t="str">
        <f t="shared" si="39"/>
        <v>Variable</v>
      </c>
      <c r="I368" s="284">
        <f t="shared" si="38"/>
        <v>1554.0099999999998</v>
      </c>
      <c r="J368" s="282">
        <v>0</v>
      </c>
      <c r="K368" s="282" t="s">
        <v>688</v>
      </c>
    </row>
    <row r="369" spans="1:11" x14ac:dyDescent="0.2">
      <c r="A369" s="268">
        <f t="shared" si="40"/>
        <v>2021</v>
      </c>
      <c r="B369" s="286">
        <f t="shared" si="37"/>
        <v>6</v>
      </c>
      <c r="C369" s="315">
        <v>44367</v>
      </c>
      <c r="D369" s="315">
        <v>44367</v>
      </c>
      <c r="E369" s="287" t="s">
        <v>534</v>
      </c>
      <c r="F369" s="282">
        <v>17.53</v>
      </c>
      <c r="G369" s="282" t="s">
        <v>24</v>
      </c>
      <c r="H369" s="282" t="str">
        <f t="shared" si="39"/>
        <v>Variable</v>
      </c>
      <c r="I369" s="284">
        <f t="shared" si="38"/>
        <v>1571.5399999999997</v>
      </c>
      <c r="J369" s="282">
        <v>0</v>
      </c>
      <c r="K369" s="281" t="s">
        <v>628</v>
      </c>
    </row>
    <row r="370" spans="1:11" x14ac:dyDescent="0.2">
      <c r="A370" s="268">
        <f t="shared" si="40"/>
        <v>2021</v>
      </c>
      <c r="B370" s="286">
        <f t="shared" si="37"/>
        <v>6</v>
      </c>
      <c r="C370" s="315">
        <v>44368</v>
      </c>
      <c r="D370" s="315">
        <v>44368</v>
      </c>
      <c r="E370" s="287" t="s">
        <v>535</v>
      </c>
      <c r="F370" s="282">
        <v>5.4</v>
      </c>
      <c r="G370" s="282" t="s">
        <v>67</v>
      </c>
      <c r="H370" s="282" t="str">
        <f t="shared" si="39"/>
        <v>Variable</v>
      </c>
      <c r="I370" s="284">
        <f t="shared" si="38"/>
        <v>1576.9399999999998</v>
      </c>
      <c r="J370" s="282">
        <v>0</v>
      </c>
      <c r="K370" s="282" t="s">
        <v>688</v>
      </c>
    </row>
    <row r="371" spans="1:11" x14ac:dyDescent="0.2">
      <c r="A371" s="268">
        <f t="shared" si="40"/>
        <v>2021</v>
      </c>
      <c r="B371" s="286">
        <f t="shared" si="37"/>
        <v>6</v>
      </c>
      <c r="C371" s="315">
        <v>44368</v>
      </c>
      <c r="D371" s="315">
        <v>44368</v>
      </c>
      <c r="E371" s="287" t="s">
        <v>536</v>
      </c>
      <c r="F371" s="282">
        <v>27.87</v>
      </c>
      <c r="G371" s="282" t="s">
        <v>24</v>
      </c>
      <c r="H371" s="282" t="str">
        <f t="shared" si="39"/>
        <v>Variable</v>
      </c>
      <c r="I371" s="284">
        <f t="shared" si="38"/>
        <v>1604.8099999999997</v>
      </c>
      <c r="J371" s="282">
        <v>0</v>
      </c>
      <c r="K371" s="282" t="s">
        <v>628</v>
      </c>
    </row>
    <row r="372" spans="1:11" x14ac:dyDescent="0.2">
      <c r="A372" s="268">
        <f t="shared" si="40"/>
        <v>2021</v>
      </c>
      <c r="B372" s="286">
        <f t="shared" si="37"/>
        <v>6</v>
      </c>
      <c r="C372" s="315">
        <v>44368</v>
      </c>
      <c r="D372" s="315">
        <v>44368</v>
      </c>
      <c r="E372" s="287" t="s">
        <v>537</v>
      </c>
      <c r="F372" s="282">
        <v>3.81</v>
      </c>
      <c r="G372" s="282" t="s">
        <v>41</v>
      </c>
      <c r="H372" s="282" t="str">
        <f t="shared" si="39"/>
        <v>Variable</v>
      </c>
      <c r="I372" s="284">
        <f t="shared" si="38"/>
        <v>1608.6199999999997</v>
      </c>
      <c r="J372" s="282">
        <v>0</v>
      </c>
      <c r="K372" s="282" t="s">
        <v>670</v>
      </c>
    </row>
    <row r="373" spans="1:11" x14ac:dyDescent="0.2">
      <c r="A373" s="268">
        <f t="shared" si="40"/>
        <v>2021</v>
      </c>
      <c r="B373" s="286">
        <f t="shared" si="37"/>
        <v>6</v>
      </c>
      <c r="C373" s="315">
        <v>44368</v>
      </c>
      <c r="D373" s="315">
        <v>44368</v>
      </c>
      <c r="E373" s="287" t="s">
        <v>538</v>
      </c>
      <c r="F373" s="282">
        <v>75</v>
      </c>
      <c r="G373" s="282" t="s">
        <v>52</v>
      </c>
      <c r="H373" s="282" t="str">
        <f t="shared" si="39"/>
        <v>Variable</v>
      </c>
      <c r="I373" s="284">
        <f t="shared" si="38"/>
        <v>1683.6199999999997</v>
      </c>
      <c r="J373" s="282" t="s">
        <v>597</v>
      </c>
      <c r="K373" s="282" t="s">
        <v>688</v>
      </c>
    </row>
    <row r="374" spans="1:11" x14ac:dyDescent="0.2">
      <c r="A374" s="268">
        <f t="shared" si="40"/>
        <v>2021</v>
      </c>
      <c r="B374" s="286">
        <f t="shared" si="37"/>
        <v>6</v>
      </c>
      <c r="C374" s="315">
        <v>44368</v>
      </c>
      <c r="D374" s="315">
        <v>44368</v>
      </c>
      <c r="E374" s="287" t="s">
        <v>80</v>
      </c>
      <c r="F374" s="282">
        <v>7.99</v>
      </c>
      <c r="G374" s="282" t="s">
        <v>26</v>
      </c>
      <c r="H374" s="282" t="str">
        <f t="shared" si="39"/>
        <v>Fixed</v>
      </c>
      <c r="I374" s="284">
        <f t="shared" si="38"/>
        <v>1691.6099999999997</v>
      </c>
      <c r="J374" s="282" t="s">
        <v>9</v>
      </c>
      <c r="K374" s="282" t="s">
        <v>781</v>
      </c>
    </row>
    <row r="375" spans="1:11" x14ac:dyDescent="0.2">
      <c r="A375" s="268">
        <f t="shared" si="40"/>
        <v>2021</v>
      </c>
      <c r="B375" s="286">
        <f t="shared" si="37"/>
        <v>6</v>
      </c>
      <c r="C375" s="315">
        <v>44368</v>
      </c>
      <c r="D375" s="315">
        <v>44368</v>
      </c>
      <c r="E375" s="287" t="s">
        <v>97</v>
      </c>
      <c r="F375" s="282">
        <v>60.38</v>
      </c>
      <c r="G375" s="282" t="s">
        <v>67</v>
      </c>
      <c r="H375" s="282" t="str">
        <f t="shared" si="39"/>
        <v>Variable</v>
      </c>
      <c r="I375" s="284">
        <f t="shared" si="38"/>
        <v>1751.9899999999998</v>
      </c>
      <c r="J375" s="282" t="s">
        <v>105</v>
      </c>
      <c r="K375" s="282" t="s">
        <v>688</v>
      </c>
    </row>
    <row r="376" spans="1:11" x14ac:dyDescent="0.2">
      <c r="A376" s="268">
        <f t="shared" si="40"/>
        <v>2021</v>
      </c>
      <c r="B376" s="286">
        <f t="shared" si="37"/>
        <v>6</v>
      </c>
      <c r="C376" s="315">
        <v>44368</v>
      </c>
      <c r="D376" s="315">
        <v>44368</v>
      </c>
      <c r="E376" s="287" t="s">
        <v>539</v>
      </c>
      <c r="F376" s="282">
        <v>200</v>
      </c>
      <c r="G376" s="282" t="s">
        <v>41</v>
      </c>
      <c r="H376" s="282" t="str">
        <f t="shared" si="39"/>
        <v>Variable</v>
      </c>
      <c r="I376" s="284">
        <f t="shared" si="38"/>
        <v>1951.9899999999998</v>
      </c>
      <c r="J376" s="282" t="s">
        <v>600</v>
      </c>
      <c r="K376" s="282" t="s">
        <v>670</v>
      </c>
    </row>
    <row r="377" spans="1:11" x14ac:dyDescent="0.2">
      <c r="A377" s="268">
        <f t="shared" si="40"/>
        <v>2021</v>
      </c>
      <c r="B377" s="286">
        <f t="shared" si="37"/>
        <v>6</v>
      </c>
      <c r="C377" s="315">
        <v>44369</v>
      </c>
      <c r="D377" s="315">
        <v>44369</v>
      </c>
      <c r="E377" s="287" t="s">
        <v>195</v>
      </c>
      <c r="F377" s="282">
        <v>35</v>
      </c>
      <c r="G377" s="282" t="s">
        <v>52</v>
      </c>
      <c r="H377" s="282" t="str">
        <f t="shared" si="39"/>
        <v>Variable</v>
      </c>
      <c r="I377" s="284">
        <f t="shared" si="38"/>
        <v>1986.9899999999998</v>
      </c>
      <c r="J377" s="282" t="s">
        <v>1101</v>
      </c>
      <c r="K377" s="282" t="s">
        <v>628</v>
      </c>
    </row>
    <row r="378" spans="1:11" x14ac:dyDescent="0.2">
      <c r="A378" s="268">
        <f t="shared" si="40"/>
        <v>2021</v>
      </c>
      <c r="B378" s="286">
        <f t="shared" si="37"/>
        <v>6</v>
      </c>
      <c r="C378" s="315">
        <v>44369</v>
      </c>
      <c r="D378" s="315">
        <v>44369</v>
      </c>
      <c r="E378" s="287" t="s">
        <v>540</v>
      </c>
      <c r="F378" s="282">
        <v>199</v>
      </c>
      <c r="G378" s="282" t="s">
        <v>90</v>
      </c>
      <c r="H378" s="282" t="str">
        <f t="shared" si="39"/>
        <v>Variable</v>
      </c>
      <c r="I378" s="284">
        <f t="shared" si="38"/>
        <v>2185.9899999999998</v>
      </c>
      <c r="J378" s="282">
        <v>0</v>
      </c>
      <c r="K378" s="282" t="s">
        <v>688</v>
      </c>
    </row>
    <row r="379" spans="1:11" x14ac:dyDescent="0.2">
      <c r="A379" s="268">
        <f t="shared" si="40"/>
        <v>2021</v>
      </c>
      <c r="B379" s="286">
        <f t="shared" si="37"/>
        <v>6</v>
      </c>
      <c r="C379" s="315">
        <v>44370</v>
      </c>
      <c r="D379" s="315">
        <v>44370</v>
      </c>
      <c r="E379" s="287" t="s">
        <v>21</v>
      </c>
      <c r="F379" s="317">
        <v>-1869</v>
      </c>
      <c r="G379" s="282" t="s">
        <v>22</v>
      </c>
      <c r="H379" s="282" t="str">
        <f t="shared" si="39"/>
        <v>Payment</v>
      </c>
      <c r="I379" s="284">
        <f t="shared" si="38"/>
        <v>316.98999999999978</v>
      </c>
      <c r="J379" s="282">
        <v>0</v>
      </c>
      <c r="K379" s="282">
        <v>0</v>
      </c>
    </row>
    <row r="380" spans="1:11" x14ac:dyDescent="0.2">
      <c r="A380" s="268">
        <f t="shared" si="40"/>
        <v>2021</v>
      </c>
      <c r="B380" s="286">
        <f t="shared" si="37"/>
        <v>6</v>
      </c>
      <c r="C380" s="315">
        <v>44370</v>
      </c>
      <c r="D380" s="315">
        <v>44370</v>
      </c>
      <c r="E380" s="287" t="s">
        <v>541</v>
      </c>
      <c r="F380" s="282">
        <v>22</v>
      </c>
      <c r="G380" s="282" t="s">
        <v>41</v>
      </c>
      <c r="H380" s="282" t="str">
        <f t="shared" si="39"/>
        <v>Variable</v>
      </c>
      <c r="I380" s="284">
        <f t="shared" si="38"/>
        <v>338.98999999999978</v>
      </c>
      <c r="J380" s="282">
        <v>0</v>
      </c>
      <c r="K380" s="282" t="s">
        <v>670</v>
      </c>
    </row>
    <row r="381" spans="1:11" x14ac:dyDescent="0.2">
      <c r="A381" s="268">
        <f t="shared" si="40"/>
        <v>2021</v>
      </c>
      <c r="B381" s="286">
        <f t="shared" si="37"/>
        <v>6</v>
      </c>
      <c r="C381" s="315">
        <v>44371</v>
      </c>
      <c r="D381" s="315">
        <v>44371</v>
      </c>
      <c r="E381" s="287" t="s">
        <v>542</v>
      </c>
      <c r="F381" s="282">
        <v>36.520000000000003</v>
      </c>
      <c r="G381" s="282" t="s">
        <v>89</v>
      </c>
      <c r="H381" s="282" t="str">
        <f t="shared" si="39"/>
        <v>Variable</v>
      </c>
      <c r="I381" s="284">
        <f t="shared" si="38"/>
        <v>375.50999999999976</v>
      </c>
      <c r="J381" s="282">
        <v>0</v>
      </c>
      <c r="K381" s="282" t="s">
        <v>670</v>
      </c>
    </row>
    <row r="382" spans="1:11" x14ac:dyDescent="0.2">
      <c r="A382" s="268">
        <f t="shared" si="40"/>
        <v>2021</v>
      </c>
      <c r="B382" s="286">
        <f t="shared" si="37"/>
        <v>6</v>
      </c>
      <c r="C382" s="315">
        <v>44371</v>
      </c>
      <c r="D382" s="315">
        <v>44371</v>
      </c>
      <c r="E382" s="287" t="s">
        <v>543</v>
      </c>
      <c r="F382" s="282">
        <v>88.85</v>
      </c>
      <c r="G382" s="282" t="s">
        <v>52</v>
      </c>
      <c r="H382" s="282" t="str">
        <f t="shared" si="39"/>
        <v>Variable</v>
      </c>
      <c r="I382" s="284">
        <f t="shared" si="38"/>
        <v>464.35999999999979</v>
      </c>
      <c r="J382" s="282" t="s">
        <v>598</v>
      </c>
      <c r="K382" s="282" t="s">
        <v>688</v>
      </c>
    </row>
    <row r="383" spans="1:11" x14ac:dyDescent="0.2">
      <c r="A383" s="268">
        <f t="shared" si="40"/>
        <v>2021</v>
      </c>
      <c r="B383" s="286">
        <f t="shared" si="37"/>
        <v>6</v>
      </c>
      <c r="C383" s="315">
        <v>44372</v>
      </c>
      <c r="D383" s="315">
        <v>44372</v>
      </c>
      <c r="E383" s="287" t="s">
        <v>544</v>
      </c>
      <c r="F383" s="282">
        <v>55.11</v>
      </c>
      <c r="G383" s="282" t="s">
        <v>67</v>
      </c>
      <c r="H383" s="282" t="str">
        <f t="shared" si="39"/>
        <v>Variable</v>
      </c>
      <c r="I383" s="284">
        <f t="shared" si="38"/>
        <v>519.4699999999998</v>
      </c>
      <c r="J383" s="282">
        <v>0</v>
      </c>
      <c r="K383" s="282" t="s">
        <v>670</v>
      </c>
    </row>
    <row r="384" spans="1:11" x14ac:dyDescent="0.2">
      <c r="A384" s="268">
        <f t="shared" si="40"/>
        <v>2021</v>
      </c>
      <c r="B384" s="286">
        <f t="shared" si="37"/>
        <v>6</v>
      </c>
      <c r="C384" s="315">
        <v>44372</v>
      </c>
      <c r="D384" s="315">
        <v>44372</v>
      </c>
      <c r="E384" s="287" t="s">
        <v>545</v>
      </c>
      <c r="F384" s="282">
        <v>8.6300000000000008</v>
      </c>
      <c r="G384" s="282" t="s">
        <v>41</v>
      </c>
      <c r="H384" s="282" t="str">
        <f t="shared" si="39"/>
        <v>Variable</v>
      </c>
      <c r="I384" s="284">
        <f t="shared" si="38"/>
        <v>528.0999999999998</v>
      </c>
      <c r="J384" s="282">
        <v>0</v>
      </c>
      <c r="K384" s="282" t="s">
        <v>670</v>
      </c>
    </row>
    <row r="385" spans="1:11" x14ac:dyDescent="0.2">
      <c r="A385" s="268">
        <f t="shared" si="40"/>
        <v>2021</v>
      </c>
      <c r="B385" s="286">
        <f t="shared" si="37"/>
        <v>6</v>
      </c>
      <c r="C385" s="315">
        <v>44372</v>
      </c>
      <c r="D385" s="315">
        <v>44372</v>
      </c>
      <c r="E385" s="287" t="s">
        <v>139</v>
      </c>
      <c r="F385" s="282">
        <v>268.14999999999998</v>
      </c>
      <c r="G385" s="282" t="s">
        <v>67</v>
      </c>
      <c r="H385" s="282" t="str">
        <f t="shared" si="39"/>
        <v>Variable</v>
      </c>
      <c r="I385" s="284">
        <f t="shared" si="38"/>
        <v>796.24999999999977</v>
      </c>
      <c r="J385" s="282">
        <v>0</v>
      </c>
      <c r="K385" s="282" t="s">
        <v>688</v>
      </c>
    </row>
    <row r="386" spans="1:11" x14ac:dyDescent="0.2">
      <c r="A386" s="268">
        <f t="shared" si="40"/>
        <v>2021</v>
      </c>
      <c r="B386" s="286">
        <f t="shared" ref="B386:B445" si="41">MONTH(C386)</f>
        <v>6</v>
      </c>
      <c r="C386" s="315">
        <v>44373</v>
      </c>
      <c r="D386" s="315">
        <v>44373</v>
      </c>
      <c r="E386" s="287" t="s">
        <v>546</v>
      </c>
      <c r="F386" s="282">
        <v>9.07</v>
      </c>
      <c r="G386" s="282" t="s">
        <v>41</v>
      </c>
      <c r="H386" s="282" t="str">
        <f t="shared" si="39"/>
        <v>Variable</v>
      </c>
      <c r="I386" s="284">
        <f t="shared" si="38"/>
        <v>805.31999999999982</v>
      </c>
      <c r="J386" s="282" t="s">
        <v>599</v>
      </c>
      <c r="K386" s="282" t="s">
        <v>677</v>
      </c>
    </row>
    <row r="387" spans="1:11" x14ac:dyDescent="0.2">
      <c r="A387" s="268">
        <f t="shared" si="40"/>
        <v>2021</v>
      </c>
      <c r="B387" s="286">
        <f t="shared" si="41"/>
        <v>6</v>
      </c>
      <c r="C387" s="315">
        <v>44373</v>
      </c>
      <c r="D387" s="315">
        <v>44373</v>
      </c>
      <c r="E387" s="287" t="s">
        <v>547</v>
      </c>
      <c r="F387" s="282">
        <v>2.75</v>
      </c>
      <c r="G387" s="282" t="s">
        <v>88</v>
      </c>
      <c r="H387" s="282" t="str">
        <f t="shared" si="39"/>
        <v>Variable</v>
      </c>
      <c r="I387" s="284">
        <f t="shared" si="38"/>
        <v>808.06999999999982</v>
      </c>
      <c r="J387" s="282" t="s">
        <v>599</v>
      </c>
      <c r="K387" s="282" t="s">
        <v>677</v>
      </c>
    </row>
    <row r="388" spans="1:11" x14ac:dyDescent="0.2">
      <c r="A388" s="268">
        <f t="shared" si="40"/>
        <v>2021</v>
      </c>
      <c r="B388" s="286">
        <f t="shared" si="41"/>
        <v>6</v>
      </c>
      <c r="C388" s="315">
        <v>44373</v>
      </c>
      <c r="D388" s="315">
        <v>44373</v>
      </c>
      <c r="E388" s="287" t="s">
        <v>548</v>
      </c>
      <c r="F388" s="282">
        <v>2.75</v>
      </c>
      <c r="G388" s="282" t="s">
        <v>88</v>
      </c>
      <c r="H388" s="282" t="str">
        <f t="shared" si="39"/>
        <v>Variable</v>
      </c>
      <c r="I388" s="284">
        <f t="shared" ref="I388:I451" si="42">I387+F388</f>
        <v>810.81999999999982</v>
      </c>
      <c r="J388" s="282" t="s">
        <v>599</v>
      </c>
      <c r="K388" s="282" t="s">
        <v>677</v>
      </c>
    </row>
    <row r="389" spans="1:11" x14ac:dyDescent="0.2">
      <c r="A389" s="268">
        <f t="shared" si="40"/>
        <v>2021</v>
      </c>
      <c r="B389" s="286">
        <f t="shared" si="41"/>
        <v>6</v>
      </c>
      <c r="C389" s="315">
        <v>44373</v>
      </c>
      <c r="D389" s="315">
        <v>44374</v>
      </c>
      <c r="E389" s="287" t="s">
        <v>549</v>
      </c>
      <c r="F389" s="282">
        <v>-5.4</v>
      </c>
      <c r="G389" s="282" t="s">
        <v>22</v>
      </c>
      <c r="H389" s="282" t="str">
        <f t="shared" si="39"/>
        <v>Payment</v>
      </c>
      <c r="I389" s="284">
        <f t="shared" si="42"/>
        <v>805.41999999999985</v>
      </c>
      <c r="J389" s="282">
        <v>0</v>
      </c>
      <c r="K389" s="282">
        <v>0</v>
      </c>
    </row>
    <row r="390" spans="1:11" x14ac:dyDescent="0.2">
      <c r="A390" s="268">
        <f t="shared" si="40"/>
        <v>2021</v>
      </c>
      <c r="B390" s="286">
        <f t="shared" si="41"/>
        <v>6</v>
      </c>
      <c r="C390" s="315">
        <v>44374</v>
      </c>
      <c r="D390" s="315">
        <v>44374</v>
      </c>
      <c r="E390" s="287" t="s">
        <v>336</v>
      </c>
      <c r="F390" s="282">
        <v>10</v>
      </c>
      <c r="G390" s="282" t="s">
        <v>67</v>
      </c>
      <c r="H390" s="282" t="str">
        <f t="shared" si="39"/>
        <v>Variable</v>
      </c>
      <c r="I390" s="284">
        <f t="shared" si="42"/>
        <v>815.41999999999985</v>
      </c>
      <c r="J390" s="282" t="s">
        <v>719</v>
      </c>
      <c r="K390" s="282" t="s">
        <v>688</v>
      </c>
    </row>
    <row r="391" spans="1:11" x14ac:dyDescent="0.2">
      <c r="A391" s="268">
        <f t="shared" si="40"/>
        <v>2021</v>
      </c>
      <c r="B391" s="286">
        <f t="shared" si="41"/>
        <v>6</v>
      </c>
      <c r="C391" s="315">
        <v>44374</v>
      </c>
      <c r="D391" s="315">
        <v>44374</v>
      </c>
      <c r="E391" s="287" t="s">
        <v>550</v>
      </c>
      <c r="F391" s="282">
        <v>3.99</v>
      </c>
      <c r="G391" s="282" t="s">
        <v>89</v>
      </c>
      <c r="H391" s="282" t="str">
        <f t="shared" si="39"/>
        <v>Variable</v>
      </c>
      <c r="I391" s="284">
        <f t="shared" si="42"/>
        <v>819.40999999999985</v>
      </c>
      <c r="J391" s="282" t="s">
        <v>599</v>
      </c>
      <c r="K391" s="282" t="s">
        <v>677</v>
      </c>
    </row>
    <row r="392" spans="1:11" x14ac:dyDescent="0.2">
      <c r="A392" s="268">
        <f t="shared" si="40"/>
        <v>2021</v>
      </c>
      <c r="B392" s="286">
        <f t="shared" si="41"/>
        <v>6</v>
      </c>
      <c r="C392" s="315">
        <v>44374</v>
      </c>
      <c r="D392" s="315">
        <v>44374</v>
      </c>
      <c r="E392" s="287" t="s">
        <v>551</v>
      </c>
      <c r="F392" s="282">
        <v>2.75</v>
      </c>
      <c r="G392" s="282" t="s">
        <v>88</v>
      </c>
      <c r="H392" s="282" t="str">
        <f t="shared" si="39"/>
        <v>Variable</v>
      </c>
      <c r="I392" s="284">
        <f t="shared" si="42"/>
        <v>822.15999999999985</v>
      </c>
      <c r="J392" s="282" t="s">
        <v>599</v>
      </c>
      <c r="K392" s="282" t="s">
        <v>677</v>
      </c>
    </row>
    <row r="393" spans="1:11" x14ac:dyDescent="0.2">
      <c r="A393" s="268">
        <f t="shared" si="40"/>
        <v>2021</v>
      </c>
      <c r="B393" s="286">
        <f t="shared" si="41"/>
        <v>6</v>
      </c>
      <c r="C393" s="315">
        <v>44374</v>
      </c>
      <c r="D393" s="315">
        <v>44374</v>
      </c>
      <c r="E393" s="287" t="s">
        <v>552</v>
      </c>
      <c r="F393" s="282">
        <v>2.75</v>
      </c>
      <c r="G393" s="282" t="s">
        <v>88</v>
      </c>
      <c r="H393" s="282" t="str">
        <f t="shared" si="39"/>
        <v>Variable</v>
      </c>
      <c r="I393" s="284">
        <f t="shared" si="42"/>
        <v>824.90999999999985</v>
      </c>
      <c r="J393" s="282" t="s">
        <v>599</v>
      </c>
      <c r="K393" s="282" t="s">
        <v>677</v>
      </c>
    </row>
    <row r="394" spans="1:11" x14ac:dyDescent="0.2">
      <c r="A394" s="268">
        <f t="shared" si="40"/>
        <v>2021</v>
      </c>
      <c r="B394" s="286">
        <f t="shared" si="41"/>
        <v>6</v>
      </c>
      <c r="C394" s="315">
        <v>44374</v>
      </c>
      <c r="D394" s="315">
        <v>44374</v>
      </c>
      <c r="E394" s="287" t="s">
        <v>111</v>
      </c>
      <c r="F394" s="282">
        <v>9.99</v>
      </c>
      <c r="G394" s="282" t="s">
        <v>26</v>
      </c>
      <c r="H394" s="282" t="str">
        <f t="shared" si="39"/>
        <v>Fixed</v>
      </c>
      <c r="I394" s="284">
        <f t="shared" si="42"/>
        <v>834.89999999999986</v>
      </c>
      <c r="J394" s="282" t="s">
        <v>294</v>
      </c>
      <c r="K394" s="282" t="s">
        <v>781</v>
      </c>
    </row>
    <row r="395" spans="1:11" x14ac:dyDescent="0.2">
      <c r="A395" s="268">
        <f t="shared" si="40"/>
        <v>2021</v>
      </c>
      <c r="B395" s="286">
        <f t="shared" si="41"/>
        <v>6</v>
      </c>
      <c r="C395" s="315">
        <v>44374</v>
      </c>
      <c r="D395" s="315">
        <v>44374</v>
      </c>
      <c r="E395" s="287" t="s">
        <v>553</v>
      </c>
      <c r="F395" s="282">
        <v>10.25</v>
      </c>
      <c r="G395" s="282" t="s">
        <v>89</v>
      </c>
      <c r="H395" s="282" t="str">
        <f t="shared" si="39"/>
        <v>Variable</v>
      </c>
      <c r="I395" s="284">
        <f t="shared" si="42"/>
        <v>845.14999999999986</v>
      </c>
      <c r="J395" s="282" t="s">
        <v>599</v>
      </c>
      <c r="K395" s="282" t="s">
        <v>677</v>
      </c>
    </row>
    <row r="396" spans="1:11" x14ac:dyDescent="0.2">
      <c r="A396" s="268">
        <f t="shared" si="40"/>
        <v>2021</v>
      </c>
      <c r="B396" s="286">
        <f t="shared" si="41"/>
        <v>6</v>
      </c>
      <c r="C396" s="315">
        <v>44375</v>
      </c>
      <c r="D396" s="315">
        <v>44375</v>
      </c>
      <c r="E396" s="287" t="s">
        <v>554</v>
      </c>
      <c r="F396" s="282">
        <v>21.77</v>
      </c>
      <c r="G396" s="282" t="s">
        <v>194</v>
      </c>
      <c r="H396" s="282" t="str">
        <f t="shared" si="39"/>
        <v>Variable</v>
      </c>
      <c r="I396" s="284">
        <f t="shared" si="42"/>
        <v>866.91999999999985</v>
      </c>
      <c r="J396" s="282" t="s">
        <v>599</v>
      </c>
      <c r="K396" s="282" t="s">
        <v>677</v>
      </c>
    </row>
    <row r="397" spans="1:11" x14ac:dyDescent="0.2">
      <c r="A397" s="268">
        <f t="shared" si="40"/>
        <v>2021</v>
      </c>
      <c r="B397" s="286">
        <f t="shared" si="41"/>
        <v>6</v>
      </c>
      <c r="C397" s="315">
        <v>44375</v>
      </c>
      <c r="D397" s="315">
        <v>44375</v>
      </c>
      <c r="E397" s="287" t="s">
        <v>555</v>
      </c>
      <c r="F397" s="282">
        <v>5.38</v>
      </c>
      <c r="G397" s="282" t="s">
        <v>88</v>
      </c>
      <c r="H397" s="282" t="str">
        <f t="shared" si="39"/>
        <v>Variable</v>
      </c>
      <c r="I397" s="284">
        <f t="shared" si="42"/>
        <v>872.29999999999984</v>
      </c>
      <c r="J397" s="282" t="s">
        <v>599</v>
      </c>
      <c r="K397" s="282" t="s">
        <v>677</v>
      </c>
    </row>
    <row r="398" spans="1:11" x14ac:dyDescent="0.2">
      <c r="A398" s="268">
        <f t="shared" si="40"/>
        <v>2021</v>
      </c>
      <c r="B398" s="286">
        <f t="shared" si="41"/>
        <v>6</v>
      </c>
      <c r="C398" s="315">
        <v>44375</v>
      </c>
      <c r="D398" s="315">
        <v>44375</v>
      </c>
      <c r="E398" s="287" t="s">
        <v>556</v>
      </c>
      <c r="F398" s="282">
        <v>2.75</v>
      </c>
      <c r="G398" s="282" t="s">
        <v>88</v>
      </c>
      <c r="H398" s="282" t="str">
        <f t="shared" si="39"/>
        <v>Variable</v>
      </c>
      <c r="I398" s="284">
        <f t="shared" si="42"/>
        <v>875.04999999999984</v>
      </c>
      <c r="J398" s="282" t="s">
        <v>599</v>
      </c>
      <c r="K398" s="282" t="s">
        <v>677</v>
      </c>
    </row>
    <row r="399" spans="1:11" x14ac:dyDescent="0.2">
      <c r="A399" s="268">
        <f t="shared" si="40"/>
        <v>2021</v>
      </c>
      <c r="B399" s="286">
        <f t="shared" si="41"/>
        <v>6</v>
      </c>
      <c r="C399" s="315">
        <v>44375</v>
      </c>
      <c r="D399" s="315">
        <v>44375</v>
      </c>
      <c r="E399" s="287" t="s">
        <v>557</v>
      </c>
      <c r="F399" s="282">
        <v>52.02</v>
      </c>
      <c r="G399" s="282" t="s">
        <v>41</v>
      </c>
      <c r="H399" s="282" t="str">
        <f t="shared" si="39"/>
        <v>Variable</v>
      </c>
      <c r="I399" s="284">
        <f t="shared" si="42"/>
        <v>927.06999999999982</v>
      </c>
      <c r="J399" s="282" t="s">
        <v>599</v>
      </c>
      <c r="K399" s="282" t="s">
        <v>677</v>
      </c>
    </row>
    <row r="400" spans="1:11" x14ac:dyDescent="0.2">
      <c r="A400" s="268">
        <f t="shared" si="40"/>
        <v>2021</v>
      </c>
      <c r="B400" s="286">
        <f t="shared" si="41"/>
        <v>6</v>
      </c>
      <c r="C400" s="315">
        <v>44375</v>
      </c>
      <c r="D400" s="315">
        <v>44376</v>
      </c>
      <c r="E400" s="287" t="s">
        <v>558</v>
      </c>
      <c r="F400" s="282">
        <v>-55.11</v>
      </c>
      <c r="G400" s="282" t="s">
        <v>22</v>
      </c>
      <c r="H400" s="282" t="str">
        <f t="shared" si="39"/>
        <v>Payment</v>
      </c>
      <c r="I400" s="284">
        <f t="shared" si="42"/>
        <v>871.95999999999981</v>
      </c>
      <c r="J400" s="282">
        <v>0</v>
      </c>
      <c r="K400" s="282">
        <v>0</v>
      </c>
    </row>
    <row r="401" spans="1:11" x14ac:dyDescent="0.2">
      <c r="A401" s="268">
        <f t="shared" si="40"/>
        <v>2021</v>
      </c>
      <c r="B401" s="286">
        <f t="shared" si="41"/>
        <v>6</v>
      </c>
      <c r="C401" s="315">
        <v>44376</v>
      </c>
      <c r="D401" s="315">
        <v>44376</v>
      </c>
      <c r="E401" s="287" t="s">
        <v>559</v>
      </c>
      <c r="F401" s="282">
        <v>2.75</v>
      </c>
      <c r="G401" s="282" t="s">
        <v>88</v>
      </c>
      <c r="H401" s="282" t="str">
        <f t="shared" si="39"/>
        <v>Variable</v>
      </c>
      <c r="I401" s="284">
        <f t="shared" si="42"/>
        <v>874.70999999999981</v>
      </c>
      <c r="J401" s="282" t="s">
        <v>599</v>
      </c>
      <c r="K401" s="282" t="s">
        <v>677</v>
      </c>
    </row>
    <row r="402" spans="1:11" x14ac:dyDescent="0.2">
      <c r="A402" s="268">
        <f t="shared" si="40"/>
        <v>2021</v>
      </c>
      <c r="B402" s="286">
        <f t="shared" si="41"/>
        <v>6</v>
      </c>
      <c r="C402" s="315">
        <v>44376</v>
      </c>
      <c r="D402" s="315">
        <v>44376</v>
      </c>
      <c r="E402" s="287" t="s">
        <v>560</v>
      </c>
      <c r="F402" s="282">
        <v>2.75</v>
      </c>
      <c r="G402" s="282" t="s">
        <v>88</v>
      </c>
      <c r="H402" s="282" t="str">
        <f t="shared" si="39"/>
        <v>Variable</v>
      </c>
      <c r="I402" s="284">
        <f t="shared" si="42"/>
        <v>877.45999999999981</v>
      </c>
      <c r="J402" s="282" t="s">
        <v>599</v>
      </c>
      <c r="K402" s="282" t="s">
        <v>677</v>
      </c>
    </row>
    <row r="403" spans="1:11" x14ac:dyDescent="0.2">
      <c r="A403" s="268">
        <f t="shared" si="40"/>
        <v>2021</v>
      </c>
      <c r="B403" s="286">
        <f t="shared" si="41"/>
        <v>6</v>
      </c>
      <c r="C403" s="315">
        <v>44376</v>
      </c>
      <c r="D403" s="315">
        <v>44376</v>
      </c>
      <c r="E403" s="287" t="s">
        <v>561</v>
      </c>
      <c r="F403" s="282">
        <v>43.54</v>
      </c>
      <c r="G403" s="282" t="s">
        <v>89</v>
      </c>
      <c r="H403" s="282" t="str">
        <f t="shared" si="39"/>
        <v>Variable</v>
      </c>
      <c r="I403" s="284">
        <f t="shared" si="42"/>
        <v>920.99999999999977</v>
      </c>
      <c r="J403" s="282" t="s">
        <v>599</v>
      </c>
      <c r="K403" s="282" t="s">
        <v>677</v>
      </c>
    </row>
    <row r="404" spans="1:11" x14ac:dyDescent="0.2">
      <c r="A404" s="268">
        <f t="shared" si="40"/>
        <v>2021</v>
      </c>
      <c r="B404" s="286">
        <f t="shared" si="41"/>
        <v>6</v>
      </c>
      <c r="C404" s="315">
        <v>44377</v>
      </c>
      <c r="D404" s="315">
        <v>44377</v>
      </c>
      <c r="E404" s="287" t="s">
        <v>562</v>
      </c>
      <c r="F404" s="282">
        <v>6.34</v>
      </c>
      <c r="G404" s="282" t="s">
        <v>89</v>
      </c>
      <c r="H404" s="282" t="str">
        <f t="shared" si="39"/>
        <v>Variable</v>
      </c>
      <c r="I404" s="284">
        <f t="shared" si="42"/>
        <v>927.3399999999998</v>
      </c>
      <c r="J404" s="282" t="s">
        <v>599</v>
      </c>
      <c r="K404" s="282" t="s">
        <v>677</v>
      </c>
    </row>
    <row r="405" spans="1:11" x14ac:dyDescent="0.2">
      <c r="A405" s="268">
        <f t="shared" si="40"/>
        <v>2021</v>
      </c>
      <c r="B405" s="286">
        <f t="shared" si="41"/>
        <v>6</v>
      </c>
      <c r="C405" s="315">
        <v>44377</v>
      </c>
      <c r="D405" s="315">
        <v>44377</v>
      </c>
      <c r="E405" s="287" t="s">
        <v>563</v>
      </c>
      <c r="F405" s="282">
        <v>43.63</v>
      </c>
      <c r="G405" s="282" t="s">
        <v>67</v>
      </c>
      <c r="H405" s="282" t="str">
        <f t="shared" si="39"/>
        <v>Variable</v>
      </c>
      <c r="I405" s="284">
        <f t="shared" si="42"/>
        <v>970.9699999999998</v>
      </c>
      <c r="J405" s="282" t="s">
        <v>599</v>
      </c>
      <c r="K405" s="282" t="s">
        <v>677</v>
      </c>
    </row>
    <row r="406" spans="1:11" x14ac:dyDescent="0.2">
      <c r="A406" s="268">
        <f t="shared" si="40"/>
        <v>2021</v>
      </c>
      <c r="B406" s="286">
        <f t="shared" si="41"/>
        <v>7</v>
      </c>
      <c r="C406" s="318">
        <v>44378</v>
      </c>
      <c r="D406" s="318">
        <v>44378</v>
      </c>
      <c r="E406" s="287" t="s">
        <v>21</v>
      </c>
      <c r="F406" s="282">
        <v>-871.96</v>
      </c>
      <c r="G406" s="282" t="s">
        <v>22</v>
      </c>
      <c r="H406" s="282" t="str">
        <f t="shared" si="39"/>
        <v>Payment</v>
      </c>
      <c r="I406" s="284">
        <f t="shared" si="42"/>
        <v>99.009999999999764</v>
      </c>
      <c r="J406" s="282">
        <v>0</v>
      </c>
      <c r="K406" s="282">
        <v>0</v>
      </c>
    </row>
    <row r="407" spans="1:11" x14ac:dyDescent="0.2">
      <c r="A407" s="268">
        <f t="shared" si="40"/>
        <v>2021</v>
      </c>
      <c r="B407" s="286">
        <f t="shared" si="41"/>
        <v>7</v>
      </c>
      <c r="C407" s="318">
        <v>44378</v>
      </c>
      <c r="D407" s="318">
        <v>44378</v>
      </c>
      <c r="E407" s="287" t="s">
        <v>564</v>
      </c>
      <c r="F407" s="282">
        <v>14.83</v>
      </c>
      <c r="G407" s="282" t="s">
        <v>26</v>
      </c>
      <c r="H407" s="282" t="str">
        <f t="shared" si="39"/>
        <v>Fixed</v>
      </c>
      <c r="I407" s="284">
        <f t="shared" si="42"/>
        <v>113.83999999999976</v>
      </c>
      <c r="J407" s="282" t="s">
        <v>7</v>
      </c>
      <c r="K407" s="282" t="s">
        <v>781</v>
      </c>
    </row>
    <row r="408" spans="1:11" x14ac:dyDescent="0.2">
      <c r="A408" s="268">
        <f t="shared" si="40"/>
        <v>2021</v>
      </c>
      <c r="B408" s="286">
        <f t="shared" si="41"/>
        <v>7</v>
      </c>
      <c r="C408" s="318">
        <v>44378</v>
      </c>
      <c r="D408" s="318">
        <v>44378</v>
      </c>
      <c r="E408" s="287" t="s">
        <v>565</v>
      </c>
      <c r="F408" s="307">
        <v>1380.63</v>
      </c>
      <c r="G408" s="282" t="s">
        <v>52</v>
      </c>
      <c r="H408" s="282" t="str">
        <f t="shared" si="39"/>
        <v>Variable</v>
      </c>
      <c r="I408" s="284">
        <f t="shared" si="42"/>
        <v>1494.4699999999998</v>
      </c>
      <c r="J408" s="282" t="s">
        <v>596</v>
      </c>
      <c r="K408" s="282" t="s">
        <v>668</v>
      </c>
    </row>
    <row r="409" spans="1:11" x14ac:dyDescent="0.2">
      <c r="A409" s="268">
        <f t="shared" si="40"/>
        <v>2021</v>
      </c>
      <c r="B409" s="286">
        <f t="shared" si="41"/>
        <v>7</v>
      </c>
      <c r="C409" s="318">
        <v>44378</v>
      </c>
      <c r="D409" s="318">
        <v>44378</v>
      </c>
      <c r="E409" s="287" t="s">
        <v>566</v>
      </c>
      <c r="F409" s="282">
        <v>9.99</v>
      </c>
      <c r="G409" s="282" t="s">
        <v>26</v>
      </c>
      <c r="H409" s="282" t="str">
        <f t="shared" si="39"/>
        <v>Fixed</v>
      </c>
      <c r="I409" s="284">
        <f t="shared" si="42"/>
        <v>1504.4599999999998</v>
      </c>
      <c r="J409" s="282" t="s">
        <v>6</v>
      </c>
      <c r="K409" s="282" t="s">
        <v>781</v>
      </c>
    </row>
    <row r="410" spans="1:11" x14ac:dyDescent="0.2">
      <c r="A410" s="268">
        <f t="shared" si="40"/>
        <v>2021</v>
      </c>
      <c r="B410" s="286">
        <f t="shared" si="41"/>
        <v>7</v>
      </c>
      <c r="C410" s="318">
        <v>44378</v>
      </c>
      <c r="D410" s="318">
        <v>44378</v>
      </c>
      <c r="E410" s="287" t="s">
        <v>567</v>
      </c>
      <c r="F410" s="282">
        <v>220</v>
      </c>
      <c r="G410" s="282" t="s">
        <v>41</v>
      </c>
      <c r="H410" s="282" t="str">
        <f t="shared" ref="H410:H445" si="43">VLOOKUP(G410,Expense_Lookup,2,0)</f>
        <v>Variable</v>
      </c>
      <c r="I410" s="284">
        <f t="shared" si="42"/>
        <v>1724.4599999999998</v>
      </c>
      <c r="J410" s="282" t="s">
        <v>599</v>
      </c>
      <c r="K410" s="282" t="s">
        <v>677</v>
      </c>
    </row>
    <row r="411" spans="1:11" x14ac:dyDescent="0.2">
      <c r="A411" s="268">
        <f t="shared" si="40"/>
        <v>2021</v>
      </c>
      <c r="B411" s="286">
        <f t="shared" si="41"/>
        <v>7</v>
      </c>
      <c r="C411" s="318">
        <v>44378</v>
      </c>
      <c r="D411" s="318">
        <v>44378</v>
      </c>
      <c r="E411" s="287" t="s">
        <v>568</v>
      </c>
      <c r="F411" s="282">
        <v>129.80000000000001</v>
      </c>
      <c r="G411" s="282" t="s">
        <v>67</v>
      </c>
      <c r="H411" s="282" t="str">
        <f t="shared" si="43"/>
        <v>Variable</v>
      </c>
      <c r="I411" s="284">
        <f t="shared" si="42"/>
        <v>1854.2599999999998</v>
      </c>
      <c r="J411" s="282" t="s">
        <v>599</v>
      </c>
      <c r="K411" s="282" t="s">
        <v>677</v>
      </c>
    </row>
    <row r="412" spans="1:11" x14ac:dyDescent="0.2">
      <c r="A412" s="268">
        <f t="shared" si="40"/>
        <v>2021</v>
      </c>
      <c r="B412" s="286">
        <f t="shared" si="41"/>
        <v>7</v>
      </c>
      <c r="C412" s="318">
        <v>44379</v>
      </c>
      <c r="D412" s="318">
        <v>44380</v>
      </c>
      <c r="E412" s="287" t="s">
        <v>569</v>
      </c>
      <c r="F412" s="282">
        <v>71.78</v>
      </c>
      <c r="G412" s="282" t="s">
        <v>41</v>
      </c>
      <c r="H412" s="282" t="str">
        <f t="shared" si="43"/>
        <v>Variable</v>
      </c>
      <c r="I412" s="284">
        <f t="shared" si="42"/>
        <v>1926.0399999999997</v>
      </c>
      <c r="J412" s="282" t="s">
        <v>599</v>
      </c>
      <c r="K412" s="282" t="s">
        <v>677</v>
      </c>
    </row>
    <row r="413" spans="1:11" x14ac:dyDescent="0.2">
      <c r="A413" s="268">
        <f t="shared" si="40"/>
        <v>2021</v>
      </c>
      <c r="B413" s="286">
        <f t="shared" si="41"/>
        <v>7</v>
      </c>
      <c r="C413" s="318">
        <v>44379</v>
      </c>
      <c r="D413" s="318">
        <v>44380</v>
      </c>
      <c r="E413" s="287" t="s">
        <v>570</v>
      </c>
      <c r="F413" s="282">
        <v>13.88</v>
      </c>
      <c r="G413" s="282" t="s">
        <v>41</v>
      </c>
      <c r="H413" s="282" t="str">
        <f t="shared" si="43"/>
        <v>Variable</v>
      </c>
      <c r="I413" s="284">
        <f t="shared" si="42"/>
        <v>1939.9199999999998</v>
      </c>
      <c r="J413" s="282" t="s">
        <v>599</v>
      </c>
      <c r="K413" s="282" t="s">
        <v>677</v>
      </c>
    </row>
    <row r="414" spans="1:11" x14ac:dyDescent="0.2">
      <c r="A414" s="268">
        <f t="shared" si="40"/>
        <v>2021</v>
      </c>
      <c r="B414" s="286">
        <f t="shared" si="41"/>
        <v>7</v>
      </c>
      <c r="C414" s="318">
        <v>44379</v>
      </c>
      <c r="D414" s="318">
        <v>44380</v>
      </c>
      <c r="E414" s="287" t="s">
        <v>571</v>
      </c>
      <c r="F414" s="282">
        <v>6.24</v>
      </c>
      <c r="G414" s="282" t="s">
        <v>89</v>
      </c>
      <c r="H414" s="282" t="str">
        <f t="shared" si="43"/>
        <v>Variable</v>
      </c>
      <c r="I414" s="284">
        <f t="shared" si="42"/>
        <v>1946.1599999999999</v>
      </c>
      <c r="J414" s="282" t="s">
        <v>599</v>
      </c>
      <c r="K414" s="282" t="s">
        <v>677</v>
      </c>
    </row>
    <row r="415" spans="1:11" x14ac:dyDescent="0.2">
      <c r="A415" s="268">
        <f t="shared" si="40"/>
        <v>2021</v>
      </c>
      <c r="B415" s="286">
        <f t="shared" si="41"/>
        <v>7</v>
      </c>
      <c r="C415" s="318">
        <v>44379</v>
      </c>
      <c r="D415" s="318">
        <v>44380</v>
      </c>
      <c r="E415" s="287" t="s">
        <v>572</v>
      </c>
      <c r="F415" s="282">
        <v>10</v>
      </c>
      <c r="G415" s="282" t="s">
        <v>26</v>
      </c>
      <c r="H415" s="282" t="str">
        <f t="shared" si="43"/>
        <v>Fixed</v>
      </c>
      <c r="I415" s="284">
        <f t="shared" si="42"/>
        <v>1956.1599999999999</v>
      </c>
      <c r="J415" s="282" t="s">
        <v>296</v>
      </c>
      <c r="K415" s="282" t="s">
        <v>781</v>
      </c>
    </row>
    <row r="416" spans="1:11" x14ac:dyDescent="0.2">
      <c r="A416" s="268">
        <f t="shared" si="40"/>
        <v>2021</v>
      </c>
      <c r="B416" s="286">
        <f t="shared" si="41"/>
        <v>7</v>
      </c>
      <c r="C416" s="318">
        <v>44379</v>
      </c>
      <c r="D416" s="318">
        <v>44380</v>
      </c>
      <c r="E416" s="287" t="s">
        <v>573</v>
      </c>
      <c r="F416" s="282">
        <v>3</v>
      </c>
      <c r="G416" s="282" t="s">
        <v>88</v>
      </c>
      <c r="H416" s="282" t="str">
        <f t="shared" si="43"/>
        <v>Variable</v>
      </c>
      <c r="I416" s="284">
        <f t="shared" si="42"/>
        <v>1959.1599999999999</v>
      </c>
      <c r="J416" s="282" t="s">
        <v>599</v>
      </c>
      <c r="K416" s="282" t="s">
        <v>677</v>
      </c>
    </row>
    <row r="417" spans="1:11" x14ac:dyDescent="0.2">
      <c r="A417" s="268">
        <f t="shared" si="40"/>
        <v>2021</v>
      </c>
      <c r="B417" s="286">
        <f t="shared" si="41"/>
        <v>7</v>
      </c>
      <c r="C417" s="318">
        <v>44379</v>
      </c>
      <c r="D417" s="318">
        <v>44380</v>
      </c>
      <c r="E417" s="287" t="s">
        <v>574</v>
      </c>
      <c r="F417" s="282">
        <v>2.75</v>
      </c>
      <c r="G417" s="282" t="s">
        <v>88</v>
      </c>
      <c r="H417" s="282" t="str">
        <f t="shared" si="43"/>
        <v>Variable</v>
      </c>
      <c r="I417" s="284">
        <f t="shared" si="42"/>
        <v>1961.9099999999999</v>
      </c>
      <c r="J417" s="282" t="s">
        <v>599</v>
      </c>
      <c r="K417" s="282" t="s">
        <v>677</v>
      </c>
    </row>
    <row r="418" spans="1:11" x14ac:dyDescent="0.2">
      <c r="A418" s="268">
        <f t="shared" si="40"/>
        <v>2021</v>
      </c>
      <c r="B418" s="286">
        <f t="shared" si="41"/>
        <v>7</v>
      </c>
      <c r="C418" s="318">
        <v>44379</v>
      </c>
      <c r="D418" s="318">
        <v>44380</v>
      </c>
      <c r="E418" s="287" t="s">
        <v>575</v>
      </c>
      <c r="F418" s="282">
        <v>2.75</v>
      </c>
      <c r="G418" s="282" t="s">
        <v>88</v>
      </c>
      <c r="H418" s="282" t="str">
        <f t="shared" si="43"/>
        <v>Variable</v>
      </c>
      <c r="I418" s="284">
        <f t="shared" si="42"/>
        <v>1964.6599999999999</v>
      </c>
      <c r="J418" s="282" t="s">
        <v>599</v>
      </c>
      <c r="K418" s="282" t="s">
        <v>677</v>
      </c>
    </row>
    <row r="419" spans="1:11" x14ac:dyDescent="0.2">
      <c r="A419" s="268">
        <f t="shared" si="40"/>
        <v>2021</v>
      </c>
      <c r="B419" s="286">
        <f t="shared" si="41"/>
        <v>7</v>
      </c>
      <c r="C419" s="318">
        <v>44379</v>
      </c>
      <c r="D419" s="318">
        <v>44380</v>
      </c>
      <c r="E419" s="287" t="s">
        <v>576</v>
      </c>
      <c r="F419" s="282">
        <v>9.36</v>
      </c>
      <c r="G419" s="282" t="s">
        <v>89</v>
      </c>
      <c r="H419" s="282" t="str">
        <f t="shared" si="43"/>
        <v>Variable</v>
      </c>
      <c r="I419" s="284">
        <f t="shared" si="42"/>
        <v>1974.0199999999998</v>
      </c>
      <c r="J419" s="282" t="s">
        <v>599</v>
      </c>
      <c r="K419" s="282" t="s">
        <v>677</v>
      </c>
    </row>
    <row r="420" spans="1:11" x14ac:dyDescent="0.2">
      <c r="A420" s="268">
        <f t="shared" si="40"/>
        <v>2021</v>
      </c>
      <c r="B420" s="286">
        <f t="shared" si="41"/>
        <v>7</v>
      </c>
      <c r="C420" s="318">
        <v>44379</v>
      </c>
      <c r="D420" s="318">
        <v>44380</v>
      </c>
      <c r="E420" s="287" t="s">
        <v>568</v>
      </c>
      <c r="F420" s="282">
        <v>199.4</v>
      </c>
      <c r="G420" s="282" t="s">
        <v>67</v>
      </c>
      <c r="H420" s="282" t="str">
        <f t="shared" si="43"/>
        <v>Variable</v>
      </c>
      <c r="I420" s="284">
        <f t="shared" si="42"/>
        <v>2173.4199999999996</v>
      </c>
      <c r="J420" s="282" t="s">
        <v>599</v>
      </c>
      <c r="K420" s="282" t="s">
        <v>677</v>
      </c>
    </row>
    <row r="421" spans="1:11" x14ac:dyDescent="0.2">
      <c r="A421" s="268">
        <f t="shared" si="40"/>
        <v>2021</v>
      </c>
      <c r="B421" s="286">
        <f t="shared" si="41"/>
        <v>7</v>
      </c>
      <c r="C421" s="318">
        <v>44379</v>
      </c>
      <c r="D421" s="318">
        <v>44381</v>
      </c>
      <c r="E421" s="287" t="s">
        <v>568</v>
      </c>
      <c r="F421" s="282">
        <v>-129.69999999999999</v>
      </c>
      <c r="G421" s="282" t="s">
        <v>67</v>
      </c>
      <c r="H421" s="282" t="str">
        <f t="shared" si="43"/>
        <v>Variable</v>
      </c>
      <c r="I421" s="284">
        <f t="shared" si="42"/>
        <v>2043.7199999999996</v>
      </c>
      <c r="J421" s="282" t="s">
        <v>599</v>
      </c>
      <c r="K421" s="282" t="s">
        <v>677</v>
      </c>
    </row>
    <row r="422" spans="1:11" x14ac:dyDescent="0.2">
      <c r="A422" s="268">
        <f t="shared" si="40"/>
        <v>2021</v>
      </c>
      <c r="B422" s="286">
        <f t="shared" si="41"/>
        <v>7</v>
      </c>
      <c r="C422" s="318">
        <v>44380</v>
      </c>
      <c r="D422" s="318">
        <v>44380</v>
      </c>
      <c r="E422" s="287" t="s">
        <v>577</v>
      </c>
      <c r="F422" s="282">
        <v>62.54</v>
      </c>
      <c r="G422" s="282" t="s">
        <v>88</v>
      </c>
      <c r="H422" s="282" t="str">
        <f t="shared" si="43"/>
        <v>Variable</v>
      </c>
      <c r="I422" s="284">
        <f t="shared" si="42"/>
        <v>2106.2599999999998</v>
      </c>
      <c r="J422" s="282" t="s">
        <v>599</v>
      </c>
      <c r="K422" s="282" t="s">
        <v>677</v>
      </c>
    </row>
    <row r="423" spans="1:11" x14ac:dyDescent="0.2">
      <c r="A423" s="268">
        <f t="shared" si="40"/>
        <v>2021</v>
      </c>
      <c r="B423" s="286">
        <f t="shared" si="41"/>
        <v>7</v>
      </c>
      <c r="C423" s="318">
        <v>44380</v>
      </c>
      <c r="D423" s="318">
        <v>44380</v>
      </c>
      <c r="E423" s="287" t="s">
        <v>578</v>
      </c>
      <c r="F423" s="282">
        <v>2.75</v>
      </c>
      <c r="G423" s="282" t="s">
        <v>88</v>
      </c>
      <c r="H423" s="282" t="str">
        <f t="shared" si="43"/>
        <v>Variable</v>
      </c>
      <c r="I423" s="284">
        <f t="shared" si="42"/>
        <v>2109.0099999999998</v>
      </c>
      <c r="J423" s="282" t="s">
        <v>599</v>
      </c>
      <c r="K423" s="282" t="s">
        <v>677</v>
      </c>
    </row>
    <row r="424" spans="1:11" x14ac:dyDescent="0.2">
      <c r="A424" s="268">
        <f t="shared" si="40"/>
        <v>2021</v>
      </c>
      <c r="B424" s="286">
        <f t="shared" si="41"/>
        <v>7</v>
      </c>
      <c r="C424" s="318">
        <v>44380</v>
      </c>
      <c r="D424" s="318">
        <v>44380</v>
      </c>
      <c r="E424" s="287" t="s">
        <v>579</v>
      </c>
      <c r="F424" s="282">
        <v>2.75</v>
      </c>
      <c r="G424" s="282" t="s">
        <v>88</v>
      </c>
      <c r="H424" s="282" t="str">
        <f t="shared" si="43"/>
        <v>Variable</v>
      </c>
      <c r="I424" s="284">
        <f t="shared" si="42"/>
        <v>2111.7599999999998</v>
      </c>
      <c r="J424" s="282" t="s">
        <v>599</v>
      </c>
      <c r="K424" s="282" t="s">
        <v>677</v>
      </c>
    </row>
    <row r="425" spans="1:11" x14ac:dyDescent="0.2">
      <c r="A425" s="268">
        <f t="shared" si="40"/>
        <v>2021</v>
      </c>
      <c r="B425" s="286">
        <f t="shared" si="41"/>
        <v>7</v>
      </c>
      <c r="C425" s="318">
        <v>44380</v>
      </c>
      <c r="D425" s="318">
        <v>44380</v>
      </c>
      <c r="E425" s="287" t="s">
        <v>580</v>
      </c>
      <c r="F425" s="282">
        <v>2.75</v>
      </c>
      <c r="G425" s="282" t="s">
        <v>88</v>
      </c>
      <c r="H425" s="282" t="str">
        <f t="shared" si="43"/>
        <v>Variable</v>
      </c>
      <c r="I425" s="284">
        <f t="shared" si="42"/>
        <v>2114.5099999999998</v>
      </c>
      <c r="J425" s="282" t="s">
        <v>599</v>
      </c>
      <c r="K425" s="282" t="s">
        <v>677</v>
      </c>
    </row>
    <row r="426" spans="1:11" x14ac:dyDescent="0.2">
      <c r="A426" s="268">
        <f t="shared" si="40"/>
        <v>2021</v>
      </c>
      <c r="B426" s="286">
        <f t="shared" si="41"/>
        <v>7</v>
      </c>
      <c r="C426" s="318">
        <v>44380</v>
      </c>
      <c r="D426" s="318">
        <v>44380</v>
      </c>
      <c r="E426" s="287" t="s">
        <v>581</v>
      </c>
      <c r="F426" s="282">
        <v>2.75</v>
      </c>
      <c r="G426" s="282" t="s">
        <v>88</v>
      </c>
      <c r="H426" s="282" t="str">
        <f t="shared" si="43"/>
        <v>Variable</v>
      </c>
      <c r="I426" s="284">
        <f t="shared" si="42"/>
        <v>2117.2599999999998</v>
      </c>
      <c r="J426" s="282" t="s">
        <v>599</v>
      </c>
      <c r="K426" s="282" t="s">
        <v>677</v>
      </c>
    </row>
    <row r="427" spans="1:11" x14ac:dyDescent="0.2">
      <c r="A427" s="268">
        <f t="shared" ref="A427:A445" si="44">YEAR(C427)</f>
        <v>2021</v>
      </c>
      <c r="B427" s="286">
        <f t="shared" si="41"/>
        <v>7</v>
      </c>
      <c r="C427" s="318">
        <v>44380</v>
      </c>
      <c r="D427" s="318">
        <v>44380</v>
      </c>
      <c r="E427" s="287" t="s">
        <v>582</v>
      </c>
      <c r="F427" s="282">
        <v>2.75</v>
      </c>
      <c r="G427" s="282" t="s">
        <v>88</v>
      </c>
      <c r="H427" s="282" t="str">
        <f t="shared" si="43"/>
        <v>Variable</v>
      </c>
      <c r="I427" s="284">
        <f t="shared" si="42"/>
        <v>2120.0099999999998</v>
      </c>
      <c r="J427" s="282" t="s">
        <v>599</v>
      </c>
      <c r="K427" s="282" t="s">
        <v>677</v>
      </c>
    </row>
    <row r="428" spans="1:11" x14ac:dyDescent="0.2">
      <c r="A428" s="268">
        <f t="shared" si="44"/>
        <v>2021</v>
      </c>
      <c r="B428" s="286">
        <f t="shared" si="41"/>
        <v>7</v>
      </c>
      <c r="C428" s="318">
        <v>44380</v>
      </c>
      <c r="D428" s="318">
        <v>44380</v>
      </c>
      <c r="E428" s="287" t="s">
        <v>583</v>
      </c>
      <c r="F428" s="282">
        <v>2.75</v>
      </c>
      <c r="G428" s="282" t="s">
        <v>88</v>
      </c>
      <c r="H428" s="282" t="str">
        <f t="shared" si="43"/>
        <v>Variable</v>
      </c>
      <c r="I428" s="284">
        <f t="shared" si="42"/>
        <v>2122.7599999999998</v>
      </c>
      <c r="J428" s="282" t="s">
        <v>599</v>
      </c>
      <c r="K428" s="282" t="s">
        <v>677</v>
      </c>
    </row>
    <row r="429" spans="1:11" x14ac:dyDescent="0.2">
      <c r="A429" s="268">
        <f t="shared" si="44"/>
        <v>2021</v>
      </c>
      <c r="B429" s="286">
        <f t="shared" si="41"/>
        <v>7</v>
      </c>
      <c r="C429" s="318">
        <v>44380</v>
      </c>
      <c r="D429" s="318">
        <v>44380</v>
      </c>
      <c r="E429" s="287" t="s">
        <v>180</v>
      </c>
      <c r="F429" s="282">
        <v>11.99</v>
      </c>
      <c r="G429" s="282" t="s">
        <v>26</v>
      </c>
      <c r="H429" s="282" t="str">
        <f t="shared" si="43"/>
        <v>Fixed</v>
      </c>
      <c r="I429" s="284">
        <f t="shared" si="42"/>
        <v>2134.7499999999995</v>
      </c>
      <c r="J429" s="282" t="s">
        <v>295</v>
      </c>
      <c r="K429" s="282" t="s">
        <v>781</v>
      </c>
    </row>
    <row r="430" spans="1:11" x14ac:dyDescent="0.2">
      <c r="A430" s="268">
        <f t="shared" si="44"/>
        <v>2021</v>
      </c>
      <c r="B430" s="286">
        <f t="shared" si="41"/>
        <v>7</v>
      </c>
      <c r="C430" s="318">
        <v>44380</v>
      </c>
      <c r="D430" s="318">
        <v>44380</v>
      </c>
      <c r="E430" s="287" t="s">
        <v>32</v>
      </c>
      <c r="F430" s="282">
        <v>92.07</v>
      </c>
      <c r="G430" s="282" t="s">
        <v>26</v>
      </c>
      <c r="H430" s="282" t="str">
        <f t="shared" si="43"/>
        <v>Fixed</v>
      </c>
      <c r="I430" s="284">
        <f t="shared" si="42"/>
        <v>2226.8199999999997</v>
      </c>
      <c r="J430" s="282" t="s">
        <v>8</v>
      </c>
      <c r="K430" s="282" t="s">
        <v>628</v>
      </c>
    </row>
    <row r="431" spans="1:11" x14ac:dyDescent="0.2">
      <c r="A431" s="268">
        <f t="shared" si="44"/>
        <v>2021</v>
      </c>
      <c r="B431" s="286">
        <f t="shared" si="41"/>
        <v>7</v>
      </c>
      <c r="C431" s="318">
        <v>44380</v>
      </c>
      <c r="D431" s="318">
        <v>44380</v>
      </c>
      <c r="E431" s="287" t="s">
        <v>568</v>
      </c>
      <c r="F431" s="282">
        <v>29.9</v>
      </c>
      <c r="G431" s="282" t="s">
        <v>67</v>
      </c>
      <c r="H431" s="282" t="str">
        <f t="shared" si="43"/>
        <v>Variable</v>
      </c>
      <c r="I431" s="284">
        <f t="shared" si="42"/>
        <v>2256.7199999999998</v>
      </c>
      <c r="J431" s="282" t="s">
        <v>599</v>
      </c>
      <c r="K431" s="282" t="s">
        <v>677</v>
      </c>
    </row>
    <row r="432" spans="1:11" x14ac:dyDescent="0.2">
      <c r="A432" s="268">
        <f t="shared" si="44"/>
        <v>2021</v>
      </c>
      <c r="B432" s="286">
        <f t="shared" si="41"/>
        <v>7</v>
      </c>
      <c r="C432" s="318">
        <v>44381</v>
      </c>
      <c r="D432" s="318">
        <v>44381</v>
      </c>
      <c r="E432" s="287" t="s">
        <v>21</v>
      </c>
      <c r="F432" s="307">
        <v>-1854.26</v>
      </c>
      <c r="G432" s="282" t="s">
        <v>22</v>
      </c>
      <c r="H432" s="282" t="str">
        <f t="shared" si="43"/>
        <v>Payment</v>
      </c>
      <c r="I432" s="284">
        <f t="shared" si="42"/>
        <v>402.45999999999981</v>
      </c>
      <c r="J432" s="282">
        <v>0</v>
      </c>
      <c r="K432" s="282">
        <v>0</v>
      </c>
    </row>
    <row r="433" spans="1:11" x14ac:dyDescent="0.2">
      <c r="A433" s="268">
        <f t="shared" si="44"/>
        <v>2021</v>
      </c>
      <c r="B433" s="286">
        <f t="shared" si="41"/>
        <v>7</v>
      </c>
      <c r="C433" s="318">
        <v>44381</v>
      </c>
      <c r="D433" s="318">
        <v>44381</v>
      </c>
      <c r="E433" s="287" t="s">
        <v>584</v>
      </c>
      <c r="F433" s="282">
        <v>78.17</v>
      </c>
      <c r="G433" s="282" t="s">
        <v>88</v>
      </c>
      <c r="H433" s="282" t="str">
        <f t="shared" si="43"/>
        <v>Variable</v>
      </c>
      <c r="I433" s="284">
        <f t="shared" si="42"/>
        <v>480.62999999999982</v>
      </c>
      <c r="J433" s="282" t="s">
        <v>599</v>
      </c>
      <c r="K433" s="282" t="s">
        <v>677</v>
      </c>
    </row>
    <row r="434" spans="1:11" x14ac:dyDescent="0.2">
      <c r="A434" s="268">
        <f t="shared" si="44"/>
        <v>2021</v>
      </c>
      <c r="B434" s="286">
        <f t="shared" si="41"/>
        <v>7</v>
      </c>
      <c r="C434" s="318">
        <v>44381</v>
      </c>
      <c r="D434" s="318">
        <v>44381</v>
      </c>
      <c r="E434" s="287" t="s">
        <v>585</v>
      </c>
      <c r="F434" s="282">
        <v>37.619999999999997</v>
      </c>
      <c r="G434" s="282" t="s">
        <v>41</v>
      </c>
      <c r="H434" s="282" t="str">
        <f t="shared" si="43"/>
        <v>Variable</v>
      </c>
      <c r="I434" s="284">
        <f t="shared" si="42"/>
        <v>518.24999999999977</v>
      </c>
      <c r="J434" s="282" t="s">
        <v>599</v>
      </c>
      <c r="K434" s="282" t="s">
        <v>677</v>
      </c>
    </row>
    <row r="435" spans="1:11" x14ac:dyDescent="0.2">
      <c r="A435" s="268">
        <f t="shared" si="44"/>
        <v>2021</v>
      </c>
      <c r="B435" s="286">
        <f t="shared" si="41"/>
        <v>7</v>
      </c>
      <c r="C435" s="318">
        <v>44381</v>
      </c>
      <c r="D435" s="318">
        <v>44381</v>
      </c>
      <c r="E435" s="287" t="s">
        <v>586</v>
      </c>
      <c r="F435" s="282">
        <v>2.75</v>
      </c>
      <c r="G435" s="282" t="s">
        <v>88</v>
      </c>
      <c r="H435" s="282" t="str">
        <f t="shared" si="43"/>
        <v>Variable</v>
      </c>
      <c r="I435" s="284">
        <f t="shared" si="42"/>
        <v>520.99999999999977</v>
      </c>
      <c r="J435" s="282" t="s">
        <v>599</v>
      </c>
      <c r="K435" s="282" t="s">
        <v>677</v>
      </c>
    </row>
    <row r="436" spans="1:11" x14ac:dyDescent="0.2">
      <c r="A436" s="268">
        <f t="shared" si="44"/>
        <v>2021</v>
      </c>
      <c r="B436" s="286">
        <f t="shared" si="41"/>
        <v>7</v>
      </c>
      <c r="C436" s="318">
        <v>44381</v>
      </c>
      <c r="D436" s="318">
        <v>44381</v>
      </c>
      <c r="E436" s="287" t="s">
        <v>587</v>
      </c>
      <c r="F436" s="282">
        <v>2.75</v>
      </c>
      <c r="G436" s="282" t="s">
        <v>88</v>
      </c>
      <c r="H436" s="282" t="str">
        <f t="shared" si="43"/>
        <v>Variable</v>
      </c>
      <c r="I436" s="284">
        <f t="shared" si="42"/>
        <v>523.74999999999977</v>
      </c>
      <c r="J436" s="282" t="s">
        <v>599</v>
      </c>
      <c r="K436" s="282" t="s">
        <v>677</v>
      </c>
    </row>
    <row r="437" spans="1:11" x14ac:dyDescent="0.2">
      <c r="A437" s="268">
        <f t="shared" si="44"/>
        <v>2021</v>
      </c>
      <c r="B437" s="286">
        <f t="shared" si="41"/>
        <v>7</v>
      </c>
      <c r="C437" s="318">
        <v>44381</v>
      </c>
      <c r="D437" s="318">
        <v>44381</v>
      </c>
      <c r="E437" s="287" t="s">
        <v>588</v>
      </c>
      <c r="F437" s="282">
        <v>2.75</v>
      </c>
      <c r="G437" s="282" t="s">
        <v>88</v>
      </c>
      <c r="H437" s="282" t="str">
        <f t="shared" si="43"/>
        <v>Variable</v>
      </c>
      <c r="I437" s="284">
        <f t="shared" si="42"/>
        <v>526.49999999999977</v>
      </c>
      <c r="J437" s="282" t="s">
        <v>599</v>
      </c>
      <c r="K437" s="282" t="s">
        <v>677</v>
      </c>
    </row>
    <row r="438" spans="1:11" x14ac:dyDescent="0.2">
      <c r="A438" s="268">
        <f t="shared" si="44"/>
        <v>2021</v>
      </c>
      <c r="B438" s="286">
        <f t="shared" si="41"/>
        <v>7</v>
      </c>
      <c r="C438" s="318">
        <v>44381</v>
      </c>
      <c r="D438" s="318">
        <v>44381</v>
      </c>
      <c r="E438" s="287" t="s">
        <v>589</v>
      </c>
      <c r="F438" s="282">
        <v>2.75</v>
      </c>
      <c r="G438" s="282" t="s">
        <v>88</v>
      </c>
      <c r="H438" s="282" t="str">
        <f t="shared" si="43"/>
        <v>Variable</v>
      </c>
      <c r="I438" s="284">
        <f t="shared" si="42"/>
        <v>529.24999999999977</v>
      </c>
      <c r="J438" s="282" t="s">
        <v>599</v>
      </c>
      <c r="K438" s="282" t="s">
        <v>677</v>
      </c>
    </row>
    <row r="439" spans="1:11" x14ac:dyDescent="0.2">
      <c r="A439" s="268">
        <f t="shared" si="44"/>
        <v>2021</v>
      </c>
      <c r="B439" s="286">
        <f t="shared" si="41"/>
        <v>7</v>
      </c>
      <c r="C439" s="318">
        <v>44381</v>
      </c>
      <c r="D439" s="318">
        <v>44381</v>
      </c>
      <c r="E439" s="287" t="s">
        <v>590</v>
      </c>
      <c r="F439" s="282">
        <v>51.44</v>
      </c>
      <c r="G439" s="282" t="s">
        <v>88</v>
      </c>
      <c r="H439" s="282" t="str">
        <f t="shared" si="43"/>
        <v>Variable</v>
      </c>
      <c r="I439" s="284">
        <f t="shared" si="42"/>
        <v>580.68999999999983</v>
      </c>
      <c r="J439" s="282" t="s">
        <v>599</v>
      </c>
      <c r="K439" s="282" t="s">
        <v>677</v>
      </c>
    </row>
    <row r="440" spans="1:11" x14ac:dyDescent="0.2">
      <c r="A440" s="268">
        <f t="shared" si="44"/>
        <v>2021</v>
      </c>
      <c r="B440" s="286">
        <f t="shared" si="41"/>
        <v>7</v>
      </c>
      <c r="C440" s="318">
        <v>44382</v>
      </c>
      <c r="D440" s="318">
        <v>44382</v>
      </c>
      <c r="E440" s="287" t="s">
        <v>21</v>
      </c>
      <c r="F440" s="282">
        <v>-367.73</v>
      </c>
      <c r="G440" s="282" t="s">
        <v>22</v>
      </c>
      <c r="H440" s="282" t="str">
        <f t="shared" si="43"/>
        <v>Payment</v>
      </c>
      <c r="I440" s="284">
        <f t="shared" si="42"/>
        <v>212.95999999999981</v>
      </c>
      <c r="J440" s="282">
        <v>0</v>
      </c>
      <c r="K440" s="281">
        <v>0</v>
      </c>
    </row>
    <row r="441" spans="1:11" x14ac:dyDescent="0.2">
      <c r="A441" s="268">
        <f t="shared" si="44"/>
        <v>2021</v>
      </c>
      <c r="B441" s="286">
        <f t="shared" si="41"/>
        <v>7</v>
      </c>
      <c r="C441" s="318">
        <v>44382</v>
      </c>
      <c r="D441" s="318">
        <v>44382</v>
      </c>
      <c r="E441" s="287" t="s">
        <v>591</v>
      </c>
      <c r="F441" s="282">
        <v>10.9</v>
      </c>
      <c r="G441" s="282" t="s">
        <v>41</v>
      </c>
      <c r="H441" s="282" t="str">
        <f t="shared" si="43"/>
        <v>Variable</v>
      </c>
      <c r="I441" s="284">
        <f t="shared" si="42"/>
        <v>223.85999999999981</v>
      </c>
      <c r="J441" s="282">
        <v>0</v>
      </c>
      <c r="K441" s="282" t="s">
        <v>670</v>
      </c>
    </row>
    <row r="442" spans="1:11" x14ac:dyDescent="0.2">
      <c r="A442" s="268">
        <f t="shared" si="44"/>
        <v>2021</v>
      </c>
      <c r="B442" s="286">
        <f t="shared" si="41"/>
        <v>7</v>
      </c>
      <c r="C442" s="318">
        <v>44382</v>
      </c>
      <c r="D442" s="318">
        <v>44382</v>
      </c>
      <c r="E442" s="287" t="s">
        <v>592</v>
      </c>
      <c r="F442" s="282">
        <v>32.33</v>
      </c>
      <c r="G442" s="282" t="s">
        <v>24</v>
      </c>
      <c r="H442" s="282" t="str">
        <f t="shared" si="43"/>
        <v>Variable</v>
      </c>
      <c r="I442" s="284">
        <f t="shared" si="42"/>
        <v>256.18999999999983</v>
      </c>
      <c r="J442" s="282">
        <v>0</v>
      </c>
      <c r="K442" s="282" t="s">
        <v>628</v>
      </c>
    </row>
    <row r="443" spans="1:11" x14ac:dyDescent="0.2">
      <c r="A443" s="268">
        <f t="shared" si="44"/>
        <v>2021</v>
      </c>
      <c r="B443" s="286">
        <f t="shared" si="41"/>
        <v>7</v>
      </c>
      <c r="C443" s="318">
        <v>44382</v>
      </c>
      <c r="D443" s="318">
        <v>44382</v>
      </c>
      <c r="E443" s="287" t="s">
        <v>593</v>
      </c>
      <c r="F443" s="282">
        <v>48.99</v>
      </c>
      <c r="G443" s="282" t="s">
        <v>88</v>
      </c>
      <c r="H443" s="282" t="str">
        <f t="shared" si="43"/>
        <v>Variable</v>
      </c>
      <c r="I443" s="284">
        <f t="shared" si="42"/>
        <v>305.17999999999984</v>
      </c>
      <c r="J443" s="282">
        <v>0</v>
      </c>
      <c r="K443" s="282" t="s">
        <v>628</v>
      </c>
    </row>
    <row r="444" spans="1:11" x14ac:dyDescent="0.2">
      <c r="A444" s="268">
        <f t="shared" si="44"/>
        <v>2021</v>
      </c>
      <c r="B444" s="286">
        <f t="shared" si="41"/>
        <v>7</v>
      </c>
      <c r="C444" s="318">
        <v>44382</v>
      </c>
      <c r="D444" s="318">
        <v>44384</v>
      </c>
      <c r="E444" s="287" t="s">
        <v>139</v>
      </c>
      <c r="F444" s="282">
        <v>-190.79</v>
      </c>
      <c r="G444" s="282" t="s">
        <v>67</v>
      </c>
      <c r="H444" s="282" t="str">
        <f t="shared" si="43"/>
        <v>Variable</v>
      </c>
      <c r="I444" s="284">
        <f t="shared" si="42"/>
        <v>114.38999999999984</v>
      </c>
      <c r="J444" s="282">
        <v>0</v>
      </c>
      <c r="K444" s="282" t="s">
        <v>688</v>
      </c>
    </row>
    <row r="445" spans="1:11" ht="18" customHeight="1" x14ac:dyDescent="0.2">
      <c r="A445" s="268">
        <f t="shared" si="44"/>
        <v>2021</v>
      </c>
      <c r="B445" s="286">
        <f t="shared" si="41"/>
        <v>7</v>
      </c>
      <c r="C445" s="318">
        <v>44384</v>
      </c>
      <c r="D445" s="318">
        <v>44384</v>
      </c>
      <c r="E445" s="287" t="s">
        <v>183</v>
      </c>
      <c r="F445" s="282">
        <v>94.95</v>
      </c>
      <c r="G445" s="282" t="s">
        <v>67</v>
      </c>
      <c r="H445" s="282" t="str">
        <f t="shared" si="43"/>
        <v>Variable</v>
      </c>
      <c r="I445" s="284">
        <f t="shared" si="42"/>
        <v>209.33999999999986</v>
      </c>
      <c r="J445" s="282">
        <v>0</v>
      </c>
      <c r="K445" s="282" t="s">
        <v>682</v>
      </c>
    </row>
    <row r="446" spans="1:11" ht="18" customHeight="1" x14ac:dyDescent="0.2">
      <c r="A446" s="268">
        <f t="shared" ref="A446:A466" si="45">YEAR(C446)</f>
        <v>2021</v>
      </c>
      <c r="B446" s="286">
        <f t="shared" ref="B446:B466" si="46">MONTH(C446)</f>
        <v>7</v>
      </c>
      <c r="C446" s="318">
        <v>44384</v>
      </c>
      <c r="D446" s="318">
        <v>44384</v>
      </c>
      <c r="E446" s="287" t="s">
        <v>336</v>
      </c>
      <c r="F446" s="282">
        <v>15</v>
      </c>
      <c r="G446" s="282" t="s">
        <v>67</v>
      </c>
      <c r="H446" s="282" t="str">
        <f t="shared" ref="H446:H466" si="47">VLOOKUP(G446,Expense_Lookup,2,0)</f>
        <v>Variable</v>
      </c>
      <c r="I446" s="284">
        <f t="shared" si="42"/>
        <v>224.33999999999986</v>
      </c>
      <c r="J446" s="282" t="s">
        <v>719</v>
      </c>
      <c r="K446" s="282" t="s">
        <v>688</v>
      </c>
    </row>
    <row r="447" spans="1:11" ht="18" customHeight="1" x14ac:dyDescent="0.2">
      <c r="A447" s="268">
        <f t="shared" si="45"/>
        <v>2021</v>
      </c>
      <c r="B447" s="286">
        <f t="shared" si="46"/>
        <v>7</v>
      </c>
      <c r="C447" s="318">
        <v>44384</v>
      </c>
      <c r="D447" s="318">
        <v>44384</v>
      </c>
      <c r="E447" s="287" t="s">
        <v>594</v>
      </c>
      <c r="F447" s="282">
        <v>382.98</v>
      </c>
      <c r="G447" s="282" t="s">
        <v>67</v>
      </c>
      <c r="H447" s="282" t="str">
        <f t="shared" si="47"/>
        <v>Variable</v>
      </c>
      <c r="I447" s="284">
        <f t="shared" si="42"/>
        <v>607.31999999999994</v>
      </c>
      <c r="J447" s="282" t="s">
        <v>597</v>
      </c>
      <c r="K447" s="282" t="s">
        <v>688</v>
      </c>
    </row>
    <row r="448" spans="1:11" ht="18" customHeight="1" x14ac:dyDescent="0.2">
      <c r="A448" s="268">
        <f t="shared" si="45"/>
        <v>2021</v>
      </c>
      <c r="B448" s="286">
        <f t="shared" si="46"/>
        <v>7</v>
      </c>
      <c r="C448" s="318">
        <v>44385</v>
      </c>
      <c r="D448" s="318">
        <v>44385</v>
      </c>
      <c r="E448" s="287" t="s">
        <v>1099</v>
      </c>
      <c r="F448" s="282">
        <v>28.1</v>
      </c>
      <c r="G448" s="316" t="s">
        <v>24</v>
      </c>
      <c r="H448" s="282" t="str">
        <f t="shared" si="47"/>
        <v>Variable</v>
      </c>
      <c r="I448" s="284">
        <f t="shared" si="42"/>
        <v>635.41999999999996</v>
      </c>
      <c r="J448" s="282"/>
      <c r="K448" s="282"/>
    </row>
    <row r="449" spans="1:11" ht="18" customHeight="1" x14ac:dyDescent="0.2">
      <c r="A449" s="268">
        <f t="shared" si="45"/>
        <v>2021</v>
      </c>
      <c r="B449" s="286">
        <f t="shared" si="46"/>
        <v>7</v>
      </c>
      <c r="C449" s="318">
        <v>44385</v>
      </c>
      <c r="D449" s="318">
        <v>44385</v>
      </c>
      <c r="E449" s="287" t="s">
        <v>595</v>
      </c>
      <c r="F449" s="282">
        <v>27.68</v>
      </c>
      <c r="G449" s="282" t="s">
        <v>88</v>
      </c>
      <c r="H449" s="282" t="str">
        <f t="shared" si="47"/>
        <v>Variable</v>
      </c>
      <c r="I449" s="284">
        <f t="shared" si="42"/>
        <v>663.09999999999991</v>
      </c>
      <c r="J449" s="282">
        <v>0</v>
      </c>
      <c r="K449" s="282" t="s">
        <v>628</v>
      </c>
    </row>
    <row r="450" spans="1:11" ht="18" customHeight="1" x14ac:dyDescent="0.2">
      <c r="A450" s="268">
        <f t="shared" si="45"/>
        <v>2021</v>
      </c>
      <c r="B450" s="286">
        <f t="shared" si="46"/>
        <v>7</v>
      </c>
      <c r="C450" s="318">
        <v>44386</v>
      </c>
      <c r="D450" s="318">
        <v>44386</v>
      </c>
      <c r="E450" s="287" t="s">
        <v>336</v>
      </c>
      <c r="F450" s="282">
        <v>19.989999999999998</v>
      </c>
      <c r="G450" s="282" t="s">
        <v>67</v>
      </c>
      <c r="H450" s="282" t="str">
        <f t="shared" si="47"/>
        <v>Variable</v>
      </c>
      <c r="I450" s="284">
        <f t="shared" si="42"/>
        <v>683.08999999999992</v>
      </c>
      <c r="J450" s="282" t="s">
        <v>719</v>
      </c>
      <c r="K450" s="282" t="s">
        <v>688</v>
      </c>
    </row>
    <row r="451" spans="1:11" ht="18" customHeight="1" x14ac:dyDescent="0.2">
      <c r="A451" s="268">
        <f t="shared" si="45"/>
        <v>2021</v>
      </c>
      <c r="B451" s="286">
        <f t="shared" si="46"/>
        <v>7</v>
      </c>
      <c r="C451" s="318">
        <v>44386</v>
      </c>
      <c r="D451" s="318">
        <v>44386</v>
      </c>
      <c r="E451" s="287" t="s">
        <v>195</v>
      </c>
      <c r="F451" s="282">
        <v>35</v>
      </c>
      <c r="G451" s="282" t="s">
        <v>52</v>
      </c>
      <c r="H451" s="282" t="str">
        <f t="shared" si="47"/>
        <v>Variable</v>
      </c>
      <c r="I451" s="284">
        <f t="shared" si="42"/>
        <v>718.08999999999992</v>
      </c>
      <c r="J451" s="282" t="s">
        <v>1101</v>
      </c>
      <c r="K451" s="282" t="s">
        <v>628</v>
      </c>
    </row>
    <row r="452" spans="1:11" ht="18" customHeight="1" x14ac:dyDescent="0.2">
      <c r="A452" s="268">
        <f t="shared" si="45"/>
        <v>2021</v>
      </c>
      <c r="B452" s="286">
        <f t="shared" si="46"/>
        <v>7</v>
      </c>
      <c r="C452" s="318">
        <v>44386</v>
      </c>
      <c r="D452" s="318">
        <v>44386</v>
      </c>
      <c r="E452" s="287" t="s">
        <v>709</v>
      </c>
      <c r="F452" s="282">
        <v>13.12</v>
      </c>
      <c r="G452" s="282" t="s">
        <v>41</v>
      </c>
      <c r="H452" s="282" t="str">
        <f t="shared" si="47"/>
        <v>Variable</v>
      </c>
      <c r="I452" s="284">
        <f t="shared" ref="I452:I515" si="48">I451+F452</f>
        <v>731.20999999999992</v>
      </c>
      <c r="J452" s="282">
        <v>0</v>
      </c>
      <c r="K452" s="282" t="s">
        <v>670</v>
      </c>
    </row>
    <row r="453" spans="1:11" ht="18" customHeight="1" x14ac:dyDescent="0.2">
      <c r="A453" s="268">
        <f t="shared" si="45"/>
        <v>2021</v>
      </c>
      <c r="B453" s="286">
        <f t="shared" si="46"/>
        <v>7</v>
      </c>
      <c r="C453" s="318">
        <v>44386</v>
      </c>
      <c r="D453" s="318">
        <v>44386</v>
      </c>
      <c r="E453" s="287" t="s">
        <v>710</v>
      </c>
      <c r="F453" s="282">
        <v>60.82</v>
      </c>
      <c r="G453" s="282" t="s">
        <v>89</v>
      </c>
      <c r="H453" s="282" t="str">
        <f t="shared" si="47"/>
        <v>Variable</v>
      </c>
      <c r="I453" s="284">
        <f t="shared" si="48"/>
        <v>792.03</v>
      </c>
      <c r="J453" s="282">
        <v>0</v>
      </c>
      <c r="K453" s="282" t="s">
        <v>670</v>
      </c>
    </row>
    <row r="454" spans="1:11" ht="18" customHeight="1" x14ac:dyDescent="0.2">
      <c r="A454" s="268">
        <f t="shared" si="45"/>
        <v>2021</v>
      </c>
      <c r="B454" s="286">
        <f t="shared" si="46"/>
        <v>7</v>
      </c>
      <c r="C454" s="318">
        <v>44386</v>
      </c>
      <c r="D454" s="318">
        <v>44386</v>
      </c>
      <c r="E454" s="287" t="s">
        <v>97</v>
      </c>
      <c r="F454" s="282">
        <v>24.29</v>
      </c>
      <c r="G454" s="282" t="s">
        <v>67</v>
      </c>
      <c r="H454" s="282" t="str">
        <f t="shared" si="47"/>
        <v>Variable</v>
      </c>
      <c r="I454" s="284">
        <f t="shared" si="48"/>
        <v>816.31999999999994</v>
      </c>
      <c r="J454" s="282" t="s">
        <v>105</v>
      </c>
      <c r="K454" s="282" t="s">
        <v>688</v>
      </c>
    </row>
    <row r="455" spans="1:11" ht="18" customHeight="1" x14ac:dyDescent="0.2">
      <c r="A455" s="268">
        <f t="shared" si="45"/>
        <v>2021</v>
      </c>
      <c r="B455" s="286">
        <f t="shared" si="46"/>
        <v>7</v>
      </c>
      <c r="C455" s="318">
        <v>44387</v>
      </c>
      <c r="D455" s="318">
        <v>44387</v>
      </c>
      <c r="E455" s="287" t="s">
        <v>711</v>
      </c>
      <c r="F455" s="282">
        <v>15.89</v>
      </c>
      <c r="G455" s="282" t="s">
        <v>26</v>
      </c>
      <c r="H455" s="282" t="str">
        <f t="shared" si="47"/>
        <v>Fixed</v>
      </c>
      <c r="I455" s="284">
        <f t="shared" si="48"/>
        <v>832.20999999999992</v>
      </c>
      <c r="J455" s="282" t="s">
        <v>292</v>
      </c>
      <c r="K455" s="281" t="s">
        <v>781</v>
      </c>
    </row>
    <row r="456" spans="1:11" ht="18" customHeight="1" x14ac:dyDescent="0.2">
      <c r="A456" s="268">
        <f t="shared" si="45"/>
        <v>2021</v>
      </c>
      <c r="B456" s="286">
        <f t="shared" si="46"/>
        <v>7</v>
      </c>
      <c r="C456" s="318">
        <v>44387</v>
      </c>
      <c r="D456" s="318">
        <v>44387</v>
      </c>
      <c r="E456" s="287" t="s">
        <v>543</v>
      </c>
      <c r="F456" s="282">
        <v>65.150000000000006</v>
      </c>
      <c r="G456" s="282" t="s">
        <v>52</v>
      </c>
      <c r="H456" s="282" t="str">
        <f t="shared" si="47"/>
        <v>Variable</v>
      </c>
      <c r="I456" s="284">
        <f t="shared" si="48"/>
        <v>897.3599999999999</v>
      </c>
      <c r="J456" s="282" t="s">
        <v>598</v>
      </c>
      <c r="K456" s="282" t="s">
        <v>688</v>
      </c>
    </row>
    <row r="457" spans="1:11" ht="18" customHeight="1" x14ac:dyDescent="0.2">
      <c r="A457" s="268">
        <f t="shared" si="45"/>
        <v>2021</v>
      </c>
      <c r="B457" s="286">
        <f t="shared" si="46"/>
        <v>7</v>
      </c>
      <c r="C457" s="318">
        <v>44387</v>
      </c>
      <c r="D457" s="318">
        <v>44387</v>
      </c>
      <c r="E457" s="287" t="s">
        <v>538</v>
      </c>
      <c r="F457" s="282">
        <v>401.51</v>
      </c>
      <c r="G457" s="282" t="s">
        <v>52</v>
      </c>
      <c r="H457" s="282" t="str">
        <f t="shared" si="47"/>
        <v>Variable</v>
      </c>
      <c r="I457" s="284">
        <f t="shared" si="48"/>
        <v>1298.8699999999999</v>
      </c>
      <c r="J457" s="282" t="s">
        <v>597</v>
      </c>
      <c r="K457" s="282" t="s">
        <v>688</v>
      </c>
    </row>
    <row r="458" spans="1:11" ht="18" customHeight="1" x14ac:dyDescent="0.2">
      <c r="A458" s="268">
        <f t="shared" si="45"/>
        <v>2021</v>
      </c>
      <c r="B458" s="286">
        <f t="shared" si="46"/>
        <v>7</v>
      </c>
      <c r="C458" s="318">
        <v>44387</v>
      </c>
      <c r="D458" s="318">
        <v>44387</v>
      </c>
      <c r="E458" s="287" t="s">
        <v>99</v>
      </c>
      <c r="F458" s="282">
        <v>86.25</v>
      </c>
      <c r="G458" s="282" t="s">
        <v>26</v>
      </c>
      <c r="H458" s="282" t="str">
        <f t="shared" si="47"/>
        <v>Fixed</v>
      </c>
      <c r="I458" s="284">
        <f t="shared" si="48"/>
        <v>1385.12</v>
      </c>
      <c r="J458" s="282" t="s">
        <v>293</v>
      </c>
      <c r="K458" s="282" t="s">
        <v>781</v>
      </c>
    </row>
    <row r="459" spans="1:11" ht="18" customHeight="1" x14ac:dyDescent="0.2">
      <c r="A459" s="268">
        <f t="shared" si="45"/>
        <v>2021</v>
      </c>
      <c r="B459" s="286">
        <f t="shared" si="46"/>
        <v>7</v>
      </c>
      <c r="C459" s="318">
        <v>44387</v>
      </c>
      <c r="D459" s="318">
        <v>44387</v>
      </c>
      <c r="E459" s="287" t="s">
        <v>712</v>
      </c>
      <c r="F459" s="282">
        <v>8.7899999999999991</v>
      </c>
      <c r="G459" s="282" t="s">
        <v>24</v>
      </c>
      <c r="H459" s="282" t="str">
        <f t="shared" si="47"/>
        <v>Variable</v>
      </c>
      <c r="I459" s="284">
        <f t="shared" si="48"/>
        <v>1393.9099999999999</v>
      </c>
      <c r="J459" s="282">
        <v>0</v>
      </c>
      <c r="K459" s="282" t="s">
        <v>628</v>
      </c>
    </row>
    <row r="460" spans="1:11" ht="18" customHeight="1" x14ac:dyDescent="0.2">
      <c r="A460" s="268">
        <f t="shared" si="45"/>
        <v>2021</v>
      </c>
      <c r="B460" s="286">
        <f t="shared" si="46"/>
        <v>7</v>
      </c>
      <c r="C460" s="318">
        <v>44388</v>
      </c>
      <c r="D460" s="318">
        <v>44388</v>
      </c>
      <c r="E460" s="287" t="s">
        <v>713</v>
      </c>
      <c r="F460" s="282">
        <v>16.670000000000002</v>
      </c>
      <c r="G460" s="282" t="s">
        <v>41</v>
      </c>
      <c r="H460" s="282" t="str">
        <f t="shared" si="47"/>
        <v>Variable</v>
      </c>
      <c r="I460" s="284">
        <f t="shared" si="48"/>
        <v>1410.58</v>
      </c>
      <c r="J460" s="282">
        <v>0</v>
      </c>
      <c r="K460" s="282" t="s">
        <v>670</v>
      </c>
    </row>
    <row r="461" spans="1:11" ht="18" customHeight="1" x14ac:dyDescent="0.2">
      <c r="A461" s="268">
        <f t="shared" si="45"/>
        <v>2021</v>
      </c>
      <c r="B461" s="286">
        <f t="shared" si="46"/>
        <v>7</v>
      </c>
      <c r="C461" s="318">
        <v>44389</v>
      </c>
      <c r="D461" s="318">
        <v>44389</v>
      </c>
      <c r="E461" s="287" t="s">
        <v>714</v>
      </c>
      <c r="F461" s="282">
        <v>6.67</v>
      </c>
      <c r="G461" s="282" t="s">
        <v>89</v>
      </c>
      <c r="H461" s="282" t="str">
        <f t="shared" si="47"/>
        <v>Variable</v>
      </c>
      <c r="I461" s="284">
        <f t="shared" si="48"/>
        <v>1417.25</v>
      </c>
      <c r="J461" s="282">
        <v>0</v>
      </c>
      <c r="K461" s="282" t="s">
        <v>670</v>
      </c>
    </row>
    <row r="462" spans="1:11" ht="18" customHeight="1" x14ac:dyDescent="0.2">
      <c r="A462" s="268">
        <f t="shared" si="45"/>
        <v>2021</v>
      </c>
      <c r="B462" s="286">
        <f t="shared" si="46"/>
        <v>7</v>
      </c>
      <c r="C462" s="318">
        <v>44389</v>
      </c>
      <c r="D462" s="318">
        <v>44389</v>
      </c>
      <c r="E462" s="287" t="s">
        <v>59</v>
      </c>
      <c r="F462" s="282">
        <v>1.99</v>
      </c>
      <c r="G462" s="282" t="s">
        <v>26</v>
      </c>
      <c r="H462" s="282" t="str">
        <f t="shared" si="47"/>
        <v>Fixed</v>
      </c>
      <c r="I462" s="284">
        <f t="shared" si="48"/>
        <v>1419.24</v>
      </c>
      <c r="J462" s="282" t="s">
        <v>282</v>
      </c>
      <c r="K462" s="282" t="s">
        <v>781</v>
      </c>
    </row>
    <row r="463" spans="1:11" ht="18" customHeight="1" x14ac:dyDescent="0.2">
      <c r="A463" s="268">
        <f t="shared" si="45"/>
        <v>2021</v>
      </c>
      <c r="B463" s="286">
        <f t="shared" si="46"/>
        <v>7</v>
      </c>
      <c r="C463" s="318">
        <v>44389</v>
      </c>
      <c r="D463" s="318">
        <v>44389</v>
      </c>
      <c r="E463" s="287" t="s">
        <v>593</v>
      </c>
      <c r="F463" s="282">
        <v>7.34</v>
      </c>
      <c r="G463" s="282" t="s">
        <v>88</v>
      </c>
      <c r="H463" s="282" t="str">
        <f t="shared" si="47"/>
        <v>Variable</v>
      </c>
      <c r="I463" s="284">
        <f t="shared" si="48"/>
        <v>1426.58</v>
      </c>
      <c r="J463" s="282">
        <v>0</v>
      </c>
      <c r="K463" s="282" t="s">
        <v>628</v>
      </c>
    </row>
    <row r="464" spans="1:11" ht="18" customHeight="1" x14ac:dyDescent="0.2">
      <c r="A464" s="268">
        <f t="shared" si="45"/>
        <v>2021</v>
      </c>
      <c r="B464" s="286">
        <f t="shared" si="46"/>
        <v>7</v>
      </c>
      <c r="C464" s="318">
        <v>44389</v>
      </c>
      <c r="D464" s="318">
        <v>44389</v>
      </c>
      <c r="E464" s="287" t="s">
        <v>593</v>
      </c>
      <c r="F464" s="282">
        <v>16.96</v>
      </c>
      <c r="G464" s="282" t="s">
        <v>88</v>
      </c>
      <c r="H464" s="282" t="str">
        <f t="shared" si="47"/>
        <v>Variable</v>
      </c>
      <c r="I464" s="284">
        <f t="shared" si="48"/>
        <v>1443.54</v>
      </c>
      <c r="J464" s="282">
        <v>0</v>
      </c>
      <c r="K464" s="282" t="s">
        <v>628</v>
      </c>
    </row>
    <row r="465" spans="1:11" ht="18" customHeight="1" x14ac:dyDescent="0.2">
      <c r="A465" s="268">
        <f t="shared" si="45"/>
        <v>2021</v>
      </c>
      <c r="B465" s="286">
        <f t="shared" si="46"/>
        <v>7</v>
      </c>
      <c r="C465" s="318">
        <v>44389</v>
      </c>
      <c r="D465" s="318">
        <v>44389</v>
      </c>
      <c r="E465" s="287" t="s">
        <v>593</v>
      </c>
      <c r="F465" s="282">
        <v>20</v>
      </c>
      <c r="G465" s="282" t="s">
        <v>88</v>
      </c>
      <c r="H465" s="282" t="str">
        <f t="shared" si="47"/>
        <v>Variable</v>
      </c>
      <c r="I465" s="284">
        <f t="shared" si="48"/>
        <v>1463.54</v>
      </c>
      <c r="J465" s="282">
        <v>0</v>
      </c>
      <c r="K465" s="282" t="s">
        <v>628</v>
      </c>
    </row>
    <row r="466" spans="1:11" ht="18" customHeight="1" x14ac:dyDescent="0.2">
      <c r="A466" s="268">
        <f t="shared" si="45"/>
        <v>2021</v>
      </c>
      <c r="B466" s="286">
        <f t="shared" si="46"/>
        <v>7</v>
      </c>
      <c r="C466" s="318">
        <v>44390</v>
      </c>
      <c r="D466" s="318">
        <v>44390</v>
      </c>
      <c r="E466" s="287" t="s">
        <v>715</v>
      </c>
      <c r="F466" s="282">
        <v>67.22</v>
      </c>
      <c r="G466" s="282" t="s">
        <v>89</v>
      </c>
      <c r="H466" s="282" t="str">
        <f t="shared" si="47"/>
        <v>Variable</v>
      </c>
      <c r="I466" s="284">
        <f t="shared" si="48"/>
        <v>1530.76</v>
      </c>
      <c r="J466" s="282">
        <v>0</v>
      </c>
      <c r="K466" s="282" t="s">
        <v>670</v>
      </c>
    </row>
    <row r="467" spans="1:11" ht="18" customHeight="1" x14ac:dyDescent="0.2">
      <c r="A467" s="268">
        <f t="shared" ref="A467:A503" si="49">YEAR(C467)</f>
        <v>2021</v>
      </c>
      <c r="B467" s="286">
        <f t="shared" ref="B467:B503" si="50">MONTH(C467)</f>
        <v>7</v>
      </c>
      <c r="C467" s="318">
        <v>44390</v>
      </c>
      <c r="D467" s="318">
        <v>44390</v>
      </c>
      <c r="E467" s="287" t="s">
        <v>716</v>
      </c>
      <c r="F467" s="282">
        <v>113.96</v>
      </c>
      <c r="G467" s="282" t="s">
        <v>88</v>
      </c>
      <c r="H467" s="282" t="str">
        <f t="shared" ref="H467:H503" si="51">VLOOKUP(G467,Expense_Lookup,2,0)</f>
        <v>Variable</v>
      </c>
      <c r="I467" s="284">
        <f t="shared" si="48"/>
        <v>1644.72</v>
      </c>
      <c r="J467" s="282">
        <v>0</v>
      </c>
      <c r="K467" s="282" t="s">
        <v>628</v>
      </c>
    </row>
    <row r="468" spans="1:11" ht="18" customHeight="1" x14ac:dyDescent="0.2">
      <c r="A468" s="268">
        <f t="shared" si="49"/>
        <v>2021</v>
      </c>
      <c r="B468" s="286">
        <f t="shared" si="50"/>
        <v>7</v>
      </c>
      <c r="C468" s="318">
        <v>44391</v>
      </c>
      <c r="D468" s="318">
        <v>44391</v>
      </c>
      <c r="E468" s="287" t="s">
        <v>717</v>
      </c>
      <c r="F468" s="282">
        <v>60</v>
      </c>
      <c r="G468" s="282" t="s">
        <v>41</v>
      </c>
      <c r="H468" s="282" t="str">
        <f t="shared" si="51"/>
        <v>Variable</v>
      </c>
      <c r="I468" s="284">
        <f t="shared" si="48"/>
        <v>1704.72</v>
      </c>
      <c r="J468" s="282">
        <v>0</v>
      </c>
      <c r="K468" s="282" t="s">
        <v>670</v>
      </c>
    </row>
    <row r="469" spans="1:11" ht="18" customHeight="1" x14ac:dyDescent="0.2">
      <c r="A469" s="268">
        <f t="shared" si="49"/>
        <v>2021</v>
      </c>
      <c r="B469" s="286">
        <f t="shared" si="50"/>
        <v>7</v>
      </c>
      <c r="C469" s="318">
        <v>44392</v>
      </c>
      <c r="D469" s="318">
        <v>44392</v>
      </c>
      <c r="E469" s="287" t="s">
        <v>720</v>
      </c>
      <c r="F469" s="282">
        <v>40</v>
      </c>
      <c r="G469" s="282" t="s">
        <v>41</v>
      </c>
      <c r="H469" s="282" t="str">
        <f t="shared" si="51"/>
        <v>Variable</v>
      </c>
      <c r="I469" s="284">
        <f t="shared" si="48"/>
        <v>1744.72</v>
      </c>
      <c r="J469" s="282">
        <v>0</v>
      </c>
      <c r="K469" s="282" t="s">
        <v>670</v>
      </c>
    </row>
    <row r="470" spans="1:11" ht="18" customHeight="1" x14ac:dyDescent="0.2">
      <c r="A470" s="268">
        <f t="shared" si="49"/>
        <v>2021</v>
      </c>
      <c r="B470" s="286">
        <f t="shared" si="50"/>
        <v>7</v>
      </c>
      <c r="C470" s="318">
        <v>44392</v>
      </c>
      <c r="D470" s="318">
        <v>44392</v>
      </c>
      <c r="E470" s="287" t="s">
        <v>718</v>
      </c>
      <c r="F470" s="282">
        <v>16.600000000000001</v>
      </c>
      <c r="G470" s="282" t="s">
        <v>89</v>
      </c>
      <c r="H470" s="282" t="str">
        <f t="shared" si="51"/>
        <v>Variable</v>
      </c>
      <c r="I470" s="284">
        <f t="shared" si="48"/>
        <v>1761.32</v>
      </c>
      <c r="J470" s="282">
        <v>0</v>
      </c>
      <c r="K470" s="282" t="s">
        <v>670</v>
      </c>
    </row>
    <row r="471" spans="1:11" ht="18" customHeight="1" x14ac:dyDescent="0.2">
      <c r="A471" s="268">
        <f t="shared" si="49"/>
        <v>2021</v>
      </c>
      <c r="B471" s="286">
        <f t="shared" si="50"/>
        <v>7</v>
      </c>
      <c r="C471" s="318">
        <v>44393</v>
      </c>
      <c r="D471" s="318">
        <v>44393</v>
      </c>
      <c r="E471" s="287" t="s">
        <v>721</v>
      </c>
      <c r="F471" s="282">
        <v>25</v>
      </c>
      <c r="G471" s="282" t="s">
        <v>41</v>
      </c>
      <c r="H471" s="282" t="str">
        <f t="shared" si="51"/>
        <v>Variable</v>
      </c>
      <c r="I471" s="284">
        <f t="shared" si="48"/>
        <v>1786.32</v>
      </c>
      <c r="J471" s="282">
        <v>0</v>
      </c>
      <c r="K471" s="282" t="s">
        <v>670</v>
      </c>
    </row>
    <row r="472" spans="1:11" ht="18" customHeight="1" x14ac:dyDescent="0.2">
      <c r="A472" s="268">
        <f t="shared" si="49"/>
        <v>2021</v>
      </c>
      <c r="B472" s="286">
        <f t="shared" si="50"/>
        <v>7</v>
      </c>
      <c r="C472" s="318">
        <v>44393</v>
      </c>
      <c r="D472" s="318">
        <v>44393</v>
      </c>
      <c r="E472" s="287" t="s">
        <v>722</v>
      </c>
      <c r="F472" s="282">
        <v>56.81</v>
      </c>
      <c r="G472" s="282" t="s">
        <v>67</v>
      </c>
      <c r="H472" s="282" t="str">
        <f t="shared" si="51"/>
        <v>Variable</v>
      </c>
      <c r="I472" s="284">
        <f t="shared" si="48"/>
        <v>1843.1299999999999</v>
      </c>
      <c r="J472" s="282">
        <v>0</v>
      </c>
      <c r="K472" s="282" t="s">
        <v>688</v>
      </c>
    </row>
    <row r="473" spans="1:11" ht="18" customHeight="1" x14ac:dyDescent="0.2">
      <c r="A473" s="268">
        <f t="shared" si="49"/>
        <v>2021</v>
      </c>
      <c r="B473" s="286">
        <f t="shared" si="50"/>
        <v>7</v>
      </c>
      <c r="C473" s="318">
        <v>44393</v>
      </c>
      <c r="D473" s="318">
        <v>44393</v>
      </c>
      <c r="E473" s="287" t="s">
        <v>723</v>
      </c>
      <c r="F473" s="282">
        <v>56.81</v>
      </c>
      <c r="G473" s="282" t="s">
        <v>67</v>
      </c>
      <c r="H473" s="282" t="str">
        <f t="shared" si="51"/>
        <v>Variable</v>
      </c>
      <c r="I473" s="284">
        <f t="shared" si="48"/>
        <v>1899.9399999999998</v>
      </c>
      <c r="J473" s="282">
        <v>0</v>
      </c>
      <c r="K473" s="282" t="s">
        <v>688</v>
      </c>
    </row>
    <row r="474" spans="1:11" ht="18" customHeight="1" x14ac:dyDescent="0.2">
      <c r="A474" s="268">
        <f t="shared" si="49"/>
        <v>2021</v>
      </c>
      <c r="B474" s="286">
        <f t="shared" si="50"/>
        <v>7</v>
      </c>
      <c r="C474" s="318">
        <v>44393</v>
      </c>
      <c r="D474" s="318">
        <v>44393</v>
      </c>
      <c r="E474" s="287" t="s">
        <v>724</v>
      </c>
      <c r="F474" s="282">
        <v>69.98</v>
      </c>
      <c r="G474" s="282" t="s">
        <v>88</v>
      </c>
      <c r="H474" s="282" t="str">
        <f t="shared" si="51"/>
        <v>Variable</v>
      </c>
      <c r="I474" s="284">
        <f t="shared" si="48"/>
        <v>1969.9199999999998</v>
      </c>
      <c r="J474" s="282" t="s">
        <v>742</v>
      </c>
      <c r="K474" s="281" t="s">
        <v>677</v>
      </c>
    </row>
    <row r="475" spans="1:11" ht="18" customHeight="1" x14ac:dyDescent="0.2">
      <c r="A475" s="268">
        <f t="shared" si="49"/>
        <v>2021</v>
      </c>
      <c r="B475" s="286">
        <f t="shared" si="50"/>
        <v>7</v>
      </c>
      <c r="C475" s="318">
        <v>44393</v>
      </c>
      <c r="D475" s="318">
        <v>44393</v>
      </c>
      <c r="E475" s="287" t="s">
        <v>725</v>
      </c>
      <c r="F475" s="282">
        <v>5.7</v>
      </c>
      <c r="G475" s="282" t="s">
        <v>89</v>
      </c>
      <c r="H475" s="282" t="str">
        <f t="shared" si="51"/>
        <v>Variable</v>
      </c>
      <c r="I475" s="284">
        <f t="shared" si="48"/>
        <v>1975.62</v>
      </c>
      <c r="J475" s="282">
        <v>0</v>
      </c>
      <c r="K475" s="282" t="s">
        <v>670</v>
      </c>
    </row>
    <row r="476" spans="1:11" ht="18" customHeight="1" x14ac:dyDescent="0.2">
      <c r="A476" s="268">
        <f t="shared" si="49"/>
        <v>2021</v>
      </c>
      <c r="B476" s="286">
        <f t="shared" si="50"/>
        <v>7</v>
      </c>
      <c r="C476" s="318">
        <v>44393</v>
      </c>
      <c r="D476" s="318">
        <v>44393</v>
      </c>
      <c r="E476" s="287" t="s">
        <v>725</v>
      </c>
      <c r="F476" s="282">
        <v>20.54</v>
      </c>
      <c r="G476" s="282" t="s">
        <v>89</v>
      </c>
      <c r="H476" s="282" t="str">
        <f t="shared" si="51"/>
        <v>Variable</v>
      </c>
      <c r="I476" s="284">
        <f t="shared" si="48"/>
        <v>1996.1599999999999</v>
      </c>
      <c r="J476" s="282">
        <v>0</v>
      </c>
      <c r="K476" s="282" t="s">
        <v>670</v>
      </c>
    </row>
    <row r="477" spans="1:11" ht="18" customHeight="1" x14ac:dyDescent="0.2">
      <c r="A477" s="268">
        <f t="shared" si="49"/>
        <v>2021</v>
      </c>
      <c r="B477" s="286">
        <f t="shared" si="50"/>
        <v>7</v>
      </c>
      <c r="C477" s="318">
        <v>44393</v>
      </c>
      <c r="D477" s="318">
        <v>44393</v>
      </c>
      <c r="E477" s="287" t="s">
        <v>21</v>
      </c>
      <c r="F477" s="317">
        <v>-1000</v>
      </c>
      <c r="G477" s="282" t="s">
        <v>22</v>
      </c>
      <c r="H477" s="282" t="str">
        <f t="shared" si="51"/>
        <v>Payment</v>
      </c>
      <c r="I477" s="284">
        <f t="shared" si="48"/>
        <v>996.15999999999985</v>
      </c>
      <c r="J477" s="282">
        <v>0</v>
      </c>
      <c r="K477" s="282">
        <v>0</v>
      </c>
    </row>
    <row r="478" spans="1:11" ht="18" customHeight="1" x14ac:dyDescent="0.2">
      <c r="A478" s="268">
        <f t="shared" si="49"/>
        <v>2021</v>
      </c>
      <c r="B478" s="286">
        <f t="shared" si="50"/>
        <v>7</v>
      </c>
      <c r="C478" s="318">
        <v>44393</v>
      </c>
      <c r="D478" s="318">
        <v>44393</v>
      </c>
      <c r="E478" s="287" t="s">
        <v>726</v>
      </c>
      <c r="F478" s="282">
        <v>30.29</v>
      </c>
      <c r="G478" s="282" t="s">
        <v>24</v>
      </c>
      <c r="H478" s="282" t="str">
        <f t="shared" si="51"/>
        <v>Variable</v>
      </c>
      <c r="I478" s="284">
        <f t="shared" si="48"/>
        <v>1026.4499999999998</v>
      </c>
      <c r="J478" s="282">
        <v>0</v>
      </c>
      <c r="K478" s="282" t="s">
        <v>628</v>
      </c>
    </row>
    <row r="479" spans="1:11" ht="18" customHeight="1" x14ac:dyDescent="0.2">
      <c r="A479" s="268">
        <f t="shared" si="49"/>
        <v>2021</v>
      </c>
      <c r="B479" s="286">
        <f t="shared" si="50"/>
        <v>7</v>
      </c>
      <c r="C479" s="318">
        <v>44393</v>
      </c>
      <c r="D479" s="318">
        <v>44393</v>
      </c>
      <c r="E479" s="287" t="s">
        <v>140</v>
      </c>
      <c r="F479" s="282">
        <v>4.99</v>
      </c>
      <c r="G479" s="282" t="s">
        <v>67</v>
      </c>
      <c r="H479" s="282" t="str">
        <f t="shared" si="51"/>
        <v>Variable</v>
      </c>
      <c r="I479" s="284">
        <f t="shared" si="48"/>
        <v>1031.4399999999998</v>
      </c>
      <c r="J479" s="282">
        <v>0</v>
      </c>
      <c r="K479" s="282" t="s">
        <v>688</v>
      </c>
    </row>
    <row r="480" spans="1:11" ht="18" customHeight="1" x14ac:dyDescent="0.2">
      <c r="A480" s="268">
        <f t="shared" si="49"/>
        <v>2021</v>
      </c>
      <c r="B480" s="286">
        <f t="shared" si="50"/>
        <v>7</v>
      </c>
      <c r="C480" s="318">
        <v>44393</v>
      </c>
      <c r="D480" s="318">
        <v>44393</v>
      </c>
      <c r="E480" s="287" t="s">
        <v>140</v>
      </c>
      <c r="F480" s="282">
        <v>59.99</v>
      </c>
      <c r="G480" s="282" t="s">
        <v>67</v>
      </c>
      <c r="H480" s="282" t="str">
        <f t="shared" si="51"/>
        <v>Variable</v>
      </c>
      <c r="I480" s="284">
        <f t="shared" si="48"/>
        <v>1091.4299999999998</v>
      </c>
      <c r="J480" s="282">
        <v>0</v>
      </c>
      <c r="K480" s="282" t="s">
        <v>688</v>
      </c>
    </row>
    <row r="481" spans="1:11" ht="18" customHeight="1" x14ac:dyDescent="0.2">
      <c r="A481" s="268">
        <f t="shared" si="49"/>
        <v>2021</v>
      </c>
      <c r="B481" s="286">
        <f t="shared" si="50"/>
        <v>7</v>
      </c>
      <c r="C481" s="318">
        <v>44393</v>
      </c>
      <c r="D481" s="318">
        <v>44393</v>
      </c>
      <c r="E481" s="287" t="s">
        <v>727</v>
      </c>
      <c r="F481" s="282">
        <v>50</v>
      </c>
      <c r="G481" s="282" t="s">
        <v>26</v>
      </c>
      <c r="H481" s="282" t="str">
        <f t="shared" si="51"/>
        <v>Fixed</v>
      </c>
      <c r="I481" s="284">
        <f t="shared" si="48"/>
        <v>1141.4299999999998</v>
      </c>
      <c r="J481" s="282" t="s">
        <v>741</v>
      </c>
      <c r="K481" s="282" t="s">
        <v>781</v>
      </c>
    </row>
    <row r="482" spans="1:11" ht="18" customHeight="1" x14ac:dyDescent="0.2">
      <c r="A482" s="268">
        <f t="shared" si="49"/>
        <v>2021</v>
      </c>
      <c r="B482" s="286">
        <f t="shared" si="50"/>
        <v>7</v>
      </c>
      <c r="C482" s="318">
        <v>44394</v>
      </c>
      <c r="D482" s="318">
        <v>44394</v>
      </c>
      <c r="E482" s="287" t="s">
        <v>728</v>
      </c>
      <c r="F482" s="282">
        <v>5.87</v>
      </c>
      <c r="G482" s="282" t="s">
        <v>41</v>
      </c>
      <c r="H482" s="282" t="str">
        <f t="shared" si="51"/>
        <v>Variable</v>
      </c>
      <c r="I482" s="284">
        <f t="shared" si="48"/>
        <v>1147.2999999999997</v>
      </c>
      <c r="J482" s="282" t="s">
        <v>742</v>
      </c>
      <c r="K482" s="282" t="s">
        <v>677</v>
      </c>
    </row>
    <row r="483" spans="1:11" ht="18" customHeight="1" x14ac:dyDescent="0.2">
      <c r="A483" s="268">
        <f t="shared" si="49"/>
        <v>2021</v>
      </c>
      <c r="B483" s="286">
        <f t="shared" si="50"/>
        <v>7</v>
      </c>
      <c r="C483" s="318">
        <v>44394</v>
      </c>
      <c r="D483" s="318">
        <v>44394</v>
      </c>
      <c r="E483" s="287" t="s">
        <v>728</v>
      </c>
      <c r="F483" s="282">
        <v>8.8699999999999992</v>
      </c>
      <c r="G483" s="282" t="s">
        <v>41</v>
      </c>
      <c r="H483" s="282" t="str">
        <f t="shared" si="51"/>
        <v>Variable</v>
      </c>
      <c r="I483" s="284">
        <f t="shared" si="48"/>
        <v>1156.1699999999996</v>
      </c>
      <c r="J483" s="282" t="s">
        <v>742</v>
      </c>
      <c r="K483" s="282" t="s">
        <v>677</v>
      </c>
    </row>
    <row r="484" spans="1:11" ht="18" customHeight="1" x14ac:dyDescent="0.2">
      <c r="A484" s="268">
        <f t="shared" si="49"/>
        <v>2021</v>
      </c>
      <c r="B484" s="286">
        <f t="shared" si="50"/>
        <v>7</v>
      </c>
      <c r="C484" s="318">
        <v>44394</v>
      </c>
      <c r="D484" s="318">
        <v>44394</v>
      </c>
      <c r="E484" s="287" t="s">
        <v>728</v>
      </c>
      <c r="F484" s="282">
        <v>13.31</v>
      </c>
      <c r="G484" s="282" t="s">
        <v>41</v>
      </c>
      <c r="H484" s="282" t="str">
        <f t="shared" si="51"/>
        <v>Variable</v>
      </c>
      <c r="I484" s="284">
        <f t="shared" si="48"/>
        <v>1169.4799999999996</v>
      </c>
      <c r="J484" s="282" t="s">
        <v>742</v>
      </c>
      <c r="K484" s="282" t="s">
        <v>677</v>
      </c>
    </row>
    <row r="485" spans="1:11" ht="18" customHeight="1" x14ac:dyDescent="0.2">
      <c r="A485" s="268">
        <f t="shared" si="49"/>
        <v>2021</v>
      </c>
      <c r="B485" s="286">
        <f t="shared" si="50"/>
        <v>7</v>
      </c>
      <c r="C485" s="318">
        <v>44394</v>
      </c>
      <c r="D485" s="318">
        <v>44394</v>
      </c>
      <c r="E485" s="287" t="s">
        <v>728</v>
      </c>
      <c r="F485" s="282">
        <v>26.92</v>
      </c>
      <c r="G485" s="282" t="s">
        <v>41</v>
      </c>
      <c r="H485" s="282" t="str">
        <f t="shared" si="51"/>
        <v>Variable</v>
      </c>
      <c r="I485" s="284">
        <f t="shared" si="48"/>
        <v>1196.3999999999996</v>
      </c>
      <c r="J485" s="282" t="s">
        <v>742</v>
      </c>
      <c r="K485" s="282" t="s">
        <v>677</v>
      </c>
    </row>
    <row r="486" spans="1:11" ht="18" customHeight="1" x14ac:dyDescent="0.2">
      <c r="A486" s="268">
        <f t="shared" si="49"/>
        <v>2021</v>
      </c>
      <c r="B486" s="286">
        <f t="shared" si="50"/>
        <v>7</v>
      </c>
      <c r="C486" s="318">
        <v>44394</v>
      </c>
      <c r="D486" s="318">
        <v>44394</v>
      </c>
      <c r="E486" s="287" t="s">
        <v>728</v>
      </c>
      <c r="F486" s="282">
        <v>27.82</v>
      </c>
      <c r="G486" s="282" t="s">
        <v>41</v>
      </c>
      <c r="H486" s="282" t="str">
        <f t="shared" si="51"/>
        <v>Variable</v>
      </c>
      <c r="I486" s="284">
        <f t="shared" si="48"/>
        <v>1224.2199999999996</v>
      </c>
      <c r="J486" s="282" t="s">
        <v>742</v>
      </c>
      <c r="K486" s="282" t="s">
        <v>677</v>
      </c>
    </row>
    <row r="487" spans="1:11" ht="18" customHeight="1" x14ac:dyDescent="0.2">
      <c r="A487" s="268">
        <f t="shared" si="49"/>
        <v>2021</v>
      </c>
      <c r="B487" s="286">
        <f t="shared" si="50"/>
        <v>7</v>
      </c>
      <c r="C487" s="318">
        <v>44394</v>
      </c>
      <c r="D487" s="318">
        <v>44394</v>
      </c>
      <c r="E487" s="287" t="s">
        <v>729</v>
      </c>
      <c r="F487" s="282">
        <v>42.79</v>
      </c>
      <c r="G487" s="282" t="s">
        <v>88</v>
      </c>
      <c r="H487" s="282" t="str">
        <f t="shared" si="51"/>
        <v>Variable</v>
      </c>
      <c r="I487" s="284">
        <f t="shared" si="48"/>
        <v>1267.0099999999995</v>
      </c>
      <c r="J487" s="282" t="s">
        <v>742</v>
      </c>
      <c r="K487" s="282" t="s">
        <v>677</v>
      </c>
    </row>
    <row r="488" spans="1:11" ht="18" customHeight="1" x14ac:dyDescent="0.2">
      <c r="A488" s="268">
        <f t="shared" si="49"/>
        <v>2021</v>
      </c>
      <c r="B488" s="286">
        <f t="shared" si="50"/>
        <v>7</v>
      </c>
      <c r="C488" s="318">
        <v>44394</v>
      </c>
      <c r="D488" s="318">
        <v>44394</v>
      </c>
      <c r="E488" s="287" t="s">
        <v>729</v>
      </c>
      <c r="F488" s="282">
        <v>42.8</v>
      </c>
      <c r="G488" s="282" t="s">
        <v>88</v>
      </c>
      <c r="H488" s="282" t="str">
        <f t="shared" si="51"/>
        <v>Variable</v>
      </c>
      <c r="I488" s="284">
        <f t="shared" si="48"/>
        <v>1309.8099999999995</v>
      </c>
      <c r="J488" s="282" t="s">
        <v>742</v>
      </c>
      <c r="K488" s="282" t="s">
        <v>677</v>
      </c>
    </row>
    <row r="489" spans="1:11" ht="18" customHeight="1" x14ac:dyDescent="0.2">
      <c r="A489" s="268">
        <f t="shared" si="49"/>
        <v>2021</v>
      </c>
      <c r="B489" s="286">
        <f t="shared" si="50"/>
        <v>7</v>
      </c>
      <c r="C489" s="318">
        <v>44394</v>
      </c>
      <c r="D489" s="318">
        <v>44394</v>
      </c>
      <c r="E489" s="287" t="s">
        <v>730</v>
      </c>
      <c r="F489" s="282">
        <v>25</v>
      </c>
      <c r="G489" s="282" t="s">
        <v>52</v>
      </c>
      <c r="H489" s="282" t="str">
        <f t="shared" si="51"/>
        <v>Variable</v>
      </c>
      <c r="I489" s="284">
        <f t="shared" si="48"/>
        <v>1334.8099999999995</v>
      </c>
      <c r="J489" s="282" t="s">
        <v>742</v>
      </c>
      <c r="K489" s="282" t="s">
        <v>677</v>
      </c>
    </row>
    <row r="490" spans="1:11" ht="18" customHeight="1" x14ac:dyDescent="0.2">
      <c r="A490" s="268">
        <f t="shared" si="49"/>
        <v>2021</v>
      </c>
      <c r="B490" s="286">
        <f t="shared" si="50"/>
        <v>7</v>
      </c>
      <c r="C490" s="318">
        <v>44394</v>
      </c>
      <c r="D490" s="318">
        <v>44394</v>
      </c>
      <c r="E490" s="287" t="s">
        <v>731</v>
      </c>
      <c r="F490" s="282">
        <v>10</v>
      </c>
      <c r="G490" s="282" t="s">
        <v>67</v>
      </c>
      <c r="H490" s="282" t="str">
        <f t="shared" si="51"/>
        <v>Variable</v>
      </c>
      <c r="I490" s="284">
        <f t="shared" si="48"/>
        <v>1344.8099999999995</v>
      </c>
      <c r="J490" s="282" t="s">
        <v>742</v>
      </c>
      <c r="K490" s="282" t="s">
        <v>677</v>
      </c>
    </row>
    <row r="491" spans="1:11" ht="18" customHeight="1" x14ac:dyDescent="0.2">
      <c r="A491" s="268">
        <f t="shared" si="49"/>
        <v>2021</v>
      </c>
      <c r="B491" s="286">
        <f t="shared" si="50"/>
        <v>7</v>
      </c>
      <c r="C491" s="318">
        <v>44394</v>
      </c>
      <c r="D491" s="318">
        <v>44394</v>
      </c>
      <c r="E491" s="287" t="s">
        <v>732</v>
      </c>
      <c r="F491" s="282">
        <v>9.7200000000000006</v>
      </c>
      <c r="G491" s="282" t="s">
        <v>67</v>
      </c>
      <c r="H491" s="282" t="str">
        <f t="shared" si="51"/>
        <v>Variable</v>
      </c>
      <c r="I491" s="284">
        <f t="shared" si="48"/>
        <v>1354.5299999999995</v>
      </c>
      <c r="J491" s="282">
        <v>0</v>
      </c>
      <c r="K491" s="282" t="s">
        <v>670</v>
      </c>
    </row>
    <row r="492" spans="1:11" ht="18" customHeight="1" x14ac:dyDescent="0.2">
      <c r="A492" s="268">
        <f t="shared" si="49"/>
        <v>2021</v>
      </c>
      <c r="B492" s="286">
        <f t="shared" si="50"/>
        <v>7</v>
      </c>
      <c r="C492" s="318">
        <v>44395</v>
      </c>
      <c r="D492" s="318">
        <v>44395</v>
      </c>
      <c r="E492" s="287" t="s">
        <v>733</v>
      </c>
      <c r="F492" s="282">
        <v>14.06</v>
      </c>
      <c r="G492" s="282" t="s">
        <v>41</v>
      </c>
      <c r="H492" s="282" t="str">
        <f t="shared" si="51"/>
        <v>Variable</v>
      </c>
      <c r="I492" s="284">
        <f t="shared" si="48"/>
        <v>1368.5899999999995</v>
      </c>
      <c r="J492" s="282">
        <v>0</v>
      </c>
      <c r="K492" s="282" t="s">
        <v>670</v>
      </c>
    </row>
    <row r="493" spans="1:11" ht="18" customHeight="1" x14ac:dyDescent="0.2">
      <c r="A493" s="268">
        <f t="shared" si="49"/>
        <v>2021</v>
      </c>
      <c r="B493" s="286">
        <f t="shared" si="50"/>
        <v>7</v>
      </c>
      <c r="C493" s="318">
        <v>44395</v>
      </c>
      <c r="D493" s="318">
        <v>44395</v>
      </c>
      <c r="E493" s="287" t="s">
        <v>140</v>
      </c>
      <c r="F493" s="282">
        <v>4.79</v>
      </c>
      <c r="G493" s="282" t="s">
        <v>67</v>
      </c>
      <c r="H493" s="282" t="str">
        <f t="shared" si="51"/>
        <v>Variable</v>
      </c>
      <c r="I493" s="284">
        <f t="shared" si="48"/>
        <v>1373.3799999999994</v>
      </c>
      <c r="J493" s="282">
        <v>0</v>
      </c>
      <c r="K493" s="282" t="s">
        <v>688</v>
      </c>
    </row>
    <row r="494" spans="1:11" ht="18" customHeight="1" x14ac:dyDescent="0.2">
      <c r="A494" s="268">
        <f t="shared" si="49"/>
        <v>2021</v>
      </c>
      <c r="B494" s="286">
        <f t="shared" si="50"/>
        <v>7</v>
      </c>
      <c r="C494" s="318">
        <v>44395</v>
      </c>
      <c r="D494" s="318">
        <v>44395</v>
      </c>
      <c r="E494" s="287" t="s">
        <v>140</v>
      </c>
      <c r="F494" s="282">
        <v>14.75</v>
      </c>
      <c r="G494" s="282" t="s">
        <v>67</v>
      </c>
      <c r="H494" s="282" t="str">
        <f t="shared" si="51"/>
        <v>Variable</v>
      </c>
      <c r="I494" s="284">
        <f t="shared" si="48"/>
        <v>1388.1299999999994</v>
      </c>
      <c r="J494" s="282">
        <v>0</v>
      </c>
      <c r="K494" s="282" t="s">
        <v>688</v>
      </c>
    </row>
    <row r="495" spans="1:11" ht="18" customHeight="1" x14ac:dyDescent="0.2">
      <c r="A495" s="268">
        <f t="shared" si="49"/>
        <v>2021</v>
      </c>
      <c r="B495" s="286">
        <f t="shared" si="50"/>
        <v>7</v>
      </c>
      <c r="C495" s="318">
        <v>44395</v>
      </c>
      <c r="D495" s="318">
        <v>44395</v>
      </c>
      <c r="E495" s="287" t="s">
        <v>734</v>
      </c>
      <c r="F495" s="282">
        <v>22.63</v>
      </c>
      <c r="G495" s="282" t="s">
        <v>41</v>
      </c>
      <c r="H495" s="282" t="str">
        <f t="shared" si="51"/>
        <v>Variable</v>
      </c>
      <c r="I495" s="284">
        <f t="shared" si="48"/>
        <v>1410.7599999999995</v>
      </c>
      <c r="J495" s="282">
        <v>0</v>
      </c>
      <c r="K495" s="282" t="s">
        <v>670</v>
      </c>
    </row>
    <row r="496" spans="1:11" ht="18" customHeight="1" x14ac:dyDescent="0.2">
      <c r="A496" s="268">
        <f t="shared" si="49"/>
        <v>2021</v>
      </c>
      <c r="B496" s="286">
        <f t="shared" si="50"/>
        <v>7</v>
      </c>
      <c r="C496" s="318">
        <v>44396</v>
      </c>
      <c r="D496" s="318">
        <v>44396</v>
      </c>
      <c r="E496" s="287" t="s">
        <v>735</v>
      </c>
      <c r="F496" s="282">
        <v>5</v>
      </c>
      <c r="G496" s="282" t="s">
        <v>52</v>
      </c>
      <c r="H496" s="282" t="str">
        <f t="shared" si="51"/>
        <v>Variable</v>
      </c>
      <c r="I496" s="284">
        <f t="shared" si="48"/>
        <v>1415.7599999999995</v>
      </c>
      <c r="J496" s="282" t="s">
        <v>744</v>
      </c>
      <c r="K496" s="282" t="s">
        <v>688</v>
      </c>
    </row>
    <row r="497" spans="1:11" ht="18" customHeight="1" x14ac:dyDescent="0.2">
      <c r="A497" s="268">
        <f t="shared" si="49"/>
        <v>2021</v>
      </c>
      <c r="B497" s="286">
        <f t="shared" si="50"/>
        <v>7</v>
      </c>
      <c r="C497" s="318">
        <v>44396</v>
      </c>
      <c r="D497" s="318">
        <v>44396</v>
      </c>
      <c r="E497" s="287" t="s">
        <v>348</v>
      </c>
      <c r="F497" s="282">
        <v>194</v>
      </c>
      <c r="G497" s="282" t="s">
        <v>118</v>
      </c>
      <c r="H497" s="282" t="str">
        <f t="shared" si="51"/>
        <v>Variable</v>
      </c>
      <c r="I497" s="284">
        <f t="shared" si="48"/>
        <v>1609.7599999999995</v>
      </c>
      <c r="J497" s="282">
        <v>0</v>
      </c>
      <c r="K497" s="282" t="s">
        <v>692</v>
      </c>
    </row>
    <row r="498" spans="1:11" ht="18" customHeight="1" x14ac:dyDescent="0.2">
      <c r="A498" s="268">
        <f t="shared" si="49"/>
        <v>2021</v>
      </c>
      <c r="B498" s="286">
        <f t="shared" si="50"/>
        <v>7</v>
      </c>
      <c r="C498" s="318">
        <v>44396</v>
      </c>
      <c r="D498" s="318">
        <v>44398</v>
      </c>
      <c r="E498" s="287" t="s">
        <v>348</v>
      </c>
      <c r="F498" s="282">
        <v>-194</v>
      </c>
      <c r="G498" s="282" t="s">
        <v>118</v>
      </c>
      <c r="H498" s="282" t="str">
        <f t="shared" si="51"/>
        <v>Variable</v>
      </c>
      <c r="I498" s="284">
        <f t="shared" si="48"/>
        <v>1415.7599999999995</v>
      </c>
      <c r="J498" s="282">
        <v>0</v>
      </c>
      <c r="K498" s="282" t="s">
        <v>692</v>
      </c>
    </row>
    <row r="499" spans="1:11" ht="18" customHeight="1" x14ac:dyDescent="0.2">
      <c r="A499" s="268">
        <f t="shared" si="49"/>
        <v>2021</v>
      </c>
      <c r="B499" s="286">
        <f t="shared" si="50"/>
        <v>7</v>
      </c>
      <c r="C499" s="318">
        <v>44397</v>
      </c>
      <c r="D499" s="318">
        <v>44397</v>
      </c>
      <c r="E499" s="287" t="s">
        <v>736</v>
      </c>
      <c r="F499" s="282">
        <v>9.4600000000000009</v>
      </c>
      <c r="G499" s="282" t="s">
        <v>89</v>
      </c>
      <c r="H499" s="282" t="str">
        <f t="shared" si="51"/>
        <v>Variable</v>
      </c>
      <c r="I499" s="284">
        <f t="shared" si="48"/>
        <v>1425.2199999999996</v>
      </c>
      <c r="J499" s="282">
        <v>0</v>
      </c>
      <c r="K499" s="282" t="s">
        <v>670</v>
      </c>
    </row>
    <row r="500" spans="1:11" ht="18" customHeight="1" x14ac:dyDescent="0.2">
      <c r="A500" s="268">
        <f t="shared" si="49"/>
        <v>2021</v>
      </c>
      <c r="B500" s="286">
        <f t="shared" si="50"/>
        <v>7</v>
      </c>
      <c r="C500" s="318">
        <v>44397</v>
      </c>
      <c r="D500" s="318">
        <v>44397</v>
      </c>
      <c r="E500" s="287" t="s">
        <v>736</v>
      </c>
      <c r="F500" s="282">
        <v>70.040000000000006</v>
      </c>
      <c r="G500" s="282" t="s">
        <v>89</v>
      </c>
      <c r="H500" s="282" t="str">
        <f t="shared" si="51"/>
        <v>Variable</v>
      </c>
      <c r="I500" s="284">
        <f t="shared" si="48"/>
        <v>1495.2599999999995</v>
      </c>
      <c r="J500" s="282">
        <v>0</v>
      </c>
      <c r="K500" s="282" t="s">
        <v>670</v>
      </c>
    </row>
    <row r="501" spans="1:11" ht="18" customHeight="1" x14ac:dyDescent="0.2">
      <c r="A501" s="268">
        <f t="shared" si="49"/>
        <v>2021</v>
      </c>
      <c r="B501" s="286">
        <f t="shared" si="50"/>
        <v>7</v>
      </c>
      <c r="C501" s="318">
        <v>44397</v>
      </c>
      <c r="D501" s="318">
        <v>44397</v>
      </c>
      <c r="E501" s="287" t="s">
        <v>737</v>
      </c>
      <c r="F501" s="282">
        <v>15.88</v>
      </c>
      <c r="G501" s="282" t="s">
        <v>129</v>
      </c>
      <c r="H501" s="282" t="str">
        <f t="shared" si="51"/>
        <v>Fixed</v>
      </c>
      <c r="I501" s="284">
        <f t="shared" si="48"/>
        <v>1511.1399999999996</v>
      </c>
      <c r="J501" s="282">
        <v>0</v>
      </c>
      <c r="K501" s="282" t="s">
        <v>628</v>
      </c>
    </row>
    <row r="502" spans="1:11" ht="18" customHeight="1" x14ac:dyDescent="0.2">
      <c r="A502" s="268">
        <f t="shared" si="49"/>
        <v>2021</v>
      </c>
      <c r="B502" s="286">
        <f t="shared" si="50"/>
        <v>7</v>
      </c>
      <c r="C502" s="318">
        <v>44397</v>
      </c>
      <c r="D502" s="318">
        <v>44397</v>
      </c>
      <c r="E502" s="287" t="s">
        <v>738</v>
      </c>
      <c r="F502" s="282">
        <v>28.6</v>
      </c>
      <c r="G502" s="282" t="s">
        <v>67</v>
      </c>
      <c r="H502" s="282" t="str">
        <f t="shared" si="51"/>
        <v>Variable</v>
      </c>
      <c r="I502" s="284">
        <f t="shared" si="48"/>
        <v>1539.7399999999996</v>
      </c>
      <c r="J502" s="282">
        <v>0</v>
      </c>
      <c r="K502" s="282" t="s">
        <v>688</v>
      </c>
    </row>
    <row r="503" spans="1:11" ht="18" customHeight="1" x14ac:dyDescent="0.2">
      <c r="A503" s="268">
        <f t="shared" si="49"/>
        <v>2021</v>
      </c>
      <c r="B503" s="286">
        <f t="shared" si="50"/>
        <v>7</v>
      </c>
      <c r="C503" s="318">
        <v>44397</v>
      </c>
      <c r="D503" s="318">
        <v>44397</v>
      </c>
      <c r="E503" s="287" t="s">
        <v>739</v>
      </c>
      <c r="F503" s="282">
        <v>18</v>
      </c>
      <c r="G503" s="282" t="s">
        <v>129</v>
      </c>
      <c r="H503" s="282" t="str">
        <f t="shared" si="51"/>
        <v>Fixed</v>
      </c>
      <c r="I503" s="284">
        <f t="shared" si="48"/>
        <v>1557.7399999999996</v>
      </c>
      <c r="J503" s="282">
        <v>0</v>
      </c>
      <c r="K503" s="282" t="s">
        <v>628</v>
      </c>
    </row>
    <row r="504" spans="1:11" ht="18" customHeight="1" x14ac:dyDescent="0.2">
      <c r="A504" s="268">
        <f t="shared" ref="A504:A569" si="52">YEAR(C504)</f>
        <v>2021</v>
      </c>
      <c r="B504" s="286">
        <f t="shared" ref="B504:B569" si="53">MONTH(C504)</f>
        <v>7</v>
      </c>
      <c r="C504" s="318">
        <v>44397</v>
      </c>
      <c r="D504" s="318">
        <v>44397</v>
      </c>
      <c r="E504" s="287" t="s">
        <v>725</v>
      </c>
      <c r="F504" s="282">
        <v>56.29</v>
      </c>
      <c r="G504" s="282" t="s">
        <v>89</v>
      </c>
      <c r="H504" s="282" t="str">
        <f t="shared" ref="H504:H569" si="54">VLOOKUP(G504,Expense_Lookup,2,0)</f>
        <v>Variable</v>
      </c>
      <c r="I504" s="284">
        <f t="shared" si="48"/>
        <v>1614.0299999999995</v>
      </c>
      <c r="J504" s="282">
        <v>0</v>
      </c>
      <c r="K504" s="282" t="s">
        <v>670</v>
      </c>
    </row>
    <row r="505" spans="1:11" ht="18" customHeight="1" x14ac:dyDescent="0.2">
      <c r="A505" s="268">
        <f t="shared" si="52"/>
        <v>2021</v>
      </c>
      <c r="B505" s="286">
        <f t="shared" si="53"/>
        <v>7</v>
      </c>
      <c r="C505" s="318">
        <v>44397</v>
      </c>
      <c r="D505" s="318">
        <v>44397</v>
      </c>
      <c r="E505" s="287" t="s">
        <v>740</v>
      </c>
      <c r="F505" s="282">
        <v>20.02</v>
      </c>
      <c r="G505" s="282" t="s">
        <v>67</v>
      </c>
      <c r="H505" s="282" t="str">
        <f t="shared" si="54"/>
        <v>Variable</v>
      </c>
      <c r="I505" s="284">
        <f t="shared" si="48"/>
        <v>1634.0499999999995</v>
      </c>
      <c r="J505" s="282" t="s">
        <v>743</v>
      </c>
      <c r="K505" s="282" t="s">
        <v>688</v>
      </c>
    </row>
    <row r="506" spans="1:11" ht="18" customHeight="1" x14ac:dyDescent="0.2">
      <c r="A506" s="268">
        <f t="shared" si="52"/>
        <v>2021</v>
      </c>
      <c r="B506" s="286">
        <f t="shared" si="53"/>
        <v>7</v>
      </c>
      <c r="C506" s="318">
        <v>44398</v>
      </c>
      <c r="D506" s="318">
        <v>44398</v>
      </c>
      <c r="E506" s="287" t="s">
        <v>1100</v>
      </c>
      <c r="F506" s="282">
        <v>4.2300000000000004</v>
      </c>
      <c r="G506" s="316" t="s">
        <v>129</v>
      </c>
      <c r="H506" s="282" t="str">
        <f t="shared" si="54"/>
        <v>Fixed</v>
      </c>
      <c r="I506" s="284">
        <f t="shared" si="48"/>
        <v>1638.2799999999995</v>
      </c>
      <c r="J506" s="282">
        <v>0</v>
      </c>
      <c r="K506" s="282"/>
    </row>
    <row r="507" spans="1:11" ht="18" customHeight="1" x14ac:dyDescent="0.2">
      <c r="A507" s="268">
        <f t="shared" si="52"/>
        <v>2021</v>
      </c>
      <c r="B507" s="286">
        <f t="shared" si="53"/>
        <v>7</v>
      </c>
      <c r="C507" s="318">
        <v>44398</v>
      </c>
      <c r="D507" s="318">
        <v>44398</v>
      </c>
      <c r="E507" s="287" t="s">
        <v>1100</v>
      </c>
      <c r="F507" s="282">
        <v>12.71</v>
      </c>
      <c r="G507" s="316" t="s">
        <v>129</v>
      </c>
      <c r="H507" s="282" t="str">
        <f t="shared" si="54"/>
        <v>Fixed</v>
      </c>
      <c r="I507" s="284">
        <f t="shared" si="48"/>
        <v>1650.9899999999996</v>
      </c>
      <c r="J507" s="282"/>
      <c r="K507" s="282"/>
    </row>
    <row r="508" spans="1:11" ht="18" customHeight="1" x14ac:dyDescent="0.2">
      <c r="A508" s="268">
        <f t="shared" si="52"/>
        <v>2021</v>
      </c>
      <c r="B508" s="286">
        <f t="shared" si="53"/>
        <v>7</v>
      </c>
      <c r="C508" s="318">
        <v>44398</v>
      </c>
      <c r="D508" s="318">
        <v>44398</v>
      </c>
      <c r="E508" s="287" t="s">
        <v>80</v>
      </c>
      <c r="F508" s="282">
        <v>7.99</v>
      </c>
      <c r="G508" s="282" t="s">
        <v>26</v>
      </c>
      <c r="H508" s="282" t="str">
        <f t="shared" si="54"/>
        <v>Fixed</v>
      </c>
      <c r="I508" s="284">
        <f t="shared" si="48"/>
        <v>1658.9799999999996</v>
      </c>
      <c r="J508" s="282" t="s">
        <v>9</v>
      </c>
      <c r="K508" s="282" t="s">
        <v>781</v>
      </c>
    </row>
    <row r="509" spans="1:11" ht="18" customHeight="1" x14ac:dyDescent="0.2">
      <c r="A509" s="268">
        <f t="shared" si="52"/>
        <v>2021</v>
      </c>
      <c r="B509" s="286">
        <f t="shared" si="53"/>
        <v>7</v>
      </c>
      <c r="C509" s="318">
        <v>44399</v>
      </c>
      <c r="D509" s="318">
        <v>44399</v>
      </c>
      <c r="E509" s="287" t="s">
        <v>195</v>
      </c>
      <c r="F509" s="282">
        <v>35</v>
      </c>
      <c r="G509" s="282" t="s">
        <v>52</v>
      </c>
      <c r="H509" s="282" t="str">
        <f t="shared" si="54"/>
        <v>Variable</v>
      </c>
      <c r="I509" s="284">
        <f t="shared" si="48"/>
        <v>1693.9799999999996</v>
      </c>
      <c r="J509" s="282" t="s">
        <v>1101</v>
      </c>
      <c r="K509" s="282" t="s">
        <v>628</v>
      </c>
    </row>
    <row r="510" spans="1:11" ht="18" customHeight="1" x14ac:dyDescent="0.2">
      <c r="A510" s="268">
        <f t="shared" si="52"/>
        <v>2021</v>
      </c>
      <c r="B510" s="286">
        <f t="shared" si="53"/>
        <v>7</v>
      </c>
      <c r="C510" s="318">
        <v>44399</v>
      </c>
      <c r="D510" s="318">
        <v>44399</v>
      </c>
      <c r="E510" s="287" t="s">
        <v>21</v>
      </c>
      <c r="F510" s="307">
        <v>-1518.65</v>
      </c>
      <c r="G510" s="282" t="s">
        <v>22</v>
      </c>
      <c r="H510" s="282" t="s">
        <v>26</v>
      </c>
      <c r="I510" s="284">
        <f t="shared" si="48"/>
        <v>175.32999999999947</v>
      </c>
      <c r="J510" s="282">
        <v>0</v>
      </c>
      <c r="K510" s="282">
        <v>0</v>
      </c>
    </row>
    <row r="511" spans="1:11" ht="18" customHeight="1" x14ac:dyDescent="0.2">
      <c r="A511" s="268">
        <f t="shared" si="52"/>
        <v>2021</v>
      </c>
      <c r="B511" s="286">
        <f t="shared" si="53"/>
        <v>7</v>
      </c>
      <c r="C511" s="318">
        <v>44400</v>
      </c>
      <c r="D511" s="318">
        <v>44400</v>
      </c>
      <c r="E511" s="287" t="s">
        <v>784</v>
      </c>
      <c r="F511" s="282">
        <v>17.989999999999998</v>
      </c>
      <c r="G511" s="282" t="s">
        <v>41</v>
      </c>
      <c r="H511" s="282" t="str">
        <f t="shared" si="54"/>
        <v>Variable</v>
      </c>
      <c r="I511" s="284">
        <f t="shared" si="48"/>
        <v>193.31999999999948</v>
      </c>
      <c r="J511" s="282">
        <v>0</v>
      </c>
      <c r="K511" s="282" t="s">
        <v>670</v>
      </c>
    </row>
    <row r="512" spans="1:11" ht="18" customHeight="1" x14ac:dyDescent="0.2">
      <c r="A512" s="268">
        <f t="shared" si="52"/>
        <v>2021</v>
      </c>
      <c r="B512" s="286">
        <f t="shared" si="53"/>
        <v>7</v>
      </c>
      <c r="C512" s="318">
        <v>44402</v>
      </c>
      <c r="D512" s="318">
        <v>44402</v>
      </c>
      <c r="E512" s="287" t="s">
        <v>785</v>
      </c>
      <c r="F512" s="282">
        <v>33.340000000000003</v>
      </c>
      <c r="G512" s="282" t="s">
        <v>129</v>
      </c>
      <c r="H512" s="282" t="str">
        <f t="shared" si="54"/>
        <v>Fixed</v>
      </c>
      <c r="I512" s="284">
        <f t="shared" si="48"/>
        <v>226.65999999999948</v>
      </c>
      <c r="J512" s="282">
        <v>0</v>
      </c>
      <c r="K512" s="282" t="s">
        <v>628</v>
      </c>
    </row>
    <row r="513" spans="1:11" ht="18" customHeight="1" x14ac:dyDescent="0.2">
      <c r="A513" s="268">
        <f t="shared" si="52"/>
        <v>2021</v>
      </c>
      <c r="B513" s="286">
        <f t="shared" si="53"/>
        <v>7</v>
      </c>
      <c r="C513" s="318">
        <v>44402</v>
      </c>
      <c r="D513" s="318">
        <v>44402</v>
      </c>
      <c r="E513" s="287" t="s">
        <v>786</v>
      </c>
      <c r="F513" s="282">
        <v>32.75</v>
      </c>
      <c r="G513" s="282" t="s">
        <v>67</v>
      </c>
      <c r="H513" s="282" t="str">
        <f t="shared" si="54"/>
        <v>Variable</v>
      </c>
      <c r="I513" s="284">
        <f t="shared" si="48"/>
        <v>259.40999999999951</v>
      </c>
      <c r="J513" s="282">
        <v>0</v>
      </c>
      <c r="K513" s="282" t="s">
        <v>671</v>
      </c>
    </row>
    <row r="514" spans="1:11" ht="18" customHeight="1" x14ac:dyDescent="0.2">
      <c r="A514" s="268">
        <f t="shared" si="52"/>
        <v>2021</v>
      </c>
      <c r="B514" s="286">
        <f t="shared" si="53"/>
        <v>7</v>
      </c>
      <c r="C514" s="318">
        <v>44402</v>
      </c>
      <c r="D514" s="318">
        <v>44402</v>
      </c>
      <c r="E514" s="287" t="s">
        <v>187</v>
      </c>
      <c r="F514" s="282">
        <v>3</v>
      </c>
      <c r="G514" s="282" t="s">
        <v>129</v>
      </c>
      <c r="H514" s="282" t="str">
        <f t="shared" si="54"/>
        <v>Fixed</v>
      </c>
      <c r="I514" s="284">
        <f t="shared" si="48"/>
        <v>262.40999999999951</v>
      </c>
      <c r="J514" s="282">
        <v>0</v>
      </c>
      <c r="K514" s="282" t="s">
        <v>628</v>
      </c>
    </row>
    <row r="515" spans="1:11" ht="18" customHeight="1" x14ac:dyDescent="0.2">
      <c r="A515" s="268">
        <f t="shared" si="52"/>
        <v>2021</v>
      </c>
      <c r="B515" s="286">
        <f t="shared" si="53"/>
        <v>7</v>
      </c>
      <c r="C515" s="318">
        <v>44404</v>
      </c>
      <c r="D515" s="318">
        <v>44404</v>
      </c>
      <c r="E515" s="287" t="s">
        <v>787</v>
      </c>
      <c r="F515" s="282">
        <v>1.1200000000000001</v>
      </c>
      <c r="G515" s="282" t="s">
        <v>41</v>
      </c>
      <c r="H515" s="282" t="str">
        <f t="shared" si="54"/>
        <v>Variable</v>
      </c>
      <c r="I515" s="284">
        <f t="shared" si="48"/>
        <v>263.52999999999952</v>
      </c>
      <c r="J515" s="282">
        <v>0</v>
      </c>
      <c r="K515" s="282" t="s">
        <v>670</v>
      </c>
    </row>
    <row r="516" spans="1:11" ht="18" customHeight="1" x14ac:dyDescent="0.2">
      <c r="A516" s="268">
        <f t="shared" si="52"/>
        <v>2021</v>
      </c>
      <c r="B516" s="286">
        <f t="shared" si="53"/>
        <v>7</v>
      </c>
      <c r="C516" s="318">
        <v>44404</v>
      </c>
      <c r="D516" s="318">
        <v>44404</v>
      </c>
      <c r="E516" s="287" t="s">
        <v>111</v>
      </c>
      <c r="F516" s="282">
        <v>9.99</v>
      </c>
      <c r="G516" s="282" t="s">
        <v>26</v>
      </c>
      <c r="H516" s="282" t="str">
        <f t="shared" si="54"/>
        <v>Fixed</v>
      </c>
      <c r="I516" s="284">
        <f t="shared" ref="I516:I579" si="55">I515+F516</f>
        <v>273.51999999999953</v>
      </c>
      <c r="J516" s="282" t="s">
        <v>294</v>
      </c>
      <c r="K516" s="282" t="s">
        <v>781</v>
      </c>
    </row>
    <row r="517" spans="1:11" ht="18" customHeight="1" x14ac:dyDescent="0.2">
      <c r="A517" s="268">
        <f t="shared" si="52"/>
        <v>2021</v>
      </c>
      <c r="B517" s="286">
        <f t="shared" si="53"/>
        <v>7</v>
      </c>
      <c r="C517" s="318">
        <v>44404</v>
      </c>
      <c r="D517" s="318">
        <v>44404</v>
      </c>
      <c r="E517" s="287" t="s">
        <v>788</v>
      </c>
      <c r="F517" s="282">
        <v>29.5</v>
      </c>
      <c r="G517" s="282" t="s">
        <v>88</v>
      </c>
      <c r="H517" s="282" t="str">
        <f t="shared" si="54"/>
        <v>Variable</v>
      </c>
      <c r="I517" s="284">
        <f t="shared" si="55"/>
        <v>303.01999999999953</v>
      </c>
      <c r="J517" s="282" t="s">
        <v>834</v>
      </c>
      <c r="K517" s="282" t="s">
        <v>627</v>
      </c>
    </row>
    <row r="518" spans="1:11" ht="18" customHeight="1" x14ac:dyDescent="0.2">
      <c r="A518" s="268">
        <f t="shared" si="52"/>
        <v>2021</v>
      </c>
      <c r="B518" s="286">
        <f t="shared" si="53"/>
        <v>7</v>
      </c>
      <c r="C518" s="318">
        <v>44405</v>
      </c>
      <c r="D518" s="318">
        <v>44405</v>
      </c>
      <c r="E518" s="287" t="s">
        <v>789</v>
      </c>
      <c r="F518" s="282">
        <v>324.04000000000002</v>
      </c>
      <c r="G518" s="282" t="s">
        <v>129</v>
      </c>
      <c r="H518" s="282" t="str">
        <f t="shared" si="54"/>
        <v>Fixed</v>
      </c>
      <c r="I518" s="284">
        <f t="shared" si="55"/>
        <v>627.05999999999949</v>
      </c>
      <c r="J518" s="282" t="s">
        <v>835</v>
      </c>
      <c r="K518" s="282" t="s">
        <v>628</v>
      </c>
    </row>
    <row r="519" spans="1:11" ht="18" customHeight="1" x14ac:dyDescent="0.2">
      <c r="A519" s="268">
        <f t="shared" si="52"/>
        <v>2021</v>
      </c>
      <c r="B519" s="286">
        <f t="shared" si="53"/>
        <v>7</v>
      </c>
      <c r="C519" s="318">
        <v>44406</v>
      </c>
      <c r="D519" s="318">
        <v>44406</v>
      </c>
      <c r="E519" s="287" t="s">
        <v>790</v>
      </c>
      <c r="F519" s="282">
        <v>61.97</v>
      </c>
      <c r="G519" s="282" t="s">
        <v>88</v>
      </c>
      <c r="H519" s="282" t="str">
        <f t="shared" si="54"/>
        <v>Variable</v>
      </c>
      <c r="I519" s="284">
        <f t="shared" si="55"/>
        <v>689.02999999999952</v>
      </c>
      <c r="J519" s="282" t="s">
        <v>835</v>
      </c>
      <c r="K519" s="282" t="s">
        <v>628</v>
      </c>
    </row>
    <row r="520" spans="1:11" ht="18" customHeight="1" x14ac:dyDescent="0.2">
      <c r="A520" s="268">
        <f t="shared" si="52"/>
        <v>2021</v>
      </c>
      <c r="B520" s="286">
        <f t="shared" si="53"/>
        <v>7</v>
      </c>
      <c r="C520" s="318">
        <v>44406</v>
      </c>
      <c r="D520" s="318">
        <v>44406</v>
      </c>
      <c r="E520" s="287" t="s">
        <v>791</v>
      </c>
      <c r="F520" s="282">
        <v>30</v>
      </c>
      <c r="G520" s="282" t="s">
        <v>41</v>
      </c>
      <c r="H520" s="282" t="str">
        <f t="shared" si="54"/>
        <v>Variable</v>
      </c>
      <c r="I520" s="284">
        <f t="shared" si="55"/>
        <v>719.02999999999952</v>
      </c>
      <c r="J520" s="282">
        <v>0</v>
      </c>
      <c r="K520" s="282" t="s">
        <v>670</v>
      </c>
    </row>
    <row r="521" spans="1:11" ht="18" customHeight="1" x14ac:dyDescent="0.2">
      <c r="A521" s="268">
        <f t="shared" si="52"/>
        <v>2021</v>
      </c>
      <c r="B521" s="286">
        <f t="shared" si="53"/>
        <v>7</v>
      </c>
      <c r="C521" s="318">
        <v>44407</v>
      </c>
      <c r="D521" s="318">
        <v>44407</v>
      </c>
      <c r="E521" s="287" t="s">
        <v>792</v>
      </c>
      <c r="F521" s="282">
        <v>8.3000000000000007</v>
      </c>
      <c r="G521" s="282" t="s">
        <v>52</v>
      </c>
      <c r="H521" s="282" t="str">
        <f t="shared" si="54"/>
        <v>Variable</v>
      </c>
      <c r="I521" s="284">
        <f t="shared" si="55"/>
        <v>727.32999999999947</v>
      </c>
      <c r="J521" s="282" t="s">
        <v>834</v>
      </c>
      <c r="K521" s="282" t="s">
        <v>627</v>
      </c>
    </row>
    <row r="522" spans="1:11" ht="18" customHeight="1" x14ac:dyDescent="0.2">
      <c r="A522" s="268">
        <f t="shared" si="52"/>
        <v>2021</v>
      </c>
      <c r="B522" s="286">
        <f t="shared" si="53"/>
        <v>7</v>
      </c>
      <c r="C522" s="318">
        <v>44407</v>
      </c>
      <c r="D522" s="318">
        <v>44407</v>
      </c>
      <c r="E522" s="287" t="s">
        <v>793</v>
      </c>
      <c r="F522" s="282">
        <v>15.3</v>
      </c>
      <c r="G522" s="282" t="s">
        <v>67</v>
      </c>
      <c r="H522" s="282" t="str">
        <f t="shared" si="54"/>
        <v>Variable</v>
      </c>
      <c r="I522" s="284">
        <f t="shared" si="55"/>
        <v>742.62999999999943</v>
      </c>
      <c r="J522" s="282" t="s">
        <v>836</v>
      </c>
      <c r="K522" s="282" t="s">
        <v>682</v>
      </c>
    </row>
    <row r="523" spans="1:11" ht="18" customHeight="1" x14ac:dyDescent="0.2">
      <c r="A523" s="268">
        <f t="shared" si="52"/>
        <v>2021</v>
      </c>
      <c r="B523" s="286">
        <f t="shared" si="53"/>
        <v>7</v>
      </c>
      <c r="C523" s="318">
        <v>44408</v>
      </c>
      <c r="D523" s="318">
        <v>44408</v>
      </c>
      <c r="E523" s="287" t="s">
        <v>794</v>
      </c>
      <c r="F523" s="282">
        <v>3.78</v>
      </c>
      <c r="G523" s="282" t="s">
        <v>67</v>
      </c>
      <c r="H523" s="282" t="str">
        <f t="shared" si="54"/>
        <v>Variable</v>
      </c>
      <c r="I523" s="284">
        <f t="shared" si="55"/>
        <v>746.4099999999994</v>
      </c>
      <c r="J523" s="282">
        <v>0</v>
      </c>
      <c r="K523" s="282" t="s">
        <v>671</v>
      </c>
    </row>
    <row r="524" spans="1:11" ht="18" customHeight="1" x14ac:dyDescent="0.2">
      <c r="A524" s="268">
        <f t="shared" si="52"/>
        <v>2021</v>
      </c>
      <c r="B524" s="286">
        <f t="shared" si="53"/>
        <v>7</v>
      </c>
      <c r="C524" s="318">
        <v>44408</v>
      </c>
      <c r="D524" s="318">
        <v>44408</v>
      </c>
      <c r="E524" s="287" t="s">
        <v>795</v>
      </c>
      <c r="F524" s="282">
        <v>12.02</v>
      </c>
      <c r="G524" s="282" t="s">
        <v>41</v>
      </c>
      <c r="H524" s="282" t="str">
        <f t="shared" si="54"/>
        <v>Variable</v>
      </c>
      <c r="I524" s="284">
        <f t="shared" si="55"/>
        <v>758.42999999999938</v>
      </c>
      <c r="J524" s="282" t="s">
        <v>53</v>
      </c>
      <c r="K524" s="282" t="s">
        <v>670</v>
      </c>
    </row>
    <row r="525" spans="1:11" ht="18" customHeight="1" x14ac:dyDescent="0.2">
      <c r="A525" s="268">
        <f t="shared" si="52"/>
        <v>2021</v>
      </c>
      <c r="B525" s="286">
        <f t="shared" si="53"/>
        <v>7</v>
      </c>
      <c r="C525" s="318">
        <v>44408</v>
      </c>
      <c r="D525" s="318">
        <v>44408</v>
      </c>
      <c r="E525" s="287" t="s">
        <v>796</v>
      </c>
      <c r="F525" s="282">
        <v>84</v>
      </c>
      <c r="G525" s="282" t="s">
        <v>88</v>
      </c>
      <c r="H525" s="282" t="str">
        <f t="shared" si="54"/>
        <v>Variable</v>
      </c>
      <c r="I525" s="284">
        <f t="shared" si="55"/>
        <v>842.42999999999938</v>
      </c>
      <c r="J525" s="282" t="s">
        <v>834</v>
      </c>
      <c r="K525" s="282" t="s">
        <v>627</v>
      </c>
    </row>
    <row r="526" spans="1:11" ht="18" customHeight="1" x14ac:dyDescent="0.2">
      <c r="A526" s="268">
        <f t="shared" si="52"/>
        <v>2021</v>
      </c>
      <c r="B526" s="286">
        <f t="shared" si="53"/>
        <v>7</v>
      </c>
      <c r="C526" s="318">
        <v>44408</v>
      </c>
      <c r="D526" s="318">
        <v>44408</v>
      </c>
      <c r="E526" s="287" t="s">
        <v>797</v>
      </c>
      <c r="F526" s="282">
        <v>9</v>
      </c>
      <c r="G526" s="282" t="s">
        <v>52</v>
      </c>
      <c r="H526" s="282" t="str">
        <f t="shared" si="54"/>
        <v>Variable</v>
      </c>
      <c r="I526" s="284">
        <f t="shared" si="55"/>
        <v>851.42999999999938</v>
      </c>
      <c r="J526" s="282" t="s">
        <v>53</v>
      </c>
      <c r="K526" s="282" t="s">
        <v>628</v>
      </c>
    </row>
    <row r="527" spans="1:11" ht="18" customHeight="1" x14ac:dyDescent="0.2">
      <c r="A527" s="268">
        <f t="shared" si="52"/>
        <v>2021</v>
      </c>
      <c r="B527" s="286">
        <f t="shared" si="53"/>
        <v>8</v>
      </c>
      <c r="C527" s="319">
        <v>44409</v>
      </c>
      <c r="D527" s="319">
        <v>44409</v>
      </c>
      <c r="E527" s="287" t="s">
        <v>798</v>
      </c>
      <c r="F527" s="282">
        <v>14.83</v>
      </c>
      <c r="G527" s="282" t="s">
        <v>26</v>
      </c>
      <c r="H527" s="282" t="str">
        <f t="shared" si="54"/>
        <v>Fixed</v>
      </c>
      <c r="I527" s="284">
        <f t="shared" si="55"/>
        <v>866.25999999999942</v>
      </c>
      <c r="J527" s="282" t="s">
        <v>7</v>
      </c>
      <c r="K527" s="282" t="s">
        <v>781</v>
      </c>
    </row>
    <row r="528" spans="1:11" ht="18" customHeight="1" x14ac:dyDescent="0.2">
      <c r="A528" s="268">
        <f t="shared" si="52"/>
        <v>2021</v>
      </c>
      <c r="B528" s="286">
        <f t="shared" si="53"/>
        <v>8</v>
      </c>
      <c r="C528" s="319">
        <v>44409</v>
      </c>
      <c r="D528" s="319">
        <v>44409</v>
      </c>
      <c r="E528" s="287" t="s">
        <v>799</v>
      </c>
      <c r="F528" s="282">
        <v>30.06</v>
      </c>
      <c r="G528" s="282" t="s">
        <v>41</v>
      </c>
      <c r="H528" s="282" t="str">
        <f t="shared" si="54"/>
        <v>Variable</v>
      </c>
      <c r="I528" s="284">
        <f t="shared" si="55"/>
        <v>896.31999999999937</v>
      </c>
      <c r="J528" s="282" t="s">
        <v>53</v>
      </c>
      <c r="K528" s="282" t="s">
        <v>670</v>
      </c>
    </row>
    <row r="529" spans="1:11" ht="18" customHeight="1" x14ac:dyDescent="0.2">
      <c r="A529" s="268">
        <f t="shared" si="52"/>
        <v>2021</v>
      </c>
      <c r="B529" s="286">
        <f t="shared" si="53"/>
        <v>8</v>
      </c>
      <c r="C529" s="319">
        <v>44409</v>
      </c>
      <c r="D529" s="319">
        <v>44409</v>
      </c>
      <c r="E529" s="287" t="s">
        <v>140</v>
      </c>
      <c r="F529" s="282">
        <v>15.98</v>
      </c>
      <c r="G529" s="282" t="s">
        <v>67</v>
      </c>
      <c r="H529" s="282" t="str">
        <f t="shared" si="54"/>
        <v>Variable</v>
      </c>
      <c r="I529" s="284">
        <f t="shared" si="55"/>
        <v>912.29999999999939</v>
      </c>
      <c r="J529" s="282">
        <v>0</v>
      </c>
      <c r="K529" s="282" t="s">
        <v>688</v>
      </c>
    </row>
    <row r="530" spans="1:11" ht="18" customHeight="1" x14ac:dyDescent="0.2">
      <c r="A530" s="268">
        <f t="shared" si="52"/>
        <v>2021</v>
      </c>
      <c r="B530" s="286">
        <f t="shared" si="53"/>
        <v>8</v>
      </c>
      <c r="C530" s="319">
        <v>44409</v>
      </c>
      <c r="D530" s="319">
        <v>44409</v>
      </c>
      <c r="E530" s="287" t="s">
        <v>140</v>
      </c>
      <c r="F530" s="282">
        <v>65.66</v>
      </c>
      <c r="G530" s="282" t="s">
        <v>67</v>
      </c>
      <c r="H530" s="282" t="str">
        <f t="shared" si="54"/>
        <v>Variable</v>
      </c>
      <c r="I530" s="284">
        <f t="shared" si="55"/>
        <v>977.95999999999935</v>
      </c>
      <c r="J530" s="282">
        <v>0</v>
      </c>
      <c r="K530" s="282" t="s">
        <v>688</v>
      </c>
    </row>
    <row r="531" spans="1:11" ht="18" customHeight="1" x14ac:dyDescent="0.2">
      <c r="A531" s="268">
        <f t="shared" si="52"/>
        <v>2021</v>
      </c>
      <c r="B531" s="286">
        <f t="shared" si="53"/>
        <v>8</v>
      </c>
      <c r="C531" s="319">
        <v>44409</v>
      </c>
      <c r="D531" s="319">
        <v>44409</v>
      </c>
      <c r="E531" s="287" t="s">
        <v>800</v>
      </c>
      <c r="F531" s="282">
        <v>9.99</v>
      </c>
      <c r="G531" s="282" t="s">
        <v>26</v>
      </c>
      <c r="H531" s="282" t="str">
        <f t="shared" si="54"/>
        <v>Fixed</v>
      </c>
      <c r="I531" s="284">
        <f t="shared" si="55"/>
        <v>987.94999999999936</v>
      </c>
      <c r="J531" s="282" t="s">
        <v>6</v>
      </c>
      <c r="K531" s="282" t="s">
        <v>627</v>
      </c>
    </row>
    <row r="532" spans="1:11" ht="18" customHeight="1" x14ac:dyDescent="0.2">
      <c r="A532" s="268">
        <f t="shared" si="52"/>
        <v>2021</v>
      </c>
      <c r="B532" s="286">
        <f t="shared" si="53"/>
        <v>8</v>
      </c>
      <c r="C532" s="319">
        <v>44409</v>
      </c>
      <c r="D532" s="319">
        <v>44411</v>
      </c>
      <c r="E532" s="287" t="s">
        <v>801</v>
      </c>
      <c r="F532" s="282">
        <v>17.47</v>
      </c>
      <c r="G532" s="282" t="s">
        <v>52</v>
      </c>
      <c r="H532" s="282" t="str">
        <f t="shared" si="54"/>
        <v>Variable</v>
      </c>
      <c r="I532" s="284">
        <f t="shared" si="55"/>
        <v>1005.4199999999994</v>
      </c>
      <c r="J532" s="282" t="s">
        <v>837</v>
      </c>
      <c r="K532" s="282" t="s">
        <v>697</v>
      </c>
    </row>
    <row r="533" spans="1:11" ht="18" customHeight="1" x14ac:dyDescent="0.2">
      <c r="A533" s="268">
        <f t="shared" si="52"/>
        <v>2021</v>
      </c>
      <c r="B533" s="286">
        <f t="shared" si="53"/>
        <v>8</v>
      </c>
      <c r="C533" s="319">
        <v>44410</v>
      </c>
      <c r="D533" s="319">
        <v>44410</v>
      </c>
      <c r="E533" s="287" t="s">
        <v>802</v>
      </c>
      <c r="F533" s="282">
        <v>21.19</v>
      </c>
      <c r="G533" s="282" t="s">
        <v>26</v>
      </c>
      <c r="H533" s="282" t="str">
        <f t="shared" si="54"/>
        <v>Fixed</v>
      </c>
      <c r="I533" s="284">
        <f t="shared" si="55"/>
        <v>1026.6099999999994</v>
      </c>
      <c r="J533" s="282" t="s">
        <v>841</v>
      </c>
      <c r="K533" s="282" t="s">
        <v>781</v>
      </c>
    </row>
    <row r="534" spans="1:11" ht="18" customHeight="1" x14ac:dyDescent="0.2">
      <c r="A534" s="268">
        <f t="shared" si="52"/>
        <v>2021</v>
      </c>
      <c r="B534" s="286">
        <f t="shared" si="53"/>
        <v>8</v>
      </c>
      <c r="C534" s="319">
        <v>44410</v>
      </c>
      <c r="D534" s="319">
        <v>44410</v>
      </c>
      <c r="E534" s="287" t="s">
        <v>803</v>
      </c>
      <c r="F534" s="282">
        <v>31.79</v>
      </c>
      <c r="G534" s="282" t="s">
        <v>26</v>
      </c>
      <c r="H534" s="282" t="str">
        <f t="shared" si="54"/>
        <v>Fixed</v>
      </c>
      <c r="I534" s="284">
        <f t="shared" si="55"/>
        <v>1058.3999999999994</v>
      </c>
      <c r="J534" s="282" t="s">
        <v>843</v>
      </c>
      <c r="K534" s="282" t="s">
        <v>781</v>
      </c>
    </row>
    <row r="535" spans="1:11" ht="18" customHeight="1" x14ac:dyDescent="0.2">
      <c r="A535" s="268">
        <f t="shared" si="52"/>
        <v>2021</v>
      </c>
      <c r="B535" s="286">
        <f t="shared" si="53"/>
        <v>8</v>
      </c>
      <c r="C535" s="319">
        <v>44410</v>
      </c>
      <c r="D535" s="319">
        <v>44411</v>
      </c>
      <c r="E535" s="287" t="s">
        <v>804</v>
      </c>
      <c r="F535" s="282">
        <v>15</v>
      </c>
      <c r="G535" s="282" t="s">
        <v>67</v>
      </c>
      <c r="H535" s="282" t="str">
        <f t="shared" si="54"/>
        <v>Variable</v>
      </c>
      <c r="I535" s="284">
        <f t="shared" si="55"/>
        <v>1073.3999999999994</v>
      </c>
      <c r="J535" s="282" t="s">
        <v>836</v>
      </c>
      <c r="K535" s="282" t="s">
        <v>682</v>
      </c>
    </row>
    <row r="536" spans="1:11" ht="18" customHeight="1" x14ac:dyDescent="0.2">
      <c r="A536" s="268">
        <f t="shared" si="52"/>
        <v>2021</v>
      </c>
      <c r="B536" s="286">
        <f t="shared" si="53"/>
        <v>8</v>
      </c>
      <c r="C536" s="319">
        <v>44410</v>
      </c>
      <c r="D536" s="319">
        <v>44411</v>
      </c>
      <c r="E536" s="287" t="s">
        <v>805</v>
      </c>
      <c r="F536" s="282">
        <v>31.75</v>
      </c>
      <c r="G536" s="282" t="s">
        <v>67</v>
      </c>
      <c r="H536" s="282" t="str">
        <f t="shared" si="54"/>
        <v>Variable</v>
      </c>
      <c r="I536" s="284">
        <f t="shared" si="55"/>
        <v>1105.1499999999994</v>
      </c>
      <c r="J536" s="282" t="s">
        <v>838</v>
      </c>
      <c r="K536" s="282" t="s">
        <v>688</v>
      </c>
    </row>
    <row r="537" spans="1:11" ht="18" customHeight="1" x14ac:dyDescent="0.2">
      <c r="A537" s="268">
        <f t="shared" si="52"/>
        <v>2021</v>
      </c>
      <c r="B537" s="286">
        <f t="shared" si="53"/>
        <v>8</v>
      </c>
      <c r="C537" s="319">
        <v>44410</v>
      </c>
      <c r="D537" s="319">
        <v>44411</v>
      </c>
      <c r="E537" s="287" t="s">
        <v>806</v>
      </c>
      <c r="F537" s="282">
        <v>7.49</v>
      </c>
      <c r="G537" s="282" t="s">
        <v>26</v>
      </c>
      <c r="H537" s="282" t="str">
        <f t="shared" si="54"/>
        <v>Fixed</v>
      </c>
      <c r="I537" s="284">
        <f t="shared" si="55"/>
        <v>1112.6399999999994</v>
      </c>
      <c r="J537" s="282">
        <v>0</v>
      </c>
      <c r="K537" s="282" t="s">
        <v>781</v>
      </c>
    </row>
    <row r="538" spans="1:11" ht="18" customHeight="1" x14ac:dyDescent="0.2">
      <c r="A538" s="268">
        <f t="shared" si="52"/>
        <v>2021</v>
      </c>
      <c r="B538" s="286">
        <f t="shared" si="53"/>
        <v>8</v>
      </c>
      <c r="C538" s="319">
        <v>44410</v>
      </c>
      <c r="D538" s="319">
        <v>44411</v>
      </c>
      <c r="E538" s="287" t="s">
        <v>572</v>
      </c>
      <c r="F538" s="282">
        <v>10</v>
      </c>
      <c r="G538" s="282" t="s">
        <v>26</v>
      </c>
      <c r="H538" s="282" t="str">
        <f t="shared" si="54"/>
        <v>Fixed</v>
      </c>
      <c r="I538" s="284">
        <f t="shared" si="55"/>
        <v>1122.6399999999994</v>
      </c>
      <c r="J538" s="282" t="s">
        <v>296</v>
      </c>
      <c r="K538" s="282" t="s">
        <v>781</v>
      </c>
    </row>
    <row r="539" spans="1:11" ht="18" customHeight="1" x14ac:dyDescent="0.2">
      <c r="A539" s="268">
        <f t="shared" si="52"/>
        <v>2021</v>
      </c>
      <c r="B539" s="286">
        <f t="shared" si="53"/>
        <v>8</v>
      </c>
      <c r="C539" s="319">
        <v>44411</v>
      </c>
      <c r="D539" s="319">
        <v>44411</v>
      </c>
      <c r="E539" s="287" t="s">
        <v>807</v>
      </c>
      <c r="F539" s="282">
        <v>51.94</v>
      </c>
      <c r="G539" s="282" t="s">
        <v>67</v>
      </c>
      <c r="H539" s="282" t="str">
        <f t="shared" si="54"/>
        <v>Variable</v>
      </c>
      <c r="I539" s="284">
        <f t="shared" si="55"/>
        <v>1174.5799999999995</v>
      </c>
      <c r="J539" s="282" t="s">
        <v>838</v>
      </c>
      <c r="K539" s="282" t="s">
        <v>688</v>
      </c>
    </row>
    <row r="540" spans="1:11" ht="18" customHeight="1" x14ac:dyDescent="0.2">
      <c r="A540" s="268">
        <f t="shared" si="52"/>
        <v>2021</v>
      </c>
      <c r="B540" s="286">
        <f t="shared" si="53"/>
        <v>8</v>
      </c>
      <c r="C540" s="319">
        <v>44411</v>
      </c>
      <c r="D540" s="319">
        <v>44411</v>
      </c>
      <c r="E540" s="287" t="s">
        <v>808</v>
      </c>
      <c r="F540" s="282">
        <v>63.59</v>
      </c>
      <c r="G540" s="282" t="s">
        <v>26</v>
      </c>
      <c r="H540" s="282" t="str">
        <f t="shared" si="54"/>
        <v>Fixed</v>
      </c>
      <c r="I540" s="284">
        <f t="shared" si="55"/>
        <v>1238.1699999999994</v>
      </c>
      <c r="J540" s="282" t="s">
        <v>842</v>
      </c>
      <c r="K540" s="282" t="s">
        <v>781</v>
      </c>
    </row>
    <row r="541" spans="1:11" ht="18" customHeight="1" x14ac:dyDescent="0.2">
      <c r="A541" s="268">
        <f t="shared" si="52"/>
        <v>2021</v>
      </c>
      <c r="B541" s="286">
        <f t="shared" si="53"/>
        <v>8</v>
      </c>
      <c r="C541" s="319">
        <v>44411</v>
      </c>
      <c r="D541" s="319">
        <v>44411</v>
      </c>
      <c r="E541" s="287" t="s">
        <v>809</v>
      </c>
      <c r="F541" s="282">
        <v>4.97</v>
      </c>
      <c r="G541" s="282" t="s">
        <v>41</v>
      </c>
      <c r="H541" s="282" t="str">
        <f t="shared" si="54"/>
        <v>Variable</v>
      </c>
      <c r="I541" s="284">
        <f t="shared" si="55"/>
        <v>1243.1399999999994</v>
      </c>
      <c r="J541" s="282">
        <v>0</v>
      </c>
      <c r="K541" s="282" t="s">
        <v>670</v>
      </c>
    </row>
    <row r="542" spans="1:11" ht="18" customHeight="1" x14ac:dyDescent="0.2">
      <c r="A542" s="268">
        <f t="shared" si="52"/>
        <v>2021</v>
      </c>
      <c r="B542" s="286">
        <f t="shared" si="53"/>
        <v>8</v>
      </c>
      <c r="C542" s="319">
        <v>44411</v>
      </c>
      <c r="D542" s="319">
        <v>44411</v>
      </c>
      <c r="E542" s="287" t="s">
        <v>809</v>
      </c>
      <c r="F542" s="282">
        <v>13.72</v>
      </c>
      <c r="G542" s="282" t="s">
        <v>41</v>
      </c>
      <c r="H542" s="282" t="str">
        <f t="shared" si="54"/>
        <v>Variable</v>
      </c>
      <c r="I542" s="284">
        <f t="shared" si="55"/>
        <v>1256.8599999999994</v>
      </c>
      <c r="J542" s="320">
        <v>0</v>
      </c>
      <c r="K542" s="282" t="s">
        <v>670</v>
      </c>
    </row>
    <row r="543" spans="1:11" ht="18" customHeight="1" x14ac:dyDescent="0.2">
      <c r="A543" s="268">
        <f t="shared" si="52"/>
        <v>2021</v>
      </c>
      <c r="B543" s="286">
        <f t="shared" si="53"/>
        <v>8</v>
      </c>
      <c r="C543" s="319">
        <v>44411</v>
      </c>
      <c r="D543" s="319">
        <v>44411</v>
      </c>
      <c r="E543" s="287" t="s">
        <v>542</v>
      </c>
      <c r="F543" s="282">
        <v>36.78</v>
      </c>
      <c r="G543" s="282" t="s">
        <v>89</v>
      </c>
      <c r="H543" s="282" t="str">
        <f t="shared" si="54"/>
        <v>Variable</v>
      </c>
      <c r="I543" s="284">
        <f t="shared" si="55"/>
        <v>1293.6399999999994</v>
      </c>
      <c r="J543" s="282">
        <v>0</v>
      </c>
      <c r="K543" s="282" t="s">
        <v>670</v>
      </c>
    </row>
    <row r="544" spans="1:11" ht="18" customHeight="1" x14ac:dyDescent="0.2">
      <c r="A544" s="268">
        <f t="shared" si="52"/>
        <v>2021</v>
      </c>
      <c r="B544" s="286">
        <f t="shared" si="53"/>
        <v>8</v>
      </c>
      <c r="C544" s="319">
        <v>44411</v>
      </c>
      <c r="D544" s="319">
        <v>44411</v>
      </c>
      <c r="E544" s="287" t="s">
        <v>726</v>
      </c>
      <c r="F544" s="282">
        <v>29.69</v>
      </c>
      <c r="G544" s="282" t="s">
        <v>24</v>
      </c>
      <c r="H544" s="282" t="str">
        <f t="shared" si="54"/>
        <v>Variable</v>
      </c>
      <c r="I544" s="284">
        <f t="shared" si="55"/>
        <v>1323.3299999999995</v>
      </c>
      <c r="J544" s="282">
        <v>0</v>
      </c>
      <c r="K544" s="282" t="s">
        <v>628</v>
      </c>
    </row>
    <row r="545" spans="1:11" ht="18" customHeight="1" x14ac:dyDescent="0.2">
      <c r="A545" s="268">
        <f t="shared" si="52"/>
        <v>2021</v>
      </c>
      <c r="B545" s="286">
        <f t="shared" si="53"/>
        <v>8</v>
      </c>
      <c r="C545" s="319">
        <v>44411</v>
      </c>
      <c r="D545" s="319">
        <v>44411</v>
      </c>
      <c r="E545" s="287" t="s">
        <v>180</v>
      </c>
      <c r="F545" s="282">
        <v>11.99</v>
      </c>
      <c r="G545" s="282" t="s">
        <v>26</v>
      </c>
      <c r="H545" s="282" t="str">
        <f t="shared" si="54"/>
        <v>Fixed</v>
      </c>
      <c r="I545" s="284">
        <f t="shared" si="55"/>
        <v>1335.3199999999995</v>
      </c>
      <c r="J545" s="282" t="s">
        <v>295</v>
      </c>
      <c r="K545" s="282" t="s">
        <v>781</v>
      </c>
    </row>
    <row r="546" spans="1:11" ht="18" customHeight="1" x14ac:dyDescent="0.2">
      <c r="A546" s="268">
        <f t="shared" si="52"/>
        <v>2021</v>
      </c>
      <c r="B546" s="286">
        <f t="shared" si="53"/>
        <v>8</v>
      </c>
      <c r="C546" s="319">
        <v>44411</v>
      </c>
      <c r="D546" s="319">
        <v>44411</v>
      </c>
      <c r="E546" s="287" t="s">
        <v>32</v>
      </c>
      <c r="F546" s="282">
        <v>92.07</v>
      </c>
      <c r="G546" s="282" t="s">
        <v>26</v>
      </c>
      <c r="H546" s="282" t="str">
        <f t="shared" si="54"/>
        <v>Fixed</v>
      </c>
      <c r="I546" s="284">
        <f t="shared" si="55"/>
        <v>1427.3899999999994</v>
      </c>
      <c r="J546" s="282" t="s">
        <v>8</v>
      </c>
      <c r="K546" s="282" t="s">
        <v>628</v>
      </c>
    </row>
    <row r="547" spans="1:11" ht="18" customHeight="1" x14ac:dyDescent="0.2">
      <c r="A547" s="268">
        <f t="shared" si="52"/>
        <v>2021</v>
      </c>
      <c r="B547" s="286">
        <f t="shared" si="53"/>
        <v>8</v>
      </c>
      <c r="C547" s="319">
        <v>44411</v>
      </c>
      <c r="D547" s="319">
        <v>44411</v>
      </c>
      <c r="E547" s="287" t="s">
        <v>810</v>
      </c>
      <c r="F547" s="282">
        <v>4.8</v>
      </c>
      <c r="G547" s="282" t="s">
        <v>90</v>
      </c>
      <c r="H547" s="282" t="str">
        <f t="shared" si="54"/>
        <v>Variable</v>
      </c>
      <c r="I547" s="284">
        <f t="shared" si="55"/>
        <v>1432.1899999999994</v>
      </c>
      <c r="J547" s="282">
        <v>0</v>
      </c>
      <c r="K547" s="282" t="s">
        <v>697</v>
      </c>
    </row>
    <row r="548" spans="1:11" ht="18" customHeight="1" x14ac:dyDescent="0.2">
      <c r="A548" s="268">
        <f t="shared" si="52"/>
        <v>2021</v>
      </c>
      <c r="B548" s="286">
        <f t="shared" si="53"/>
        <v>8</v>
      </c>
      <c r="C548" s="319">
        <v>44412</v>
      </c>
      <c r="D548" s="319">
        <v>44412</v>
      </c>
      <c r="E548" s="287" t="s">
        <v>811</v>
      </c>
      <c r="F548" s="282">
        <v>63.59</v>
      </c>
      <c r="G548" s="282" t="s">
        <v>26</v>
      </c>
      <c r="H548" s="282" t="str">
        <f t="shared" si="54"/>
        <v>Fixed</v>
      </c>
      <c r="I548" s="284">
        <f t="shared" si="55"/>
        <v>1495.7799999999993</v>
      </c>
      <c r="J548" s="282">
        <v>0</v>
      </c>
      <c r="K548" s="282" t="s">
        <v>781</v>
      </c>
    </row>
    <row r="549" spans="1:11" ht="18" customHeight="1" x14ac:dyDescent="0.2">
      <c r="A549" s="268">
        <f t="shared" si="52"/>
        <v>2021</v>
      </c>
      <c r="B549" s="286">
        <f t="shared" si="53"/>
        <v>8</v>
      </c>
      <c r="C549" s="319">
        <v>44412</v>
      </c>
      <c r="D549" s="319">
        <v>44412</v>
      </c>
      <c r="E549" s="287" t="s">
        <v>812</v>
      </c>
      <c r="F549" s="282">
        <v>20</v>
      </c>
      <c r="G549" s="282" t="s">
        <v>41</v>
      </c>
      <c r="H549" s="282" t="str">
        <f t="shared" si="54"/>
        <v>Variable</v>
      </c>
      <c r="I549" s="284">
        <f t="shared" si="55"/>
        <v>1515.7799999999993</v>
      </c>
      <c r="J549" s="282">
        <v>0</v>
      </c>
      <c r="K549" s="282" t="s">
        <v>670</v>
      </c>
    </row>
    <row r="550" spans="1:11" ht="18" customHeight="1" x14ac:dyDescent="0.2">
      <c r="A550" s="268">
        <f t="shared" si="52"/>
        <v>2021</v>
      </c>
      <c r="B550" s="286">
        <f t="shared" si="53"/>
        <v>8</v>
      </c>
      <c r="C550" s="319">
        <v>44412</v>
      </c>
      <c r="D550" s="319">
        <v>44412</v>
      </c>
      <c r="E550" s="287" t="s">
        <v>21</v>
      </c>
      <c r="F550" s="307">
        <v>-1173.17</v>
      </c>
      <c r="G550" s="282" t="s">
        <v>22</v>
      </c>
      <c r="H550" s="282" t="str">
        <f t="shared" si="54"/>
        <v>Payment</v>
      </c>
      <c r="I550" s="284">
        <f t="shared" si="55"/>
        <v>342.60999999999922</v>
      </c>
      <c r="J550" s="282">
        <v>0</v>
      </c>
      <c r="K550" s="282">
        <v>0</v>
      </c>
    </row>
    <row r="551" spans="1:11" ht="18" customHeight="1" x14ac:dyDescent="0.2">
      <c r="A551" s="268">
        <f t="shared" si="52"/>
        <v>2021</v>
      </c>
      <c r="B551" s="286">
        <f t="shared" si="53"/>
        <v>8</v>
      </c>
      <c r="C551" s="319">
        <v>44413</v>
      </c>
      <c r="D551" s="319">
        <v>44413</v>
      </c>
      <c r="E551" s="287" t="s">
        <v>203</v>
      </c>
      <c r="F551" s="282">
        <v>12.59</v>
      </c>
      <c r="G551" s="282" t="s">
        <v>41</v>
      </c>
      <c r="H551" s="282" t="str">
        <f t="shared" si="54"/>
        <v>Variable</v>
      </c>
      <c r="I551" s="284">
        <f t="shared" si="55"/>
        <v>355.19999999999919</v>
      </c>
      <c r="J551" s="282">
        <v>0</v>
      </c>
      <c r="K551" s="282" t="s">
        <v>670</v>
      </c>
    </row>
    <row r="552" spans="1:11" ht="18" customHeight="1" x14ac:dyDescent="0.2">
      <c r="A552" s="268">
        <f t="shared" si="52"/>
        <v>2021</v>
      </c>
      <c r="B552" s="286">
        <f t="shared" si="53"/>
        <v>8</v>
      </c>
      <c r="C552" s="319">
        <v>44413</v>
      </c>
      <c r="D552" s="319">
        <v>44413</v>
      </c>
      <c r="E552" s="287" t="s">
        <v>813</v>
      </c>
      <c r="F552" s="282">
        <v>4.75</v>
      </c>
      <c r="G552" s="282" t="s">
        <v>41</v>
      </c>
      <c r="H552" s="282" t="str">
        <f t="shared" si="54"/>
        <v>Variable</v>
      </c>
      <c r="I552" s="284">
        <f t="shared" si="55"/>
        <v>359.94999999999919</v>
      </c>
      <c r="J552" s="282">
        <v>0</v>
      </c>
      <c r="K552" s="282" t="s">
        <v>670</v>
      </c>
    </row>
    <row r="553" spans="1:11" ht="18" customHeight="1" x14ac:dyDescent="0.2">
      <c r="A553" s="268">
        <f t="shared" si="52"/>
        <v>2021</v>
      </c>
      <c r="B553" s="286">
        <f t="shared" si="53"/>
        <v>8</v>
      </c>
      <c r="C553" s="319">
        <v>44416</v>
      </c>
      <c r="D553" s="319">
        <v>44416</v>
      </c>
      <c r="E553" s="287" t="s">
        <v>336</v>
      </c>
      <c r="F553" s="282">
        <v>7.15</v>
      </c>
      <c r="G553" s="282" t="s">
        <v>67</v>
      </c>
      <c r="H553" s="282" t="str">
        <f t="shared" si="54"/>
        <v>Variable</v>
      </c>
      <c r="I553" s="284">
        <f t="shared" si="55"/>
        <v>367.09999999999917</v>
      </c>
      <c r="J553" s="282" t="s">
        <v>719</v>
      </c>
      <c r="K553" s="282" t="s">
        <v>688</v>
      </c>
    </row>
    <row r="554" spans="1:11" ht="18" customHeight="1" x14ac:dyDescent="0.2">
      <c r="A554" s="268">
        <f t="shared" ref="A554:A555" si="56">YEAR(C554)</f>
        <v>2021</v>
      </c>
      <c r="B554" s="286">
        <f t="shared" ref="B554:B555" si="57">MONTH(C554)</f>
        <v>8</v>
      </c>
      <c r="C554" s="319">
        <v>44416</v>
      </c>
      <c r="D554" s="319">
        <v>44416</v>
      </c>
      <c r="E554" s="287" t="s">
        <v>814</v>
      </c>
      <c r="F554" s="282">
        <v>31.58</v>
      </c>
      <c r="G554" s="282" t="s">
        <v>290</v>
      </c>
      <c r="H554" s="282" t="str">
        <f t="shared" ref="H554:H556" si="58">VLOOKUP(G554,Expense_Lookup,2,0)</f>
        <v>Variable</v>
      </c>
      <c r="I554" s="284">
        <f t="shared" si="55"/>
        <v>398.67999999999915</v>
      </c>
      <c r="J554" s="282">
        <v>0</v>
      </c>
      <c r="K554" s="282" t="s">
        <v>628</v>
      </c>
    </row>
    <row r="555" spans="1:11" ht="18" customHeight="1" x14ac:dyDescent="0.2">
      <c r="A555" s="268">
        <f t="shared" si="56"/>
        <v>2021</v>
      </c>
      <c r="B555" s="286">
        <f t="shared" si="57"/>
        <v>8</v>
      </c>
      <c r="C555" s="319">
        <v>44416</v>
      </c>
      <c r="D555" s="319">
        <v>44416</v>
      </c>
      <c r="E555" s="287" t="s">
        <v>140</v>
      </c>
      <c r="F555" s="282">
        <v>12.99</v>
      </c>
      <c r="G555" s="282" t="s">
        <v>67</v>
      </c>
      <c r="H555" s="282" t="str">
        <f t="shared" si="58"/>
        <v>Variable</v>
      </c>
      <c r="I555" s="284">
        <f t="shared" si="55"/>
        <v>411.66999999999916</v>
      </c>
      <c r="J555" s="282">
        <v>0</v>
      </c>
      <c r="K555" s="282" t="s">
        <v>688</v>
      </c>
    </row>
    <row r="556" spans="1:11" ht="18" customHeight="1" x14ac:dyDescent="0.2">
      <c r="A556" s="268">
        <f t="shared" si="52"/>
        <v>2021</v>
      </c>
      <c r="B556" s="286">
        <f t="shared" si="53"/>
        <v>8</v>
      </c>
      <c r="C556" s="319">
        <v>44416</v>
      </c>
      <c r="D556" s="319">
        <v>44416</v>
      </c>
      <c r="E556" s="287" t="s">
        <v>140</v>
      </c>
      <c r="F556" s="282">
        <v>12.99</v>
      </c>
      <c r="G556" s="282" t="s">
        <v>67</v>
      </c>
      <c r="H556" s="282" t="str">
        <f t="shared" si="58"/>
        <v>Variable</v>
      </c>
      <c r="I556" s="284">
        <f t="shared" si="55"/>
        <v>424.65999999999917</v>
      </c>
      <c r="J556" s="282">
        <v>0</v>
      </c>
      <c r="K556" s="282" t="s">
        <v>688</v>
      </c>
    </row>
    <row r="557" spans="1:11" ht="18" customHeight="1" x14ac:dyDescent="0.2">
      <c r="A557" s="268">
        <f t="shared" si="52"/>
        <v>2021</v>
      </c>
      <c r="B557" s="286">
        <f t="shared" si="53"/>
        <v>8</v>
      </c>
      <c r="C557" s="319">
        <v>44416</v>
      </c>
      <c r="D557" s="319">
        <v>44416</v>
      </c>
      <c r="E557" s="287" t="s">
        <v>140</v>
      </c>
      <c r="F557" s="282">
        <v>130.81</v>
      </c>
      <c r="G557" s="282" t="s">
        <v>67</v>
      </c>
      <c r="H557" s="282" t="str">
        <f t="shared" si="54"/>
        <v>Variable</v>
      </c>
      <c r="I557" s="284">
        <f t="shared" si="55"/>
        <v>555.46999999999912</v>
      </c>
      <c r="J557" s="282">
        <v>0</v>
      </c>
      <c r="K557" s="282" t="s">
        <v>688</v>
      </c>
    </row>
    <row r="558" spans="1:11" ht="18" customHeight="1" x14ac:dyDescent="0.2">
      <c r="A558" s="268">
        <f t="shared" si="52"/>
        <v>2021</v>
      </c>
      <c r="B558" s="286">
        <f t="shared" si="53"/>
        <v>8</v>
      </c>
      <c r="C558" s="319">
        <v>44416</v>
      </c>
      <c r="D558" s="319">
        <v>44416</v>
      </c>
      <c r="E558" s="287" t="s">
        <v>815</v>
      </c>
      <c r="F558" s="282">
        <v>21.73</v>
      </c>
      <c r="G558" s="282" t="s">
        <v>41</v>
      </c>
      <c r="H558" s="282" t="s">
        <v>26</v>
      </c>
      <c r="I558" s="284">
        <f t="shared" si="55"/>
        <v>577.19999999999914</v>
      </c>
      <c r="J558" s="282">
        <v>0</v>
      </c>
      <c r="K558" s="282" t="s">
        <v>670</v>
      </c>
    </row>
    <row r="559" spans="1:11" ht="18" customHeight="1" x14ac:dyDescent="0.2">
      <c r="A559" s="268">
        <f t="shared" si="52"/>
        <v>2021</v>
      </c>
      <c r="B559" s="286">
        <f t="shared" si="53"/>
        <v>8</v>
      </c>
      <c r="C559" s="319">
        <v>44417</v>
      </c>
      <c r="D559" s="319">
        <v>44417</v>
      </c>
      <c r="E559" s="287" t="s">
        <v>183</v>
      </c>
      <c r="F559" s="282">
        <v>94.95</v>
      </c>
      <c r="G559" s="282" t="s">
        <v>67</v>
      </c>
      <c r="H559" s="282" t="str">
        <f t="shared" si="54"/>
        <v>Variable</v>
      </c>
      <c r="I559" s="284">
        <f t="shared" si="55"/>
        <v>672.14999999999918</v>
      </c>
      <c r="J559" s="282">
        <v>0</v>
      </c>
      <c r="K559" s="282" t="s">
        <v>682</v>
      </c>
    </row>
    <row r="560" spans="1:11" ht="18" customHeight="1" x14ac:dyDescent="0.2">
      <c r="A560" s="268">
        <f t="shared" si="52"/>
        <v>2021</v>
      </c>
      <c r="B560" s="286">
        <f t="shared" si="53"/>
        <v>8</v>
      </c>
      <c r="C560" s="319">
        <v>44418</v>
      </c>
      <c r="D560" s="319">
        <v>44418</v>
      </c>
      <c r="E560" s="287" t="s">
        <v>816</v>
      </c>
      <c r="F560" s="282">
        <v>54.03</v>
      </c>
      <c r="G560" s="282" t="s">
        <v>26</v>
      </c>
      <c r="H560" s="282" t="str">
        <f t="shared" si="54"/>
        <v>Fixed</v>
      </c>
      <c r="I560" s="284">
        <f t="shared" si="55"/>
        <v>726.17999999999915</v>
      </c>
      <c r="J560" s="282" t="s">
        <v>292</v>
      </c>
      <c r="K560" s="282">
        <v>0</v>
      </c>
    </row>
    <row r="561" spans="1:11" ht="18" customHeight="1" x14ac:dyDescent="0.2">
      <c r="A561" s="268">
        <f t="shared" si="52"/>
        <v>2021</v>
      </c>
      <c r="B561" s="286">
        <f t="shared" si="53"/>
        <v>8</v>
      </c>
      <c r="C561" s="319">
        <v>44418</v>
      </c>
      <c r="D561" s="319">
        <v>44418</v>
      </c>
      <c r="E561" s="287" t="s">
        <v>817</v>
      </c>
      <c r="F561" s="282">
        <v>6.94</v>
      </c>
      <c r="G561" s="282" t="s">
        <v>24</v>
      </c>
      <c r="H561" s="282" t="str">
        <f t="shared" si="54"/>
        <v>Variable</v>
      </c>
      <c r="I561" s="284">
        <f t="shared" si="55"/>
        <v>733.11999999999921</v>
      </c>
      <c r="J561" s="282">
        <v>0</v>
      </c>
      <c r="K561" s="282" t="s">
        <v>628</v>
      </c>
    </row>
    <row r="562" spans="1:11" ht="18" customHeight="1" x14ac:dyDescent="0.2">
      <c r="A562" s="268">
        <f t="shared" si="52"/>
        <v>2021</v>
      </c>
      <c r="B562" s="286">
        <f t="shared" si="53"/>
        <v>8</v>
      </c>
      <c r="C562" s="319">
        <v>44419</v>
      </c>
      <c r="D562" s="319">
        <v>44419</v>
      </c>
      <c r="E562" s="287" t="s">
        <v>818</v>
      </c>
      <c r="F562" s="282">
        <v>149</v>
      </c>
      <c r="G562" s="282" t="s">
        <v>52</v>
      </c>
      <c r="H562" s="282" t="str">
        <f t="shared" si="54"/>
        <v>Variable</v>
      </c>
      <c r="I562" s="284">
        <f t="shared" si="55"/>
        <v>882.11999999999921</v>
      </c>
      <c r="J562" s="282" t="s">
        <v>832</v>
      </c>
      <c r="K562" s="282" t="s">
        <v>688</v>
      </c>
    </row>
    <row r="563" spans="1:11" ht="18" customHeight="1" x14ac:dyDescent="0.2">
      <c r="A563" s="268">
        <f t="shared" si="52"/>
        <v>2021</v>
      </c>
      <c r="B563" s="286">
        <f t="shared" si="53"/>
        <v>8</v>
      </c>
      <c r="C563" s="319">
        <v>44419</v>
      </c>
      <c r="D563" s="319">
        <v>44419</v>
      </c>
      <c r="E563" s="287" t="s">
        <v>710</v>
      </c>
      <c r="F563" s="282">
        <v>42.35</v>
      </c>
      <c r="G563" s="282" t="s">
        <v>89</v>
      </c>
      <c r="H563" s="282" t="str">
        <f t="shared" si="54"/>
        <v>Variable</v>
      </c>
      <c r="I563" s="284">
        <f t="shared" si="55"/>
        <v>924.46999999999923</v>
      </c>
      <c r="J563" s="282">
        <v>0</v>
      </c>
      <c r="K563" s="282" t="s">
        <v>670</v>
      </c>
    </row>
    <row r="564" spans="1:11" ht="18" customHeight="1" x14ac:dyDescent="0.2">
      <c r="A564" s="268">
        <f t="shared" si="52"/>
        <v>2021</v>
      </c>
      <c r="B564" s="286">
        <f t="shared" si="53"/>
        <v>8</v>
      </c>
      <c r="C564" s="319">
        <v>44419</v>
      </c>
      <c r="D564" s="319">
        <v>44419</v>
      </c>
      <c r="E564" s="287" t="s">
        <v>97</v>
      </c>
      <c r="F564" s="282">
        <v>56.36</v>
      </c>
      <c r="G564" s="282" t="s">
        <v>67</v>
      </c>
      <c r="H564" s="282" t="str">
        <f t="shared" si="54"/>
        <v>Variable</v>
      </c>
      <c r="I564" s="284">
        <f t="shared" si="55"/>
        <v>980.82999999999925</v>
      </c>
      <c r="J564" s="282" t="s">
        <v>105</v>
      </c>
      <c r="K564" s="282" t="s">
        <v>688</v>
      </c>
    </row>
    <row r="565" spans="1:11" ht="18" customHeight="1" x14ac:dyDescent="0.2">
      <c r="A565" s="268">
        <f t="shared" si="52"/>
        <v>2021</v>
      </c>
      <c r="B565" s="286">
        <f t="shared" si="53"/>
        <v>8</v>
      </c>
      <c r="C565" s="319">
        <v>44420</v>
      </c>
      <c r="D565" s="319">
        <v>44420</v>
      </c>
      <c r="E565" s="287" t="s">
        <v>195</v>
      </c>
      <c r="F565" s="282">
        <v>35</v>
      </c>
      <c r="G565" s="282" t="s">
        <v>52</v>
      </c>
      <c r="H565" s="282" t="str">
        <f t="shared" si="54"/>
        <v>Variable</v>
      </c>
      <c r="I565" s="284">
        <f t="shared" si="55"/>
        <v>1015.8299999999992</v>
      </c>
      <c r="J565" s="282" t="s">
        <v>1101</v>
      </c>
      <c r="K565" s="282" t="s">
        <v>628</v>
      </c>
    </row>
    <row r="566" spans="1:11" ht="18" customHeight="1" x14ac:dyDescent="0.2">
      <c r="A566" s="268">
        <f t="shared" si="52"/>
        <v>2021</v>
      </c>
      <c r="B566" s="286">
        <f t="shared" si="53"/>
        <v>8</v>
      </c>
      <c r="C566" s="319">
        <v>44420</v>
      </c>
      <c r="D566" s="319">
        <v>44420</v>
      </c>
      <c r="E566" s="287" t="s">
        <v>819</v>
      </c>
      <c r="F566" s="282">
        <v>1.99</v>
      </c>
      <c r="G566" s="282" t="s">
        <v>26</v>
      </c>
      <c r="H566" s="282" t="str">
        <f t="shared" si="54"/>
        <v>Fixed</v>
      </c>
      <c r="I566" s="284">
        <f t="shared" si="55"/>
        <v>1017.8199999999993</v>
      </c>
      <c r="J566" s="282" t="s">
        <v>282</v>
      </c>
      <c r="K566" s="282" t="s">
        <v>781</v>
      </c>
    </row>
    <row r="567" spans="1:11" ht="18" customHeight="1" x14ac:dyDescent="0.2">
      <c r="A567" s="268">
        <f t="shared" si="52"/>
        <v>2021</v>
      </c>
      <c r="B567" s="286">
        <f t="shared" si="53"/>
        <v>8</v>
      </c>
      <c r="C567" s="319">
        <v>44420</v>
      </c>
      <c r="D567" s="319">
        <v>44420</v>
      </c>
      <c r="E567" s="287" t="s">
        <v>820</v>
      </c>
      <c r="F567" s="282">
        <v>42.68</v>
      </c>
      <c r="G567" s="282" t="s">
        <v>67</v>
      </c>
      <c r="H567" s="282" t="str">
        <f t="shared" si="54"/>
        <v>Variable</v>
      </c>
      <c r="I567" s="284">
        <f t="shared" si="55"/>
        <v>1060.4999999999993</v>
      </c>
      <c r="J567" s="282">
        <v>0</v>
      </c>
      <c r="K567" s="282" t="s">
        <v>688</v>
      </c>
    </row>
    <row r="568" spans="1:11" ht="18" customHeight="1" x14ac:dyDescent="0.2">
      <c r="A568" s="268">
        <f t="shared" si="52"/>
        <v>2021</v>
      </c>
      <c r="B568" s="286">
        <f t="shared" si="53"/>
        <v>8</v>
      </c>
      <c r="C568" s="319">
        <v>44421</v>
      </c>
      <c r="D568" s="319">
        <v>44421</v>
      </c>
      <c r="E568" s="287" t="s">
        <v>821</v>
      </c>
      <c r="F568" s="282">
        <v>22</v>
      </c>
      <c r="G568" s="282" t="s">
        <v>52</v>
      </c>
      <c r="H568" s="282" t="str">
        <f t="shared" si="54"/>
        <v>Variable</v>
      </c>
      <c r="I568" s="284">
        <f t="shared" si="55"/>
        <v>1082.4999999999993</v>
      </c>
      <c r="J568" s="282" t="s">
        <v>209</v>
      </c>
      <c r="K568" s="282" t="s">
        <v>628</v>
      </c>
    </row>
    <row r="569" spans="1:11" ht="18" customHeight="1" x14ac:dyDescent="0.2">
      <c r="A569" s="268">
        <f t="shared" si="52"/>
        <v>2021</v>
      </c>
      <c r="B569" s="286">
        <f t="shared" si="53"/>
        <v>8</v>
      </c>
      <c r="C569" s="319">
        <v>44421</v>
      </c>
      <c r="D569" s="319">
        <v>44421</v>
      </c>
      <c r="E569" s="287" t="s">
        <v>814</v>
      </c>
      <c r="F569" s="282">
        <v>31.5</v>
      </c>
      <c r="G569" s="282" t="s">
        <v>290</v>
      </c>
      <c r="H569" s="282" t="str">
        <f t="shared" si="54"/>
        <v>Variable</v>
      </c>
      <c r="I569" s="284">
        <f t="shared" si="55"/>
        <v>1113.9999999999993</v>
      </c>
      <c r="J569" s="282">
        <v>0</v>
      </c>
      <c r="K569" s="282" t="s">
        <v>628</v>
      </c>
    </row>
    <row r="570" spans="1:11" ht="18" customHeight="1" x14ac:dyDescent="0.2">
      <c r="A570" s="268">
        <f t="shared" ref="A570:A576" si="59">YEAR(C570)</f>
        <v>2021</v>
      </c>
      <c r="B570" s="286">
        <f t="shared" ref="B570:B576" si="60">MONTH(C570)</f>
        <v>8</v>
      </c>
      <c r="C570" s="319">
        <v>44421</v>
      </c>
      <c r="D570" s="319">
        <v>44421</v>
      </c>
      <c r="E570" s="287" t="s">
        <v>822</v>
      </c>
      <c r="F570" s="282">
        <v>134</v>
      </c>
      <c r="G570" s="282" t="s">
        <v>41</v>
      </c>
      <c r="H570" s="282" t="str">
        <f t="shared" ref="H570:H576" si="61">VLOOKUP(G570,Expense_Lookup,2,0)</f>
        <v>Variable</v>
      </c>
      <c r="I570" s="284">
        <f t="shared" si="55"/>
        <v>1247.9999999999993</v>
      </c>
      <c r="J570" s="282" t="s">
        <v>209</v>
      </c>
      <c r="K570" s="282" t="s">
        <v>670</v>
      </c>
    </row>
    <row r="571" spans="1:11" ht="18" customHeight="1" x14ac:dyDescent="0.2">
      <c r="A571" s="268">
        <f t="shared" si="59"/>
        <v>2021</v>
      </c>
      <c r="B571" s="286">
        <f t="shared" si="60"/>
        <v>8</v>
      </c>
      <c r="C571" s="319">
        <v>44422</v>
      </c>
      <c r="D571" s="319">
        <v>44422</v>
      </c>
      <c r="E571" s="287" t="s">
        <v>823</v>
      </c>
      <c r="F571" s="282">
        <v>80</v>
      </c>
      <c r="G571" s="282" t="s">
        <v>41</v>
      </c>
      <c r="H571" s="282" t="str">
        <f t="shared" si="61"/>
        <v>Variable</v>
      </c>
      <c r="I571" s="284">
        <f t="shared" si="55"/>
        <v>1327.9999999999993</v>
      </c>
      <c r="J571" s="282" t="s">
        <v>209</v>
      </c>
      <c r="K571" s="282" t="s">
        <v>670</v>
      </c>
    </row>
    <row r="572" spans="1:11" ht="18" customHeight="1" x14ac:dyDescent="0.2">
      <c r="A572" s="268">
        <f t="shared" si="59"/>
        <v>2021</v>
      </c>
      <c r="B572" s="286">
        <f t="shared" si="60"/>
        <v>8</v>
      </c>
      <c r="C572" s="319">
        <v>44422</v>
      </c>
      <c r="D572" s="319">
        <v>44422</v>
      </c>
      <c r="E572" s="287" t="s">
        <v>824</v>
      </c>
      <c r="F572" s="282">
        <v>3.99</v>
      </c>
      <c r="G572" s="282" t="s">
        <v>839</v>
      </c>
      <c r="H572" s="282" t="str">
        <f t="shared" si="61"/>
        <v>Fixed</v>
      </c>
      <c r="I572" s="284">
        <f t="shared" si="55"/>
        <v>1331.9899999999993</v>
      </c>
      <c r="J572" s="282" t="s">
        <v>918</v>
      </c>
      <c r="K572" s="282" t="s">
        <v>697</v>
      </c>
    </row>
    <row r="573" spans="1:11" ht="18" customHeight="1" x14ac:dyDescent="0.2">
      <c r="A573" s="268">
        <f t="shared" si="59"/>
        <v>2021</v>
      </c>
      <c r="B573" s="286">
        <f t="shared" si="60"/>
        <v>8</v>
      </c>
      <c r="C573" s="319">
        <v>44422</v>
      </c>
      <c r="D573" s="319">
        <v>44422</v>
      </c>
      <c r="E573" s="287" t="s">
        <v>825</v>
      </c>
      <c r="F573" s="282">
        <v>6.83</v>
      </c>
      <c r="G573" s="282" t="s">
        <v>67</v>
      </c>
      <c r="H573" s="282" t="str">
        <f t="shared" si="61"/>
        <v>Variable</v>
      </c>
      <c r="I573" s="284">
        <f t="shared" si="55"/>
        <v>1338.8199999999993</v>
      </c>
      <c r="J573" s="282" t="s">
        <v>209</v>
      </c>
      <c r="K573" s="282" t="s">
        <v>688</v>
      </c>
    </row>
    <row r="574" spans="1:11" ht="18" customHeight="1" x14ac:dyDescent="0.2">
      <c r="A574" s="268">
        <f t="shared" si="59"/>
        <v>2021</v>
      </c>
      <c r="B574" s="286">
        <f t="shared" si="60"/>
        <v>8</v>
      </c>
      <c r="C574" s="319">
        <v>44423</v>
      </c>
      <c r="D574" s="319">
        <v>44423</v>
      </c>
      <c r="E574" s="287" t="s">
        <v>826</v>
      </c>
      <c r="F574" s="282">
        <v>6.3</v>
      </c>
      <c r="G574" s="282" t="s">
        <v>41</v>
      </c>
      <c r="H574" s="282" t="str">
        <f t="shared" si="61"/>
        <v>Variable</v>
      </c>
      <c r="I574" s="284">
        <f t="shared" si="55"/>
        <v>1345.1199999999992</v>
      </c>
      <c r="J574" s="282" t="s">
        <v>833</v>
      </c>
      <c r="K574" s="282" t="s">
        <v>670</v>
      </c>
    </row>
    <row r="575" spans="1:11" ht="18" customHeight="1" x14ac:dyDescent="0.2">
      <c r="A575" s="268">
        <f t="shared" si="59"/>
        <v>2021</v>
      </c>
      <c r="B575" s="286">
        <f t="shared" si="60"/>
        <v>8</v>
      </c>
      <c r="C575" s="319">
        <v>44423</v>
      </c>
      <c r="D575" s="319">
        <v>44423</v>
      </c>
      <c r="E575" s="287" t="s">
        <v>827</v>
      </c>
      <c r="F575" s="282">
        <v>9.94</v>
      </c>
      <c r="G575" s="282" t="s">
        <v>41</v>
      </c>
      <c r="H575" s="282" t="str">
        <f t="shared" si="61"/>
        <v>Variable</v>
      </c>
      <c r="I575" s="284">
        <f t="shared" si="55"/>
        <v>1355.0599999999993</v>
      </c>
      <c r="J575" s="282" t="s">
        <v>833</v>
      </c>
      <c r="K575" s="282" t="s">
        <v>670</v>
      </c>
    </row>
    <row r="576" spans="1:11" ht="18" customHeight="1" x14ac:dyDescent="0.2">
      <c r="A576" s="268">
        <f t="shared" si="59"/>
        <v>2021</v>
      </c>
      <c r="B576" s="286">
        <f t="shared" si="60"/>
        <v>8</v>
      </c>
      <c r="C576" s="319">
        <v>44424</v>
      </c>
      <c r="D576" s="319">
        <v>44424</v>
      </c>
      <c r="E576" s="287" t="s">
        <v>828</v>
      </c>
      <c r="F576" s="282">
        <v>350</v>
      </c>
      <c r="G576" s="282" t="s">
        <v>41</v>
      </c>
      <c r="H576" s="282" t="str">
        <f t="shared" si="61"/>
        <v>Variable</v>
      </c>
      <c r="I576" s="284">
        <f t="shared" si="55"/>
        <v>1705.0599999999993</v>
      </c>
      <c r="J576" s="282" t="s">
        <v>833</v>
      </c>
      <c r="K576" s="282" t="s">
        <v>670</v>
      </c>
    </row>
    <row r="577" spans="1:11" ht="18" customHeight="1" x14ac:dyDescent="0.2">
      <c r="A577" s="268">
        <f t="shared" ref="A577:A640" si="62">YEAR(C577)</f>
        <v>2021</v>
      </c>
      <c r="B577" s="286">
        <f t="shared" ref="B577:B640" si="63">MONTH(C577)</f>
        <v>8</v>
      </c>
      <c r="C577" s="319">
        <v>44424</v>
      </c>
      <c r="D577" s="319">
        <v>44424</v>
      </c>
      <c r="E577" s="287" t="s">
        <v>829</v>
      </c>
      <c r="F577" s="282">
        <v>50</v>
      </c>
      <c r="G577" s="282" t="s">
        <v>26</v>
      </c>
      <c r="H577" s="282" t="str">
        <f t="shared" ref="H577:H640" si="64">VLOOKUP(G577,Expense_Lookup,2,0)</f>
        <v>Fixed</v>
      </c>
      <c r="I577" s="284">
        <f t="shared" si="55"/>
        <v>1755.0599999999993</v>
      </c>
      <c r="J577" s="282" t="s">
        <v>353</v>
      </c>
      <c r="K577" s="282" t="s">
        <v>692</v>
      </c>
    </row>
    <row r="578" spans="1:11" ht="18" customHeight="1" x14ac:dyDescent="0.2">
      <c r="A578" s="268">
        <f t="shared" si="62"/>
        <v>2021</v>
      </c>
      <c r="B578" s="286">
        <f t="shared" si="63"/>
        <v>8</v>
      </c>
      <c r="C578" s="319">
        <v>44424</v>
      </c>
      <c r="D578" s="319">
        <v>44424</v>
      </c>
      <c r="E578" s="287" t="s">
        <v>49</v>
      </c>
      <c r="F578" s="282">
        <v>27.15</v>
      </c>
      <c r="G578" s="282" t="s">
        <v>67</v>
      </c>
      <c r="H578" s="282" t="str">
        <f t="shared" si="64"/>
        <v>Variable</v>
      </c>
      <c r="I578" s="284">
        <f t="shared" si="55"/>
        <v>1782.2099999999994</v>
      </c>
      <c r="J578" s="282">
        <v>0</v>
      </c>
      <c r="K578" s="282" t="s">
        <v>688</v>
      </c>
    </row>
    <row r="579" spans="1:11" ht="18" customHeight="1" x14ac:dyDescent="0.2">
      <c r="A579" s="268">
        <f t="shared" si="62"/>
        <v>2021</v>
      </c>
      <c r="B579" s="286">
        <f t="shared" si="63"/>
        <v>8</v>
      </c>
      <c r="C579" s="319">
        <v>44426</v>
      </c>
      <c r="D579" s="319">
        <v>44426</v>
      </c>
      <c r="E579" s="287" t="s">
        <v>830</v>
      </c>
      <c r="F579" s="282">
        <v>8.4700000000000006</v>
      </c>
      <c r="G579" s="282" t="s">
        <v>26</v>
      </c>
      <c r="H579" s="282" t="str">
        <f t="shared" si="64"/>
        <v>Fixed</v>
      </c>
      <c r="I579" s="284">
        <f t="shared" si="55"/>
        <v>1790.6799999999994</v>
      </c>
      <c r="J579" s="282" t="s">
        <v>840</v>
      </c>
      <c r="K579" s="282" t="s">
        <v>781</v>
      </c>
    </row>
    <row r="580" spans="1:11" ht="18" customHeight="1" x14ac:dyDescent="0.2">
      <c r="A580" s="268">
        <f t="shared" si="62"/>
        <v>2021</v>
      </c>
      <c r="B580" s="286">
        <f t="shared" si="63"/>
        <v>8</v>
      </c>
      <c r="C580" s="319">
        <v>44426</v>
      </c>
      <c r="D580" s="319">
        <v>44426</v>
      </c>
      <c r="E580" s="287" t="s">
        <v>831</v>
      </c>
      <c r="F580" s="282">
        <v>42.39</v>
      </c>
      <c r="G580" s="282" t="s">
        <v>26</v>
      </c>
      <c r="H580" s="282" t="str">
        <f t="shared" si="64"/>
        <v>Fixed</v>
      </c>
      <c r="I580" s="284">
        <f t="shared" ref="I580:I643" si="65">I579+F580</f>
        <v>1833.0699999999995</v>
      </c>
      <c r="J580" s="282" t="s">
        <v>841</v>
      </c>
      <c r="K580" s="282" t="s">
        <v>781</v>
      </c>
    </row>
    <row r="581" spans="1:11" ht="18" customHeight="1" x14ac:dyDescent="0.2">
      <c r="A581" s="268">
        <f t="shared" si="62"/>
        <v>2021</v>
      </c>
      <c r="B581" s="286">
        <f t="shared" si="63"/>
        <v>8</v>
      </c>
      <c r="C581" s="319">
        <v>44427</v>
      </c>
      <c r="D581" s="319">
        <v>44427</v>
      </c>
      <c r="E581" s="287" t="s">
        <v>857</v>
      </c>
      <c r="F581" s="282">
        <v>34.04</v>
      </c>
      <c r="G581" s="282" t="s">
        <v>41</v>
      </c>
      <c r="H581" s="282" t="str">
        <f t="shared" si="64"/>
        <v>Variable</v>
      </c>
      <c r="I581" s="284">
        <f t="shared" si="65"/>
        <v>1867.1099999999994</v>
      </c>
      <c r="J581" s="282">
        <v>0</v>
      </c>
      <c r="K581" s="282">
        <v>0</v>
      </c>
    </row>
    <row r="582" spans="1:11" ht="18" customHeight="1" x14ac:dyDescent="0.2">
      <c r="A582" s="268">
        <f t="shared" si="62"/>
        <v>2021</v>
      </c>
      <c r="B582" s="286">
        <f t="shared" si="63"/>
        <v>8</v>
      </c>
      <c r="C582" s="319">
        <v>44427</v>
      </c>
      <c r="D582" s="319">
        <v>44427</v>
      </c>
      <c r="E582" s="287" t="s">
        <v>195</v>
      </c>
      <c r="F582" s="282">
        <v>35</v>
      </c>
      <c r="G582" s="282" t="s">
        <v>52</v>
      </c>
      <c r="H582" s="282" t="str">
        <f t="shared" si="64"/>
        <v>Variable</v>
      </c>
      <c r="I582" s="284">
        <f t="shared" si="65"/>
        <v>1902.1099999999994</v>
      </c>
      <c r="J582" s="282" t="s">
        <v>1101</v>
      </c>
      <c r="K582" s="282" t="s">
        <v>628</v>
      </c>
    </row>
    <row r="583" spans="1:11" ht="18" customHeight="1" x14ac:dyDescent="0.2">
      <c r="A583" s="268">
        <f t="shared" si="62"/>
        <v>2021</v>
      </c>
      <c r="B583" s="286">
        <f t="shared" si="63"/>
        <v>8</v>
      </c>
      <c r="C583" s="319">
        <v>44427</v>
      </c>
      <c r="D583" s="319">
        <v>44427</v>
      </c>
      <c r="E583" s="287" t="s">
        <v>858</v>
      </c>
      <c r="F583" s="282">
        <v>4.6100000000000003</v>
      </c>
      <c r="G583" s="282" t="s">
        <v>24</v>
      </c>
      <c r="H583" s="282" t="str">
        <f t="shared" si="64"/>
        <v>Variable</v>
      </c>
      <c r="I583" s="284">
        <f t="shared" si="65"/>
        <v>1906.7199999999993</v>
      </c>
      <c r="J583" s="282">
        <v>0</v>
      </c>
      <c r="K583" s="282">
        <v>0</v>
      </c>
    </row>
    <row r="584" spans="1:11" ht="18" customHeight="1" x14ac:dyDescent="0.2">
      <c r="A584" s="268">
        <f t="shared" si="62"/>
        <v>2021</v>
      </c>
      <c r="B584" s="286">
        <f t="shared" si="63"/>
        <v>8</v>
      </c>
      <c r="C584" s="319">
        <v>44428</v>
      </c>
      <c r="D584" s="319">
        <v>44428</v>
      </c>
      <c r="E584" s="287" t="s">
        <v>859</v>
      </c>
      <c r="F584" s="282">
        <v>27.22</v>
      </c>
      <c r="G584" s="282" t="s">
        <v>41</v>
      </c>
      <c r="H584" s="282" t="str">
        <f t="shared" si="64"/>
        <v>Variable</v>
      </c>
      <c r="I584" s="284">
        <f t="shared" si="65"/>
        <v>1933.9399999999994</v>
      </c>
      <c r="J584" s="282">
        <v>0</v>
      </c>
      <c r="K584" s="282">
        <v>0</v>
      </c>
    </row>
    <row r="585" spans="1:11" ht="18" customHeight="1" x14ac:dyDescent="0.2">
      <c r="A585" s="268">
        <f t="shared" si="62"/>
        <v>2021</v>
      </c>
      <c r="B585" s="286">
        <f t="shared" si="63"/>
        <v>8</v>
      </c>
      <c r="C585" s="319">
        <v>44428</v>
      </c>
      <c r="D585" s="319">
        <v>44428</v>
      </c>
      <c r="E585" s="287" t="s">
        <v>860</v>
      </c>
      <c r="F585" s="282">
        <v>20</v>
      </c>
      <c r="G585" s="282" t="s">
        <v>52</v>
      </c>
      <c r="H585" s="282" t="str">
        <f t="shared" si="64"/>
        <v>Variable</v>
      </c>
      <c r="I585" s="284">
        <f t="shared" si="65"/>
        <v>1953.9399999999994</v>
      </c>
      <c r="J585" s="282">
        <v>0</v>
      </c>
      <c r="K585" s="282">
        <v>0</v>
      </c>
    </row>
    <row r="586" spans="1:11" ht="18" customHeight="1" x14ac:dyDescent="0.2">
      <c r="A586" s="268">
        <f t="shared" si="62"/>
        <v>2021</v>
      </c>
      <c r="B586" s="286">
        <f t="shared" si="63"/>
        <v>8</v>
      </c>
      <c r="C586" s="319">
        <v>44428</v>
      </c>
      <c r="D586" s="319">
        <v>44428</v>
      </c>
      <c r="E586" s="287" t="s">
        <v>201</v>
      </c>
      <c r="F586" s="282">
        <v>20.25</v>
      </c>
      <c r="G586" s="282" t="s">
        <v>67</v>
      </c>
      <c r="H586" s="282" t="str">
        <f t="shared" si="64"/>
        <v>Variable</v>
      </c>
      <c r="I586" s="284">
        <f t="shared" si="65"/>
        <v>1974.1899999999994</v>
      </c>
      <c r="J586" s="282" t="s">
        <v>297</v>
      </c>
      <c r="K586" s="282" t="s">
        <v>697</v>
      </c>
    </row>
    <row r="587" spans="1:11" ht="18" customHeight="1" x14ac:dyDescent="0.2">
      <c r="A587" s="268">
        <f t="shared" si="62"/>
        <v>2021</v>
      </c>
      <c r="B587" s="286">
        <f t="shared" si="63"/>
        <v>8</v>
      </c>
      <c r="C587" s="319">
        <v>44429</v>
      </c>
      <c r="D587" s="319">
        <v>44429</v>
      </c>
      <c r="E587" s="287" t="s">
        <v>721</v>
      </c>
      <c r="F587" s="282">
        <v>40</v>
      </c>
      <c r="G587" s="282" t="s">
        <v>41</v>
      </c>
      <c r="H587" s="282" t="str">
        <f t="shared" si="64"/>
        <v>Variable</v>
      </c>
      <c r="I587" s="284">
        <f t="shared" si="65"/>
        <v>2014.1899999999994</v>
      </c>
      <c r="J587" s="282">
        <v>0</v>
      </c>
      <c r="K587" s="282" t="s">
        <v>670</v>
      </c>
    </row>
    <row r="588" spans="1:11" ht="18" customHeight="1" x14ac:dyDescent="0.2">
      <c r="A588" s="268">
        <f t="shared" si="62"/>
        <v>2021</v>
      </c>
      <c r="B588" s="286">
        <f t="shared" si="63"/>
        <v>8</v>
      </c>
      <c r="C588" s="319">
        <v>44429</v>
      </c>
      <c r="D588" s="319">
        <v>44429</v>
      </c>
      <c r="E588" s="287" t="s">
        <v>861</v>
      </c>
      <c r="F588" s="282">
        <v>5.4</v>
      </c>
      <c r="G588" s="282" t="s">
        <v>88</v>
      </c>
      <c r="H588" s="282" t="str">
        <f t="shared" si="64"/>
        <v>Variable</v>
      </c>
      <c r="I588" s="284">
        <f t="shared" si="65"/>
        <v>2019.5899999999995</v>
      </c>
      <c r="J588" s="282">
        <v>0</v>
      </c>
      <c r="K588" s="282">
        <v>0</v>
      </c>
    </row>
    <row r="589" spans="1:11" ht="18" customHeight="1" x14ac:dyDescent="0.2">
      <c r="A589" s="268">
        <f t="shared" si="62"/>
        <v>2021</v>
      </c>
      <c r="B589" s="286">
        <f t="shared" si="63"/>
        <v>8</v>
      </c>
      <c r="C589" s="319">
        <v>44429</v>
      </c>
      <c r="D589" s="319">
        <v>44429</v>
      </c>
      <c r="E589" s="287" t="s">
        <v>726</v>
      </c>
      <c r="F589" s="282">
        <v>28.34</v>
      </c>
      <c r="G589" s="282" t="s">
        <v>24</v>
      </c>
      <c r="H589" s="282" t="str">
        <f t="shared" si="64"/>
        <v>Variable</v>
      </c>
      <c r="I589" s="284">
        <f t="shared" si="65"/>
        <v>2047.9299999999994</v>
      </c>
      <c r="J589" s="282">
        <v>0</v>
      </c>
      <c r="K589" s="282" t="s">
        <v>628</v>
      </c>
    </row>
    <row r="590" spans="1:11" ht="18" customHeight="1" x14ac:dyDescent="0.2">
      <c r="A590" s="268">
        <f t="shared" si="62"/>
        <v>2021</v>
      </c>
      <c r="B590" s="286">
        <f t="shared" si="63"/>
        <v>8</v>
      </c>
      <c r="C590" s="319">
        <v>44429</v>
      </c>
      <c r="D590" s="319">
        <v>44429</v>
      </c>
      <c r="E590" s="287" t="s">
        <v>80</v>
      </c>
      <c r="F590" s="282">
        <v>7.99</v>
      </c>
      <c r="G590" s="282" t="s">
        <v>26</v>
      </c>
      <c r="H590" s="282" t="str">
        <f t="shared" si="64"/>
        <v>Fixed</v>
      </c>
      <c r="I590" s="284">
        <f t="shared" si="65"/>
        <v>2055.9199999999992</v>
      </c>
      <c r="J590" s="282" t="s">
        <v>9</v>
      </c>
      <c r="K590" s="282" t="s">
        <v>781</v>
      </c>
    </row>
    <row r="591" spans="1:11" ht="18" customHeight="1" x14ac:dyDescent="0.2">
      <c r="A591" s="268">
        <f t="shared" si="62"/>
        <v>2021</v>
      </c>
      <c r="B591" s="286">
        <f t="shared" si="63"/>
        <v>8</v>
      </c>
      <c r="C591" s="319">
        <v>44429</v>
      </c>
      <c r="D591" s="319">
        <v>44429</v>
      </c>
      <c r="E591" s="287" t="s">
        <v>201</v>
      </c>
      <c r="F591" s="282">
        <v>19.260000000000002</v>
      </c>
      <c r="G591" s="282" t="s">
        <v>67</v>
      </c>
      <c r="H591" s="282" t="str">
        <f t="shared" si="64"/>
        <v>Variable</v>
      </c>
      <c r="I591" s="284">
        <f t="shared" si="65"/>
        <v>2075.1799999999994</v>
      </c>
      <c r="J591" s="282" t="s">
        <v>297</v>
      </c>
      <c r="K591" s="282" t="s">
        <v>697</v>
      </c>
    </row>
    <row r="592" spans="1:11" ht="18" customHeight="1" x14ac:dyDescent="0.2">
      <c r="A592" s="268">
        <f t="shared" si="62"/>
        <v>2021</v>
      </c>
      <c r="B592" s="286">
        <f t="shared" si="63"/>
        <v>8</v>
      </c>
      <c r="C592" s="319">
        <v>44430</v>
      </c>
      <c r="D592" s="319">
        <v>44430</v>
      </c>
      <c r="E592" s="287" t="s">
        <v>862</v>
      </c>
      <c r="F592" s="282">
        <v>30.74</v>
      </c>
      <c r="G592" s="282" t="s">
        <v>67</v>
      </c>
      <c r="H592" s="282" t="str">
        <f t="shared" si="64"/>
        <v>Variable</v>
      </c>
      <c r="I592" s="284">
        <f t="shared" si="65"/>
        <v>2105.9199999999992</v>
      </c>
      <c r="J592" s="282">
        <v>0</v>
      </c>
      <c r="K592" s="282">
        <v>0</v>
      </c>
    </row>
    <row r="593" spans="1:11" ht="18" customHeight="1" x14ac:dyDescent="0.2">
      <c r="A593" s="268">
        <f t="shared" si="62"/>
        <v>2021</v>
      </c>
      <c r="B593" s="286">
        <f t="shared" si="63"/>
        <v>8</v>
      </c>
      <c r="C593" s="319">
        <v>44430</v>
      </c>
      <c r="D593" s="319">
        <v>44430</v>
      </c>
      <c r="E593" s="287" t="s">
        <v>61</v>
      </c>
      <c r="F593" s="282">
        <v>-38.86</v>
      </c>
      <c r="G593" s="282" t="s">
        <v>62</v>
      </c>
      <c r="H593" s="282" t="str">
        <f t="shared" si="64"/>
        <v>Payment</v>
      </c>
      <c r="I593" s="284">
        <f t="shared" si="65"/>
        <v>2067.059999999999</v>
      </c>
      <c r="J593" s="282">
        <v>0</v>
      </c>
      <c r="K593" s="282">
        <v>0</v>
      </c>
    </row>
    <row r="594" spans="1:11" ht="18" customHeight="1" x14ac:dyDescent="0.2">
      <c r="A594" s="268">
        <f t="shared" si="62"/>
        <v>2021</v>
      </c>
      <c r="B594" s="286">
        <f t="shared" si="63"/>
        <v>8</v>
      </c>
      <c r="C594" s="319">
        <v>44430</v>
      </c>
      <c r="D594" s="319">
        <v>44430</v>
      </c>
      <c r="E594" s="287" t="s">
        <v>21</v>
      </c>
      <c r="F594" s="282">
        <v>-961.14</v>
      </c>
      <c r="G594" s="282" t="s">
        <v>22</v>
      </c>
      <c r="H594" s="282" t="str">
        <f t="shared" si="64"/>
        <v>Payment</v>
      </c>
      <c r="I594" s="284">
        <f t="shared" si="65"/>
        <v>1105.9199999999992</v>
      </c>
      <c r="J594" s="282">
        <v>0</v>
      </c>
      <c r="K594" s="282">
        <v>0</v>
      </c>
    </row>
    <row r="595" spans="1:11" ht="18" customHeight="1" x14ac:dyDescent="0.2">
      <c r="A595" s="268">
        <f t="shared" si="62"/>
        <v>2021</v>
      </c>
      <c r="B595" s="286">
        <f t="shared" si="63"/>
        <v>8</v>
      </c>
      <c r="C595" s="319">
        <v>44430</v>
      </c>
      <c r="D595" s="319">
        <v>44430</v>
      </c>
      <c r="E595" s="287" t="s">
        <v>863</v>
      </c>
      <c r="F595" s="282">
        <v>38.97</v>
      </c>
      <c r="G595" s="282" t="s">
        <v>88</v>
      </c>
      <c r="H595" s="282" t="str">
        <f t="shared" si="64"/>
        <v>Variable</v>
      </c>
      <c r="I595" s="284">
        <f t="shared" si="65"/>
        <v>1144.8899999999992</v>
      </c>
      <c r="J595" s="282" t="s">
        <v>912</v>
      </c>
      <c r="K595" s="282">
        <v>0</v>
      </c>
    </row>
    <row r="596" spans="1:11" ht="18" customHeight="1" x14ac:dyDescent="0.2">
      <c r="A596" s="268">
        <f t="shared" si="62"/>
        <v>2021</v>
      </c>
      <c r="B596" s="286">
        <f t="shared" si="63"/>
        <v>8</v>
      </c>
      <c r="C596" s="319">
        <v>44430</v>
      </c>
      <c r="D596" s="319">
        <v>44430</v>
      </c>
      <c r="E596" s="287" t="s">
        <v>333</v>
      </c>
      <c r="F596" s="282">
        <v>1.05</v>
      </c>
      <c r="G596" s="282" t="s">
        <v>118</v>
      </c>
      <c r="H596" s="282" t="str">
        <f t="shared" si="64"/>
        <v>Variable</v>
      </c>
      <c r="I596" s="284">
        <f t="shared" si="65"/>
        <v>1145.9399999999991</v>
      </c>
      <c r="J596" s="282" t="s">
        <v>350</v>
      </c>
      <c r="K596" s="282" t="s">
        <v>688</v>
      </c>
    </row>
    <row r="597" spans="1:11" ht="18" customHeight="1" x14ac:dyDescent="0.2">
      <c r="A597" s="268">
        <f t="shared" si="62"/>
        <v>2021</v>
      </c>
      <c r="B597" s="286">
        <f t="shared" si="63"/>
        <v>8</v>
      </c>
      <c r="C597" s="319">
        <v>44431</v>
      </c>
      <c r="D597" s="319">
        <v>44431</v>
      </c>
      <c r="E597" s="287" t="s">
        <v>864</v>
      </c>
      <c r="F597" s="282">
        <v>16.28</v>
      </c>
      <c r="G597" s="282" t="s">
        <v>41</v>
      </c>
      <c r="H597" s="282" t="str">
        <f t="shared" si="64"/>
        <v>Variable</v>
      </c>
      <c r="I597" s="284">
        <f t="shared" si="65"/>
        <v>1162.2199999999991</v>
      </c>
      <c r="J597" s="282">
        <v>0</v>
      </c>
      <c r="K597" s="282">
        <v>0</v>
      </c>
    </row>
    <row r="598" spans="1:11" ht="18" customHeight="1" x14ac:dyDescent="0.2">
      <c r="A598" s="268">
        <f t="shared" si="62"/>
        <v>2021</v>
      </c>
      <c r="B598" s="286">
        <f t="shared" si="63"/>
        <v>8</v>
      </c>
      <c r="C598" s="319">
        <v>44432</v>
      </c>
      <c r="D598" s="319">
        <v>44432</v>
      </c>
      <c r="E598" s="287" t="s">
        <v>865</v>
      </c>
      <c r="F598" s="282">
        <v>8.51</v>
      </c>
      <c r="G598" s="282" t="s">
        <v>41</v>
      </c>
      <c r="H598" s="282" t="str">
        <f t="shared" si="64"/>
        <v>Variable</v>
      </c>
      <c r="I598" s="284">
        <f t="shared" si="65"/>
        <v>1170.7299999999991</v>
      </c>
      <c r="J598" s="282">
        <v>0</v>
      </c>
      <c r="K598" s="282">
        <v>0</v>
      </c>
    </row>
    <row r="599" spans="1:11" ht="18" customHeight="1" x14ac:dyDescent="0.2">
      <c r="A599" s="268">
        <f t="shared" si="62"/>
        <v>2021</v>
      </c>
      <c r="B599" s="286">
        <f t="shared" si="63"/>
        <v>8</v>
      </c>
      <c r="C599" s="319">
        <v>44432</v>
      </c>
      <c r="D599" s="319">
        <v>44432</v>
      </c>
      <c r="E599" s="287" t="s">
        <v>253</v>
      </c>
      <c r="F599" s="282">
        <v>81.069999999999993</v>
      </c>
      <c r="G599" s="282" t="s">
        <v>194</v>
      </c>
      <c r="H599" s="282" t="str">
        <f t="shared" si="64"/>
        <v>Variable</v>
      </c>
      <c r="I599" s="284">
        <f t="shared" si="65"/>
        <v>1251.799999999999</v>
      </c>
      <c r="J599" s="282">
        <v>0</v>
      </c>
      <c r="K599" s="282" t="s">
        <v>688</v>
      </c>
    </row>
    <row r="600" spans="1:11" ht="18" customHeight="1" x14ac:dyDescent="0.2">
      <c r="A600" s="268">
        <f t="shared" si="62"/>
        <v>2021</v>
      </c>
      <c r="B600" s="286">
        <f t="shared" si="63"/>
        <v>8</v>
      </c>
      <c r="C600" s="319">
        <v>44432</v>
      </c>
      <c r="D600" s="319">
        <v>44434</v>
      </c>
      <c r="E600" s="287" t="s">
        <v>348</v>
      </c>
      <c r="F600" s="282">
        <v>-97</v>
      </c>
      <c r="G600" s="282" t="s">
        <v>118</v>
      </c>
      <c r="H600" s="282" t="str">
        <f t="shared" si="64"/>
        <v>Variable</v>
      </c>
      <c r="I600" s="284">
        <f t="shared" si="65"/>
        <v>1154.799999999999</v>
      </c>
      <c r="J600" s="282">
        <v>0</v>
      </c>
      <c r="K600" s="282" t="s">
        <v>692</v>
      </c>
    </row>
    <row r="601" spans="1:11" ht="18" customHeight="1" x14ac:dyDescent="0.2">
      <c r="A601" s="268">
        <f t="shared" si="62"/>
        <v>2021</v>
      </c>
      <c r="B601" s="286">
        <f t="shared" si="63"/>
        <v>8</v>
      </c>
      <c r="C601" s="319">
        <v>44433</v>
      </c>
      <c r="D601" s="319">
        <v>44433</v>
      </c>
      <c r="E601" s="287" t="s">
        <v>866</v>
      </c>
      <c r="F601" s="282">
        <v>10.59</v>
      </c>
      <c r="G601" s="282" t="s">
        <v>67</v>
      </c>
      <c r="H601" s="282" t="str">
        <f t="shared" si="64"/>
        <v>Variable</v>
      </c>
      <c r="I601" s="284">
        <f t="shared" si="65"/>
        <v>1165.389999999999</v>
      </c>
      <c r="J601" s="282">
        <v>0</v>
      </c>
      <c r="K601" s="282">
        <v>0</v>
      </c>
    </row>
    <row r="602" spans="1:11" ht="18" customHeight="1" x14ac:dyDescent="0.2">
      <c r="A602" s="268">
        <f t="shared" si="62"/>
        <v>2021</v>
      </c>
      <c r="B602" s="286">
        <f t="shared" si="63"/>
        <v>8</v>
      </c>
      <c r="C602" s="319">
        <v>44433</v>
      </c>
      <c r="D602" s="319">
        <v>44433</v>
      </c>
      <c r="E602" s="287" t="s">
        <v>191</v>
      </c>
      <c r="F602" s="282">
        <v>8.1999999999999993</v>
      </c>
      <c r="G602" s="282" t="s">
        <v>41</v>
      </c>
      <c r="H602" s="282" t="str">
        <f t="shared" si="64"/>
        <v>Variable</v>
      </c>
      <c r="I602" s="284">
        <f t="shared" si="65"/>
        <v>1173.589999999999</v>
      </c>
      <c r="J602" s="282">
        <v>0</v>
      </c>
      <c r="K602" s="282" t="s">
        <v>670</v>
      </c>
    </row>
    <row r="603" spans="1:11" ht="18" customHeight="1" x14ac:dyDescent="0.2">
      <c r="A603" s="268">
        <f t="shared" si="62"/>
        <v>2021</v>
      </c>
      <c r="B603" s="286">
        <f t="shared" si="63"/>
        <v>8</v>
      </c>
      <c r="C603" s="319">
        <v>44433</v>
      </c>
      <c r="D603" s="319">
        <v>44433</v>
      </c>
      <c r="E603" s="287" t="s">
        <v>253</v>
      </c>
      <c r="F603" s="282">
        <v>8.44</v>
      </c>
      <c r="G603" s="282" t="s">
        <v>194</v>
      </c>
      <c r="H603" s="282" t="str">
        <f t="shared" si="64"/>
        <v>Variable</v>
      </c>
      <c r="I603" s="284">
        <f t="shared" si="65"/>
        <v>1182.0299999999991</v>
      </c>
      <c r="J603" s="282">
        <v>0</v>
      </c>
      <c r="K603" s="282" t="s">
        <v>688</v>
      </c>
    </row>
    <row r="604" spans="1:11" ht="18" customHeight="1" x14ac:dyDescent="0.2">
      <c r="A604" s="268">
        <f t="shared" si="62"/>
        <v>2021</v>
      </c>
      <c r="B604" s="286">
        <f t="shared" si="63"/>
        <v>8</v>
      </c>
      <c r="C604" s="319">
        <v>44434</v>
      </c>
      <c r="D604" s="319">
        <v>44434</v>
      </c>
      <c r="E604" s="287" t="s">
        <v>867</v>
      </c>
      <c r="F604" s="282">
        <v>17.46</v>
      </c>
      <c r="G604" s="282" t="s">
        <v>26</v>
      </c>
      <c r="H604" s="282" t="str">
        <f t="shared" si="64"/>
        <v>Fixed</v>
      </c>
      <c r="I604" s="284">
        <f t="shared" si="65"/>
        <v>1199.4899999999991</v>
      </c>
      <c r="J604" s="282" t="s">
        <v>915</v>
      </c>
      <c r="K604" s="282">
        <v>0</v>
      </c>
    </row>
    <row r="605" spans="1:11" ht="18" customHeight="1" x14ac:dyDescent="0.2">
      <c r="A605" s="268">
        <f t="shared" si="62"/>
        <v>2021</v>
      </c>
      <c r="B605" s="286">
        <f t="shared" si="63"/>
        <v>8</v>
      </c>
      <c r="C605" s="319">
        <v>44434</v>
      </c>
      <c r="D605" s="319">
        <v>44434</v>
      </c>
      <c r="E605" s="287" t="s">
        <v>195</v>
      </c>
      <c r="F605" s="282">
        <v>35</v>
      </c>
      <c r="G605" s="282" t="s">
        <v>52</v>
      </c>
      <c r="H605" s="282" t="str">
        <f t="shared" si="64"/>
        <v>Variable</v>
      </c>
      <c r="I605" s="284">
        <f t="shared" si="65"/>
        <v>1234.4899999999991</v>
      </c>
      <c r="J605" s="282" t="s">
        <v>1101</v>
      </c>
      <c r="K605" s="282" t="s">
        <v>628</v>
      </c>
    </row>
    <row r="606" spans="1:11" ht="18" customHeight="1" x14ac:dyDescent="0.2">
      <c r="A606" s="268">
        <f t="shared" si="62"/>
        <v>2021</v>
      </c>
      <c r="B606" s="286">
        <f t="shared" si="63"/>
        <v>8</v>
      </c>
      <c r="C606" s="319">
        <v>44434</v>
      </c>
      <c r="D606" s="319">
        <v>44434</v>
      </c>
      <c r="E606" s="287" t="s">
        <v>21</v>
      </c>
      <c r="F606" s="307">
        <v>-1040.93</v>
      </c>
      <c r="G606" s="282" t="s">
        <v>22</v>
      </c>
      <c r="H606" s="282" t="str">
        <f t="shared" si="64"/>
        <v>Payment</v>
      </c>
      <c r="I606" s="284">
        <f t="shared" si="65"/>
        <v>193.55999999999904</v>
      </c>
      <c r="J606" s="282">
        <v>0</v>
      </c>
      <c r="K606" s="282">
        <v>0</v>
      </c>
    </row>
    <row r="607" spans="1:11" ht="18" customHeight="1" x14ac:dyDescent="0.2">
      <c r="A607" s="268">
        <f t="shared" si="62"/>
        <v>2021</v>
      </c>
      <c r="B607" s="286">
        <f t="shared" si="63"/>
        <v>8</v>
      </c>
      <c r="C607" s="319">
        <v>44434</v>
      </c>
      <c r="D607" s="319">
        <v>44434</v>
      </c>
      <c r="E607" s="287" t="s">
        <v>238</v>
      </c>
      <c r="F607" s="282">
        <v>9.27</v>
      </c>
      <c r="G607" s="282" t="s">
        <v>41</v>
      </c>
      <c r="H607" s="282" t="str">
        <f t="shared" si="64"/>
        <v>Variable</v>
      </c>
      <c r="I607" s="284">
        <f t="shared" si="65"/>
        <v>202.82999999999905</v>
      </c>
      <c r="J607" s="282">
        <v>0</v>
      </c>
      <c r="K607" s="282" t="s">
        <v>670</v>
      </c>
    </row>
    <row r="608" spans="1:11" ht="18" customHeight="1" x14ac:dyDescent="0.2">
      <c r="A608" s="268">
        <f t="shared" si="62"/>
        <v>2021</v>
      </c>
      <c r="B608" s="286">
        <f t="shared" si="63"/>
        <v>8</v>
      </c>
      <c r="C608" s="319">
        <v>44434</v>
      </c>
      <c r="D608" s="319">
        <v>44434</v>
      </c>
      <c r="E608" s="287" t="s">
        <v>868</v>
      </c>
      <c r="F608" s="282">
        <v>7.41</v>
      </c>
      <c r="G608" s="282" t="s">
        <v>67</v>
      </c>
      <c r="H608" s="282" t="str">
        <f t="shared" si="64"/>
        <v>Variable</v>
      </c>
      <c r="I608" s="284">
        <f t="shared" si="65"/>
        <v>210.23999999999904</v>
      </c>
      <c r="J608" s="282">
        <v>0</v>
      </c>
      <c r="K608" s="282">
        <v>0</v>
      </c>
    </row>
    <row r="609" spans="1:11" ht="18" customHeight="1" x14ac:dyDescent="0.2">
      <c r="A609" s="268">
        <f t="shared" si="62"/>
        <v>2021</v>
      </c>
      <c r="B609" s="286">
        <f t="shared" si="63"/>
        <v>8</v>
      </c>
      <c r="C609" s="319">
        <v>44435</v>
      </c>
      <c r="D609" s="319">
        <v>44435</v>
      </c>
      <c r="E609" s="287" t="s">
        <v>869</v>
      </c>
      <c r="F609" s="282">
        <v>22.05</v>
      </c>
      <c r="G609" s="282" t="s">
        <v>26</v>
      </c>
      <c r="H609" s="282" t="str">
        <f t="shared" si="64"/>
        <v>Fixed</v>
      </c>
      <c r="I609" s="284">
        <f t="shared" si="65"/>
        <v>232.28999999999905</v>
      </c>
      <c r="J609" s="282" t="s">
        <v>915</v>
      </c>
      <c r="K609" s="282">
        <v>0</v>
      </c>
    </row>
    <row r="610" spans="1:11" ht="18" customHeight="1" x14ac:dyDescent="0.2">
      <c r="A610" s="268">
        <f t="shared" si="62"/>
        <v>2021</v>
      </c>
      <c r="B610" s="286">
        <f t="shared" si="63"/>
        <v>8</v>
      </c>
      <c r="C610" s="319">
        <v>44435</v>
      </c>
      <c r="D610" s="319">
        <v>44435</v>
      </c>
      <c r="E610" s="287" t="s">
        <v>870</v>
      </c>
      <c r="F610" s="282">
        <v>7.68</v>
      </c>
      <c r="G610" s="282" t="s">
        <v>24</v>
      </c>
      <c r="H610" s="282" t="str">
        <f t="shared" si="64"/>
        <v>Variable</v>
      </c>
      <c r="I610" s="284">
        <f t="shared" si="65"/>
        <v>239.96999999999906</v>
      </c>
      <c r="J610" s="282">
        <v>0</v>
      </c>
      <c r="K610" s="282">
        <v>0</v>
      </c>
    </row>
    <row r="611" spans="1:11" ht="18" customHeight="1" x14ac:dyDescent="0.2">
      <c r="A611" s="268">
        <f t="shared" si="62"/>
        <v>2021</v>
      </c>
      <c r="B611" s="286">
        <f t="shared" si="63"/>
        <v>8</v>
      </c>
      <c r="C611" s="319">
        <v>44435</v>
      </c>
      <c r="D611" s="319">
        <v>44435</v>
      </c>
      <c r="E611" s="287" t="s">
        <v>870</v>
      </c>
      <c r="F611" s="282">
        <v>20.420000000000002</v>
      </c>
      <c r="G611" s="282" t="s">
        <v>24</v>
      </c>
      <c r="H611" s="282" t="str">
        <f t="shared" si="64"/>
        <v>Variable</v>
      </c>
      <c r="I611" s="284">
        <f t="shared" si="65"/>
        <v>260.38999999999908</v>
      </c>
      <c r="J611" s="282">
        <v>0</v>
      </c>
      <c r="K611" s="282">
        <v>0</v>
      </c>
    </row>
    <row r="612" spans="1:11" ht="18" customHeight="1" x14ac:dyDescent="0.2">
      <c r="A612" s="268">
        <f t="shared" si="62"/>
        <v>2021</v>
      </c>
      <c r="B612" s="286">
        <f t="shared" si="63"/>
        <v>8</v>
      </c>
      <c r="C612" s="319">
        <v>44435</v>
      </c>
      <c r="D612" s="319">
        <v>44435</v>
      </c>
      <c r="E612" s="287" t="s">
        <v>871</v>
      </c>
      <c r="F612" s="282">
        <v>25.54</v>
      </c>
      <c r="G612" s="282" t="s">
        <v>41</v>
      </c>
      <c r="H612" s="282" t="str">
        <f t="shared" si="64"/>
        <v>Variable</v>
      </c>
      <c r="I612" s="284">
        <f t="shared" si="65"/>
        <v>285.9299999999991</v>
      </c>
      <c r="J612" s="282" t="s">
        <v>913</v>
      </c>
      <c r="K612" s="282">
        <v>0</v>
      </c>
    </row>
    <row r="613" spans="1:11" ht="18" customHeight="1" x14ac:dyDescent="0.2">
      <c r="A613" s="268">
        <f t="shared" si="62"/>
        <v>2021</v>
      </c>
      <c r="B613" s="286">
        <f t="shared" si="63"/>
        <v>8</v>
      </c>
      <c r="C613" s="319">
        <v>44435</v>
      </c>
      <c r="D613" s="319">
        <v>44435</v>
      </c>
      <c r="E613" s="287" t="s">
        <v>111</v>
      </c>
      <c r="F613" s="282">
        <v>9.99</v>
      </c>
      <c r="G613" s="282" t="s">
        <v>26</v>
      </c>
      <c r="H613" s="282" t="str">
        <f t="shared" si="64"/>
        <v>Fixed</v>
      </c>
      <c r="I613" s="284">
        <f t="shared" si="65"/>
        <v>295.91999999999911</v>
      </c>
      <c r="J613" s="282" t="s">
        <v>294</v>
      </c>
      <c r="K613" s="282" t="s">
        <v>781</v>
      </c>
    </row>
    <row r="614" spans="1:11" ht="18" customHeight="1" x14ac:dyDescent="0.2">
      <c r="A614" s="268">
        <f t="shared" si="62"/>
        <v>2021</v>
      </c>
      <c r="B614" s="286">
        <f t="shared" si="63"/>
        <v>8</v>
      </c>
      <c r="C614" s="319">
        <v>44435</v>
      </c>
      <c r="D614" s="319">
        <v>44435</v>
      </c>
      <c r="E614" s="287" t="s">
        <v>872</v>
      </c>
      <c r="F614" s="282">
        <v>35.78</v>
      </c>
      <c r="G614" s="282" t="s">
        <v>89</v>
      </c>
      <c r="H614" s="282" t="str">
        <f t="shared" si="64"/>
        <v>Variable</v>
      </c>
      <c r="I614" s="284">
        <f t="shared" si="65"/>
        <v>331.69999999999914</v>
      </c>
      <c r="J614" s="282" t="s">
        <v>912</v>
      </c>
      <c r="K614" s="282">
        <v>0</v>
      </c>
    </row>
    <row r="615" spans="1:11" ht="18" customHeight="1" x14ac:dyDescent="0.2">
      <c r="A615" s="268">
        <f t="shared" si="62"/>
        <v>2021</v>
      </c>
      <c r="B615" s="286">
        <f t="shared" si="63"/>
        <v>8</v>
      </c>
      <c r="C615" s="319">
        <v>44436</v>
      </c>
      <c r="D615" s="319">
        <v>44436</v>
      </c>
      <c r="E615" s="287" t="s">
        <v>873</v>
      </c>
      <c r="F615" s="282">
        <v>19.5</v>
      </c>
      <c r="G615" s="282" t="s">
        <v>24</v>
      </c>
      <c r="H615" s="282" t="str">
        <f t="shared" si="64"/>
        <v>Variable</v>
      </c>
      <c r="I615" s="284">
        <f t="shared" si="65"/>
        <v>351.19999999999914</v>
      </c>
      <c r="J615" s="282" t="s">
        <v>912</v>
      </c>
      <c r="K615" s="282">
        <v>0</v>
      </c>
    </row>
    <row r="616" spans="1:11" ht="18" customHeight="1" x14ac:dyDescent="0.2">
      <c r="A616" s="268">
        <f t="shared" si="62"/>
        <v>2021</v>
      </c>
      <c r="B616" s="286">
        <f t="shared" si="63"/>
        <v>8</v>
      </c>
      <c r="C616" s="319">
        <v>44436</v>
      </c>
      <c r="D616" s="319">
        <v>44436</v>
      </c>
      <c r="E616" s="287" t="s">
        <v>874</v>
      </c>
      <c r="F616" s="282">
        <v>49.99</v>
      </c>
      <c r="G616" s="282" t="s">
        <v>67</v>
      </c>
      <c r="H616" s="282" t="str">
        <f t="shared" si="64"/>
        <v>Variable</v>
      </c>
      <c r="I616" s="284">
        <f t="shared" si="65"/>
        <v>401.18999999999915</v>
      </c>
      <c r="J616" s="282" t="s">
        <v>912</v>
      </c>
      <c r="K616" s="282">
        <v>0</v>
      </c>
    </row>
    <row r="617" spans="1:11" ht="18" customHeight="1" x14ac:dyDescent="0.2">
      <c r="A617" s="268">
        <f t="shared" si="62"/>
        <v>2021</v>
      </c>
      <c r="B617" s="286">
        <f t="shared" si="63"/>
        <v>8</v>
      </c>
      <c r="C617" s="319">
        <v>44436</v>
      </c>
      <c r="D617" s="319">
        <v>44436</v>
      </c>
      <c r="E617" s="287" t="s">
        <v>875</v>
      </c>
      <c r="F617" s="282">
        <v>20.46</v>
      </c>
      <c r="G617" s="282" t="s">
        <v>118</v>
      </c>
      <c r="H617" s="282" t="str">
        <f t="shared" si="64"/>
        <v>Variable</v>
      </c>
      <c r="I617" s="284">
        <f t="shared" si="65"/>
        <v>421.64999999999912</v>
      </c>
      <c r="J617" s="282" t="s">
        <v>912</v>
      </c>
      <c r="K617" s="282">
        <v>0</v>
      </c>
    </row>
    <row r="618" spans="1:11" ht="18" customHeight="1" x14ac:dyDescent="0.2">
      <c r="A618" s="268">
        <f t="shared" si="62"/>
        <v>2021</v>
      </c>
      <c r="B618" s="286">
        <f t="shared" si="63"/>
        <v>8</v>
      </c>
      <c r="C618" s="319">
        <v>44436</v>
      </c>
      <c r="D618" s="319">
        <v>44436</v>
      </c>
      <c r="E618" s="287" t="s">
        <v>876</v>
      </c>
      <c r="F618" s="282">
        <v>32.82</v>
      </c>
      <c r="G618" s="282" t="s">
        <v>41</v>
      </c>
      <c r="H618" s="282" t="str">
        <f t="shared" si="64"/>
        <v>Variable</v>
      </c>
      <c r="I618" s="284">
        <f t="shared" si="65"/>
        <v>454.46999999999912</v>
      </c>
      <c r="J618" s="282" t="s">
        <v>912</v>
      </c>
      <c r="K618" s="282">
        <v>0</v>
      </c>
    </row>
    <row r="619" spans="1:11" ht="18" customHeight="1" x14ac:dyDescent="0.2">
      <c r="A619" s="268">
        <f t="shared" si="62"/>
        <v>2021</v>
      </c>
      <c r="B619" s="286">
        <f t="shared" si="63"/>
        <v>8</v>
      </c>
      <c r="C619" s="319">
        <v>44436</v>
      </c>
      <c r="D619" s="319">
        <v>44436</v>
      </c>
      <c r="E619" s="287" t="s">
        <v>877</v>
      </c>
      <c r="F619" s="282">
        <v>24.34</v>
      </c>
      <c r="G619" s="282" t="s">
        <v>24</v>
      </c>
      <c r="H619" s="282" t="str">
        <f t="shared" si="64"/>
        <v>Variable</v>
      </c>
      <c r="I619" s="284">
        <f t="shared" si="65"/>
        <v>478.80999999999909</v>
      </c>
      <c r="J619" s="282" t="s">
        <v>912</v>
      </c>
      <c r="K619" s="282">
        <v>0</v>
      </c>
    </row>
    <row r="620" spans="1:11" ht="18" customHeight="1" x14ac:dyDescent="0.2">
      <c r="A620" s="268">
        <f t="shared" si="62"/>
        <v>2021</v>
      </c>
      <c r="B620" s="286">
        <f t="shared" si="63"/>
        <v>8</v>
      </c>
      <c r="C620" s="319">
        <v>44436</v>
      </c>
      <c r="D620" s="319">
        <v>44436</v>
      </c>
      <c r="E620" s="287" t="s">
        <v>878</v>
      </c>
      <c r="F620" s="282">
        <v>51.53</v>
      </c>
      <c r="G620" s="282" t="s">
        <v>41</v>
      </c>
      <c r="H620" s="282" t="str">
        <f t="shared" si="64"/>
        <v>Variable</v>
      </c>
      <c r="I620" s="284">
        <f t="shared" si="65"/>
        <v>530.33999999999912</v>
      </c>
      <c r="J620" s="282" t="s">
        <v>912</v>
      </c>
      <c r="K620" s="282">
        <v>0</v>
      </c>
    </row>
    <row r="621" spans="1:11" ht="18" customHeight="1" x14ac:dyDescent="0.2">
      <c r="A621" s="268">
        <f t="shared" si="62"/>
        <v>2021</v>
      </c>
      <c r="B621" s="286">
        <f t="shared" si="63"/>
        <v>8</v>
      </c>
      <c r="C621" s="319">
        <v>44437</v>
      </c>
      <c r="D621" s="319">
        <v>44437</v>
      </c>
      <c r="E621" s="287" t="s">
        <v>879</v>
      </c>
      <c r="F621" s="282">
        <v>10.59</v>
      </c>
      <c r="G621" s="282" t="s">
        <v>26</v>
      </c>
      <c r="H621" s="282" t="str">
        <f t="shared" si="64"/>
        <v>Fixed</v>
      </c>
      <c r="I621" s="284">
        <f t="shared" si="65"/>
        <v>540.92999999999915</v>
      </c>
      <c r="J621" s="282" t="s">
        <v>917</v>
      </c>
      <c r="K621" s="282">
        <v>0</v>
      </c>
    </row>
    <row r="622" spans="1:11" ht="18" customHeight="1" x14ac:dyDescent="0.2">
      <c r="A622" s="268">
        <f t="shared" si="62"/>
        <v>2021</v>
      </c>
      <c r="B622" s="286">
        <f t="shared" si="63"/>
        <v>8</v>
      </c>
      <c r="C622" s="319">
        <v>44437</v>
      </c>
      <c r="D622" s="319">
        <v>44437</v>
      </c>
      <c r="E622" s="287" t="s">
        <v>880</v>
      </c>
      <c r="F622" s="282">
        <v>31.13</v>
      </c>
      <c r="G622" s="282" t="s">
        <v>24</v>
      </c>
      <c r="H622" s="282" t="str">
        <f t="shared" si="64"/>
        <v>Variable</v>
      </c>
      <c r="I622" s="284">
        <f t="shared" si="65"/>
        <v>572.05999999999915</v>
      </c>
      <c r="J622" s="282" t="s">
        <v>912</v>
      </c>
      <c r="K622" s="282">
        <v>0</v>
      </c>
    </row>
    <row r="623" spans="1:11" ht="18" customHeight="1" x14ac:dyDescent="0.2">
      <c r="A623" s="268">
        <f t="shared" si="62"/>
        <v>2021</v>
      </c>
      <c r="B623" s="286">
        <f t="shared" si="63"/>
        <v>8</v>
      </c>
      <c r="C623" s="319">
        <v>44437</v>
      </c>
      <c r="D623" s="319">
        <v>44437</v>
      </c>
      <c r="E623" s="287" t="s">
        <v>881</v>
      </c>
      <c r="F623" s="282">
        <v>36.450000000000003</v>
      </c>
      <c r="G623" s="282" t="s">
        <v>88</v>
      </c>
      <c r="H623" s="282" t="str">
        <f t="shared" si="64"/>
        <v>Variable</v>
      </c>
      <c r="I623" s="284">
        <f t="shared" si="65"/>
        <v>608.5099999999992</v>
      </c>
      <c r="J623" s="282" t="s">
        <v>912</v>
      </c>
      <c r="K623" s="282">
        <v>0</v>
      </c>
    </row>
    <row r="624" spans="1:11" ht="18" customHeight="1" x14ac:dyDescent="0.2">
      <c r="A624" s="268">
        <f t="shared" si="62"/>
        <v>2021</v>
      </c>
      <c r="B624" s="286">
        <f t="shared" si="63"/>
        <v>8</v>
      </c>
      <c r="C624" s="319">
        <v>44437</v>
      </c>
      <c r="D624" s="319">
        <v>44437</v>
      </c>
      <c r="E624" s="287" t="s">
        <v>882</v>
      </c>
      <c r="F624" s="282">
        <v>30.9</v>
      </c>
      <c r="G624" s="282" t="s">
        <v>67</v>
      </c>
      <c r="H624" s="282" t="str">
        <f t="shared" si="64"/>
        <v>Variable</v>
      </c>
      <c r="I624" s="284">
        <f t="shared" si="65"/>
        <v>639.40999999999917</v>
      </c>
      <c r="J624" s="282" t="s">
        <v>912</v>
      </c>
      <c r="K624" s="282">
        <v>0</v>
      </c>
    </row>
    <row r="625" spans="1:11" ht="18" customHeight="1" x14ac:dyDescent="0.2">
      <c r="A625" s="268">
        <f t="shared" si="62"/>
        <v>2021</v>
      </c>
      <c r="B625" s="286">
        <f t="shared" si="63"/>
        <v>8</v>
      </c>
      <c r="C625" s="319">
        <v>44437</v>
      </c>
      <c r="D625" s="319">
        <v>44437</v>
      </c>
      <c r="E625" s="287" t="s">
        <v>882</v>
      </c>
      <c r="F625" s="282">
        <v>35</v>
      </c>
      <c r="G625" s="282" t="s">
        <v>67</v>
      </c>
      <c r="H625" s="282" t="str">
        <f t="shared" si="64"/>
        <v>Variable</v>
      </c>
      <c r="I625" s="284">
        <f t="shared" si="65"/>
        <v>674.40999999999917</v>
      </c>
      <c r="J625" s="282" t="s">
        <v>912</v>
      </c>
      <c r="K625" s="282">
        <v>0</v>
      </c>
    </row>
    <row r="626" spans="1:11" ht="18" customHeight="1" x14ac:dyDescent="0.2">
      <c r="A626" s="268">
        <f t="shared" si="62"/>
        <v>2021</v>
      </c>
      <c r="B626" s="286">
        <f t="shared" si="63"/>
        <v>8</v>
      </c>
      <c r="C626" s="319">
        <v>44437</v>
      </c>
      <c r="D626" s="319">
        <v>44437</v>
      </c>
      <c r="E626" s="287" t="s">
        <v>883</v>
      </c>
      <c r="F626" s="282">
        <v>2.2599999999999998</v>
      </c>
      <c r="G626" s="282" t="s">
        <v>88</v>
      </c>
      <c r="H626" s="282" t="str">
        <f t="shared" si="64"/>
        <v>Variable</v>
      </c>
      <c r="I626" s="284">
        <f t="shared" si="65"/>
        <v>676.66999999999916</v>
      </c>
      <c r="J626" s="282" t="s">
        <v>912</v>
      </c>
      <c r="K626" s="282">
        <v>0</v>
      </c>
    </row>
    <row r="627" spans="1:11" ht="18" customHeight="1" x14ac:dyDescent="0.2">
      <c r="A627" s="268">
        <f t="shared" si="62"/>
        <v>2021</v>
      </c>
      <c r="B627" s="286">
        <f t="shared" si="63"/>
        <v>8</v>
      </c>
      <c r="C627" s="319">
        <v>44437</v>
      </c>
      <c r="D627" s="319">
        <v>44437</v>
      </c>
      <c r="E627" s="287" t="s">
        <v>883</v>
      </c>
      <c r="F627" s="282">
        <v>2.2799999999999998</v>
      </c>
      <c r="G627" s="282" t="s">
        <v>88</v>
      </c>
      <c r="H627" s="282" t="str">
        <f t="shared" si="64"/>
        <v>Variable</v>
      </c>
      <c r="I627" s="284">
        <f t="shared" si="65"/>
        <v>678.94999999999914</v>
      </c>
      <c r="J627" s="282" t="s">
        <v>912</v>
      </c>
      <c r="K627" s="282">
        <v>0</v>
      </c>
    </row>
    <row r="628" spans="1:11" ht="18" customHeight="1" x14ac:dyDescent="0.2">
      <c r="A628" s="268">
        <f t="shared" si="62"/>
        <v>2021</v>
      </c>
      <c r="B628" s="286">
        <f t="shared" si="63"/>
        <v>8</v>
      </c>
      <c r="C628" s="319">
        <v>44437</v>
      </c>
      <c r="D628" s="319">
        <v>44437</v>
      </c>
      <c r="E628" s="287" t="s">
        <v>883</v>
      </c>
      <c r="F628" s="282">
        <v>3.04</v>
      </c>
      <c r="G628" s="282" t="s">
        <v>88</v>
      </c>
      <c r="H628" s="282" t="str">
        <f t="shared" si="64"/>
        <v>Variable</v>
      </c>
      <c r="I628" s="284">
        <f t="shared" si="65"/>
        <v>681.9899999999991</v>
      </c>
      <c r="J628" s="282" t="s">
        <v>912</v>
      </c>
      <c r="K628" s="282">
        <v>0</v>
      </c>
    </row>
    <row r="629" spans="1:11" ht="18" customHeight="1" x14ac:dyDescent="0.2">
      <c r="A629" s="268">
        <f t="shared" si="62"/>
        <v>2021</v>
      </c>
      <c r="B629" s="286">
        <f t="shared" si="63"/>
        <v>8</v>
      </c>
      <c r="C629" s="319">
        <v>44437</v>
      </c>
      <c r="D629" s="319">
        <v>44437</v>
      </c>
      <c r="E629" s="287" t="s">
        <v>883</v>
      </c>
      <c r="F629" s="282">
        <v>4.8499999999999996</v>
      </c>
      <c r="G629" s="282" t="s">
        <v>88</v>
      </c>
      <c r="H629" s="282" t="str">
        <f t="shared" si="64"/>
        <v>Variable</v>
      </c>
      <c r="I629" s="284">
        <f t="shared" si="65"/>
        <v>686.83999999999912</v>
      </c>
      <c r="J629" s="282" t="s">
        <v>912</v>
      </c>
      <c r="K629" s="282">
        <v>0</v>
      </c>
    </row>
    <row r="630" spans="1:11" ht="18" customHeight="1" x14ac:dyDescent="0.2">
      <c r="A630" s="268">
        <f t="shared" si="62"/>
        <v>2021</v>
      </c>
      <c r="B630" s="286">
        <f t="shared" si="63"/>
        <v>8</v>
      </c>
      <c r="C630" s="319">
        <v>44437</v>
      </c>
      <c r="D630" s="319">
        <v>44437</v>
      </c>
      <c r="E630" s="287" t="s">
        <v>883</v>
      </c>
      <c r="F630" s="282">
        <v>6.34</v>
      </c>
      <c r="G630" s="282" t="s">
        <v>88</v>
      </c>
      <c r="H630" s="282" t="str">
        <f t="shared" si="64"/>
        <v>Variable</v>
      </c>
      <c r="I630" s="284">
        <f t="shared" si="65"/>
        <v>693.17999999999915</v>
      </c>
      <c r="J630" s="282" t="s">
        <v>912</v>
      </c>
      <c r="K630" s="282">
        <v>0</v>
      </c>
    </row>
    <row r="631" spans="1:11" ht="18" customHeight="1" x14ac:dyDescent="0.2">
      <c r="A631" s="268">
        <f t="shared" si="62"/>
        <v>2021</v>
      </c>
      <c r="B631" s="286">
        <f t="shared" si="63"/>
        <v>8</v>
      </c>
      <c r="C631" s="319">
        <v>44438</v>
      </c>
      <c r="D631" s="319">
        <v>44438</v>
      </c>
      <c r="E631" s="287" t="s">
        <v>336</v>
      </c>
      <c r="F631" s="282">
        <v>4.99</v>
      </c>
      <c r="G631" s="282" t="s">
        <v>67</v>
      </c>
      <c r="H631" s="282" t="str">
        <f t="shared" si="64"/>
        <v>Variable</v>
      </c>
      <c r="I631" s="284">
        <f t="shared" si="65"/>
        <v>698.16999999999916</v>
      </c>
      <c r="J631" s="282" t="s">
        <v>719</v>
      </c>
      <c r="K631" s="282" t="s">
        <v>688</v>
      </c>
    </row>
    <row r="632" spans="1:11" ht="18" customHeight="1" x14ac:dyDescent="0.2">
      <c r="A632" s="268">
        <f t="shared" si="62"/>
        <v>2021</v>
      </c>
      <c r="B632" s="286">
        <f t="shared" si="63"/>
        <v>8</v>
      </c>
      <c r="C632" s="319">
        <v>44438</v>
      </c>
      <c r="D632" s="319">
        <v>44438</v>
      </c>
      <c r="E632" s="287" t="s">
        <v>884</v>
      </c>
      <c r="F632" s="282">
        <v>27.23</v>
      </c>
      <c r="G632" s="282" t="s">
        <v>24</v>
      </c>
      <c r="H632" s="282" t="str">
        <f t="shared" si="64"/>
        <v>Variable</v>
      </c>
      <c r="I632" s="284">
        <f t="shared" si="65"/>
        <v>725.39999999999918</v>
      </c>
      <c r="J632" s="282" t="s">
        <v>912</v>
      </c>
      <c r="K632" s="282">
        <v>0</v>
      </c>
    </row>
    <row r="633" spans="1:11" ht="18" customHeight="1" x14ac:dyDescent="0.2">
      <c r="A633" s="268">
        <f t="shared" si="62"/>
        <v>2021</v>
      </c>
      <c r="B633" s="286">
        <f t="shared" si="63"/>
        <v>8</v>
      </c>
      <c r="C633" s="319">
        <v>44438</v>
      </c>
      <c r="D633" s="319">
        <v>44438</v>
      </c>
      <c r="E633" s="287" t="s">
        <v>885</v>
      </c>
      <c r="F633" s="282">
        <v>30</v>
      </c>
      <c r="G633" s="282" t="s">
        <v>41</v>
      </c>
      <c r="H633" s="282" t="str">
        <f t="shared" si="64"/>
        <v>Variable</v>
      </c>
      <c r="I633" s="284">
        <f t="shared" si="65"/>
        <v>755.39999999999918</v>
      </c>
      <c r="J633" s="282" t="s">
        <v>912</v>
      </c>
      <c r="K633" s="282">
        <v>0</v>
      </c>
    </row>
    <row r="634" spans="1:11" ht="18" customHeight="1" x14ac:dyDescent="0.2">
      <c r="A634" s="268">
        <f t="shared" si="62"/>
        <v>2021</v>
      </c>
      <c r="B634" s="286">
        <f t="shared" si="63"/>
        <v>8</v>
      </c>
      <c r="C634" s="319">
        <v>44438</v>
      </c>
      <c r="D634" s="319">
        <v>44438</v>
      </c>
      <c r="E634" s="287" t="s">
        <v>886</v>
      </c>
      <c r="F634" s="282">
        <v>1</v>
      </c>
      <c r="G634" s="282" t="s">
        <v>52</v>
      </c>
      <c r="H634" s="282" t="str">
        <f t="shared" si="64"/>
        <v>Variable</v>
      </c>
      <c r="I634" s="284">
        <f t="shared" si="65"/>
        <v>756.39999999999918</v>
      </c>
      <c r="J634" s="282" t="s">
        <v>912</v>
      </c>
      <c r="K634" s="282">
        <v>0</v>
      </c>
    </row>
    <row r="635" spans="1:11" ht="18" customHeight="1" x14ac:dyDescent="0.2">
      <c r="A635" s="268">
        <f t="shared" si="62"/>
        <v>2021</v>
      </c>
      <c r="B635" s="286">
        <f t="shared" si="63"/>
        <v>8</v>
      </c>
      <c r="C635" s="319">
        <v>44438</v>
      </c>
      <c r="D635" s="319">
        <v>44438</v>
      </c>
      <c r="E635" s="287" t="s">
        <v>887</v>
      </c>
      <c r="F635" s="282">
        <v>67.56</v>
      </c>
      <c r="G635" s="282" t="s">
        <v>52</v>
      </c>
      <c r="H635" s="282" t="str">
        <f t="shared" si="64"/>
        <v>Variable</v>
      </c>
      <c r="I635" s="284">
        <f t="shared" si="65"/>
        <v>823.95999999999913</v>
      </c>
      <c r="J635" s="282" t="s">
        <v>912</v>
      </c>
      <c r="K635" s="282">
        <v>0</v>
      </c>
    </row>
    <row r="636" spans="1:11" ht="18" customHeight="1" x14ac:dyDescent="0.2">
      <c r="A636" s="268">
        <f t="shared" si="62"/>
        <v>2021</v>
      </c>
      <c r="B636" s="286">
        <f t="shared" si="63"/>
        <v>8</v>
      </c>
      <c r="C636" s="319">
        <v>44439</v>
      </c>
      <c r="D636" s="319">
        <v>44439</v>
      </c>
      <c r="E636" s="287" t="s">
        <v>888</v>
      </c>
      <c r="F636" s="282">
        <v>5</v>
      </c>
      <c r="G636" s="282" t="s">
        <v>52</v>
      </c>
      <c r="H636" s="282" t="str">
        <f t="shared" si="64"/>
        <v>Variable</v>
      </c>
      <c r="I636" s="284">
        <f t="shared" si="65"/>
        <v>828.95999999999913</v>
      </c>
      <c r="J636" s="282" t="s">
        <v>912</v>
      </c>
      <c r="K636" s="282">
        <v>0</v>
      </c>
    </row>
    <row r="637" spans="1:11" ht="18" customHeight="1" x14ac:dyDescent="0.2">
      <c r="A637" s="268">
        <f t="shared" si="62"/>
        <v>2021</v>
      </c>
      <c r="B637" s="286">
        <f t="shared" si="63"/>
        <v>8</v>
      </c>
      <c r="C637" s="319">
        <v>44439</v>
      </c>
      <c r="D637" s="319">
        <v>44439</v>
      </c>
      <c r="E637" s="287" t="s">
        <v>883</v>
      </c>
      <c r="F637" s="282">
        <v>2.44</v>
      </c>
      <c r="G637" s="282" t="s">
        <v>88</v>
      </c>
      <c r="H637" s="282" t="str">
        <f t="shared" si="64"/>
        <v>Variable</v>
      </c>
      <c r="I637" s="284">
        <f t="shared" si="65"/>
        <v>831.39999999999918</v>
      </c>
      <c r="J637" s="282" t="s">
        <v>912</v>
      </c>
      <c r="K637" s="282">
        <v>0</v>
      </c>
    </row>
    <row r="638" spans="1:11" ht="18" customHeight="1" x14ac:dyDescent="0.2">
      <c r="A638" s="268">
        <f t="shared" si="62"/>
        <v>2021</v>
      </c>
      <c r="B638" s="286">
        <f t="shared" si="63"/>
        <v>8</v>
      </c>
      <c r="C638" s="319">
        <v>44439</v>
      </c>
      <c r="D638" s="319">
        <v>44439</v>
      </c>
      <c r="E638" s="287" t="s">
        <v>889</v>
      </c>
      <c r="F638" s="282">
        <v>15</v>
      </c>
      <c r="G638" s="282" t="s">
        <v>88</v>
      </c>
      <c r="H638" s="282" t="str">
        <f t="shared" si="64"/>
        <v>Variable</v>
      </c>
      <c r="I638" s="284">
        <f t="shared" si="65"/>
        <v>846.39999999999918</v>
      </c>
      <c r="J638" s="282" t="s">
        <v>912</v>
      </c>
      <c r="K638" s="282">
        <v>0</v>
      </c>
    </row>
    <row r="639" spans="1:11" ht="18" customHeight="1" x14ac:dyDescent="0.2">
      <c r="A639" s="268">
        <f t="shared" si="62"/>
        <v>2021</v>
      </c>
      <c r="B639" s="286">
        <f t="shared" si="63"/>
        <v>8</v>
      </c>
      <c r="C639" s="319">
        <v>44439</v>
      </c>
      <c r="D639" s="319">
        <v>44439</v>
      </c>
      <c r="E639" s="287" t="s">
        <v>890</v>
      </c>
      <c r="F639" s="282">
        <v>50</v>
      </c>
      <c r="G639" s="282" t="s">
        <v>41</v>
      </c>
      <c r="H639" s="282" t="str">
        <f t="shared" si="64"/>
        <v>Variable</v>
      </c>
      <c r="I639" s="284">
        <f t="shared" si="65"/>
        <v>896.39999999999918</v>
      </c>
      <c r="J639" s="282" t="s">
        <v>912</v>
      </c>
      <c r="K639" s="282">
        <v>0</v>
      </c>
    </row>
    <row r="640" spans="1:11" ht="18" customHeight="1" x14ac:dyDescent="0.2">
      <c r="A640" s="268">
        <f t="shared" si="62"/>
        <v>2021</v>
      </c>
      <c r="B640" s="286">
        <f t="shared" si="63"/>
        <v>8</v>
      </c>
      <c r="C640" s="319">
        <v>44439</v>
      </c>
      <c r="D640" s="319">
        <v>44439</v>
      </c>
      <c r="E640" s="287" t="s">
        <v>891</v>
      </c>
      <c r="F640" s="282">
        <v>1</v>
      </c>
      <c r="G640" s="282" t="s">
        <v>52</v>
      </c>
      <c r="H640" s="282" t="str">
        <f t="shared" si="64"/>
        <v>Variable</v>
      </c>
      <c r="I640" s="284">
        <f t="shared" si="65"/>
        <v>897.39999999999918</v>
      </c>
      <c r="J640" s="282" t="s">
        <v>912</v>
      </c>
      <c r="K640" s="282">
        <v>0</v>
      </c>
    </row>
    <row r="641" spans="1:11" ht="18" customHeight="1" x14ac:dyDescent="0.2">
      <c r="A641" s="268">
        <f t="shared" ref="A641:A665" si="66">YEAR(C641)</f>
        <v>2021</v>
      </c>
      <c r="B641" s="286">
        <f t="shared" ref="B641:B665" si="67">MONTH(C641)</f>
        <v>9</v>
      </c>
      <c r="C641" s="321">
        <v>44440</v>
      </c>
      <c r="D641" s="321">
        <v>44440</v>
      </c>
      <c r="E641" s="287" t="s">
        <v>883</v>
      </c>
      <c r="F641" s="282">
        <v>3.77</v>
      </c>
      <c r="G641" s="282" t="s">
        <v>88</v>
      </c>
      <c r="H641" s="282" t="str">
        <f t="shared" ref="H641:H665" si="68">VLOOKUP(G641,Expense_Lookup,2,0)</f>
        <v>Variable</v>
      </c>
      <c r="I641" s="284">
        <f t="shared" si="65"/>
        <v>901.16999999999916</v>
      </c>
      <c r="J641" s="282" t="s">
        <v>912</v>
      </c>
      <c r="K641" s="282">
        <v>0</v>
      </c>
    </row>
    <row r="642" spans="1:11" ht="18" customHeight="1" x14ac:dyDescent="0.2">
      <c r="A642" s="268">
        <f t="shared" si="66"/>
        <v>2021</v>
      </c>
      <c r="B642" s="286">
        <f t="shared" si="67"/>
        <v>9</v>
      </c>
      <c r="C642" s="321">
        <v>44440</v>
      </c>
      <c r="D642" s="321">
        <v>44440</v>
      </c>
      <c r="E642" s="287" t="s">
        <v>892</v>
      </c>
      <c r="F642" s="282">
        <v>14.83</v>
      </c>
      <c r="G642" s="282" t="s">
        <v>26</v>
      </c>
      <c r="H642" s="282" t="str">
        <f t="shared" si="68"/>
        <v>Fixed</v>
      </c>
      <c r="I642" s="284">
        <f t="shared" si="65"/>
        <v>915.9999999999992</v>
      </c>
      <c r="J642" s="282" t="s">
        <v>7</v>
      </c>
      <c r="K642" s="282">
        <v>0</v>
      </c>
    </row>
    <row r="643" spans="1:11" ht="18" customHeight="1" x14ac:dyDescent="0.2">
      <c r="A643" s="268">
        <f t="shared" si="66"/>
        <v>2021</v>
      </c>
      <c r="B643" s="286">
        <f t="shared" si="67"/>
        <v>9</v>
      </c>
      <c r="C643" s="321">
        <v>44440</v>
      </c>
      <c r="D643" s="321">
        <v>44440</v>
      </c>
      <c r="E643" s="287" t="s">
        <v>893</v>
      </c>
      <c r="F643" s="282">
        <v>9.99</v>
      </c>
      <c r="G643" s="282" t="s">
        <v>26</v>
      </c>
      <c r="H643" s="282" t="str">
        <f t="shared" si="68"/>
        <v>Fixed</v>
      </c>
      <c r="I643" s="284">
        <f t="shared" si="65"/>
        <v>925.98999999999921</v>
      </c>
      <c r="J643" s="282" t="s">
        <v>6</v>
      </c>
      <c r="K643" s="282">
        <v>0</v>
      </c>
    </row>
    <row r="644" spans="1:11" ht="18" customHeight="1" x14ac:dyDescent="0.2">
      <c r="A644" s="268">
        <f t="shared" si="66"/>
        <v>2021</v>
      </c>
      <c r="B644" s="286">
        <f t="shared" si="67"/>
        <v>9</v>
      </c>
      <c r="C644" s="321">
        <v>44440</v>
      </c>
      <c r="D644" s="321">
        <v>44442</v>
      </c>
      <c r="E644" s="287" t="s">
        <v>894</v>
      </c>
      <c r="F644" s="282">
        <v>5.41</v>
      </c>
      <c r="G644" s="282" t="s">
        <v>24</v>
      </c>
      <c r="H644" s="282" t="str">
        <f t="shared" si="68"/>
        <v>Variable</v>
      </c>
      <c r="I644" s="284">
        <f t="shared" ref="I644:I707" si="69">I643+F644</f>
        <v>931.39999999999918</v>
      </c>
      <c r="J644" s="282" t="s">
        <v>912</v>
      </c>
      <c r="K644" s="282">
        <v>0</v>
      </c>
    </row>
    <row r="645" spans="1:11" ht="18" customHeight="1" x14ac:dyDescent="0.2">
      <c r="A645" s="268">
        <f t="shared" si="66"/>
        <v>2021</v>
      </c>
      <c r="B645" s="286">
        <f t="shared" si="67"/>
        <v>9</v>
      </c>
      <c r="C645" s="321">
        <v>44440</v>
      </c>
      <c r="D645" s="321">
        <v>44442</v>
      </c>
      <c r="E645" s="287" t="s">
        <v>895</v>
      </c>
      <c r="F645" s="282">
        <v>15.37</v>
      </c>
      <c r="G645" s="282" t="s">
        <v>41</v>
      </c>
      <c r="H645" s="282" t="str">
        <f t="shared" si="68"/>
        <v>Variable</v>
      </c>
      <c r="I645" s="284">
        <f t="shared" si="69"/>
        <v>946.76999999999919</v>
      </c>
      <c r="J645" s="282" t="s">
        <v>912</v>
      </c>
      <c r="K645" s="282">
        <v>0</v>
      </c>
    </row>
    <row r="646" spans="1:11" ht="18" customHeight="1" x14ac:dyDescent="0.2">
      <c r="A646" s="268">
        <f t="shared" si="66"/>
        <v>2021</v>
      </c>
      <c r="B646" s="286">
        <f t="shared" si="67"/>
        <v>9</v>
      </c>
      <c r="C646" s="321">
        <v>44440</v>
      </c>
      <c r="D646" s="321">
        <v>44442</v>
      </c>
      <c r="E646" s="287" t="s">
        <v>896</v>
      </c>
      <c r="F646" s="282">
        <v>10</v>
      </c>
      <c r="G646" s="282" t="s">
        <v>52</v>
      </c>
      <c r="H646" s="282" t="str">
        <f t="shared" si="68"/>
        <v>Variable</v>
      </c>
      <c r="I646" s="284">
        <f t="shared" si="69"/>
        <v>956.76999999999919</v>
      </c>
      <c r="J646" s="282" t="s">
        <v>912</v>
      </c>
      <c r="K646" s="282">
        <v>0</v>
      </c>
    </row>
    <row r="647" spans="1:11" ht="18" customHeight="1" x14ac:dyDescent="0.2">
      <c r="A647" s="268">
        <f t="shared" si="66"/>
        <v>2021</v>
      </c>
      <c r="B647" s="286">
        <f t="shared" si="67"/>
        <v>9</v>
      </c>
      <c r="C647" s="321">
        <v>44440</v>
      </c>
      <c r="D647" s="321">
        <v>44442</v>
      </c>
      <c r="E647" s="287" t="s">
        <v>897</v>
      </c>
      <c r="F647" s="282">
        <v>80</v>
      </c>
      <c r="G647" s="282" t="s">
        <v>41</v>
      </c>
      <c r="H647" s="282" t="str">
        <f t="shared" si="68"/>
        <v>Variable</v>
      </c>
      <c r="I647" s="284">
        <f t="shared" si="69"/>
        <v>1036.7699999999991</v>
      </c>
      <c r="J647" s="282" t="s">
        <v>912</v>
      </c>
      <c r="K647" s="282">
        <v>0</v>
      </c>
    </row>
    <row r="648" spans="1:11" ht="18" customHeight="1" x14ac:dyDescent="0.2">
      <c r="A648" s="268">
        <f t="shared" si="66"/>
        <v>2021</v>
      </c>
      <c r="B648" s="286">
        <f t="shared" si="67"/>
        <v>9</v>
      </c>
      <c r="C648" s="321">
        <v>44441</v>
      </c>
      <c r="D648" s="321">
        <v>44442</v>
      </c>
      <c r="E648" s="287" t="s">
        <v>898</v>
      </c>
      <c r="F648" s="282">
        <v>40</v>
      </c>
      <c r="G648" s="282" t="s">
        <v>52</v>
      </c>
      <c r="H648" s="282" t="str">
        <f t="shared" si="68"/>
        <v>Variable</v>
      </c>
      <c r="I648" s="284">
        <f t="shared" si="69"/>
        <v>1076.7699999999991</v>
      </c>
      <c r="J648" s="282" t="s">
        <v>914</v>
      </c>
      <c r="K648" s="282">
        <v>0</v>
      </c>
    </row>
    <row r="649" spans="1:11" ht="18" customHeight="1" x14ac:dyDescent="0.2">
      <c r="A649" s="268">
        <f t="shared" si="66"/>
        <v>2021</v>
      </c>
      <c r="B649" s="286">
        <f t="shared" si="67"/>
        <v>9</v>
      </c>
      <c r="C649" s="321">
        <v>44441</v>
      </c>
      <c r="D649" s="321">
        <v>44442</v>
      </c>
      <c r="E649" s="287" t="s">
        <v>899</v>
      </c>
      <c r="F649" s="282">
        <v>11.64</v>
      </c>
      <c r="G649" s="282" t="s">
        <v>67</v>
      </c>
      <c r="H649" s="282" t="str">
        <f t="shared" si="68"/>
        <v>Variable</v>
      </c>
      <c r="I649" s="284">
        <f t="shared" si="69"/>
        <v>1088.4099999999992</v>
      </c>
      <c r="J649" s="282" t="s">
        <v>916</v>
      </c>
      <c r="K649" s="282">
        <v>0</v>
      </c>
    </row>
    <row r="650" spans="1:11" ht="18" customHeight="1" x14ac:dyDescent="0.2">
      <c r="A650" s="268">
        <f t="shared" si="66"/>
        <v>2021</v>
      </c>
      <c r="B650" s="286">
        <f t="shared" si="67"/>
        <v>9</v>
      </c>
      <c r="C650" s="321">
        <v>44441</v>
      </c>
      <c r="D650" s="321">
        <v>44442</v>
      </c>
      <c r="E650" s="287" t="s">
        <v>900</v>
      </c>
      <c r="F650" s="282">
        <v>20</v>
      </c>
      <c r="G650" s="282" t="s">
        <v>88</v>
      </c>
      <c r="H650" s="282" t="str">
        <f t="shared" si="68"/>
        <v>Variable</v>
      </c>
      <c r="I650" s="284">
        <f t="shared" si="69"/>
        <v>1108.4099999999992</v>
      </c>
      <c r="J650" s="282" t="s">
        <v>912</v>
      </c>
      <c r="K650" s="282">
        <v>0</v>
      </c>
    </row>
    <row r="651" spans="1:11" ht="18" customHeight="1" x14ac:dyDescent="0.2">
      <c r="A651" s="268">
        <f t="shared" si="66"/>
        <v>2021</v>
      </c>
      <c r="B651" s="286">
        <f t="shared" si="67"/>
        <v>9</v>
      </c>
      <c r="C651" s="321">
        <v>44441</v>
      </c>
      <c r="D651" s="321">
        <v>44442</v>
      </c>
      <c r="E651" s="287" t="s">
        <v>572</v>
      </c>
      <c r="F651" s="282">
        <v>10</v>
      </c>
      <c r="G651" s="282" t="s">
        <v>26</v>
      </c>
      <c r="H651" s="282" t="str">
        <f t="shared" si="68"/>
        <v>Fixed</v>
      </c>
      <c r="I651" s="284">
        <f t="shared" si="69"/>
        <v>1118.4099999999992</v>
      </c>
      <c r="J651" s="282" t="s">
        <v>296</v>
      </c>
      <c r="K651" s="282" t="s">
        <v>781</v>
      </c>
    </row>
    <row r="652" spans="1:11" ht="18" customHeight="1" x14ac:dyDescent="0.2">
      <c r="A652" s="268">
        <f t="shared" si="66"/>
        <v>2021</v>
      </c>
      <c r="B652" s="286">
        <f t="shared" si="67"/>
        <v>9</v>
      </c>
      <c r="C652" s="321">
        <v>44441</v>
      </c>
      <c r="D652" s="321">
        <v>44442</v>
      </c>
      <c r="E652" s="287" t="s">
        <v>901</v>
      </c>
      <c r="F652" s="282">
        <v>37.880000000000003</v>
      </c>
      <c r="G652" s="282" t="s">
        <v>67</v>
      </c>
      <c r="H652" s="282" t="str">
        <f t="shared" si="68"/>
        <v>Variable</v>
      </c>
      <c r="I652" s="284">
        <f t="shared" si="69"/>
        <v>1156.2899999999993</v>
      </c>
      <c r="J652" s="282" t="s">
        <v>912</v>
      </c>
      <c r="K652" s="282">
        <v>0</v>
      </c>
    </row>
    <row r="653" spans="1:11" ht="18" customHeight="1" x14ac:dyDescent="0.2">
      <c r="A653" s="268">
        <f t="shared" si="66"/>
        <v>2021</v>
      </c>
      <c r="B653" s="286">
        <f t="shared" si="67"/>
        <v>9</v>
      </c>
      <c r="C653" s="321">
        <v>44441</v>
      </c>
      <c r="D653" s="321">
        <v>44442</v>
      </c>
      <c r="E653" s="287" t="s">
        <v>883</v>
      </c>
      <c r="F653" s="282">
        <v>0.94</v>
      </c>
      <c r="G653" s="282" t="s">
        <v>88</v>
      </c>
      <c r="H653" s="282" t="str">
        <f t="shared" si="68"/>
        <v>Variable</v>
      </c>
      <c r="I653" s="284">
        <f t="shared" si="69"/>
        <v>1157.2299999999993</v>
      </c>
      <c r="J653" s="282" t="s">
        <v>912</v>
      </c>
      <c r="K653" s="282">
        <v>0</v>
      </c>
    </row>
    <row r="654" spans="1:11" ht="18" customHeight="1" x14ac:dyDescent="0.2">
      <c r="A654" s="268">
        <f t="shared" si="66"/>
        <v>2021</v>
      </c>
      <c r="B654" s="286">
        <f t="shared" si="67"/>
        <v>9</v>
      </c>
      <c r="C654" s="321">
        <v>44441</v>
      </c>
      <c r="D654" s="321">
        <v>44442</v>
      </c>
      <c r="E654" s="287" t="s">
        <v>883</v>
      </c>
      <c r="F654" s="282">
        <v>0.94</v>
      </c>
      <c r="G654" s="282" t="s">
        <v>88</v>
      </c>
      <c r="H654" s="282" t="str">
        <f t="shared" si="68"/>
        <v>Variable</v>
      </c>
      <c r="I654" s="284">
        <f t="shared" si="69"/>
        <v>1158.1699999999994</v>
      </c>
      <c r="J654" s="282" t="s">
        <v>912</v>
      </c>
      <c r="K654" s="282">
        <v>0</v>
      </c>
    </row>
    <row r="655" spans="1:11" ht="18" customHeight="1" x14ac:dyDescent="0.2">
      <c r="A655" s="268">
        <f t="shared" si="66"/>
        <v>2021</v>
      </c>
      <c r="B655" s="286">
        <f t="shared" si="67"/>
        <v>9</v>
      </c>
      <c r="C655" s="321">
        <v>44441</v>
      </c>
      <c r="D655" s="321">
        <v>44442</v>
      </c>
      <c r="E655" s="287" t="s">
        <v>883</v>
      </c>
      <c r="F655" s="282">
        <v>1.57</v>
      </c>
      <c r="G655" s="282" t="s">
        <v>88</v>
      </c>
      <c r="H655" s="282" t="str">
        <f t="shared" si="68"/>
        <v>Variable</v>
      </c>
      <c r="I655" s="284">
        <f t="shared" si="69"/>
        <v>1159.7399999999993</v>
      </c>
      <c r="J655" s="282" t="s">
        <v>912</v>
      </c>
      <c r="K655" s="282">
        <v>0</v>
      </c>
    </row>
    <row r="656" spans="1:11" ht="18" customHeight="1" x14ac:dyDescent="0.2">
      <c r="A656" s="268">
        <f t="shared" si="66"/>
        <v>2021</v>
      </c>
      <c r="B656" s="286">
        <f t="shared" si="67"/>
        <v>9</v>
      </c>
      <c r="C656" s="321">
        <v>44441</v>
      </c>
      <c r="D656" s="321">
        <v>44442</v>
      </c>
      <c r="E656" s="287" t="s">
        <v>902</v>
      </c>
      <c r="F656" s="282">
        <v>2.4500000000000002</v>
      </c>
      <c r="G656" s="282" t="s">
        <v>41</v>
      </c>
      <c r="H656" s="282" t="str">
        <f t="shared" si="68"/>
        <v>Variable</v>
      </c>
      <c r="I656" s="284">
        <f t="shared" si="69"/>
        <v>1162.1899999999994</v>
      </c>
      <c r="J656" s="282" t="s">
        <v>912</v>
      </c>
      <c r="K656" s="282">
        <v>0</v>
      </c>
    </row>
    <row r="657" spans="1:11" ht="18" customHeight="1" x14ac:dyDescent="0.2">
      <c r="A657" s="268">
        <f t="shared" si="66"/>
        <v>2021</v>
      </c>
      <c r="B657" s="286">
        <f t="shared" si="67"/>
        <v>9</v>
      </c>
      <c r="C657" s="321">
        <v>44441</v>
      </c>
      <c r="D657" s="321">
        <v>44442</v>
      </c>
      <c r="E657" s="287" t="s">
        <v>903</v>
      </c>
      <c r="F657" s="282">
        <v>9</v>
      </c>
      <c r="G657" s="282" t="s">
        <v>88</v>
      </c>
      <c r="H657" s="282" t="str">
        <f t="shared" si="68"/>
        <v>Variable</v>
      </c>
      <c r="I657" s="284">
        <f t="shared" si="69"/>
        <v>1171.1899999999994</v>
      </c>
      <c r="J657" s="282" t="s">
        <v>912</v>
      </c>
      <c r="K657" s="282">
        <v>0</v>
      </c>
    </row>
    <row r="658" spans="1:11" ht="18" customHeight="1" x14ac:dyDescent="0.2">
      <c r="A658" s="268">
        <f t="shared" si="66"/>
        <v>2021</v>
      </c>
      <c r="B658" s="286">
        <f t="shared" si="67"/>
        <v>9</v>
      </c>
      <c r="C658" s="321">
        <v>44441</v>
      </c>
      <c r="D658" s="321">
        <v>44442</v>
      </c>
      <c r="E658" s="287" t="s">
        <v>903</v>
      </c>
      <c r="F658" s="282">
        <v>31</v>
      </c>
      <c r="G658" s="282" t="s">
        <v>88</v>
      </c>
      <c r="H658" s="282" t="str">
        <f t="shared" si="68"/>
        <v>Variable</v>
      </c>
      <c r="I658" s="284">
        <f t="shared" si="69"/>
        <v>1202.1899999999994</v>
      </c>
      <c r="J658" s="282" t="s">
        <v>912</v>
      </c>
      <c r="K658" s="282">
        <v>0</v>
      </c>
    </row>
    <row r="659" spans="1:11" ht="18" customHeight="1" x14ac:dyDescent="0.2">
      <c r="A659" s="268">
        <f t="shared" si="66"/>
        <v>2021</v>
      </c>
      <c r="B659" s="286">
        <f t="shared" si="67"/>
        <v>9</v>
      </c>
      <c r="C659" s="321">
        <v>44441</v>
      </c>
      <c r="D659" s="321">
        <v>44442</v>
      </c>
      <c r="E659" s="287" t="s">
        <v>904</v>
      </c>
      <c r="F659" s="282">
        <v>47.5</v>
      </c>
      <c r="G659" s="282" t="s">
        <v>88</v>
      </c>
      <c r="H659" s="282" t="str">
        <f t="shared" si="68"/>
        <v>Variable</v>
      </c>
      <c r="I659" s="284">
        <f t="shared" si="69"/>
        <v>1249.6899999999994</v>
      </c>
      <c r="J659" s="282" t="s">
        <v>912</v>
      </c>
      <c r="K659" s="282">
        <v>0</v>
      </c>
    </row>
    <row r="660" spans="1:11" ht="18" customHeight="1" x14ac:dyDescent="0.2">
      <c r="A660" s="268">
        <f t="shared" si="66"/>
        <v>2021</v>
      </c>
      <c r="B660" s="286">
        <f t="shared" si="67"/>
        <v>9</v>
      </c>
      <c r="C660" s="321">
        <v>44441</v>
      </c>
      <c r="D660" s="321">
        <v>44442</v>
      </c>
      <c r="E660" s="287" t="s">
        <v>905</v>
      </c>
      <c r="F660" s="282">
        <v>6.72</v>
      </c>
      <c r="G660" s="282" t="s">
        <v>88</v>
      </c>
      <c r="H660" s="282" t="str">
        <f t="shared" si="68"/>
        <v>Variable</v>
      </c>
      <c r="I660" s="284">
        <f t="shared" si="69"/>
        <v>1256.4099999999994</v>
      </c>
      <c r="J660" s="282" t="s">
        <v>912</v>
      </c>
      <c r="K660" s="282">
        <v>0</v>
      </c>
    </row>
    <row r="661" spans="1:11" ht="18" customHeight="1" x14ac:dyDescent="0.2">
      <c r="A661" s="268">
        <f t="shared" si="66"/>
        <v>2021</v>
      </c>
      <c r="B661" s="286">
        <f t="shared" si="67"/>
        <v>9</v>
      </c>
      <c r="C661" s="321">
        <v>44442</v>
      </c>
      <c r="D661" s="321">
        <v>44442</v>
      </c>
      <c r="E661" s="287" t="s">
        <v>906</v>
      </c>
      <c r="F661" s="282">
        <v>39.69</v>
      </c>
      <c r="G661" s="282" t="s">
        <v>24</v>
      </c>
      <c r="H661" s="282" t="str">
        <f t="shared" si="68"/>
        <v>Variable</v>
      </c>
      <c r="I661" s="284">
        <f t="shared" si="69"/>
        <v>1296.0999999999995</v>
      </c>
      <c r="J661" s="282" t="s">
        <v>912</v>
      </c>
      <c r="K661" s="282">
        <v>0</v>
      </c>
    </row>
    <row r="662" spans="1:11" ht="18" customHeight="1" x14ac:dyDescent="0.2">
      <c r="A662" s="268">
        <f t="shared" si="66"/>
        <v>2021</v>
      </c>
      <c r="B662" s="286">
        <f t="shared" si="67"/>
        <v>9</v>
      </c>
      <c r="C662" s="321">
        <v>44442</v>
      </c>
      <c r="D662" s="321">
        <v>44442</v>
      </c>
      <c r="E662" s="287" t="s">
        <v>907</v>
      </c>
      <c r="F662" s="282">
        <v>18.059999999999999</v>
      </c>
      <c r="G662" s="282" t="s">
        <v>24</v>
      </c>
      <c r="H662" s="282" t="str">
        <f t="shared" si="68"/>
        <v>Variable</v>
      </c>
      <c r="I662" s="284">
        <f t="shared" si="69"/>
        <v>1314.1599999999994</v>
      </c>
      <c r="J662" s="282" t="s">
        <v>912</v>
      </c>
      <c r="K662" s="282">
        <v>0</v>
      </c>
    </row>
    <row r="663" spans="1:11" ht="18" customHeight="1" x14ac:dyDescent="0.2">
      <c r="A663" s="268">
        <f t="shared" si="66"/>
        <v>2021</v>
      </c>
      <c r="B663" s="286">
        <f t="shared" si="67"/>
        <v>9</v>
      </c>
      <c r="C663" s="321">
        <v>44442</v>
      </c>
      <c r="D663" s="321">
        <v>44442</v>
      </c>
      <c r="E663" s="287" t="s">
        <v>908</v>
      </c>
      <c r="F663" s="282">
        <v>4</v>
      </c>
      <c r="G663" s="282" t="s">
        <v>52</v>
      </c>
      <c r="H663" s="282" t="str">
        <f t="shared" si="68"/>
        <v>Variable</v>
      </c>
      <c r="I663" s="284">
        <f t="shared" si="69"/>
        <v>1318.1599999999994</v>
      </c>
      <c r="J663" s="282" t="s">
        <v>912</v>
      </c>
      <c r="K663" s="282">
        <v>0</v>
      </c>
    </row>
    <row r="664" spans="1:11" ht="18" customHeight="1" x14ac:dyDescent="0.2">
      <c r="A664" s="268">
        <f t="shared" si="66"/>
        <v>2021</v>
      </c>
      <c r="B664" s="286">
        <f t="shared" si="67"/>
        <v>9</v>
      </c>
      <c r="C664" s="321">
        <v>44442</v>
      </c>
      <c r="D664" s="321">
        <v>44442</v>
      </c>
      <c r="E664" s="287" t="s">
        <v>180</v>
      </c>
      <c r="F664" s="282">
        <v>11.99</v>
      </c>
      <c r="G664" s="282" t="s">
        <v>26</v>
      </c>
      <c r="H664" s="282" t="str">
        <f t="shared" si="68"/>
        <v>Fixed</v>
      </c>
      <c r="I664" s="284">
        <f t="shared" si="69"/>
        <v>1330.1499999999994</v>
      </c>
      <c r="J664" s="282" t="s">
        <v>295</v>
      </c>
      <c r="K664" s="282" t="s">
        <v>781</v>
      </c>
    </row>
    <row r="665" spans="1:11" ht="18" customHeight="1" x14ac:dyDescent="0.2">
      <c r="A665" s="268">
        <f t="shared" si="66"/>
        <v>2021</v>
      </c>
      <c r="B665" s="286">
        <f t="shared" si="67"/>
        <v>9</v>
      </c>
      <c r="C665" s="321">
        <v>44442</v>
      </c>
      <c r="D665" s="321">
        <v>44442</v>
      </c>
      <c r="E665" s="287" t="s">
        <v>909</v>
      </c>
      <c r="F665" s="282">
        <v>35.380000000000003</v>
      </c>
      <c r="G665" s="282" t="s">
        <v>24</v>
      </c>
      <c r="H665" s="282" t="str">
        <f t="shared" si="68"/>
        <v>Variable</v>
      </c>
      <c r="I665" s="284">
        <f t="shared" si="69"/>
        <v>1365.5299999999995</v>
      </c>
      <c r="J665" s="282" t="s">
        <v>912</v>
      </c>
      <c r="K665" s="282">
        <v>0</v>
      </c>
    </row>
    <row r="666" spans="1:11" ht="18" customHeight="1" x14ac:dyDescent="0.2">
      <c r="A666" s="268">
        <f t="shared" ref="A666:A729" si="70">YEAR(C666)</f>
        <v>2021</v>
      </c>
      <c r="B666" s="286">
        <f t="shared" ref="B666:B729" si="71">MONTH(C666)</f>
        <v>9</v>
      </c>
      <c r="C666" s="321">
        <v>44442</v>
      </c>
      <c r="D666" s="321">
        <v>44442</v>
      </c>
      <c r="E666" s="287" t="s">
        <v>32</v>
      </c>
      <c r="F666" s="282">
        <v>68.52</v>
      </c>
      <c r="G666" s="282" t="s">
        <v>26</v>
      </c>
      <c r="H666" s="282" t="str">
        <f t="shared" ref="H666:H730" si="72">VLOOKUP(G666,Expense_Lookup,2,0)</f>
        <v>Fixed</v>
      </c>
      <c r="I666" s="284">
        <f t="shared" si="69"/>
        <v>1434.0499999999995</v>
      </c>
      <c r="J666" s="282" t="s">
        <v>8</v>
      </c>
      <c r="K666" s="282" t="s">
        <v>628</v>
      </c>
    </row>
    <row r="667" spans="1:11" ht="18" customHeight="1" x14ac:dyDescent="0.2">
      <c r="A667" s="268">
        <f t="shared" si="70"/>
        <v>2021</v>
      </c>
      <c r="B667" s="286">
        <f t="shared" si="71"/>
        <v>9</v>
      </c>
      <c r="C667" s="321">
        <v>44442</v>
      </c>
      <c r="D667" s="321">
        <v>44442</v>
      </c>
      <c r="E667" s="287" t="s">
        <v>910</v>
      </c>
      <c r="F667" s="282">
        <v>125.03</v>
      </c>
      <c r="G667" s="282" t="s">
        <v>41</v>
      </c>
      <c r="H667" s="282" t="str">
        <f t="shared" si="72"/>
        <v>Variable</v>
      </c>
      <c r="I667" s="284">
        <f t="shared" si="69"/>
        <v>1559.0799999999995</v>
      </c>
      <c r="J667" s="282" t="s">
        <v>912</v>
      </c>
      <c r="K667" s="282">
        <v>0</v>
      </c>
    </row>
    <row r="668" spans="1:11" ht="18" customHeight="1" x14ac:dyDescent="0.2">
      <c r="A668" s="268">
        <f t="shared" si="70"/>
        <v>2021</v>
      </c>
      <c r="B668" s="286">
        <f t="shared" si="71"/>
        <v>9</v>
      </c>
      <c r="C668" s="321">
        <v>44443</v>
      </c>
      <c r="D668" s="321">
        <v>44443</v>
      </c>
      <c r="E668" s="287" t="s">
        <v>911</v>
      </c>
      <c r="F668" s="282">
        <v>93.71</v>
      </c>
      <c r="G668" s="282" t="s">
        <v>129</v>
      </c>
      <c r="H668" s="282" t="str">
        <f t="shared" si="72"/>
        <v>Fixed</v>
      </c>
      <c r="I668" s="284">
        <f t="shared" si="69"/>
        <v>1652.7899999999995</v>
      </c>
      <c r="J668" s="282" t="s">
        <v>912</v>
      </c>
      <c r="K668" s="282">
        <v>0</v>
      </c>
    </row>
    <row r="669" spans="1:11" ht="18" customHeight="1" x14ac:dyDescent="0.2">
      <c r="A669" s="268">
        <f t="shared" si="70"/>
        <v>2021</v>
      </c>
      <c r="B669" s="286">
        <f t="shared" si="71"/>
        <v>9</v>
      </c>
      <c r="C669" s="321">
        <v>44444</v>
      </c>
      <c r="D669" s="321">
        <v>44444</v>
      </c>
      <c r="E669" s="287" t="s">
        <v>21</v>
      </c>
      <c r="F669" s="307">
        <v>-1253.96</v>
      </c>
      <c r="G669" s="282" t="s">
        <v>22</v>
      </c>
      <c r="H669" s="282" t="str">
        <f t="shared" si="72"/>
        <v>Payment</v>
      </c>
      <c r="I669" s="284">
        <f t="shared" si="69"/>
        <v>398.82999999999947</v>
      </c>
      <c r="J669" s="282">
        <v>0</v>
      </c>
      <c r="K669" s="282">
        <v>0</v>
      </c>
    </row>
    <row r="670" spans="1:11" ht="18" customHeight="1" x14ac:dyDescent="0.2">
      <c r="A670" s="268">
        <f t="shared" si="70"/>
        <v>2021</v>
      </c>
      <c r="B670" s="286">
        <f t="shared" si="71"/>
        <v>9</v>
      </c>
      <c r="C670" s="321">
        <v>44444</v>
      </c>
      <c r="D670" s="321">
        <v>44444</v>
      </c>
      <c r="E670" s="322" t="s">
        <v>929</v>
      </c>
      <c r="F670" s="282">
        <v>10</v>
      </c>
      <c r="G670" s="282" t="s">
        <v>52</v>
      </c>
      <c r="H670" s="282" t="str">
        <f t="shared" si="72"/>
        <v>Variable</v>
      </c>
      <c r="I670" s="284">
        <f t="shared" si="69"/>
        <v>408.82999999999947</v>
      </c>
      <c r="J670" s="282">
        <v>0</v>
      </c>
      <c r="K670" s="282">
        <v>0</v>
      </c>
    </row>
    <row r="671" spans="1:11" ht="18" customHeight="1" x14ac:dyDescent="0.2">
      <c r="A671" s="268">
        <f t="shared" si="70"/>
        <v>2021</v>
      </c>
      <c r="B671" s="286">
        <f t="shared" si="71"/>
        <v>9</v>
      </c>
      <c r="C671" s="321">
        <v>44444</v>
      </c>
      <c r="D671" s="321">
        <v>44444</v>
      </c>
      <c r="E671" s="287" t="s">
        <v>930</v>
      </c>
      <c r="F671" s="282">
        <v>29.12</v>
      </c>
      <c r="G671" s="282" t="s">
        <v>24</v>
      </c>
      <c r="H671" s="282" t="str">
        <f t="shared" si="72"/>
        <v>Variable</v>
      </c>
      <c r="I671" s="284">
        <f t="shared" si="69"/>
        <v>437.94999999999948</v>
      </c>
      <c r="J671" s="282">
        <v>0</v>
      </c>
      <c r="K671" s="282">
        <v>0</v>
      </c>
    </row>
    <row r="672" spans="1:11" ht="18" customHeight="1" x14ac:dyDescent="0.2">
      <c r="A672" s="268">
        <f t="shared" si="70"/>
        <v>2021</v>
      </c>
      <c r="B672" s="286">
        <f t="shared" si="71"/>
        <v>9</v>
      </c>
      <c r="C672" s="321">
        <v>44444</v>
      </c>
      <c r="D672" s="321">
        <v>44444</v>
      </c>
      <c r="E672" s="322" t="s">
        <v>931</v>
      </c>
      <c r="F672" s="282">
        <v>80</v>
      </c>
      <c r="G672" s="282" t="s">
        <v>41</v>
      </c>
      <c r="H672" s="282" t="str">
        <f t="shared" si="72"/>
        <v>Variable</v>
      </c>
      <c r="I672" s="284">
        <f t="shared" si="69"/>
        <v>517.94999999999948</v>
      </c>
      <c r="J672" s="282">
        <v>0</v>
      </c>
      <c r="K672" s="282">
        <v>0</v>
      </c>
    </row>
    <row r="673" spans="1:11" ht="18" customHeight="1" x14ac:dyDescent="0.2">
      <c r="A673" s="268">
        <f t="shared" si="70"/>
        <v>2021</v>
      </c>
      <c r="B673" s="286">
        <f t="shared" si="71"/>
        <v>9</v>
      </c>
      <c r="C673" s="321">
        <v>44444</v>
      </c>
      <c r="D673" s="321">
        <v>44444</v>
      </c>
      <c r="E673" s="287" t="s">
        <v>932</v>
      </c>
      <c r="F673" s="282">
        <v>28.16</v>
      </c>
      <c r="G673" s="282" t="s">
        <v>67</v>
      </c>
      <c r="H673" s="282" t="str">
        <f t="shared" si="72"/>
        <v>Variable</v>
      </c>
      <c r="I673" s="284">
        <f t="shared" si="69"/>
        <v>546.10999999999945</v>
      </c>
      <c r="J673" s="282">
        <v>0</v>
      </c>
      <c r="K673" s="282">
        <v>0</v>
      </c>
    </row>
    <row r="674" spans="1:11" ht="18" customHeight="1" x14ac:dyDescent="0.2">
      <c r="A674" s="268">
        <f t="shared" si="70"/>
        <v>2021</v>
      </c>
      <c r="B674" s="286">
        <f t="shared" si="71"/>
        <v>9</v>
      </c>
      <c r="C674" s="321">
        <v>44445</v>
      </c>
      <c r="D674" s="321">
        <v>44445</v>
      </c>
      <c r="E674" s="287" t="s">
        <v>933</v>
      </c>
      <c r="F674" s="282">
        <v>14.99</v>
      </c>
      <c r="G674" s="282" t="s">
        <v>67</v>
      </c>
      <c r="H674" s="282" t="str">
        <f t="shared" si="72"/>
        <v>Variable</v>
      </c>
      <c r="I674" s="284">
        <f t="shared" si="69"/>
        <v>561.09999999999945</v>
      </c>
      <c r="J674" s="282" t="s">
        <v>1008</v>
      </c>
      <c r="K674" s="282">
        <v>0</v>
      </c>
    </row>
    <row r="675" spans="1:11" ht="18" customHeight="1" x14ac:dyDescent="0.2">
      <c r="A675" s="268">
        <f t="shared" si="70"/>
        <v>2021</v>
      </c>
      <c r="B675" s="286">
        <f t="shared" si="71"/>
        <v>9</v>
      </c>
      <c r="C675" s="321">
        <v>44445</v>
      </c>
      <c r="D675" s="321">
        <v>44445</v>
      </c>
      <c r="E675" s="287" t="s">
        <v>934</v>
      </c>
      <c r="F675" s="282">
        <v>60</v>
      </c>
      <c r="G675" s="282" t="s">
        <v>41</v>
      </c>
      <c r="H675" s="282" t="str">
        <f t="shared" si="72"/>
        <v>Variable</v>
      </c>
      <c r="I675" s="284">
        <f t="shared" si="69"/>
        <v>621.09999999999945</v>
      </c>
      <c r="J675" s="282">
        <v>0</v>
      </c>
      <c r="K675" s="282">
        <v>0</v>
      </c>
    </row>
    <row r="676" spans="1:11" ht="18" customHeight="1" x14ac:dyDescent="0.2">
      <c r="A676" s="268">
        <f t="shared" si="70"/>
        <v>2021</v>
      </c>
      <c r="B676" s="286">
        <f t="shared" si="71"/>
        <v>9</v>
      </c>
      <c r="C676" s="321">
        <v>44446</v>
      </c>
      <c r="D676" s="321">
        <v>44446</v>
      </c>
      <c r="E676" s="287" t="s">
        <v>935</v>
      </c>
      <c r="F676" s="282">
        <v>27.15</v>
      </c>
      <c r="G676" s="282" t="s">
        <v>67</v>
      </c>
      <c r="H676" s="282" t="str">
        <f t="shared" si="72"/>
        <v>Variable</v>
      </c>
      <c r="I676" s="284">
        <f t="shared" si="69"/>
        <v>648.24999999999943</v>
      </c>
      <c r="J676" s="282" t="s">
        <v>1009</v>
      </c>
      <c r="K676" s="282">
        <v>0</v>
      </c>
    </row>
    <row r="677" spans="1:11" ht="18" customHeight="1" x14ac:dyDescent="0.2">
      <c r="A677" s="268">
        <f t="shared" si="70"/>
        <v>2021</v>
      </c>
      <c r="B677" s="286">
        <f t="shared" si="71"/>
        <v>9</v>
      </c>
      <c r="C677" s="321">
        <v>44446</v>
      </c>
      <c r="D677" s="321">
        <v>44446</v>
      </c>
      <c r="E677" s="287" t="s">
        <v>936</v>
      </c>
      <c r="F677" s="282">
        <v>30.94</v>
      </c>
      <c r="G677" s="282" t="s">
        <v>67</v>
      </c>
      <c r="H677" s="282" t="str">
        <f t="shared" si="72"/>
        <v>Variable</v>
      </c>
      <c r="I677" s="284">
        <f t="shared" si="69"/>
        <v>679.18999999999949</v>
      </c>
      <c r="J677" s="282">
        <v>0</v>
      </c>
      <c r="K677" s="282">
        <v>0</v>
      </c>
    </row>
    <row r="678" spans="1:11" ht="18" customHeight="1" x14ac:dyDescent="0.2">
      <c r="A678" s="268">
        <f t="shared" si="70"/>
        <v>2021</v>
      </c>
      <c r="B678" s="286">
        <f t="shared" si="71"/>
        <v>9</v>
      </c>
      <c r="C678" s="321">
        <v>44446</v>
      </c>
      <c r="D678" s="321">
        <v>44446</v>
      </c>
      <c r="E678" s="287" t="s">
        <v>937</v>
      </c>
      <c r="F678" s="282">
        <v>122.55</v>
      </c>
      <c r="G678" s="282" t="s">
        <v>67</v>
      </c>
      <c r="H678" s="282" t="str">
        <f t="shared" si="72"/>
        <v>Variable</v>
      </c>
      <c r="I678" s="284">
        <f t="shared" si="69"/>
        <v>801.73999999999944</v>
      </c>
      <c r="J678" s="282">
        <v>0</v>
      </c>
      <c r="K678" s="282">
        <v>0</v>
      </c>
    </row>
    <row r="679" spans="1:11" ht="18" customHeight="1" x14ac:dyDescent="0.2">
      <c r="A679" s="268">
        <f t="shared" si="70"/>
        <v>2021</v>
      </c>
      <c r="B679" s="286">
        <f t="shared" si="71"/>
        <v>9</v>
      </c>
      <c r="C679" s="321">
        <v>44447</v>
      </c>
      <c r="D679" s="321">
        <v>44447</v>
      </c>
      <c r="E679" s="287" t="s">
        <v>938</v>
      </c>
      <c r="F679" s="282">
        <v>2.97</v>
      </c>
      <c r="G679" s="282" t="s">
        <v>41</v>
      </c>
      <c r="H679" s="282" t="str">
        <f t="shared" si="72"/>
        <v>Variable</v>
      </c>
      <c r="I679" s="284">
        <f t="shared" si="69"/>
        <v>804.70999999999947</v>
      </c>
      <c r="J679" s="282">
        <v>0</v>
      </c>
      <c r="K679" s="282">
        <v>0</v>
      </c>
    </row>
    <row r="680" spans="1:11" ht="18" customHeight="1" x14ac:dyDescent="0.2">
      <c r="A680" s="268">
        <f t="shared" si="70"/>
        <v>2021</v>
      </c>
      <c r="B680" s="286">
        <f t="shared" si="71"/>
        <v>9</v>
      </c>
      <c r="C680" s="321">
        <v>44447</v>
      </c>
      <c r="D680" s="321">
        <v>44447</v>
      </c>
      <c r="E680" s="287" t="s">
        <v>938</v>
      </c>
      <c r="F680" s="282">
        <v>8.64</v>
      </c>
      <c r="G680" s="282" t="s">
        <v>41</v>
      </c>
      <c r="H680" s="282" t="str">
        <f t="shared" si="72"/>
        <v>Variable</v>
      </c>
      <c r="I680" s="284">
        <f t="shared" si="69"/>
        <v>813.34999999999945</v>
      </c>
      <c r="J680" s="282">
        <v>0</v>
      </c>
      <c r="K680" s="282">
        <v>0</v>
      </c>
    </row>
    <row r="681" spans="1:11" ht="18" customHeight="1" x14ac:dyDescent="0.2">
      <c r="A681" s="268">
        <f t="shared" si="70"/>
        <v>2021</v>
      </c>
      <c r="B681" s="286">
        <f t="shared" si="71"/>
        <v>9</v>
      </c>
      <c r="C681" s="321">
        <v>44447</v>
      </c>
      <c r="D681" s="321">
        <v>44447</v>
      </c>
      <c r="E681" s="287" t="s">
        <v>336</v>
      </c>
      <c r="F681" s="282">
        <v>11</v>
      </c>
      <c r="G681" s="282" t="s">
        <v>67</v>
      </c>
      <c r="H681" s="282" t="str">
        <f t="shared" si="72"/>
        <v>Variable</v>
      </c>
      <c r="I681" s="284">
        <f t="shared" si="69"/>
        <v>824.34999999999945</v>
      </c>
      <c r="J681" s="282" t="s">
        <v>719</v>
      </c>
      <c r="K681" s="282" t="s">
        <v>688</v>
      </c>
    </row>
    <row r="682" spans="1:11" ht="18" customHeight="1" x14ac:dyDescent="0.2">
      <c r="A682" s="268">
        <f t="shared" si="70"/>
        <v>2021</v>
      </c>
      <c r="B682" s="286">
        <f t="shared" si="71"/>
        <v>9</v>
      </c>
      <c r="C682" s="321">
        <v>44447</v>
      </c>
      <c r="D682" s="321">
        <v>44447</v>
      </c>
      <c r="E682" s="287" t="s">
        <v>939</v>
      </c>
      <c r="F682" s="282">
        <v>53</v>
      </c>
      <c r="G682" s="282" t="s">
        <v>67</v>
      </c>
      <c r="H682" s="282" t="str">
        <f t="shared" si="72"/>
        <v>Variable</v>
      </c>
      <c r="I682" s="284">
        <f t="shared" si="69"/>
        <v>877.34999999999945</v>
      </c>
      <c r="J682" s="282">
        <v>0</v>
      </c>
      <c r="K682" s="282">
        <v>0</v>
      </c>
    </row>
    <row r="683" spans="1:11" ht="18" customHeight="1" x14ac:dyDescent="0.2">
      <c r="A683" s="268">
        <f t="shared" si="70"/>
        <v>2021</v>
      </c>
      <c r="B683" s="286">
        <f t="shared" si="71"/>
        <v>9</v>
      </c>
      <c r="C683" s="321">
        <v>44447</v>
      </c>
      <c r="D683" s="321">
        <v>44447</v>
      </c>
      <c r="E683" s="287" t="s">
        <v>229</v>
      </c>
      <c r="F683" s="282">
        <v>25.58</v>
      </c>
      <c r="G683" s="282" t="s">
        <v>88</v>
      </c>
      <c r="H683" s="282" t="str">
        <f t="shared" si="72"/>
        <v>Variable</v>
      </c>
      <c r="I683" s="284">
        <f t="shared" si="69"/>
        <v>902.9299999999995</v>
      </c>
      <c r="J683" s="282">
        <v>0</v>
      </c>
      <c r="K683" s="282" t="s">
        <v>627</v>
      </c>
    </row>
    <row r="684" spans="1:11" ht="18" customHeight="1" x14ac:dyDescent="0.2">
      <c r="A684" s="268">
        <f t="shared" si="70"/>
        <v>2021</v>
      </c>
      <c r="B684" s="286">
        <f t="shared" si="71"/>
        <v>9</v>
      </c>
      <c r="C684" s="321">
        <v>44447</v>
      </c>
      <c r="D684" s="321">
        <v>44447</v>
      </c>
      <c r="E684" s="287" t="s">
        <v>940</v>
      </c>
      <c r="F684" s="282">
        <v>86.25</v>
      </c>
      <c r="G684" s="282" t="s">
        <v>26</v>
      </c>
      <c r="H684" s="282" t="str">
        <f t="shared" si="72"/>
        <v>Fixed</v>
      </c>
      <c r="I684" s="284">
        <f t="shared" si="69"/>
        <v>989.1799999999995</v>
      </c>
      <c r="J684" s="282" t="s">
        <v>293</v>
      </c>
      <c r="K684" s="282">
        <v>0</v>
      </c>
    </row>
    <row r="685" spans="1:11" ht="18" customHeight="1" x14ac:dyDescent="0.2">
      <c r="A685" s="268">
        <f t="shared" si="70"/>
        <v>2021</v>
      </c>
      <c r="B685" s="286">
        <f t="shared" si="71"/>
        <v>9</v>
      </c>
      <c r="C685" s="321">
        <v>44448</v>
      </c>
      <c r="D685" s="321">
        <v>44448</v>
      </c>
      <c r="E685" s="287" t="s">
        <v>941</v>
      </c>
      <c r="F685" s="282">
        <v>8.59</v>
      </c>
      <c r="G685" s="282" t="s">
        <v>41</v>
      </c>
      <c r="H685" s="282" t="str">
        <f t="shared" si="72"/>
        <v>Variable</v>
      </c>
      <c r="I685" s="284">
        <f t="shared" si="69"/>
        <v>997.76999999999953</v>
      </c>
      <c r="J685" s="282">
        <v>0</v>
      </c>
      <c r="K685" s="282">
        <v>0</v>
      </c>
    </row>
    <row r="686" spans="1:11" ht="18" customHeight="1" x14ac:dyDescent="0.2">
      <c r="A686" s="268">
        <f t="shared" si="70"/>
        <v>2021</v>
      </c>
      <c r="B686" s="286">
        <f t="shared" si="71"/>
        <v>9</v>
      </c>
      <c r="C686" s="321">
        <v>44448</v>
      </c>
      <c r="D686" s="321">
        <v>44448</v>
      </c>
      <c r="E686" s="287" t="s">
        <v>942</v>
      </c>
      <c r="F686" s="282">
        <v>28.76</v>
      </c>
      <c r="G686" s="282" t="s">
        <v>24</v>
      </c>
      <c r="H686" s="282" t="str">
        <f t="shared" si="72"/>
        <v>Variable</v>
      </c>
      <c r="I686" s="284">
        <f t="shared" si="69"/>
        <v>1026.5299999999995</v>
      </c>
      <c r="J686" s="282">
        <v>0</v>
      </c>
      <c r="K686" s="282">
        <v>0</v>
      </c>
    </row>
    <row r="687" spans="1:11" ht="18" customHeight="1" x14ac:dyDescent="0.2">
      <c r="A687" s="268">
        <f t="shared" si="70"/>
        <v>2021</v>
      </c>
      <c r="B687" s="286">
        <f t="shared" si="71"/>
        <v>9</v>
      </c>
      <c r="C687" s="321">
        <v>44448</v>
      </c>
      <c r="D687" s="321">
        <v>44448</v>
      </c>
      <c r="E687" s="287" t="s">
        <v>943</v>
      </c>
      <c r="F687" s="282">
        <v>48.5</v>
      </c>
      <c r="G687" s="282" t="s">
        <v>41</v>
      </c>
      <c r="H687" s="282" t="str">
        <f t="shared" si="72"/>
        <v>Variable</v>
      </c>
      <c r="I687" s="284">
        <f t="shared" si="69"/>
        <v>1075.0299999999995</v>
      </c>
      <c r="J687" s="282">
        <v>0</v>
      </c>
      <c r="K687" s="282">
        <v>0</v>
      </c>
    </row>
    <row r="688" spans="1:11" ht="18" customHeight="1" x14ac:dyDescent="0.2">
      <c r="A688" s="268">
        <f t="shared" si="70"/>
        <v>2021</v>
      </c>
      <c r="B688" s="286">
        <f t="shared" si="71"/>
        <v>9</v>
      </c>
      <c r="C688" s="321">
        <v>44449</v>
      </c>
      <c r="D688" s="321">
        <v>44449</v>
      </c>
      <c r="E688" s="287" t="s">
        <v>944</v>
      </c>
      <c r="F688" s="282">
        <v>11.87</v>
      </c>
      <c r="G688" s="282" t="s">
        <v>41</v>
      </c>
      <c r="H688" s="282" t="str">
        <f t="shared" si="72"/>
        <v>Variable</v>
      </c>
      <c r="I688" s="284">
        <f t="shared" si="69"/>
        <v>1086.8999999999994</v>
      </c>
      <c r="J688" s="282">
        <v>0</v>
      </c>
      <c r="K688" s="282">
        <v>0</v>
      </c>
    </row>
    <row r="689" spans="1:11" ht="18" customHeight="1" x14ac:dyDescent="0.2">
      <c r="A689" s="268">
        <f t="shared" si="70"/>
        <v>2021</v>
      </c>
      <c r="B689" s="286">
        <f t="shared" si="71"/>
        <v>9</v>
      </c>
      <c r="C689" s="321">
        <v>44449</v>
      </c>
      <c r="D689" s="321">
        <v>44449</v>
      </c>
      <c r="E689" s="287" t="s">
        <v>941</v>
      </c>
      <c r="F689" s="282">
        <v>11.71</v>
      </c>
      <c r="G689" s="282" t="s">
        <v>41</v>
      </c>
      <c r="H689" s="282" t="str">
        <f t="shared" ref="H689" si="73">VLOOKUP(G689,Expense_Lookup,2,0)</f>
        <v>Variable</v>
      </c>
      <c r="I689" s="284">
        <f t="shared" si="69"/>
        <v>1098.6099999999994</v>
      </c>
      <c r="J689" s="282">
        <v>0</v>
      </c>
      <c r="K689" s="282">
        <v>0</v>
      </c>
    </row>
    <row r="690" spans="1:11" ht="18" customHeight="1" x14ac:dyDescent="0.2">
      <c r="A690" s="268">
        <f t="shared" si="70"/>
        <v>2021</v>
      </c>
      <c r="B690" s="286">
        <f t="shared" si="71"/>
        <v>9</v>
      </c>
      <c r="C690" s="321">
        <v>44449</v>
      </c>
      <c r="D690" s="321">
        <v>44449</v>
      </c>
      <c r="E690" s="287" t="s">
        <v>21</v>
      </c>
      <c r="F690" s="282">
        <v>-925.18</v>
      </c>
      <c r="G690" s="282" t="s">
        <v>22</v>
      </c>
      <c r="H690" s="282" t="str">
        <f t="shared" si="72"/>
        <v>Payment</v>
      </c>
      <c r="I690" s="284">
        <f t="shared" si="69"/>
        <v>173.4299999999995</v>
      </c>
      <c r="J690" s="282">
        <v>0</v>
      </c>
      <c r="K690" s="282">
        <v>0</v>
      </c>
    </row>
    <row r="691" spans="1:11" ht="18" customHeight="1" x14ac:dyDescent="0.2">
      <c r="A691" s="268">
        <f t="shared" si="70"/>
        <v>2021</v>
      </c>
      <c r="B691" s="286">
        <f t="shared" si="71"/>
        <v>9</v>
      </c>
      <c r="C691" s="321">
        <v>44449</v>
      </c>
      <c r="D691" s="321">
        <v>44449</v>
      </c>
      <c r="E691" s="287" t="s">
        <v>945</v>
      </c>
      <c r="F691" s="282">
        <v>60</v>
      </c>
      <c r="G691" s="282" t="s">
        <v>41</v>
      </c>
      <c r="H691" s="282" t="str">
        <f t="shared" si="72"/>
        <v>Variable</v>
      </c>
      <c r="I691" s="284">
        <f t="shared" si="69"/>
        <v>233.4299999999995</v>
      </c>
      <c r="J691" s="282">
        <v>0</v>
      </c>
      <c r="K691" s="282">
        <v>0</v>
      </c>
    </row>
    <row r="692" spans="1:11" ht="18" customHeight="1" x14ac:dyDescent="0.2">
      <c r="A692" s="268">
        <f t="shared" si="70"/>
        <v>2021</v>
      </c>
      <c r="B692" s="286">
        <f t="shared" si="71"/>
        <v>9</v>
      </c>
      <c r="C692" s="321">
        <v>44450</v>
      </c>
      <c r="D692" s="321">
        <v>44450</v>
      </c>
      <c r="E692" s="287" t="s">
        <v>946</v>
      </c>
      <c r="F692" s="282">
        <v>24.36</v>
      </c>
      <c r="G692" s="282" t="s">
        <v>26</v>
      </c>
      <c r="H692" s="282" t="str">
        <f t="shared" si="72"/>
        <v>Fixed</v>
      </c>
      <c r="I692" s="284">
        <f t="shared" si="69"/>
        <v>257.78999999999951</v>
      </c>
      <c r="J692" s="282" t="s">
        <v>292</v>
      </c>
      <c r="K692" s="282">
        <v>0</v>
      </c>
    </row>
    <row r="693" spans="1:11" ht="18" customHeight="1" x14ac:dyDescent="0.2">
      <c r="A693" s="268">
        <f t="shared" si="70"/>
        <v>2021</v>
      </c>
      <c r="B693" s="286">
        <f t="shared" si="71"/>
        <v>9</v>
      </c>
      <c r="C693" s="321">
        <v>44450</v>
      </c>
      <c r="D693" s="321">
        <v>44450</v>
      </c>
      <c r="E693" s="287" t="s">
        <v>947</v>
      </c>
      <c r="F693" s="282">
        <v>60</v>
      </c>
      <c r="G693" s="282" t="s">
        <v>41</v>
      </c>
      <c r="H693" s="282" t="str">
        <f t="shared" si="72"/>
        <v>Variable</v>
      </c>
      <c r="I693" s="284">
        <f t="shared" si="69"/>
        <v>317.78999999999951</v>
      </c>
      <c r="J693" s="282">
        <v>0</v>
      </c>
      <c r="K693" s="282">
        <v>0</v>
      </c>
    </row>
    <row r="694" spans="1:11" ht="18" customHeight="1" x14ac:dyDescent="0.2">
      <c r="A694" s="268">
        <f t="shared" si="70"/>
        <v>2021</v>
      </c>
      <c r="B694" s="286">
        <f t="shared" si="71"/>
        <v>9</v>
      </c>
      <c r="C694" s="321">
        <v>44450</v>
      </c>
      <c r="D694" s="321">
        <v>44450</v>
      </c>
      <c r="E694" s="287" t="s">
        <v>948</v>
      </c>
      <c r="F694" s="282">
        <v>1.85</v>
      </c>
      <c r="G694" s="282" t="s">
        <v>52</v>
      </c>
      <c r="H694" s="282" t="str">
        <f t="shared" si="72"/>
        <v>Variable</v>
      </c>
      <c r="I694" s="284">
        <f t="shared" si="69"/>
        <v>319.63999999999953</v>
      </c>
      <c r="J694" s="282">
        <v>0</v>
      </c>
      <c r="K694" s="282">
        <v>0</v>
      </c>
    </row>
    <row r="695" spans="1:11" ht="18" customHeight="1" x14ac:dyDescent="0.2">
      <c r="A695" s="268">
        <f t="shared" si="70"/>
        <v>2021</v>
      </c>
      <c r="B695" s="286">
        <f t="shared" si="71"/>
        <v>9</v>
      </c>
      <c r="C695" s="321">
        <v>44450</v>
      </c>
      <c r="D695" s="321">
        <v>44450</v>
      </c>
      <c r="E695" s="287" t="s">
        <v>949</v>
      </c>
      <c r="F695" s="282">
        <v>1.85</v>
      </c>
      <c r="G695" s="282" t="s">
        <v>52</v>
      </c>
      <c r="H695" s="282" t="str">
        <f t="shared" si="72"/>
        <v>Variable</v>
      </c>
      <c r="I695" s="284">
        <f t="shared" si="69"/>
        <v>321.48999999999955</v>
      </c>
      <c r="J695" s="282">
        <v>0</v>
      </c>
      <c r="K695" s="282">
        <v>0</v>
      </c>
    </row>
    <row r="696" spans="1:11" ht="18" customHeight="1" x14ac:dyDescent="0.2">
      <c r="A696" s="268">
        <f t="shared" si="70"/>
        <v>2021</v>
      </c>
      <c r="B696" s="286">
        <f t="shared" si="71"/>
        <v>9</v>
      </c>
      <c r="C696" s="321">
        <v>44450</v>
      </c>
      <c r="D696" s="321">
        <v>44450</v>
      </c>
      <c r="E696" s="287" t="s">
        <v>950</v>
      </c>
      <c r="F696" s="282">
        <v>1.85</v>
      </c>
      <c r="G696" s="282" t="s">
        <v>52</v>
      </c>
      <c r="H696" s="282" t="str">
        <f t="shared" si="72"/>
        <v>Variable</v>
      </c>
      <c r="I696" s="284">
        <f t="shared" si="69"/>
        <v>323.33999999999958</v>
      </c>
      <c r="J696" s="282">
        <v>0</v>
      </c>
      <c r="K696" s="282">
        <v>0</v>
      </c>
    </row>
    <row r="697" spans="1:11" ht="18" customHeight="1" x14ac:dyDescent="0.2">
      <c r="A697" s="268">
        <f t="shared" si="70"/>
        <v>2021</v>
      </c>
      <c r="B697" s="286">
        <f t="shared" si="71"/>
        <v>9</v>
      </c>
      <c r="C697" s="321">
        <v>44450</v>
      </c>
      <c r="D697" s="321">
        <v>44450</v>
      </c>
      <c r="E697" s="287" t="s">
        <v>951</v>
      </c>
      <c r="F697" s="282">
        <v>80</v>
      </c>
      <c r="G697" s="282" t="s">
        <v>52</v>
      </c>
      <c r="H697" s="282" t="str">
        <f t="shared" si="72"/>
        <v>Variable</v>
      </c>
      <c r="I697" s="284">
        <f t="shared" si="69"/>
        <v>403.33999999999958</v>
      </c>
      <c r="J697" s="282">
        <v>0</v>
      </c>
      <c r="K697" s="282">
        <v>0</v>
      </c>
    </row>
    <row r="698" spans="1:11" ht="18" customHeight="1" x14ac:dyDescent="0.2">
      <c r="A698" s="268">
        <f t="shared" si="70"/>
        <v>2021</v>
      </c>
      <c r="B698" s="286">
        <f t="shared" si="71"/>
        <v>9</v>
      </c>
      <c r="C698" s="321">
        <v>44450</v>
      </c>
      <c r="D698" s="321">
        <v>44450</v>
      </c>
      <c r="E698" s="287" t="s">
        <v>952</v>
      </c>
      <c r="F698" s="282">
        <v>10.33</v>
      </c>
      <c r="G698" s="282" t="s">
        <v>41</v>
      </c>
      <c r="H698" s="282" t="str">
        <f t="shared" si="72"/>
        <v>Variable</v>
      </c>
      <c r="I698" s="284">
        <f t="shared" si="69"/>
        <v>413.66999999999956</v>
      </c>
      <c r="J698" s="282">
        <v>0</v>
      </c>
      <c r="K698" s="282">
        <v>0</v>
      </c>
    </row>
    <row r="699" spans="1:11" ht="18" customHeight="1" x14ac:dyDescent="0.2">
      <c r="A699" s="268">
        <f t="shared" si="70"/>
        <v>2021</v>
      </c>
      <c r="B699" s="286">
        <f t="shared" si="71"/>
        <v>9</v>
      </c>
      <c r="C699" s="321">
        <v>44450</v>
      </c>
      <c r="D699" s="321">
        <v>44450</v>
      </c>
      <c r="E699" s="287" t="s">
        <v>953</v>
      </c>
      <c r="F699" s="282">
        <v>19.149999999999999</v>
      </c>
      <c r="G699" s="282" t="s">
        <v>41</v>
      </c>
      <c r="H699" s="282" t="str">
        <f t="shared" si="72"/>
        <v>Variable</v>
      </c>
      <c r="I699" s="284">
        <f t="shared" si="69"/>
        <v>432.81999999999954</v>
      </c>
      <c r="J699" s="282">
        <v>0</v>
      </c>
      <c r="K699" s="282">
        <v>0</v>
      </c>
    </row>
    <row r="700" spans="1:11" ht="18" customHeight="1" x14ac:dyDescent="0.2">
      <c r="A700" s="268">
        <f t="shared" si="70"/>
        <v>2021</v>
      </c>
      <c r="B700" s="286">
        <f t="shared" si="71"/>
        <v>9</v>
      </c>
      <c r="C700" s="321">
        <v>44450</v>
      </c>
      <c r="D700" s="321">
        <v>44450</v>
      </c>
      <c r="E700" s="287" t="s">
        <v>954</v>
      </c>
      <c r="F700" s="282">
        <v>144.91999999999999</v>
      </c>
      <c r="G700" s="282" t="s">
        <v>67</v>
      </c>
      <c r="H700" s="282" t="str">
        <f t="shared" si="72"/>
        <v>Variable</v>
      </c>
      <c r="I700" s="284">
        <f t="shared" si="69"/>
        <v>577.73999999999955</v>
      </c>
      <c r="J700" s="282">
        <v>0</v>
      </c>
      <c r="K700" s="282">
        <v>0</v>
      </c>
    </row>
    <row r="701" spans="1:11" ht="18" customHeight="1" x14ac:dyDescent="0.2">
      <c r="A701" s="268">
        <f t="shared" si="70"/>
        <v>2021</v>
      </c>
      <c r="B701" s="286">
        <f t="shared" si="71"/>
        <v>9</v>
      </c>
      <c r="C701" s="321">
        <v>44451</v>
      </c>
      <c r="D701" s="321">
        <v>44451</v>
      </c>
      <c r="E701" s="287" t="s">
        <v>142</v>
      </c>
      <c r="F701" s="282">
        <v>15.89</v>
      </c>
      <c r="G701" s="282" t="s">
        <v>26</v>
      </c>
      <c r="H701" s="282" t="str">
        <f t="shared" si="72"/>
        <v>Fixed</v>
      </c>
      <c r="I701" s="284">
        <f t="shared" si="69"/>
        <v>593.62999999999954</v>
      </c>
      <c r="J701" s="282" t="s">
        <v>292</v>
      </c>
      <c r="K701" s="282" t="s">
        <v>781</v>
      </c>
    </row>
    <row r="702" spans="1:11" ht="18" customHeight="1" x14ac:dyDescent="0.2">
      <c r="A702" s="268">
        <f t="shared" si="70"/>
        <v>2021</v>
      </c>
      <c r="B702" s="286">
        <f t="shared" si="71"/>
        <v>9</v>
      </c>
      <c r="C702" s="321">
        <v>44451</v>
      </c>
      <c r="D702" s="321">
        <v>44451</v>
      </c>
      <c r="E702" s="287" t="s">
        <v>59</v>
      </c>
      <c r="F702" s="282">
        <v>1.99</v>
      </c>
      <c r="G702" s="282" t="s">
        <v>26</v>
      </c>
      <c r="H702" s="282" t="str">
        <f t="shared" si="72"/>
        <v>Fixed</v>
      </c>
      <c r="I702" s="284">
        <f t="shared" si="69"/>
        <v>595.61999999999955</v>
      </c>
      <c r="J702" s="282" t="s">
        <v>282</v>
      </c>
      <c r="K702" s="282" t="s">
        <v>781</v>
      </c>
    </row>
    <row r="703" spans="1:11" ht="18" customHeight="1" x14ac:dyDescent="0.2">
      <c r="A703" s="268">
        <f t="shared" si="70"/>
        <v>2021</v>
      </c>
      <c r="B703" s="286">
        <f t="shared" si="71"/>
        <v>9</v>
      </c>
      <c r="C703" s="321">
        <v>44451</v>
      </c>
      <c r="D703" s="321">
        <v>44451</v>
      </c>
      <c r="E703" s="287" t="s">
        <v>270</v>
      </c>
      <c r="F703" s="317">
        <v>1130</v>
      </c>
      <c r="G703" s="282" t="s">
        <v>88</v>
      </c>
      <c r="H703" s="282" t="str">
        <f t="shared" si="72"/>
        <v>Variable</v>
      </c>
      <c r="I703" s="284">
        <f t="shared" si="69"/>
        <v>1725.6199999999994</v>
      </c>
      <c r="J703" s="282" t="s">
        <v>297</v>
      </c>
      <c r="K703" s="282" t="s">
        <v>688</v>
      </c>
    </row>
    <row r="704" spans="1:11" ht="18" customHeight="1" x14ac:dyDescent="0.2">
      <c r="A704" s="268">
        <f t="shared" si="70"/>
        <v>2021</v>
      </c>
      <c r="B704" s="286">
        <f t="shared" si="71"/>
        <v>9</v>
      </c>
      <c r="C704" s="321">
        <v>44452</v>
      </c>
      <c r="D704" s="321">
        <v>44452</v>
      </c>
      <c r="E704" s="287" t="s">
        <v>955</v>
      </c>
      <c r="F704" s="282">
        <v>35.9</v>
      </c>
      <c r="G704" s="282" t="s">
        <v>24</v>
      </c>
      <c r="H704" s="282" t="str">
        <f t="shared" si="72"/>
        <v>Variable</v>
      </c>
      <c r="I704" s="284">
        <f t="shared" si="69"/>
        <v>1761.5199999999995</v>
      </c>
      <c r="J704" s="282">
        <v>0</v>
      </c>
      <c r="K704" s="282">
        <v>0</v>
      </c>
    </row>
    <row r="705" spans="1:11" ht="18" customHeight="1" x14ac:dyDescent="0.2">
      <c r="A705" s="268">
        <f t="shared" si="70"/>
        <v>2021</v>
      </c>
      <c r="B705" s="286">
        <f t="shared" si="71"/>
        <v>9</v>
      </c>
      <c r="C705" s="321">
        <v>44452</v>
      </c>
      <c r="D705" s="321">
        <v>44452</v>
      </c>
      <c r="E705" s="287" t="s">
        <v>956</v>
      </c>
      <c r="F705" s="282">
        <v>1.85</v>
      </c>
      <c r="G705" s="282" t="s">
        <v>67</v>
      </c>
      <c r="H705" s="282" t="str">
        <f t="shared" si="72"/>
        <v>Variable</v>
      </c>
      <c r="I705" s="284">
        <f t="shared" si="69"/>
        <v>1763.3699999999994</v>
      </c>
      <c r="J705" s="282">
        <v>0</v>
      </c>
      <c r="K705" s="282">
        <v>0</v>
      </c>
    </row>
    <row r="706" spans="1:11" ht="18" customHeight="1" x14ac:dyDescent="0.2">
      <c r="A706" s="268">
        <f t="shared" si="70"/>
        <v>2021</v>
      </c>
      <c r="B706" s="286">
        <f t="shared" si="71"/>
        <v>9</v>
      </c>
      <c r="C706" s="321">
        <v>44452</v>
      </c>
      <c r="D706" s="321">
        <v>44452</v>
      </c>
      <c r="E706" s="287" t="s">
        <v>956</v>
      </c>
      <c r="F706" s="282">
        <v>15.27</v>
      </c>
      <c r="G706" s="282" t="s">
        <v>67</v>
      </c>
      <c r="H706" s="282" t="str">
        <f t="shared" si="72"/>
        <v>Variable</v>
      </c>
      <c r="I706" s="284">
        <f t="shared" si="69"/>
        <v>1778.6399999999994</v>
      </c>
      <c r="J706" s="282">
        <v>0</v>
      </c>
      <c r="K706" s="282">
        <v>0</v>
      </c>
    </row>
    <row r="707" spans="1:11" ht="18" customHeight="1" x14ac:dyDescent="0.2">
      <c r="A707" s="268">
        <f t="shared" si="70"/>
        <v>2021</v>
      </c>
      <c r="B707" s="286">
        <f t="shared" si="71"/>
        <v>9</v>
      </c>
      <c r="C707" s="321">
        <v>44453</v>
      </c>
      <c r="D707" s="321">
        <v>44453</v>
      </c>
      <c r="E707" s="287" t="s">
        <v>938</v>
      </c>
      <c r="F707" s="282">
        <v>2.7</v>
      </c>
      <c r="G707" s="282" t="s">
        <v>41</v>
      </c>
      <c r="H707" s="282" t="str">
        <f t="shared" si="72"/>
        <v>Variable</v>
      </c>
      <c r="I707" s="284">
        <f t="shared" si="69"/>
        <v>1781.3399999999995</v>
      </c>
      <c r="J707" s="282">
        <v>0</v>
      </c>
      <c r="K707" s="282">
        <v>0</v>
      </c>
    </row>
    <row r="708" spans="1:11" ht="18" customHeight="1" x14ac:dyDescent="0.2">
      <c r="A708" s="268">
        <f t="shared" si="70"/>
        <v>2021</v>
      </c>
      <c r="B708" s="286">
        <f t="shared" si="71"/>
        <v>9</v>
      </c>
      <c r="C708" s="321">
        <v>44453</v>
      </c>
      <c r="D708" s="321">
        <v>44453</v>
      </c>
      <c r="E708" s="287" t="s">
        <v>941</v>
      </c>
      <c r="F708" s="282">
        <v>5.93</v>
      </c>
      <c r="G708" s="282" t="s">
        <v>41</v>
      </c>
      <c r="H708" s="282" t="str">
        <f t="shared" si="72"/>
        <v>Variable</v>
      </c>
      <c r="I708" s="284">
        <f t="shared" ref="I708:I771" si="74">I707+F708</f>
        <v>1787.2699999999995</v>
      </c>
      <c r="J708" s="282">
        <v>0</v>
      </c>
      <c r="K708" s="282">
        <v>0</v>
      </c>
    </row>
    <row r="709" spans="1:11" ht="18" customHeight="1" x14ac:dyDescent="0.2">
      <c r="A709" s="268">
        <f t="shared" si="70"/>
        <v>2021</v>
      </c>
      <c r="B709" s="286">
        <f t="shared" si="71"/>
        <v>9</v>
      </c>
      <c r="C709" s="321">
        <v>44453</v>
      </c>
      <c r="D709" s="321">
        <v>44453</v>
      </c>
      <c r="E709" s="287" t="s">
        <v>938</v>
      </c>
      <c r="F709" s="282">
        <v>8.82</v>
      </c>
      <c r="G709" s="282" t="s">
        <v>41</v>
      </c>
      <c r="H709" s="282" t="str">
        <f t="shared" si="72"/>
        <v>Variable</v>
      </c>
      <c r="I709" s="284">
        <f t="shared" si="74"/>
        <v>1796.0899999999995</v>
      </c>
      <c r="J709" s="282">
        <v>0</v>
      </c>
      <c r="K709" s="282">
        <v>0</v>
      </c>
    </row>
    <row r="710" spans="1:11" ht="18" customHeight="1" x14ac:dyDescent="0.2">
      <c r="A710" s="268">
        <f t="shared" si="70"/>
        <v>2021</v>
      </c>
      <c r="B710" s="286">
        <f t="shared" si="71"/>
        <v>9</v>
      </c>
      <c r="C710" s="321">
        <v>44453</v>
      </c>
      <c r="D710" s="321">
        <v>44453</v>
      </c>
      <c r="E710" s="287" t="s">
        <v>336</v>
      </c>
      <c r="F710" s="282">
        <v>3</v>
      </c>
      <c r="G710" s="282" t="s">
        <v>67</v>
      </c>
      <c r="H710" s="282" t="str">
        <f t="shared" si="72"/>
        <v>Variable</v>
      </c>
      <c r="I710" s="284">
        <f t="shared" si="74"/>
        <v>1799.0899999999995</v>
      </c>
      <c r="J710" s="282" t="s">
        <v>719</v>
      </c>
      <c r="K710" s="282" t="s">
        <v>688</v>
      </c>
    </row>
    <row r="711" spans="1:11" ht="18" customHeight="1" x14ac:dyDescent="0.2">
      <c r="A711" s="268">
        <f t="shared" si="70"/>
        <v>2021</v>
      </c>
      <c r="B711" s="286">
        <f t="shared" si="71"/>
        <v>9</v>
      </c>
      <c r="C711" s="321">
        <v>44454</v>
      </c>
      <c r="D711" s="321">
        <v>44454</v>
      </c>
      <c r="E711" s="287" t="s">
        <v>957</v>
      </c>
      <c r="F711" s="282">
        <v>82.37</v>
      </c>
      <c r="G711" s="282" t="s">
        <v>67</v>
      </c>
      <c r="H711" s="282" t="str">
        <f t="shared" si="72"/>
        <v>Variable</v>
      </c>
      <c r="I711" s="284">
        <f t="shared" si="74"/>
        <v>1881.4599999999996</v>
      </c>
      <c r="J711" s="282">
        <v>0</v>
      </c>
      <c r="K711" s="282">
        <v>0</v>
      </c>
    </row>
    <row r="712" spans="1:11" ht="18" customHeight="1" x14ac:dyDescent="0.2">
      <c r="A712" s="268">
        <f t="shared" si="70"/>
        <v>2021</v>
      </c>
      <c r="B712" s="286">
        <f t="shared" si="71"/>
        <v>9</v>
      </c>
      <c r="C712" s="321">
        <v>44454</v>
      </c>
      <c r="D712" s="321">
        <v>44454</v>
      </c>
      <c r="E712" s="287" t="s">
        <v>958</v>
      </c>
      <c r="F712" s="282">
        <v>16.809999999999999</v>
      </c>
      <c r="G712" s="282" t="s">
        <v>41</v>
      </c>
      <c r="H712" s="282" t="str">
        <f t="shared" si="72"/>
        <v>Variable</v>
      </c>
      <c r="I712" s="284">
        <f t="shared" si="74"/>
        <v>1898.2699999999995</v>
      </c>
      <c r="J712" s="282">
        <v>0</v>
      </c>
      <c r="K712" s="282">
        <v>0</v>
      </c>
    </row>
    <row r="713" spans="1:11" ht="18" customHeight="1" x14ac:dyDescent="0.2">
      <c r="A713" s="268">
        <f t="shared" si="70"/>
        <v>2021</v>
      </c>
      <c r="B713" s="286">
        <f t="shared" si="71"/>
        <v>9</v>
      </c>
      <c r="C713" s="321">
        <v>44455</v>
      </c>
      <c r="D713" s="321">
        <v>44455</v>
      </c>
      <c r="E713" s="287" t="s">
        <v>959</v>
      </c>
      <c r="F713" s="282">
        <v>2</v>
      </c>
      <c r="G713" s="282" t="s">
        <v>52</v>
      </c>
      <c r="H713" s="282" t="str">
        <f t="shared" si="72"/>
        <v>Variable</v>
      </c>
      <c r="I713" s="284">
        <f t="shared" si="74"/>
        <v>1900.2699999999995</v>
      </c>
      <c r="J713" s="282">
        <v>0</v>
      </c>
      <c r="K713" s="282">
        <v>0</v>
      </c>
    </row>
    <row r="714" spans="1:11" ht="18" customHeight="1" x14ac:dyDescent="0.2">
      <c r="A714" s="268">
        <f t="shared" si="70"/>
        <v>2021</v>
      </c>
      <c r="B714" s="286">
        <f t="shared" si="71"/>
        <v>9</v>
      </c>
      <c r="C714" s="321">
        <v>44455</v>
      </c>
      <c r="D714" s="321">
        <v>44455</v>
      </c>
      <c r="E714" s="287" t="s">
        <v>960</v>
      </c>
      <c r="F714" s="282">
        <v>30</v>
      </c>
      <c r="G714" s="282" t="s">
        <v>52</v>
      </c>
      <c r="H714" s="282" t="str">
        <f t="shared" si="72"/>
        <v>Variable</v>
      </c>
      <c r="I714" s="284">
        <f t="shared" si="74"/>
        <v>1930.2699999999995</v>
      </c>
      <c r="J714" s="282">
        <v>0</v>
      </c>
      <c r="K714" s="282">
        <v>0</v>
      </c>
    </row>
    <row r="715" spans="1:11" ht="18" customHeight="1" x14ac:dyDescent="0.2">
      <c r="A715" s="268">
        <f t="shared" si="70"/>
        <v>2021</v>
      </c>
      <c r="B715" s="286">
        <f t="shared" si="71"/>
        <v>9</v>
      </c>
      <c r="C715" s="321">
        <v>44455</v>
      </c>
      <c r="D715" s="321">
        <v>44455</v>
      </c>
      <c r="E715" s="287" t="s">
        <v>961</v>
      </c>
      <c r="F715" s="282">
        <v>7.49</v>
      </c>
      <c r="G715" s="282" t="s">
        <v>89</v>
      </c>
      <c r="H715" s="282" t="str">
        <f t="shared" si="72"/>
        <v>Variable</v>
      </c>
      <c r="I715" s="284">
        <f t="shared" si="74"/>
        <v>1937.7599999999995</v>
      </c>
      <c r="J715" s="282">
        <v>0</v>
      </c>
      <c r="K715" s="282">
        <v>0</v>
      </c>
    </row>
    <row r="716" spans="1:11" ht="18" customHeight="1" x14ac:dyDescent="0.2">
      <c r="A716" s="268">
        <f t="shared" si="70"/>
        <v>2021</v>
      </c>
      <c r="B716" s="286">
        <f t="shared" si="71"/>
        <v>9</v>
      </c>
      <c r="C716" s="321">
        <v>44455</v>
      </c>
      <c r="D716" s="321">
        <v>44455</v>
      </c>
      <c r="E716" s="287" t="s">
        <v>962</v>
      </c>
      <c r="F716" s="282">
        <v>25</v>
      </c>
      <c r="G716" s="282" t="s">
        <v>41</v>
      </c>
      <c r="H716" s="282" t="str">
        <f t="shared" si="72"/>
        <v>Variable</v>
      </c>
      <c r="I716" s="284">
        <f t="shared" si="74"/>
        <v>1962.7599999999995</v>
      </c>
      <c r="J716" s="282">
        <v>0</v>
      </c>
      <c r="K716" s="282">
        <v>0</v>
      </c>
    </row>
    <row r="717" spans="1:11" ht="18" customHeight="1" x14ac:dyDescent="0.2">
      <c r="A717" s="268">
        <f t="shared" si="70"/>
        <v>2021</v>
      </c>
      <c r="B717" s="286">
        <f t="shared" si="71"/>
        <v>9</v>
      </c>
      <c r="C717" s="321">
        <v>44455</v>
      </c>
      <c r="D717" s="321">
        <v>44455</v>
      </c>
      <c r="E717" s="287" t="s">
        <v>963</v>
      </c>
      <c r="F717" s="282">
        <v>27.38</v>
      </c>
      <c r="G717" s="282" t="s">
        <v>24</v>
      </c>
      <c r="H717" s="282" t="str">
        <f t="shared" si="72"/>
        <v>Variable</v>
      </c>
      <c r="I717" s="284">
        <f t="shared" si="74"/>
        <v>1990.1399999999996</v>
      </c>
      <c r="J717" s="282">
        <v>0</v>
      </c>
      <c r="K717" s="282">
        <v>0</v>
      </c>
    </row>
    <row r="718" spans="1:11" ht="18" customHeight="1" x14ac:dyDescent="0.2">
      <c r="A718" s="268">
        <f t="shared" si="70"/>
        <v>2021</v>
      </c>
      <c r="B718" s="286">
        <f t="shared" si="71"/>
        <v>9</v>
      </c>
      <c r="C718" s="321">
        <v>44455</v>
      </c>
      <c r="D718" s="321">
        <v>44455</v>
      </c>
      <c r="E718" s="287" t="s">
        <v>964</v>
      </c>
      <c r="F718" s="282">
        <v>1.61</v>
      </c>
      <c r="G718" s="282" t="s">
        <v>24</v>
      </c>
      <c r="H718" s="282" t="str">
        <f t="shared" si="72"/>
        <v>Variable</v>
      </c>
      <c r="I718" s="284">
        <f t="shared" si="74"/>
        <v>1991.7499999999995</v>
      </c>
      <c r="J718" s="282">
        <v>0</v>
      </c>
      <c r="K718" s="282">
        <v>0</v>
      </c>
    </row>
    <row r="719" spans="1:11" ht="18" customHeight="1" x14ac:dyDescent="0.2">
      <c r="A719" s="268">
        <f t="shared" si="70"/>
        <v>2021</v>
      </c>
      <c r="B719" s="286">
        <f t="shared" si="71"/>
        <v>9</v>
      </c>
      <c r="C719" s="321">
        <v>44455</v>
      </c>
      <c r="D719" s="321">
        <v>44455</v>
      </c>
      <c r="E719" s="287" t="s">
        <v>965</v>
      </c>
      <c r="F719" s="282">
        <v>6.75</v>
      </c>
      <c r="G719" s="282" t="s">
        <v>41</v>
      </c>
      <c r="H719" s="282" t="str">
        <f t="shared" si="72"/>
        <v>Variable</v>
      </c>
      <c r="I719" s="284">
        <f t="shared" si="74"/>
        <v>1998.4999999999995</v>
      </c>
      <c r="J719" s="282">
        <v>0</v>
      </c>
      <c r="K719" s="282">
        <v>0</v>
      </c>
    </row>
    <row r="720" spans="1:11" ht="18" customHeight="1" x14ac:dyDescent="0.2">
      <c r="A720" s="268">
        <f t="shared" si="70"/>
        <v>2021</v>
      </c>
      <c r="B720" s="286">
        <f t="shared" si="71"/>
        <v>9</v>
      </c>
      <c r="C720" s="321">
        <v>44455</v>
      </c>
      <c r="D720" s="321">
        <v>44455</v>
      </c>
      <c r="E720" s="287" t="s">
        <v>966</v>
      </c>
      <c r="F720" s="282">
        <v>9.6300000000000008</v>
      </c>
      <c r="G720" s="282" t="s">
        <v>41</v>
      </c>
      <c r="H720" s="282" t="str">
        <f t="shared" si="72"/>
        <v>Variable</v>
      </c>
      <c r="I720" s="284">
        <f t="shared" si="74"/>
        <v>2008.1299999999997</v>
      </c>
      <c r="J720" s="282">
        <v>0</v>
      </c>
      <c r="K720" s="282">
        <v>0</v>
      </c>
    </row>
    <row r="721" spans="1:11" ht="18" customHeight="1" x14ac:dyDescent="0.2">
      <c r="A721" s="268">
        <f t="shared" si="70"/>
        <v>2021</v>
      </c>
      <c r="B721" s="286">
        <f t="shared" si="71"/>
        <v>9</v>
      </c>
      <c r="C721" s="321">
        <v>44455</v>
      </c>
      <c r="D721" s="321">
        <v>44455</v>
      </c>
      <c r="E721" s="287" t="s">
        <v>967</v>
      </c>
      <c r="F721" s="282">
        <v>7</v>
      </c>
      <c r="G721" s="282" t="s">
        <v>89</v>
      </c>
      <c r="H721" s="282" t="str">
        <f t="shared" si="72"/>
        <v>Variable</v>
      </c>
      <c r="I721" s="284">
        <f t="shared" si="74"/>
        <v>2015.1299999999997</v>
      </c>
      <c r="J721" s="282">
        <v>0</v>
      </c>
      <c r="K721" s="282">
        <v>0</v>
      </c>
    </row>
    <row r="722" spans="1:11" ht="18" customHeight="1" x14ac:dyDescent="0.2">
      <c r="A722" s="268">
        <f t="shared" si="70"/>
        <v>2021</v>
      </c>
      <c r="B722" s="286">
        <f t="shared" si="71"/>
        <v>9</v>
      </c>
      <c r="C722" s="321">
        <v>44456</v>
      </c>
      <c r="D722" s="321">
        <v>44456</v>
      </c>
      <c r="E722" s="287" t="s">
        <v>968</v>
      </c>
      <c r="F722" s="282">
        <v>1.0900000000000001</v>
      </c>
      <c r="G722" s="282" t="s">
        <v>24</v>
      </c>
      <c r="H722" s="282" t="str">
        <f t="shared" si="72"/>
        <v>Variable</v>
      </c>
      <c r="I722" s="284">
        <f t="shared" si="74"/>
        <v>2016.2199999999996</v>
      </c>
      <c r="J722" s="282">
        <v>0</v>
      </c>
      <c r="K722" s="282">
        <v>0</v>
      </c>
    </row>
    <row r="723" spans="1:11" ht="18" customHeight="1" x14ac:dyDescent="0.2">
      <c r="A723" s="268">
        <f t="shared" si="70"/>
        <v>2021</v>
      </c>
      <c r="B723" s="286">
        <f t="shared" si="71"/>
        <v>9</v>
      </c>
      <c r="C723" s="321">
        <v>44456</v>
      </c>
      <c r="D723" s="321">
        <v>44456</v>
      </c>
      <c r="E723" s="287" t="s">
        <v>969</v>
      </c>
      <c r="F723" s="282">
        <v>59.57</v>
      </c>
      <c r="G723" s="282" t="s">
        <v>67</v>
      </c>
      <c r="H723" s="282" t="str">
        <f t="shared" si="72"/>
        <v>Variable</v>
      </c>
      <c r="I723" s="284">
        <f t="shared" si="74"/>
        <v>2075.7899999999995</v>
      </c>
      <c r="J723" s="282">
        <v>0</v>
      </c>
      <c r="K723" s="282">
        <v>0</v>
      </c>
    </row>
    <row r="724" spans="1:11" ht="18" customHeight="1" x14ac:dyDescent="0.2">
      <c r="A724" s="268">
        <f t="shared" si="70"/>
        <v>2021</v>
      </c>
      <c r="B724" s="286">
        <f t="shared" si="71"/>
        <v>9</v>
      </c>
      <c r="C724" s="321">
        <v>44456</v>
      </c>
      <c r="D724" s="321">
        <v>44456</v>
      </c>
      <c r="E724" s="287" t="s">
        <v>970</v>
      </c>
      <c r="F724" s="282">
        <v>5.29</v>
      </c>
      <c r="G724" s="282" t="s">
        <v>26</v>
      </c>
      <c r="H724" s="282" t="str">
        <f t="shared" si="72"/>
        <v>Fixed</v>
      </c>
      <c r="I724" s="284">
        <f t="shared" si="74"/>
        <v>2081.0799999999995</v>
      </c>
      <c r="J724" s="282" t="s">
        <v>1010</v>
      </c>
      <c r="K724" s="282">
        <v>0</v>
      </c>
    </row>
    <row r="725" spans="1:11" ht="18" customHeight="1" x14ac:dyDescent="0.2">
      <c r="A725" s="268">
        <f t="shared" si="70"/>
        <v>2021</v>
      </c>
      <c r="B725" s="286">
        <f t="shared" si="71"/>
        <v>9</v>
      </c>
      <c r="C725" s="321">
        <v>44456</v>
      </c>
      <c r="D725" s="321">
        <v>44456</v>
      </c>
      <c r="E725" s="287" t="s">
        <v>971</v>
      </c>
      <c r="F725" s="282">
        <v>5.78</v>
      </c>
      <c r="G725" s="282" t="s">
        <v>24</v>
      </c>
      <c r="H725" s="282" t="str">
        <f t="shared" si="72"/>
        <v>Variable</v>
      </c>
      <c r="I725" s="284">
        <f t="shared" si="74"/>
        <v>2086.8599999999997</v>
      </c>
      <c r="J725" s="282">
        <v>0</v>
      </c>
      <c r="K725" s="282">
        <v>0</v>
      </c>
    </row>
    <row r="726" spans="1:11" ht="18" customHeight="1" x14ac:dyDescent="0.2">
      <c r="A726" s="268">
        <f t="shared" si="70"/>
        <v>2021</v>
      </c>
      <c r="B726" s="286">
        <f t="shared" si="71"/>
        <v>9</v>
      </c>
      <c r="C726" s="321">
        <v>44456</v>
      </c>
      <c r="D726" s="321">
        <v>44456</v>
      </c>
      <c r="E726" s="287" t="s">
        <v>972</v>
      </c>
      <c r="F726" s="282">
        <v>21.78</v>
      </c>
      <c r="G726" s="282" t="s">
        <v>24</v>
      </c>
      <c r="H726" s="282" t="str">
        <f t="shared" si="72"/>
        <v>Variable</v>
      </c>
      <c r="I726" s="284">
        <f t="shared" si="74"/>
        <v>2108.64</v>
      </c>
      <c r="J726" s="282">
        <v>0</v>
      </c>
      <c r="K726" s="282">
        <v>0</v>
      </c>
    </row>
    <row r="727" spans="1:11" ht="18" customHeight="1" x14ac:dyDescent="0.2">
      <c r="A727" s="268">
        <f t="shared" si="70"/>
        <v>2021</v>
      </c>
      <c r="B727" s="286">
        <f t="shared" si="71"/>
        <v>9</v>
      </c>
      <c r="C727" s="321">
        <v>44456</v>
      </c>
      <c r="D727" s="321">
        <v>44456</v>
      </c>
      <c r="E727" s="287" t="s">
        <v>973</v>
      </c>
      <c r="F727" s="282">
        <v>8.6199999999999992</v>
      </c>
      <c r="G727" s="282" t="s">
        <v>41</v>
      </c>
      <c r="H727" s="282" t="str">
        <f t="shared" si="72"/>
        <v>Variable</v>
      </c>
      <c r="I727" s="284">
        <f t="shared" si="74"/>
        <v>2117.2599999999998</v>
      </c>
      <c r="J727" s="282">
        <v>0</v>
      </c>
      <c r="K727" s="282">
        <v>0</v>
      </c>
    </row>
    <row r="728" spans="1:11" ht="18" customHeight="1" x14ac:dyDescent="0.2">
      <c r="A728" s="268">
        <f t="shared" si="70"/>
        <v>2021</v>
      </c>
      <c r="B728" s="286">
        <f t="shared" si="71"/>
        <v>9</v>
      </c>
      <c r="C728" s="321">
        <v>44456</v>
      </c>
      <c r="D728" s="321">
        <v>44456</v>
      </c>
      <c r="E728" s="287" t="s">
        <v>21</v>
      </c>
      <c r="F728" s="282">
        <v>-925.99</v>
      </c>
      <c r="G728" s="282" t="s">
        <v>22</v>
      </c>
      <c r="H728" s="282" t="str">
        <f t="shared" si="72"/>
        <v>Payment</v>
      </c>
      <c r="I728" s="284">
        <f t="shared" si="74"/>
        <v>1191.2699999999998</v>
      </c>
      <c r="J728" s="282">
        <v>0</v>
      </c>
      <c r="K728" s="282">
        <v>0</v>
      </c>
    </row>
    <row r="729" spans="1:11" ht="18" customHeight="1" x14ac:dyDescent="0.2">
      <c r="A729" s="268">
        <f t="shared" si="70"/>
        <v>2021</v>
      </c>
      <c r="B729" s="286">
        <f t="shared" si="71"/>
        <v>9</v>
      </c>
      <c r="C729" s="321">
        <v>44456</v>
      </c>
      <c r="D729" s="321">
        <v>44456</v>
      </c>
      <c r="E729" s="287" t="s">
        <v>974</v>
      </c>
      <c r="F729" s="282">
        <v>50</v>
      </c>
      <c r="G729" s="282" t="s">
        <v>67</v>
      </c>
      <c r="H729" s="282" t="str">
        <f t="shared" si="72"/>
        <v>Variable</v>
      </c>
      <c r="I729" s="284">
        <f t="shared" si="74"/>
        <v>1241.2699999999998</v>
      </c>
      <c r="J729" s="282">
        <v>0</v>
      </c>
      <c r="K729" s="282">
        <v>0</v>
      </c>
    </row>
    <row r="730" spans="1:11" ht="18" customHeight="1" x14ac:dyDescent="0.2">
      <c r="A730" s="268">
        <f t="shared" ref="A730:A776" si="75">YEAR(C730)</f>
        <v>2021</v>
      </c>
      <c r="B730" s="286">
        <f t="shared" ref="B730:B776" si="76">MONTH(C730)</f>
        <v>9</v>
      </c>
      <c r="C730" s="321">
        <v>44456</v>
      </c>
      <c r="D730" s="321">
        <v>44456</v>
      </c>
      <c r="E730" s="287" t="s">
        <v>975</v>
      </c>
      <c r="F730" s="282">
        <v>20</v>
      </c>
      <c r="G730" s="282" t="s">
        <v>41</v>
      </c>
      <c r="H730" s="282" t="str">
        <f t="shared" si="72"/>
        <v>Variable</v>
      </c>
      <c r="I730" s="284">
        <f t="shared" si="74"/>
        <v>1261.2699999999998</v>
      </c>
      <c r="J730" s="282">
        <v>0</v>
      </c>
      <c r="K730" s="282">
        <v>0</v>
      </c>
    </row>
    <row r="731" spans="1:11" ht="18" customHeight="1" x14ac:dyDescent="0.2">
      <c r="A731" s="268">
        <f t="shared" si="75"/>
        <v>2021</v>
      </c>
      <c r="B731" s="286">
        <f t="shared" si="76"/>
        <v>9</v>
      </c>
      <c r="C731" s="321">
        <v>44456</v>
      </c>
      <c r="D731" s="321">
        <v>44456</v>
      </c>
      <c r="E731" s="287" t="s">
        <v>976</v>
      </c>
      <c r="F731" s="282">
        <v>30</v>
      </c>
      <c r="G731" s="282" t="s">
        <v>88</v>
      </c>
      <c r="H731" s="282" t="str">
        <f t="shared" ref="H731:H776" si="77">VLOOKUP(G731,Expense_Lookup,2,0)</f>
        <v>Variable</v>
      </c>
      <c r="I731" s="284">
        <f t="shared" si="74"/>
        <v>1291.2699999999998</v>
      </c>
      <c r="J731" s="282">
        <v>0</v>
      </c>
      <c r="K731" s="282">
        <v>0</v>
      </c>
    </row>
    <row r="732" spans="1:11" ht="18" customHeight="1" x14ac:dyDescent="0.2">
      <c r="A732" s="268">
        <f t="shared" si="75"/>
        <v>2021</v>
      </c>
      <c r="B732" s="286">
        <f t="shared" si="76"/>
        <v>9</v>
      </c>
      <c r="C732" s="321">
        <v>44456</v>
      </c>
      <c r="D732" s="321">
        <v>44456</v>
      </c>
      <c r="E732" s="287" t="s">
        <v>565</v>
      </c>
      <c r="F732" s="282">
        <v>86.74</v>
      </c>
      <c r="G732" s="282" t="s">
        <v>52</v>
      </c>
      <c r="H732" s="282" t="str">
        <f t="shared" si="77"/>
        <v>Variable</v>
      </c>
      <c r="I732" s="284">
        <f t="shared" si="74"/>
        <v>1378.0099999999998</v>
      </c>
      <c r="J732" s="282" t="s">
        <v>596</v>
      </c>
      <c r="K732" s="282" t="s">
        <v>668</v>
      </c>
    </row>
    <row r="733" spans="1:11" ht="18" customHeight="1" x14ac:dyDescent="0.2">
      <c r="A733" s="268">
        <f t="shared" si="75"/>
        <v>2021</v>
      </c>
      <c r="B733" s="286">
        <f t="shared" si="76"/>
        <v>9</v>
      </c>
      <c r="C733" s="321">
        <v>44456</v>
      </c>
      <c r="D733" s="321">
        <v>44456</v>
      </c>
      <c r="E733" s="287" t="s">
        <v>977</v>
      </c>
      <c r="F733" s="282">
        <v>30</v>
      </c>
      <c r="G733" s="282" t="s">
        <v>41</v>
      </c>
      <c r="H733" s="282" t="str">
        <f t="shared" si="77"/>
        <v>Variable</v>
      </c>
      <c r="I733" s="284">
        <f t="shared" si="74"/>
        <v>1408.0099999999998</v>
      </c>
      <c r="J733" s="282">
        <v>0</v>
      </c>
      <c r="K733" s="282">
        <v>0</v>
      </c>
    </row>
    <row r="734" spans="1:11" ht="18" customHeight="1" x14ac:dyDescent="0.2">
      <c r="A734" s="268">
        <f t="shared" si="75"/>
        <v>2021</v>
      </c>
      <c r="B734" s="286">
        <f t="shared" si="76"/>
        <v>9</v>
      </c>
      <c r="C734" s="321">
        <v>44457</v>
      </c>
      <c r="D734" s="321">
        <v>44457</v>
      </c>
      <c r="E734" s="287" t="s">
        <v>978</v>
      </c>
      <c r="F734" s="282">
        <v>31.15</v>
      </c>
      <c r="G734" s="282" t="s">
        <v>24</v>
      </c>
      <c r="H734" s="282" t="str">
        <f t="shared" si="77"/>
        <v>Variable</v>
      </c>
      <c r="I734" s="284">
        <f t="shared" si="74"/>
        <v>1439.1599999999999</v>
      </c>
      <c r="J734" s="282">
        <v>0</v>
      </c>
      <c r="K734" s="282">
        <v>0</v>
      </c>
    </row>
    <row r="735" spans="1:11" ht="18" customHeight="1" x14ac:dyDescent="0.2">
      <c r="A735" s="268">
        <f t="shared" si="75"/>
        <v>2021</v>
      </c>
      <c r="B735" s="286">
        <f t="shared" si="76"/>
        <v>9</v>
      </c>
      <c r="C735" s="321">
        <v>44457</v>
      </c>
      <c r="D735" s="321">
        <v>44457</v>
      </c>
      <c r="E735" s="287" t="s">
        <v>979</v>
      </c>
      <c r="F735" s="282">
        <v>10.67</v>
      </c>
      <c r="G735" s="282" t="s">
        <v>88</v>
      </c>
      <c r="H735" s="282" t="str">
        <f t="shared" si="77"/>
        <v>Variable</v>
      </c>
      <c r="I735" s="284">
        <f t="shared" si="74"/>
        <v>1449.83</v>
      </c>
      <c r="J735" s="282">
        <v>0</v>
      </c>
      <c r="K735" s="282">
        <v>0</v>
      </c>
    </row>
    <row r="736" spans="1:11" ht="18" customHeight="1" x14ac:dyDescent="0.2">
      <c r="A736" s="268">
        <f t="shared" si="75"/>
        <v>2021</v>
      </c>
      <c r="B736" s="286">
        <f t="shared" si="76"/>
        <v>9</v>
      </c>
      <c r="C736" s="321">
        <v>44457</v>
      </c>
      <c r="D736" s="321">
        <v>44457</v>
      </c>
      <c r="E736" s="287" t="s">
        <v>140</v>
      </c>
      <c r="F736" s="282">
        <v>4.99</v>
      </c>
      <c r="G736" s="282" t="s">
        <v>67</v>
      </c>
      <c r="H736" s="282" t="str">
        <f t="shared" si="77"/>
        <v>Variable</v>
      </c>
      <c r="I736" s="284">
        <f t="shared" si="74"/>
        <v>1454.82</v>
      </c>
      <c r="J736" s="282">
        <v>0</v>
      </c>
      <c r="K736" s="282" t="s">
        <v>688</v>
      </c>
    </row>
    <row r="737" spans="1:11" ht="18" customHeight="1" x14ac:dyDescent="0.2">
      <c r="A737" s="268">
        <f t="shared" si="75"/>
        <v>2021</v>
      </c>
      <c r="B737" s="286">
        <f t="shared" si="76"/>
        <v>9</v>
      </c>
      <c r="C737" s="321">
        <v>44457</v>
      </c>
      <c r="D737" s="321">
        <v>44457</v>
      </c>
      <c r="E737" s="287" t="s">
        <v>980</v>
      </c>
      <c r="F737" s="282">
        <v>15.95</v>
      </c>
      <c r="G737" s="282" t="s">
        <v>41</v>
      </c>
      <c r="H737" s="282" t="str">
        <f t="shared" si="77"/>
        <v>Variable</v>
      </c>
      <c r="I737" s="284">
        <f t="shared" si="74"/>
        <v>1470.77</v>
      </c>
      <c r="J737" s="282">
        <v>0</v>
      </c>
      <c r="K737" s="282">
        <v>0</v>
      </c>
    </row>
    <row r="738" spans="1:11" ht="18" customHeight="1" x14ac:dyDescent="0.2">
      <c r="A738" s="268">
        <f t="shared" si="75"/>
        <v>2021</v>
      </c>
      <c r="B738" s="286">
        <f t="shared" si="76"/>
        <v>9</v>
      </c>
      <c r="C738" s="321">
        <v>44458</v>
      </c>
      <c r="D738" s="321">
        <v>44458</v>
      </c>
      <c r="E738" s="287" t="s">
        <v>981</v>
      </c>
      <c r="F738" s="282">
        <v>58.37</v>
      </c>
      <c r="G738" s="282" t="s">
        <v>89</v>
      </c>
      <c r="H738" s="282" t="str">
        <f t="shared" si="77"/>
        <v>Variable</v>
      </c>
      <c r="I738" s="284">
        <f t="shared" si="74"/>
        <v>1529.1399999999999</v>
      </c>
      <c r="J738" s="282">
        <v>0</v>
      </c>
      <c r="K738" s="282">
        <v>0</v>
      </c>
    </row>
    <row r="739" spans="1:11" ht="18" customHeight="1" x14ac:dyDescent="0.2">
      <c r="A739" s="268">
        <f t="shared" si="75"/>
        <v>2021</v>
      </c>
      <c r="B739" s="286">
        <f t="shared" si="76"/>
        <v>9</v>
      </c>
      <c r="C739" s="321">
        <v>44458</v>
      </c>
      <c r="D739" s="321">
        <v>44458</v>
      </c>
      <c r="E739" s="287" t="s">
        <v>982</v>
      </c>
      <c r="F739" s="282">
        <v>213.94</v>
      </c>
      <c r="G739" s="282" t="s">
        <v>67</v>
      </c>
      <c r="H739" s="282" t="str">
        <f t="shared" si="77"/>
        <v>Variable</v>
      </c>
      <c r="I739" s="284">
        <f t="shared" si="74"/>
        <v>1743.08</v>
      </c>
      <c r="J739" s="282">
        <v>0</v>
      </c>
      <c r="K739" s="282">
        <v>0</v>
      </c>
    </row>
    <row r="740" spans="1:11" ht="18" customHeight="1" x14ac:dyDescent="0.2">
      <c r="A740" s="268">
        <f t="shared" si="75"/>
        <v>2021</v>
      </c>
      <c r="B740" s="286">
        <f t="shared" si="76"/>
        <v>9</v>
      </c>
      <c r="C740" s="321">
        <v>44458</v>
      </c>
      <c r="D740" s="321">
        <v>44458</v>
      </c>
      <c r="E740" s="287" t="s">
        <v>983</v>
      </c>
      <c r="F740" s="282">
        <v>30</v>
      </c>
      <c r="G740" s="282" t="s">
        <v>41</v>
      </c>
      <c r="H740" s="282" t="str">
        <f t="shared" si="77"/>
        <v>Variable</v>
      </c>
      <c r="I740" s="284">
        <f t="shared" si="74"/>
        <v>1773.08</v>
      </c>
      <c r="J740" s="282">
        <v>0</v>
      </c>
      <c r="K740" s="282">
        <v>0</v>
      </c>
    </row>
    <row r="741" spans="1:11" ht="18" customHeight="1" x14ac:dyDescent="0.2">
      <c r="A741" s="268">
        <f t="shared" si="75"/>
        <v>2021</v>
      </c>
      <c r="B741" s="286">
        <f t="shared" si="76"/>
        <v>9</v>
      </c>
      <c r="C741" s="321">
        <v>44459</v>
      </c>
      <c r="D741" s="321">
        <v>44459</v>
      </c>
      <c r="E741" s="287" t="s">
        <v>984</v>
      </c>
      <c r="F741" s="282">
        <v>12.47</v>
      </c>
      <c r="G741" s="282" t="s">
        <v>41</v>
      </c>
      <c r="H741" s="282" t="str">
        <f t="shared" si="77"/>
        <v>Variable</v>
      </c>
      <c r="I741" s="284">
        <f t="shared" si="74"/>
        <v>1785.55</v>
      </c>
      <c r="J741" s="282">
        <v>0</v>
      </c>
      <c r="K741" s="282">
        <v>0</v>
      </c>
    </row>
    <row r="742" spans="1:11" ht="18" customHeight="1" x14ac:dyDescent="0.2">
      <c r="A742" s="268">
        <f t="shared" si="75"/>
        <v>2021</v>
      </c>
      <c r="B742" s="286">
        <f t="shared" si="76"/>
        <v>9</v>
      </c>
      <c r="C742" s="321">
        <v>44459</v>
      </c>
      <c r="D742" s="321">
        <v>44459</v>
      </c>
      <c r="E742" s="287" t="s">
        <v>985</v>
      </c>
      <c r="F742" s="282">
        <v>5.42</v>
      </c>
      <c r="G742" s="282" t="s">
        <v>67</v>
      </c>
      <c r="H742" s="282" t="str">
        <f t="shared" si="77"/>
        <v>Variable</v>
      </c>
      <c r="I742" s="284">
        <f t="shared" si="74"/>
        <v>1790.97</v>
      </c>
      <c r="J742" s="282">
        <v>0</v>
      </c>
      <c r="K742" s="282">
        <v>0</v>
      </c>
    </row>
    <row r="743" spans="1:11" ht="18" customHeight="1" x14ac:dyDescent="0.2">
      <c r="A743" s="268">
        <f t="shared" si="75"/>
        <v>2021</v>
      </c>
      <c r="B743" s="286">
        <f t="shared" si="76"/>
        <v>9</v>
      </c>
      <c r="C743" s="321">
        <v>44459</v>
      </c>
      <c r="D743" s="321">
        <v>44459</v>
      </c>
      <c r="E743" s="287" t="s">
        <v>986</v>
      </c>
      <c r="F743" s="282">
        <v>18.25</v>
      </c>
      <c r="G743" s="282" t="s">
        <v>41</v>
      </c>
      <c r="H743" s="282" t="str">
        <f t="shared" si="77"/>
        <v>Variable</v>
      </c>
      <c r="I743" s="284">
        <f t="shared" si="74"/>
        <v>1809.22</v>
      </c>
      <c r="J743" s="282">
        <v>0</v>
      </c>
      <c r="K743" s="282">
        <v>0</v>
      </c>
    </row>
    <row r="744" spans="1:11" ht="18" customHeight="1" x14ac:dyDescent="0.2">
      <c r="A744" s="268">
        <f t="shared" si="75"/>
        <v>2021</v>
      </c>
      <c r="B744" s="286">
        <f t="shared" si="76"/>
        <v>9</v>
      </c>
      <c r="C744" s="321">
        <v>44459</v>
      </c>
      <c r="D744" s="321">
        <v>44459</v>
      </c>
      <c r="E744" s="287" t="s">
        <v>987</v>
      </c>
      <c r="F744" s="282">
        <v>13.29</v>
      </c>
      <c r="G744" s="282" t="s">
        <v>41</v>
      </c>
      <c r="H744" s="282" t="str">
        <f t="shared" si="77"/>
        <v>Variable</v>
      </c>
      <c r="I744" s="284">
        <f t="shared" si="74"/>
        <v>1822.51</v>
      </c>
      <c r="J744" s="282">
        <v>0</v>
      </c>
      <c r="K744" s="282">
        <v>0</v>
      </c>
    </row>
    <row r="745" spans="1:11" ht="18" customHeight="1" x14ac:dyDescent="0.2">
      <c r="A745" s="268">
        <f t="shared" si="75"/>
        <v>2021</v>
      </c>
      <c r="B745" s="286">
        <f t="shared" si="76"/>
        <v>9</v>
      </c>
      <c r="C745" s="321">
        <v>44460</v>
      </c>
      <c r="D745" s="321">
        <v>44460</v>
      </c>
      <c r="E745" s="287" t="s">
        <v>941</v>
      </c>
      <c r="F745" s="282">
        <v>6.47</v>
      </c>
      <c r="G745" s="282" t="s">
        <v>41</v>
      </c>
      <c r="H745" s="282" t="str">
        <f t="shared" si="77"/>
        <v>Variable</v>
      </c>
      <c r="I745" s="284">
        <f t="shared" si="74"/>
        <v>1828.98</v>
      </c>
      <c r="J745" s="282">
        <v>0</v>
      </c>
      <c r="K745" s="282">
        <v>0</v>
      </c>
    </row>
    <row r="746" spans="1:11" ht="18" customHeight="1" x14ac:dyDescent="0.2">
      <c r="A746" s="268">
        <f t="shared" si="75"/>
        <v>2021</v>
      </c>
      <c r="B746" s="286">
        <f t="shared" si="76"/>
        <v>9</v>
      </c>
      <c r="C746" s="321">
        <v>44461</v>
      </c>
      <c r="D746" s="321">
        <v>44461</v>
      </c>
      <c r="E746" s="287" t="s">
        <v>988</v>
      </c>
      <c r="F746" s="282">
        <v>30.44</v>
      </c>
      <c r="G746" s="282" t="s">
        <v>41</v>
      </c>
      <c r="H746" s="282" t="str">
        <f t="shared" si="77"/>
        <v>Variable</v>
      </c>
      <c r="I746" s="284">
        <f t="shared" si="74"/>
        <v>1859.42</v>
      </c>
      <c r="J746" s="282">
        <v>0</v>
      </c>
      <c r="K746" s="282">
        <v>0</v>
      </c>
    </row>
    <row r="747" spans="1:11" ht="18" customHeight="1" x14ac:dyDescent="0.2">
      <c r="A747" s="268">
        <f t="shared" si="75"/>
        <v>2021</v>
      </c>
      <c r="B747" s="286">
        <f t="shared" si="76"/>
        <v>9</v>
      </c>
      <c r="C747" s="321">
        <v>44461</v>
      </c>
      <c r="D747" s="321">
        <v>44461</v>
      </c>
      <c r="E747" s="287" t="s">
        <v>989</v>
      </c>
      <c r="F747" s="282">
        <v>67</v>
      </c>
      <c r="G747" s="282" t="s">
        <v>52</v>
      </c>
      <c r="H747" s="282" t="str">
        <f t="shared" si="77"/>
        <v>Variable</v>
      </c>
      <c r="I747" s="284">
        <f t="shared" si="74"/>
        <v>1926.42</v>
      </c>
      <c r="J747" s="282">
        <v>0</v>
      </c>
      <c r="K747" s="282">
        <v>0</v>
      </c>
    </row>
    <row r="748" spans="1:11" ht="18" customHeight="1" x14ac:dyDescent="0.2">
      <c r="A748" s="268">
        <f t="shared" si="75"/>
        <v>2021</v>
      </c>
      <c r="B748" s="286">
        <f t="shared" si="76"/>
        <v>9</v>
      </c>
      <c r="C748" s="321">
        <v>44461</v>
      </c>
      <c r="D748" s="321">
        <v>44461</v>
      </c>
      <c r="E748" s="287" t="s">
        <v>80</v>
      </c>
      <c r="F748" s="282">
        <v>7.99</v>
      </c>
      <c r="G748" s="282" t="s">
        <v>26</v>
      </c>
      <c r="H748" s="282" t="str">
        <f t="shared" si="77"/>
        <v>Fixed</v>
      </c>
      <c r="I748" s="284">
        <f t="shared" si="74"/>
        <v>1934.41</v>
      </c>
      <c r="J748" s="282" t="s">
        <v>9</v>
      </c>
      <c r="K748" s="282" t="s">
        <v>781</v>
      </c>
    </row>
    <row r="749" spans="1:11" ht="18" customHeight="1" x14ac:dyDescent="0.2">
      <c r="A749" s="268">
        <f t="shared" si="75"/>
        <v>2021</v>
      </c>
      <c r="B749" s="286">
        <f t="shared" si="76"/>
        <v>9</v>
      </c>
      <c r="C749" s="321">
        <v>44461</v>
      </c>
      <c r="D749" s="321">
        <v>44461</v>
      </c>
      <c r="E749" s="287" t="s">
        <v>990</v>
      </c>
      <c r="F749" s="282">
        <v>126.55</v>
      </c>
      <c r="G749" s="282" t="s">
        <v>52</v>
      </c>
      <c r="H749" s="282" t="str">
        <f t="shared" si="77"/>
        <v>Variable</v>
      </c>
      <c r="I749" s="284">
        <f t="shared" si="74"/>
        <v>2060.96</v>
      </c>
      <c r="J749" s="282">
        <v>0</v>
      </c>
      <c r="K749" s="282">
        <v>0</v>
      </c>
    </row>
    <row r="750" spans="1:11" ht="18" customHeight="1" x14ac:dyDescent="0.2">
      <c r="A750" s="268">
        <f t="shared" si="75"/>
        <v>2021</v>
      </c>
      <c r="B750" s="286">
        <f t="shared" si="76"/>
        <v>9</v>
      </c>
      <c r="C750" s="321">
        <v>44462</v>
      </c>
      <c r="D750" s="321">
        <v>44462</v>
      </c>
      <c r="E750" s="287" t="s">
        <v>941</v>
      </c>
      <c r="F750" s="282">
        <v>8.09</v>
      </c>
      <c r="G750" s="282" t="s">
        <v>41</v>
      </c>
      <c r="H750" s="282" t="str">
        <f t="shared" si="77"/>
        <v>Variable</v>
      </c>
      <c r="I750" s="284">
        <f t="shared" si="74"/>
        <v>2069.0500000000002</v>
      </c>
      <c r="J750" s="282">
        <v>0</v>
      </c>
      <c r="K750" s="282">
        <v>0</v>
      </c>
    </row>
    <row r="751" spans="1:11" ht="18" customHeight="1" x14ac:dyDescent="0.2">
      <c r="A751" s="268">
        <f t="shared" si="75"/>
        <v>2021</v>
      </c>
      <c r="B751" s="286">
        <f t="shared" si="76"/>
        <v>9</v>
      </c>
      <c r="C751" s="321">
        <v>44462</v>
      </c>
      <c r="D751" s="321">
        <v>44462</v>
      </c>
      <c r="E751" s="287" t="s">
        <v>991</v>
      </c>
      <c r="F751" s="282">
        <v>47.89</v>
      </c>
      <c r="G751" s="282" t="s">
        <v>41</v>
      </c>
      <c r="H751" s="282" t="str">
        <f t="shared" si="77"/>
        <v>Variable</v>
      </c>
      <c r="I751" s="284">
        <f t="shared" si="74"/>
        <v>2116.94</v>
      </c>
      <c r="J751" s="282">
        <v>0</v>
      </c>
      <c r="K751" s="282">
        <v>0</v>
      </c>
    </row>
    <row r="752" spans="1:11" ht="18" customHeight="1" x14ac:dyDescent="0.2">
      <c r="A752" s="268">
        <f t="shared" si="75"/>
        <v>2021</v>
      </c>
      <c r="B752" s="286">
        <f t="shared" si="76"/>
        <v>9</v>
      </c>
      <c r="C752" s="321">
        <v>44462</v>
      </c>
      <c r="D752" s="321">
        <v>44462</v>
      </c>
      <c r="E752" s="287" t="s">
        <v>992</v>
      </c>
      <c r="F752" s="282">
        <v>32.979999999999997</v>
      </c>
      <c r="G752" s="282" t="s">
        <v>24</v>
      </c>
      <c r="H752" s="282" t="str">
        <f t="shared" si="77"/>
        <v>Variable</v>
      </c>
      <c r="I752" s="284">
        <f t="shared" si="74"/>
        <v>2149.92</v>
      </c>
      <c r="J752" s="282">
        <v>0</v>
      </c>
      <c r="K752" s="282">
        <v>0</v>
      </c>
    </row>
    <row r="753" spans="1:11" ht="18" customHeight="1" x14ac:dyDescent="0.2">
      <c r="A753" s="268">
        <f t="shared" si="75"/>
        <v>2021</v>
      </c>
      <c r="B753" s="286">
        <f t="shared" si="76"/>
        <v>9</v>
      </c>
      <c r="C753" s="321">
        <v>44462</v>
      </c>
      <c r="D753" s="321">
        <v>44462</v>
      </c>
      <c r="E753" s="287" t="s">
        <v>990</v>
      </c>
      <c r="F753" s="282">
        <v>85.79</v>
      </c>
      <c r="G753" s="282" t="s">
        <v>52</v>
      </c>
      <c r="H753" s="282" t="str">
        <f t="shared" si="77"/>
        <v>Variable</v>
      </c>
      <c r="I753" s="284">
        <f t="shared" si="74"/>
        <v>2235.71</v>
      </c>
      <c r="J753" s="282">
        <v>0</v>
      </c>
      <c r="K753" s="282">
        <v>0</v>
      </c>
    </row>
    <row r="754" spans="1:11" ht="18" customHeight="1" x14ac:dyDescent="0.2">
      <c r="A754" s="268">
        <f t="shared" si="75"/>
        <v>2021</v>
      </c>
      <c r="B754" s="286">
        <f t="shared" si="76"/>
        <v>9</v>
      </c>
      <c r="C754" s="321">
        <v>44462</v>
      </c>
      <c r="D754" s="321">
        <v>44462</v>
      </c>
      <c r="E754" s="287" t="s">
        <v>993</v>
      </c>
      <c r="F754" s="282">
        <v>37.979999999999997</v>
      </c>
      <c r="G754" s="282" t="s">
        <v>67</v>
      </c>
      <c r="H754" s="282" t="str">
        <f t="shared" si="77"/>
        <v>Variable</v>
      </c>
      <c r="I754" s="284">
        <f t="shared" si="74"/>
        <v>2273.69</v>
      </c>
      <c r="J754" s="282">
        <v>0</v>
      </c>
      <c r="K754" s="282">
        <v>0</v>
      </c>
    </row>
    <row r="755" spans="1:11" ht="18" customHeight="1" x14ac:dyDescent="0.2">
      <c r="A755" s="268">
        <f t="shared" si="75"/>
        <v>2021</v>
      </c>
      <c r="B755" s="286">
        <f t="shared" si="76"/>
        <v>9</v>
      </c>
      <c r="C755" s="321">
        <v>44463</v>
      </c>
      <c r="D755" s="321">
        <v>44463</v>
      </c>
      <c r="E755" s="287" t="s">
        <v>994</v>
      </c>
      <c r="F755" s="282">
        <v>6.08</v>
      </c>
      <c r="G755" s="282" t="s">
        <v>24</v>
      </c>
      <c r="H755" s="282" t="str">
        <f t="shared" si="77"/>
        <v>Variable</v>
      </c>
      <c r="I755" s="284">
        <f t="shared" si="74"/>
        <v>2279.77</v>
      </c>
      <c r="J755" s="282">
        <v>0</v>
      </c>
      <c r="K755" s="282">
        <v>0</v>
      </c>
    </row>
    <row r="756" spans="1:11" ht="18" customHeight="1" x14ac:dyDescent="0.2">
      <c r="A756" s="268">
        <f t="shared" si="75"/>
        <v>2021</v>
      </c>
      <c r="B756" s="286">
        <f t="shared" si="76"/>
        <v>9</v>
      </c>
      <c r="C756" s="321">
        <v>44463</v>
      </c>
      <c r="D756" s="321">
        <v>44463</v>
      </c>
      <c r="E756" s="287" t="s">
        <v>995</v>
      </c>
      <c r="F756" s="282">
        <v>20.57</v>
      </c>
      <c r="G756" s="282" t="s">
        <v>41</v>
      </c>
      <c r="H756" s="282" t="str">
        <f t="shared" si="77"/>
        <v>Variable</v>
      </c>
      <c r="I756" s="284">
        <f t="shared" si="74"/>
        <v>2300.34</v>
      </c>
      <c r="J756" s="282">
        <v>0</v>
      </c>
      <c r="K756" s="282">
        <v>0</v>
      </c>
    </row>
    <row r="757" spans="1:11" ht="18" customHeight="1" x14ac:dyDescent="0.2">
      <c r="A757" s="268">
        <f t="shared" si="75"/>
        <v>2021</v>
      </c>
      <c r="B757" s="286">
        <f t="shared" si="76"/>
        <v>9</v>
      </c>
      <c r="C757" s="321">
        <v>44463</v>
      </c>
      <c r="D757" s="321">
        <v>44463</v>
      </c>
      <c r="E757" s="287" t="s">
        <v>996</v>
      </c>
      <c r="F757" s="282">
        <v>71.75</v>
      </c>
      <c r="G757" s="282" t="s">
        <v>89</v>
      </c>
      <c r="H757" s="282" t="str">
        <f t="shared" si="77"/>
        <v>Variable</v>
      </c>
      <c r="I757" s="284">
        <f t="shared" si="74"/>
        <v>2372.09</v>
      </c>
      <c r="J757" s="282">
        <v>0</v>
      </c>
      <c r="K757" s="282">
        <v>0</v>
      </c>
    </row>
    <row r="758" spans="1:11" ht="18" customHeight="1" x14ac:dyDescent="0.2">
      <c r="A758" s="268">
        <f t="shared" si="75"/>
        <v>2021</v>
      </c>
      <c r="B758" s="286">
        <f t="shared" si="76"/>
        <v>9</v>
      </c>
      <c r="C758" s="321">
        <v>44464</v>
      </c>
      <c r="D758" s="321">
        <v>44464</v>
      </c>
      <c r="E758" s="287" t="s">
        <v>997</v>
      </c>
      <c r="F758" s="282">
        <v>13.74</v>
      </c>
      <c r="G758" s="282" t="s">
        <v>67</v>
      </c>
      <c r="H758" s="282" t="str">
        <f t="shared" si="77"/>
        <v>Variable</v>
      </c>
      <c r="I758" s="284">
        <f t="shared" si="74"/>
        <v>2385.83</v>
      </c>
      <c r="J758" s="282">
        <v>0</v>
      </c>
      <c r="K758" s="282">
        <v>0</v>
      </c>
    </row>
    <row r="759" spans="1:11" ht="18" customHeight="1" x14ac:dyDescent="0.2">
      <c r="A759" s="268">
        <f t="shared" si="75"/>
        <v>2021</v>
      </c>
      <c r="B759" s="286">
        <f t="shared" si="76"/>
        <v>9</v>
      </c>
      <c r="C759" s="321">
        <v>44464</v>
      </c>
      <c r="D759" s="321">
        <v>44464</v>
      </c>
      <c r="E759" s="287" t="s">
        <v>998</v>
      </c>
      <c r="F759" s="282">
        <v>320</v>
      </c>
      <c r="G759" s="282" t="s">
        <v>45</v>
      </c>
      <c r="H759" s="282" t="str">
        <f t="shared" si="77"/>
        <v>Variable</v>
      </c>
      <c r="I759" s="284">
        <f t="shared" si="74"/>
        <v>2705.83</v>
      </c>
      <c r="J759" s="282">
        <v>0</v>
      </c>
      <c r="K759" s="282">
        <v>0</v>
      </c>
    </row>
    <row r="760" spans="1:11" ht="18" customHeight="1" x14ac:dyDescent="0.2">
      <c r="A760" s="268">
        <f t="shared" si="75"/>
        <v>2021</v>
      </c>
      <c r="B760" s="286">
        <f t="shared" si="76"/>
        <v>9</v>
      </c>
      <c r="C760" s="321">
        <v>44464</v>
      </c>
      <c r="D760" s="321">
        <v>44464</v>
      </c>
      <c r="E760" s="287" t="s">
        <v>21</v>
      </c>
      <c r="F760" s="317">
        <v>-1500</v>
      </c>
      <c r="G760" s="282" t="s">
        <v>22</v>
      </c>
      <c r="H760" s="282" t="str">
        <f t="shared" si="77"/>
        <v>Payment</v>
      </c>
      <c r="I760" s="284">
        <f t="shared" si="74"/>
        <v>1205.83</v>
      </c>
      <c r="J760" s="282">
        <v>0</v>
      </c>
      <c r="K760" s="282">
        <v>0</v>
      </c>
    </row>
    <row r="761" spans="1:11" ht="18" customHeight="1" x14ac:dyDescent="0.2">
      <c r="A761" s="268">
        <f t="shared" si="75"/>
        <v>2021</v>
      </c>
      <c r="B761" s="286">
        <f t="shared" si="76"/>
        <v>9</v>
      </c>
      <c r="C761" s="321">
        <v>44464</v>
      </c>
      <c r="D761" s="321">
        <v>44464</v>
      </c>
      <c r="E761" s="287" t="s">
        <v>995</v>
      </c>
      <c r="F761" s="282">
        <v>26.97</v>
      </c>
      <c r="G761" s="282" t="s">
        <v>41</v>
      </c>
      <c r="H761" s="282" t="str">
        <f t="shared" si="77"/>
        <v>Variable</v>
      </c>
      <c r="I761" s="284">
        <f t="shared" si="74"/>
        <v>1232.8</v>
      </c>
      <c r="J761" s="282">
        <v>0</v>
      </c>
      <c r="K761" s="282">
        <v>0</v>
      </c>
    </row>
    <row r="762" spans="1:11" ht="18" customHeight="1" x14ac:dyDescent="0.2">
      <c r="A762" s="268">
        <f t="shared" si="75"/>
        <v>2021</v>
      </c>
      <c r="B762" s="286">
        <f t="shared" si="76"/>
        <v>9</v>
      </c>
      <c r="C762" s="321">
        <v>44465</v>
      </c>
      <c r="D762" s="321">
        <v>44465</v>
      </c>
      <c r="E762" s="287" t="s">
        <v>999</v>
      </c>
      <c r="F762" s="282">
        <v>4.34</v>
      </c>
      <c r="G762" s="282" t="s">
        <v>41</v>
      </c>
      <c r="H762" s="282" t="str">
        <f t="shared" si="77"/>
        <v>Variable</v>
      </c>
      <c r="I762" s="284">
        <f t="shared" si="74"/>
        <v>1237.1399999999999</v>
      </c>
      <c r="J762" s="282">
        <v>0</v>
      </c>
      <c r="K762" s="282">
        <v>0</v>
      </c>
    </row>
    <row r="763" spans="1:11" ht="18" customHeight="1" x14ac:dyDescent="0.2">
      <c r="A763" s="268">
        <f t="shared" si="75"/>
        <v>2021</v>
      </c>
      <c r="B763" s="286">
        <f t="shared" si="76"/>
        <v>9</v>
      </c>
      <c r="C763" s="321">
        <v>44465</v>
      </c>
      <c r="D763" s="321">
        <v>44465</v>
      </c>
      <c r="E763" s="287" t="s">
        <v>1000</v>
      </c>
      <c r="F763" s="282">
        <v>75</v>
      </c>
      <c r="G763" s="282" t="s">
        <v>41</v>
      </c>
      <c r="H763" s="282" t="str">
        <f t="shared" si="77"/>
        <v>Variable</v>
      </c>
      <c r="I763" s="284">
        <f t="shared" si="74"/>
        <v>1312.1399999999999</v>
      </c>
      <c r="J763" s="282">
        <v>0</v>
      </c>
      <c r="K763" s="282">
        <v>0</v>
      </c>
    </row>
    <row r="764" spans="1:11" ht="18" customHeight="1" x14ac:dyDescent="0.2">
      <c r="A764" s="268">
        <f t="shared" si="75"/>
        <v>2021</v>
      </c>
      <c r="B764" s="286">
        <f t="shared" si="76"/>
        <v>9</v>
      </c>
      <c r="C764" s="321">
        <v>44465</v>
      </c>
      <c r="D764" s="321">
        <v>44465</v>
      </c>
      <c r="E764" s="287" t="s">
        <v>993</v>
      </c>
      <c r="F764" s="282">
        <v>33.82</v>
      </c>
      <c r="G764" s="282" t="s">
        <v>67</v>
      </c>
      <c r="H764" s="282" t="str">
        <f t="shared" si="77"/>
        <v>Variable</v>
      </c>
      <c r="I764" s="284">
        <f t="shared" si="74"/>
        <v>1345.9599999999998</v>
      </c>
      <c r="J764" s="282">
        <v>0</v>
      </c>
      <c r="K764" s="282">
        <v>0</v>
      </c>
    </row>
    <row r="765" spans="1:11" ht="18" customHeight="1" x14ac:dyDescent="0.2">
      <c r="A765" s="268">
        <f t="shared" si="75"/>
        <v>2021</v>
      </c>
      <c r="B765" s="286">
        <f t="shared" si="76"/>
        <v>9</v>
      </c>
      <c r="C765" s="321">
        <v>44466</v>
      </c>
      <c r="D765" s="321">
        <v>44466</v>
      </c>
      <c r="E765" s="287" t="s">
        <v>111</v>
      </c>
      <c r="F765" s="282">
        <v>9.99</v>
      </c>
      <c r="G765" s="282" t="s">
        <v>26</v>
      </c>
      <c r="H765" s="282" t="str">
        <f t="shared" si="77"/>
        <v>Fixed</v>
      </c>
      <c r="I765" s="284">
        <f t="shared" si="74"/>
        <v>1355.9499999999998</v>
      </c>
      <c r="J765" s="282" t="s">
        <v>294</v>
      </c>
      <c r="K765" s="282" t="s">
        <v>781</v>
      </c>
    </row>
    <row r="766" spans="1:11" ht="18" customHeight="1" x14ac:dyDescent="0.2">
      <c r="A766" s="268">
        <f t="shared" si="75"/>
        <v>2021</v>
      </c>
      <c r="B766" s="286">
        <f t="shared" si="76"/>
        <v>9</v>
      </c>
      <c r="C766" s="321">
        <v>44466</v>
      </c>
      <c r="D766" s="321">
        <v>44466</v>
      </c>
      <c r="E766" s="287" t="s">
        <v>1001</v>
      </c>
      <c r="F766" s="282">
        <v>24.72</v>
      </c>
      <c r="G766" s="282" t="s">
        <v>89</v>
      </c>
      <c r="H766" s="282" t="str">
        <f t="shared" si="77"/>
        <v>Variable</v>
      </c>
      <c r="I766" s="284">
        <f t="shared" si="74"/>
        <v>1380.6699999999998</v>
      </c>
      <c r="J766" s="282">
        <v>0</v>
      </c>
      <c r="K766" s="282">
        <v>0</v>
      </c>
    </row>
    <row r="767" spans="1:11" ht="18" customHeight="1" x14ac:dyDescent="0.2">
      <c r="A767" s="268">
        <f t="shared" si="75"/>
        <v>2021</v>
      </c>
      <c r="B767" s="286">
        <f t="shared" si="76"/>
        <v>9</v>
      </c>
      <c r="C767" s="321">
        <v>44466</v>
      </c>
      <c r="D767" s="321">
        <v>44466</v>
      </c>
      <c r="E767" s="287" t="s">
        <v>1002</v>
      </c>
      <c r="F767" s="282">
        <v>39.5</v>
      </c>
      <c r="G767" s="282" t="s">
        <v>41</v>
      </c>
      <c r="H767" s="282" t="str">
        <f t="shared" si="77"/>
        <v>Variable</v>
      </c>
      <c r="I767" s="284">
        <f t="shared" si="74"/>
        <v>1420.1699999999998</v>
      </c>
      <c r="J767" s="282">
        <v>0</v>
      </c>
      <c r="K767" s="282">
        <v>0</v>
      </c>
    </row>
    <row r="768" spans="1:11" ht="18" customHeight="1" x14ac:dyDescent="0.2">
      <c r="A768" s="268">
        <f t="shared" si="75"/>
        <v>2021</v>
      </c>
      <c r="B768" s="286">
        <f t="shared" si="76"/>
        <v>9</v>
      </c>
      <c r="C768" s="321">
        <v>44467</v>
      </c>
      <c r="D768" s="321">
        <v>44467</v>
      </c>
      <c r="E768" s="287" t="s">
        <v>333</v>
      </c>
      <c r="F768" s="282">
        <v>1.1000000000000001</v>
      </c>
      <c r="G768" s="282" t="s">
        <v>118</v>
      </c>
      <c r="H768" s="282" t="str">
        <f t="shared" si="77"/>
        <v>Variable</v>
      </c>
      <c r="I768" s="284">
        <f t="shared" si="74"/>
        <v>1421.2699999999998</v>
      </c>
      <c r="J768" s="282" t="s">
        <v>350</v>
      </c>
      <c r="K768" s="282" t="s">
        <v>688</v>
      </c>
    </row>
    <row r="769" spans="1:11" ht="18" customHeight="1" x14ac:dyDescent="0.2">
      <c r="A769" s="268">
        <f t="shared" si="75"/>
        <v>2021</v>
      </c>
      <c r="B769" s="286">
        <f t="shared" si="76"/>
        <v>9</v>
      </c>
      <c r="C769" s="321">
        <v>44467</v>
      </c>
      <c r="D769" s="321">
        <v>44467</v>
      </c>
      <c r="E769" s="287" t="s">
        <v>333</v>
      </c>
      <c r="F769" s="282">
        <v>1.1000000000000001</v>
      </c>
      <c r="G769" s="282" t="s">
        <v>118</v>
      </c>
      <c r="H769" s="282" t="str">
        <f t="shared" si="77"/>
        <v>Variable</v>
      </c>
      <c r="I769" s="284">
        <f t="shared" si="74"/>
        <v>1422.3699999999997</v>
      </c>
      <c r="J769" s="282" t="s">
        <v>350</v>
      </c>
      <c r="K769" s="282" t="s">
        <v>688</v>
      </c>
    </row>
    <row r="770" spans="1:11" ht="18" customHeight="1" x14ac:dyDescent="0.2">
      <c r="A770" s="268">
        <f t="shared" si="75"/>
        <v>2021</v>
      </c>
      <c r="B770" s="286">
        <f t="shared" si="76"/>
        <v>9</v>
      </c>
      <c r="C770" s="321">
        <v>44467</v>
      </c>
      <c r="D770" s="321">
        <v>44467</v>
      </c>
      <c r="E770" s="287" t="s">
        <v>333</v>
      </c>
      <c r="F770" s="282">
        <v>1.1000000000000001</v>
      </c>
      <c r="G770" s="282" t="s">
        <v>118</v>
      </c>
      <c r="H770" s="282" t="str">
        <f t="shared" si="77"/>
        <v>Variable</v>
      </c>
      <c r="I770" s="284">
        <f t="shared" si="74"/>
        <v>1423.4699999999996</v>
      </c>
      <c r="J770" s="282" t="s">
        <v>350</v>
      </c>
      <c r="K770" s="282" t="s">
        <v>688</v>
      </c>
    </row>
    <row r="771" spans="1:11" ht="18" customHeight="1" x14ac:dyDescent="0.2">
      <c r="A771" s="268">
        <f t="shared" si="75"/>
        <v>2021</v>
      </c>
      <c r="B771" s="286">
        <f t="shared" si="76"/>
        <v>9</v>
      </c>
      <c r="C771" s="321">
        <v>44467</v>
      </c>
      <c r="D771" s="321">
        <v>44467</v>
      </c>
      <c r="E771" s="287" t="s">
        <v>333</v>
      </c>
      <c r="F771" s="282">
        <v>1.1000000000000001</v>
      </c>
      <c r="G771" s="282" t="s">
        <v>118</v>
      </c>
      <c r="H771" s="282" t="str">
        <f t="shared" si="77"/>
        <v>Variable</v>
      </c>
      <c r="I771" s="284">
        <f t="shared" si="74"/>
        <v>1424.5699999999995</v>
      </c>
      <c r="J771" s="282" t="s">
        <v>350</v>
      </c>
      <c r="K771" s="282" t="s">
        <v>688</v>
      </c>
    </row>
    <row r="772" spans="1:11" ht="18" customHeight="1" x14ac:dyDescent="0.2">
      <c r="A772" s="268">
        <f t="shared" si="75"/>
        <v>2021</v>
      </c>
      <c r="B772" s="286">
        <f t="shared" si="76"/>
        <v>9</v>
      </c>
      <c r="C772" s="321">
        <v>44468</v>
      </c>
      <c r="D772" s="321">
        <v>44468</v>
      </c>
      <c r="E772" s="287" t="s">
        <v>1003</v>
      </c>
      <c r="F772" s="282">
        <v>10.59</v>
      </c>
      <c r="G772" s="282" t="s">
        <v>26</v>
      </c>
      <c r="H772" s="282" t="str">
        <f t="shared" si="77"/>
        <v>Fixed</v>
      </c>
      <c r="I772" s="284">
        <f t="shared" ref="I772:I776" si="78">I771+F772</f>
        <v>1435.1599999999994</v>
      </c>
      <c r="J772" s="282" t="s">
        <v>917</v>
      </c>
      <c r="K772" s="282">
        <v>0</v>
      </c>
    </row>
    <row r="773" spans="1:11" ht="18" customHeight="1" x14ac:dyDescent="0.2">
      <c r="A773" s="268">
        <f t="shared" si="75"/>
        <v>2021</v>
      </c>
      <c r="B773" s="286">
        <f t="shared" si="76"/>
        <v>9</v>
      </c>
      <c r="C773" s="321">
        <v>44468</v>
      </c>
      <c r="D773" s="321">
        <v>44468</v>
      </c>
      <c r="E773" s="287" t="s">
        <v>1004</v>
      </c>
      <c r="F773" s="282">
        <v>25</v>
      </c>
      <c r="G773" s="282" t="s">
        <v>118</v>
      </c>
      <c r="H773" s="282" t="str">
        <f t="shared" si="77"/>
        <v>Variable</v>
      </c>
      <c r="I773" s="284">
        <f t="shared" si="78"/>
        <v>1460.1599999999994</v>
      </c>
      <c r="J773" s="282" t="s">
        <v>1011</v>
      </c>
      <c r="K773" s="282">
        <v>0</v>
      </c>
    </row>
    <row r="774" spans="1:11" ht="18" customHeight="1" x14ac:dyDescent="0.2">
      <c r="A774" s="268">
        <f t="shared" si="75"/>
        <v>2021</v>
      </c>
      <c r="B774" s="286">
        <f t="shared" si="76"/>
        <v>9</v>
      </c>
      <c r="C774" s="321">
        <v>44468</v>
      </c>
      <c r="D774" s="321">
        <v>44468</v>
      </c>
      <c r="E774" s="287" t="s">
        <v>1005</v>
      </c>
      <c r="F774" s="282">
        <v>17</v>
      </c>
      <c r="G774" s="282" t="s">
        <v>129</v>
      </c>
      <c r="H774" s="282" t="str">
        <f t="shared" si="77"/>
        <v>Fixed</v>
      </c>
      <c r="I774" s="284">
        <f t="shared" si="78"/>
        <v>1477.1599999999994</v>
      </c>
      <c r="J774" s="282">
        <v>0</v>
      </c>
      <c r="K774" s="282">
        <v>0</v>
      </c>
    </row>
    <row r="775" spans="1:11" ht="18" customHeight="1" x14ac:dyDescent="0.2">
      <c r="A775" s="268">
        <f t="shared" si="75"/>
        <v>2021</v>
      </c>
      <c r="B775" s="286">
        <f t="shared" si="76"/>
        <v>9</v>
      </c>
      <c r="C775" s="321">
        <v>44468</v>
      </c>
      <c r="D775" s="321">
        <v>44468</v>
      </c>
      <c r="E775" s="287" t="s">
        <v>1006</v>
      </c>
      <c r="F775" s="282">
        <v>33.01</v>
      </c>
      <c r="G775" s="282" t="s">
        <v>24</v>
      </c>
      <c r="H775" s="282" t="str">
        <f t="shared" si="77"/>
        <v>Variable</v>
      </c>
      <c r="I775" s="284">
        <f t="shared" si="78"/>
        <v>1510.1699999999994</v>
      </c>
      <c r="J775" s="282">
        <v>0</v>
      </c>
      <c r="K775" s="282">
        <v>0</v>
      </c>
    </row>
    <row r="776" spans="1:11" ht="18" customHeight="1" x14ac:dyDescent="0.2">
      <c r="A776" s="268">
        <f t="shared" si="75"/>
        <v>2021</v>
      </c>
      <c r="B776" s="286">
        <f t="shared" si="76"/>
        <v>9</v>
      </c>
      <c r="C776" s="321">
        <v>44468</v>
      </c>
      <c r="D776" s="321">
        <v>44468</v>
      </c>
      <c r="E776" s="287" t="s">
        <v>995</v>
      </c>
      <c r="F776" s="282">
        <v>21.44</v>
      </c>
      <c r="G776" s="282" t="s">
        <v>41</v>
      </c>
      <c r="H776" s="282" t="str">
        <f t="shared" si="77"/>
        <v>Variable</v>
      </c>
      <c r="I776" s="284">
        <f t="shared" si="78"/>
        <v>1531.6099999999994</v>
      </c>
      <c r="J776" s="282">
        <v>0</v>
      </c>
      <c r="K776" s="282">
        <v>0</v>
      </c>
    </row>
    <row r="777" spans="1:11" ht="18" customHeight="1" x14ac:dyDescent="0.2">
      <c r="A777" s="268">
        <f t="shared" ref="A777:A779" si="79">YEAR(C777)</f>
        <v>2021</v>
      </c>
      <c r="B777" s="286">
        <f t="shared" ref="B777:B779" si="80">MONTH(C777)</f>
        <v>9</v>
      </c>
      <c r="C777" s="321">
        <v>44468</v>
      </c>
      <c r="D777" s="321">
        <v>44468</v>
      </c>
      <c r="E777" s="287" t="s">
        <v>1001</v>
      </c>
      <c r="F777" s="282">
        <v>18.48</v>
      </c>
      <c r="G777" s="282" t="s">
        <v>89</v>
      </c>
      <c r="H777" s="282" t="str">
        <f t="shared" ref="H777:H779" si="81">VLOOKUP(G777,Expense_Lookup,2,0)</f>
        <v>Variable</v>
      </c>
      <c r="I777" s="284">
        <f t="shared" ref="I777:I779" si="82">I776+F777</f>
        <v>1550.0899999999995</v>
      </c>
      <c r="J777" s="282">
        <v>0</v>
      </c>
      <c r="K777" s="282">
        <v>0</v>
      </c>
    </row>
    <row r="778" spans="1:11" ht="18" customHeight="1" x14ac:dyDescent="0.2">
      <c r="A778" s="268">
        <f t="shared" si="79"/>
        <v>2021</v>
      </c>
      <c r="B778" s="286">
        <f t="shared" si="80"/>
        <v>9</v>
      </c>
      <c r="C778" s="321">
        <v>44468</v>
      </c>
      <c r="D778" s="321">
        <v>44468</v>
      </c>
      <c r="E778" s="287" t="s">
        <v>993</v>
      </c>
      <c r="F778" s="282">
        <v>20.71</v>
      </c>
      <c r="G778" s="282" t="s">
        <v>67</v>
      </c>
      <c r="H778" s="282" t="str">
        <f t="shared" si="81"/>
        <v>Variable</v>
      </c>
      <c r="I778" s="284">
        <f t="shared" si="82"/>
        <v>1570.7999999999995</v>
      </c>
      <c r="J778" s="282">
        <v>0</v>
      </c>
      <c r="K778" s="282">
        <v>0</v>
      </c>
    </row>
    <row r="779" spans="1:11" ht="18" customHeight="1" x14ac:dyDescent="0.2">
      <c r="A779" s="268">
        <f t="shared" si="79"/>
        <v>2021</v>
      </c>
      <c r="B779" s="286">
        <f t="shared" si="80"/>
        <v>9</v>
      </c>
      <c r="C779" s="321">
        <v>44469</v>
      </c>
      <c r="D779" s="321">
        <v>44469</v>
      </c>
      <c r="E779" s="287" t="s">
        <v>1007</v>
      </c>
      <c r="F779" s="282">
        <v>111.51</v>
      </c>
      <c r="G779" s="282" t="s">
        <v>118</v>
      </c>
      <c r="H779" s="282" t="str">
        <f t="shared" si="81"/>
        <v>Variable</v>
      </c>
      <c r="I779" s="284">
        <f t="shared" si="82"/>
        <v>1682.3099999999995</v>
      </c>
      <c r="J779" s="282" t="s">
        <v>137</v>
      </c>
      <c r="K779" s="282">
        <v>0</v>
      </c>
    </row>
  </sheetData>
  <autoFilter ref="A1:K779" xr:uid="{685C96C8-7254-425B-861C-3AE606D68153}"/>
  <conditionalFormatting sqref="S7:AB7 AB8:AB21">
    <cfRule type="colorScale" priority="3">
      <colorScale>
        <cfvo type="min"/>
        <cfvo type="percentile" val="50"/>
        <cfvo type="max"/>
        <color rgb="FF63BE7B"/>
        <color rgb="FFFFEB84"/>
        <color rgb="FFF8696B"/>
      </colorScale>
    </cfRule>
  </conditionalFormatting>
  <conditionalFormatting sqref="S8:AA19">
    <cfRule type="colorScale" priority="2">
      <colorScale>
        <cfvo type="min"/>
        <cfvo type="percentile" val="50"/>
        <cfvo type="max"/>
        <color rgb="FF63BE7B"/>
        <color rgb="FFFFEB84"/>
        <color rgb="FFF8696B"/>
      </colorScale>
    </cfRule>
  </conditionalFormatting>
  <conditionalFormatting sqref="S20:AA21">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K609 K586 K647 K2:K576" xr:uid="{49AF0B35-A8E2-4D1B-8801-34C924A4D563}">
      <formula1>Expense_Categories</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7C99-3D90-4F6E-90C3-B25A2639D502}">
  <sheetPr>
    <tabColor rgb="FF00CC99"/>
  </sheetPr>
  <dimension ref="A1:S40"/>
  <sheetViews>
    <sheetView zoomScale="85" zoomScaleNormal="85" workbookViewId="0">
      <selection activeCell="J38" sqref="J38"/>
    </sheetView>
  </sheetViews>
  <sheetFormatPr defaultRowHeight="11.25" x14ac:dyDescent="0.2"/>
  <cols>
    <col min="1" max="1" width="14.1640625" bestFit="1" customWidth="1"/>
    <col min="2" max="3" width="9.5" hidden="1" customWidth="1"/>
    <col min="4" max="4" width="3.5" style="12" hidden="1" customWidth="1"/>
    <col min="5" max="5" width="12.1640625" bestFit="1" customWidth="1"/>
    <col min="6" max="6" width="3.33203125" bestFit="1" customWidth="1"/>
    <col min="7" max="7" width="11.1640625" bestFit="1" customWidth="1"/>
    <col min="8" max="13" width="15.83203125" customWidth="1"/>
    <col min="14" max="14" width="15.83203125" style="12" customWidth="1"/>
    <col min="15" max="19" width="15.83203125" customWidth="1"/>
  </cols>
  <sheetData>
    <row r="1" spans="1:19" x14ac:dyDescent="0.2">
      <c r="A1" s="2" t="s">
        <v>298</v>
      </c>
      <c r="B1" s="2" t="s">
        <v>311</v>
      </c>
      <c r="C1" s="2" t="s">
        <v>313</v>
      </c>
      <c r="D1" s="14" t="s">
        <v>328</v>
      </c>
      <c r="E1" s="2" t="s">
        <v>299</v>
      </c>
      <c r="F1" s="2" t="s">
        <v>300</v>
      </c>
      <c r="G1" s="2" t="s">
        <v>301</v>
      </c>
      <c r="H1" s="2" t="s">
        <v>2</v>
      </c>
      <c r="I1" s="2" t="s">
        <v>302</v>
      </c>
      <c r="J1" s="2" t="s">
        <v>303</v>
      </c>
      <c r="K1" s="2" t="s">
        <v>304</v>
      </c>
      <c r="L1" s="2" t="s">
        <v>305</v>
      </c>
      <c r="M1" s="2" t="s">
        <v>278</v>
      </c>
      <c r="N1" s="14" t="s">
        <v>322</v>
      </c>
      <c r="O1" s="14" t="s">
        <v>324</v>
      </c>
      <c r="P1" s="14" t="s">
        <v>325</v>
      </c>
      <c r="Q1" s="14" t="s">
        <v>323</v>
      </c>
      <c r="R1" s="14" t="s">
        <v>326</v>
      </c>
      <c r="S1" s="14" t="s">
        <v>327</v>
      </c>
    </row>
    <row r="2" spans="1:19" x14ac:dyDescent="0.2">
      <c r="A2" t="str" cm="1">
        <f t="array" ref="A2:A32">_xlfn._xlws.SORT(_xlfn.UNIQUE(_xlfn.UNIQUE(_xlfn._xlws.FILTER(Discover!J:J, (Discover!G:G = "APP")*(Discover!J:J &lt;&gt;0)),1)))</f>
        <v>Apple Music</v>
      </c>
      <c r="B2" s="10" t="s">
        <v>4</v>
      </c>
      <c r="C2" s="10" t="s">
        <v>314</v>
      </c>
      <c r="D2" s="13" cm="1">
        <f t="array" ref="D2">AVERAGE(DAY(_xlfn.UNIQUE(_xlfn._xlws.FILTER(Discover!C:C, Discover!J:J = A2,0),1)))</f>
        <v>29</v>
      </c>
      <c r="E2" s="10">
        <f>SUMIFS(Discover!F:F,Discover!J:J,Subscriptions!A2,Discover!G:G,"APP")</f>
        <v>21.18</v>
      </c>
      <c r="F2">
        <f>COUNTIFS(Discover!J:J,Subscriptions!A2,Discover!G:G,"APP")</f>
        <v>2</v>
      </c>
      <c r="G2" s="10">
        <f>E2/F2</f>
        <v>10.59</v>
      </c>
      <c r="H2" s="10">
        <f>SUMIFS(Discover!$F:$F,Discover!$J:$J,Subscriptions!$A2,Discover!$B:$B,1,Discover!G:G,"APP")</f>
        <v>0</v>
      </c>
      <c r="I2" s="10">
        <f>SUMIFS(Discover!$F:$F,Discover!$J:$J,Subscriptions!$A2,Discover!$B:$B,2,Discover!G:G,"APP")</f>
        <v>0</v>
      </c>
      <c r="J2" s="10">
        <f>SUMIFS(Discover!$F:$F,Discover!$J:$J,Subscriptions!$A2,Discover!$B:$B,3,Discover!G:G,"APP")</f>
        <v>0</v>
      </c>
      <c r="K2" s="10">
        <f>SUMIFS(Discover!$F:$F,Discover!$J:$J,Subscriptions!$A2,Discover!$B:$B,4,Discover!G:G,"APP")</f>
        <v>0</v>
      </c>
      <c r="L2" s="10">
        <f>SUMIFS(Discover!$F:$F,Discover!$J:$J,Subscriptions!$A2,Discover!$B:$B,5,Discover!G:G,"APP")</f>
        <v>0</v>
      </c>
      <c r="M2" s="10">
        <f>SUMIFS(Discover!$F:$F,Discover!$J:$J,Subscriptions!$A2,Discover!$B:$B,6,Discover!G:G,"APP")</f>
        <v>0</v>
      </c>
      <c r="N2" s="10">
        <f>SUMIFS(Discover!$F:$F,Discover!$J:$J,Subscriptions!$A2,Discover!$B:$B,7,Discover!G:G,"APP")</f>
        <v>0</v>
      </c>
      <c r="O2" s="10">
        <f>SUMIFS(Discover!$F:$F,Discover!$J:$J,Subscriptions!$A2,Discover!$B:$B,8,Discover!G:G,"APP")</f>
        <v>10.59</v>
      </c>
      <c r="P2" s="10">
        <f>SUMIFS(Discover!$F:$F,Discover!$J:$J,Subscriptions!$A2,Discover!$B:$B,9,Discover!G:G,"APP")</f>
        <v>10.59</v>
      </c>
      <c r="Q2" s="10">
        <f>SUMIFS(Discover!$F:$F,Discover!$J:$J,Subscriptions!$A2,Discover!$B:$B,10)</f>
        <v>0</v>
      </c>
      <c r="R2" s="10">
        <f>SUMIFS(Discover!$F:$F,Discover!$J:$J,Subscriptions!$A2,Discover!$B:$B,11)</f>
        <v>0</v>
      </c>
      <c r="S2" s="10">
        <f>SUMIFS(Discover!$F:$F,Discover!$J:$J,Subscriptions!$A2,Discover!$B:$B,12)</f>
        <v>0</v>
      </c>
    </row>
    <row r="3" spans="1:19" x14ac:dyDescent="0.2">
      <c r="A3" t="str">
        <v>Apple TV+</v>
      </c>
      <c r="B3" s="10" t="s">
        <v>312</v>
      </c>
      <c r="C3" s="10" t="s">
        <v>315</v>
      </c>
      <c r="D3" s="13" cm="1">
        <f t="array" ref="D3">AVERAGE(DAY(_xlfn.UNIQUE(_xlfn._xlws.FILTER(Discover!C:C, Discover!J:J = A3,0),1)))</f>
        <v>17</v>
      </c>
      <c r="E3" s="10">
        <f>SUMIFS(Discover!F:F,Discover!J:J,Subscriptions!A3,Discover!G:G,"APP")</f>
        <v>5.29</v>
      </c>
      <c r="F3">
        <f>COUNTIFS(Discover!J:J,Subscriptions!A3,Discover!G:G,"APP")</f>
        <v>1</v>
      </c>
      <c r="G3" s="10">
        <f t="shared" ref="G3:G21" si="0">E3/F3</f>
        <v>5.29</v>
      </c>
      <c r="H3" s="10">
        <f>SUMIFS(Discover!$F:$F,Discover!$J:$J,Subscriptions!$A3,Discover!$B:$B,1,Discover!G:G,"APP")</f>
        <v>0</v>
      </c>
      <c r="I3" s="10">
        <f>SUMIFS(Discover!$F:$F,Discover!$J:$J,Subscriptions!$A3,Discover!$B:$B,2,Discover!G:G,"APP")</f>
        <v>0</v>
      </c>
      <c r="J3" s="10">
        <f>SUMIFS(Discover!$F:$F,Discover!$J:$J,Subscriptions!$A3,Discover!$B:$B,3,Discover!G:G,"APP")</f>
        <v>0</v>
      </c>
      <c r="K3" s="10">
        <f>SUMIFS(Discover!$F:$F,Discover!$J:$J,Subscriptions!$A3,Discover!$B:$B,4,Discover!G:G,"APP")</f>
        <v>0</v>
      </c>
      <c r="L3" s="10">
        <f>SUMIFS(Discover!$F:$F,Discover!$J:$J,Subscriptions!$A3,Discover!$B:$B,5,Discover!G:G,"APP")</f>
        <v>0</v>
      </c>
      <c r="M3" s="10">
        <f>SUMIFS(Discover!$F:$F,Discover!$J:$J,Subscriptions!$A3,Discover!$B:$B,6,Discover!G:G,"APP")</f>
        <v>0</v>
      </c>
      <c r="N3" s="10">
        <f>SUMIFS(Discover!$F:$F,Discover!$J:$J,Subscriptions!$A3,Discover!$B:$B,7,Discover!G:G,"APP")</f>
        <v>0</v>
      </c>
      <c r="O3" s="10">
        <f>SUMIFS(Discover!$F:$F,Discover!$J:$J,Subscriptions!$A3,Discover!$B:$B,8,Discover!G:G,"APP")</f>
        <v>0</v>
      </c>
      <c r="P3" s="10">
        <f>SUMIFS(Discover!$F:$F,Discover!$J:$J,Subscriptions!$A3,Discover!$B:$B,9,Discover!G:G,"APP")</f>
        <v>5.29</v>
      </c>
      <c r="Q3" s="10">
        <f>SUMIFS(Discover!$F:$F,Discover!$J:$J,Subscriptions!$A3,Discover!$B:$B,10)</f>
        <v>0</v>
      </c>
      <c r="R3" s="10">
        <f>SUMIFS(Discover!$F:$F,Discover!$J:$J,Subscriptions!$A3,Discover!$B:$B,11)</f>
        <v>0</v>
      </c>
      <c r="S3" s="10">
        <f>SUMIFS(Discover!$F:$F,Discover!$J:$J,Subscriptions!$A3,Discover!$B:$B,12)</f>
        <v>0</v>
      </c>
    </row>
    <row r="4" spans="1:19" x14ac:dyDescent="0.2">
      <c r="A4" t="str">
        <v>Audible</v>
      </c>
      <c r="B4" s="10" t="s">
        <v>4</v>
      </c>
      <c r="C4" s="10" t="s">
        <v>315</v>
      </c>
      <c r="D4" s="13" cm="1">
        <f t="array" ref="D4">AVERAGE(DAY(_xlfn.UNIQUE(_xlfn._xlws.FILTER(Discover!C:C, Discover!J:J = A4,0),1)))</f>
        <v>26.5</v>
      </c>
      <c r="E4" s="10">
        <f>SUMIFS(Discover!F:F,Discover!J:J,Subscriptions!A4,Discover!G:G,"APP")</f>
        <v>39.510000000000005</v>
      </c>
      <c r="F4">
        <f>COUNTIFS(Discover!J:J,Subscriptions!A4,Discover!G:G,"APP")</f>
        <v>2</v>
      </c>
      <c r="G4" s="10">
        <f t="shared" si="0"/>
        <v>19.755000000000003</v>
      </c>
      <c r="H4" s="10">
        <f>SUMIFS(Discover!$F:$F,Discover!$J:$J,Subscriptions!$A4,Discover!$B:$B,1,Discover!G:G,"APP")</f>
        <v>0</v>
      </c>
      <c r="I4" s="10">
        <f>SUMIFS(Discover!$F:$F,Discover!$J:$J,Subscriptions!$A4,Discover!$B:$B,2,Discover!G:G,"APP")</f>
        <v>0</v>
      </c>
      <c r="J4" s="10">
        <f>SUMIFS(Discover!$F:$F,Discover!$J:$J,Subscriptions!$A4,Discover!$B:$B,3,Discover!G:G,"APP")</f>
        <v>0</v>
      </c>
      <c r="K4" s="10">
        <f>SUMIFS(Discover!$F:$F,Discover!$J:$J,Subscriptions!$A4,Discover!$B:$B,4,Discover!G:G,"APP")</f>
        <v>0</v>
      </c>
      <c r="L4" s="10">
        <f>SUMIFS(Discover!$F:$F,Discover!$J:$J,Subscriptions!$A4,Discover!$B:$B,5,Discover!G:G,"APP")</f>
        <v>0</v>
      </c>
      <c r="M4" s="10">
        <f>SUMIFS(Discover!$F:$F,Discover!$J:$J,Subscriptions!$A4,Discover!$B:$B,6,Discover!G:G,"APP")</f>
        <v>0</v>
      </c>
      <c r="N4" s="10">
        <f>SUMIFS(Discover!$F:$F,Discover!$J:$J,Subscriptions!$A4,Discover!$B:$B,7,Discover!G:G,"APP")</f>
        <v>0</v>
      </c>
      <c r="O4" s="10">
        <f>SUMIFS(Discover!$F:$F,Discover!$J:$J,Subscriptions!$A4,Discover!$B:$B,8,Discover!G:G,"APP")</f>
        <v>39.510000000000005</v>
      </c>
      <c r="P4" s="10">
        <f>SUMIFS(Discover!$F:$F,Discover!$J:$J,Subscriptions!$A4,Discover!$B:$B,9,Discover!G:G,"APP")</f>
        <v>0</v>
      </c>
      <c r="Q4" s="10">
        <f>SUMIFS(Discover!$F:$F,Discover!$J:$J,Subscriptions!$A4,Discover!$B:$B,10)</f>
        <v>0</v>
      </c>
      <c r="R4" s="10">
        <f>SUMIFS(Discover!$F:$F,Discover!$J:$J,Subscriptions!$A4,Discover!$B:$B,11)</f>
        <v>0</v>
      </c>
      <c r="S4" s="10">
        <f>SUMIFS(Discover!$F:$F,Discover!$J:$J,Subscriptions!$A4,Discover!$B:$B,12)</f>
        <v>0</v>
      </c>
    </row>
    <row r="5" spans="1:19" x14ac:dyDescent="0.2">
      <c r="A5" t="str">
        <v>Bloomberg</v>
      </c>
      <c r="B5" s="10" t="s">
        <v>4</v>
      </c>
      <c r="C5" s="10" t="s">
        <v>314</v>
      </c>
      <c r="D5" s="13" cm="1">
        <f t="array" ref="D5">AVERAGE(DAY(_xlfn.UNIQUE(_xlfn._xlws.FILTER(Discover!C:C, Discover!J:J = A5,0),1)))</f>
        <v>31</v>
      </c>
      <c r="E5" s="10">
        <f>SUMIFS(Discover!F:F,Discover!J:J,Subscriptions!A5,Discover!G:G,"APP")</f>
        <v>37.090000000000003</v>
      </c>
      <c r="F5">
        <f>COUNTIFS(Discover!J:J,Subscriptions!A5,Discover!G:G,"APP")</f>
        <v>1</v>
      </c>
      <c r="G5" s="10">
        <f t="shared" si="0"/>
        <v>37.090000000000003</v>
      </c>
      <c r="H5" s="10">
        <f>SUMIFS(Discover!$F:$F,Discover!$J:$J,Subscriptions!$A5,Discover!$B:$B,1,Discover!G:G,"APP")</f>
        <v>0</v>
      </c>
      <c r="I5" s="10">
        <f>SUMIFS(Discover!$F:$F,Discover!$J:$J,Subscriptions!$A5,Discover!$B:$B,2,Discover!G:G,"APP")</f>
        <v>0</v>
      </c>
      <c r="J5" s="10">
        <f>SUMIFS(Discover!$F:$F,Discover!$J:$J,Subscriptions!$A5,Discover!$B:$B,3,Discover!G:G,"APP")</f>
        <v>0</v>
      </c>
      <c r="K5" s="10">
        <f>SUMIFS(Discover!$F:$F,Discover!$J:$J,Subscriptions!$A5,Discover!$B:$B,4,Discover!G:G,"APP")</f>
        <v>0</v>
      </c>
      <c r="L5" s="10">
        <f>SUMIFS(Discover!$F:$F,Discover!$J:$J,Subscriptions!$A5,Discover!$B:$B,5,Discover!G:G,"APP")</f>
        <v>37.090000000000003</v>
      </c>
      <c r="M5" s="10">
        <f>SUMIFS(Discover!$F:$F,Discover!$J:$J,Subscriptions!$A5,Discover!$B:$B,6,Discover!G:G,"APP")</f>
        <v>0</v>
      </c>
      <c r="N5" s="10">
        <f>SUMIFS(Discover!$F:$F,Discover!$J:$J,Subscriptions!$A5,Discover!$B:$B,7,Discover!G:G,"APP")</f>
        <v>0</v>
      </c>
      <c r="O5" s="10">
        <f>SUMIFS(Discover!$F:$F,Discover!$J:$J,Subscriptions!$A5,Discover!$B:$B,8,Discover!G:G,"APP")</f>
        <v>0</v>
      </c>
      <c r="P5" s="10">
        <f>SUMIFS(Discover!$F:$F,Discover!$J:$J,Subscriptions!$A5,Discover!$B:$B,9,Discover!G:G,"APP")</f>
        <v>0</v>
      </c>
      <c r="Q5" s="10">
        <f>SUMIFS(Discover!$F:$F,Discover!$J:$J,Subscriptions!$A5,Discover!$B:$B,10)</f>
        <v>0</v>
      </c>
      <c r="R5" s="10">
        <f>SUMIFS(Discover!$F:$F,Discover!$J:$J,Subscriptions!$A5,Discover!$B:$B,11)</f>
        <v>0</v>
      </c>
      <c r="S5" s="10">
        <f>SUMIFS(Discover!$F:$F,Discover!$J:$J,Subscriptions!$A5,Discover!$B:$B,12)</f>
        <v>0</v>
      </c>
    </row>
    <row r="6" spans="1:19" x14ac:dyDescent="0.2">
      <c r="A6" t="str">
        <v>Bumble</v>
      </c>
      <c r="B6" s="10" t="s">
        <v>4</v>
      </c>
      <c r="C6" s="10" t="s">
        <v>314</v>
      </c>
      <c r="D6" s="13" cm="1">
        <f t="array" ref="D6">AVERAGE(DAY(_xlfn.UNIQUE(_xlfn._xlws.FILTER(Discover!C:C, Discover!J:J = A6,0),1)))</f>
        <v>10</v>
      </c>
      <c r="E6" s="10">
        <f>SUMIFS(Discover!F:F,Discover!J:J,Subscriptions!A6,Discover!G:G,"APP")</f>
        <v>63.58</v>
      </c>
      <c r="F6">
        <f>COUNTIFS(Discover!J:J,Subscriptions!A6,Discover!G:G,"APP")</f>
        <v>2</v>
      </c>
      <c r="G6" s="10">
        <f t="shared" si="0"/>
        <v>31.79</v>
      </c>
      <c r="H6" s="10">
        <f>SUMIFS(Discover!$F:$F,Discover!$J:$J,Subscriptions!$A6,Discover!$B:$B,1,Discover!G:G,"APP")</f>
        <v>0</v>
      </c>
      <c r="I6" s="10">
        <f>SUMIFS(Discover!$F:$F,Discover!$J:$J,Subscriptions!$A6,Discover!$B:$B,2,Discover!G:G,"APP")</f>
        <v>0</v>
      </c>
      <c r="J6" s="10">
        <f>SUMIFS(Discover!$F:$F,Discover!$J:$J,Subscriptions!$A6,Discover!$B:$B,3,Discover!G:G,"APP")</f>
        <v>0</v>
      </c>
      <c r="K6" s="10">
        <f>SUMIFS(Discover!$F:$F,Discover!$J:$J,Subscriptions!$A6,Discover!$B:$B,4,Discover!G:G,"APP")</f>
        <v>0</v>
      </c>
      <c r="L6" s="10">
        <f>SUMIFS(Discover!$F:$F,Discover!$J:$J,Subscriptions!$A6,Discover!$B:$B,5,Discover!G:G,"APP")</f>
        <v>0</v>
      </c>
      <c r="M6" s="10">
        <f>SUMIFS(Discover!$F:$F,Discover!$J:$J,Subscriptions!$A6,Discover!$B:$B,6,Discover!G:G,"APP")</f>
        <v>0</v>
      </c>
      <c r="N6" s="10">
        <f>SUMIFS(Discover!$F:$F,Discover!$J:$J,Subscriptions!$A6,Discover!$B:$B,7,Discover!G:G,"APP")</f>
        <v>0</v>
      </c>
      <c r="O6" s="10">
        <f>SUMIFS(Discover!$F:$F,Discover!$J:$J,Subscriptions!$A6,Discover!$B:$B,8,Discover!G:G,"APP")</f>
        <v>63.58</v>
      </c>
      <c r="P6" s="10">
        <f>SUMIFS(Discover!$F:$F,Discover!$J:$J,Subscriptions!$A6,Discover!$B:$B,9,Discover!G:G,"APP")</f>
        <v>0</v>
      </c>
      <c r="Q6" s="10">
        <f>SUMIFS(Discover!$F:$F,Discover!$J:$J,Subscriptions!$A6,Discover!$B:$B,10)</f>
        <v>0</v>
      </c>
      <c r="R6" s="10">
        <f>SUMIFS(Discover!$F:$F,Discover!$J:$J,Subscriptions!$A6,Discover!$B:$B,11)</f>
        <v>0</v>
      </c>
      <c r="S6" s="10">
        <f>SUMIFS(Discover!$F:$F,Discover!$J:$J,Subscriptions!$A6,Discover!$B:$B,12)</f>
        <v>0</v>
      </c>
    </row>
    <row r="7" spans="1:19" x14ac:dyDescent="0.2">
      <c r="A7" t="str">
        <v>Catan Gold</v>
      </c>
      <c r="B7" s="10" t="s">
        <v>4</v>
      </c>
      <c r="C7" s="10" t="s">
        <v>315</v>
      </c>
      <c r="D7" s="13" cm="1">
        <f t="array" ref="D7">AVERAGE(DAY(_xlfn.UNIQUE(_xlfn._xlws.FILTER(Discover!C:C, Discover!J:J = A7,0),1)))</f>
        <v>26</v>
      </c>
      <c r="E7" s="10">
        <f>SUMIFS(Discover!F:F,Discover!J:J,Subscriptions!A7,Discover!G:G,"APP")</f>
        <v>14.99</v>
      </c>
      <c r="F7">
        <f>COUNTIFS(Discover!J:J,Subscriptions!A7,Discover!G:G,"APP")</f>
        <v>1</v>
      </c>
      <c r="G7" s="10">
        <f t="shared" si="0"/>
        <v>14.99</v>
      </c>
      <c r="H7" s="10">
        <f>SUMIFS(Discover!$F:$F,Discover!$J:$J,Subscriptions!$A7,Discover!$B:$B,1,Discover!G:G,"APP")</f>
        <v>0</v>
      </c>
      <c r="I7" s="10">
        <f>SUMIFS(Discover!$F:$F,Discover!$J:$J,Subscriptions!$A7,Discover!$B:$B,2,Discover!G:G,"APP")</f>
        <v>0</v>
      </c>
      <c r="J7" s="10">
        <f>SUMIFS(Discover!$F:$F,Discover!$J:$J,Subscriptions!$A7,Discover!$B:$B,3,Discover!G:G,"APP")</f>
        <v>14.99</v>
      </c>
      <c r="K7" s="10">
        <f>SUMIFS(Discover!$F:$F,Discover!$J:$J,Subscriptions!$A7,Discover!$B:$B,4,Discover!G:G,"APP")</f>
        <v>0</v>
      </c>
      <c r="L7" s="10">
        <f>SUMIFS(Discover!$F:$F,Discover!$J:$J,Subscriptions!$A7,Discover!$B:$B,5,Discover!G:G,"APP")</f>
        <v>0</v>
      </c>
      <c r="M7" s="10">
        <f>SUMIFS(Discover!$F:$F,Discover!$J:$J,Subscriptions!$A7,Discover!$B:$B,6,Discover!G:G,"APP")</f>
        <v>0</v>
      </c>
      <c r="N7" s="10">
        <f>SUMIFS(Discover!$F:$F,Discover!$J:$J,Subscriptions!$A7,Discover!$B:$B,7,Discover!G:G,"APP")</f>
        <v>0</v>
      </c>
      <c r="O7" s="10">
        <f>SUMIFS(Discover!$F:$F,Discover!$J:$J,Subscriptions!$A7,Discover!$B:$B,8,Discover!G:G,"APP")</f>
        <v>0</v>
      </c>
      <c r="P7" s="10">
        <f>SUMIFS(Discover!$F:$F,Discover!$J:$J,Subscriptions!$A7,Discover!$B:$B,9,Discover!G:G,"APP")</f>
        <v>0</v>
      </c>
      <c r="Q7" s="10">
        <f>SUMIFS(Discover!$F:$F,Discover!$J:$J,Subscriptions!$A7,Discover!$B:$B,10)</f>
        <v>0</v>
      </c>
      <c r="R7" s="10">
        <f>SUMIFS(Discover!$F:$F,Discover!$J:$J,Subscriptions!$A7,Discover!$B:$B,11)</f>
        <v>0</v>
      </c>
      <c r="S7" s="10">
        <f>SUMIFS(Discover!$F:$F,Discover!$J:$J,Subscriptions!$A7,Discover!$B:$B,12)</f>
        <v>0</v>
      </c>
    </row>
    <row r="8" spans="1:19" x14ac:dyDescent="0.2">
      <c r="A8" t="str">
        <v>Couple Cents</v>
      </c>
      <c r="B8" s="10" t="s">
        <v>316</v>
      </c>
      <c r="C8" s="10" t="s">
        <v>315</v>
      </c>
      <c r="D8" s="13" cm="1">
        <f t="array" ref="D8">AVERAGE(DAY(_xlfn.UNIQUE(_xlfn._xlws.FILTER(Discover!C:C, Discover!J:J = A8,0),1)))</f>
        <v>27</v>
      </c>
      <c r="E8" s="10">
        <f>SUMIFS(Discover!F:F,Discover!J:J,Subscriptions!A8,Discover!G:G,"APP")</f>
        <v>79.92</v>
      </c>
      <c r="F8">
        <f>COUNTIFS(Discover!J:J,Subscriptions!A8,Discover!G:G,"APP")</f>
        <v>8</v>
      </c>
      <c r="G8" s="10">
        <f t="shared" si="0"/>
        <v>9.99</v>
      </c>
      <c r="H8" s="10">
        <f>SUMIFS(Discover!$F:$F,Discover!$J:$J,Subscriptions!$A8,Discover!$B:$B,1,Discover!G:G,"APP")</f>
        <v>0</v>
      </c>
      <c r="I8" s="10">
        <f>SUMIFS(Discover!$F:$F,Discover!$J:$J,Subscriptions!$A8,Discover!$B:$B,2,Discover!G:G,"APP")</f>
        <v>9.99</v>
      </c>
      <c r="J8" s="10">
        <f>SUMIFS(Discover!$F:$F,Discover!$J:$J,Subscriptions!$A8,Discover!$B:$B,3,Discover!G:G,"APP")</f>
        <v>9.99</v>
      </c>
      <c r="K8" s="10">
        <f>SUMIFS(Discover!$F:$F,Discover!$J:$J,Subscriptions!$A8,Discover!$B:$B,4,Discover!G:G,"APP")</f>
        <v>9.99</v>
      </c>
      <c r="L8" s="10">
        <f>SUMIFS(Discover!$F:$F,Discover!$J:$J,Subscriptions!$A8,Discover!$B:$B,5,Discover!G:G,"APP")</f>
        <v>9.99</v>
      </c>
      <c r="M8" s="10">
        <f>SUMIFS(Discover!$F:$F,Discover!$J:$J,Subscriptions!$A8,Discover!$B:$B,6,Discover!G:G,"APP")</f>
        <v>9.99</v>
      </c>
      <c r="N8" s="10">
        <f>SUMIFS(Discover!$F:$F,Discover!$J:$J,Subscriptions!$A8,Discover!$B:$B,7,Discover!G:G,"APP")</f>
        <v>9.99</v>
      </c>
      <c r="O8" s="10">
        <f>SUMIFS(Discover!$F:$F,Discover!$J:$J,Subscriptions!$A8,Discover!$B:$B,8,Discover!G:G,"APP")</f>
        <v>9.99</v>
      </c>
      <c r="P8" s="10">
        <f>SUMIFS(Discover!$F:$F,Discover!$J:$J,Subscriptions!$A8,Discover!$B:$B,9,Discover!G:G,"APP")</f>
        <v>9.99</v>
      </c>
      <c r="Q8" s="10">
        <f>SUMIFS(Discover!$F:$F,Discover!$J:$J,Subscriptions!$A8,Discover!$B:$B,10)</f>
        <v>0</v>
      </c>
      <c r="R8" s="10">
        <f>SUMIFS(Discover!$F:$F,Discover!$J:$J,Subscriptions!$A8,Discover!$B:$B,11)</f>
        <v>0</v>
      </c>
      <c r="S8" s="10">
        <f>SUMIFS(Discover!$F:$F,Discover!$J:$J,Subscriptions!$A8,Discover!$B:$B,12)</f>
        <v>0</v>
      </c>
    </row>
    <row r="9" spans="1:19" x14ac:dyDescent="0.2">
      <c r="A9" t="str">
        <v>Credit Score</v>
      </c>
      <c r="B9" s="10" t="s">
        <v>4</v>
      </c>
      <c r="C9" s="10" t="s">
        <v>314</v>
      </c>
      <c r="D9" s="13" cm="1">
        <f t="array" ref="D9">AVERAGE(DAY(_xlfn.UNIQUE(_xlfn._xlws.FILTER(Discover!C:C, Discover!J:J = A9,0),1)))</f>
        <v>5</v>
      </c>
      <c r="E9" s="10">
        <f>SUMIFS(Discover!F:F,Discover!J:J,Subscriptions!A9,Discover!G:G,"APP")</f>
        <v>39.950000000000003</v>
      </c>
      <c r="F9">
        <f>COUNTIFS(Discover!J:J,Subscriptions!A9,Discover!G:G,"APP")</f>
        <v>1</v>
      </c>
      <c r="G9" s="10">
        <f t="shared" si="0"/>
        <v>39.950000000000003</v>
      </c>
      <c r="H9" s="10">
        <f>SUMIFS(Discover!$F:$F,Discover!$J:$J,Subscriptions!$A9,Discover!$B:$B,1,Discover!G:G,"APP")</f>
        <v>39.950000000000003</v>
      </c>
      <c r="I9" s="10">
        <f>SUMIFS(Discover!$F:$F,Discover!$J:$J,Subscriptions!$A9,Discover!$B:$B,2,Discover!G:G,"APP")</f>
        <v>0</v>
      </c>
      <c r="J9" s="10">
        <f>SUMIFS(Discover!$F:$F,Discover!$J:$J,Subscriptions!$A9,Discover!$B:$B,3,Discover!G:G,"APP")</f>
        <v>0</v>
      </c>
      <c r="K9" s="10">
        <f>SUMIFS(Discover!$F:$F,Discover!$J:$J,Subscriptions!$A9,Discover!$B:$B,4,Discover!G:G,"APP")</f>
        <v>0</v>
      </c>
      <c r="L9" s="10">
        <f>SUMIFS(Discover!$F:$F,Discover!$J:$J,Subscriptions!$A9,Discover!$B:$B,5,Discover!G:G,"APP")</f>
        <v>0</v>
      </c>
      <c r="M9" s="10">
        <f>SUMIFS(Discover!$F:$F,Discover!$J:$J,Subscriptions!$A9,Discover!$B:$B,6,Discover!G:G,"APP")</f>
        <v>0</v>
      </c>
      <c r="N9" s="10">
        <f>SUMIFS(Discover!$F:$F,Discover!$J:$J,Subscriptions!$A9,Discover!$B:$B,7,Discover!G:G,"APP")</f>
        <v>0</v>
      </c>
      <c r="O9" s="10">
        <f>SUMIFS(Discover!$F:$F,Discover!$J:$J,Subscriptions!$A9,Discover!$B:$B,8,Discover!G:G,"APP")</f>
        <v>0</v>
      </c>
      <c r="P9" s="10">
        <f>SUMIFS(Discover!$F:$F,Discover!$J:$J,Subscriptions!$A9,Discover!$B:$B,9,Discover!G:G,"APP")</f>
        <v>0</v>
      </c>
      <c r="Q9" s="10">
        <f>SUMIFS(Discover!$F:$F,Discover!$J:$J,Subscriptions!$A9,Discover!$B:$B,10)</f>
        <v>0</v>
      </c>
      <c r="R9" s="10">
        <f>SUMIFS(Discover!$F:$F,Discover!$J:$J,Subscriptions!$A9,Discover!$B:$B,11)</f>
        <v>0</v>
      </c>
      <c r="S9" s="10">
        <f>SUMIFS(Discover!$F:$F,Discover!$J:$J,Subscriptions!$A9,Discover!$B:$B,12)</f>
        <v>0</v>
      </c>
    </row>
    <row r="10" spans="1:19" x14ac:dyDescent="0.2">
      <c r="A10" t="str">
        <v>Crunch Fitness</v>
      </c>
      <c r="B10" s="10" t="s">
        <v>321</v>
      </c>
      <c r="C10" s="10" t="s">
        <v>315</v>
      </c>
      <c r="D10" s="13" cm="1">
        <f t="array" ref="D10">AVERAGE(DAY(_xlfn.UNIQUE(_xlfn._xlws.FILTER(Discover!C:C, Discover!J:J = A10,0),1)))</f>
        <v>28</v>
      </c>
      <c r="E10" s="10">
        <f>SUMIFS(Discover!F:F,Discover!J:J,Subscriptions!A10,Discover!G:G,"APP")</f>
        <v>29.849999999999998</v>
      </c>
      <c r="F10">
        <f>COUNTIFS(Discover!J:J,Subscriptions!A10,Discover!G:G,"APP")</f>
        <v>3</v>
      </c>
      <c r="G10" s="10">
        <f t="shared" si="0"/>
        <v>9.9499999999999993</v>
      </c>
      <c r="H10" s="10">
        <f>SUMIFS(Discover!$F:$F,Discover!$J:$J,Subscriptions!$A10,Discover!$B:$B,1,Discover!G:G,"APP")</f>
        <v>9.9499999999999993</v>
      </c>
      <c r="I10" s="10">
        <f>SUMIFS(Discover!$F:$F,Discover!$J:$J,Subscriptions!$A10,Discover!$B:$B,2,Discover!G:G,"APP")</f>
        <v>9.9499999999999993</v>
      </c>
      <c r="J10" s="10">
        <f>SUMIFS(Discover!$F:$F,Discover!$J:$J,Subscriptions!$A10,Discover!$B:$B,3,Discover!G:G,"APP")</f>
        <v>9.9499999999999993</v>
      </c>
      <c r="K10" s="10">
        <f>SUMIFS(Discover!$F:$F,Discover!$J:$J,Subscriptions!$A10,Discover!$B:$B,4,Discover!G:G,"APP")</f>
        <v>0</v>
      </c>
      <c r="L10" s="10">
        <f>SUMIFS(Discover!$F:$F,Discover!$J:$J,Subscriptions!$A10,Discover!$B:$B,5,Discover!G:G,"APP")</f>
        <v>0</v>
      </c>
      <c r="M10" s="10">
        <f>SUMIFS(Discover!$F:$F,Discover!$J:$J,Subscriptions!$A10,Discover!$B:$B,6,Discover!G:G,"APP")</f>
        <v>0</v>
      </c>
      <c r="N10" s="10">
        <f>SUMIFS(Discover!$F:$F,Discover!$J:$J,Subscriptions!$A10,Discover!$B:$B,7,Discover!G:G,"APP")</f>
        <v>0</v>
      </c>
      <c r="O10" s="10">
        <f>SUMIFS(Discover!$F:$F,Discover!$J:$J,Subscriptions!$A10,Discover!$B:$B,8,Discover!G:G,"APP")</f>
        <v>0</v>
      </c>
      <c r="P10" s="10">
        <f>SUMIFS(Discover!$F:$F,Discover!$J:$J,Subscriptions!$A10,Discover!$B:$B,9,Discover!G:G,"APP")</f>
        <v>0</v>
      </c>
      <c r="Q10" s="10">
        <f>SUMIFS(Discover!$F:$F,Discover!$J:$J,Subscriptions!$A10,Discover!$B:$B,10)</f>
        <v>0</v>
      </c>
      <c r="R10" s="10">
        <f>SUMIFS(Discover!$F:$F,Discover!$J:$J,Subscriptions!$A10,Discover!$B:$B,11)</f>
        <v>0</v>
      </c>
      <c r="S10" s="10">
        <f>SUMIFS(Discover!$F:$F,Discover!$J:$J,Subscriptions!$A10,Discover!$B:$B,12)</f>
        <v>0</v>
      </c>
    </row>
    <row r="11" spans="1:19" x14ac:dyDescent="0.2">
      <c r="A11" t="str">
        <v>Crunchyroll</v>
      </c>
      <c r="B11" s="10" t="s">
        <v>317</v>
      </c>
      <c r="C11" s="10" t="s">
        <v>314</v>
      </c>
      <c r="D11" s="13" cm="1">
        <f t="array" ref="D11">AVERAGE(DAY(_xlfn.UNIQUE(_xlfn._xlws.FILTER(Discover!C:C, Discover!J:J = A11,0),1)))</f>
        <v>21.111111111111111</v>
      </c>
      <c r="E11" s="10">
        <f>SUMIFS(Discover!F:F,Discover!J:J,Subscriptions!A11,Discover!G:G,"APP")</f>
        <v>71.910000000000011</v>
      </c>
      <c r="F11">
        <f>COUNTIFS(Discover!J:J,Subscriptions!A11,Discover!G:G,"APP")</f>
        <v>9</v>
      </c>
      <c r="G11" s="10">
        <f t="shared" si="0"/>
        <v>7.9900000000000011</v>
      </c>
      <c r="H11" s="10">
        <f>SUMIFS(Discover!$F:$F,Discover!$J:$J,Subscriptions!$A11,Discover!$B:$B,1,Discover!G:G,"APP")</f>
        <v>7.99</v>
      </c>
      <c r="I11" s="10">
        <f>SUMIFS(Discover!$F:$F,Discover!$J:$J,Subscriptions!$A11,Discover!$B:$B,2,Discover!G:G,"APP")</f>
        <v>7.99</v>
      </c>
      <c r="J11" s="10">
        <f>SUMIFS(Discover!$F:$F,Discover!$J:$J,Subscriptions!$A11,Discover!$B:$B,3,Discover!G:G,"APP")</f>
        <v>7.99</v>
      </c>
      <c r="K11" s="10">
        <f>SUMIFS(Discover!$F:$F,Discover!$J:$J,Subscriptions!$A11,Discover!$B:$B,4,Discover!G:G,"APP")</f>
        <v>7.99</v>
      </c>
      <c r="L11" s="10">
        <f>SUMIFS(Discover!$F:$F,Discover!$J:$J,Subscriptions!$A11,Discover!$B:$B,5,Discover!G:G,"APP")</f>
        <v>7.99</v>
      </c>
      <c r="M11" s="10">
        <f>SUMIFS(Discover!$F:$F,Discover!$J:$J,Subscriptions!$A11,Discover!$B:$B,6,Discover!G:G,"APP")</f>
        <v>7.99</v>
      </c>
      <c r="N11" s="10">
        <f>SUMIFS(Discover!$F:$F,Discover!$J:$J,Subscriptions!$A11,Discover!$B:$B,7,Discover!G:G,"APP")</f>
        <v>7.99</v>
      </c>
      <c r="O11" s="10">
        <f>SUMIFS(Discover!$F:$F,Discover!$J:$J,Subscriptions!$A11,Discover!$B:$B,8,Discover!G:G,"APP")</f>
        <v>7.99</v>
      </c>
      <c r="P11" s="10">
        <f>SUMIFS(Discover!$F:$F,Discover!$J:$J,Subscriptions!$A11,Discover!$B:$B,9,Discover!G:G,"APP")</f>
        <v>7.99</v>
      </c>
      <c r="Q11" s="10">
        <f>SUMIFS(Discover!$F:$F,Discover!$J:$J,Subscriptions!$A11,Discover!$B:$B,10)</f>
        <v>0</v>
      </c>
      <c r="R11" s="10">
        <f>SUMIFS(Discover!$F:$F,Discover!$J:$J,Subscriptions!$A11,Discover!$B:$B,11)</f>
        <v>0</v>
      </c>
      <c r="S11" s="10">
        <f>SUMIFS(Discover!$F:$F,Discover!$J:$J,Subscriptions!$A11,Discover!$B:$B,12)</f>
        <v>0</v>
      </c>
    </row>
    <row r="12" spans="1:19" x14ac:dyDescent="0.2">
      <c r="A12" t="str">
        <v xml:space="preserve">Final Fantasy </v>
      </c>
      <c r="B12" s="10" t="s">
        <v>318</v>
      </c>
      <c r="C12" s="10" t="s">
        <v>314</v>
      </c>
      <c r="D12" s="13" cm="1">
        <f t="array" ref="D12">AVERAGE(DAY(_xlfn.UNIQUE(_xlfn._xlws.FILTER(Discover!C:C, Discover!J:J = A12,0),1)))</f>
        <v>9.5</v>
      </c>
      <c r="E12" s="10">
        <f>SUMIFS(Discover!F:F,Discover!J:J,Subscriptions!A12,Discover!G:G,"APP")</f>
        <v>155.88</v>
      </c>
      <c r="F12">
        <f>COUNTIFS(Discover!J:J,Subscriptions!A12,Discover!G:G,"APP")</f>
        <v>2</v>
      </c>
      <c r="G12" s="10">
        <f t="shared" si="0"/>
        <v>77.94</v>
      </c>
      <c r="H12" s="10">
        <f>SUMIFS(Discover!$F:$F,Discover!$J:$J,Subscriptions!$A12,Discover!$B:$B,1,Discover!G:G,"APP")</f>
        <v>0</v>
      </c>
      <c r="I12" s="10">
        <f>SUMIFS(Discover!$F:$F,Discover!$J:$J,Subscriptions!$A12,Discover!$B:$B,2,Discover!G:G,"APP")</f>
        <v>0</v>
      </c>
      <c r="J12" s="10">
        <f>SUMIFS(Discover!$F:$F,Discover!$J:$J,Subscriptions!$A12,Discover!$B:$B,3,Discover!G:G,"APP")</f>
        <v>0</v>
      </c>
      <c r="K12" s="10">
        <f>SUMIFS(Discover!$F:$F,Discover!$J:$J,Subscriptions!$A12,Discover!$B:$B,4,Discover!G:G,"APP")</f>
        <v>0</v>
      </c>
      <c r="L12" s="10">
        <f>SUMIFS(Discover!$F:$F,Discover!$J:$J,Subscriptions!$A12,Discover!$B:$B,5,Discover!G:G,"APP")</f>
        <v>77.94</v>
      </c>
      <c r="M12" s="10">
        <f>SUMIFS(Discover!$F:$F,Discover!$J:$J,Subscriptions!$A12,Discover!$B:$B,6,Discover!G:G,"APP")</f>
        <v>77.94</v>
      </c>
      <c r="N12" s="10">
        <f>SUMIFS(Discover!$F:$F,Discover!$J:$J,Subscriptions!$A12,Discover!$B:$B,7,Discover!G:G,"APP")</f>
        <v>0</v>
      </c>
      <c r="O12" s="10">
        <f>SUMIFS(Discover!$F:$F,Discover!$J:$J,Subscriptions!$A12,Discover!$B:$B,8,Discover!G:G,"APP")</f>
        <v>0</v>
      </c>
      <c r="P12" s="10">
        <f>SUMIFS(Discover!$F:$F,Discover!$J:$J,Subscriptions!$A12,Discover!$B:$B,9,Discover!G:G,"APP")</f>
        <v>0</v>
      </c>
      <c r="Q12" s="10">
        <f>SUMIFS(Discover!$F:$F,Discover!$J:$J,Subscriptions!$A12,Discover!$B:$B,10)</f>
        <v>0</v>
      </c>
      <c r="R12" s="10">
        <f>SUMIFS(Discover!$F:$F,Discover!$J:$J,Subscriptions!$A12,Discover!$B:$B,11)</f>
        <v>0</v>
      </c>
      <c r="S12" s="10">
        <f>SUMIFS(Discover!$F:$F,Discover!$J:$J,Subscriptions!$A12,Discover!$B:$B,12)</f>
        <v>0</v>
      </c>
    </row>
    <row r="13" spans="1:19" x14ac:dyDescent="0.2">
      <c r="A13" t="str">
        <v>Finimize</v>
      </c>
      <c r="B13" s="10" t="s">
        <v>4</v>
      </c>
      <c r="C13" s="10" t="s">
        <v>315</v>
      </c>
      <c r="D13" s="13" cm="1">
        <f t="array" ref="D13">AVERAGE(DAY(_xlfn.UNIQUE(_xlfn._xlws.FILTER(Discover!C:C, Discover!J:J = A13,0),1)))</f>
        <v>14</v>
      </c>
      <c r="E13" s="10">
        <f>SUMIFS(Discover!F:F,Discover!J:J,Subscriptions!A13,Discover!G:G,"APP")</f>
        <v>79.989999999999995</v>
      </c>
      <c r="F13">
        <f>COUNTIFS(Discover!J:J,Subscriptions!A13,Discover!G:G,"APP")</f>
        <v>1</v>
      </c>
      <c r="G13" s="10">
        <f t="shared" si="0"/>
        <v>79.989999999999995</v>
      </c>
      <c r="H13" s="10">
        <f>SUMIFS(Discover!$F:$F,Discover!$J:$J,Subscriptions!$A13,Discover!$B:$B,1,Discover!G:G,"APP")</f>
        <v>0</v>
      </c>
      <c r="I13" s="10">
        <f>SUMIFS(Discover!$F:$F,Discover!$J:$J,Subscriptions!$A13,Discover!$B:$B,2,Discover!G:G,"APP")</f>
        <v>0</v>
      </c>
      <c r="J13" s="10">
        <f>SUMIFS(Discover!$F:$F,Discover!$J:$J,Subscriptions!$A13,Discover!$B:$B,3,Discover!G:G,"APP")</f>
        <v>79.989999999999995</v>
      </c>
      <c r="K13" s="10">
        <f>SUMIFS(Discover!$F:$F,Discover!$J:$J,Subscriptions!$A13,Discover!$B:$B,4,Discover!G:G,"APP")</f>
        <v>0</v>
      </c>
      <c r="L13" s="10">
        <f>SUMIFS(Discover!$F:$F,Discover!$J:$J,Subscriptions!$A13,Discover!$B:$B,5,Discover!G:G,"APP")</f>
        <v>0</v>
      </c>
      <c r="M13" s="10">
        <f>SUMIFS(Discover!$F:$F,Discover!$J:$J,Subscriptions!$A13,Discover!$B:$B,6,Discover!G:G,"APP")</f>
        <v>0</v>
      </c>
      <c r="N13" s="10">
        <f>SUMIFS(Discover!$F:$F,Discover!$J:$J,Subscriptions!$A13,Discover!$B:$B,7,Discover!G:G,"APP")</f>
        <v>0</v>
      </c>
      <c r="O13" s="10">
        <f>SUMIFS(Discover!$F:$F,Discover!$J:$J,Subscriptions!$A13,Discover!$B:$B,8,Discover!G:G,"APP")</f>
        <v>0</v>
      </c>
      <c r="P13" s="10">
        <f>SUMIFS(Discover!$F:$F,Discover!$J:$J,Subscriptions!$A13,Discover!$B:$B,9,Discover!G:G,"APP")</f>
        <v>0</v>
      </c>
      <c r="Q13" s="10">
        <f>SUMIFS(Discover!$F:$F,Discover!$J:$J,Subscriptions!$A13,Discover!$B:$B,10)</f>
        <v>0</v>
      </c>
      <c r="R13" s="10">
        <f>SUMIFS(Discover!$F:$F,Discover!$J:$J,Subscriptions!$A13,Discover!$B:$B,11)</f>
        <v>0</v>
      </c>
      <c r="S13" s="10">
        <f>SUMIFS(Discover!$F:$F,Discover!$J:$J,Subscriptions!$A13,Discover!$B:$B,12)</f>
        <v>0</v>
      </c>
    </row>
    <row r="14" spans="1:19" x14ac:dyDescent="0.2">
      <c r="A14" t="str">
        <v>fraud</v>
      </c>
      <c r="B14" s="10" t="s">
        <v>4</v>
      </c>
      <c r="C14" s="10" t="s">
        <v>315</v>
      </c>
      <c r="D14" s="13" cm="1">
        <f t="array" ref="D14">AVERAGE(DAY(_xlfn.UNIQUE(_xlfn._xlws.FILTER(Discover!C:C, Discover!J:J = A14,0),1)))</f>
        <v>14</v>
      </c>
      <c r="E14" s="10">
        <f>SUMIFS(Discover!F:F,Discover!J:J,Subscriptions!A14,Discover!G:G,"APP")</f>
        <v>3.99</v>
      </c>
      <c r="F14">
        <f>COUNTIFS(Discover!J:J,Subscriptions!A14,Discover!G:G,"APP")</f>
        <v>1</v>
      </c>
      <c r="G14" s="10">
        <f t="shared" si="0"/>
        <v>3.99</v>
      </c>
      <c r="H14" s="10">
        <f>SUMIFS(Discover!$F:$F,Discover!$J:$J,Subscriptions!$A14,Discover!$B:$B,1,Discover!G:G,"APP")</f>
        <v>0</v>
      </c>
      <c r="I14" s="10">
        <f>SUMIFS(Discover!$F:$F,Discover!$J:$J,Subscriptions!$A14,Discover!$B:$B,2,Discover!G:G,"APP")</f>
        <v>0</v>
      </c>
      <c r="J14" s="10">
        <f>SUMIFS(Discover!$F:$F,Discover!$J:$J,Subscriptions!$A14,Discover!$B:$B,3,Discover!G:G,"APP")</f>
        <v>0</v>
      </c>
      <c r="K14" s="10">
        <f>SUMIFS(Discover!$F:$F,Discover!$J:$J,Subscriptions!$A14,Discover!$B:$B,4,Discover!G:G,"APP")</f>
        <v>0</v>
      </c>
      <c r="L14" s="10">
        <f>SUMIFS(Discover!$F:$F,Discover!$J:$J,Subscriptions!$A14,Discover!$B:$B,5,Discover!G:G,"APP")</f>
        <v>0</v>
      </c>
      <c r="M14" s="10">
        <f>SUMIFS(Discover!$F:$F,Discover!$J:$J,Subscriptions!$A14,Discover!$B:$B,6,Discover!G:G,"APP")</f>
        <v>0</v>
      </c>
      <c r="N14" s="10">
        <f>SUMIFS(Discover!$F:$F,Discover!$J:$J,Subscriptions!$A14,Discover!$B:$B,7,Discover!G:G,"APP")</f>
        <v>0</v>
      </c>
      <c r="O14" s="10">
        <f>SUMIFS(Discover!$F:$F,Discover!$J:$J,Subscriptions!$A14,Discover!$B:$B,8,Discover!G:G,"APP")</f>
        <v>3.99</v>
      </c>
      <c r="P14" s="10">
        <f>SUMIFS(Discover!$F:$F,Discover!$J:$J,Subscriptions!$A14,Discover!$B:$B,9,Discover!G:G,"APP")</f>
        <v>0</v>
      </c>
      <c r="Q14" s="10">
        <f>SUMIFS(Discover!$F:$F,Discover!$J:$J,Subscriptions!$A14,Discover!$B:$B,10)</f>
        <v>0</v>
      </c>
      <c r="R14" s="10">
        <f>SUMIFS(Discover!$F:$F,Discover!$J:$J,Subscriptions!$A14,Discover!$B:$B,11)</f>
        <v>0</v>
      </c>
      <c r="S14" s="10">
        <f>SUMIFS(Discover!$F:$F,Discover!$J:$J,Subscriptions!$A14,Discover!$B:$B,12)</f>
        <v>0</v>
      </c>
    </row>
    <row r="15" spans="1:19" x14ac:dyDescent="0.2">
      <c r="A15" t="str">
        <v>Funimation</v>
      </c>
      <c r="B15" s="16"/>
      <c r="C15" s="16"/>
      <c r="D15" s="17"/>
      <c r="E15" s="10">
        <f>SUMIFS(Discover!F:F,Discover!J:J,Subscriptions!A15,Discover!G:G,"APP")</f>
        <v>8.4700000000000006</v>
      </c>
      <c r="F15">
        <f>COUNTIFS(Discover!J:J,Subscriptions!A15,Discover!G:G,"APP")</f>
        <v>1</v>
      </c>
      <c r="G15" s="10">
        <f t="shared" si="0"/>
        <v>8.4700000000000006</v>
      </c>
      <c r="H15" s="10">
        <f>SUMIFS(Discover!$F:$F,Discover!$J:$J,Subscriptions!$A15,Discover!$B:$B,1,Discover!G:G,"APP")</f>
        <v>0</v>
      </c>
      <c r="I15" s="10">
        <f>SUMIFS(Discover!$F:$F,Discover!$J:$J,Subscriptions!$A15,Discover!$B:$B,2,Discover!G:G,"APP")</f>
        <v>0</v>
      </c>
      <c r="J15" s="10">
        <f>SUMIFS(Discover!$F:$F,Discover!$J:$J,Subscriptions!$A15,Discover!$B:$B,3,Discover!G:G,"APP")</f>
        <v>0</v>
      </c>
      <c r="K15" s="10">
        <f>SUMIFS(Discover!$F:$F,Discover!$J:$J,Subscriptions!$A15,Discover!$B:$B,4,Discover!G:G,"APP")</f>
        <v>0</v>
      </c>
      <c r="L15" s="10">
        <f>SUMIFS(Discover!$F:$F,Discover!$J:$J,Subscriptions!$A15,Discover!$B:$B,5,Discover!G:G,"APP")</f>
        <v>0</v>
      </c>
      <c r="M15" s="10">
        <f>SUMIFS(Discover!$F:$F,Discover!$J:$J,Subscriptions!$A15,Discover!$B:$B,6,Discover!G:G,"APP")</f>
        <v>0</v>
      </c>
      <c r="N15" s="10">
        <f>SUMIFS(Discover!$F:$F,Discover!$J:$J,Subscriptions!$A15,Discover!$B:$B,7,Discover!G:G,"APP")</f>
        <v>0</v>
      </c>
      <c r="O15" s="10">
        <f>SUMIFS(Discover!$F:$F,Discover!$J:$J,Subscriptions!$A15,Discover!$B:$B,8,Discover!G:G,"APP")</f>
        <v>8.4700000000000006</v>
      </c>
      <c r="P15" s="10">
        <f>SUMIFS(Discover!$F:$F,Discover!$J:$J,Subscriptions!$A15,Discover!$B:$B,9,Discover!G:G,"APP")</f>
        <v>0</v>
      </c>
      <c r="Q15" s="10">
        <f>SUMIFS(Discover!$F:$F,Discover!$J:$J,Subscriptions!$A15,Discover!$B:$B,10)</f>
        <v>0</v>
      </c>
      <c r="R15" s="10">
        <f>SUMIFS(Discover!$F:$F,Discover!$J:$J,Subscriptions!$A15,Discover!$B:$B,11)</f>
        <v>0</v>
      </c>
      <c r="S15" s="10">
        <f>SUMIFS(Discover!$F:$F,Discover!$J:$J,Subscriptions!$A15,Discover!$B:$B,12)</f>
        <v>0</v>
      </c>
    </row>
    <row r="16" spans="1:19" x14ac:dyDescent="0.2">
      <c r="A16" t="str">
        <v>GuitarTuna</v>
      </c>
      <c r="B16" s="10" t="s">
        <v>4</v>
      </c>
      <c r="C16" s="10" t="s">
        <v>315</v>
      </c>
      <c r="D16" s="13" cm="1">
        <f t="array" ref="D16">AVERAGE(DAY(_xlfn.UNIQUE(_xlfn._xlws.FILTER(Discover!C:C, Discover!J:J = A16,0),1)))</f>
        <v>25</v>
      </c>
      <c r="E16" s="10">
        <f>SUMIFS(Discover!F:F,Discover!J:J,Subscriptions!A16,Discover!G:G,"APP")</f>
        <v>5.29</v>
      </c>
      <c r="F16">
        <f>COUNTIFS(Discover!J:J,Subscriptions!A16,Discover!G:G,"APP")</f>
        <v>1</v>
      </c>
      <c r="G16" s="10">
        <f t="shared" si="0"/>
        <v>5.29</v>
      </c>
      <c r="H16" s="10">
        <f>SUMIFS(Discover!$F:$F,Discover!$J:$J,Subscriptions!$A16,Discover!$B:$B,1,Discover!G:G,"APP")</f>
        <v>0</v>
      </c>
      <c r="I16" s="10">
        <f>SUMIFS(Discover!$F:$F,Discover!$J:$J,Subscriptions!$A16,Discover!$B:$B,2,Discover!G:G,"APP")</f>
        <v>0</v>
      </c>
      <c r="J16" s="10">
        <f>SUMIFS(Discover!$F:$F,Discover!$J:$J,Subscriptions!$A16,Discover!$B:$B,3,Discover!G:G,"APP")</f>
        <v>0</v>
      </c>
      <c r="K16" s="10">
        <f>SUMIFS(Discover!$F:$F,Discover!$J:$J,Subscriptions!$A16,Discover!$B:$B,4,Discover!G:G,"APP")</f>
        <v>0</v>
      </c>
      <c r="L16" s="10">
        <f>SUMIFS(Discover!$F:$F,Discover!$J:$J,Subscriptions!$A16,Discover!$B:$B,5,Discover!G:G,"APP")</f>
        <v>5.29</v>
      </c>
      <c r="M16" s="10">
        <f>SUMIFS(Discover!$F:$F,Discover!$J:$J,Subscriptions!$A16,Discover!$B:$B,6,Discover!G:G,"APP")</f>
        <v>0</v>
      </c>
      <c r="N16" s="10">
        <f>SUMIFS(Discover!$F:$F,Discover!$J:$J,Subscriptions!$A16,Discover!$B:$B,7,Discover!G:G,"APP")</f>
        <v>0</v>
      </c>
      <c r="O16" s="10">
        <f>SUMIFS(Discover!$F:$F,Discover!$J:$J,Subscriptions!$A16,Discover!$B:$B,8,Discover!G:G,"APP")</f>
        <v>0</v>
      </c>
      <c r="P16" s="10">
        <f>SUMIFS(Discover!$F:$F,Discover!$J:$J,Subscriptions!$A16,Discover!$B:$B,9,Discover!G:G,"APP")</f>
        <v>0</v>
      </c>
      <c r="Q16" s="10">
        <f>SUMIFS(Discover!$F:$F,Discover!$J:$J,Subscriptions!$A16,Discover!$B:$B,10)</f>
        <v>0</v>
      </c>
      <c r="R16" s="10">
        <f>SUMIFS(Discover!$F:$F,Discover!$J:$J,Subscriptions!$A16,Discover!$B:$B,11)</f>
        <v>0</v>
      </c>
      <c r="S16" s="10">
        <f>SUMIFS(Discover!$F:$F,Discover!$J:$J,Subscriptions!$A16,Discover!$B:$B,12)</f>
        <v>0</v>
      </c>
    </row>
    <row r="17" spans="1:19" x14ac:dyDescent="0.2">
      <c r="A17" t="str">
        <v>HBO</v>
      </c>
      <c r="B17" s="10" t="s">
        <v>4</v>
      </c>
      <c r="C17" s="10" t="s">
        <v>315</v>
      </c>
      <c r="D17" s="13" cm="1">
        <f t="array" ref="D17">AVERAGE(DAY(_xlfn.UNIQUE(_xlfn._xlws.FILTER(Discover!C:C, Discover!J:J = A17,0),1)))</f>
        <v>11.4</v>
      </c>
      <c r="E17" s="10">
        <f>SUMIFS(Discover!F:F,Discover!J:J,Subscriptions!A17,Discover!G:G,"APP")</f>
        <v>202.81</v>
      </c>
      <c r="F17">
        <f>COUNTIFS(Discover!J:J,Subscriptions!A17,Discover!G:G,"APP")</f>
        <v>10</v>
      </c>
      <c r="G17" s="10">
        <f t="shared" si="0"/>
        <v>20.280999999999999</v>
      </c>
      <c r="H17" s="10">
        <f>SUMIFS(Discover!$F:$F,Discover!$J:$J,Subscriptions!$A17,Discover!$B:$B,1,Discover!G:G,"APP")</f>
        <v>14.99</v>
      </c>
      <c r="I17" s="10">
        <f>SUMIFS(Discover!$F:$F,Discover!$J:$J,Subscriptions!$A17,Discover!$B:$B,2,Discover!G:G,"APP")</f>
        <v>14.99</v>
      </c>
      <c r="J17" s="10">
        <f>SUMIFS(Discover!$F:$F,Discover!$J:$J,Subscriptions!$A17,Discover!$B:$B,3,Discover!G:G,"APP")</f>
        <v>14.99</v>
      </c>
      <c r="K17" s="10">
        <f>SUMIFS(Discover!$F:$F,Discover!$J:$J,Subscriptions!$A17,Discover!$B:$B,4,Discover!G:G,"APP")</f>
        <v>15.89</v>
      </c>
      <c r="L17" s="10">
        <f>SUMIFS(Discover!$F:$F,Discover!$J:$J,Subscriptions!$A17,Discover!$B:$B,5,Discover!G:G,"APP")</f>
        <v>15.89</v>
      </c>
      <c r="M17" s="10">
        <f>SUMIFS(Discover!$F:$F,Discover!$J:$J,Subscriptions!$A17,Discover!$B:$B,6,Discover!G:G,"APP")</f>
        <v>15.89</v>
      </c>
      <c r="N17" s="10">
        <f>SUMIFS(Discover!$F:$F,Discover!$J:$J,Subscriptions!$A17,Discover!$B:$B,7,Discover!G:G,"APP")</f>
        <v>15.89</v>
      </c>
      <c r="O17" s="10">
        <f>SUMIFS(Discover!$F:$F,Discover!$J:$J,Subscriptions!$A17,Discover!$B:$B,8,Discover!G:G,"APP")</f>
        <v>54.03</v>
      </c>
      <c r="P17" s="10">
        <f>SUMIFS(Discover!$F:$F,Discover!$J:$J,Subscriptions!$A17,Discover!$B:$B,9,Discover!G:G,"APP")</f>
        <v>40.25</v>
      </c>
      <c r="Q17" s="10">
        <f>SUMIFS(Discover!$F:$F,Discover!$J:$J,Subscriptions!$A17,Discover!$B:$B,10)</f>
        <v>0</v>
      </c>
      <c r="R17" s="10">
        <f>SUMIFS(Discover!$F:$F,Discover!$J:$J,Subscriptions!$A17,Discover!$B:$B,11)</f>
        <v>0</v>
      </c>
      <c r="S17" s="10">
        <f>SUMIFS(Discover!$F:$F,Discover!$J:$J,Subscriptions!$A17,Discover!$B:$B,12)</f>
        <v>0</v>
      </c>
    </row>
    <row r="18" spans="1:19" x14ac:dyDescent="0.2">
      <c r="A18" t="str">
        <v>Hulu</v>
      </c>
      <c r="B18" s="10" t="s">
        <v>4</v>
      </c>
      <c r="C18" s="10" t="s">
        <v>315</v>
      </c>
      <c r="D18" s="13" cm="1">
        <f t="array" ref="D18">AVERAGE(DAY(_xlfn.UNIQUE(_xlfn._xlws.FILTER(Discover!C:C, Discover!J:J = A18,0),1)))</f>
        <v>3</v>
      </c>
      <c r="E18" s="10">
        <f>SUMIFS(Discover!F:F,Discover!J:J,Subscriptions!A18,Discover!G:G,"APP")</f>
        <v>55.34</v>
      </c>
      <c r="F18">
        <f>COUNTIFS(Discover!J:J,Subscriptions!A18,Discover!G:G,"APP")</f>
        <v>7</v>
      </c>
      <c r="G18" s="10">
        <f t="shared" si="0"/>
        <v>7.9057142857142866</v>
      </c>
      <c r="H18" s="10">
        <f>SUMIFS(Discover!$F:$F,Discover!$J:$J,Subscriptions!$A18,Discover!$B:$B,1,Discover!G:G,"APP")</f>
        <v>0</v>
      </c>
      <c r="I18" s="10">
        <f>SUMIFS(Discover!$F:$F,Discover!$J:$J,Subscriptions!$A18,Discover!$B:$B,2,Discover!G:G,"APP")</f>
        <v>0</v>
      </c>
      <c r="J18" s="10">
        <f>SUMIFS(Discover!$F:$F,Discover!$J:$J,Subscriptions!$A18,Discover!$B:$B,3,Discover!G:G,"APP")</f>
        <v>0</v>
      </c>
      <c r="K18" s="10">
        <f>SUMIFS(Discover!$F:$F,Discover!$J:$J,Subscriptions!$A18,Discover!$B:$B,4,Discover!G:G,"APP")</f>
        <v>0.99</v>
      </c>
      <c r="L18" s="10">
        <f>SUMIFS(Discover!$F:$F,Discover!$J:$J,Subscriptions!$A18,Discover!$B:$B,5,Discover!G:G,"APP")</f>
        <v>5.99</v>
      </c>
      <c r="M18" s="10">
        <f>SUMIFS(Discover!$F:$F,Discover!$J:$J,Subscriptions!$A18,Discover!$B:$B,6,Discover!G:G,"APP")</f>
        <v>12.39</v>
      </c>
      <c r="N18" s="10">
        <f>SUMIFS(Discover!$F:$F,Discover!$J:$J,Subscriptions!$A18,Discover!$B:$B,7,Discover!G:G,"APP")</f>
        <v>11.99</v>
      </c>
      <c r="O18" s="10">
        <f>SUMIFS(Discover!$F:$F,Discover!$J:$J,Subscriptions!$A18,Discover!$B:$B,8,Discover!G:G,"APP")</f>
        <v>11.99</v>
      </c>
      <c r="P18" s="10">
        <f>SUMIFS(Discover!$F:$F,Discover!$J:$J,Subscriptions!$A18,Discover!$B:$B,9,Discover!G:G,"APP")</f>
        <v>11.99</v>
      </c>
      <c r="Q18" s="10">
        <f>SUMIFS(Discover!$F:$F,Discover!$J:$J,Subscriptions!$A18,Discover!$B:$B,10)</f>
        <v>0</v>
      </c>
      <c r="R18" s="10">
        <f>SUMIFS(Discover!$F:$F,Discover!$J:$J,Subscriptions!$A18,Discover!$B:$B,11)</f>
        <v>0</v>
      </c>
      <c r="S18" s="10">
        <f>SUMIFS(Discover!$F:$F,Discover!$J:$J,Subscriptions!$A18,Discover!$B:$B,12)</f>
        <v>0</v>
      </c>
    </row>
    <row r="19" spans="1:19" x14ac:dyDescent="0.2">
      <c r="A19" t="str">
        <v>Internet</v>
      </c>
      <c r="B19" s="10" t="s">
        <v>316</v>
      </c>
      <c r="C19" s="10" t="s">
        <v>314</v>
      </c>
      <c r="D19" s="13" cm="1">
        <f t="array" ref="D19">AVERAGE(DAY(_xlfn.UNIQUE(_xlfn._xlws.FILTER(Discover!C:C, Discover!J:J = A19,0),1)))</f>
        <v>16</v>
      </c>
      <c r="E19" s="10">
        <f>SUMIFS(Discover!F:F,Discover!J:J,Subscriptions!A19,Discover!G:G,"APP")</f>
        <v>50</v>
      </c>
      <c r="F19">
        <f>COUNTIFS(Discover!J:J,Subscriptions!A19,Discover!G:G,"APP")</f>
        <v>1</v>
      </c>
      <c r="G19" s="10">
        <f t="shared" si="0"/>
        <v>50</v>
      </c>
      <c r="H19" s="10">
        <f>SUMIFS(Discover!$F:$F,Discover!$J:$J,Subscriptions!$A19,Discover!$B:$B,1,Discover!G:G,"APP")</f>
        <v>0</v>
      </c>
      <c r="I19" s="10">
        <f>SUMIFS(Discover!$F:$F,Discover!$J:$J,Subscriptions!$A19,Discover!$B:$B,2,Discover!G:G,"APP")</f>
        <v>0</v>
      </c>
      <c r="J19" s="10">
        <f>SUMIFS(Discover!$F:$F,Discover!$J:$J,Subscriptions!$A19,Discover!$B:$B,3,Discover!G:G,"APP")</f>
        <v>0</v>
      </c>
      <c r="K19" s="10">
        <f>SUMIFS(Discover!$F:$F,Discover!$J:$J,Subscriptions!$A19,Discover!$B:$B,4,Discover!G:G,"APP")</f>
        <v>0</v>
      </c>
      <c r="L19" s="10">
        <f>SUMIFS(Discover!$F:$F,Discover!$J:$J,Subscriptions!$A19,Discover!$B:$B,5,Discover!G:G,"APP")</f>
        <v>0</v>
      </c>
      <c r="M19" s="10">
        <f>SUMIFS(Discover!$F:$F,Discover!$J:$J,Subscriptions!$A19,Discover!$B:$B,6,Discover!G:G,"APP")</f>
        <v>0</v>
      </c>
      <c r="N19" s="10">
        <f>SUMIFS(Discover!$F:$F,Discover!$J:$J,Subscriptions!$A19,Discover!$B:$B,7,Discover!G:G,"APP")</f>
        <v>50</v>
      </c>
      <c r="O19" s="10">
        <f>SUMIFS(Discover!$F:$F,Discover!$J:$J,Subscriptions!$A19,Discover!$B:$B,8,Discover!G:G,"APP")</f>
        <v>0</v>
      </c>
      <c r="P19" s="10">
        <f>SUMIFS(Discover!$F:$F,Discover!$J:$J,Subscriptions!$A19,Discover!$B:$B,9,Discover!G:G,"APP")</f>
        <v>0</v>
      </c>
      <c r="Q19" s="10">
        <f>SUMIFS(Discover!$F:$F,Discover!$J:$J,Subscriptions!$A19,Discover!$B:$B,10)</f>
        <v>0</v>
      </c>
      <c r="R19" s="10">
        <f>SUMIFS(Discover!$F:$F,Discover!$J:$J,Subscriptions!$A19,Discover!$B:$B,11)</f>
        <v>0</v>
      </c>
      <c r="S19" s="10">
        <f>SUMIFS(Discover!$F:$F,Discover!$J:$J,Subscriptions!$A19,Discover!$B:$B,12)</f>
        <v>0</v>
      </c>
    </row>
    <row r="20" spans="1:19" x14ac:dyDescent="0.2">
      <c r="A20" t="str">
        <v>Manga</v>
      </c>
      <c r="B20" s="10" t="s">
        <v>4</v>
      </c>
      <c r="C20" s="10" t="s">
        <v>315</v>
      </c>
      <c r="D20" s="13" cm="1">
        <f t="array" ref="D20">AVERAGE(DAY(_xlfn.UNIQUE(_xlfn._xlws.FILTER(Discover!C:C, Discover!J:J = A20,0),1)))</f>
        <v>13.5</v>
      </c>
      <c r="E20" s="10">
        <f>SUMIFS(Discover!F:F,Discover!J:J,Subscriptions!A20,Discover!G:G,"APP")</f>
        <v>19.899999999999999</v>
      </c>
      <c r="F20">
        <f>COUNTIFS(Discover!J:J,Subscriptions!A20,Discover!G:G,"APP")</f>
        <v>10</v>
      </c>
      <c r="G20" s="10">
        <f t="shared" si="0"/>
        <v>1.9899999999999998</v>
      </c>
      <c r="H20" s="10">
        <f>SUMIFS(Discover!$F:$F,Discover!$J:$J,Subscriptions!$A20,Discover!$B:$B,1,Discover!G:G,"APP")</f>
        <v>1.99</v>
      </c>
      <c r="I20" s="10">
        <f>SUMIFS(Discover!$F:$F,Discover!$J:$J,Subscriptions!$A20,Discover!$B:$B,2,Discover!G:G,"APP")</f>
        <v>3.98</v>
      </c>
      <c r="J20" s="10">
        <f>SUMIFS(Discover!$F:$F,Discover!$J:$J,Subscriptions!$A20,Discover!$B:$B,3,Discover!G:G,"APP")</f>
        <v>1.99</v>
      </c>
      <c r="K20" s="10">
        <f>SUMIFS(Discover!$F:$F,Discover!$J:$J,Subscriptions!$A20,Discover!$B:$B,4,Discover!G:G,"APP")</f>
        <v>1.99</v>
      </c>
      <c r="L20" s="10">
        <f>SUMIFS(Discover!$F:$F,Discover!$J:$J,Subscriptions!$A20,Discover!$B:$B,5,Discover!G:G,"APP")</f>
        <v>1.99</v>
      </c>
      <c r="M20" s="10">
        <f>SUMIFS(Discover!$F:$F,Discover!$J:$J,Subscriptions!$A20,Discover!$B:$B,6,Discover!G:G,"APP")</f>
        <v>1.99</v>
      </c>
      <c r="N20" s="10">
        <f>SUMIFS(Discover!$F:$F,Discover!$J:$J,Subscriptions!$A20,Discover!$B:$B,7,Discover!G:G,"APP")</f>
        <v>1.99</v>
      </c>
      <c r="O20" s="10">
        <f>SUMIFS(Discover!$F:$F,Discover!$J:$J,Subscriptions!$A20,Discover!$B:$B,8,Discover!G:G,"APP")</f>
        <v>1.99</v>
      </c>
      <c r="P20" s="10">
        <f>SUMIFS(Discover!$F:$F,Discover!$J:$J,Subscriptions!$A20,Discover!$B:$B,9,Discover!G:G,"APP")</f>
        <v>1.99</v>
      </c>
      <c r="Q20" s="10">
        <f>SUMIFS(Discover!$F:$F,Discover!$J:$J,Subscriptions!$A20,Discover!$B:$B,10)</f>
        <v>0</v>
      </c>
      <c r="R20" s="10">
        <f>SUMIFS(Discover!$F:$F,Discover!$J:$J,Subscriptions!$A20,Discover!$B:$B,11)</f>
        <v>0</v>
      </c>
      <c r="S20" s="10">
        <f>SUMIFS(Discover!$F:$F,Discover!$J:$J,Subscriptions!$A20,Discover!$B:$B,12)</f>
        <v>0</v>
      </c>
    </row>
    <row r="21" spans="1:19" x14ac:dyDescent="0.2">
      <c r="A21" t="str">
        <v>Netflix</v>
      </c>
      <c r="B21" s="10" t="s">
        <v>4</v>
      </c>
      <c r="C21" s="10" t="s">
        <v>320</v>
      </c>
      <c r="D21" s="13" cm="1">
        <f t="array" ref="D21">AVERAGE(DAY(_xlfn.UNIQUE(_xlfn._xlws.FILTER(Discover!C:C, Discover!J:J = A21,0),1)))</f>
        <v>1</v>
      </c>
      <c r="E21" s="10">
        <f>SUMIFS(Discover!F:F,Discover!J:J,Subscriptions!A21,Discover!G:G,"APP")</f>
        <v>130.94999999999999</v>
      </c>
      <c r="F21">
        <f>COUNTIFS(Discover!J:J,Subscriptions!A21,Discover!G:G,"APP")</f>
        <v>9</v>
      </c>
      <c r="G21" s="10">
        <f t="shared" si="0"/>
        <v>14.549999999999999</v>
      </c>
      <c r="H21" s="10">
        <f>SUMIFS(Discover!$F:$F,Discover!$J:$J,Subscriptions!$A21,Discover!$B:$B,1,Discover!G:G,"APP")</f>
        <v>13.99</v>
      </c>
      <c r="I21" s="10">
        <f>SUMIFS(Discover!$F:$F,Discover!$J:$J,Subscriptions!$A21,Discover!$B:$B,2,Discover!G:G,"APP")</f>
        <v>13.99</v>
      </c>
      <c r="J21" s="10">
        <f>SUMIFS(Discover!$F:$F,Discover!$J:$J,Subscriptions!$A21,Discover!$B:$B,3,Discover!G:G,"APP")</f>
        <v>13.99</v>
      </c>
      <c r="K21" s="10">
        <f>SUMIFS(Discover!$F:$F,Discover!$J:$J,Subscriptions!$A21,Discover!$B:$B,4,Discover!G:G,"APP")</f>
        <v>14.83</v>
      </c>
      <c r="L21" s="10">
        <f>SUMIFS(Discover!$F:$F,Discover!$J:$J,Subscriptions!$A21,Discover!$B:$B,5,Discover!G:G,"APP")</f>
        <v>14.83</v>
      </c>
      <c r="M21" s="10">
        <f>SUMIFS(Discover!$F:$F,Discover!$J:$J,Subscriptions!$A21,Discover!$B:$B,6,Discover!G:G,"APP")</f>
        <v>14.83</v>
      </c>
      <c r="N21" s="10">
        <f>SUMIFS(Discover!$F:$F,Discover!$J:$J,Subscriptions!$A21,Discover!$B:$B,7,Discover!G:G,"APP")</f>
        <v>14.83</v>
      </c>
      <c r="O21" s="10">
        <f>SUMIFS(Discover!$F:$F,Discover!$J:$J,Subscriptions!$A21,Discover!$B:$B,8,Discover!G:G,"APP")</f>
        <v>14.83</v>
      </c>
      <c r="P21" s="10">
        <f>SUMIFS(Discover!$F:$F,Discover!$J:$J,Subscriptions!$A21,Discover!$B:$B,9,Discover!G:G,"APP")</f>
        <v>14.83</v>
      </c>
      <c r="Q21" s="10">
        <f>SUMIFS(Discover!$F:$F,Discover!$J:$J,Subscriptions!$A21,Discover!$B:$B,10)</f>
        <v>0</v>
      </c>
      <c r="R21" s="10">
        <f>SUMIFS(Discover!$F:$F,Discover!$J:$J,Subscriptions!$A21,Discover!$B:$B,11)</f>
        <v>0</v>
      </c>
      <c r="S21" s="10">
        <f>SUMIFS(Discover!$F:$F,Discover!$J:$J,Subscriptions!$A21,Discover!$B:$B,12)</f>
        <v>0</v>
      </c>
    </row>
    <row r="22" spans="1:19" x14ac:dyDescent="0.2">
      <c r="A22" t="str">
        <v>News</v>
      </c>
      <c r="B22" s="10" t="s">
        <v>4</v>
      </c>
      <c r="C22" s="10" t="s">
        <v>314</v>
      </c>
      <c r="D22" s="13" cm="1">
        <f t="array" ref="D22">AVERAGE(DAY(_xlfn.UNIQUE(_xlfn._xlws.FILTER(Discover!C:C, Discover!J:J = A22,0),1)))</f>
        <v>2</v>
      </c>
      <c r="E22" s="10">
        <f>SUMIFS(Discover!F:F,Discover!J:J,Subscriptions!A22,Discover!G:G,"APP")</f>
        <v>40</v>
      </c>
      <c r="F22">
        <f>COUNTIFS(Discover!J:J,Subscriptions!A22,Discover!G:G,"APP")</f>
        <v>4</v>
      </c>
      <c r="G22" s="10">
        <f t="shared" ref="G22:G27" si="1">E22/F22</f>
        <v>10</v>
      </c>
      <c r="H22" s="10">
        <f>SUMIFS(Discover!$F:$F,Discover!$J:$J,Subscriptions!$A22,Discover!$B:$B,1,Discover!G:G,"APP")</f>
        <v>0</v>
      </c>
      <c r="I22" s="10">
        <f>SUMIFS(Discover!$F:$F,Discover!$J:$J,Subscriptions!$A22,Discover!$B:$B,2,Discover!G:G,"APP")</f>
        <v>0</v>
      </c>
      <c r="J22" s="10">
        <f>SUMIFS(Discover!$F:$F,Discover!$J:$J,Subscriptions!$A22,Discover!$B:$B,3,Discover!G:G,"APP")</f>
        <v>0</v>
      </c>
      <c r="K22" s="10">
        <f>SUMIFS(Discover!$F:$F,Discover!$J:$J,Subscriptions!$A22,Discover!$B:$B,4,Discover!G:G,"APP")</f>
        <v>0</v>
      </c>
      <c r="L22" s="10">
        <f>SUMIFS(Discover!$F:$F,Discover!$J:$J,Subscriptions!$A22,Discover!$B:$B,5,Discover!G:G,"APP")</f>
        <v>0</v>
      </c>
      <c r="M22" s="10">
        <f>SUMIFS(Discover!$F:$F,Discover!$J:$J,Subscriptions!$A22,Discover!$B:$B,6,Discover!G:G,"APP")</f>
        <v>10</v>
      </c>
      <c r="N22" s="10">
        <f>SUMIFS(Discover!$F:$F,Discover!$J:$J,Subscriptions!$A22,Discover!$B:$B,7,Discover!G:G,"APP")</f>
        <v>10</v>
      </c>
      <c r="O22" s="10">
        <f>SUMIFS(Discover!$F:$F,Discover!$J:$J,Subscriptions!$A22,Discover!$B:$B,8,Discover!G:G,"APP")</f>
        <v>10</v>
      </c>
      <c r="P22" s="10">
        <f>SUMIFS(Discover!$F:$F,Discover!$J:$J,Subscriptions!$A22,Discover!$B:$B,9,Discover!G:G,"APP")</f>
        <v>10</v>
      </c>
      <c r="Q22" s="10">
        <f>SUMIFS(Discover!$F:$F,Discover!$J:$J,Subscriptions!$A22,Discover!$B:$B,10)</f>
        <v>0</v>
      </c>
      <c r="R22" s="10">
        <f>SUMIFS(Discover!$F:$F,Discover!$J:$J,Subscriptions!$A22,Discover!$B:$B,11)</f>
        <v>0</v>
      </c>
      <c r="S22" s="10">
        <f>SUMIFS(Discover!$F:$F,Discover!$J:$J,Subscriptions!$A22,Discover!$B:$B,12)</f>
        <v>0</v>
      </c>
    </row>
    <row r="23" spans="1:19" x14ac:dyDescent="0.2">
      <c r="A23" t="str">
        <v>Roadtrippers</v>
      </c>
      <c r="B23" s="10" t="s">
        <v>4</v>
      </c>
      <c r="C23" s="10" t="s">
        <v>315</v>
      </c>
      <c r="D23" s="13" cm="1">
        <f t="array" ref="D23">AVERAGE(DAY(_xlfn.UNIQUE(_xlfn._xlws.FILTER(Discover!C:C, Discover!J:J = A23,0),1)))</f>
        <v>16</v>
      </c>
      <c r="E23" s="10">
        <f>SUMIFS(Discover!F:F,Discover!J:J,Subscriptions!A23,Discover!G:G,"APP")</f>
        <v>31.79</v>
      </c>
      <c r="F23">
        <f>COUNTIFS(Discover!J:J,Subscriptions!A23,Discover!G:G,"APP")</f>
        <v>1</v>
      </c>
      <c r="G23" s="10">
        <f t="shared" si="1"/>
        <v>31.79</v>
      </c>
      <c r="H23" s="10">
        <f>SUMIFS(Discover!$F:$F,Discover!$J:$J,Subscriptions!$A23,Discover!$B:$B,1,Discover!G:G,"APP")</f>
        <v>0</v>
      </c>
      <c r="I23" s="10">
        <f>SUMIFS(Discover!$F:$F,Discover!$J:$J,Subscriptions!$A23,Discover!$B:$B,2,Discover!G:G,"APP")</f>
        <v>0</v>
      </c>
      <c r="J23" s="10">
        <f>SUMIFS(Discover!$F:$F,Discover!$J:$J,Subscriptions!$A23,Discover!$B:$B,3,Discover!G:G,"APP")</f>
        <v>0</v>
      </c>
      <c r="K23" s="10">
        <f>SUMIFS(Discover!$F:$F,Discover!$J:$J,Subscriptions!$A23,Discover!$B:$B,4,Discover!G:G,"APP")</f>
        <v>0</v>
      </c>
      <c r="L23" s="10">
        <f>SUMIFS(Discover!$F:$F,Discover!$J:$J,Subscriptions!$A23,Discover!$B:$B,5,Discover!G:G,"APP")</f>
        <v>31.79</v>
      </c>
      <c r="M23" s="10">
        <f>SUMIFS(Discover!$F:$F,Discover!$J:$J,Subscriptions!$A23,Discover!$B:$B,6,Discover!G:G,"APP")</f>
        <v>0</v>
      </c>
      <c r="N23" s="10">
        <f>SUMIFS(Discover!$F:$F,Discover!$J:$J,Subscriptions!$A23,Discover!$B:$B,7,Discover!G:G,"APP")</f>
        <v>0</v>
      </c>
      <c r="O23" s="10">
        <f>SUMIFS(Discover!$F:$F,Discover!$J:$J,Subscriptions!$A23,Discover!$B:$B,8,Discover!G:G,"APP")</f>
        <v>0</v>
      </c>
      <c r="P23" s="10">
        <f>SUMIFS(Discover!$F:$F,Discover!$J:$J,Subscriptions!$A23,Discover!$B:$B,9,Discover!G:G,"APP")</f>
        <v>0</v>
      </c>
      <c r="Q23" s="10">
        <f>SUMIFS(Discover!$F:$F,Discover!$J:$J,Subscriptions!$A23,Discover!$B:$B,10)</f>
        <v>0</v>
      </c>
      <c r="R23" s="10">
        <f>SUMIFS(Discover!$F:$F,Discover!$J:$J,Subscriptions!$A23,Discover!$B:$B,11)</f>
        <v>0</v>
      </c>
      <c r="S23" s="10">
        <f>SUMIFS(Discover!$F:$F,Discover!$J:$J,Subscriptions!$A23,Discover!$B:$B,12)</f>
        <v>0</v>
      </c>
    </row>
    <row r="24" spans="1:19" x14ac:dyDescent="0.2">
      <c r="A24" t="str">
        <v>Spotify</v>
      </c>
      <c r="B24" s="10" t="s">
        <v>316</v>
      </c>
      <c r="C24" s="10" t="s">
        <v>315</v>
      </c>
      <c r="D24" s="13" cm="1">
        <f t="array" ref="D24">AVERAGE(DAY(_xlfn.UNIQUE(_xlfn._xlws.FILTER(Discover!C:C, Discover!J:J = A24,0),1)))</f>
        <v>1.1111111111111112</v>
      </c>
      <c r="E24" s="10">
        <f>SUMIFS(Discover!F:F,Discover!J:J,Subscriptions!A24,Discover!G:G,"APP")</f>
        <v>89.91</v>
      </c>
      <c r="F24">
        <f>COUNTIFS(Discover!J:J,Subscriptions!A24,Discover!G:G,"APP")</f>
        <v>9</v>
      </c>
      <c r="G24" s="10">
        <f t="shared" si="1"/>
        <v>9.99</v>
      </c>
      <c r="H24" s="10">
        <f>SUMIFS(Discover!$F:$F,Discover!$J:$J,Subscriptions!$A24,Discover!$B:$B,1,Discover!G:G,"APP")</f>
        <v>9.99</v>
      </c>
      <c r="I24" s="10">
        <f>SUMIFS(Discover!$F:$F,Discover!$J:$J,Subscriptions!$A24,Discover!$B:$B,2,Discover!G:G,"APP")</f>
        <v>9.99</v>
      </c>
      <c r="J24" s="10">
        <f>SUMIFS(Discover!$F:$F,Discover!$J:$J,Subscriptions!$A24,Discover!$B:$B,3,Discover!G:G,"APP")</f>
        <v>9.99</v>
      </c>
      <c r="K24" s="10">
        <f>SUMIFS(Discover!$F:$F,Discover!$J:$J,Subscriptions!$A24,Discover!$B:$B,4,Discover!G:G,"APP")</f>
        <v>9.99</v>
      </c>
      <c r="L24" s="10">
        <f>SUMIFS(Discover!$F:$F,Discover!$J:$J,Subscriptions!$A24,Discover!$B:$B,5,Discover!G:G,"APP")</f>
        <v>9.99</v>
      </c>
      <c r="M24" s="10">
        <f>SUMIFS(Discover!$F:$F,Discover!$J:$J,Subscriptions!$A24,Discover!$B:$B,6,Discover!G:G,"APP")</f>
        <v>9.99</v>
      </c>
      <c r="N24" s="10">
        <f>SUMIFS(Discover!$F:$F,Discover!$J:$J,Subscriptions!$A24,Discover!$B:$B,7,Discover!G:G,"APP")</f>
        <v>9.99</v>
      </c>
      <c r="O24" s="10">
        <f>SUMIFS(Discover!$F:$F,Discover!$J:$J,Subscriptions!$A24,Discover!$B:$B,8,Discover!G:G,"APP")</f>
        <v>9.99</v>
      </c>
      <c r="P24" s="10">
        <f>SUMIFS(Discover!$F:$F,Discover!$J:$J,Subscriptions!$A24,Discover!$B:$B,9,Discover!G:G,"APP")</f>
        <v>9.99</v>
      </c>
      <c r="Q24" s="10">
        <f>SUMIFS(Discover!$F:$F,Discover!$J:$J,Subscriptions!$A24,Discover!$B:$B,10)</f>
        <v>0</v>
      </c>
      <c r="R24" s="10">
        <f>SUMIFS(Discover!$F:$F,Discover!$J:$J,Subscriptions!$A24,Discover!$B:$B,11)</f>
        <v>0</v>
      </c>
      <c r="S24" s="10">
        <f>SUMIFS(Discover!$F:$F,Discover!$J:$J,Subscriptions!$A24,Discover!$B:$B,12)</f>
        <v>0</v>
      </c>
    </row>
    <row r="25" spans="1:19" x14ac:dyDescent="0.2">
      <c r="A25" t="str">
        <v>State Farm</v>
      </c>
      <c r="B25" s="10" t="s">
        <v>4</v>
      </c>
      <c r="C25" s="10" t="s">
        <v>314</v>
      </c>
      <c r="D25" s="13" cm="1">
        <f t="array" ref="D25">AVERAGE(DAY(_xlfn.UNIQUE(_xlfn._xlws.FILTER(Discover!C:C, Discover!J:J = A25,0),1)))</f>
        <v>3.4444444444444446</v>
      </c>
      <c r="E25" s="10">
        <f>SUMIFS(Discover!F:F,Discover!J:J,Subscriptions!A25,Discover!G:G,"APP")</f>
        <v>781.43999999999983</v>
      </c>
      <c r="F25">
        <f>COUNTIFS(Discover!J:J,Subscriptions!A25,Discover!G:G,"APP")</f>
        <v>9</v>
      </c>
      <c r="G25" s="10">
        <f t="shared" si="1"/>
        <v>86.826666666666654</v>
      </c>
      <c r="H25" s="10">
        <f>SUMIFS(Discover!$F:$F,Discover!$J:$J,Subscriptions!$A25,Discover!$B:$B,1,Discover!G:G,"APP")</f>
        <v>91.78</v>
      </c>
      <c r="I25" s="10">
        <f>SUMIFS(Discover!$F:$F,Discover!$J:$J,Subscriptions!$A25,Discover!$B:$B,2,Discover!G:G,"APP")</f>
        <v>91.78</v>
      </c>
      <c r="J25" s="10">
        <f>SUMIFS(Discover!$F:$F,Discover!$J:$J,Subscriptions!$A25,Discover!$B:$B,3,Discover!G:G,"APP")</f>
        <v>91.78</v>
      </c>
      <c r="K25" s="10">
        <f>SUMIFS(Discover!$F:$F,Discover!$J:$J,Subscriptions!$A25,Discover!$B:$B,4,Discover!G:G,"APP")</f>
        <v>91.78</v>
      </c>
      <c r="L25" s="10">
        <f>SUMIFS(Discover!$F:$F,Discover!$J:$J,Subscriptions!$A25,Discover!$B:$B,5,Discover!G:G,"APP")</f>
        <v>91.78</v>
      </c>
      <c r="M25" s="10">
        <f>SUMIFS(Discover!$F:$F,Discover!$J:$J,Subscriptions!$A25,Discover!$B:$B,6,Discover!G:G,"APP")</f>
        <v>69.88</v>
      </c>
      <c r="N25" s="10">
        <f>SUMIFS(Discover!$F:$F,Discover!$J:$J,Subscriptions!$A25,Discover!$B:$B,7,Discover!G:G,"APP")</f>
        <v>92.07</v>
      </c>
      <c r="O25" s="10">
        <f>SUMIFS(Discover!$F:$F,Discover!$J:$J,Subscriptions!$A25,Discover!$B:$B,8,Discover!G:G,"APP")</f>
        <v>92.07</v>
      </c>
      <c r="P25" s="10">
        <f>SUMIFS(Discover!$F:$F,Discover!$J:$J,Subscriptions!$A25,Discover!$B:$B,9,Discover!G:G,"APP")</f>
        <v>68.52</v>
      </c>
      <c r="Q25" s="10">
        <f>SUMIFS(Discover!$F:$F,Discover!$J:$J,Subscriptions!$A25,Discover!$B:$B,10)</f>
        <v>0</v>
      </c>
      <c r="R25" s="10">
        <f>SUMIFS(Discover!$F:$F,Discover!$J:$J,Subscriptions!$A25,Discover!$B:$B,11)</f>
        <v>0</v>
      </c>
      <c r="S25" s="10">
        <f>SUMIFS(Discover!$F:$F,Discover!$J:$J,Subscriptions!$A25,Discover!$B:$B,12)</f>
        <v>0</v>
      </c>
    </row>
    <row r="26" spans="1:19" x14ac:dyDescent="0.2">
      <c r="A26" t="str">
        <v>Storage</v>
      </c>
      <c r="B26" s="10" t="s">
        <v>4</v>
      </c>
      <c r="C26" s="10" t="s">
        <v>314</v>
      </c>
      <c r="D26" s="13" cm="1">
        <f t="array" ref="D26">AVERAGE(DAY(_xlfn.UNIQUE(_xlfn._xlws.FILTER(Discover!C:C, Discover!J:J = A26,0),1)))</f>
        <v>17.666666666666668</v>
      </c>
      <c r="E26" s="10">
        <f>SUMIFS(Discover!F:F,Discover!J:J,Subscriptions!A26,Discover!G:G,"APP")</f>
        <v>193.65</v>
      </c>
      <c r="F26">
        <f>COUNTIFS(Discover!J:J,Subscriptions!A26,Discover!G:G,"APP")</f>
        <v>3</v>
      </c>
      <c r="G26" s="10">
        <f t="shared" si="1"/>
        <v>64.55</v>
      </c>
      <c r="H26" s="10">
        <f>SUMIFS(Discover!$F:$F,Discover!$J:$J,Subscriptions!$A26,Discover!$B:$B,1,Discover!G:G,"APP")</f>
        <v>0</v>
      </c>
      <c r="I26" s="10">
        <f>SUMIFS(Discover!$F:$F,Discover!$J:$J,Subscriptions!$A26,Discover!$B:$B,2,Discover!G:G,"APP")</f>
        <v>0</v>
      </c>
      <c r="J26" s="10">
        <f>SUMIFS(Discover!$F:$F,Discover!$J:$J,Subscriptions!$A26,Discover!$B:$B,3,Discover!G:G,"APP")</f>
        <v>0</v>
      </c>
      <c r="K26" s="10">
        <f>SUMIFS(Discover!$F:$F,Discover!$J:$J,Subscriptions!$A26,Discover!$B:$B,4,Discover!G:G,"APP")</f>
        <v>61.05</v>
      </c>
      <c r="L26" s="10">
        <f>SUMIFS(Discover!$F:$F,Discover!$J:$J,Subscriptions!$A26,Discover!$B:$B,5,Discover!G:G,"APP")</f>
        <v>54.6</v>
      </c>
      <c r="M26" s="10">
        <f>SUMIFS(Discover!$F:$F,Discover!$J:$J,Subscriptions!$A26,Discover!$B:$B,6,Discover!G:G,"APP")</f>
        <v>78</v>
      </c>
      <c r="N26" s="10">
        <f>SUMIFS(Discover!$F:$F,Discover!$J:$J,Subscriptions!$A26,Discover!$B:$B,7,Discover!G:G,"APP")</f>
        <v>0</v>
      </c>
      <c r="O26" s="10">
        <f>SUMIFS(Discover!$F:$F,Discover!$J:$J,Subscriptions!$A26,Discover!$B:$B,8,Discover!G:G,"APP")</f>
        <v>0</v>
      </c>
      <c r="P26" s="10">
        <f>SUMIFS(Discover!$F:$F,Discover!$J:$J,Subscriptions!$A26,Discover!$B:$B,9,Discover!G:G,"APP")</f>
        <v>0</v>
      </c>
      <c r="Q26" s="10">
        <f>SUMIFS(Discover!$F:$F,Discover!$J:$J,Subscriptions!$A26,Discover!$B:$B,10)</f>
        <v>0</v>
      </c>
      <c r="R26" s="10">
        <f>SUMIFS(Discover!$F:$F,Discover!$J:$J,Subscriptions!$A26,Discover!$B:$B,11)</f>
        <v>0</v>
      </c>
      <c r="S26" s="10">
        <f>SUMIFS(Discover!$F:$F,Discover!$J:$J,Subscriptions!$A26,Discover!$B:$B,12)</f>
        <v>0</v>
      </c>
    </row>
    <row r="27" spans="1:19" x14ac:dyDescent="0.2">
      <c r="A27" t="str">
        <v>The Athletic</v>
      </c>
      <c r="D27" s="13" cm="1">
        <f t="array" ref="D27">AVERAGE(DAY(_xlfn.UNIQUE(_xlfn._xlws.FILTER(Discover!C:C, Discover!J:J = A27,0),1)))</f>
        <v>3</v>
      </c>
      <c r="E27" s="10">
        <f>SUMIFS(Discover!F:F,Discover!J:J,Subscriptions!A27,Discover!G:G,"APP")</f>
        <v>63.59</v>
      </c>
      <c r="F27">
        <f>COUNTIFS(Discover!J:J,Subscriptions!A27,Discover!G:G,"APP")</f>
        <v>1</v>
      </c>
      <c r="G27" s="10">
        <f t="shared" si="1"/>
        <v>63.59</v>
      </c>
      <c r="H27" s="10">
        <f>SUMIFS(Discover!$F:$F,Discover!$J:$J,Subscriptions!$A27,Discover!$B:$B,1,Discover!G:G,"APP")</f>
        <v>0</v>
      </c>
      <c r="I27" s="10">
        <f>SUMIFS(Discover!$F:$F,Discover!$J:$J,Subscriptions!$A27,Discover!$B:$B,2,Discover!G:G,"APP")</f>
        <v>0</v>
      </c>
      <c r="J27" s="10">
        <f>SUMIFS(Discover!$F:$F,Discover!$J:$J,Subscriptions!$A27,Discover!$B:$B,3,Discover!G:G,"APP")</f>
        <v>0</v>
      </c>
      <c r="K27" s="10">
        <f>SUMIFS(Discover!$F:$F,Discover!$J:$J,Subscriptions!$A27,Discover!$B:$B,4,Discover!G:G,"APP")</f>
        <v>0</v>
      </c>
      <c r="L27" s="10">
        <f>SUMIFS(Discover!$F:$F,Discover!$J:$J,Subscriptions!$A27,Discover!$B:$B,5,Discover!G:G,"APP")</f>
        <v>0</v>
      </c>
      <c r="M27" s="10">
        <f>SUMIFS(Discover!$F:$F,Discover!$J:$J,Subscriptions!$A27,Discover!$B:$B,6,Discover!G:G,"APP")</f>
        <v>0</v>
      </c>
      <c r="N27" s="10">
        <f>SUMIFS(Discover!$F:$F,Discover!$J:$J,Subscriptions!$A27,Discover!$B:$B,7,Discover!G:G,"APP")</f>
        <v>0</v>
      </c>
      <c r="O27" s="10">
        <f>SUMIFS(Discover!$F:$F,Discover!$J:$J,Subscriptions!$A27,Discover!$B:$B,8,Discover!G:G,"APP")</f>
        <v>63.59</v>
      </c>
      <c r="P27" s="10">
        <f>SUMIFS(Discover!$F:$F,Discover!$J:$J,Subscriptions!$A27,Discover!$B:$B,9,Discover!G:G,"APP")</f>
        <v>0</v>
      </c>
      <c r="Q27" s="10">
        <f>SUMIFS(Discover!$F:$F,Discover!$J:$J,Subscriptions!$A27,Discover!$B:$B,10)</f>
        <v>0</v>
      </c>
      <c r="R27" s="10">
        <f>SUMIFS(Discover!$F:$F,Discover!$J:$J,Subscriptions!$A27,Discover!$B:$B,11)</f>
        <v>0</v>
      </c>
      <c r="S27" s="10">
        <f>SUMIFS(Discover!$F:$F,Discover!$J:$J,Subscriptions!$A27,Discover!$B:$B,12)</f>
        <v>0</v>
      </c>
    </row>
    <row r="28" spans="1:19" x14ac:dyDescent="0.2">
      <c r="A28" t="str">
        <v>Tinder</v>
      </c>
      <c r="D28" s="13" cm="1">
        <f t="array" ref="D28">AVERAGE(DAY(_xlfn.UNIQUE(_xlfn._xlws.FILTER(Discover!C:C, Discover!J:J = A28,0),1)))</f>
        <v>2</v>
      </c>
      <c r="E28" s="10">
        <f>SUMIFS(Discover!F:F,Discover!J:J,Subscriptions!A28,Discover!G:G,"APP")</f>
        <v>31.79</v>
      </c>
      <c r="F28">
        <f>COUNTIFS(Discover!J:J,Subscriptions!A28,Discover!G:G,"APP")</f>
        <v>1</v>
      </c>
      <c r="G28" s="10">
        <f t="shared" ref="G28" si="2">E28/F28</f>
        <v>31.79</v>
      </c>
      <c r="H28" s="10">
        <f>SUMIFS(Discover!$F:$F,Discover!$J:$J,Subscriptions!$A28,Discover!$B:$B,1,Discover!G:G,"APP")</f>
        <v>0</v>
      </c>
      <c r="I28" s="10">
        <f>SUMIFS(Discover!$F:$F,Discover!$J:$J,Subscriptions!$A28,Discover!$B:$B,2,Discover!G:G,"APP")</f>
        <v>0</v>
      </c>
      <c r="J28" s="10">
        <f>SUMIFS(Discover!$F:$F,Discover!$J:$J,Subscriptions!$A28,Discover!$B:$B,3,Discover!G:G,"APP")</f>
        <v>0</v>
      </c>
      <c r="K28" s="10">
        <f>SUMIFS(Discover!$F:$F,Discover!$J:$J,Subscriptions!$A28,Discover!$B:$B,4,Discover!G:G,"APP")</f>
        <v>0</v>
      </c>
      <c r="L28" s="10">
        <f>SUMIFS(Discover!$F:$F,Discover!$J:$J,Subscriptions!$A28,Discover!$B:$B,5,Discover!G:G,"APP")</f>
        <v>0</v>
      </c>
      <c r="M28" s="10">
        <f>SUMIFS(Discover!$F:$F,Discover!$J:$J,Subscriptions!$A28,Discover!$B:$B,6,Discover!G:G,"APP")</f>
        <v>0</v>
      </c>
      <c r="N28" s="10">
        <f>SUMIFS(Discover!$F:$F,Discover!$J:$J,Subscriptions!$A28,Discover!$B:$B,7,Discover!G:G,"APP")</f>
        <v>0</v>
      </c>
      <c r="O28" s="10">
        <f>SUMIFS(Discover!$F:$F,Discover!$J:$J,Subscriptions!$A28,Discover!$B:$B,8,Discover!G:G,"APP")</f>
        <v>31.79</v>
      </c>
      <c r="P28" s="10">
        <f>SUMIFS(Discover!$F:$F,Discover!$J:$J,Subscriptions!$A28,Discover!$B:$B,9,Discover!G:G,"APP")</f>
        <v>0</v>
      </c>
      <c r="Q28" s="10">
        <f>SUMIFS(Discover!$F:$F,Discover!$J:$J,Subscriptions!$A28,Discover!$B:$B,10)</f>
        <v>0</v>
      </c>
      <c r="R28" s="10">
        <f>SUMIFS(Discover!$F:$F,Discover!$J:$J,Subscriptions!$A28,Discover!$B:$B,11)</f>
        <v>0</v>
      </c>
      <c r="S28" s="10">
        <f>SUMIFS(Discover!$F:$F,Discover!$J:$J,Subscriptions!$A28,Discover!$B:$B,12)</f>
        <v>0</v>
      </c>
    </row>
    <row r="29" spans="1:19" x14ac:dyDescent="0.2">
      <c r="A29" t="str">
        <v>T-Mobile</v>
      </c>
      <c r="D29" s="13" cm="1">
        <f t="array" ref="D29">AVERAGE(DAY(_xlfn.UNIQUE(_xlfn._xlws.FILTER(Discover!C:C, Discover!J:J = A29,0),1)))</f>
        <v>14.666666666666666</v>
      </c>
      <c r="E29" s="10">
        <f>SUMIFS(Discover!F:F,Discover!J:J,Subscriptions!A29,Discover!G:G,"APP")</f>
        <v>517.5</v>
      </c>
      <c r="F29">
        <f>COUNTIFS(Discover!J:J,Subscriptions!A29,Discover!G:G,"APP")</f>
        <v>6</v>
      </c>
      <c r="G29" s="10">
        <f t="shared" ref="G29:G32" si="3">E29/F29</f>
        <v>86.25</v>
      </c>
      <c r="H29" s="10">
        <f>SUMIFS(Discover!$F:$F,Discover!$J:$J,Subscriptions!$A29,Discover!$B:$B,1,Discover!G:G,"APP")</f>
        <v>0</v>
      </c>
      <c r="I29" s="10">
        <f>SUMIFS(Discover!$F:$F,Discover!$J:$J,Subscriptions!$A29,Discover!$B:$B,2,Discover!G:G,"APP")</f>
        <v>86.25</v>
      </c>
      <c r="J29" s="10">
        <f>SUMIFS(Discover!$F:$F,Discover!$J:$J,Subscriptions!$A29,Discover!$B:$B,3,Discover!G:G,"APP")</f>
        <v>86.25</v>
      </c>
      <c r="K29" s="10">
        <f>SUMIFS(Discover!$F:$F,Discover!$J:$J,Subscriptions!$A29,Discover!$B:$B,4,Discover!G:G,"APP")</f>
        <v>0</v>
      </c>
      <c r="L29" s="10">
        <f>SUMIFS(Discover!$F:$F,Discover!$J:$J,Subscriptions!$A29,Discover!$B:$B,5,Discover!G:G,"APP")</f>
        <v>86.25</v>
      </c>
      <c r="M29" s="10">
        <f>SUMIFS(Discover!$F:$F,Discover!$J:$J,Subscriptions!$A29,Discover!$B:$B,6,Discover!G:G,"APP")</f>
        <v>86.25</v>
      </c>
      <c r="N29" s="10">
        <f>SUMIFS(Discover!$F:$F,Discover!$J:$J,Subscriptions!$A29,Discover!$B:$B,7,Discover!G:G,"APP")</f>
        <v>86.25</v>
      </c>
      <c r="O29" s="10">
        <f>SUMIFS(Discover!$F:$F,Discover!$J:$J,Subscriptions!$A29,Discover!$B:$B,8,Discover!G:G,"APP")</f>
        <v>0</v>
      </c>
      <c r="P29" s="10">
        <f>SUMIFS(Discover!$F:$F,Discover!$J:$J,Subscriptions!$A29,Discover!$B:$B,9,Discover!G:G,"APP")</f>
        <v>86.25</v>
      </c>
      <c r="Q29" s="10">
        <f>SUMIFS(Discover!$F:$F,Discover!$J:$J,Subscriptions!$A29,Discover!$B:$B,10)</f>
        <v>0</v>
      </c>
      <c r="R29" s="10">
        <f>SUMIFS(Discover!$F:$F,Discover!$J:$J,Subscriptions!$A29,Discover!$B:$B,11)</f>
        <v>0</v>
      </c>
      <c r="S29" s="10">
        <f>SUMIFS(Discover!$F:$F,Discover!$J:$J,Subscriptions!$A29,Discover!$B:$B,12)</f>
        <v>0</v>
      </c>
    </row>
    <row r="30" spans="1:19" x14ac:dyDescent="0.2">
      <c r="A30" t="str">
        <v>USTA</v>
      </c>
      <c r="D30" s="13" cm="1">
        <f t="array" ref="D30">AVERAGE(DAY(_xlfn.UNIQUE(_xlfn._xlws.FILTER(Discover!C:C, Discover!J:J = A30,0),1)))</f>
        <v>1</v>
      </c>
      <c r="E30" s="10">
        <f>SUMIFS(Discover!F:F,Discover!J:J,Subscriptions!A30,Discover!G:G,"APP")</f>
        <v>44</v>
      </c>
      <c r="F30">
        <f>COUNTIFS(Discover!J:J,Subscriptions!A30,Discover!G:G,"APP")</f>
        <v>1</v>
      </c>
      <c r="G30" s="10">
        <f t="shared" si="3"/>
        <v>44</v>
      </c>
      <c r="H30" s="10">
        <f>SUMIFS(Discover!$F:$F,Discover!$J:$J,Subscriptions!$A30,Discover!$B:$B,1,Discover!G:G,"APP")</f>
        <v>0</v>
      </c>
      <c r="I30" s="10">
        <f>SUMIFS(Discover!$F:$F,Discover!$J:$J,Subscriptions!$A30,Discover!$B:$B,2,Discover!G:G,"APP")</f>
        <v>0</v>
      </c>
      <c r="J30" s="10">
        <f>SUMIFS(Discover!$F:$F,Discover!$J:$J,Subscriptions!$A30,Discover!$B:$B,3,Discover!G:G,"APP")</f>
        <v>0</v>
      </c>
      <c r="K30" s="10">
        <f>SUMIFS(Discover!$F:$F,Discover!$J:$J,Subscriptions!$A30,Discover!$B:$B,4,Discover!G:G,"APP")</f>
        <v>0</v>
      </c>
      <c r="L30" s="10">
        <f>SUMIFS(Discover!$F:$F,Discover!$J:$J,Subscriptions!$A30,Discover!$B:$B,5,Discover!G:G,"APP")</f>
        <v>44</v>
      </c>
      <c r="M30" s="10">
        <f>SUMIFS(Discover!$F:$F,Discover!$J:$J,Subscriptions!$A30,Discover!$B:$B,6,Discover!G:G,"APP")</f>
        <v>0</v>
      </c>
      <c r="N30" s="10">
        <f>SUMIFS(Discover!$F:$F,Discover!$J:$J,Subscriptions!$A30,Discover!$B:$B,7,Discover!G:G,"APP")</f>
        <v>0</v>
      </c>
      <c r="O30" s="10">
        <f>SUMIFS(Discover!$F:$F,Discover!$J:$J,Subscriptions!$A30,Discover!$B:$B,8,Discover!G:G,"APP")</f>
        <v>0</v>
      </c>
      <c r="P30" s="10">
        <f>SUMIFS(Discover!$F:$F,Discover!$J:$J,Subscriptions!$A30,Discover!$B:$B,9,Discover!G:G,"APP")</f>
        <v>0</v>
      </c>
      <c r="Q30" s="10">
        <f>SUMIFS(Discover!$F:$F,Discover!$J:$J,Subscriptions!$A30,Discover!$B:$B,10)</f>
        <v>0</v>
      </c>
      <c r="R30" s="10">
        <f>SUMIFS(Discover!$F:$F,Discover!$J:$J,Subscriptions!$A30,Discover!$B:$B,11)</f>
        <v>0</v>
      </c>
      <c r="S30" s="10">
        <f>SUMIFS(Discover!$F:$F,Discover!$J:$J,Subscriptions!$A30,Discover!$B:$B,12)</f>
        <v>0</v>
      </c>
    </row>
    <row r="31" spans="1:19" x14ac:dyDescent="0.2">
      <c r="A31" t="str">
        <v>Verizon Internet</v>
      </c>
      <c r="D31" s="13" cm="1">
        <f t="array" ref="D31">AVERAGE(DAY(_xlfn.UNIQUE(_xlfn._xlws.FILTER(Discover!C:C, Discover!J:J = A31,0),1)))</f>
        <v>16.5</v>
      </c>
      <c r="E31" s="10">
        <f>SUMIFS(Discover!F:F,Discover!J:J,Subscriptions!A31,Discover!G:G,"APP")</f>
        <v>100</v>
      </c>
      <c r="F31">
        <f>COUNTIFS(Discover!J:J,Subscriptions!A31,Discover!G:G,"APP")</f>
        <v>2</v>
      </c>
      <c r="G31" s="10">
        <f t="shared" si="3"/>
        <v>50</v>
      </c>
      <c r="H31" s="10">
        <f>SUMIFS(Discover!$F:$F,Discover!$J:$J,Subscriptions!$A31,Discover!$B:$B,1,Discover!G:G,"APP")</f>
        <v>0</v>
      </c>
      <c r="I31" s="10">
        <f>SUMIFS(Discover!$F:$F,Discover!$J:$J,Subscriptions!$A31,Discover!$B:$B,2,Discover!G:G,"APP")</f>
        <v>0</v>
      </c>
      <c r="J31" s="10">
        <f>SUMIFS(Discover!$F:$F,Discover!$J:$J,Subscriptions!$A31,Discover!$B:$B,3,Discover!G:G,"APP")</f>
        <v>0</v>
      </c>
      <c r="K31" s="10">
        <f>SUMIFS(Discover!$F:$F,Discover!$J:$J,Subscriptions!$A31,Discover!$B:$B,4,Discover!G:G,"APP")</f>
        <v>0</v>
      </c>
      <c r="L31" s="10">
        <f>SUMIFS(Discover!$F:$F,Discover!$J:$J,Subscriptions!$A31,Discover!$B:$B,5,Discover!G:G,"APP")</f>
        <v>0</v>
      </c>
      <c r="M31" s="10">
        <f>SUMIFS(Discover!$F:$F,Discover!$J:$J,Subscriptions!$A31,Discover!$B:$B,6,Discover!G:G,"APP")</f>
        <v>50</v>
      </c>
      <c r="N31" s="10">
        <f>SUMIFS(Discover!$F:$F,Discover!$J:$J,Subscriptions!$A31,Discover!$B:$B,7,Discover!G:G,"APP")</f>
        <v>0</v>
      </c>
      <c r="O31" s="10">
        <f>SUMIFS(Discover!$F:$F,Discover!$J:$J,Subscriptions!$A31,Discover!$B:$B,8,Discover!G:G,"APP")</f>
        <v>50</v>
      </c>
      <c r="P31" s="10">
        <f>SUMIFS(Discover!$F:$F,Discover!$J:$J,Subscriptions!$A31,Discover!$B:$B,9,Discover!G:G,"APP")</f>
        <v>0</v>
      </c>
      <c r="Q31" s="10">
        <f>SUMIFS(Discover!$F:$F,Discover!$J:$J,Subscriptions!$A31,Discover!$B:$B,10)</f>
        <v>0</v>
      </c>
      <c r="R31" s="10">
        <f>SUMIFS(Discover!$F:$F,Discover!$J:$J,Subscriptions!$A31,Discover!$B:$B,11)</f>
        <v>0</v>
      </c>
      <c r="S31" s="10">
        <f>SUMIFS(Discover!$F:$F,Discover!$J:$J,Subscriptions!$A31,Discover!$B:$B,12)</f>
        <v>0</v>
      </c>
    </row>
    <row r="32" spans="1:19" x14ac:dyDescent="0.2">
      <c r="A32" t="str">
        <v>Webull</v>
      </c>
      <c r="D32" s="13" cm="1">
        <f t="array" ref="D32">AVERAGE(DAY(_xlfn.UNIQUE(_xlfn._xlws.FILTER(Discover!C:C, Discover!J:J = A32,0),1)))</f>
        <v>7.25</v>
      </c>
      <c r="E32" s="10">
        <f>SUMIFS(Discover!F:F,Discover!J:J,Subscriptions!A32,Discover!G:G,"APP")</f>
        <v>7.96</v>
      </c>
      <c r="F32">
        <f>COUNTIFS(Discover!J:J,Subscriptions!A32,Discover!G:G,"APP")</f>
        <v>4</v>
      </c>
      <c r="G32" s="10">
        <f t="shared" si="3"/>
        <v>1.99</v>
      </c>
      <c r="H32" s="10">
        <f>SUMIFS(Discover!$F:$F,Discover!$J:$J,Subscriptions!$A32,Discover!$B:$B,1,Discover!G:G,"APP")</f>
        <v>0</v>
      </c>
      <c r="I32" s="10">
        <f>SUMIFS(Discover!$F:$F,Discover!$J:$J,Subscriptions!$A32,Discover!$B:$B,2,Discover!G:G,"APP")</f>
        <v>1.99</v>
      </c>
      <c r="J32" s="10">
        <f>SUMIFS(Discover!$F:$F,Discover!$J:$J,Subscriptions!$A32,Discover!$B:$B,3,Discover!G:G,"APP")</f>
        <v>0</v>
      </c>
      <c r="K32" s="10">
        <f>SUMIFS(Discover!$F:$F,Discover!$J:$J,Subscriptions!$A32,Discover!$B:$B,4,Discover!G:G,"APP")</f>
        <v>1.99</v>
      </c>
      <c r="L32" s="10">
        <f>SUMIFS(Discover!$F:$F,Discover!$J:$J,Subscriptions!$A32,Discover!$B:$B,5,Discover!G:G,"APP")</f>
        <v>1.99</v>
      </c>
      <c r="M32" s="10">
        <f>SUMIFS(Discover!$F:$F,Discover!$J:$J,Subscriptions!$A32,Discover!$B:$B,6,Discover!G:G,"APP")</f>
        <v>1.99</v>
      </c>
      <c r="N32" s="10">
        <f>SUMIFS(Discover!$F:$F,Discover!$J:$J,Subscriptions!$A32,Discover!$B:$B,7,Discover!G:G,"APP")</f>
        <v>0</v>
      </c>
      <c r="O32" s="10">
        <f>SUMIFS(Discover!$F:$F,Discover!$J:$J,Subscriptions!$A32,Discover!$B:$B,8,Discover!G:G,"APP")</f>
        <v>0</v>
      </c>
      <c r="P32" s="10">
        <f>SUMIFS(Discover!$F:$F,Discover!$J:$J,Subscriptions!$A32,Discover!$B:$B,9,Discover!G:G,"APP")</f>
        <v>0</v>
      </c>
      <c r="Q32" s="10">
        <f>SUMIFS(Discover!$F:$F,Discover!$J:$J,Subscriptions!$A32,Discover!$B:$B,10)</f>
        <v>0</v>
      </c>
      <c r="R32" s="10">
        <f>SUMIFS(Discover!$F:$F,Discover!$J:$J,Subscriptions!$A32,Discover!$B:$B,11)</f>
        <v>0</v>
      </c>
      <c r="S32" s="10">
        <f>SUMIFS(Discover!$F:$F,Discover!$J:$J,Subscriptions!$A32,Discover!$B:$B,12)</f>
        <v>0</v>
      </c>
    </row>
    <row r="33" spans="4:19" x14ac:dyDescent="0.2">
      <c r="D33" s="13" cm="1">
        <f t="array" ref="D33">AVERAGE(DAY(_xlfn.UNIQUE(_xlfn._xlws.FILTER(Discover!C:C, Discover!J:J = A33,0),1)))</f>
        <v>5.8863710951512329E-3</v>
      </c>
      <c r="E33" s="10"/>
      <c r="G33" s="10"/>
      <c r="H33" s="10"/>
      <c r="I33" s="10"/>
      <c r="J33" s="10"/>
      <c r="K33" s="10"/>
      <c r="L33" s="10"/>
      <c r="M33" s="10"/>
      <c r="N33" s="10"/>
      <c r="O33" s="10"/>
      <c r="P33" s="10"/>
      <c r="Q33" s="10"/>
      <c r="R33" s="10"/>
      <c r="S33" s="10"/>
    </row>
    <row r="34" spans="4:19" x14ac:dyDescent="0.2">
      <c r="D34" s="13" cm="1">
        <f t="array" ref="D34">AVERAGE(DAY(_xlfn.UNIQUE(_xlfn._xlws.FILTER(Discover!C:C, Discover!J:J = A34,0),1)))</f>
        <v>5.8863710951512329E-3</v>
      </c>
      <c r="E34" s="10"/>
      <c r="G34" s="10"/>
      <c r="H34" s="10"/>
      <c r="I34" s="10"/>
      <c r="J34" s="10"/>
      <c r="K34" s="10"/>
      <c r="L34" s="10"/>
      <c r="M34" s="10"/>
      <c r="N34" s="10"/>
      <c r="O34" s="10"/>
      <c r="P34" s="10"/>
      <c r="Q34" s="10"/>
      <c r="R34" s="10"/>
      <c r="S34" s="10"/>
    </row>
    <row r="35" spans="4:19" x14ac:dyDescent="0.2">
      <c r="D35" s="13" cm="1">
        <f t="array" ref="D35">AVERAGE(DAY(_xlfn.UNIQUE(_xlfn._xlws.FILTER(Discover!C:C, Discover!J:J = A35,0),1)))</f>
        <v>5.8863710951512329E-3</v>
      </c>
      <c r="E35" s="10"/>
      <c r="G35" s="10"/>
      <c r="H35" s="10"/>
      <c r="I35" s="10"/>
      <c r="J35" s="10"/>
      <c r="K35" s="10"/>
      <c r="L35" s="10"/>
      <c r="M35" s="10"/>
      <c r="N35" s="10"/>
      <c r="O35" s="10"/>
      <c r="P35" s="10"/>
      <c r="Q35" s="10"/>
      <c r="R35" s="10"/>
      <c r="S35" s="10"/>
    </row>
    <row r="36" spans="4:19" x14ac:dyDescent="0.2">
      <c r="D36" s="13" cm="1">
        <f t="array" ref="D36">AVERAGE(DAY(_xlfn.UNIQUE(_xlfn._xlws.FILTER(Discover!C:C, Discover!J:J = A36,0),1)))</f>
        <v>5.8863710951512329E-3</v>
      </c>
      <c r="E36" s="10"/>
      <c r="G36" s="10"/>
      <c r="H36" s="10"/>
      <c r="I36" s="10"/>
      <c r="J36" s="10"/>
      <c r="K36" s="10"/>
      <c r="L36" s="10"/>
      <c r="M36" s="10"/>
      <c r="N36" s="10"/>
      <c r="O36" s="10"/>
      <c r="P36" s="10"/>
      <c r="Q36" s="10"/>
      <c r="R36" s="10"/>
      <c r="S36" s="10"/>
    </row>
    <row r="37" spans="4:19" x14ac:dyDescent="0.2">
      <c r="D37"/>
      <c r="E37" s="10"/>
      <c r="G37" s="10"/>
      <c r="H37" s="10"/>
      <c r="I37" s="10"/>
      <c r="J37" s="10"/>
      <c r="K37" s="10"/>
      <c r="L37" s="10"/>
      <c r="M37" s="10"/>
      <c r="N37" s="10"/>
      <c r="O37" s="10"/>
      <c r="P37" s="10"/>
      <c r="Q37" s="10"/>
      <c r="R37" s="10"/>
      <c r="S37" s="10"/>
    </row>
    <row r="38" spans="4:19" x14ac:dyDescent="0.2">
      <c r="D38"/>
      <c r="N38"/>
    </row>
    <row r="39" spans="4:19" x14ac:dyDescent="0.2">
      <c r="D39"/>
      <c r="N39"/>
    </row>
    <row r="40" spans="4:19" x14ac:dyDescent="0.2">
      <c r="E40" s="101">
        <f>SUM(E2:E39)</f>
        <v>3017.52</v>
      </c>
      <c r="F40" s="15"/>
      <c r="G40" s="15">
        <f>SUMPRODUCT(G2:G39,E2:E39)/SUM(E2:E39)</f>
        <v>57.954395228058601</v>
      </c>
      <c r="H40" s="15">
        <f>SUM(H2:H39)</f>
        <v>190.63</v>
      </c>
      <c r="I40" s="15">
        <f t="shared" ref="I40:P40" si="4">SUM(I2:I39)</f>
        <v>250.9</v>
      </c>
      <c r="J40" s="15">
        <f t="shared" si="4"/>
        <v>341.90000000000003</v>
      </c>
      <c r="K40" s="15">
        <f t="shared" si="4"/>
        <v>216.49</v>
      </c>
      <c r="L40" s="15">
        <f t="shared" si="4"/>
        <v>497.40000000000009</v>
      </c>
      <c r="M40" s="15">
        <f t="shared" si="4"/>
        <v>447.13</v>
      </c>
      <c r="N40" s="15">
        <f t="shared" si="4"/>
        <v>310.99</v>
      </c>
      <c r="O40" s="15">
        <f t="shared" si="4"/>
        <v>484.40000000000003</v>
      </c>
      <c r="P40" s="15">
        <f t="shared" si="4"/>
        <v>277.67999999999995</v>
      </c>
      <c r="Q40" s="15">
        <f t="shared" ref="Q40" si="5">SUM(Q2:Q39)</f>
        <v>0</v>
      </c>
      <c r="R40" s="15">
        <f t="shared" ref="R40" si="6">SUM(R2:R39)</f>
        <v>0</v>
      </c>
      <c r="S40" s="15">
        <f t="shared" ref="S40" si="7">SUM(S2:S39)</f>
        <v>0</v>
      </c>
    </row>
  </sheetData>
  <conditionalFormatting sqref="H40:S4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335D-16C4-4D44-B63A-61E5049AE184}">
  <sheetPr>
    <tabColor theme="3"/>
  </sheetPr>
  <dimension ref="A1:BI73"/>
  <sheetViews>
    <sheetView topLeftCell="A32" zoomScaleNormal="100" workbookViewId="0">
      <pane xSplit="1" topLeftCell="AN1" activePane="topRight" state="frozen"/>
      <selection pane="topRight" activeCell="AR67" sqref="AR67"/>
    </sheetView>
  </sheetViews>
  <sheetFormatPr defaultRowHeight="11.25" x14ac:dyDescent="0.2"/>
  <cols>
    <col min="1" max="1" width="28.1640625" bestFit="1" customWidth="1"/>
    <col min="2" max="2" width="21.1640625" customWidth="1"/>
    <col min="3" max="46" width="15.5" customWidth="1"/>
    <col min="47" max="47" width="19" bestFit="1" customWidth="1"/>
    <col min="48" max="61" width="15.5" customWidth="1"/>
  </cols>
  <sheetData>
    <row r="1" spans="1:61" s="2" customFormat="1" x14ac:dyDescent="0.2">
      <c r="C1" s="2">
        <v>1</v>
      </c>
      <c r="D1" s="2">
        <v>1</v>
      </c>
      <c r="E1" s="2">
        <v>1</v>
      </c>
      <c r="F1" s="2">
        <v>1</v>
      </c>
      <c r="G1" s="2">
        <v>1</v>
      </c>
      <c r="H1" s="2">
        <v>2</v>
      </c>
      <c r="I1" s="2">
        <v>2</v>
      </c>
      <c r="J1" s="2">
        <v>2</v>
      </c>
      <c r="K1" s="2">
        <v>2</v>
      </c>
      <c r="L1" s="2">
        <v>3</v>
      </c>
      <c r="M1" s="2">
        <v>3</v>
      </c>
      <c r="N1" s="2">
        <v>3</v>
      </c>
      <c r="O1" s="2">
        <v>3</v>
      </c>
      <c r="P1" s="2">
        <v>3</v>
      </c>
      <c r="Q1" s="2">
        <v>4</v>
      </c>
      <c r="R1" s="2">
        <v>4</v>
      </c>
      <c r="S1" s="2">
        <v>4</v>
      </c>
      <c r="T1" s="2">
        <v>4</v>
      </c>
      <c r="U1" s="2">
        <v>4</v>
      </c>
      <c r="V1" s="2">
        <v>5</v>
      </c>
      <c r="W1" s="2">
        <v>5</v>
      </c>
      <c r="X1" s="2">
        <v>5</v>
      </c>
      <c r="Y1" s="2">
        <v>5</v>
      </c>
      <c r="Z1" s="2">
        <v>5</v>
      </c>
      <c r="AA1" s="2">
        <v>6</v>
      </c>
      <c r="AB1" s="2">
        <v>6</v>
      </c>
      <c r="AC1" s="2">
        <v>6</v>
      </c>
      <c r="AD1" s="2">
        <v>6</v>
      </c>
      <c r="AE1" s="2">
        <v>6</v>
      </c>
      <c r="AF1" s="2">
        <v>7</v>
      </c>
      <c r="AG1" s="2">
        <v>7</v>
      </c>
      <c r="AH1" s="2">
        <v>7</v>
      </c>
      <c r="AI1" s="2">
        <v>7</v>
      </c>
      <c r="AJ1" s="2">
        <v>7</v>
      </c>
      <c r="AK1" s="2">
        <v>8</v>
      </c>
      <c r="AL1" s="2">
        <v>8</v>
      </c>
      <c r="AM1" s="2">
        <v>8</v>
      </c>
      <c r="AN1" s="2">
        <v>8</v>
      </c>
      <c r="AO1" s="2">
        <v>8</v>
      </c>
      <c r="AP1" s="2">
        <v>9</v>
      </c>
      <c r="AQ1" s="2">
        <v>9</v>
      </c>
      <c r="AR1" s="2">
        <v>9</v>
      </c>
      <c r="AS1" s="2">
        <v>9</v>
      </c>
      <c r="AT1" s="2">
        <v>9</v>
      </c>
      <c r="AU1" s="2">
        <v>10</v>
      </c>
      <c r="AV1" s="2">
        <v>10</v>
      </c>
      <c r="AW1" s="2">
        <v>10</v>
      </c>
      <c r="AX1" s="2">
        <v>10</v>
      </c>
      <c r="AY1" s="2">
        <v>10</v>
      </c>
      <c r="AZ1" s="2">
        <v>11</v>
      </c>
      <c r="BA1" s="2">
        <v>11</v>
      </c>
      <c r="BB1" s="2">
        <v>11</v>
      </c>
      <c r="BC1" s="2">
        <v>11</v>
      </c>
      <c r="BD1" s="2">
        <v>11</v>
      </c>
      <c r="BE1" s="2">
        <v>12</v>
      </c>
      <c r="BF1" s="2">
        <v>12</v>
      </c>
      <c r="BG1" s="2">
        <v>12</v>
      </c>
      <c r="BH1" s="2">
        <v>12</v>
      </c>
      <c r="BI1" s="2">
        <v>12</v>
      </c>
    </row>
    <row r="2" spans="1:61" ht="14.25" x14ac:dyDescent="0.2">
      <c r="A2" t="s">
        <v>519</v>
      </c>
      <c r="B2" s="20">
        <v>167.58</v>
      </c>
      <c r="C2" s="257" t="s">
        <v>2</v>
      </c>
      <c r="D2" s="257"/>
      <c r="E2" s="257"/>
      <c r="F2" s="257"/>
      <c r="G2" s="257"/>
      <c r="H2" s="258" t="s">
        <v>302</v>
      </c>
      <c r="I2" s="258"/>
      <c r="J2" s="258"/>
      <c r="K2" s="258"/>
      <c r="L2" s="259" t="s">
        <v>303</v>
      </c>
      <c r="M2" s="259"/>
      <c r="N2" s="259"/>
      <c r="O2" s="259"/>
      <c r="P2" s="259"/>
      <c r="Q2" s="255" t="s">
        <v>304</v>
      </c>
      <c r="R2" s="255"/>
      <c r="S2" s="255"/>
      <c r="T2" s="255"/>
      <c r="U2" s="255"/>
      <c r="V2" s="260" t="s">
        <v>516</v>
      </c>
      <c r="W2" s="260"/>
      <c r="X2" s="260"/>
      <c r="Y2" s="260"/>
      <c r="Z2" s="260"/>
      <c r="AA2" s="251" t="s">
        <v>517</v>
      </c>
      <c r="AB2" s="251"/>
      <c r="AC2" s="251"/>
      <c r="AD2" s="251"/>
      <c r="AE2" s="251"/>
      <c r="AF2" s="252" t="s">
        <v>518</v>
      </c>
      <c r="AG2" s="252"/>
      <c r="AH2" s="252"/>
      <c r="AI2" s="252"/>
      <c r="AJ2" s="252"/>
      <c r="AK2" s="253" t="s">
        <v>324</v>
      </c>
      <c r="AL2" s="253"/>
      <c r="AM2" s="253"/>
      <c r="AN2" s="253"/>
      <c r="AO2" s="253"/>
      <c r="AP2" s="254" t="s">
        <v>325</v>
      </c>
      <c r="AQ2" s="254"/>
      <c r="AR2" s="254"/>
      <c r="AS2" s="254"/>
      <c r="AT2" s="254"/>
      <c r="AU2" s="255" t="s">
        <v>323</v>
      </c>
      <c r="AV2" s="255"/>
      <c r="AW2" s="255"/>
      <c r="AX2" s="255"/>
      <c r="AY2" s="255"/>
      <c r="AZ2" s="256" t="s">
        <v>326</v>
      </c>
      <c r="BA2" s="256"/>
      <c r="BB2" s="256"/>
      <c r="BC2" s="256"/>
      <c r="BD2" s="256"/>
      <c r="BE2" s="250" t="s">
        <v>327</v>
      </c>
      <c r="BF2" s="250"/>
      <c r="BG2" s="250"/>
      <c r="BH2" s="250"/>
      <c r="BI2" s="250"/>
    </row>
    <row r="3" spans="1:61" s="2" customFormat="1" x14ac:dyDescent="0.2">
      <c r="C3" s="2">
        <v>1</v>
      </c>
      <c r="D3" s="2">
        <v>8</v>
      </c>
      <c r="E3" s="2">
        <v>15</v>
      </c>
      <c r="F3" s="2">
        <v>22</v>
      </c>
      <c r="G3" s="2">
        <v>31</v>
      </c>
      <c r="H3" s="2">
        <v>5</v>
      </c>
      <c r="I3" s="2">
        <v>12</v>
      </c>
      <c r="J3" s="2">
        <v>19</v>
      </c>
      <c r="K3" s="2">
        <v>28</v>
      </c>
      <c r="L3" s="2">
        <v>5</v>
      </c>
      <c r="M3" s="2">
        <v>12</v>
      </c>
      <c r="N3" s="2">
        <v>19</v>
      </c>
      <c r="O3" s="2">
        <v>26</v>
      </c>
      <c r="P3" s="2">
        <v>31</v>
      </c>
      <c r="Q3" s="2">
        <v>2</v>
      </c>
      <c r="R3" s="2">
        <v>9</v>
      </c>
      <c r="S3" s="2">
        <v>16</v>
      </c>
      <c r="T3" s="2">
        <v>23</v>
      </c>
      <c r="U3" s="2">
        <v>30</v>
      </c>
      <c r="V3" s="2">
        <v>7</v>
      </c>
      <c r="W3" s="2">
        <v>14</v>
      </c>
      <c r="X3" s="2">
        <v>21</v>
      </c>
      <c r="Y3" s="2">
        <v>28</v>
      </c>
      <c r="Z3" s="2">
        <v>31</v>
      </c>
      <c r="AA3" s="2">
        <v>4</v>
      </c>
      <c r="AB3" s="2">
        <v>11</v>
      </c>
      <c r="AC3" s="2">
        <v>18</v>
      </c>
      <c r="AD3" s="2">
        <v>25</v>
      </c>
      <c r="AE3" s="2">
        <v>30</v>
      </c>
      <c r="AF3" s="2">
        <v>2</v>
      </c>
      <c r="AG3" s="2">
        <v>9</v>
      </c>
      <c r="AH3" s="2">
        <v>16</v>
      </c>
      <c r="AI3" s="2">
        <v>23</v>
      </c>
      <c r="AJ3" s="2">
        <v>30</v>
      </c>
      <c r="AK3" s="2">
        <v>6</v>
      </c>
      <c r="AL3" s="2">
        <v>13</v>
      </c>
      <c r="AM3" s="2">
        <v>20</v>
      </c>
      <c r="AN3" s="2">
        <v>27</v>
      </c>
      <c r="AO3" s="2">
        <v>31</v>
      </c>
      <c r="AP3" s="2">
        <v>3</v>
      </c>
      <c r="AQ3" s="2">
        <v>10</v>
      </c>
      <c r="AR3" s="2">
        <v>17</v>
      </c>
      <c r="AS3" s="2">
        <v>24</v>
      </c>
      <c r="AT3" s="2">
        <v>30</v>
      </c>
      <c r="AU3" s="2">
        <v>1</v>
      </c>
      <c r="AV3" s="2">
        <v>8</v>
      </c>
      <c r="AW3" s="2">
        <v>15</v>
      </c>
      <c r="AX3" s="2">
        <v>22</v>
      </c>
      <c r="AY3" s="2">
        <v>29</v>
      </c>
      <c r="AZ3" s="2">
        <v>5</v>
      </c>
      <c r="BA3" s="2">
        <v>12</v>
      </c>
      <c r="BB3" s="2">
        <v>19</v>
      </c>
      <c r="BC3" s="2">
        <v>26</v>
      </c>
      <c r="BD3" s="2">
        <v>30</v>
      </c>
      <c r="BE3" s="2">
        <v>3</v>
      </c>
      <c r="BF3" s="2">
        <v>10</v>
      </c>
      <c r="BG3" s="2">
        <v>17</v>
      </c>
      <c r="BH3" s="2">
        <v>24</v>
      </c>
      <c r="BI3" s="2">
        <v>31</v>
      </c>
    </row>
    <row r="4" spans="1:61" ht="12.75" x14ac:dyDescent="0.2">
      <c r="A4" t="str" cm="1">
        <f t="array" ref="A4:A59">_xlfn._xlws.SORT(_xlfn.UNIQUE(_xlfn._xlws.FILTER('Wells Fargo'!G:G,('Wells Fargo'!G:G&lt;&gt;0)*('Wells Fargo'!G:G&lt;&gt;"Primary"))))</f>
        <v>3060 Ti GPU</v>
      </c>
      <c r="B4" s="15">
        <f>SUM(C4:BI4)</f>
        <v>0</v>
      </c>
      <c r="C4" s="90">
        <f>SUMIFS('Wells Fargo'!$F:$F,'Wells Fargo'!$G:$G,'Cash Flow'!$A4,'Wells Fargo'!$A:$A,C$1,'Wells Fargo'!$B:$B,"&lt;="&amp;'Cash Flow'!C$3)</f>
        <v>0</v>
      </c>
      <c r="D4" s="89">
        <f>SUMIFS('Wells Fargo'!$F:$F,'Wells Fargo'!$G:$G,'Cash Flow'!$A4,'Wells Fargo'!$A:$A,D$1,'Wells Fargo'!$B:$B,"&lt;="&amp;'Cash Flow'!D$3,'Wells Fargo'!$B:$B,"&gt;"&amp;'Cash Flow'!C$3)</f>
        <v>0</v>
      </c>
      <c r="E4" s="89">
        <f>SUMIFS('Wells Fargo'!$F:$F,'Wells Fargo'!$G:$G,'Cash Flow'!$A4,'Wells Fargo'!$A:$A,E$1,'Wells Fargo'!$B:$B,"&lt;="&amp;'Cash Flow'!E$3,'Wells Fargo'!$B:$B,"&gt;"&amp;'Cash Flow'!D$3)</f>
        <v>0</v>
      </c>
      <c r="F4" s="89">
        <f>SUMIFS('Wells Fargo'!$F:$F,'Wells Fargo'!$G:$G,'Cash Flow'!$A4,'Wells Fargo'!$A:$A,F$1,'Wells Fargo'!$B:$B,"&lt;="&amp;'Cash Flow'!F$3,'Wells Fargo'!$B:$B,"&gt;"&amp;'Cash Flow'!E$3)</f>
        <v>0</v>
      </c>
      <c r="G4" s="89">
        <f>SUMIFS('Wells Fargo'!$F:$F,'Wells Fargo'!$G:$G,'Cash Flow'!$A4,'Wells Fargo'!$A:$A,G$1,'Wells Fargo'!$B:$B,"&lt;="&amp;'Cash Flow'!G$3,'Wells Fargo'!$B:$B,"&gt;"&amp;'Cash Flow'!F$3)</f>
        <v>0</v>
      </c>
      <c r="H4" s="90">
        <f>SUMIFS('Wells Fargo'!$F:$F,'Wells Fargo'!$G:$G,'Cash Flow'!$A4,'Wells Fargo'!$A:$A,H$1,'Wells Fargo'!$B:$B,"&lt;="&amp;'Cash Flow'!H$3)</f>
        <v>0</v>
      </c>
      <c r="I4" s="89">
        <f>SUMIFS('Wells Fargo'!$F:$F,'Wells Fargo'!$G:$G,'Cash Flow'!$A4,'Wells Fargo'!$A:$A,I$1,'Wells Fargo'!$B:$B,"&lt;="&amp;'Cash Flow'!I$3,'Wells Fargo'!$B:$B,"&gt;"&amp;'Cash Flow'!H$3)</f>
        <v>0</v>
      </c>
      <c r="J4" s="89">
        <f>SUMIFS('Wells Fargo'!$F:$F,'Wells Fargo'!$G:$G,'Cash Flow'!$A4,'Wells Fargo'!$A:$A,J$1,'Wells Fargo'!$B:$B,"&lt;="&amp;'Cash Flow'!J$3,'Wells Fargo'!$B:$B,"&gt;"&amp;'Cash Flow'!I$3)</f>
        <v>0</v>
      </c>
      <c r="K4" s="89">
        <f>SUMIFS('Wells Fargo'!$F:$F,'Wells Fargo'!$G:$G,'Cash Flow'!$A4,'Wells Fargo'!$A:$A,K$1,'Wells Fargo'!$B:$B,"&lt;="&amp;'Cash Flow'!K$3,'Wells Fargo'!$B:$B,"&gt;"&amp;'Cash Flow'!J$3)</f>
        <v>0</v>
      </c>
      <c r="L4" s="90">
        <f>SUMIFS('Wells Fargo'!$F:$F,'Wells Fargo'!$G:$G,'Cash Flow'!$A4,'Wells Fargo'!$A:$A,L$1,'Wells Fargo'!$B:$B,"&lt;="&amp;'Cash Flow'!L$3)</f>
        <v>0</v>
      </c>
      <c r="M4" s="89">
        <f>SUMIFS('Wells Fargo'!$F:$F,'Wells Fargo'!$G:$G,'Cash Flow'!$A4,'Wells Fargo'!$A:$A,M$1,'Wells Fargo'!$B:$B,"&lt;="&amp;'Cash Flow'!M$3,'Wells Fargo'!$B:$B,"&gt;"&amp;'Cash Flow'!L$3)</f>
        <v>0</v>
      </c>
      <c r="N4" s="89">
        <f>SUMIFS('Wells Fargo'!$F:$F,'Wells Fargo'!$G:$G,'Cash Flow'!$A4,'Wells Fargo'!$A:$A,N$1,'Wells Fargo'!$B:$B,"&lt;="&amp;'Cash Flow'!N$3,'Wells Fargo'!$B:$B,"&gt;"&amp;'Cash Flow'!M$3)</f>
        <v>0</v>
      </c>
      <c r="O4" s="89">
        <f>SUMIFS('Wells Fargo'!$F:$F,'Wells Fargo'!$G:$G,'Cash Flow'!$A4,'Wells Fargo'!$A:$A,O$1,'Wells Fargo'!$B:$B,"&lt;="&amp;'Cash Flow'!O$3,'Wells Fargo'!$B:$B,"&gt;"&amp;'Cash Flow'!N$3)</f>
        <v>0</v>
      </c>
      <c r="P4" s="89">
        <f>SUMIFS('Wells Fargo'!$F:$F,'Wells Fargo'!$G:$G,'Cash Flow'!$A4,'Wells Fargo'!$A:$A,P$1,'Wells Fargo'!$B:$B,"&lt;="&amp;'Cash Flow'!P$3,'Wells Fargo'!$B:$B,"&gt;"&amp;'Cash Flow'!O$3)</f>
        <v>0</v>
      </c>
      <c r="Q4" s="90">
        <f>SUMIFS('Wells Fargo'!$F:$F,'Wells Fargo'!$G:$G,'Cash Flow'!$A4,'Wells Fargo'!$A:$A,Q$1,'Wells Fargo'!$B:$B,"&lt;="&amp;'Cash Flow'!Q$3)</f>
        <v>0</v>
      </c>
      <c r="R4" s="89">
        <f>SUMIFS('Wells Fargo'!$F:$F,'Wells Fargo'!$G:$G,'Cash Flow'!$A4,'Wells Fargo'!$A:$A,R$1,'Wells Fargo'!$B:$B,"&lt;="&amp;'Cash Flow'!R$3,'Wells Fargo'!$B:$B,"&gt;"&amp;'Cash Flow'!Q$3)</f>
        <v>0</v>
      </c>
      <c r="S4" s="89">
        <f>SUMIFS('Wells Fargo'!$F:$F,'Wells Fargo'!$G:$G,'Cash Flow'!$A4,'Wells Fargo'!$A:$A,S$1,'Wells Fargo'!$B:$B,"&lt;="&amp;'Cash Flow'!S$3,'Wells Fargo'!$B:$B,"&gt;"&amp;'Cash Flow'!R$3)</f>
        <v>0</v>
      </c>
      <c r="T4" s="89">
        <f>SUMIFS('Wells Fargo'!$F:$F,'Wells Fargo'!$G:$G,'Cash Flow'!$A4,'Wells Fargo'!$A:$A,T$1,'Wells Fargo'!$B:$B,"&lt;="&amp;'Cash Flow'!T$3,'Wells Fargo'!$B:$B,"&gt;"&amp;'Cash Flow'!S$3)</f>
        <v>0</v>
      </c>
      <c r="U4" s="89">
        <f>SUMIFS('Wells Fargo'!$F:$F,'Wells Fargo'!$G:$G,'Cash Flow'!$A4,'Wells Fargo'!$A:$A,U$1,'Wells Fargo'!$B:$B,"&lt;="&amp;'Cash Flow'!U$3,'Wells Fargo'!$B:$B,"&gt;"&amp;'Cash Flow'!T$3)</f>
        <v>0</v>
      </c>
      <c r="V4" s="90">
        <f>SUMIFS('Wells Fargo'!$F:$F,'Wells Fargo'!$G:$G,'Cash Flow'!$A4,'Wells Fargo'!$A:$A,V$1,'Wells Fargo'!$B:$B,"&lt;="&amp;'Cash Flow'!V$3)</f>
        <v>0</v>
      </c>
      <c r="W4" s="89">
        <f>SUMIFS('Wells Fargo'!$F:$F,'Wells Fargo'!$G:$G,'Cash Flow'!$A4,'Wells Fargo'!$A:$A,W$1,'Wells Fargo'!$B:$B,"&lt;="&amp;'Cash Flow'!W$3,'Wells Fargo'!$B:$B,"&gt;"&amp;'Cash Flow'!V$3)</f>
        <v>0</v>
      </c>
      <c r="X4" s="89">
        <f>SUMIFS('Wells Fargo'!$F:$F,'Wells Fargo'!$G:$G,'Cash Flow'!$A4,'Wells Fargo'!$A:$A,X$1,'Wells Fargo'!$B:$B,"&lt;="&amp;'Cash Flow'!X$3,'Wells Fargo'!$B:$B,"&gt;"&amp;'Cash Flow'!W$3)</f>
        <v>0</v>
      </c>
      <c r="Y4" s="89">
        <f>SUMIFS('Wells Fargo'!$F:$F,'Wells Fargo'!$G:$G,'Cash Flow'!$A4,'Wells Fargo'!$A:$A,Y$1,'Wells Fargo'!$B:$B,"&lt;="&amp;'Cash Flow'!Y$3,'Wells Fargo'!$B:$B,"&gt;"&amp;'Cash Flow'!X$3)</f>
        <v>0</v>
      </c>
      <c r="Z4" s="89">
        <f>SUMIFS('Wells Fargo'!$F:$F,'Wells Fargo'!$G:$G,'Cash Flow'!$A4,'Wells Fargo'!$A:$A,Z$1,'Wells Fargo'!$B:$B,"&lt;="&amp;'Cash Flow'!Z$3,'Wells Fargo'!$B:$B,"&gt;"&amp;'Cash Flow'!Y$3)</f>
        <v>0</v>
      </c>
      <c r="AA4" s="90">
        <f>SUMIFS('Wells Fargo'!$F:$F,'Wells Fargo'!$G:$G,'Cash Flow'!$A4,'Wells Fargo'!$A:$A,AA$1,'Wells Fargo'!$B:$B,"&lt;="&amp;'Cash Flow'!AA$3)</f>
        <v>0</v>
      </c>
      <c r="AB4" s="89">
        <f>SUMIFS('Wells Fargo'!$F:$F,'Wells Fargo'!$G:$G,'Cash Flow'!$A4,'Wells Fargo'!$A:$A,AB$1,'Wells Fargo'!$B:$B,"&lt;="&amp;'Cash Flow'!AB$3,'Wells Fargo'!$B:$B,"&gt;"&amp;'Cash Flow'!AA$3)</f>
        <v>0</v>
      </c>
      <c r="AC4" s="89">
        <f>SUMIFS('Wells Fargo'!$F:$F,'Wells Fargo'!$G:$G,'Cash Flow'!$A4,'Wells Fargo'!$A:$A,AC$1,'Wells Fargo'!$B:$B,"&lt;="&amp;'Cash Flow'!AC$3,'Wells Fargo'!$B:$B,"&gt;"&amp;'Cash Flow'!AB$3)</f>
        <v>0</v>
      </c>
      <c r="AD4" s="89">
        <f>SUMIFS('Wells Fargo'!$F:$F,'Wells Fargo'!$G:$G,'Cash Flow'!$A4,'Wells Fargo'!$A:$A,AD$1,'Wells Fargo'!$B:$B,"&lt;="&amp;'Cash Flow'!AD$3,'Wells Fargo'!$B:$B,"&gt;"&amp;'Cash Flow'!AC$3)</f>
        <v>0</v>
      </c>
      <c r="AE4" s="89">
        <f>SUMIFS('Wells Fargo'!$F:$F,'Wells Fargo'!$G:$G,'Cash Flow'!$A4,'Wells Fargo'!$A:$A,AE$1,'Wells Fargo'!$B:$B,"&lt;="&amp;'Cash Flow'!AE$3,'Wells Fargo'!$B:$B,"&gt;"&amp;'Cash Flow'!AD$3)</f>
        <v>0</v>
      </c>
      <c r="AF4" s="90">
        <f>SUMIFS('Wells Fargo'!$F:$F,'Wells Fargo'!$G:$G,'Cash Flow'!$A4,'Wells Fargo'!$A:$A,AF$1,'Wells Fargo'!$B:$B,"&lt;="&amp;'Cash Flow'!AF$3)</f>
        <v>0</v>
      </c>
      <c r="AG4" s="89">
        <f>SUMIFS('Wells Fargo'!$F:$F,'Wells Fargo'!$G:$G,'Cash Flow'!$A4,'Wells Fargo'!$A:$A,AG$1,'Wells Fargo'!$B:$B,"&lt;="&amp;'Cash Flow'!AG$3,'Wells Fargo'!$B:$B,"&gt;"&amp;'Cash Flow'!AF$3)</f>
        <v>0</v>
      </c>
      <c r="AH4" s="89">
        <f>SUMIFS('Wells Fargo'!$F:$F,'Wells Fargo'!$G:$G,'Cash Flow'!$A4,'Wells Fargo'!$A:$A,AH$1,'Wells Fargo'!$B:$B,"&lt;="&amp;'Cash Flow'!AH$3,'Wells Fargo'!$B:$B,"&gt;"&amp;'Cash Flow'!AG$3)</f>
        <v>0</v>
      </c>
      <c r="AI4" s="89">
        <f>SUMIFS('Wells Fargo'!$F:$F,'Wells Fargo'!$G:$G,'Cash Flow'!$A4,'Wells Fargo'!$A:$A,AI$1,'Wells Fargo'!$B:$B,"&lt;="&amp;'Cash Flow'!AI$3,'Wells Fargo'!$B:$B,"&gt;"&amp;'Cash Flow'!AH$3)</f>
        <v>0</v>
      </c>
      <c r="AJ4" s="89">
        <f>SUMIFS('Wells Fargo'!$F:$F,'Wells Fargo'!$G:$G,'Cash Flow'!$A4,'Wells Fargo'!$A:$A,AJ$1,'Wells Fargo'!$B:$B,"&lt;="&amp;'Cash Flow'!AJ$3,'Wells Fargo'!$B:$B,"&gt;"&amp;'Cash Flow'!AI$3)</f>
        <v>0</v>
      </c>
      <c r="AK4" s="90">
        <f>SUMIFS('Wells Fargo'!$F:$F,'Wells Fargo'!$G:$G,'Cash Flow'!$A4,'Wells Fargo'!$A:$A,AK$1,'Wells Fargo'!$B:$B,"&lt;="&amp;'Cash Flow'!AK$3)</f>
        <v>0</v>
      </c>
      <c r="AL4" s="89">
        <f>SUMIFS('Wells Fargo'!$F:$F,'Wells Fargo'!$G:$G,'Cash Flow'!$A4,'Wells Fargo'!$A:$A,AL$1,'Wells Fargo'!$B:$B,"&lt;="&amp;'Cash Flow'!AL$3,'Wells Fargo'!$B:$B,"&gt;"&amp;'Cash Flow'!AK$3)</f>
        <v>0</v>
      </c>
      <c r="AM4" s="89">
        <f>SUMIFS('Wells Fargo'!$F:$F,'Wells Fargo'!$G:$G,'Cash Flow'!$A4,'Wells Fargo'!$A:$A,AM$1,'Wells Fargo'!$B:$B,"&lt;="&amp;'Cash Flow'!AM$3,'Wells Fargo'!$B:$B,"&gt;"&amp;'Cash Flow'!AL$3)</f>
        <v>0</v>
      </c>
      <c r="AN4" s="89">
        <f>SUMIFS('Wells Fargo'!$F:$F,'Wells Fargo'!$G:$G,'Cash Flow'!$A4,'Wells Fargo'!$A:$A,AN$1,'Wells Fargo'!$B:$B,"&lt;="&amp;'Cash Flow'!AN$3,'Wells Fargo'!$B:$B,"&gt;"&amp;'Cash Flow'!AM$3)</f>
        <v>0</v>
      </c>
      <c r="AO4" s="89">
        <f>SUMIFS('Wells Fargo'!$F:$F,'Wells Fargo'!$G:$G,'Cash Flow'!$A4,'Wells Fargo'!$A:$A,AO$1,'Wells Fargo'!$B:$B,"&lt;="&amp;'Cash Flow'!AO$3,'Wells Fargo'!$B:$B,"&gt;"&amp;'Cash Flow'!AN$3)</f>
        <v>0</v>
      </c>
      <c r="AP4" s="90">
        <f>SUMIFS('Wells Fargo'!$F:$F,'Wells Fargo'!$G:$G,'Cash Flow'!$A4,'Wells Fargo'!$A:$A,AP$1,'Wells Fargo'!$B:$B,"&lt;="&amp;'Cash Flow'!AP$3)</f>
        <v>0</v>
      </c>
      <c r="AQ4" s="89">
        <f>SUMIFS('Wells Fargo'!$F:$F,'Wells Fargo'!$G:$G,'Cash Flow'!$A4,'Wells Fargo'!$A:$A,AQ$1,'Wells Fargo'!$B:$B,"&lt;="&amp;'Cash Flow'!AQ$3,'Wells Fargo'!$B:$B,"&gt;"&amp;'Cash Flow'!AP$3)</f>
        <v>0</v>
      </c>
      <c r="AR4" s="89">
        <f>SUMIFS('Wells Fargo'!$F:$F,'Wells Fargo'!$G:$G,'Cash Flow'!$A4,'Wells Fargo'!$A:$A,AR$1,'Wells Fargo'!$B:$B,"&lt;="&amp;'Cash Flow'!AR$3,'Wells Fargo'!$B:$B,"&gt;"&amp;'Cash Flow'!AQ$3)</f>
        <v>0</v>
      </c>
      <c r="AS4" s="89">
        <f>SUMIFS('Wells Fargo'!$F:$F,'Wells Fargo'!$G:$G,'Cash Flow'!$A4,'Wells Fargo'!$A:$A,AS$1,'Wells Fargo'!$B:$B,"&lt;="&amp;'Cash Flow'!AS$3,'Wells Fargo'!$B:$B,"&gt;"&amp;'Cash Flow'!AR$3)</f>
        <v>0</v>
      </c>
      <c r="AT4" s="89">
        <f>SUMIFS('Wells Fargo'!$F:$F,'Wells Fargo'!$G:$G,'Cash Flow'!$A4,'Wells Fargo'!$A:$A,AT$1,'Wells Fargo'!$B:$B,"&lt;="&amp;'Cash Flow'!AT$3,'Wells Fargo'!$B:$B,"&gt;"&amp;'Cash Flow'!AS$3)</f>
        <v>0</v>
      </c>
      <c r="AU4" s="90">
        <f>SUMIFS('Wells Fargo'!$F:$F,'Wells Fargo'!$G:$G,'Cash Flow'!$A4,'Wells Fargo'!$A:$A,AU$1,'Wells Fargo'!$B:$B,"&lt;="&amp;'Cash Flow'!AU$3)</f>
        <v>0</v>
      </c>
      <c r="AV4" s="89">
        <f>SUMIFS('Wells Fargo'!$F:$F,'Wells Fargo'!$G:$G,'Cash Flow'!$A4,'Wells Fargo'!$A:$A,AV$1,'Wells Fargo'!$B:$B,"&lt;="&amp;'Cash Flow'!AV$3,'Wells Fargo'!$B:$B,"&gt;"&amp;'Cash Flow'!AU$3)</f>
        <v>0</v>
      </c>
      <c r="AW4" s="89">
        <f>SUMIFS('Wells Fargo'!$F:$F,'Wells Fargo'!$G:$G,'Cash Flow'!$A4,'Wells Fargo'!$A:$A,AW$1,'Wells Fargo'!$B:$B,"&lt;="&amp;'Cash Flow'!AW$3,'Wells Fargo'!$B:$B,"&gt;"&amp;'Cash Flow'!AV$3)</f>
        <v>0</v>
      </c>
      <c r="AX4" s="89">
        <f>SUMIFS('Wells Fargo'!$F:$F,'Wells Fargo'!$G:$G,'Cash Flow'!$A4,'Wells Fargo'!$A:$A,AX$1,'Wells Fargo'!$B:$B,"&lt;="&amp;'Cash Flow'!AX$3,'Wells Fargo'!$B:$B,"&gt;"&amp;'Cash Flow'!AW$3)</f>
        <v>0</v>
      </c>
      <c r="AY4" s="89">
        <f>SUMIFS('Wells Fargo'!$F:$F,'Wells Fargo'!$G:$G,'Cash Flow'!$A4,'Wells Fargo'!$A:$A,AY$1,'Wells Fargo'!$B:$B,"&lt;="&amp;'Cash Flow'!AY$3,'Wells Fargo'!$B:$B,"&gt;"&amp;'Cash Flow'!AX$3)</f>
        <v>0</v>
      </c>
      <c r="AZ4" s="90">
        <f>SUMIFS('Wells Fargo'!$F:$F,'Wells Fargo'!$G:$G,'Cash Flow'!$A4,'Wells Fargo'!$A:$A,AZ$1,'Wells Fargo'!$B:$B,"&lt;="&amp;'Cash Flow'!AZ$3)</f>
        <v>0</v>
      </c>
      <c r="BA4" s="89">
        <f>SUMIFS('Wells Fargo'!$F:$F,'Wells Fargo'!$G:$G,'Cash Flow'!$A4,'Wells Fargo'!$A:$A,BA$1,'Wells Fargo'!$B:$B,"&lt;="&amp;'Cash Flow'!BA$3,'Wells Fargo'!$B:$B,"&gt;"&amp;'Cash Flow'!AZ$3)</f>
        <v>0</v>
      </c>
      <c r="BB4" s="89">
        <f>SUMIFS('Wells Fargo'!$F:$F,'Wells Fargo'!$G:$G,'Cash Flow'!$A4,'Wells Fargo'!$A:$A,BB$1,'Wells Fargo'!$B:$B,"&lt;="&amp;'Cash Flow'!BB$3,'Wells Fargo'!$B:$B,"&gt;"&amp;'Cash Flow'!BA$3)</f>
        <v>0</v>
      </c>
      <c r="BC4" s="89">
        <f>SUMIFS('Wells Fargo'!$F:$F,'Wells Fargo'!$G:$G,'Cash Flow'!$A4,'Wells Fargo'!$A:$A,BC$1,'Wells Fargo'!$B:$B,"&lt;="&amp;'Cash Flow'!BC$3,'Wells Fargo'!$B:$B,"&gt;"&amp;'Cash Flow'!BB$3)</f>
        <v>0</v>
      </c>
      <c r="BD4" s="89">
        <f>SUMIFS('Wells Fargo'!$F:$F,'Wells Fargo'!$G:$G,'Cash Flow'!$A4,'Wells Fargo'!$A:$A,BD$1,'Wells Fargo'!$B:$B,"&lt;="&amp;'Cash Flow'!BD$3,'Wells Fargo'!$B:$B,"&gt;"&amp;'Cash Flow'!BC$3)</f>
        <v>0</v>
      </c>
      <c r="BE4" s="90">
        <f>SUMIFS('Wells Fargo'!$F:$F,'Wells Fargo'!$G:$G,'Cash Flow'!$A4,'Wells Fargo'!$A:$A,BE$1,'Wells Fargo'!$B:$B,"&lt;="&amp;'Cash Flow'!BE$3)</f>
        <v>0</v>
      </c>
      <c r="BF4" s="89">
        <f>SUMIFS('Wells Fargo'!$F:$F,'Wells Fargo'!$G:$G,'Cash Flow'!$A4,'Wells Fargo'!$A:$A,BF$1,'Wells Fargo'!$B:$B,"&lt;="&amp;'Cash Flow'!BF$3,'Wells Fargo'!$B:$B,"&gt;"&amp;'Cash Flow'!BE$3)</f>
        <v>0</v>
      </c>
      <c r="BG4" s="89">
        <f>SUMIFS('Wells Fargo'!$F:$F,'Wells Fargo'!$G:$G,'Cash Flow'!$A4,'Wells Fargo'!$A:$A,BG$1,'Wells Fargo'!$B:$B,"&lt;="&amp;'Cash Flow'!BG$3,'Wells Fargo'!$B:$B,"&gt;"&amp;'Cash Flow'!BF$3)</f>
        <v>0</v>
      </c>
      <c r="BH4" s="89">
        <f>SUMIFS('Wells Fargo'!$F:$F,'Wells Fargo'!$G:$G,'Cash Flow'!$A4,'Wells Fargo'!$A:$A,BH$1,'Wells Fargo'!$B:$B,"&lt;="&amp;'Cash Flow'!BH$3,'Wells Fargo'!$B:$B,"&gt;"&amp;'Cash Flow'!BG$3)</f>
        <v>0</v>
      </c>
      <c r="BI4" s="89">
        <f>SUMIFS('Wells Fargo'!$F:$F,'Wells Fargo'!$G:$G,'Cash Flow'!$A4,'Wells Fargo'!$A:$A,BI$1,'Wells Fargo'!$B:$B,"&lt;="&amp;'Cash Flow'!BI$3,'Wells Fargo'!$B:$B,"&gt;"&amp;'Cash Flow'!BH$3)</f>
        <v>0</v>
      </c>
    </row>
    <row r="5" spans="1:61" ht="12.75" x14ac:dyDescent="0.2">
      <c r="A5" t="str">
        <v>3070 GPU</v>
      </c>
      <c r="B5" s="15">
        <f t="shared" ref="B5:B36" si="0">SUM(C5:BI5)</f>
        <v>-500</v>
      </c>
      <c r="C5" s="90">
        <f>SUMIFS('Wells Fargo'!$F:$F,'Wells Fargo'!$G:$G,'Cash Flow'!$A5,'Wells Fargo'!$A:$A,C$1,'Wells Fargo'!$B:$B,"&lt;="&amp;'Cash Flow'!C$3)</f>
        <v>0</v>
      </c>
      <c r="D5" s="89">
        <f>SUMIFS('Wells Fargo'!$F:$F,'Wells Fargo'!$G:$G,'Cash Flow'!$A5,'Wells Fargo'!$A:$A,D$1,'Wells Fargo'!$B:$B,"&lt;="&amp;'Cash Flow'!D$3,'Wells Fargo'!$B:$B,"&gt;"&amp;'Cash Flow'!C$3)</f>
        <v>0</v>
      </c>
      <c r="E5" s="89">
        <f>SUMIFS('Wells Fargo'!$F:$F,'Wells Fargo'!$G:$G,'Cash Flow'!$A5,'Wells Fargo'!$A:$A,E$1,'Wells Fargo'!$B:$B,"&lt;="&amp;'Cash Flow'!E$3,'Wells Fargo'!$B:$B,"&gt;"&amp;'Cash Flow'!D$3)</f>
        <v>0</v>
      </c>
      <c r="F5" s="89">
        <f>SUMIFS('Wells Fargo'!$F:$F,'Wells Fargo'!$G:$G,'Cash Flow'!$A5,'Wells Fargo'!$A:$A,F$1,'Wells Fargo'!$B:$B,"&lt;="&amp;'Cash Flow'!F$3,'Wells Fargo'!$B:$B,"&gt;"&amp;'Cash Flow'!E$3)</f>
        <v>0</v>
      </c>
      <c r="G5" s="89">
        <f>SUMIFS('Wells Fargo'!$F:$F,'Wells Fargo'!$G:$G,'Cash Flow'!$A5,'Wells Fargo'!$A:$A,G$1,'Wells Fargo'!$B:$B,"&lt;="&amp;'Cash Flow'!G$3,'Wells Fargo'!$B:$B,"&gt;"&amp;'Cash Flow'!F$3)</f>
        <v>0</v>
      </c>
      <c r="H5" s="90">
        <f>SUMIFS('Wells Fargo'!$F:$F,'Wells Fargo'!$G:$G,'Cash Flow'!$A5,'Wells Fargo'!$A:$A,H$1,'Wells Fargo'!$B:$B,"&lt;="&amp;'Cash Flow'!H$3)</f>
        <v>0</v>
      </c>
      <c r="I5" s="89">
        <f>SUMIFS('Wells Fargo'!$F:$F,'Wells Fargo'!$G:$G,'Cash Flow'!$A5,'Wells Fargo'!$A:$A,I$1,'Wells Fargo'!$B:$B,"&lt;="&amp;'Cash Flow'!I$3,'Wells Fargo'!$B:$B,"&gt;"&amp;'Cash Flow'!H$3)</f>
        <v>0</v>
      </c>
      <c r="J5" s="89">
        <f>SUMIFS('Wells Fargo'!$F:$F,'Wells Fargo'!$G:$G,'Cash Flow'!$A5,'Wells Fargo'!$A:$A,J$1,'Wells Fargo'!$B:$B,"&lt;="&amp;'Cash Flow'!J$3,'Wells Fargo'!$B:$B,"&gt;"&amp;'Cash Flow'!I$3)</f>
        <v>0</v>
      </c>
      <c r="K5" s="89">
        <f>SUMIFS('Wells Fargo'!$F:$F,'Wells Fargo'!$G:$G,'Cash Flow'!$A5,'Wells Fargo'!$A:$A,K$1,'Wells Fargo'!$B:$B,"&lt;="&amp;'Cash Flow'!K$3,'Wells Fargo'!$B:$B,"&gt;"&amp;'Cash Flow'!J$3)</f>
        <v>0</v>
      </c>
      <c r="L5" s="90">
        <f>SUMIFS('Wells Fargo'!$F:$F,'Wells Fargo'!$G:$G,'Cash Flow'!$A5,'Wells Fargo'!$A:$A,L$1,'Wells Fargo'!$B:$B,"&lt;="&amp;'Cash Flow'!L$3)</f>
        <v>0</v>
      </c>
      <c r="M5" s="89">
        <f>SUMIFS('Wells Fargo'!$F:$F,'Wells Fargo'!$G:$G,'Cash Flow'!$A5,'Wells Fargo'!$A:$A,M$1,'Wells Fargo'!$B:$B,"&lt;="&amp;'Cash Flow'!M$3,'Wells Fargo'!$B:$B,"&gt;"&amp;'Cash Flow'!L$3)</f>
        <v>0</v>
      </c>
      <c r="N5" s="89">
        <f>SUMIFS('Wells Fargo'!$F:$F,'Wells Fargo'!$G:$G,'Cash Flow'!$A5,'Wells Fargo'!$A:$A,N$1,'Wells Fargo'!$B:$B,"&lt;="&amp;'Cash Flow'!N$3,'Wells Fargo'!$B:$B,"&gt;"&amp;'Cash Flow'!M$3)</f>
        <v>0</v>
      </c>
      <c r="O5" s="89">
        <f>SUMIFS('Wells Fargo'!$F:$F,'Wells Fargo'!$G:$G,'Cash Flow'!$A5,'Wells Fargo'!$A:$A,O$1,'Wells Fargo'!$B:$B,"&lt;="&amp;'Cash Flow'!O$3,'Wells Fargo'!$B:$B,"&gt;"&amp;'Cash Flow'!N$3)</f>
        <v>0</v>
      </c>
      <c r="P5" s="89">
        <f>SUMIFS('Wells Fargo'!$F:$F,'Wells Fargo'!$G:$G,'Cash Flow'!$A5,'Wells Fargo'!$A:$A,P$1,'Wells Fargo'!$B:$B,"&lt;="&amp;'Cash Flow'!P$3,'Wells Fargo'!$B:$B,"&gt;"&amp;'Cash Flow'!O$3)</f>
        <v>0</v>
      </c>
      <c r="Q5" s="90">
        <f>SUMIFS('Wells Fargo'!$F:$F,'Wells Fargo'!$G:$G,'Cash Flow'!$A5,'Wells Fargo'!$A:$A,Q$1,'Wells Fargo'!$B:$B,"&lt;="&amp;'Cash Flow'!Q$3)</f>
        <v>0</v>
      </c>
      <c r="R5" s="89">
        <f>SUMIFS('Wells Fargo'!$F:$F,'Wells Fargo'!$G:$G,'Cash Flow'!$A5,'Wells Fargo'!$A:$A,R$1,'Wells Fargo'!$B:$B,"&lt;="&amp;'Cash Flow'!R$3,'Wells Fargo'!$B:$B,"&gt;"&amp;'Cash Flow'!Q$3)</f>
        <v>0</v>
      </c>
      <c r="S5" s="89">
        <f>SUMIFS('Wells Fargo'!$F:$F,'Wells Fargo'!$G:$G,'Cash Flow'!$A5,'Wells Fargo'!$A:$A,S$1,'Wells Fargo'!$B:$B,"&lt;="&amp;'Cash Flow'!S$3,'Wells Fargo'!$B:$B,"&gt;"&amp;'Cash Flow'!R$3)</f>
        <v>0</v>
      </c>
      <c r="T5" s="89">
        <f>SUMIFS('Wells Fargo'!$F:$F,'Wells Fargo'!$G:$G,'Cash Flow'!$A5,'Wells Fargo'!$A:$A,T$1,'Wells Fargo'!$B:$B,"&lt;="&amp;'Cash Flow'!T$3,'Wells Fargo'!$B:$B,"&gt;"&amp;'Cash Flow'!S$3)</f>
        <v>0</v>
      </c>
      <c r="U5" s="89">
        <f>SUMIFS('Wells Fargo'!$F:$F,'Wells Fargo'!$G:$G,'Cash Flow'!$A5,'Wells Fargo'!$A:$A,U$1,'Wells Fargo'!$B:$B,"&lt;="&amp;'Cash Flow'!U$3,'Wells Fargo'!$B:$B,"&gt;"&amp;'Cash Flow'!T$3)</f>
        <v>0</v>
      </c>
      <c r="V5" s="90">
        <f>SUMIFS('Wells Fargo'!$F:$F,'Wells Fargo'!$G:$G,'Cash Flow'!$A5,'Wells Fargo'!$A:$A,V$1,'Wells Fargo'!$B:$B,"&lt;="&amp;'Cash Flow'!V$3)</f>
        <v>0</v>
      </c>
      <c r="W5" s="89">
        <f>SUMIFS('Wells Fargo'!$F:$F,'Wells Fargo'!$G:$G,'Cash Flow'!$A5,'Wells Fargo'!$A:$A,W$1,'Wells Fargo'!$B:$B,"&lt;="&amp;'Cash Flow'!W$3,'Wells Fargo'!$B:$B,"&gt;"&amp;'Cash Flow'!V$3)</f>
        <v>0</v>
      </c>
      <c r="X5" s="89">
        <f>SUMIFS('Wells Fargo'!$F:$F,'Wells Fargo'!$G:$G,'Cash Flow'!$A5,'Wells Fargo'!$A:$A,X$1,'Wells Fargo'!$B:$B,"&lt;="&amp;'Cash Flow'!X$3,'Wells Fargo'!$B:$B,"&gt;"&amp;'Cash Flow'!W$3)</f>
        <v>0</v>
      </c>
      <c r="Y5" s="89">
        <f>SUMIFS('Wells Fargo'!$F:$F,'Wells Fargo'!$G:$G,'Cash Flow'!$A5,'Wells Fargo'!$A:$A,Y$1,'Wells Fargo'!$B:$B,"&lt;="&amp;'Cash Flow'!Y$3,'Wells Fargo'!$B:$B,"&gt;"&amp;'Cash Flow'!X$3)</f>
        <v>0</v>
      </c>
      <c r="Z5" s="89">
        <f>SUMIFS('Wells Fargo'!$F:$F,'Wells Fargo'!$G:$G,'Cash Flow'!$A5,'Wells Fargo'!$A:$A,Z$1,'Wells Fargo'!$B:$B,"&lt;="&amp;'Cash Flow'!Z$3,'Wells Fargo'!$B:$B,"&gt;"&amp;'Cash Flow'!Y$3)</f>
        <v>0</v>
      </c>
      <c r="AA5" s="90">
        <f>SUMIFS('Wells Fargo'!$F:$F,'Wells Fargo'!$G:$G,'Cash Flow'!$A5,'Wells Fargo'!$A:$A,AA$1,'Wells Fargo'!$B:$B,"&lt;="&amp;'Cash Flow'!AA$3)</f>
        <v>0</v>
      </c>
      <c r="AB5" s="89">
        <f>SUMIFS('Wells Fargo'!$F:$F,'Wells Fargo'!$G:$G,'Cash Flow'!$A5,'Wells Fargo'!$A:$A,AB$1,'Wells Fargo'!$B:$B,"&lt;="&amp;'Cash Flow'!AB$3,'Wells Fargo'!$B:$B,"&gt;"&amp;'Cash Flow'!AA$3)</f>
        <v>0</v>
      </c>
      <c r="AC5" s="89">
        <f>SUMIFS('Wells Fargo'!$F:$F,'Wells Fargo'!$G:$G,'Cash Flow'!$A5,'Wells Fargo'!$A:$A,AC$1,'Wells Fargo'!$B:$B,"&lt;="&amp;'Cash Flow'!AC$3,'Wells Fargo'!$B:$B,"&gt;"&amp;'Cash Flow'!AB$3)</f>
        <v>0</v>
      </c>
      <c r="AD5" s="89">
        <f>SUMIFS('Wells Fargo'!$F:$F,'Wells Fargo'!$G:$G,'Cash Flow'!$A5,'Wells Fargo'!$A:$A,AD$1,'Wells Fargo'!$B:$B,"&lt;="&amp;'Cash Flow'!AD$3,'Wells Fargo'!$B:$B,"&gt;"&amp;'Cash Flow'!AC$3)</f>
        <v>0</v>
      </c>
      <c r="AE5" s="89">
        <f>SUMIFS('Wells Fargo'!$F:$F,'Wells Fargo'!$G:$G,'Cash Flow'!$A5,'Wells Fargo'!$A:$A,AE$1,'Wells Fargo'!$B:$B,"&lt;="&amp;'Cash Flow'!AE$3,'Wells Fargo'!$B:$B,"&gt;"&amp;'Cash Flow'!AD$3)</f>
        <v>0</v>
      </c>
      <c r="AF5" s="90">
        <f>SUMIFS('Wells Fargo'!$F:$F,'Wells Fargo'!$G:$G,'Cash Flow'!$A5,'Wells Fargo'!$A:$A,AF$1,'Wells Fargo'!$B:$B,"&lt;="&amp;'Cash Flow'!AF$3)</f>
        <v>0</v>
      </c>
      <c r="AG5" s="89">
        <f>SUMIFS('Wells Fargo'!$F:$F,'Wells Fargo'!$G:$G,'Cash Flow'!$A5,'Wells Fargo'!$A:$A,AG$1,'Wells Fargo'!$B:$B,"&lt;="&amp;'Cash Flow'!AG$3,'Wells Fargo'!$B:$B,"&gt;"&amp;'Cash Flow'!AF$3)</f>
        <v>0</v>
      </c>
      <c r="AH5" s="89">
        <f>SUMIFS('Wells Fargo'!$F:$F,'Wells Fargo'!$G:$G,'Cash Flow'!$A5,'Wells Fargo'!$A:$A,AH$1,'Wells Fargo'!$B:$B,"&lt;="&amp;'Cash Flow'!AH$3,'Wells Fargo'!$B:$B,"&gt;"&amp;'Cash Flow'!AG$3)</f>
        <v>-500</v>
      </c>
      <c r="AI5" s="89">
        <f>SUMIFS('Wells Fargo'!$F:$F,'Wells Fargo'!$G:$G,'Cash Flow'!$A5,'Wells Fargo'!$A:$A,AI$1,'Wells Fargo'!$B:$B,"&lt;="&amp;'Cash Flow'!AI$3,'Wells Fargo'!$B:$B,"&gt;"&amp;'Cash Flow'!AH$3)</f>
        <v>0</v>
      </c>
      <c r="AJ5" s="89">
        <f>SUMIFS('Wells Fargo'!$F:$F,'Wells Fargo'!$G:$G,'Cash Flow'!$A5,'Wells Fargo'!$A:$A,AJ$1,'Wells Fargo'!$B:$B,"&lt;="&amp;'Cash Flow'!AJ$3,'Wells Fargo'!$B:$B,"&gt;"&amp;'Cash Flow'!AI$3)</f>
        <v>0</v>
      </c>
      <c r="AK5" s="90">
        <f>SUMIFS('Wells Fargo'!$F:$F,'Wells Fargo'!$G:$G,'Cash Flow'!$A5,'Wells Fargo'!$A:$A,AK$1,'Wells Fargo'!$B:$B,"&lt;="&amp;'Cash Flow'!AK$3)</f>
        <v>0</v>
      </c>
      <c r="AL5" s="89">
        <f>SUMIFS('Wells Fargo'!$F:$F,'Wells Fargo'!$G:$G,'Cash Flow'!$A5,'Wells Fargo'!$A:$A,AL$1,'Wells Fargo'!$B:$B,"&lt;="&amp;'Cash Flow'!AL$3,'Wells Fargo'!$B:$B,"&gt;"&amp;'Cash Flow'!AK$3)</f>
        <v>0</v>
      </c>
      <c r="AM5" s="89">
        <f>SUMIFS('Wells Fargo'!$F:$F,'Wells Fargo'!$G:$G,'Cash Flow'!$A5,'Wells Fargo'!$A:$A,AM$1,'Wells Fargo'!$B:$B,"&lt;="&amp;'Cash Flow'!AM$3,'Wells Fargo'!$B:$B,"&gt;"&amp;'Cash Flow'!AL$3)</f>
        <v>0</v>
      </c>
      <c r="AN5" s="89">
        <f>SUMIFS('Wells Fargo'!$F:$F,'Wells Fargo'!$G:$G,'Cash Flow'!$A5,'Wells Fargo'!$A:$A,AN$1,'Wells Fargo'!$B:$B,"&lt;="&amp;'Cash Flow'!AN$3,'Wells Fargo'!$B:$B,"&gt;"&amp;'Cash Flow'!AM$3)</f>
        <v>0</v>
      </c>
      <c r="AO5" s="89">
        <f>SUMIFS('Wells Fargo'!$F:$F,'Wells Fargo'!$G:$G,'Cash Flow'!$A5,'Wells Fargo'!$A:$A,AO$1,'Wells Fargo'!$B:$B,"&lt;="&amp;'Cash Flow'!AO$3,'Wells Fargo'!$B:$B,"&gt;"&amp;'Cash Flow'!AN$3)</f>
        <v>0</v>
      </c>
      <c r="AP5" s="90">
        <f>SUMIFS('Wells Fargo'!$F:$F,'Wells Fargo'!$G:$G,'Cash Flow'!$A5,'Wells Fargo'!$A:$A,AP$1,'Wells Fargo'!$B:$B,"&lt;="&amp;'Cash Flow'!AP$3)</f>
        <v>0</v>
      </c>
      <c r="AQ5" s="89">
        <f>SUMIFS('Wells Fargo'!$F:$F,'Wells Fargo'!$G:$G,'Cash Flow'!$A5,'Wells Fargo'!$A:$A,AQ$1,'Wells Fargo'!$B:$B,"&lt;="&amp;'Cash Flow'!AQ$3,'Wells Fargo'!$B:$B,"&gt;"&amp;'Cash Flow'!AP$3)</f>
        <v>0</v>
      </c>
      <c r="AR5" s="89">
        <f>SUMIFS('Wells Fargo'!$F:$F,'Wells Fargo'!$G:$G,'Cash Flow'!$A5,'Wells Fargo'!$A:$A,AR$1,'Wells Fargo'!$B:$B,"&lt;="&amp;'Cash Flow'!AR$3,'Wells Fargo'!$B:$B,"&gt;"&amp;'Cash Flow'!AQ$3)</f>
        <v>0</v>
      </c>
      <c r="AS5" s="89">
        <f>SUMIFS('Wells Fargo'!$F:$F,'Wells Fargo'!$G:$G,'Cash Flow'!$A5,'Wells Fargo'!$A:$A,AS$1,'Wells Fargo'!$B:$B,"&lt;="&amp;'Cash Flow'!AS$3,'Wells Fargo'!$B:$B,"&gt;"&amp;'Cash Flow'!AR$3)</f>
        <v>0</v>
      </c>
      <c r="AT5" s="89">
        <f>SUMIFS('Wells Fargo'!$F:$F,'Wells Fargo'!$G:$G,'Cash Flow'!$A5,'Wells Fargo'!$A:$A,AT$1,'Wells Fargo'!$B:$B,"&lt;="&amp;'Cash Flow'!AT$3,'Wells Fargo'!$B:$B,"&gt;"&amp;'Cash Flow'!AS$3)</f>
        <v>0</v>
      </c>
      <c r="AU5" s="90">
        <f>SUMIFS('Wells Fargo'!$F:$F,'Wells Fargo'!$G:$G,'Cash Flow'!$A5,'Wells Fargo'!$A:$A,AU$1,'Wells Fargo'!$B:$B,"&lt;="&amp;'Cash Flow'!AU$3)</f>
        <v>0</v>
      </c>
      <c r="AV5" s="89">
        <f>SUMIFS('Wells Fargo'!$F:$F,'Wells Fargo'!$G:$G,'Cash Flow'!$A5,'Wells Fargo'!$A:$A,AV$1,'Wells Fargo'!$B:$B,"&lt;="&amp;'Cash Flow'!AV$3,'Wells Fargo'!$B:$B,"&gt;"&amp;'Cash Flow'!AU$3)</f>
        <v>0</v>
      </c>
      <c r="AW5" s="89">
        <f>SUMIFS('Wells Fargo'!$F:$F,'Wells Fargo'!$G:$G,'Cash Flow'!$A5,'Wells Fargo'!$A:$A,AW$1,'Wells Fargo'!$B:$B,"&lt;="&amp;'Cash Flow'!AW$3,'Wells Fargo'!$B:$B,"&gt;"&amp;'Cash Flow'!AV$3)</f>
        <v>0</v>
      </c>
      <c r="AX5" s="89">
        <f>SUMIFS('Wells Fargo'!$F:$F,'Wells Fargo'!$G:$G,'Cash Flow'!$A5,'Wells Fargo'!$A:$A,AX$1,'Wells Fargo'!$B:$B,"&lt;="&amp;'Cash Flow'!AX$3,'Wells Fargo'!$B:$B,"&gt;"&amp;'Cash Flow'!AW$3)</f>
        <v>0</v>
      </c>
      <c r="AY5" s="89">
        <f>SUMIFS('Wells Fargo'!$F:$F,'Wells Fargo'!$G:$G,'Cash Flow'!$A5,'Wells Fargo'!$A:$A,AY$1,'Wells Fargo'!$B:$B,"&lt;="&amp;'Cash Flow'!AY$3,'Wells Fargo'!$B:$B,"&gt;"&amp;'Cash Flow'!AX$3)</f>
        <v>0</v>
      </c>
      <c r="AZ5" s="90">
        <f>SUMIFS('Wells Fargo'!$F:$F,'Wells Fargo'!$G:$G,'Cash Flow'!$A5,'Wells Fargo'!$A:$A,AZ$1,'Wells Fargo'!$B:$B,"&lt;="&amp;'Cash Flow'!AZ$3)</f>
        <v>0</v>
      </c>
      <c r="BA5" s="89">
        <f>SUMIFS('Wells Fargo'!$F:$F,'Wells Fargo'!$G:$G,'Cash Flow'!$A5,'Wells Fargo'!$A:$A,BA$1,'Wells Fargo'!$B:$B,"&lt;="&amp;'Cash Flow'!BA$3,'Wells Fargo'!$B:$B,"&gt;"&amp;'Cash Flow'!AZ$3)</f>
        <v>0</v>
      </c>
      <c r="BB5" s="89">
        <f>SUMIFS('Wells Fargo'!$F:$F,'Wells Fargo'!$G:$G,'Cash Flow'!$A5,'Wells Fargo'!$A:$A,BB$1,'Wells Fargo'!$B:$B,"&lt;="&amp;'Cash Flow'!BB$3,'Wells Fargo'!$B:$B,"&gt;"&amp;'Cash Flow'!BA$3)</f>
        <v>0</v>
      </c>
      <c r="BC5" s="89">
        <f>SUMIFS('Wells Fargo'!$F:$F,'Wells Fargo'!$G:$G,'Cash Flow'!$A5,'Wells Fargo'!$A:$A,BC$1,'Wells Fargo'!$B:$B,"&lt;="&amp;'Cash Flow'!BC$3,'Wells Fargo'!$B:$B,"&gt;"&amp;'Cash Flow'!BB$3)</f>
        <v>0</v>
      </c>
      <c r="BD5" s="89">
        <f>SUMIFS('Wells Fargo'!$F:$F,'Wells Fargo'!$G:$G,'Cash Flow'!$A5,'Wells Fargo'!$A:$A,BD$1,'Wells Fargo'!$B:$B,"&lt;="&amp;'Cash Flow'!BD$3,'Wells Fargo'!$B:$B,"&gt;"&amp;'Cash Flow'!BC$3)</f>
        <v>0</v>
      </c>
      <c r="BE5" s="90">
        <f>SUMIFS('Wells Fargo'!$F:$F,'Wells Fargo'!$G:$G,'Cash Flow'!$A5,'Wells Fargo'!$A:$A,BE$1,'Wells Fargo'!$B:$B,"&lt;="&amp;'Cash Flow'!BE$3)</f>
        <v>0</v>
      </c>
      <c r="BF5" s="89">
        <f>SUMIFS('Wells Fargo'!$F:$F,'Wells Fargo'!$G:$G,'Cash Flow'!$A5,'Wells Fargo'!$A:$A,BF$1,'Wells Fargo'!$B:$B,"&lt;="&amp;'Cash Flow'!BF$3,'Wells Fargo'!$B:$B,"&gt;"&amp;'Cash Flow'!BE$3)</f>
        <v>0</v>
      </c>
      <c r="BG5" s="89">
        <f>SUMIFS('Wells Fargo'!$F:$F,'Wells Fargo'!$G:$G,'Cash Flow'!$A5,'Wells Fargo'!$A:$A,BG$1,'Wells Fargo'!$B:$B,"&lt;="&amp;'Cash Flow'!BG$3,'Wells Fargo'!$B:$B,"&gt;"&amp;'Cash Flow'!BF$3)</f>
        <v>0</v>
      </c>
      <c r="BH5" s="89">
        <f>SUMIFS('Wells Fargo'!$F:$F,'Wells Fargo'!$G:$G,'Cash Flow'!$A5,'Wells Fargo'!$A:$A,BH$1,'Wells Fargo'!$B:$B,"&lt;="&amp;'Cash Flow'!BH$3,'Wells Fargo'!$B:$B,"&gt;"&amp;'Cash Flow'!BG$3)</f>
        <v>0</v>
      </c>
      <c r="BI5" s="89">
        <f>SUMIFS('Wells Fargo'!$F:$F,'Wells Fargo'!$G:$G,'Cash Flow'!$A5,'Wells Fargo'!$A:$A,BI$1,'Wells Fargo'!$B:$B,"&lt;="&amp;'Cash Flow'!BI$3,'Wells Fargo'!$B:$B,"&gt;"&amp;'Cash Flow'!BH$3)</f>
        <v>0</v>
      </c>
    </row>
    <row r="6" spans="1:61" ht="12.75" x14ac:dyDescent="0.2">
      <c r="A6" t="str">
        <v xml:space="preserve">3070 GPU </v>
      </c>
      <c r="B6" s="15">
        <f t="shared" si="0"/>
        <v>500</v>
      </c>
      <c r="C6" s="90">
        <f>SUMIFS('Wells Fargo'!$F:$F,'Wells Fargo'!$G:$G,'Cash Flow'!$A6,'Wells Fargo'!$A:$A,C$1,'Wells Fargo'!$B:$B,"&lt;="&amp;'Cash Flow'!C$3)</f>
        <v>0</v>
      </c>
      <c r="D6" s="89">
        <f>SUMIFS('Wells Fargo'!$F:$F,'Wells Fargo'!$G:$G,'Cash Flow'!$A6,'Wells Fargo'!$A:$A,D$1,'Wells Fargo'!$B:$B,"&lt;="&amp;'Cash Flow'!D$3,'Wells Fargo'!$B:$B,"&gt;"&amp;'Cash Flow'!C$3)</f>
        <v>0</v>
      </c>
      <c r="E6" s="89">
        <f>SUMIFS('Wells Fargo'!$F:$F,'Wells Fargo'!$G:$G,'Cash Flow'!$A6,'Wells Fargo'!$A:$A,E$1,'Wells Fargo'!$B:$B,"&lt;="&amp;'Cash Flow'!E$3,'Wells Fargo'!$B:$B,"&gt;"&amp;'Cash Flow'!D$3)</f>
        <v>0</v>
      </c>
      <c r="F6" s="89">
        <f>SUMIFS('Wells Fargo'!$F:$F,'Wells Fargo'!$G:$G,'Cash Flow'!$A6,'Wells Fargo'!$A:$A,F$1,'Wells Fargo'!$B:$B,"&lt;="&amp;'Cash Flow'!F$3,'Wells Fargo'!$B:$B,"&gt;"&amp;'Cash Flow'!E$3)</f>
        <v>0</v>
      </c>
      <c r="G6" s="89">
        <f>SUMIFS('Wells Fargo'!$F:$F,'Wells Fargo'!$G:$G,'Cash Flow'!$A6,'Wells Fargo'!$A:$A,G$1,'Wells Fargo'!$B:$B,"&lt;="&amp;'Cash Flow'!G$3,'Wells Fargo'!$B:$B,"&gt;"&amp;'Cash Flow'!F$3)</f>
        <v>0</v>
      </c>
      <c r="H6" s="90">
        <f>SUMIFS('Wells Fargo'!$F:$F,'Wells Fargo'!$G:$G,'Cash Flow'!$A6,'Wells Fargo'!$A:$A,H$1,'Wells Fargo'!$B:$B,"&lt;="&amp;'Cash Flow'!H$3)</f>
        <v>0</v>
      </c>
      <c r="I6" s="89">
        <f>SUMIFS('Wells Fargo'!$F:$F,'Wells Fargo'!$G:$G,'Cash Flow'!$A6,'Wells Fargo'!$A:$A,I$1,'Wells Fargo'!$B:$B,"&lt;="&amp;'Cash Flow'!I$3,'Wells Fargo'!$B:$B,"&gt;"&amp;'Cash Flow'!H$3)</f>
        <v>0</v>
      </c>
      <c r="J6" s="89">
        <f>SUMIFS('Wells Fargo'!$F:$F,'Wells Fargo'!$G:$G,'Cash Flow'!$A6,'Wells Fargo'!$A:$A,J$1,'Wells Fargo'!$B:$B,"&lt;="&amp;'Cash Flow'!J$3,'Wells Fargo'!$B:$B,"&gt;"&amp;'Cash Flow'!I$3)</f>
        <v>0</v>
      </c>
      <c r="K6" s="89">
        <f>SUMIFS('Wells Fargo'!$F:$F,'Wells Fargo'!$G:$G,'Cash Flow'!$A6,'Wells Fargo'!$A:$A,K$1,'Wells Fargo'!$B:$B,"&lt;="&amp;'Cash Flow'!K$3,'Wells Fargo'!$B:$B,"&gt;"&amp;'Cash Flow'!J$3)</f>
        <v>0</v>
      </c>
      <c r="L6" s="90">
        <f>SUMIFS('Wells Fargo'!$F:$F,'Wells Fargo'!$G:$G,'Cash Flow'!$A6,'Wells Fargo'!$A:$A,L$1,'Wells Fargo'!$B:$B,"&lt;="&amp;'Cash Flow'!L$3)</f>
        <v>0</v>
      </c>
      <c r="M6" s="89">
        <f>SUMIFS('Wells Fargo'!$F:$F,'Wells Fargo'!$G:$G,'Cash Flow'!$A6,'Wells Fargo'!$A:$A,M$1,'Wells Fargo'!$B:$B,"&lt;="&amp;'Cash Flow'!M$3,'Wells Fargo'!$B:$B,"&gt;"&amp;'Cash Flow'!L$3)</f>
        <v>0</v>
      </c>
      <c r="N6" s="89">
        <f>SUMIFS('Wells Fargo'!$F:$F,'Wells Fargo'!$G:$G,'Cash Flow'!$A6,'Wells Fargo'!$A:$A,N$1,'Wells Fargo'!$B:$B,"&lt;="&amp;'Cash Flow'!N$3,'Wells Fargo'!$B:$B,"&gt;"&amp;'Cash Flow'!M$3)</f>
        <v>0</v>
      </c>
      <c r="O6" s="89">
        <f>SUMIFS('Wells Fargo'!$F:$F,'Wells Fargo'!$G:$G,'Cash Flow'!$A6,'Wells Fargo'!$A:$A,O$1,'Wells Fargo'!$B:$B,"&lt;="&amp;'Cash Flow'!O$3,'Wells Fargo'!$B:$B,"&gt;"&amp;'Cash Flow'!N$3)</f>
        <v>0</v>
      </c>
      <c r="P6" s="89">
        <f>SUMIFS('Wells Fargo'!$F:$F,'Wells Fargo'!$G:$G,'Cash Flow'!$A6,'Wells Fargo'!$A:$A,P$1,'Wells Fargo'!$B:$B,"&lt;="&amp;'Cash Flow'!P$3,'Wells Fargo'!$B:$B,"&gt;"&amp;'Cash Flow'!O$3)</f>
        <v>0</v>
      </c>
      <c r="Q6" s="90">
        <f>SUMIFS('Wells Fargo'!$F:$F,'Wells Fargo'!$G:$G,'Cash Flow'!$A6,'Wells Fargo'!$A:$A,Q$1,'Wells Fargo'!$B:$B,"&lt;="&amp;'Cash Flow'!Q$3)</f>
        <v>0</v>
      </c>
      <c r="R6" s="89">
        <f>SUMIFS('Wells Fargo'!$F:$F,'Wells Fargo'!$G:$G,'Cash Flow'!$A6,'Wells Fargo'!$A:$A,R$1,'Wells Fargo'!$B:$B,"&lt;="&amp;'Cash Flow'!R$3,'Wells Fargo'!$B:$B,"&gt;"&amp;'Cash Flow'!Q$3)</f>
        <v>0</v>
      </c>
      <c r="S6" s="89">
        <f>SUMIFS('Wells Fargo'!$F:$F,'Wells Fargo'!$G:$G,'Cash Flow'!$A6,'Wells Fargo'!$A:$A,S$1,'Wells Fargo'!$B:$B,"&lt;="&amp;'Cash Flow'!S$3,'Wells Fargo'!$B:$B,"&gt;"&amp;'Cash Flow'!R$3)</f>
        <v>0</v>
      </c>
      <c r="T6" s="89">
        <f>SUMIFS('Wells Fargo'!$F:$F,'Wells Fargo'!$G:$G,'Cash Flow'!$A6,'Wells Fargo'!$A:$A,T$1,'Wells Fargo'!$B:$B,"&lt;="&amp;'Cash Flow'!T$3,'Wells Fargo'!$B:$B,"&gt;"&amp;'Cash Flow'!S$3)</f>
        <v>0</v>
      </c>
      <c r="U6" s="89">
        <f>SUMIFS('Wells Fargo'!$F:$F,'Wells Fargo'!$G:$G,'Cash Flow'!$A6,'Wells Fargo'!$A:$A,U$1,'Wells Fargo'!$B:$B,"&lt;="&amp;'Cash Flow'!U$3,'Wells Fargo'!$B:$B,"&gt;"&amp;'Cash Flow'!T$3)</f>
        <v>0</v>
      </c>
      <c r="V6" s="90">
        <f>SUMIFS('Wells Fargo'!$F:$F,'Wells Fargo'!$G:$G,'Cash Flow'!$A6,'Wells Fargo'!$A:$A,V$1,'Wells Fargo'!$B:$B,"&lt;="&amp;'Cash Flow'!V$3)</f>
        <v>0</v>
      </c>
      <c r="W6" s="89">
        <f>SUMIFS('Wells Fargo'!$F:$F,'Wells Fargo'!$G:$G,'Cash Flow'!$A6,'Wells Fargo'!$A:$A,W$1,'Wells Fargo'!$B:$B,"&lt;="&amp;'Cash Flow'!W$3,'Wells Fargo'!$B:$B,"&gt;"&amp;'Cash Flow'!V$3)</f>
        <v>0</v>
      </c>
      <c r="X6" s="89">
        <f>SUMIFS('Wells Fargo'!$F:$F,'Wells Fargo'!$G:$G,'Cash Flow'!$A6,'Wells Fargo'!$A:$A,X$1,'Wells Fargo'!$B:$B,"&lt;="&amp;'Cash Flow'!X$3,'Wells Fargo'!$B:$B,"&gt;"&amp;'Cash Flow'!W$3)</f>
        <v>0</v>
      </c>
      <c r="Y6" s="89">
        <f>SUMIFS('Wells Fargo'!$F:$F,'Wells Fargo'!$G:$G,'Cash Flow'!$A6,'Wells Fargo'!$A:$A,Y$1,'Wells Fargo'!$B:$B,"&lt;="&amp;'Cash Flow'!Y$3,'Wells Fargo'!$B:$B,"&gt;"&amp;'Cash Flow'!X$3)</f>
        <v>0</v>
      </c>
      <c r="Z6" s="89">
        <f>SUMIFS('Wells Fargo'!$F:$F,'Wells Fargo'!$G:$G,'Cash Flow'!$A6,'Wells Fargo'!$A:$A,Z$1,'Wells Fargo'!$B:$B,"&lt;="&amp;'Cash Flow'!Z$3,'Wells Fargo'!$B:$B,"&gt;"&amp;'Cash Flow'!Y$3)</f>
        <v>0</v>
      </c>
      <c r="AA6" s="90">
        <f>SUMIFS('Wells Fargo'!$F:$F,'Wells Fargo'!$G:$G,'Cash Flow'!$A6,'Wells Fargo'!$A:$A,AA$1,'Wells Fargo'!$B:$B,"&lt;="&amp;'Cash Flow'!AA$3)</f>
        <v>0</v>
      </c>
      <c r="AB6" s="89">
        <f>SUMIFS('Wells Fargo'!$F:$F,'Wells Fargo'!$G:$G,'Cash Flow'!$A6,'Wells Fargo'!$A:$A,AB$1,'Wells Fargo'!$B:$B,"&lt;="&amp;'Cash Flow'!AB$3,'Wells Fargo'!$B:$B,"&gt;"&amp;'Cash Flow'!AA$3)</f>
        <v>0</v>
      </c>
      <c r="AC6" s="89">
        <f>SUMIFS('Wells Fargo'!$F:$F,'Wells Fargo'!$G:$G,'Cash Flow'!$A6,'Wells Fargo'!$A:$A,AC$1,'Wells Fargo'!$B:$B,"&lt;="&amp;'Cash Flow'!AC$3,'Wells Fargo'!$B:$B,"&gt;"&amp;'Cash Flow'!AB$3)</f>
        <v>0</v>
      </c>
      <c r="AD6" s="89">
        <f>SUMIFS('Wells Fargo'!$F:$F,'Wells Fargo'!$G:$G,'Cash Flow'!$A6,'Wells Fargo'!$A:$A,AD$1,'Wells Fargo'!$B:$B,"&lt;="&amp;'Cash Flow'!AD$3,'Wells Fargo'!$B:$B,"&gt;"&amp;'Cash Flow'!AC$3)</f>
        <v>0</v>
      </c>
      <c r="AE6" s="89">
        <f>SUMIFS('Wells Fargo'!$F:$F,'Wells Fargo'!$G:$G,'Cash Flow'!$A6,'Wells Fargo'!$A:$A,AE$1,'Wells Fargo'!$B:$B,"&lt;="&amp;'Cash Flow'!AE$3,'Wells Fargo'!$B:$B,"&gt;"&amp;'Cash Flow'!AD$3)</f>
        <v>0</v>
      </c>
      <c r="AF6" s="90">
        <f>SUMIFS('Wells Fargo'!$F:$F,'Wells Fargo'!$G:$G,'Cash Flow'!$A6,'Wells Fargo'!$A:$A,AF$1,'Wells Fargo'!$B:$B,"&lt;="&amp;'Cash Flow'!AF$3)</f>
        <v>0</v>
      </c>
      <c r="AG6" s="89">
        <f>SUMIFS('Wells Fargo'!$F:$F,'Wells Fargo'!$G:$G,'Cash Flow'!$A6,'Wells Fargo'!$A:$A,AG$1,'Wells Fargo'!$B:$B,"&lt;="&amp;'Cash Flow'!AG$3,'Wells Fargo'!$B:$B,"&gt;"&amp;'Cash Flow'!AF$3)</f>
        <v>0</v>
      </c>
      <c r="AH6" s="89">
        <f>SUMIFS('Wells Fargo'!$F:$F,'Wells Fargo'!$G:$G,'Cash Flow'!$A6,'Wells Fargo'!$A:$A,AH$1,'Wells Fargo'!$B:$B,"&lt;="&amp;'Cash Flow'!AH$3,'Wells Fargo'!$B:$B,"&gt;"&amp;'Cash Flow'!AG$3)</f>
        <v>500</v>
      </c>
      <c r="AI6" s="89">
        <f>SUMIFS('Wells Fargo'!$F:$F,'Wells Fargo'!$G:$G,'Cash Flow'!$A6,'Wells Fargo'!$A:$A,AI$1,'Wells Fargo'!$B:$B,"&lt;="&amp;'Cash Flow'!AI$3,'Wells Fargo'!$B:$B,"&gt;"&amp;'Cash Flow'!AH$3)</f>
        <v>0</v>
      </c>
      <c r="AJ6" s="89">
        <f>SUMIFS('Wells Fargo'!$F:$F,'Wells Fargo'!$G:$G,'Cash Flow'!$A6,'Wells Fargo'!$A:$A,AJ$1,'Wells Fargo'!$B:$B,"&lt;="&amp;'Cash Flow'!AJ$3,'Wells Fargo'!$B:$B,"&gt;"&amp;'Cash Flow'!AI$3)</f>
        <v>0</v>
      </c>
      <c r="AK6" s="90">
        <f>SUMIFS('Wells Fargo'!$F:$F,'Wells Fargo'!$G:$G,'Cash Flow'!$A6,'Wells Fargo'!$A:$A,AK$1,'Wells Fargo'!$B:$B,"&lt;="&amp;'Cash Flow'!AK$3)</f>
        <v>0</v>
      </c>
      <c r="AL6" s="89">
        <f>SUMIFS('Wells Fargo'!$F:$F,'Wells Fargo'!$G:$G,'Cash Flow'!$A6,'Wells Fargo'!$A:$A,AL$1,'Wells Fargo'!$B:$B,"&lt;="&amp;'Cash Flow'!AL$3,'Wells Fargo'!$B:$B,"&gt;"&amp;'Cash Flow'!AK$3)</f>
        <v>0</v>
      </c>
      <c r="AM6" s="89">
        <f>SUMIFS('Wells Fargo'!$F:$F,'Wells Fargo'!$G:$G,'Cash Flow'!$A6,'Wells Fargo'!$A:$A,AM$1,'Wells Fargo'!$B:$B,"&lt;="&amp;'Cash Flow'!AM$3,'Wells Fargo'!$B:$B,"&gt;"&amp;'Cash Flow'!AL$3)</f>
        <v>0</v>
      </c>
      <c r="AN6" s="89">
        <f>SUMIFS('Wells Fargo'!$F:$F,'Wells Fargo'!$G:$G,'Cash Flow'!$A6,'Wells Fargo'!$A:$A,AN$1,'Wells Fargo'!$B:$B,"&lt;="&amp;'Cash Flow'!AN$3,'Wells Fargo'!$B:$B,"&gt;"&amp;'Cash Flow'!AM$3)</f>
        <v>0</v>
      </c>
      <c r="AO6" s="89">
        <f>SUMIFS('Wells Fargo'!$F:$F,'Wells Fargo'!$G:$G,'Cash Flow'!$A6,'Wells Fargo'!$A:$A,AO$1,'Wells Fargo'!$B:$B,"&lt;="&amp;'Cash Flow'!AO$3,'Wells Fargo'!$B:$B,"&gt;"&amp;'Cash Flow'!AN$3)</f>
        <v>0</v>
      </c>
      <c r="AP6" s="90">
        <f>SUMIFS('Wells Fargo'!$F:$F,'Wells Fargo'!$G:$G,'Cash Flow'!$A6,'Wells Fargo'!$A:$A,AP$1,'Wells Fargo'!$B:$B,"&lt;="&amp;'Cash Flow'!AP$3)</f>
        <v>0</v>
      </c>
      <c r="AQ6" s="89">
        <f>SUMIFS('Wells Fargo'!$F:$F,'Wells Fargo'!$G:$G,'Cash Flow'!$A6,'Wells Fargo'!$A:$A,AQ$1,'Wells Fargo'!$B:$B,"&lt;="&amp;'Cash Flow'!AQ$3,'Wells Fargo'!$B:$B,"&gt;"&amp;'Cash Flow'!AP$3)</f>
        <v>0</v>
      </c>
      <c r="AR6" s="89">
        <f>SUMIFS('Wells Fargo'!$F:$F,'Wells Fargo'!$G:$G,'Cash Flow'!$A6,'Wells Fargo'!$A:$A,AR$1,'Wells Fargo'!$B:$B,"&lt;="&amp;'Cash Flow'!AR$3,'Wells Fargo'!$B:$B,"&gt;"&amp;'Cash Flow'!AQ$3)</f>
        <v>0</v>
      </c>
      <c r="AS6" s="89">
        <f>SUMIFS('Wells Fargo'!$F:$F,'Wells Fargo'!$G:$G,'Cash Flow'!$A6,'Wells Fargo'!$A:$A,AS$1,'Wells Fargo'!$B:$B,"&lt;="&amp;'Cash Flow'!AS$3,'Wells Fargo'!$B:$B,"&gt;"&amp;'Cash Flow'!AR$3)</f>
        <v>0</v>
      </c>
      <c r="AT6" s="89">
        <f>SUMIFS('Wells Fargo'!$F:$F,'Wells Fargo'!$G:$G,'Cash Flow'!$A6,'Wells Fargo'!$A:$A,AT$1,'Wells Fargo'!$B:$B,"&lt;="&amp;'Cash Flow'!AT$3,'Wells Fargo'!$B:$B,"&gt;"&amp;'Cash Flow'!AS$3)</f>
        <v>0</v>
      </c>
      <c r="AU6" s="90">
        <f>SUMIFS('Wells Fargo'!$F:$F,'Wells Fargo'!$G:$G,'Cash Flow'!$A6,'Wells Fargo'!$A:$A,AU$1,'Wells Fargo'!$B:$B,"&lt;="&amp;'Cash Flow'!AU$3)</f>
        <v>0</v>
      </c>
      <c r="AV6" s="89">
        <f>SUMIFS('Wells Fargo'!$F:$F,'Wells Fargo'!$G:$G,'Cash Flow'!$A6,'Wells Fargo'!$A:$A,AV$1,'Wells Fargo'!$B:$B,"&lt;="&amp;'Cash Flow'!AV$3,'Wells Fargo'!$B:$B,"&gt;"&amp;'Cash Flow'!AU$3)</f>
        <v>0</v>
      </c>
      <c r="AW6" s="89">
        <f>SUMIFS('Wells Fargo'!$F:$F,'Wells Fargo'!$G:$G,'Cash Flow'!$A6,'Wells Fargo'!$A:$A,AW$1,'Wells Fargo'!$B:$B,"&lt;="&amp;'Cash Flow'!AW$3,'Wells Fargo'!$B:$B,"&gt;"&amp;'Cash Flow'!AV$3)</f>
        <v>0</v>
      </c>
      <c r="AX6" s="89">
        <f>SUMIFS('Wells Fargo'!$F:$F,'Wells Fargo'!$G:$G,'Cash Flow'!$A6,'Wells Fargo'!$A:$A,AX$1,'Wells Fargo'!$B:$B,"&lt;="&amp;'Cash Flow'!AX$3,'Wells Fargo'!$B:$B,"&gt;"&amp;'Cash Flow'!AW$3)</f>
        <v>0</v>
      </c>
      <c r="AY6" s="89">
        <f>SUMIFS('Wells Fargo'!$F:$F,'Wells Fargo'!$G:$G,'Cash Flow'!$A6,'Wells Fargo'!$A:$A,AY$1,'Wells Fargo'!$B:$B,"&lt;="&amp;'Cash Flow'!AY$3,'Wells Fargo'!$B:$B,"&gt;"&amp;'Cash Flow'!AX$3)</f>
        <v>0</v>
      </c>
      <c r="AZ6" s="90">
        <f>SUMIFS('Wells Fargo'!$F:$F,'Wells Fargo'!$G:$G,'Cash Flow'!$A6,'Wells Fargo'!$A:$A,AZ$1,'Wells Fargo'!$B:$B,"&lt;="&amp;'Cash Flow'!AZ$3)</f>
        <v>0</v>
      </c>
      <c r="BA6" s="89">
        <f>SUMIFS('Wells Fargo'!$F:$F,'Wells Fargo'!$G:$G,'Cash Flow'!$A6,'Wells Fargo'!$A:$A,BA$1,'Wells Fargo'!$B:$B,"&lt;="&amp;'Cash Flow'!BA$3,'Wells Fargo'!$B:$B,"&gt;"&amp;'Cash Flow'!AZ$3)</f>
        <v>0</v>
      </c>
      <c r="BB6" s="89">
        <f>SUMIFS('Wells Fargo'!$F:$F,'Wells Fargo'!$G:$G,'Cash Flow'!$A6,'Wells Fargo'!$A:$A,BB$1,'Wells Fargo'!$B:$B,"&lt;="&amp;'Cash Flow'!BB$3,'Wells Fargo'!$B:$B,"&gt;"&amp;'Cash Flow'!BA$3)</f>
        <v>0</v>
      </c>
      <c r="BC6" s="89">
        <f>SUMIFS('Wells Fargo'!$F:$F,'Wells Fargo'!$G:$G,'Cash Flow'!$A6,'Wells Fargo'!$A:$A,BC$1,'Wells Fargo'!$B:$B,"&lt;="&amp;'Cash Flow'!BC$3,'Wells Fargo'!$B:$B,"&gt;"&amp;'Cash Flow'!BB$3)</f>
        <v>0</v>
      </c>
      <c r="BD6" s="89">
        <f>SUMIFS('Wells Fargo'!$F:$F,'Wells Fargo'!$G:$G,'Cash Flow'!$A6,'Wells Fargo'!$A:$A,BD$1,'Wells Fargo'!$B:$B,"&lt;="&amp;'Cash Flow'!BD$3,'Wells Fargo'!$B:$B,"&gt;"&amp;'Cash Flow'!BC$3)</f>
        <v>0</v>
      </c>
      <c r="BE6" s="90">
        <f>SUMIFS('Wells Fargo'!$F:$F,'Wells Fargo'!$G:$G,'Cash Flow'!$A6,'Wells Fargo'!$A:$A,BE$1,'Wells Fargo'!$B:$B,"&lt;="&amp;'Cash Flow'!BE$3)</f>
        <v>0</v>
      </c>
      <c r="BF6" s="89">
        <f>SUMIFS('Wells Fargo'!$F:$F,'Wells Fargo'!$G:$G,'Cash Flow'!$A6,'Wells Fargo'!$A:$A,BF$1,'Wells Fargo'!$B:$B,"&lt;="&amp;'Cash Flow'!BF$3,'Wells Fargo'!$B:$B,"&gt;"&amp;'Cash Flow'!BE$3)</f>
        <v>0</v>
      </c>
      <c r="BG6" s="89">
        <f>SUMIFS('Wells Fargo'!$F:$F,'Wells Fargo'!$G:$G,'Cash Flow'!$A6,'Wells Fargo'!$A:$A,BG$1,'Wells Fargo'!$B:$B,"&lt;="&amp;'Cash Flow'!BG$3,'Wells Fargo'!$B:$B,"&gt;"&amp;'Cash Flow'!BF$3)</f>
        <v>0</v>
      </c>
      <c r="BH6" s="89">
        <f>SUMIFS('Wells Fargo'!$F:$F,'Wells Fargo'!$G:$G,'Cash Flow'!$A6,'Wells Fargo'!$A:$A,BH$1,'Wells Fargo'!$B:$B,"&lt;="&amp;'Cash Flow'!BH$3,'Wells Fargo'!$B:$B,"&gt;"&amp;'Cash Flow'!BG$3)</f>
        <v>0</v>
      </c>
      <c r="BI6" s="89">
        <f>SUMIFS('Wells Fargo'!$F:$F,'Wells Fargo'!$G:$G,'Cash Flow'!$A6,'Wells Fargo'!$A:$A,BI$1,'Wells Fargo'!$B:$B,"&lt;="&amp;'Cash Flow'!BI$3,'Wells Fargo'!$B:$B,"&gt;"&amp;'Cash Flow'!BH$3)</f>
        <v>0</v>
      </c>
    </row>
    <row r="7" spans="1:61" ht="12.75" x14ac:dyDescent="0.2">
      <c r="A7" t="str">
        <v>Amar - Electric</v>
      </c>
      <c r="B7" s="15">
        <f t="shared" si="0"/>
        <v>-592.54</v>
      </c>
      <c r="C7" s="90">
        <f>SUMIFS('Wells Fargo'!$F:$F,'Wells Fargo'!$G:$G,'Cash Flow'!$A7,'Wells Fargo'!$A:$A,C$1,'Wells Fargo'!$B:$B,"&lt;="&amp;'Cash Flow'!C$3)</f>
        <v>0</v>
      </c>
      <c r="D7" s="89">
        <f>SUMIFS('Wells Fargo'!$F:$F,'Wells Fargo'!$G:$G,'Cash Flow'!$A7,'Wells Fargo'!$A:$A,D$1,'Wells Fargo'!$B:$B,"&lt;="&amp;'Cash Flow'!D$3,'Wells Fargo'!$B:$B,"&gt;"&amp;'Cash Flow'!C$3)</f>
        <v>0</v>
      </c>
      <c r="E7" s="89">
        <f>SUMIFS('Wells Fargo'!$F:$F,'Wells Fargo'!$G:$G,'Cash Flow'!$A7,'Wells Fargo'!$A:$A,E$1,'Wells Fargo'!$B:$B,"&lt;="&amp;'Cash Flow'!E$3,'Wells Fargo'!$B:$B,"&gt;"&amp;'Cash Flow'!D$3)</f>
        <v>0</v>
      </c>
      <c r="F7" s="89">
        <f>SUMIFS('Wells Fargo'!$F:$F,'Wells Fargo'!$G:$G,'Cash Flow'!$A7,'Wells Fargo'!$A:$A,F$1,'Wells Fargo'!$B:$B,"&lt;="&amp;'Cash Flow'!F$3,'Wells Fargo'!$B:$B,"&gt;"&amp;'Cash Flow'!E$3)</f>
        <v>-78.86</v>
      </c>
      <c r="G7" s="89">
        <f>SUMIFS('Wells Fargo'!$F:$F,'Wells Fargo'!$G:$G,'Cash Flow'!$A7,'Wells Fargo'!$A:$A,G$1,'Wells Fargo'!$B:$B,"&lt;="&amp;'Cash Flow'!G$3,'Wells Fargo'!$B:$B,"&gt;"&amp;'Cash Flow'!F$3)</f>
        <v>0</v>
      </c>
      <c r="H7" s="90">
        <f>SUMIFS('Wells Fargo'!$F:$F,'Wells Fargo'!$G:$G,'Cash Flow'!$A7,'Wells Fargo'!$A:$A,H$1,'Wells Fargo'!$B:$B,"&lt;="&amp;'Cash Flow'!H$3)</f>
        <v>0</v>
      </c>
      <c r="I7" s="89">
        <f>SUMIFS('Wells Fargo'!$F:$F,'Wells Fargo'!$G:$G,'Cash Flow'!$A7,'Wells Fargo'!$A:$A,I$1,'Wells Fargo'!$B:$B,"&lt;="&amp;'Cash Flow'!I$3,'Wells Fargo'!$B:$B,"&gt;"&amp;'Cash Flow'!H$3)</f>
        <v>0</v>
      </c>
      <c r="J7" s="89">
        <f>SUMIFS('Wells Fargo'!$F:$F,'Wells Fargo'!$G:$G,'Cash Flow'!$A7,'Wells Fargo'!$A:$A,J$1,'Wells Fargo'!$B:$B,"&lt;="&amp;'Cash Flow'!J$3,'Wells Fargo'!$B:$B,"&gt;"&amp;'Cash Flow'!I$3)</f>
        <v>0</v>
      </c>
      <c r="K7" s="89">
        <f>SUMIFS('Wells Fargo'!$F:$F,'Wells Fargo'!$G:$G,'Cash Flow'!$A7,'Wells Fargo'!$A:$A,K$1,'Wells Fargo'!$B:$B,"&lt;="&amp;'Cash Flow'!K$3,'Wells Fargo'!$B:$B,"&gt;"&amp;'Cash Flow'!J$3)</f>
        <v>-81.319999999999993</v>
      </c>
      <c r="L7" s="90">
        <f>SUMIFS('Wells Fargo'!$F:$F,'Wells Fargo'!$G:$G,'Cash Flow'!$A7,'Wells Fargo'!$A:$A,L$1,'Wells Fargo'!$B:$B,"&lt;="&amp;'Cash Flow'!L$3)</f>
        <v>0</v>
      </c>
      <c r="M7" s="89">
        <f>SUMIFS('Wells Fargo'!$F:$F,'Wells Fargo'!$G:$G,'Cash Flow'!$A7,'Wells Fargo'!$A:$A,M$1,'Wells Fargo'!$B:$B,"&lt;="&amp;'Cash Flow'!M$3,'Wells Fargo'!$B:$B,"&gt;"&amp;'Cash Flow'!L$3)</f>
        <v>0</v>
      </c>
      <c r="N7" s="89">
        <f>SUMIFS('Wells Fargo'!$F:$F,'Wells Fargo'!$G:$G,'Cash Flow'!$A7,'Wells Fargo'!$A:$A,N$1,'Wells Fargo'!$B:$B,"&lt;="&amp;'Cash Flow'!N$3,'Wells Fargo'!$B:$B,"&gt;"&amp;'Cash Flow'!M$3)</f>
        <v>-39.700000000000003</v>
      </c>
      <c r="O7" s="89">
        <f>SUMIFS('Wells Fargo'!$F:$F,'Wells Fargo'!$G:$G,'Cash Flow'!$A7,'Wells Fargo'!$A:$A,O$1,'Wells Fargo'!$B:$B,"&lt;="&amp;'Cash Flow'!O$3,'Wells Fargo'!$B:$B,"&gt;"&amp;'Cash Flow'!N$3)</f>
        <v>0</v>
      </c>
      <c r="P7" s="89">
        <f>SUMIFS('Wells Fargo'!$F:$F,'Wells Fargo'!$G:$G,'Cash Flow'!$A7,'Wells Fargo'!$A:$A,P$1,'Wells Fargo'!$B:$B,"&lt;="&amp;'Cash Flow'!P$3,'Wells Fargo'!$B:$B,"&gt;"&amp;'Cash Flow'!O$3)</f>
        <v>0</v>
      </c>
      <c r="Q7" s="90">
        <f>SUMIFS('Wells Fargo'!$F:$F,'Wells Fargo'!$G:$G,'Cash Flow'!$A7,'Wells Fargo'!$A:$A,Q$1,'Wells Fargo'!$B:$B,"&lt;="&amp;'Cash Flow'!Q$3)</f>
        <v>0</v>
      </c>
      <c r="R7" s="89">
        <f>SUMIFS('Wells Fargo'!$F:$F,'Wells Fargo'!$G:$G,'Cash Flow'!$A7,'Wells Fargo'!$A:$A,R$1,'Wells Fargo'!$B:$B,"&lt;="&amp;'Cash Flow'!R$3,'Wells Fargo'!$B:$B,"&gt;"&amp;'Cash Flow'!Q$3)</f>
        <v>0</v>
      </c>
      <c r="S7" s="89">
        <f>SUMIFS('Wells Fargo'!$F:$F,'Wells Fargo'!$G:$G,'Cash Flow'!$A7,'Wells Fargo'!$A:$A,S$1,'Wells Fargo'!$B:$B,"&lt;="&amp;'Cash Flow'!S$3,'Wells Fargo'!$B:$B,"&gt;"&amp;'Cash Flow'!R$3)</f>
        <v>-138.52000000000001</v>
      </c>
      <c r="T7" s="89">
        <f>SUMIFS('Wells Fargo'!$F:$F,'Wells Fargo'!$G:$G,'Cash Flow'!$A7,'Wells Fargo'!$A:$A,T$1,'Wells Fargo'!$B:$B,"&lt;="&amp;'Cash Flow'!T$3,'Wells Fargo'!$B:$B,"&gt;"&amp;'Cash Flow'!S$3)</f>
        <v>0</v>
      </c>
      <c r="U7" s="89">
        <f>SUMIFS('Wells Fargo'!$F:$F,'Wells Fargo'!$G:$G,'Cash Flow'!$A7,'Wells Fargo'!$A:$A,U$1,'Wells Fargo'!$B:$B,"&lt;="&amp;'Cash Flow'!U$3,'Wells Fargo'!$B:$B,"&gt;"&amp;'Cash Flow'!T$3)</f>
        <v>0</v>
      </c>
      <c r="V7" s="90">
        <f>SUMIFS('Wells Fargo'!$F:$F,'Wells Fargo'!$G:$G,'Cash Flow'!$A7,'Wells Fargo'!$A:$A,V$1,'Wells Fargo'!$B:$B,"&lt;="&amp;'Cash Flow'!V$3)</f>
        <v>0</v>
      </c>
      <c r="W7" s="89">
        <f>SUMIFS('Wells Fargo'!$F:$F,'Wells Fargo'!$G:$G,'Cash Flow'!$A7,'Wells Fargo'!$A:$A,W$1,'Wells Fargo'!$B:$B,"&lt;="&amp;'Cash Flow'!W$3,'Wells Fargo'!$B:$B,"&gt;"&amp;'Cash Flow'!V$3)</f>
        <v>-136.13999999999999</v>
      </c>
      <c r="X7" s="89">
        <f>SUMIFS('Wells Fargo'!$F:$F,'Wells Fargo'!$G:$G,'Cash Flow'!$A7,'Wells Fargo'!$A:$A,X$1,'Wells Fargo'!$B:$B,"&lt;="&amp;'Cash Flow'!X$3,'Wells Fargo'!$B:$B,"&gt;"&amp;'Cash Flow'!W$3)</f>
        <v>0</v>
      </c>
      <c r="Y7" s="89">
        <f>SUMIFS('Wells Fargo'!$F:$F,'Wells Fargo'!$G:$G,'Cash Flow'!$A7,'Wells Fargo'!$A:$A,Y$1,'Wells Fargo'!$B:$B,"&lt;="&amp;'Cash Flow'!Y$3,'Wells Fargo'!$B:$B,"&gt;"&amp;'Cash Flow'!X$3)</f>
        <v>0</v>
      </c>
      <c r="Z7" s="89">
        <f>SUMIFS('Wells Fargo'!$F:$F,'Wells Fargo'!$G:$G,'Cash Flow'!$A7,'Wells Fargo'!$A:$A,Z$1,'Wells Fargo'!$B:$B,"&lt;="&amp;'Cash Flow'!Z$3,'Wells Fargo'!$B:$B,"&gt;"&amp;'Cash Flow'!Y$3)</f>
        <v>0</v>
      </c>
      <c r="AA7" s="90">
        <f>SUMIFS('Wells Fargo'!$F:$F,'Wells Fargo'!$G:$G,'Cash Flow'!$A7,'Wells Fargo'!$A:$A,AA$1,'Wells Fargo'!$B:$B,"&lt;="&amp;'Cash Flow'!AA$3)</f>
        <v>-118</v>
      </c>
      <c r="AB7" s="89">
        <f>SUMIFS('Wells Fargo'!$F:$F,'Wells Fargo'!$G:$G,'Cash Flow'!$A7,'Wells Fargo'!$A:$A,AB$1,'Wells Fargo'!$B:$B,"&lt;="&amp;'Cash Flow'!AB$3,'Wells Fargo'!$B:$B,"&gt;"&amp;'Cash Flow'!AA$3)</f>
        <v>0</v>
      </c>
      <c r="AC7" s="89">
        <f>SUMIFS('Wells Fargo'!$F:$F,'Wells Fargo'!$G:$G,'Cash Flow'!$A7,'Wells Fargo'!$A:$A,AC$1,'Wells Fargo'!$B:$B,"&lt;="&amp;'Cash Flow'!AC$3,'Wells Fargo'!$B:$B,"&gt;"&amp;'Cash Flow'!AB$3)</f>
        <v>0</v>
      </c>
      <c r="AD7" s="89">
        <f>SUMIFS('Wells Fargo'!$F:$F,'Wells Fargo'!$G:$G,'Cash Flow'!$A7,'Wells Fargo'!$A:$A,AD$1,'Wells Fargo'!$B:$B,"&lt;="&amp;'Cash Flow'!AD$3,'Wells Fargo'!$B:$B,"&gt;"&amp;'Cash Flow'!AC$3)</f>
        <v>0</v>
      </c>
      <c r="AE7" s="89">
        <f>SUMIFS('Wells Fargo'!$F:$F,'Wells Fargo'!$G:$G,'Cash Flow'!$A7,'Wells Fargo'!$A:$A,AE$1,'Wells Fargo'!$B:$B,"&lt;="&amp;'Cash Flow'!AE$3,'Wells Fargo'!$B:$B,"&gt;"&amp;'Cash Flow'!AD$3)</f>
        <v>0</v>
      </c>
      <c r="AF7" s="90">
        <f>SUMIFS('Wells Fargo'!$F:$F,'Wells Fargo'!$G:$G,'Cash Flow'!$A7,'Wells Fargo'!$A:$A,AF$1,'Wells Fargo'!$B:$B,"&lt;="&amp;'Cash Flow'!AF$3)</f>
        <v>0</v>
      </c>
      <c r="AG7" s="89">
        <f>SUMIFS('Wells Fargo'!$F:$F,'Wells Fargo'!$G:$G,'Cash Flow'!$A7,'Wells Fargo'!$A:$A,AG$1,'Wells Fargo'!$B:$B,"&lt;="&amp;'Cash Flow'!AG$3,'Wells Fargo'!$B:$B,"&gt;"&amp;'Cash Flow'!AF$3)</f>
        <v>0</v>
      </c>
      <c r="AH7" s="89">
        <f>SUMIFS('Wells Fargo'!$F:$F,'Wells Fargo'!$G:$G,'Cash Flow'!$A7,'Wells Fargo'!$A:$A,AH$1,'Wells Fargo'!$B:$B,"&lt;="&amp;'Cash Flow'!AH$3,'Wells Fargo'!$B:$B,"&gt;"&amp;'Cash Flow'!AG$3)</f>
        <v>0</v>
      </c>
      <c r="AI7" s="89">
        <f>SUMIFS('Wells Fargo'!$F:$F,'Wells Fargo'!$G:$G,'Cash Flow'!$A7,'Wells Fargo'!$A:$A,AI$1,'Wells Fargo'!$B:$B,"&lt;="&amp;'Cash Flow'!AI$3,'Wells Fargo'!$B:$B,"&gt;"&amp;'Cash Flow'!AH$3)</f>
        <v>0</v>
      </c>
      <c r="AJ7" s="89">
        <f>SUMIFS('Wells Fargo'!$F:$F,'Wells Fargo'!$G:$G,'Cash Flow'!$A7,'Wells Fargo'!$A:$A,AJ$1,'Wells Fargo'!$B:$B,"&lt;="&amp;'Cash Flow'!AJ$3,'Wells Fargo'!$B:$B,"&gt;"&amp;'Cash Flow'!AI$3)</f>
        <v>0</v>
      </c>
      <c r="AK7" s="90">
        <f>SUMIFS('Wells Fargo'!$F:$F,'Wells Fargo'!$G:$G,'Cash Flow'!$A7,'Wells Fargo'!$A:$A,AK$1,'Wells Fargo'!$B:$B,"&lt;="&amp;'Cash Flow'!AK$3)</f>
        <v>0</v>
      </c>
      <c r="AL7" s="89">
        <f>SUMIFS('Wells Fargo'!$F:$F,'Wells Fargo'!$G:$G,'Cash Flow'!$A7,'Wells Fargo'!$A:$A,AL$1,'Wells Fargo'!$B:$B,"&lt;="&amp;'Cash Flow'!AL$3,'Wells Fargo'!$B:$B,"&gt;"&amp;'Cash Flow'!AK$3)</f>
        <v>0</v>
      </c>
      <c r="AM7" s="89">
        <f>SUMIFS('Wells Fargo'!$F:$F,'Wells Fargo'!$G:$G,'Cash Flow'!$A7,'Wells Fargo'!$A:$A,AM$1,'Wells Fargo'!$B:$B,"&lt;="&amp;'Cash Flow'!AM$3,'Wells Fargo'!$B:$B,"&gt;"&amp;'Cash Flow'!AL$3)</f>
        <v>0</v>
      </c>
      <c r="AN7" s="89">
        <f>SUMIFS('Wells Fargo'!$F:$F,'Wells Fargo'!$G:$G,'Cash Flow'!$A7,'Wells Fargo'!$A:$A,AN$1,'Wells Fargo'!$B:$B,"&lt;="&amp;'Cash Flow'!AN$3,'Wells Fargo'!$B:$B,"&gt;"&amp;'Cash Flow'!AM$3)</f>
        <v>0</v>
      </c>
      <c r="AO7" s="89">
        <f>SUMIFS('Wells Fargo'!$F:$F,'Wells Fargo'!$G:$G,'Cash Flow'!$A7,'Wells Fargo'!$A:$A,AO$1,'Wells Fargo'!$B:$B,"&lt;="&amp;'Cash Flow'!AO$3,'Wells Fargo'!$B:$B,"&gt;"&amp;'Cash Flow'!AN$3)</f>
        <v>0</v>
      </c>
      <c r="AP7" s="90">
        <f>SUMIFS('Wells Fargo'!$F:$F,'Wells Fargo'!$G:$G,'Cash Flow'!$A7,'Wells Fargo'!$A:$A,AP$1,'Wells Fargo'!$B:$B,"&lt;="&amp;'Cash Flow'!AP$3)</f>
        <v>0</v>
      </c>
      <c r="AQ7" s="89">
        <f>SUMIFS('Wells Fargo'!$F:$F,'Wells Fargo'!$G:$G,'Cash Flow'!$A7,'Wells Fargo'!$A:$A,AQ$1,'Wells Fargo'!$B:$B,"&lt;="&amp;'Cash Flow'!AQ$3,'Wells Fargo'!$B:$B,"&gt;"&amp;'Cash Flow'!AP$3)</f>
        <v>0</v>
      </c>
      <c r="AR7" s="89">
        <f>SUMIFS('Wells Fargo'!$F:$F,'Wells Fargo'!$G:$G,'Cash Flow'!$A7,'Wells Fargo'!$A:$A,AR$1,'Wells Fargo'!$B:$B,"&lt;="&amp;'Cash Flow'!AR$3,'Wells Fargo'!$B:$B,"&gt;"&amp;'Cash Flow'!AQ$3)</f>
        <v>0</v>
      </c>
      <c r="AS7" s="89">
        <f>SUMIFS('Wells Fargo'!$F:$F,'Wells Fargo'!$G:$G,'Cash Flow'!$A7,'Wells Fargo'!$A:$A,AS$1,'Wells Fargo'!$B:$B,"&lt;="&amp;'Cash Flow'!AS$3,'Wells Fargo'!$B:$B,"&gt;"&amp;'Cash Flow'!AR$3)</f>
        <v>0</v>
      </c>
      <c r="AT7" s="89">
        <f>SUMIFS('Wells Fargo'!$F:$F,'Wells Fargo'!$G:$G,'Cash Flow'!$A7,'Wells Fargo'!$A:$A,AT$1,'Wells Fargo'!$B:$B,"&lt;="&amp;'Cash Flow'!AT$3,'Wells Fargo'!$B:$B,"&gt;"&amp;'Cash Flow'!AS$3)</f>
        <v>0</v>
      </c>
      <c r="AU7" s="90">
        <f>SUMIFS('Wells Fargo'!$F:$F,'Wells Fargo'!$G:$G,'Cash Flow'!$A7,'Wells Fargo'!$A:$A,AU$1,'Wells Fargo'!$B:$B,"&lt;="&amp;'Cash Flow'!AU$3)</f>
        <v>0</v>
      </c>
      <c r="AV7" s="89">
        <f>SUMIFS('Wells Fargo'!$F:$F,'Wells Fargo'!$G:$G,'Cash Flow'!$A7,'Wells Fargo'!$A:$A,AV$1,'Wells Fargo'!$B:$B,"&lt;="&amp;'Cash Flow'!AV$3,'Wells Fargo'!$B:$B,"&gt;"&amp;'Cash Flow'!AU$3)</f>
        <v>0</v>
      </c>
      <c r="AW7" s="89">
        <f>SUMIFS('Wells Fargo'!$F:$F,'Wells Fargo'!$G:$G,'Cash Flow'!$A7,'Wells Fargo'!$A:$A,AW$1,'Wells Fargo'!$B:$B,"&lt;="&amp;'Cash Flow'!AW$3,'Wells Fargo'!$B:$B,"&gt;"&amp;'Cash Flow'!AV$3)</f>
        <v>0</v>
      </c>
      <c r="AX7" s="89">
        <f>SUMIFS('Wells Fargo'!$F:$F,'Wells Fargo'!$G:$G,'Cash Flow'!$A7,'Wells Fargo'!$A:$A,AX$1,'Wells Fargo'!$B:$B,"&lt;="&amp;'Cash Flow'!AX$3,'Wells Fargo'!$B:$B,"&gt;"&amp;'Cash Flow'!AW$3)</f>
        <v>0</v>
      </c>
      <c r="AY7" s="89">
        <f>SUMIFS('Wells Fargo'!$F:$F,'Wells Fargo'!$G:$G,'Cash Flow'!$A7,'Wells Fargo'!$A:$A,AY$1,'Wells Fargo'!$B:$B,"&lt;="&amp;'Cash Flow'!AY$3,'Wells Fargo'!$B:$B,"&gt;"&amp;'Cash Flow'!AX$3)</f>
        <v>0</v>
      </c>
      <c r="AZ7" s="90">
        <f>SUMIFS('Wells Fargo'!$F:$F,'Wells Fargo'!$G:$G,'Cash Flow'!$A7,'Wells Fargo'!$A:$A,AZ$1,'Wells Fargo'!$B:$B,"&lt;="&amp;'Cash Flow'!AZ$3)</f>
        <v>0</v>
      </c>
      <c r="BA7" s="89">
        <f>SUMIFS('Wells Fargo'!$F:$F,'Wells Fargo'!$G:$G,'Cash Flow'!$A7,'Wells Fargo'!$A:$A,BA$1,'Wells Fargo'!$B:$B,"&lt;="&amp;'Cash Flow'!BA$3,'Wells Fargo'!$B:$B,"&gt;"&amp;'Cash Flow'!AZ$3)</f>
        <v>0</v>
      </c>
      <c r="BB7" s="89">
        <f>SUMIFS('Wells Fargo'!$F:$F,'Wells Fargo'!$G:$G,'Cash Flow'!$A7,'Wells Fargo'!$A:$A,BB$1,'Wells Fargo'!$B:$B,"&lt;="&amp;'Cash Flow'!BB$3,'Wells Fargo'!$B:$B,"&gt;"&amp;'Cash Flow'!BA$3)</f>
        <v>0</v>
      </c>
      <c r="BC7" s="89">
        <f>SUMIFS('Wells Fargo'!$F:$F,'Wells Fargo'!$G:$G,'Cash Flow'!$A7,'Wells Fargo'!$A:$A,BC$1,'Wells Fargo'!$B:$B,"&lt;="&amp;'Cash Flow'!BC$3,'Wells Fargo'!$B:$B,"&gt;"&amp;'Cash Flow'!BB$3)</f>
        <v>0</v>
      </c>
      <c r="BD7" s="89">
        <f>SUMIFS('Wells Fargo'!$F:$F,'Wells Fargo'!$G:$G,'Cash Flow'!$A7,'Wells Fargo'!$A:$A,BD$1,'Wells Fargo'!$B:$B,"&lt;="&amp;'Cash Flow'!BD$3,'Wells Fargo'!$B:$B,"&gt;"&amp;'Cash Flow'!BC$3)</f>
        <v>0</v>
      </c>
      <c r="BE7" s="90">
        <f>SUMIFS('Wells Fargo'!$F:$F,'Wells Fargo'!$G:$G,'Cash Flow'!$A7,'Wells Fargo'!$A:$A,BE$1,'Wells Fargo'!$B:$B,"&lt;="&amp;'Cash Flow'!BE$3)</f>
        <v>0</v>
      </c>
      <c r="BF7" s="89">
        <f>SUMIFS('Wells Fargo'!$F:$F,'Wells Fargo'!$G:$G,'Cash Flow'!$A7,'Wells Fargo'!$A:$A,BF$1,'Wells Fargo'!$B:$B,"&lt;="&amp;'Cash Flow'!BF$3,'Wells Fargo'!$B:$B,"&gt;"&amp;'Cash Flow'!BE$3)</f>
        <v>0</v>
      </c>
      <c r="BG7" s="89">
        <f>SUMIFS('Wells Fargo'!$F:$F,'Wells Fargo'!$G:$G,'Cash Flow'!$A7,'Wells Fargo'!$A:$A,BG$1,'Wells Fargo'!$B:$B,"&lt;="&amp;'Cash Flow'!BG$3,'Wells Fargo'!$B:$B,"&gt;"&amp;'Cash Flow'!BF$3)</f>
        <v>0</v>
      </c>
      <c r="BH7" s="89">
        <f>SUMIFS('Wells Fargo'!$F:$F,'Wells Fargo'!$G:$G,'Cash Flow'!$A7,'Wells Fargo'!$A:$A,BH$1,'Wells Fargo'!$B:$B,"&lt;="&amp;'Cash Flow'!BH$3,'Wells Fargo'!$B:$B,"&gt;"&amp;'Cash Flow'!BG$3)</f>
        <v>0</v>
      </c>
      <c r="BI7" s="89">
        <f>SUMIFS('Wells Fargo'!$F:$F,'Wells Fargo'!$G:$G,'Cash Flow'!$A7,'Wells Fargo'!$A:$A,BI$1,'Wells Fargo'!$B:$B,"&lt;="&amp;'Cash Flow'!BI$3,'Wells Fargo'!$B:$B,"&gt;"&amp;'Cash Flow'!BH$3)</f>
        <v>0</v>
      </c>
    </row>
    <row r="8" spans="1:61" ht="12.75" x14ac:dyDescent="0.2">
      <c r="A8" t="str">
        <v>Amar - Rent</v>
      </c>
      <c r="B8" s="15">
        <f t="shared" si="0"/>
        <v>-2800</v>
      </c>
      <c r="C8" s="90">
        <f>SUMIFS('Wells Fargo'!$F:$F,'Wells Fargo'!$G:$G,'Cash Flow'!$A8,'Wells Fargo'!$A:$A,C$1,'Wells Fargo'!$B:$B,"&lt;="&amp;'Cash Flow'!C$3)</f>
        <v>0</v>
      </c>
      <c r="D8" s="89">
        <f>SUMIFS('Wells Fargo'!$F:$F,'Wells Fargo'!$G:$G,'Cash Flow'!$A8,'Wells Fargo'!$A:$A,D$1,'Wells Fargo'!$B:$B,"&lt;="&amp;'Cash Flow'!D$3,'Wells Fargo'!$B:$B,"&gt;"&amp;'Cash Flow'!C$3)</f>
        <v>0</v>
      </c>
      <c r="E8" s="89">
        <f>SUMIFS('Wells Fargo'!$F:$F,'Wells Fargo'!$G:$G,'Cash Flow'!$A8,'Wells Fargo'!$A:$A,E$1,'Wells Fargo'!$B:$B,"&lt;="&amp;'Cash Flow'!E$3,'Wells Fargo'!$B:$B,"&gt;"&amp;'Cash Flow'!D$3)</f>
        <v>0</v>
      </c>
      <c r="F8" s="89">
        <f>SUMIFS('Wells Fargo'!$F:$F,'Wells Fargo'!$G:$G,'Cash Flow'!$A8,'Wells Fargo'!$A:$A,F$1,'Wells Fargo'!$B:$B,"&lt;="&amp;'Cash Flow'!F$3,'Wells Fargo'!$B:$B,"&gt;"&amp;'Cash Flow'!E$3)</f>
        <v>0</v>
      </c>
      <c r="G8" s="89">
        <f>SUMIFS('Wells Fargo'!$F:$F,'Wells Fargo'!$G:$G,'Cash Flow'!$A8,'Wells Fargo'!$A:$A,G$1,'Wells Fargo'!$B:$B,"&lt;="&amp;'Cash Flow'!G$3,'Wells Fargo'!$B:$B,"&gt;"&amp;'Cash Flow'!F$3)</f>
        <v>-700</v>
      </c>
      <c r="H8" s="90">
        <f>SUMIFS('Wells Fargo'!$F:$F,'Wells Fargo'!$G:$G,'Cash Flow'!$A8,'Wells Fargo'!$A:$A,H$1,'Wells Fargo'!$B:$B,"&lt;="&amp;'Cash Flow'!H$3)</f>
        <v>0</v>
      </c>
      <c r="I8" s="89">
        <f>SUMIFS('Wells Fargo'!$F:$F,'Wells Fargo'!$G:$G,'Cash Flow'!$A8,'Wells Fargo'!$A:$A,I$1,'Wells Fargo'!$B:$B,"&lt;="&amp;'Cash Flow'!I$3,'Wells Fargo'!$B:$B,"&gt;"&amp;'Cash Flow'!H$3)</f>
        <v>0</v>
      </c>
      <c r="J8" s="89">
        <f>SUMIFS('Wells Fargo'!$F:$F,'Wells Fargo'!$G:$G,'Cash Flow'!$A8,'Wells Fargo'!$A:$A,J$1,'Wells Fargo'!$B:$B,"&lt;="&amp;'Cash Flow'!J$3,'Wells Fargo'!$B:$B,"&gt;"&amp;'Cash Flow'!I$3)</f>
        <v>0</v>
      </c>
      <c r="K8" s="89">
        <f>SUMIFS('Wells Fargo'!$F:$F,'Wells Fargo'!$G:$G,'Cash Flow'!$A8,'Wells Fargo'!$A:$A,K$1,'Wells Fargo'!$B:$B,"&lt;="&amp;'Cash Flow'!K$3,'Wells Fargo'!$B:$B,"&gt;"&amp;'Cash Flow'!J$3)</f>
        <v>-700</v>
      </c>
      <c r="L8" s="90">
        <f>SUMIFS('Wells Fargo'!$F:$F,'Wells Fargo'!$G:$G,'Cash Flow'!$A8,'Wells Fargo'!$A:$A,L$1,'Wells Fargo'!$B:$B,"&lt;="&amp;'Cash Flow'!L$3)</f>
        <v>0</v>
      </c>
      <c r="M8" s="89">
        <f>SUMIFS('Wells Fargo'!$F:$F,'Wells Fargo'!$G:$G,'Cash Flow'!$A8,'Wells Fargo'!$A:$A,M$1,'Wells Fargo'!$B:$B,"&lt;="&amp;'Cash Flow'!M$3,'Wells Fargo'!$B:$B,"&gt;"&amp;'Cash Flow'!L$3)</f>
        <v>0</v>
      </c>
      <c r="N8" s="89">
        <f>SUMIFS('Wells Fargo'!$F:$F,'Wells Fargo'!$G:$G,'Cash Flow'!$A8,'Wells Fargo'!$A:$A,N$1,'Wells Fargo'!$B:$B,"&lt;="&amp;'Cash Flow'!N$3,'Wells Fargo'!$B:$B,"&gt;"&amp;'Cash Flow'!M$3)</f>
        <v>-700</v>
      </c>
      <c r="O8" s="89">
        <f>SUMIFS('Wells Fargo'!$F:$F,'Wells Fargo'!$G:$G,'Cash Flow'!$A8,'Wells Fargo'!$A:$A,O$1,'Wells Fargo'!$B:$B,"&lt;="&amp;'Cash Flow'!O$3,'Wells Fargo'!$B:$B,"&gt;"&amp;'Cash Flow'!N$3)</f>
        <v>0</v>
      </c>
      <c r="P8" s="89">
        <f>SUMIFS('Wells Fargo'!$F:$F,'Wells Fargo'!$G:$G,'Cash Flow'!$A8,'Wells Fargo'!$A:$A,P$1,'Wells Fargo'!$B:$B,"&lt;="&amp;'Cash Flow'!P$3,'Wells Fargo'!$B:$B,"&gt;"&amp;'Cash Flow'!O$3)</f>
        <v>0</v>
      </c>
      <c r="Q8" s="90">
        <f>SUMIFS('Wells Fargo'!$F:$F,'Wells Fargo'!$G:$G,'Cash Flow'!$A8,'Wells Fargo'!$A:$A,Q$1,'Wells Fargo'!$B:$B,"&lt;="&amp;'Cash Flow'!Q$3)</f>
        <v>0</v>
      </c>
      <c r="R8" s="89">
        <f>SUMIFS('Wells Fargo'!$F:$F,'Wells Fargo'!$G:$G,'Cash Flow'!$A8,'Wells Fargo'!$A:$A,R$1,'Wells Fargo'!$B:$B,"&lt;="&amp;'Cash Flow'!R$3,'Wells Fargo'!$B:$B,"&gt;"&amp;'Cash Flow'!Q$3)</f>
        <v>0</v>
      </c>
      <c r="S8" s="89">
        <f>SUMIFS('Wells Fargo'!$F:$F,'Wells Fargo'!$G:$G,'Cash Flow'!$A8,'Wells Fargo'!$A:$A,S$1,'Wells Fargo'!$B:$B,"&lt;="&amp;'Cash Flow'!S$3,'Wells Fargo'!$B:$B,"&gt;"&amp;'Cash Flow'!R$3)</f>
        <v>0</v>
      </c>
      <c r="T8" s="89">
        <f>SUMIFS('Wells Fargo'!$F:$F,'Wells Fargo'!$G:$G,'Cash Flow'!$A8,'Wells Fargo'!$A:$A,T$1,'Wells Fargo'!$B:$B,"&lt;="&amp;'Cash Flow'!T$3,'Wells Fargo'!$B:$B,"&gt;"&amp;'Cash Flow'!S$3)</f>
        <v>-700</v>
      </c>
      <c r="U8" s="89">
        <f>SUMIFS('Wells Fargo'!$F:$F,'Wells Fargo'!$G:$G,'Cash Flow'!$A8,'Wells Fargo'!$A:$A,U$1,'Wells Fargo'!$B:$B,"&lt;="&amp;'Cash Flow'!U$3,'Wells Fargo'!$B:$B,"&gt;"&amp;'Cash Flow'!T$3)</f>
        <v>0</v>
      </c>
      <c r="V8" s="90">
        <f>SUMIFS('Wells Fargo'!$F:$F,'Wells Fargo'!$G:$G,'Cash Flow'!$A8,'Wells Fargo'!$A:$A,V$1,'Wells Fargo'!$B:$B,"&lt;="&amp;'Cash Flow'!V$3)</f>
        <v>0</v>
      </c>
      <c r="W8" s="89">
        <f>SUMIFS('Wells Fargo'!$F:$F,'Wells Fargo'!$G:$G,'Cash Flow'!$A8,'Wells Fargo'!$A:$A,W$1,'Wells Fargo'!$B:$B,"&lt;="&amp;'Cash Flow'!W$3,'Wells Fargo'!$B:$B,"&gt;"&amp;'Cash Flow'!V$3)</f>
        <v>0</v>
      </c>
      <c r="X8" s="89">
        <f>SUMIFS('Wells Fargo'!$F:$F,'Wells Fargo'!$G:$G,'Cash Flow'!$A8,'Wells Fargo'!$A:$A,X$1,'Wells Fargo'!$B:$B,"&lt;="&amp;'Cash Flow'!X$3,'Wells Fargo'!$B:$B,"&gt;"&amp;'Cash Flow'!W$3)</f>
        <v>0</v>
      </c>
      <c r="Y8" s="89">
        <f>SUMIFS('Wells Fargo'!$F:$F,'Wells Fargo'!$G:$G,'Cash Flow'!$A8,'Wells Fargo'!$A:$A,Y$1,'Wells Fargo'!$B:$B,"&lt;="&amp;'Cash Flow'!Y$3,'Wells Fargo'!$B:$B,"&gt;"&amp;'Cash Flow'!X$3)</f>
        <v>0</v>
      </c>
      <c r="Z8" s="89">
        <f>SUMIFS('Wells Fargo'!$F:$F,'Wells Fargo'!$G:$G,'Cash Flow'!$A8,'Wells Fargo'!$A:$A,Z$1,'Wells Fargo'!$B:$B,"&lt;="&amp;'Cash Flow'!Z$3,'Wells Fargo'!$B:$B,"&gt;"&amp;'Cash Flow'!Y$3)</f>
        <v>0</v>
      </c>
      <c r="AA8" s="90">
        <f>SUMIFS('Wells Fargo'!$F:$F,'Wells Fargo'!$G:$G,'Cash Flow'!$A8,'Wells Fargo'!$A:$A,AA$1,'Wells Fargo'!$B:$B,"&lt;="&amp;'Cash Flow'!AA$3)</f>
        <v>0</v>
      </c>
      <c r="AB8" s="89">
        <f>SUMIFS('Wells Fargo'!$F:$F,'Wells Fargo'!$G:$G,'Cash Flow'!$A8,'Wells Fargo'!$A:$A,AB$1,'Wells Fargo'!$B:$B,"&lt;="&amp;'Cash Flow'!AB$3,'Wells Fargo'!$B:$B,"&gt;"&amp;'Cash Flow'!AA$3)</f>
        <v>0</v>
      </c>
      <c r="AC8" s="89">
        <f>SUMIFS('Wells Fargo'!$F:$F,'Wells Fargo'!$G:$G,'Cash Flow'!$A8,'Wells Fargo'!$A:$A,AC$1,'Wells Fargo'!$B:$B,"&lt;="&amp;'Cash Flow'!AC$3,'Wells Fargo'!$B:$B,"&gt;"&amp;'Cash Flow'!AB$3)</f>
        <v>0</v>
      </c>
      <c r="AD8" s="89">
        <f>SUMIFS('Wells Fargo'!$F:$F,'Wells Fargo'!$G:$G,'Cash Flow'!$A8,'Wells Fargo'!$A:$A,AD$1,'Wells Fargo'!$B:$B,"&lt;="&amp;'Cash Flow'!AD$3,'Wells Fargo'!$B:$B,"&gt;"&amp;'Cash Flow'!AC$3)</f>
        <v>0</v>
      </c>
      <c r="AE8" s="89">
        <f>SUMIFS('Wells Fargo'!$F:$F,'Wells Fargo'!$G:$G,'Cash Flow'!$A8,'Wells Fargo'!$A:$A,AE$1,'Wells Fargo'!$B:$B,"&lt;="&amp;'Cash Flow'!AE$3,'Wells Fargo'!$B:$B,"&gt;"&amp;'Cash Flow'!AD$3)</f>
        <v>0</v>
      </c>
      <c r="AF8" s="90">
        <f>SUMIFS('Wells Fargo'!$F:$F,'Wells Fargo'!$G:$G,'Cash Flow'!$A8,'Wells Fargo'!$A:$A,AF$1,'Wells Fargo'!$B:$B,"&lt;="&amp;'Cash Flow'!AF$3)</f>
        <v>0</v>
      </c>
      <c r="AG8" s="89">
        <f>SUMIFS('Wells Fargo'!$F:$F,'Wells Fargo'!$G:$G,'Cash Flow'!$A8,'Wells Fargo'!$A:$A,AG$1,'Wells Fargo'!$B:$B,"&lt;="&amp;'Cash Flow'!AG$3,'Wells Fargo'!$B:$B,"&gt;"&amp;'Cash Flow'!AF$3)</f>
        <v>0</v>
      </c>
      <c r="AH8" s="89">
        <f>SUMIFS('Wells Fargo'!$F:$F,'Wells Fargo'!$G:$G,'Cash Flow'!$A8,'Wells Fargo'!$A:$A,AH$1,'Wells Fargo'!$B:$B,"&lt;="&amp;'Cash Flow'!AH$3,'Wells Fargo'!$B:$B,"&gt;"&amp;'Cash Flow'!AG$3)</f>
        <v>0</v>
      </c>
      <c r="AI8" s="89">
        <f>SUMIFS('Wells Fargo'!$F:$F,'Wells Fargo'!$G:$G,'Cash Flow'!$A8,'Wells Fargo'!$A:$A,AI$1,'Wells Fargo'!$B:$B,"&lt;="&amp;'Cash Flow'!AI$3,'Wells Fargo'!$B:$B,"&gt;"&amp;'Cash Flow'!AH$3)</f>
        <v>0</v>
      </c>
      <c r="AJ8" s="89">
        <f>SUMIFS('Wells Fargo'!$F:$F,'Wells Fargo'!$G:$G,'Cash Flow'!$A8,'Wells Fargo'!$A:$A,AJ$1,'Wells Fargo'!$B:$B,"&lt;="&amp;'Cash Flow'!AJ$3,'Wells Fargo'!$B:$B,"&gt;"&amp;'Cash Flow'!AI$3)</f>
        <v>0</v>
      </c>
      <c r="AK8" s="90">
        <f>SUMIFS('Wells Fargo'!$F:$F,'Wells Fargo'!$G:$G,'Cash Flow'!$A8,'Wells Fargo'!$A:$A,AK$1,'Wells Fargo'!$B:$B,"&lt;="&amp;'Cash Flow'!AK$3)</f>
        <v>0</v>
      </c>
      <c r="AL8" s="89">
        <f>SUMIFS('Wells Fargo'!$F:$F,'Wells Fargo'!$G:$G,'Cash Flow'!$A8,'Wells Fargo'!$A:$A,AL$1,'Wells Fargo'!$B:$B,"&lt;="&amp;'Cash Flow'!AL$3,'Wells Fargo'!$B:$B,"&gt;"&amp;'Cash Flow'!AK$3)</f>
        <v>0</v>
      </c>
      <c r="AM8" s="89">
        <f>SUMIFS('Wells Fargo'!$F:$F,'Wells Fargo'!$G:$G,'Cash Flow'!$A8,'Wells Fargo'!$A:$A,AM$1,'Wells Fargo'!$B:$B,"&lt;="&amp;'Cash Flow'!AM$3,'Wells Fargo'!$B:$B,"&gt;"&amp;'Cash Flow'!AL$3)</f>
        <v>0</v>
      </c>
      <c r="AN8" s="89">
        <f>SUMIFS('Wells Fargo'!$F:$F,'Wells Fargo'!$G:$G,'Cash Flow'!$A8,'Wells Fargo'!$A:$A,AN$1,'Wells Fargo'!$B:$B,"&lt;="&amp;'Cash Flow'!AN$3,'Wells Fargo'!$B:$B,"&gt;"&amp;'Cash Flow'!AM$3)</f>
        <v>0</v>
      </c>
      <c r="AO8" s="89">
        <f>SUMIFS('Wells Fargo'!$F:$F,'Wells Fargo'!$G:$G,'Cash Flow'!$A8,'Wells Fargo'!$A:$A,AO$1,'Wells Fargo'!$B:$B,"&lt;="&amp;'Cash Flow'!AO$3,'Wells Fargo'!$B:$B,"&gt;"&amp;'Cash Flow'!AN$3)</f>
        <v>0</v>
      </c>
      <c r="AP8" s="90">
        <f>SUMIFS('Wells Fargo'!$F:$F,'Wells Fargo'!$G:$G,'Cash Flow'!$A8,'Wells Fargo'!$A:$A,AP$1,'Wells Fargo'!$B:$B,"&lt;="&amp;'Cash Flow'!AP$3)</f>
        <v>0</v>
      </c>
      <c r="AQ8" s="89">
        <f>SUMIFS('Wells Fargo'!$F:$F,'Wells Fargo'!$G:$G,'Cash Flow'!$A8,'Wells Fargo'!$A:$A,AQ$1,'Wells Fargo'!$B:$B,"&lt;="&amp;'Cash Flow'!AQ$3,'Wells Fargo'!$B:$B,"&gt;"&amp;'Cash Flow'!AP$3)</f>
        <v>0</v>
      </c>
      <c r="AR8" s="89">
        <f>SUMIFS('Wells Fargo'!$F:$F,'Wells Fargo'!$G:$G,'Cash Flow'!$A8,'Wells Fargo'!$A:$A,AR$1,'Wells Fargo'!$B:$B,"&lt;="&amp;'Cash Flow'!AR$3,'Wells Fargo'!$B:$B,"&gt;"&amp;'Cash Flow'!AQ$3)</f>
        <v>0</v>
      </c>
      <c r="AS8" s="89">
        <f>SUMIFS('Wells Fargo'!$F:$F,'Wells Fargo'!$G:$G,'Cash Flow'!$A8,'Wells Fargo'!$A:$A,AS$1,'Wells Fargo'!$B:$B,"&lt;="&amp;'Cash Flow'!AS$3,'Wells Fargo'!$B:$B,"&gt;"&amp;'Cash Flow'!AR$3)</f>
        <v>0</v>
      </c>
      <c r="AT8" s="89">
        <f>SUMIFS('Wells Fargo'!$F:$F,'Wells Fargo'!$G:$G,'Cash Flow'!$A8,'Wells Fargo'!$A:$A,AT$1,'Wells Fargo'!$B:$B,"&lt;="&amp;'Cash Flow'!AT$3,'Wells Fargo'!$B:$B,"&gt;"&amp;'Cash Flow'!AS$3)</f>
        <v>0</v>
      </c>
      <c r="AU8" s="90">
        <f>SUMIFS('Wells Fargo'!$F:$F,'Wells Fargo'!$G:$G,'Cash Flow'!$A8,'Wells Fargo'!$A:$A,AU$1,'Wells Fargo'!$B:$B,"&lt;="&amp;'Cash Flow'!AU$3)</f>
        <v>0</v>
      </c>
      <c r="AV8" s="89">
        <f>SUMIFS('Wells Fargo'!$F:$F,'Wells Fargo'!$G:$G,'Cash Flow'!$A8,'Wells Fargo'!$A:$A,AV$1,'Wells Fargo'!$B:$B,"&lt;="&amp;'Cash Flow'!AV$3,'Wells Fargo'!$B:$B,"&gt;"&amp;'Cash Flow'!AU$3)</f>
        <v>0</v>
      </c>
      <c r="AW8" s="89">
        <f>SUMIFS('Wells Fargo'!$F:$F,'Wells Fargo'!$G:$G,'Cash Flow'!$A8,'Wells Fargo'!$A:$A,AW$1,'Wells Fargo'!$B:$B,"&lt;="&amp;'Cash Flow'!AW$3,'Wells Fargo'!$B:$B,"&gt;"&amp;'Cash Flow'!AV$3)</f>
        <v>0</v>
      </c>
      <c r="AX8" s="89">
        <f>SUMIFS('Wells Fargo'!$F:$F,'Wells Fargo'!$G:$G,'Cash Flow'!$A8,'Wells Fargo'!$A:$A,AX$1,'Wells Fargo'!$B:$B,"&lt;="&amp;'Cash Flow'!AX$3,'Wells Fargo'!$B:$B,"&gt;"&amp;'Cash Flow'!AW$3)</f>
        <v>0</v>
      </c>
      <c r="AY8" s="89">
        <f>SUMIFS('Wells Fargo'!$F:$F,'Wells Fargo'!$G:$G,'Cash Flow'!$A8,'Wells Fargo'!$A:$A,AY$1,'Wells Fargo'!$B:$B,"&lt;="&amp;'Cash Flow'!AY$3,'Wells Fargo'!$B:$B,"&gt;"&amp;'Cash Flow'!AX$3)</f>
        <v>0</v>
      </c>
      <c r="AZ8" s="90">
        <f>SUMIFS('Wells Fargo'!$F:$F,'Wells Fargo'!$G:$G,'Cash Flow'!$A8,'Wells Fargo'!$A:$A,AZ$1,'Wells Fargo'!$B:$B,"&lt;="&amp;'Cash Flow'!AZ$3)</f>
        <v>0</v>
      </c>
      <c r="BA8" s="89">
        <f>SUMIFS('Wells Fargo'!$F:$F,'Wells Fargo'!$G:$G,'Cash Flow'!$A8,'Wells Fargo'!$A:$A,BA$1,'Wells Fargo'!$B:$B,"&lt;="&amp;'Cash Flow'!BA$3,'Wells Fargo'!$B:$B,"&gt;"&amp;'Cash Flow'!AZ$3)</f>
        <v>0</v>
      </c>
      <c r="BB8" s="89">
        <f>SUMIFS('Wells Fargo'!$F:$F,'Wells Fargo'!$G:$G,'Cash Flow'!$A8,'Wells Fargo'!$A:$A,BB$1,'Wells Fargo'!$B:$B,"&lt;="&amp;'Cash Flow'!BB$3,'Wells Fargo'!$B:$B,"&gt;"&amp;'Cash Flow'!BA$3)</f>
        <v>0</v>
      </c>
      <c r="BC8" s="89">
        <f>SUMIFS('Wells Fargo'!$F:$F,'Wells Fargo'!$G:$G,'Cash Flow'!$A8,'Wells Fargo'!$A:$A,BC$1,'Wells Fargo'!$B:$B,"&lt;="&amp;'Cash Flow'!BC$3,'Wells Fargo'!$B:$B,"&gt;"&amp;'Cash Flow'!BB$3)</f>
        <v>0</v>
      </c>
      <c r="BD8" s="89">
        <f>SUMIFS('Wells Fargo'!$F:$F,'Wells Fargo'!$G:$G,'Cash Flow'!$A8,'Wells Fargo'!$A:$A,BD$1,'Wells Fargo'!$B:$B,"&lt;="&amp;'Cash Flow'!BD$3,'Wells Fargo'!$B:$B,"&gt;"&amp;'Cash Flow'!BC$3)</f>
        <v>0</v>
      </c>
      <c r="BE8" s="90">
        <f>SUMIFS('Wells Fargo'!$F:$F,'Wells Fargo'!$G:$G,'Cash Flow'!$A8,'Wells Fargo'!$A:$A,BE$1,'Wells Fargo'!$B:$B,"&lt;="&amp;'Cash Flow'!BE$3)</f>
        <v>0</v>
      </c>
      <c r="BF8" s="89">
        <f>SUMIFS('Wells Fargo'!$F:$F,'Wells Fargo'!$G:$G,'Cash Flow'!$A8,'Wells Fargo'!$A:$A,BF$1,'Wells Fargo'!$B:$B,"&lt;="&amp;'Cash Flow'!BF$3,'Wells Fargo'!$B:$B,"&gt;"&amp;'Cash Flow'!BE$3)</f>
        <v>0</v>
      </c>
      <c r="BG8" s="89">
        <f>SUMIFS('Wells Fargo'!$F:$F,'Wells Fargo'!$G:$G,'Cash Flow'!$A8,'Wells Fargo'!$A:$A,BG$1,'Wells Fargo'!$B:$B,"&lt;="&amp;'Cash Flow'!BG$3,'Wells Fargo'!$B:$B,"&gt;"&amp;'Cash Flow'!BF$3)</f>
        <v>0</v>
      </c>
      <c r="BH8" s="89">
        <f>SUMIFS('Wells Fargo'!$F:$F,'Wells Fargo'!$G:$G,'Cash Flow'!$A8,'Wells Fargo'!$A:$A,BH$1,'Wells Fargo'!$B:$B,"&lt;="&amp;'Cash Flow'!BH$3,'Wells Fargo'!$B:$B,"&gt;"&amp;'Cash Flow'!BG$3)</f>
        <v>0</v>
      </c>
      <c r="BI8" s="89">
        <f>SUMIFS('Wells Fargo'!$F:$F,'Wells Fargo'!$G:$G,'Cash Flow'!$A8,'Wells Fargo'!$A:$A,BI$1,'Wells Fargo'!$B:$B,"&lt;="&amp;'Cash Flow'!BI$3,'Wells Fargo'!$B:$B,"&gt;"&amp;'Cash Flow'!BH$3)</f>
        <v>0</v>
      </c>
    </row>
    <row r="9" spans="1:61" ht="12.75" x14ac:dyDescent="0.2">
      <c r="A9" t="str">
        <v>Amar - Water</v>
      </c>
      <c r="B9" s="15">
        <f t="shared" si="0"/>
        <v>-400</v>
      </c>
      <c r="C9" s="90">
        <f>SUMIFS('Wells Fargo'!$F:$F,'Wells Fargo'!$G:$G,'Cash Flow'!$A9,'Wells Fargo'!$A:$A,C$1,'Wells Fargo'!$B:$B,"&lt;="&amp;'Cash Flow'!C$3)</f>
        <v>0</v>
      </c>
      <c r="D9" s="89">
        <f>SUMIFS('Wells Fargo'!$F:$F,'Wells Fargo'!$G:$G,'Cash Flow'!$A9,'Wells Fargo'!$A:$A,D$1,'Wells Fargo'!$B:$B,"&lt;="&amp;'Cash Flow'!D$3,'Wells Fargo'!$B:$B,"&gt;"&amp;'Cash Flow'!C$3)</f>
        <v>0</v>
      </c>
      <c r="E9" s="89">
        <f>SUMIFS('Wells Fargo'!$F:$F,'Wells Fargo'!$G:$G,'Cash Flow'!$A9,'Wells Fargo'!$A:$A,E$1,'Wells Fargo'!$B:$B,"&lt;="&amp;'Cash Flow'!E$3,'Wells Fargo'!$B:$B,"&gt;"&amp;'Cash Flow'!D$3)</f>
        <v>0</v>
      </c>
      <c r="F9" s="89">
        <f>SUMIFS('Wells Fargo'!$F:$F,'Wells Fargo'!$G:$G,'Cash Flow'!$A9,'Wells Fargo'!$A:$A,F$1,'Wells Fargo'!$B:$B,"&lt;="&amp;'Cash Flow'!F$3,'Wells Fargo'!$B:$B,"&gt;"&amp;'Cash Flow'!E$3)</f>
        <v>0</v>
      </c>
      <c r="G9" s="89">
        <f>SUMIFS('Wells Fargo'!$F:$F,'Wells Fargo'!$G:$G,'Cash Flow'!$A9,'Wells Fargo'!$A:$A,G$1,'Wells Fargo'!$B:$B,"&lt;="&amp;'Cash Flow'!G$3,'Wells Fargo'!$B:$B,"&gt;"&amp;'Cash Flow'!F$3)</f>
        <v>0</v>
      </c>
      <c r="H9" s="90">
        <f>SUMIFS('Wells Fargo'!$F:$F,'Wells Fargo'!$G:$G,'Cash Flow'!$A9,'Wells Fargo'!$A:$A,H$1,'Wells Fargo'!$B:$B,"&lt;="&amp;'Cash Flow'!H$3)</f>
        <v>0</v>
      </c>
      <c r="I9" s="89">
        <f>SUMIFS('Wells Fargo'!$F:$F,'Wells Fargo'!$G:$G,'Cash Flow'!$A9,'Wells Fargo'!$A:$A,I$1,'Wells Fargo'!$B:$B,"&lt;="&amp;'Cash Flow'!I$3,'Wells Fargo'!$B:$B,"&gt;"&amp;'Cash Flow'!H$3)</f>
        <v>0</v>
      </c>
      <c r="J9" s="89">
        <f>SUMIFS('Wells Fargo'!$F:$F,'Wells Fargo'!$G:$G,'Cash Flow'!$A9,'Wells Fargo'!$A:$A,J$1,'Wells Fargo'!$B:$B,"&lt;="&amp;'Cash Flow'!J$3,'Wells Fargo'!$B:$B,"&gt;"&amp;'Cash Flow'!I$3)</f>
        <v>0</v>
      </c>
      <c r="K9" s="89">
        <f>SUMIFS('Wells Fargo'!$F:$F,'Wells Fargo'!$G:$G,'Cash Flow'!$A9,'Wells Fargo'!$A:$A,K$1,'Wells Fargo'!$B:$B,"&lt;="&amp;'Cash Flow'!K$3,'Wells Fargo'!$B:$B,"&gt;"&amp;'Cash Flow'!J$3)</f>
        <v>0</v>
      </c>
      <c r="L9" s="90">
        <f>SUMIFS('Wells Fargo'!$F:$F,'Wells Fargo'!$G:$G,'Cash Flow'!$A9,'Wells Fargo'!$A:$A,L$1,'Wells Fargo'!$B:$B,"&lt;="&amp;'Cash Flow'!L$3)</f>
        <v>0</v>
      </c>
      <c r="M9" s="89">
        <f>SUMIFS('Wells Fargo'!$F:$F,'Wells Fargo'!$G:$G,'Cash Flow'!$A9,'Wells Fargo'!$A:$A,M$1,'Wells Fargo'!$B:$B,"&lt;="&amp;'Cash Flow'!M$3,'Wells Fargo'!$B:$B,"&gt;"&amp;'Cash Flow'!L$3)</f>
        <v>-150</v>
      </c>
      <c r="N9" s="89">
        <f>SUMIFS('Wells Fargo'!$F:$F,'Wells Fargo'!$G:$G,'Cash Flow'!$A9,'Wells Fargo'!$A:$A,N$1,'Wells Fargo'!$B:$B,"&lt;="&amp;'Cash Flow'!N$3,'Wells Fargo'!$B:$B,"&gt;"&amp;'Cash Flow'!M$3)</f>
        <v>0</v>
      </c>
      <c r="O9" s="89">
        <f>SUMIFS('Wells Fargo'!$F:$F,'Wells Fargo'!$G:$G,'Cash Flow'!$A9,'Wells Fargo'!$A:$A,O$1,'Wells Fargo'!$B:$B,"&lt;="&amp;'Cash Flow'!O$3,'Wells Fargo'!$B:$B,"&gt;"&amp;'Cash Flow'!N$3)</f>
        <v>0</v>
      </c>
      <c r="P9" s="89">
        <f>SUMIFS('Wells Fargo'!$F:$F,'Wells Fargo'!$G:$G,'Cash Flow'!$A9,'Wells Fargo'!$A:$A,P$1,'Wells Fargo'!$B:$B,"&lt;="&amp;'Cash Flow'!P$3,'Wells Fargo'!$B:$B,"&gt;"&amp;'Cash Flow'!O$3)</f>
        <v>0</v>
      </c>
      <c r="Q9" s="90">
        <f>SUMIFS('Wells Fargo'!$F:$F,'Wells Fargo'!$G:$G,'Cash Flow'!$A9,'Wells Fargo'!$A:$A,Q$1,'Wells Fargo'!$B:$B,"&lt;="&amp;'Cash Flow'!Q$3)</f>
        <v>0</v>
      </c>
      <c r="R9" s="89">
        <f>SUMIFS('Wells Fargo'!$F:$F,'Wells Fargo'!$G:$G,'Cash Flow'!$A9,'Wells Fargo'!$A:$A,R$1,'Wells Fargo'!$B:$B,"&lt;="&amp;'Cash Flow'!R$3,'Wells Fargo'!$B:$B,"&gt;"&amp;'Cash Flow'!Q$3)</f>
        <v>0</v>
      </c>
      <c r="S9" s="89">
        <f>SUMIFS('Wells Fargo'!$F:$F,'Wells Fargo'!$G:$G,'Cash Flow'!$A9,'Wells Fargo'!$A:$A,S$1,'Wells Fargo'!$B:$B,"&lt;="&amp;'Cash Flow'!S$3,'Wells Fargo'!$B:$B,"&gt;"&amp;'Cash Flow'!R$3)</f>
        <v>-100</v>
      </c>
      <c r="T9" s="89">
        <f>SUMIFS('Wells Fargo'!$F:$F,'Wells Fargo'!$G:$G,'Cash Flow'!$A9,'Wells Fargo'!$A:$A,T$1,'Wells Fargo'!$B:$B,"&lt;="&amp;'Cash Flow'!T$3,'Wells Fargo'!$B:$B,"&gt;"&amp;'Cash Flow'!S$3)</f>
        <v>0</v>
      </c>
      <c r="U9" s="89">
        <f>SUMIFS('Wells Fargo'!$F:$F,'Wells Fargo'!$G:$G,'Cash Flow'!$A9,'Wells Fargo'!$A:$A,U$1,'Wells Fargo'!$B:$B,"&lt;="&amp;'Cash Flow'!U$3,'Wells Fargo'!$B:$B,"&gt;"&amp;'Cash Flow'!T$3)</f>
        <v>0</v>
      </c>
      <c r="V9" s="90">
        <f>SUMIFS('Wells Fargo'!$F:$F,'Wells Fargo'!$G:$G,'Cash Flow'!$A9,'Wells Fargo'!$A:$A,V$1,'Wells Fargo'!$B:$B,"&lt;="&amp;'Cash Flow'!V$3)</f>
        <v>0</v>
      </c>
      <c r="W9" s="89">
        <f>SUMIFS('Wells Fargo'!$F:$F,'Wells Fargo'!$G:$G,'Cash Flow'!$A9,'Wells Fargo'!$A:$A,W$1,'Wells Fargo'!$B:$B,"&lt;="&amp;'Cash Flow'!W$3,'Wells Fargo'!$B:$B,"&gt;"&amp;'Cash Flow'!V$3)</f>
        <v>-150</v>
      </c>
      <c r="X9" s="89">
        <f>SUMIFS('Wells Fargo'!$F:$F,'Wells Fargo'!$G:$G,'Cash Flow'!$A9,'Wells Fargo'!$A:$A,X$1,'Wells Fargo'!$B:$B,"&lt;="&amp;'Cash Flow'!X$3,'Wells Fargo'!$B:$B,"&gt;"&amp;'Cash Flow'!W$3)</f>
        <v>0</v>
      </c>
      <c r="Y9" s="89">
        <f>SUMIFS('Wells Fargo'!$F:$F,'Wells Fargo'!$G:$G,'Cash Flow'!$A9,'Wells Fargo'!$A:$A,Y$1,'Wells Fargo'!$B:$B,"&lt;="&amp;'Cash Flow'!Y$3,'Wells Fargo'!$B:$B,"&gt;"&amp;'Cash Flow'!X$3)</f>
        <v>0</v>
      </c>
      <c r="Z9" s="89">
        <f>SUMIFS('Wells Fargo'!$F:$F,'Wells Fargo'!$G:$G,'Cash Flow'!$A9,'Wells Fargo'!$A:$A,Z$1,'Wells Fargo'!$B:$B,"&lt;="&amp;'Cash Flow'!Z$3,'Wells Fargo'!$B:$B,"&gt;"&amp;'Cash Flow'!Y$3)</f>
        <v>0</v>
      </c>
      <c r="AA9" s="90">
        <f>SUMIFS('Wells Fargo'!$F:$F,'Wells Fargo'!$G:$G,'Cash Flow'!$A9,'Wells Fargo'!$A:$A,AA$1,'Wells Fargo'!$B:$B,"&lt;="&amp;'Cash Flow'!AA$3)</f>
        <v>0</v>
      </c>
      <c r="AB9" s="89">
        <f>SUMIFS('Wells Fargo'!$F:$F,'Wells Fargo'!$G:$G,'Cash Flow'!$A9,'Wells Fargo'!$A:$A,AB$1,'Wells Fargo'!$B:$B,"&lt;="&amp;'Cash Flow'!AB$3,'Wells Fargo'!$B:$B,"&gt;"&amp;'Cash Flow'!AA$3)</f>
        <v>0</v>
      </c>
      <c r="AC9" s="89">
        <f>SUMIFS('Wells Fargo'!$F:$F,'Wells Fargo'!$G:$G,'Cash Flow'!$A9,'Wells Fargo'!$A:$A,AC$1,'Wells Fargo'!$B:$B,"&lt;="&amp;'Cash Flow'!AC$3,'Wells Fargo'!$B:$B,"&gt;"&amp;'Cash Flow'!AB$3)</f>
        <v>0</v>
      </c>
      <c r="AD9" s="89">
        <f>SUMIFS('Wells Fargo'!$F:$F,'Wells Fargo'!$G:$G,'Cash Flow'!$A9,'Wells Fargo'!$A:$A,AD$1,'Wells Fargo'!$B:$B,"&lt;="&amp;'Cash Flow'!AD$3,'Wells Fargo'!$B:$B,"&gt;"&amp;'Cash Flow'!AC$3)</f>
        <v>0</v>
      </c>
      <c r="AE9" s="89">
        <f>SUMIFS('Wells Fargo'!$F:$F,'Wells Fargo'!$G:$G,'Cash Flow'!$A9,'Wells Fargo'!$A:$A,AE$1,'Wells Fargo'!$B:$B,"&lt;="&amp;'Cash Flow'!AE$3,'Wells Fargo'!$B:$B,"&gt;"&amp;'Cash Flow'!AD$3)</f>
        <v>0</v>
      </c>
      <c r="AF9" s="90">
        <f>SUMIFS('Wells Fargo'!$F:$F,'Wells Fargo'!$G:$G,'Cash Flow'!$A9,'Wells Fargo'!$A:$A,AF$1,'Wells Fargo'!$B:$B,"&lt;="&amp;'Cash Flow'!AF$3)</f>
        <v>0</v>
      </c>
      <c r="AG9" s="89">
        <f>SUMIFS('Wells Fargo'!$F:$F,'Wells Fargo'!$G:$G,'Cash Flow'!$A9,'Wells Fargo'!$A:$A,AG$1,'Wells Fargo'!$B:$B,"&lt;="&amp;'Cash Flow'!AG$3,'Wells Fargo'!$B:$B,"&gt;"&amp;'Cash Flow'!AF$3)</f>
        <v>0</v>
      </c>
      <c r="AH9" s="89">
        <f>SUMIFS('Wells Fargo'!$F:$F,'Wells Fargo'!$G:$G,'Cash Flow'!$A9,'Wells Fargo'!$A:$A,AH$1,'Wells Fargo'!$B:$B,"&lt;="&amp;'Cash Flow'!AH$3,'Wells Fargo'!$B:$B,"&gt;"&amp;'Cash Flow'!AG$3)</f>
        <v>0</v>
      </c>
      <c r="AI9" s="89">
        <f>SUMIFS('Wells Fargo'!$F:$F,'Wells Fargo'!$G:$G,'Cash Flow'!$A9,'Wells Fargo'!$A:$A,AI$1,'Wells Fargo'!$B:$B,"&lt;="&amp;'Cash Flow'!AI$3,'Wells Fargo'!$B:$B,"&gt;"&amp;'Cash Flow'!AH$3)</f>
        <v>0</v>
      </c>
      <c r="AJ9" s="89">
        <f>SUMIFS('Wells Fargo'!$F:$F,'Wells Fargo'!$G:$G,'Cash Flow'!$A9,'Wells Fargo'!$A:$A,AJ$1,'Wells Fargo'!$B:$B,"&lt;="&amp;'Cash Flow'!AJ$3,'Wells Fargo'!$B:$B,"&gt;"&amp;'Cash Flow'!AI$3)</f>
        <v>0</v>
      </c>
      <c r="AK9" s="90">
        <f>SUMIFS('Wells Fargo'!$F:$F,'Wells Fargo'!$G:$G,'Cash Flow'!$A9,'Wells Fargo'!$A:$A,AK$1,'Wells Fargo'!$B:$B,"&lt;="&amp;'Cash Flow'!AK$3)</f>
        <v>0</v>
      </c>
      <c r="AL9" s="89">
        <f>SUMIFS('Wells Fargo'!$F:$F,'Wells Fargo'!$G:$G,'Cash Flow'!$A9,'Wells Fargo'!$A:$A,AL$1,'Wells Fargo'!$B:$B,"&lt;="&amp;'Cash Flow'!AL$3,'Wells Fargo'!$B:$B,"&gt;"&amp;'Cash Flow'!AK$3)</f>
        <v>0</v>
      </c>
      <c r="AM9" s="89">
        <f>SUMIFS('Wells Fargo'!$F:$F,'Wells Fargo'!$G:$G,'Cash Flow'!$A9,'Wells Fargo'!$A:$A,AM$1,'Wells Fargo'!$B:$B,"&lt;="&amp;'Cash Flow'!AM$3,'Wells Fargo'!$B:$B,"&gt;"&amp;'Cash Flow'!AL$3)</f>
        <v>0</v>
      </c>
      <c r="AN9" s="89">
        <f>SUMIFS('Wells Fargo'!$F:$F,'Wells Fargo'!$G:$G,'Cash Flow'!$A9,'Wells Fargo'!$A:$A,AN$1,'Wells Fargo'!$B:$B,"&lt;="&amp;'Cash Flow'!AN$3,'Wells Fargo'!$B:$B,"&gt;"&amp;'Cash Flow'!AM$3)</f>
        <v>0</v>
      </c>
      <c r="AO9" s="89">
        <f>SUMIFS('Wells Fargo'!$F:$F,'Wells Fargo'!$G:$G,'Cash Flow'!$A9,'Wells Fargo'!$A:$A,AO$1,'Wells Fargo'!$B:$B,"&lt;="&amp;'Cash Flow'!AO$3,'Wells Fargo'!$B:$B,"&gt;"&amp;'Cash Flow'!AN$3)</f>
        <v>0</v>
      </c>
      <c r="AP9" s="90">
        <f>SUMIFS('Wells Fargo'!$F:$F,'Wells Fargo'!$G:$G,'Cash Flow'!$A9,'Wells Fargo'!$A:$A,AP$1,'Wells Fargo'!$B:$B,"&lt;="&amp;'Cash Flow'!AP$3)</f>
        <v>0</v>
      </c>
      <c r="AQ9" s="89">
        <f>SUMIFS('Wells Fargo'!$F:$F,'Wells Fargo'!$G:$G,'Cash Flow'!$A9,'Wells Fargo'!$A:$A,AQ$1,'Wells Fargo'!$B:$B,"&lt;="&amp;'Cash Flow'!AQ$3,'Wells Fargo'!$B:$B,"&gt;"&amp;'Cash Flow'!AP$3)</f>
        <v>0</v>
      </c>
      <c r="AR9" s="89">
        <f>SUMIFS('Wells Fargo'!$F:$F,'Wells Fargo'!$G:$G,'Cash Flow'!$A9,'Wells Fargo'!$A:$A,AR$1,'Wells Fargo'!$B:$B,"&lt;="&amp;'Cash Flow'!AR$3,'Wells Fargo'!$B:$B,"&gt;"&amp;'Cash Flow'!AQ$3)</f>
        <v>0</v>
      </c>
      <c r="AS9" s="89">
        <f>SUMIFS('Wells Fargo'!$F:$F,'Wells Fargo'!$G:$G,'Cash Flow'!$A9,'Wells Fargo'!$A:$A,AS$1,'Wells Fargo'!$B:$B,"&lt;="&amp;'Cash Flow'!AS$3,'Wells Fargo'!$B:$B,"&gt;"&amp;'Cash Flow'!AR$3)</f>
        <v>0</v>
      </c>
      <c r="AT9" s="89">
        <f>SUMIFS('Wells Fargo'!$F:$F,'Wells Fargo'!$G:$G,'Cash Flow'!$A9,'Wells Fargo'!$A:$A,AT$1,'Wells Fargo'!$B:$B,"&lt;="&amp;'Cash Flow'!AT$3,'Wells Fargo'!$B:$B,"&gt;"&amp;'Cash Flow'!AS$3)</f>
        <v>0</v>
      </c>
      <c r="AU9" s="90">
        <f>SUMIFS('Wells Fargo'!$F:$F,'Wells Fargo'!$G:$G,'Cash Flow'!$A9,'Wells Fargo'!$A:$A,AU$1,'Wells Fargo'!$B:$B,"&lt;="&amp;'Cash Flow'!AU$3)</f>
        <v>0</v>
      </c>
      <c r="AV9" s="89">
        <f>SUMIFS('Wells Fargo'!$F:$F,'Wells Fargo'!$G:$G,'Cash Flow'!$A9,'Wells Fargo'!$A:$A,AV$1,'Wells Fargo'!$B:$B,"&lt;="&amp;'Cash Flow'!AV$3,'Wells Fargo'!$B:$B,"&gt;"&amp;'Cash Flow'!AU$3)</f>
        <v>0</v>
      </c>
      <c r="AW9" s="89">
        <f>SUMIFS('Wells Fargo'!$F:$F,'Wells Fargo'!$G:$G,'Cash Flow'!$A9,'Wells Fargo'!$A:$A,AW$1,'Wells Fargo'!$B:$B,"&lt;="&amp;'Cash Flow'!AW$3,'Wells Fargo'!$B:$B,"&gt;"&amp;'Cash Flow'!AV$3)</f>
        <v>0</v>
      </c>
      <c r="AX9" s="89">
        <f>SUMIFS('Wells Fargo'!$F:$F,'Wells Fargo'!$G:$G,'Cash Flow'!$A9,'Wells Fargo'!$A:$A,AX$1,'Wells Fargo'!$B:$B,"&lt;="&amp;'Cash Flow'!AX$3,'Wells Fargo'!$B:$B,"&gt;"&amp;'Cash Flow'!AW$3)</f>
        <v>0</v>
      </c>
      <c r="AY9" s="89">
        <f>SUMIFS('Wells Fargo'!$F:$F,'Wells Fargo'!$G:$G,'Cash Flow'!$A9,'Wells Fargo'!$A:$A,AY$1,'Wells Fargo'!$B:$B,"&lt;="&amp;'Cash Flow'!AY$3,'Wells Fargo'!$B:$B,"&gt;"&amp;'Cash Flow'!AX$3)</f>
        <v>0</v>
      </c>
      <c r="AZ9" s="90">
        <f>SUMIFS('Wells Fargo'!$F:$F,'Wells Fargo'!$G:$G,'Cash Flow'!$A9,'Wells Fargo'!$A:$A,AZ$1,'Wells Fargo'!$B:$B,"&lt;="&amp;'Cash Flow'!AZ$3)</f>
        <v>0</v>
      </c>
      <c r="BA9" s="89">
        <f>SUMIFS('Wells Fargo'!$F:$F,'Wells Fargo'!$G:$G,'Cash Flow'!$A9,'Wells Fargo'!$A:$A,BA$1,'Wells Fargo'!$B:$B,"&lt;="&amp;'Cash Flow'!BA$3,'Wells Fargo'!$B:$B,"&gt;"&amp;'Cash Flow'!AZ$3)</f>
        <v>0</v>
      </c>
      <c r="BB9" s="89">
        <f>SUMIFS('Wells Fargo'!$F:$F,'Wells Fargo'!$G:$G,'Cash Flow'!$A9,'Wells Fargo'!$A:$A,BB$1,'Wells Fargo'!$B:$B,"&lt;="&amp;'Cash Flow'!BB$3,'Wells Fargo'!$B:$B,"&gt;"&amp;'Cash Flow'!BA$3)</f>
        <v>0</v>
      </c>
      <c r="BC9" s="89">
        <f>SUMIFS('Wells Fargo'!$F:$F,'Wells Fargo'!$G:$G,'Cash Flow'!$A9,'Wells Fargo'!$A:$A,BC$1,'Wells Fargo'!$B:$B,"&lt;="&amp;'Cash Flow'!BC$3,'Wells Fargo'!$B:$B,"&gt;"&amp;'Cash Flow'!BB$3)</f>
        <v>0</v>
      </c>
      <c r="BD9" s="89">
        <f>SUMIFS('Wells Fargo'!$F:$F,'Wells Fargo'!$G:$G,'Cash Flow'!$A9,'Wells Fargo'!$A:$A,BD$1,'Wells Fargo'!$B:$B,"&lt;="&amp;'Cash Flow'!BD$3,'Wells Fargo'!$B:$B,"&gt;"&amp;'Cash Flow'!BC$3)</f>
        <v>0</v>
      </c>
      <c r="BE9" s="90">
        <f>SUMIFS('Wells Fargo'!$F:$F,'Wells Fargo'!$G:$G,'Cash Flow'!$A9,'Wells Fargo'!$A:$A,BE$1,'Wells Fargo'!$B:$B,"&lt;="&amp;'Cash Flow'!BE$3)</f>
        <v>0</v>
      </c>
      <c r="BF9" s="89">
        <f>SUMIFS('Wells Fargo'!$F:$F,'Wells Fargo'!$G:$G,'Cash Flow'!$A9,'Wells Fargo'!$A:$A,BF$1,'Wells Fargo'!$B:$B,"&lt;="&amp;'Cash Flow'!BF$3,'Wells Fargo'!$B:$B,"&gt;"&amp;'Cash Flow'!BE$3)</f>
        <v>0</v>
      </c>
      <c r="BG9" s="89">
        <f>SUMIFS('Wells Fargo'!$F:$F,'Wells Fargo'!$G:$G,'Cash Flow'!$A9,'Wells Fargo'!$A:$A,BG$1,'Wells Fargo'!$B:$B,"&lt;="&amp;'Cash Flow'!BG$3,'Wells Fargo'!$B:$B,"&gt;"&amp;'Cash Flow'!BF$3)</f>
        <v>0</v>
      </c>
      <c r="BH9" s="89">
        <f>SUMIFS('Wells Fargo'!$F:$F,'Wells Fargo'!$G:$G,'Cash Flow'!$A9,'Wells Fargo'!$A:$A,BH$1,'Wells Fargo'!$B:$B,"&lt;="&amp;'Cash Flow'!BH$3,'Wells Fargo'!$B:$B,"&gt;"&amp;'Cash Flow'!BG$3)</f>
        <v>0</v>
      </c>
      <c r="BI9" s="89">
        <f>SUMIFS('Wells Fargo'!$F:$F,'Wells Fargo'!$G:$G,'Cash Flow'!$A9,'Wells Fargo'!$A:$A,BI$1,'Wells Fargo'!$B:$B,"&lt;="&amp;'Cash Flow'!BI$3,'Wells Fargo'!$B:$B,"&gt;"&amp;'Cash Flow'!BH$3)</f>
        <v>0</v>
      </c>
    </row>
    <row r="10" spans="1:61" ht="12.75" x14ac:dyDescent="0.2">
      <c r="A10" t="str">
        <v>Anush Rohani Shukla</v>
      </c>
      <c r="B10" s="15">
        <f t="shared" si="0"/>
        <v>-615</v>
      </c>
      <c r="C10" s="90">
        <f>SUMIFS('Wells Fargo'!$F:$F,'Wells Fargo'!$G:$G,'Cash Flow'!$A10,'Wells Fargo'!$A:$A,C$1,'Wells Fargo'!$B:$B,"&lt;="&amp;'Cash Flow'!C$3)</f>
        <v>0</v>
      </c>
      <c r="D10" s="89">
        <f>SUMIFS('Wells Fargo'!$F:$F,'Wells Fargo'!$G:$G,'Cash Flow'!$A10,'Wells Fargo'!$A:$A,D$1,'Wells Fargo'!$B:$B,"&lt;="&amp;'Cash Flow'!D$3,'Wells Fargo'!$B:$B,"&gt;"&amp;'Cash Flow'!C$3)</f>
        <v>0</v>
      </c>
      <c r="E10" s="89">
        <f>SUMIFS('Wells Fargo'!$F:$F,'Wells Fargo'!$G:$G,'Cash Flow'!$A10,'Wells Fargo'!$A:$A,E$1,'Wells Fargo'!$B:$B,"&lt;="&amp;'Cash Flow'!E$3,'Wells Fargo'!$B:$B,"&gt;"&amp;'Cash Flow'!D$3)</f>
        <v>0</v>
      </c>
      <c r="F10" s="89">
        <f>SUMIFS('Wells Fargo'!$F:$F,'Wells Fargo'!$G:$G,'Cash Flow'!$A10,'Wells Fargo'!$A:$A,F$1,'Wells Fargo'!$B:$B,"&lt;="&amp;'Cash Flow'!F$3,'Wells Fargo'!$B:$B,"&gt;"&amp;'Cash Flow'!E$3)</f>
        <v>0</v>
      </c>
      <c r="G10" s="89">
        <f>SUMIFS('Wells Fargo'!$F:$F,'Wells Fargo'!$G:$G,'Cash Flow'!$A10,'Wells Fargo'!$A:$A,G$1,'Wells Fargo'!$B:$B,"&lt;="&amp;'Cash Flow'!G$3,'Wells Fargo'!$B:$B,"&gt;"&amp;'Cash Flow'!F$3)</f>
        <v>0</v>
      </c>
      <c r="H10" s="90">
        <f>SUMIFS('Wells Fargo'!$F:$F,'Wells Fargo'!$G:$G,'Cash Flow'!$A10,'Wells Fargo'!$A:$A,H$1,'Wells Fargo'!$B:$B,"&lt;="&amp;'Cash Flow'!H$3)</f>
        <v>0</v>
      </c>
      <c r="I10" s="89">
        <f>SUMIFS('Wells Fargo'!$F:$F,'Wells Fargo'!$G:$G,'Cash Flow'!$A10,'Wells Fargo'!$A:$A,I$1,'Wells Fargo'!$B:$B,"&lt;="&amp;'Cash Flow'!I$3,'Wells Fargo'!$B:$B,"&gt;"&amp;'Cash Flow'!H$3)</f>
        <v>0</v>
      </c>
      <c r="J10" s="89">
        <f>SUMIFS('Wells Fargo'!$F:$F,'Wells Fargo'!$G:$G,'Cash Flow'!$A10,'Wells Fargo'!$A:$A,J$1,'Wells Fargo'!$B:$B,"&lt;="&amp;'Cash Flow'!J$3,'Wells Fargo'!$B:$B,"&gt;"&amp;'Cash Flow'!I$3)</f>
        <v>0</v>
      </c>
      <c r="K10" s="89">
        <f>SUMIFS('Wells Fargo'!$F:$F,'Wells Fargo'!$G:$G,'Cash Flow'!$A10,'Wells Fargo'!$A:$A,K$1,'Wells Fargo'!$B:$B,"&lt;="&amp;'Cash Flow'!K$3,'Wells Fargo'!$B:$B,"&gt;"&amp;'Cash Flow'!J$3)</f>
        <v>0</v>
      </c>
      <c r="L10" s="90">
        <f>SUMIFS('Wells Fargo'!$F:$F,'Wells Fargo'!$G:$G,'Cash Flow'!$A10,'Wells Fargo'!$A:$A,L$1,'Wells Fargo'!$B:$B,"&lt;="&amp;'Cash Flow'!L$3)</f>
        <v>0</v>
      </c>
      <c r="M10" s="89">
        <f>SUMIFS('Wells Fargo'!$F:$F,'Wells Fargo'!$G:$G,'Cash Flow'!$A10,'Wells Fargo'!$A:$A,M$1,'Wells Fargo'!$B:$B,"&lt;="&amp;'Cash Flow'!M$3,'Wells Fargo'!$B:$B,"&gt;"&amp;'Cash Flow'!L$3)</f>
        <v>0</v>
      </c>
      <c r="N10" s="89">
        <f>SUMIFS('Wells Fargo'!$F:$F,'Wells Fargo'!$G:$G,'Cash Flow'!$A10,'Wells Fargo'!$A:$A,N$1,'Wells Fargo'!$B:$B,"&lt;="&amp;'Cash Flow'!N$3,'Wells Fargo'!$B:$B,"&gt;"&amp;'Cash Flow'!M$3)</f>
        <v>0</v>
      </c>
      <c r="O10" s="89">
        <f>SUMIFS('Wells Fargo'!$F:$F,'Wells Fargo'!$G:$G,'Cash Flow'!$A10,'Wells Fargo'!$A:$A,O$1,'Wells Fargo'!$B:$B,"&lt;="&amp;'Cash Flow'!O$3,'Wells Fargo'!$B:$B,"&gt;"&amp;'Cash Flow'!N$3)</f>
        <v>0</v>
      </c>
      <c r="P10" s="89">
        <f>SUMIFS('Wells Fargo'!$F:$F,'Wells Fargo'!$G:$G,'Cash Flow'!$A10,'Wells Fargo'!$A:$A,P$1,'Wells Fargo'!$B:$B,"&lt;="&amp;'Cash Flow'!P$3,'Wells Fargo'!$B:$B,"&gt;"&amp;'Cash Flow'!O$3)</f>
        <v>0</v>
      </c>
      <c r="Q10" s="90">
        <f>SUMIFS('Wells Fargo'!$F:$F,'Wells Fargo'!$G:$G,'Cash Flow'!$A10,'Wells Fargo'!$A:$A,Q$1,'Wells Fargo'!$B:$B,"&lt;="&amp;'Cash Flow'!Q$3)</f>
        <v>0</v>
      </c>
      <c r="R10" s="89">
        <f>SUMIFS('Wells Fargo'!$F:$F,'Wells Fargo'!$G:$G,'Cash Flow'!$A10,'Wells Fargo'!$A:$A,R$1,'Wells Fargo'!$B:$B,"&lt;="&amp;'Cash Flow'!R$3,'Wells Fargo'!$B:$B,"&gt;"&amp;'Cash Flow'!Q$3)</f>
        <v>0</v>
      </c>
      <c r="S10" s="89">
        <f>SUMIFS('Wells Fargo'!$F:$F,'Wells Fargo'!$G:$G,'Cash Flow'!$A10,'Wells Fargo'!$A:$A,S$1,'Wells Fargo'!$B:$B,"&lt;="&amp;'Cash Flow'!S$3,'Wells Fargo'!$B:$B,"&gt;"&amp;'Cash Flow'!R$3)</f>
        <v>0</v>
      </c>
      <c r="T10" s="89">
        <f>SUMIFS('Wells Fargo'!$F:$F,'Wells Fargo'!$G:$G,'Cash Flow'!$A10,'Wells Fargo'!$A:$A,T$1,'Wells Fargo'!$B:$B,"&lt;="&amp;'Cash Flow'!T$3,'Wells Fargo'!$B:$B,"&gt;"&amp;'Cash Flow'!S$3)</f>
        <v>0</v>
      </c>
      <c r="U10" s="89">
        <f>SUMIFS('Wells Fargo'!$F:$F,'Wells Fargo'!$G:$G,'Cash Flow'!$A10,'Wells Fargo'!$A:$A,U$1,'Wells Fargo'!$B:$B,"&lt;="&amp;'Cash Flow'!U$3,'Wells Fargo'!$B:$B,"&gt;"&amp;'Cash Flow'!T$3)</f>
        <v>0</v>
      </c>
      <c r="V10" s="90">
        <f>SUMIFS('Wells Fargo'!$F:$F,'Wells Fargo'!$G:$G,'Cash Flow'!$A10,'Wells Fargo'!$A:$A,V$1,'Wells Fargo'!$B:$B,"&lt;="&amp;'Cash Flow'!V$3)</f>
        <v>0</v>
      </c>
      <c r="W10" s="89">
        <f>SUMIFS('Wells Fargo'!$F:$F,'Wells Fargo'!$G:$G,'Cash Flow'!$A10,'Wells Fargo'!$A:$A,W$1,'Wells Fargo'!$B:$B,"&lt;="&amp;'Cash Flow'!W$3,'Wells Fargo'!$B:$B,"&gt;"&amp;'Cash Flow'!V$3)</f>
        <v>0</v>
      </c>
      <c r="X10" s="89">
        <f>SUMIFS('Wells Fargo'!$F:$F,'Wells Fargo'!$G:$G,'Cash Flow'!$A10,'Wells Fargo'!$A:$A,X$1,'Wells Fargo'!$B:$B,"&lt;="&amp;'Cash Flow'!X$3,'Wells Fargo'!$B:$B,"&gt;"&amp;'Cash Flow'!W$3)</f>
        <v>0</v>
      </c>
      <c r="Y10" s="89">
        <f>SUMIFS('Wells Fargo'!$F:$F,'Wells Fargo'!$G:$G,'Cash Flow'!$A10,'Wells Fargo'!$A:$A,Y$1,'Wells Fargo'!$B:$B,"&lt;="&amp;'Cash Flow'!Y$3,'Wells Fargo'!$B:$B,"&gt;"&amp;'Cash Flow'!X$3)</f>
        <v>0</v>
      </c>
      <c r="Z10" s="89">
        <f>SUMIFS('Wells Fargo'!$F:$F,'Wells Fargo'!$G:$G,'Cash Flow'!$A10,'Wells Fargo'!$A:$A,Z$1,'Wells Fargo'!$B:$B,"&lt;="&amp;'Cash Flow'!Z$3,'Wells Fargo'!$B:$B,"&gt;"&amp;'Cash Flow'!Y$3)</f>
        <v>0</v>
      </c>
      <c r="AA10" s="90">
        <f>SUMIFS('Wells Fargo'!$F:$F,'Wells Fargo'!$G:$G,'Cash Flow'!$A10,'Wells Fargo'!$A:$A,AA$1,'Wells Fargo'!$B:$B,"&lt;="&amp;'Cash Flow'!AA$3)</f>
        <v>0</v>
      </c>
      <c r="AB10" s="89">
        <f>SUMIFS('Wells Fargo'!$F:$F,'Wells Fargo'!$G:$G,'Cash Flow'!$A10,'Wells Fargo'!$A:$A,AB$1,'Wells Fargo'!$B:$B,"&lt;="&amp;'Cash Flow'!AB$3,'Wells Fargo'!$B:$B,"&gt;"&amp;'Cash Flow'!AA$3)</f>
        <v>0</v>
      </c>
      <c r="AC10" s="89">
        <f>SUMIFS('Wells Fargo'!$F:$F,'Wells Fargo'!$G:$G,'Cash Flow'!$A10,'Wells Fargo'!$A:$A,AC$1,'Wells Fargo'!$B:$B,"&lt;="&amp;'Cash Flow'!AC$3,'Wells Fargo'!$B:$B,"&gt;"&amp;'Cash Flow'!AB$3)</f>
        <v>0</v>
      </c>
      <c r="AD10" s="89">
        <f>SUMIFS('Wells Fargo'!$F:$F,'Wells Fargo'!$G:$G,'Cash Flow'!$A10,'Wells Fargo'!$A:$A,AD$1,'Wells Fargo'!$B:$B,"&lt;="&amp;'Cash Flow'!AD$3,'Wells Fargo'!$B:$B,"&gt;"&amp;'Cash Flow'!AC$3)</f>
        <v>-615</v>
      </c>
      <c r="AE10" s="89">
        <f>SUMIFS('Wells Fargo'!$F:$F,'Wells Fargo'!$G:$G,'Cash Flow'!$A10,'Wells Fargo'!$A:$A,AE$1,'Wells Fargo'!$B:$B,"&lt;="&amp;'Cash Flow'!AE$3,'Wells Fargo'!$B:$B,"&gt;"&amp;'Cash Flow'!AD$3)</f>
        <v>0</v>
      </c>
      <c r="AF10" s="90">
        <f>SUMIFS('Wells Fargo'!$F:$F,'Wells Fargo'!$G:$G,'Cash Flow'!$A10,'Wells Fargo'!$A:$A,AF$1,'Wells Fargo'!$B:$B,"&lt;="&amp;'Cash Flow'!AF$3)</f>
        <v>0</v>
      </c>
      <c r="AG10" s="89">
        <f>SUMIFS('Wells Fargo'!$F:$F,'Wells Fargo'!$G:$G,'Cash Flow'!$A10,'Wells Fargo'!$A:$A,AG$1,'Wells Fargo'!$B:$B,"&lt;="&amp;'Cash Flow'!AG$3,'Wells Fargo'!$B:$B,"&gt;"&amp;'Cash Flow'!AF$3)</f>
        <v>0</v>
      </c>
      <c r="AH10" s="89">
        <f>SUMIFS('Wells Fargo'!$F:$F,'Wells Fargo'!$G:$G,'Cash Flow'!$A10,'Wells Fargo'!$A:$A,AH$1,'Wells Fargo'!$B:$B,"&lt;="&amp;'Cash Flow'!AH$3,'Wells Fargo'!$B:$B,"&gt;"&amp;'Cash Flow'!AG$3)</f>
        <v>0</v>
      </c>
      <c r="AI10" s="89">
        <f>SUMIFS('Wells Fargo'!$F:$F,'Wells Fargo'!$G:$G,'Cash Flow'!$A10,'Wells Fargo'!$A:$A,AI$1,'Wells Fargo'!$B:$B,"&lt;="&amp;'Cash Flow'!AI$3,'Wells Fargo'!$B:$B,"&gt;"&amp;'Cash Flow'!AH$3)</f>
        <v>0</v>
      </c>
      <c r="AJ10" s="89">
        <f>SUMIFS('Wells Fargo'!$F:$F,'Wells Fargo'!$G:$G,'Cash Flow'!$A10,'Wells Fargo'!$A:$A,AJ$1,'Wells Fargo'!$B:$B,"&lt;="&amp;'Cash Flow'!AJ$3,'Wells Fargo'!$B:$B,"&gt;"&amp;'Cash Flow'!AI$3)</f>
        <v>0</v>
      </c>
      <c r="AK10" s="90">
        <f>SUMIFS('Wells Fargo'!$F:$F,'Wells Fargo'!$G:$G,'Cash Flow'!$A10,'Wells Fargo'!$A:$A,AK$1,'Wells Fargo'!$B:$B,"&lt;="&amp;'Cash Flow'!AK$3)</f>
        <v>0</v>
      </c>
      <c r="AL10" s="89">
        <f>SUMIFS('Wells Fargo'!$F:$F,'Wells Fargo'!$G:$G,'Cash Flow'!$A10,'Wells Fargo'!$A:$A,AL$1,'Wells Fargo'!$B:$B,"&lt;="&amp;'Cash Flow'!AL$3,'Wells Fargo'!$B:$B,"&gt;"&amp;'Cash Flow'!AK$3)</f>
        <v>0</v>
      </c>
      <c r="AM10" s="89">
        <f>SUMIFS('Wells Fargo'!$F:$F,'Wells Fargo'!$G:$G,'Cash Flow'!$A10,'Wells Fargo'!$A:$A,AM$1,'Wells Fargo'!$B:$B,"&lt;="&amp;'Cash Flow'!AM$3,'Wells Fargo'!$B:$B,"&gt;"&amp;'Cash Flow'!AL$3)</f>
        <v>0</v>
      </c>
      <c r="AN10" s="89">
        <f>SUMIFS('Wells Fargo'!$F:$F,'Wells Fargo'!$G:$G,'Cash Flow'!$A10,'Wells Fargo'!$A:$A,AN$1,'Wells Fargo'!$B:$B,"&lt;="&amp;'Cash Flow'!AN$3,'Wells Fargo'!$B:$B,"&gt;"&amp;'Cash Flow'!AM$3)</f>
        <v>0</v>
      </c>
      <c r="AO10" s="89">
        <f>SUMIFS('Wells Fargo'!$F:$F,'Wells Fargo'!$G:$G,'Cash Flow'!$A10,'Wells Fargo'!$A:$A,AO$1,'Wells Fargo'!$B:$B,"&lt;="&amp;'Cash Flow'!AO$3,'Wells Fargo'!$B:$B,"&gt;"&amp;'Cash Flow'!AN$3)</f>
        <v>0</v>
      </c>
      <c r="AP10" s="90">
        <f>SUMIFS('Wells Fargo'!$F:$F,'Wells Fargo'!$G:$G,'Cash Flow'!$A10,'Wells Fargo'!$A:$A,AP$1,'Wells Fargo'!$B:$B,"&lt;="&amp;'Cash Flow'!AP$3)</f>
        <v>0</v>
      </c>
      <c r="AQ10" s="89">
        <f>SUMIFS('Wells Fargo'!$F:$F,'Wells Fargo'!$G:$G,'Cash Flow'!$A10,'Wells Fargo'!$A:$A,AQ$1,'Wells Fargo'!$B:$B,"&lt;="&amp;'Cash Flow'!AQ$3,'Wells Fargo'!$B:$B,"&gt;"&amp;'Cash Flow'!AP$3)</f>
        <v>0</v>
      </c>
      <c r="AR10" s="89">
        <f>SUMIFS('Wells Fargo'!$F:$F,'Wells Fargo'!$G:$G,'Cash Flow'!$A10,'Wells Fargo'!$A:$A,AR$1,'Wells Fargo'!$B:$B,"&lt;="&amp;'Cash Flow'!AR$3,'Wells Fargo'!$B:$B,"&gt;"&amp;'Cash Flow'!AQ$3)</f>
        <v>0</v>
      </c>
      <c r="AS10" s="89">
        <f>SUMIFS('Wells Fargo'!$F:$F,'Wells Fargo'!$G:$G,'Cash Flow'!$A10,'Wells Fargo'!$A:$A,AS$1,'Wells Fargo'!$B:$B,"&lt;="&amp;'Cash Flow'!AS$3,'Wells Fargo'!$B:$B,"&gt;"&amp;'Cash Flow'!AR$3)</f>
        <v>0</v>
      </c>
      <c r="AT10" s="89">
        <f>SUMIFS('Wells Fargo'!$F:$F,'Wells Fargo'!$G:$G,'Cash Flow'!$A10,'Wells Fargo'!$A:$A,AT$1,'Wells Fargo'!$B:$B,"&lt;="&amp;'Cash Flow'!AT$3,'Wells Fargo'!$B:$B,"&gt;"&amp;'Cash Flow'!AS$3)</f>
        <v>0</v>
      </c>
      <c r="AU10" s="90">
        <f>SUMIFS('Wells Fargo'!$F:$F,'Wells Fargo'!$G:$G,'Cash Flow'!$A10,'Wells Fargo'!$A:$A,AU$1,'Wells Fargo'!$B:$B,"&lt;="&amp;'Cash Flow'!AU$3)</f>
        <v>0</v>
      </c>
      <c r="AV10" s="89">
        <f>SUMIFS('Wells Fargo'!$F:$F,'Wells Fargo'!$G:$G,'Cash Flow'!$A10,'Wells Fargo'!$A:$A,AV$1,'Wells Fargo'!$B:$B,"&lt;="&amp;'Cash Flow'!AV$3,'Wells Fargo'!$B:$B,"&gt;"&amp;'Cash Flow'!AU$3)</f>
        <v>0</v>
      </c>
      <c r="AW10" s="89">
        <f>SUMIFS('Wells Fargo'!$F:$F,'Wells Fargo'!$G:$G,'Cash Flow'!$A10,'Wells Fargo'!$A:$A,AW$1,'Wells Fargo'!$B:$B,"&lt;="&amp;'Cash Flow'!AW$3,'Wells Fargo'!$B:$B,"&gt;"&amp;'Cash Flow'!AV$3)</f>
        <v>0</v>
      </c>
      <c r="AX10" s="89">
        <f>SUMIFS('Wells Fargo'!$F:$F,'Wells Fargo'!$G:$G,'Cash Flow'!$A10,'Wells Fargo'!$A:$A,AX$1,'Wells Fargo'!$B:$B,"&lt;="&amp;'Cash Flow'!AX$3,'Wells Fargo'!$B:$B,"&gt;"&amp;'Cash Flow'!AW$3)</f>
        <v>0</v>
      </c>
      <c r="AY10" s="89">
        <f>SUMIFS('Wells Fargo'!$F:$F,'Wells Fargo'!$G:$G,'Cash Flow'!$A10,'Wells Fargo'!$A:$A,AY$1,'Wells Fargo'!$B:$B,"&lt;="&amp;'Cash Flow'!AY$3,'Wells Fargo'!$B:$B,"&gt;"&amp;'Cash Flow'!AX$3)</f>
        <v>0</v>
      </c>
      <c r="AZ10" s="90">
        <f>SUMIFS('Wells Fargo'!$F:$F,'Wells Fargo'!$G:$G,'Cash Flow'!$A10,'Wells Fargo'!$A:$A,AZ$1,'Wells Fargo'!$B:$B,"&lt;="&amp;'Cash Flow'!AZ$3)</f>
        <v>0</v>
      </c>
      <c r="BA10" s="89">
        <f>SUMIFS('Wells Fargo'!$F:$F,'Wells Fargo'!$G:$G,'Cash Flow'!$A10,'Wells Fargo'!$A:$A,BA$1,'Wells Fargo'!$B:$B,"&lt;="&amp;'Cash Flow'!BA$3,'Wells Fargo'!$B:$B,"&gt;"&amp;'Cash Flow'!AZ$3)</f>
        <v>0</v>
      </c>
      <c r="BB10" s="89">
        <f>SUMIFS('Wells Fargo'!$F:$F,'Wells Fargo'!$G:$G,'Cash Flow'!$A10,'Wells Fargo'!$A:$A,BB$1,'Wells Fargo'!$B:$B,"&lt;="&amp;'Cash Flow'!BB$3,'Wells Fargo'!$B:$B,"&gt;"&amp;'Cash Flow'!BA$3)</f>
        <v>0</v>
      </c>
      <c r="BC10" s="89">
        <f>SUMIFS('Wells Fargo'!$F:$F,'Wells Fargo'!$G:$G,'Cash Flow'!$A10,'Wells Fargo'!$A:$A,BC$1,'Wells Fargo'!$B:$B,"&lt;="&amp;'Cash Flow'!BC$3,'Wells Fargo'!$B:$B,"&gt;"&amp;'Cash Flow'!BB$3)</f>
        <v>0</v>
      </c>
      <c r="BD10" s="89">
        <f>SUMIFS('Wells Fargo'!$F:$F,'Wells Fargo'!$G:$G,'Cash Flow'!$A10,'Wells Fargo'!$A:$A,BD$1,'Wells Fargo'!$B:$B,"&lt;="&amp;'Cash Flow'!BD$3,'Wells Fargo'!$B:$B,"&gt;"&amp;'Cash Flow'!BC$3)</f>
        <v>0</v>
      </c>
      <c r="BE10" s="90">
        <f>SUMIFS('Wells Fargo'!$F:$F,'Wells Fargo'!$G:$G,'Cash Flow'!$A10,'Wells Fargo'!$A:$A,BE$1,'Wells Fargo'!$B:$B,"&lt;="&amp;'Cash Flow'!BE$3)</f>
        <v>0</v>
      </c>
      <c r="BF10" s="89">
        <f>SUMIFS('Wells Fargo'!$F:$F,'Wells Fargo'!$G:$G,'Cash Flow'!$A10,'Wells Fargo'!$A:$A,BF$1,'Wells Fargo'!$B:$B,"&lt;="&amp;'Cash Flow'!BF$3,'Wells Fargo'!$B:$B,"&gt;"&amp;'Cash Flow'!BE$3)</f>
        <v>0</v>
      </c>
      <c r="BG10" s="89">
        <f>SUMIFS('Wells Fargo'!$F:$F,'Wells Fargo'!$G:$G,'Cash Flow'!$A10,'Wells Fargo'!$A:$A,BG$1,'Wells Fargo'!$B:$B,"&lt;="&amp;'Cash Flow'!BG$3,'Wells Fargo'!$B:$B,"&gt;"&amp;'Cash Flow'!BF$3)</f>
        <v>0</v>
      </c>
      <c r="BH10" s="89">
        <f>SUMIFS('Wells Fargo'!$F:$F,'Wells Fargo'!$G:$G,'Cash Flow'!$A10,'Wells Fargo'!$A:$A,BH$1,'Wells Fargo'!$B:$B,"&lt;="&amp;'Cash Flow'!BH$3,'Wells Fargo'!$B:$B,"&gt;"&amp;'Cash Flow'!BG$3)</f>
        <v>0</v>
      </c>
      <c r="BI10" s="89">
        <f>SUMIFS('Wells Fargo'!$F:$F,'Wells Fargo'!$G:$G,'Cash Flow'!$A10,'Wells Fargo'!$A:$A,BI$1,'Wells Fargo'!$B:$B,"&lt;="&amp;'Cash Flow'!BI$3,'Wells Fargo'!$B:$B,"&gt;"&amp;'Cash Flow'!BH$3)</f>
        <v>0</v>
      </c>
    </row>
    <row r="11" spans="1:61" ht="12.75" x14ac:dyDescent="0.2">
      <c r="A11" t="str">
        <v>Best Buy - Credit</v>
      </c>
      <c r="B11" s="15">
        <f t="shared" si="0"/>
        <v>-798.92</v>
      </c>
      <c r="C11" s="90">
        <f>SUMIFS('Wells Fargo'!$F:$F,'Wells Fargo'!$G:$G,'Cash Flow'!$A11,'Wells Fargo'!$A:$A,C$1,'Wells Fargo'!$B:$B,"&lt;="&amp;'Cash Flow'!C$3)</f>
        <v>0</v>
      </c>
      <c r="D11" s="89">
        <f>SUMIFS('Wells Fargo'!$F:$F,'Wells Fargo'!$G:$G,'Cash Flow'!$A11,'Wells Fargo'!$A:$A,D$1,'Wells Fargo'!$B:$B,"&lt;="&amp;'Cash Flow'!D$3,'Wells Fargo'!$B:$B,"&gt;"&amp;'Cash Flow'!C$3)</f>
        <v>0</v>
      </c>
      <c r="E11" s="89">
        <f>SUMIFS('Wells Fargo'!$F:$F,'Wells Fargo'!$G:$G,'Cash Flow'!$A11,'Wells Fargo'!$A:$A,E$1,'Wells Fargo'!$B:$B,"&lt;="&amp;'Cash Flow'!E$3,'Wells Fargo'!$B:$B,"&gt;"&amp;'Cash Flow'!D$3)</f>
        <v>0</v>
      </c>
      <c r="F11" s="89">
        <f>SUMIFS('Wells Fargo'!$F:$F,'Wells Fargo'!$G:$G,'Cash Flow'!$A11,'Wells Fargo'!$A:$A,F$1,'Wells Fargo'!$B:$B,"&lt;="&amp;'Cash Flow'!F$3,'Wells Fargo'!$B:$B,"&gt;"&amp;'Cash Flow'!E$3)</f>
        <v>0</v>
      </c>
      <c r="G11" s="89">
        <f>SUMIFS('Wells Fargo'!$F:$F,'Wells Fargo'!$G:$G,'Cash Flow'!$A11,'Wells Fargo'!$A:$A,G$1,'Wells Fargo'!$B:$B,"&lt;="&amp;'Cash Flow'!G$3,'Wells Fargo'!$B:$B,"&gt;"&amp;'Cash Flow'!F$3)</f>
        <v>0</v>
      </c>
      <c r="H11" s="90">
        <f>SUMIFS('Wells Fargo'!$F:$F,'Wells Fargo'!$G:$G,'Cash Flow'!$A11,'Wells Fargo'!$A:$A,H$1,'Wells Fargo'!$B:$B,"&lt;="&amp;'Cash Flow'!H$3)</f>
        <v>0</v>
      </c>
      <c r="I11" s="89">
        <f>SUMIFS('Wells Fargo'!$F:$F,'Wells Fargo'!$G:$G,'Cash Flow'!$A11,'Wells Fargo'!$A:$A,I$1,'Wells Fargo'!$B:$B,"&lt;="&amp;'Cash Flow'!I$3,'Wells Fargo'!$B:$B,"&gt;"&amp;'Cash Flow'!H$3)</f>
        <v>0</v>
      </c>
      <c r="J11" s="89">
        <f>SUMIFS('Wells Fargo'!$F:$F,'Wells Fargo'!$G:$G,'Cash Flow'!$A11,'Wells Fargo'!$A:$A,J$1,'Wells Fargo'!$B:$B,"&lt;="&amp;'Cash Flow'!J$3,'Wells Fargo'!$B:$B,"&gt;"&amp;'Cash Flow'!I$3)</f>
        <v>0</v>
      </c>
      <c r="K11" s="89">
        <f>SUMIFS('Wells Fargo'!$F:$F,'Wells Fargo'!$G:$G,'Cash Flow'!$A11,'Wells Fargo'!$A:$A,K$1,'Wells Fargo'!$B:$B,"&lt;="&amp;'Cash Flow'!K$3,'Wells Fargo'!$B:$B,"&gt;"&amp;'Cash Flow'!J$3)</f>
        <v>0</v>
      </c>
      <c r="L11" s="90">
        <f>SUMIFS('Wells Fargo'!$F:$F,'Wells Fargo'!$G:$G,'Cash Flow'!$A11,'Wells Fargo'!$A:$A,L$1,'Wells Fargo'!$B:$B,"&lt;="&amp;'Cash Flow'!L$3)</f>
        <v>0</v>
      </c>
      <c r="M11" s="89">
        <f>SUMIFS('Wells Fargo'!$F:$F,'Wells Fargo'!$G:$G,'Cash Flow'!$A11,'Wells Fargo'!$A:$A,M$1,'Wells Fargo'!$B:$B,"&lt;="&amp;'Cash Flow'!M$3,'Wells Fargo'!$B:$B,"&gt;"&amp;'Cash Flow'!L$3)</f>
        <v>0</v>
      </c>
      <c r="N11" s="89">
        <f>SUMIFS('Wells Fargo'!$F:$F,'Wells Fargo'!$G:$G,'Cash Flow'!$A11,'Wells Fargo'!$A:$A,N$1,'Wells Fargo'!$B:$B,"&lt;="&amp;'Cash Flow'!N$3,'Wells Fargo'!$B:$B,"&gt;"&amp;'Cash Flow'!M$3)</f>
        <v>0</v>
      </c>
      <c r="O11" s="89">
        <f>SUMIFS('Wells Fargo'!$F:$F,'Wells Fargo'!$G:$G,'Cash Flow'!$A11,'Wells Fargo'!$A:$A,O$1,'Wells Fargo'!$B:$B,"&lt;="&amp;'Cash Flow'!O$3,'Wells Fargo'!$B:$B,"&gt;"&amp;'Cash Flow'!N$3)</f>
        <v>0</v>
      </c>
      <c r="P11" s="89">
        <f>SUMIFS('Wells Fargo'!$F:$F,'Wells Fargo'!$G:$G,'Cash Flow'!$A11,'Wells Fargo'!$A:$A,P$1,'Wells Fargo'!$B:$B,"&lt;="&amp;'Cash Flow'!P$3,'Wells Fargo'!$B:$B,"&gt;"&amp;'Cash Flow'!O$3)</f>
        <v>0</v>
      </c>
      <c r="Q11" s="90">
        <f>SUMIFS('Wells Fargo'!$F:$F,'Wells Fargo'!$G:$G,'Cash Flow'!$A11,'Wells Fargo'!$A:$A,Q$1,'Wells Fargo'!$B:$B,"&lt;="&amp;'Cash Flow'!Q$3)</f>
        <v>0</v>
      </c>
      <c r="R11" s="89">
        <f>SUMIFS('Wells Fargo'!$F:$F,'Wells Fargo'!$G:$G,'Cash Flow'!$A11,'Wells Fargo'!$A:$A,R$1,'Wells Fargo'!$B:$B,"&lt;="&amp;'Cash Flow'!R$3,'Wells Fargo'!$B:$B,"&gt;"&amp;'Cash Flow'!Q$3)</f>
        <v>0</v>
      </c>
      <c r="S11" s="89">
        <f>SUMIFS('Wells Fargo'!$F:$F,'Wells Fargo'!$G:$G,'Cash Flow'!$A11,'Wells Fargo'!$A:$A,S$1,'Wells Fargo'!$B:$B,"&lt;="&amp;'Cash Flow'!S$3,'Wells Fargo'!$B:$B,"&gt;"&amp;'Cash Flow'!R$3)</f>
        <v>0</v>
      </c>
      <c r="T11" s="89">
        <f>SUMIFS('Wells Fargo'!$F:$F,'Wells Fargo'!$G:$G,'Cash Flow'!$A11,'Wells Fargo'!$A:$A,T$1,'Wells Fargo'!$B:$B,"&lt;="&amp;'Cash Flow'!T$3,'Wells Fargo'!$B:$B,"&gt;"&amp;'Cash Flow'!S$3)</f>
        <v>0</v>
      </c>
      <c r="U11" s="89">
        <f>SUMIFS('Wells Fargo'!$F:$F,'Wells Fargo'!$G:$G,'Cash Flow'!$A11,'Wells Fargo'!$A:$A,U$1,'Wells Fargo'!$B:$B,"&lt;="&amp;'Cash Flow'!U$3,'Wells Fargo'!$B:$B,"&gt;"&amp;'Cash Flow'!T$3)</f>
        <v>0</v>
      </c>
      <c r="V11" s="90">
        <f>SUMIFS('Wells Fargo'!$F:$F,'Wells Fargo'!$G:$G,'Cash Flow'!$A11,'Wells Fargo'!$A:$A,V$1,'Wells Fargo'!$B:$B,"&lt;="&amp;'Cash Flow'!V$3)</f>
        <v>0</v>
      </c>
      <c r="W11" s="89">
        <f>SUMIFS('Wells Fargo'!$F:$F,'Wells Fargo'!$G:$G,'Cash Flow'!$A11,'Wells Fargo'!$A:$A,W$1,'Wells Fargo'!$B:$B,"&lt;="&amp;'Cash Flow'!W$3,'Wells Fargo'!$B:$B,"&gt;"&amp;'Cash Flow'!V$3)</f>
        <v>0</v>
      </c>
      <c r="X11" s="89">
        <f>SUMIFS('Wells Fargo'!$F:$F,'Wells Fargo'!$G:$G,'Cash Flow'!$A11,'Wells Fargo'!$A:$A,X$1,'Wells Fargo'!$B:$B,"&lt;="&amp;'Cash Flow'!X$3,'Wells Fargo'!$B:$B,"&gt;"&amp;'Cash Flow'!W$3)</f>
        <v>0</v>
      </c>
      <c r="Y11" s="89">
        <f>SUMIFS('Wells Fargo'!$F:$F,'Wells Fargo'!$G:$G,'Cash Flow'!$A11,'Wells Fargo'!$A:$A,Y$1,'Wells Fargo'!$B:$B,"&lt;="&amp;'Cash Flow'!Y$3,'Wells Fargo'!$B:$B,"&gt;"&amp;'Cash Flow'!X$3)</f>
        <v>0</v>
      </c>
      <c r="Z11" s="89">
        <f>SUMIFS('Wells Fargo'!$F:$F,'Wells Fargo'!$G:$G,'Cash Flow'!$A11,'Wells Fargo'!$A:$A,Z$1,'Wells Fargo'!$B:$B,"&lt;="&amp;'Cash Flow'!Z$3,'Wells Fargo'!$B:$B,"&gt;"&amp;'Cash Flow'!Y$3)</f>
        <v>0</v>
      </c>
      <c r="AA11" s="90">
        <f>SUMIFS('Wells Fargo'!$F:$F,'Wells Fargo'!$G:$G,'Cash Flow'!$A11,'Wells Fargo'!$A:$A,AA$1,'Wells Fargo'!$B:$B,"&lt;="&amp;'Cash Flow'!AA$3)</f>
        <v>0</v>
      </c>
      <c r="AB11" s="89">
        <f>SUMIFS('Wells Fargo'!$F:$F,'Wells Fargo'!$G:$G,'Cash Flow'!$A11,'Wells Fargo'!$A:$A,AB$1,'Wells Fargo'!$B:$B,"&lt;="&amp;'Cash Flow'!AB$3,'Wells Fargo'!$B:$B,"&gt;"&amp;'Cash Flow'!AA$3)</f>
        <v>0</v>
      </c>
      <c r="AC11" s="89">
        <f>SUMIFS('Wells Fargo'!$F:$F,'Wells Fargo'!$G:$G,'Cash Flow'!$A11,'Wells Fargo'!$A:$A,AC$1,'Wells Fargo'!$B:$B,"&lt;="&amp;'Cash Flow'!AC$3,'Wells Fargo'!$B:$B,"&gt;"&amp;'Cash Flow'!AB$3)</f>
        <v>0</v>
      </c>
      <c r="AD11" s="89">
        <f>SUMIFS('Wells Fargo'!$F:$F,'Wells Fargo'!$G:$G,'Cash Flow'!$A11,'Wells Fargo'!$A:$A,AD$1,'Wells Fargo'!$B:$B,"&lt;="&amp;'Cash Flow'!AD$3,'Wells Fargo'!$B:$B,"&gt;"&amp;'Cash Flow'!AC$3)</f>
        <v>0</v>
      </c>
      <c r="AE11" s="89">
        <f>SUMIFS('Wells Fargo'!$F:$F,'Wells Fargo'!$G:$G,'Cash Flow'!$A11,'Wells Fargo'!$A:$A,AE$1,'Wells Fargo'!$B:$B,"&lt;="&amp;'Cash Flow'!AE$3,'Wells Fargo'!$B:$B,"&gt;"&amp;'Cash Flow'!AD$3)</f>
        <v>0</v>
      </c>
      <c r="AF11" s="90">
        <f>SUMIFS('Wells Fargo'!$F:$F,'Wells Fargo'!$G:$G,'Cash Flow'!$A11,'Wells Fargo'!$A:$A,AF$1,'Wells Fargo'!$B:$B,"&lt;="&amp;'Cash Flow'!AF$3)</f>
        <v>0</v>
      </c>
      <c r="AG11" s="89">
        <f>SUMIFS('Wells Fargo'!$F:$F,'Wells Fargo'!$G:$G,'Cash Flow'!$A11,'Wells Fargo'!$A:$A,AG$1,'Wells Fargo'!$B:$B,"&lt;="&amp;'Cash Flow'!AG$3,'Wells Fargo'!$B:$B,"&gt;"&amp;'Cash Flow'!AF$3)</f>
        <v>0</v>
      </c>
      <c r="AH11" s="89">
        <f>SUMIFS('Wells Fargo'!$F:$F,'Wells Fargo'!$G:$G,'Cash Flow'!$A11,'Wells Fargo'!$A:$A,AH$1,'Wells Fargo'!$B:$B,"&lt;="&amp;'Cash Flow'!AH$3,'Wells Fargo'!$B:$B,"&gt;"&amp;'Cash Flow'!AG$3)</f>
        <v>0</v>
      </c>
      <c r="AI11" s="89">
        <f>SUMIFS('Wells Fargo'!$F:$F,'Wells Fargo'!$G:$G,'Cash Flow'!$A11,'Wells Fargo'!$A:$A,AI$1,'Wells Fargo'!$B:$B,"&lt;="&amp;'Cash Flow'!AI$3,'Wells Fargo'!$B:$B,"&gt;"&amp;'Cash Flow'!AH$3)</f>
        <v>0</v>
      </c>
      <c r="AJ11" s="89">
        <f>SUMIFS('Wells Fargo'!$F:$F,'Wells Fargo'!$G:$G,'Cash Flow'!$A11,'Wells Fargo'!$A:$A,AJ$1,'Wells Fargo'!$B:$B,"&lt;="&amp;'Cash Flow'!AJ$3,'Wells Fargo'!$B:$B,"&gt;"&amp;'Cash Flow'!AI$3)</f>
        <v>0</v>
      </c>
      <c r="AK11" s="90">
        <f>SUMIFS('Wells Fargo'!$F:$F,'Wells Fargo'!$G:$G,'Cash Flow'!$A11,'Wells Fargo'!$A:$A,AK$1,'Wells Fargo'!$B:$B,"&lt;="&amp;'Cash Flow'!AK$3)</f>
        <v>0</v>
      </c>
      <c r="AL11" s="89">
        <f>SUMIFS('Wells Fargo'!$F:$F,'Wells Fargo'!$G:$G,'Cash Flow'!$A11,'Wells Fargo'!$A:$A,AL$1,'Wells Fargo'!$B:$B,"&lt;="&amp;'Cash Flow'!AL$3,'Wells Fargo'!$B:$B,"&gt;"&amp;'Cash Flow'!AK$3)</f>
        <v>0</v>
      </c>
      <c r="AM11" s="89">
        <f>SUMIFS('Wells Fargo'!$F:$F,'Wells Fargo'!$G:$G,'Cash Flow'!$A11,'Wells Fargo'!$A:$A,AM$1,'Wells Fargo'!$B:$B,"&lt;="&amp;'Cash Flow'!AM$3,'Wells Fargo'!$B:$B,"&gt;"&amp;'Cash Flow'!AL$3)</f>
        <v>0</v>
      </c>
      <c r="AN11" s="89">
        <f>SUMIFS('Wells Fargo'!$F:$F,'Wells Fargo'!$G:$G,'Cash Flow'!$A11,'Wells Fargo'!$A:$A,AN$1,'Wells Fargo'!$B:$B,"&lt;="&amp;'Cash Flow'!AN$3,'Wells Fargo'!$B:$B,"&gt;"&amp;'Cash Flow'!AM$3)</f>
        <v>0</v>
      </c>
      <c r="AO11" s="89">
        <f>SUMIFS('Wells Fargo'!$F:$F,'Wells Fargo'!$G:$G,'Cash Flow'!$A11,'Wells Fargo'!$A:$A,AO$1,'Wells Fargo'!$B:$B,"&lt;="&amp;'Cash Flow'!AO$3,'Wells Fargo'!$B:$B,"&gt;"&amp;'Cash Flow'!AN$3)</f>
        <v>0</v>
      </c>
      <c r="AP11" s="90">
        <f>SUMIFS('Wells Fargo'!$F:$F,'Wells Fargo'!$G:$G,'Cash Flow'!$A11,'Wells Fargo'!$A:$A,AP$1,'Wells Fargo'!$B:$B,"&lt;="&amp;'Cash Flow'!AP$3)</f>
        <v>0</v>
      </c>
      <c r="AQ11" s="89">
        <f>SUMIFS('Wells Fargo'!$F:$F,'Wells Fargo'!$G:$G,'Cash Flow'!$A11,'Wells Fargo'!$A:$A,AQ$1,'Wells Fargo'!$B:$B,"&lt;="&amp;'Cash Flow'!AQ$3,'Wells Fargo'!$B:$B,"&gt;"&amp;'Cash Flow'!AP$3)</f>
        <v>-190.78</v>
      </c>
      <c r="AR11" s="89">
        <f>SUMIFS('Wells Fargo'!$F:$F,'Wells Fargo'!$G:$G,'Cash Flow'!$A11,'Wells Fargo'!$A:$A,AR$1,'Wells Fargo'!$B:$B,"&lt;="&amp;'Cash Flow'!AR$3,'Wells Fargo'!$B:$B,"&gt;"&amp;'Cash Flow'!AQ$3)</f>
        <v>-608.14</v>
      </c>
      <c r="AS11" s="89">
        <f>SUMIFS('Wells Fargo'!$F:$F,'Wells Fargo'!$G:$G,'Cash Flow'!$A11,'Wells Fargo'!$A:$A,AS$1,'Wells Fargo'!$B:$B,"&lt;="&amp;'Cash Flow'!AS$3,'Wells Fargo'!$B:$B,"&gt;"&amp;'Cash Flow'!AR$3)</f>
        <v>0</v>
      </c>
      <c r="AT11" s="89">
        <f>SUMIFS('Wells Fargo'!$F:$F,'Wells Fargo'!$G:$G,'Cash Flow'!$A11,'Wells Fargo'!$A:$A,AT$1,'Wells Fargo'!$B:$B,"&lt;="&amp;'Cash Flow'!AT$3,'Wells Fargo'!$B:$B,"&gt;"&amp;'Cash Flow'!AS$3)</f>
        <v>0</v>
      </c>
      <c r="AU11" s="90">
        <f>SUMIFS('Wells Fargo'!$F:$F,'Wells Fargo'!$G:$G,'Cash Flow'!$A11,'Wells Fargo'!$A:$A,AU$1,'Wells Fargo'!$B:$B,"&lt;="&amp;'Cash Flow'!AU$3)</f>
        <v>0</v>
      </c>
      <c r="AV11" s="89">
        <f>SUMIFS('Wells Fargo'!$F:$F,'Wells Fargo'!$G:$G,'Cash Flow'!$A11,'Wells Fargo'!$A:$A,AV$1,'Wells Fargo'!$B:$B,"&lt;="&amp;'Cash Flow'!AV$3,'Wells Fargo'!$B:$B,"&gt;"&amp;'Cash Flow'!AU$3)</f>
        <v>0</v>
      </c>
      <c r="AW11" s="89">
        <f>SUMIFS('Wells Fargo'!$F:$F,'Wells Fargo'!$G:$G,'Cash Flow'!$A11,'Wells Fargo'!$A:$A,AW$1,'Wells Fargo'!$B:$B,"&lt;="&amp;'Cash Flow'!AW$3,'Wells Fargo'!$B:$B,"&gt;"&amp;'Cash Flow'!AV$3)</f>
        <v>0</v>
      </c>
      <c r="AX11" s="89">
        <f>SUMIFS('Wells Fargo'!$F:$F,'Wells Fargo'!$G:$G,'Cash Flow'!$A11,'Wells Fargo'!$A:$A,AX$1,'Wells Fargo'!$B:$B,"&lt;="&amp;'Cash Flow'!AX$3,'Wells Fargo'!$B:$B,"&gt;"&amp;'Cash Flow'!AW$3)</f>
        <v>0</v>
      </c>
      <c r="AY11" s="89">
        <f>SUMIFS('Wells Fargo'!$F:$F,'Wells Fargo'!$G:$G,'Cash Flow'!$A11,'Wells Fargo'!$A:$A,AY$1,'Wells Fargo'!$B:$B,"&lt;="&amp;'Cash Flow'!AY$3,'Wells Fargo'!$B:$B,"&gt;"&amp;'Cash Flow'!AX$3)</f>
        <v>0</v>
      </c>
      <c r="AZ11" s="90">
        <f>SUMIFS('Wells Fargo'!$F:$F,'Wells Fargo'!$G:$G,'Cash Flow'!$A11,'Wells Fargo'!$A:$A,AZ$1,'Wells Fargo'!$B:$B,"&lt;="&amp;'Cash Flow'!AZ$3)</f>
        <v>0</v>
      </c>
      <c r="BA11" s="89">
        <f>SUMIFS('Wells Fargo'!$F:$F,'Wells Fargo'!$G:$G,'Cash Flow'!$A11,'Wells Fargo'!$A:$A,BA$1,'Wells Fargo'!$B:$B,"&lt;="&amp;'Cash Flow'!BA$3,'Wells Fargo'!$B:$B,"&gt;"&amp;'Cash Flow'!AZ$3)</f>
        <v>0</v>
      </c>
      <c r="BB11" s="89">
        <f>SUMIFS('Wells Fargo'!$F:$F,'Wells Fargo'!$G:$G,'Cash Flow'!$A11,'Wells Fargo'!$A:$A,BB$1,'Wells Fargo'!$B:$B,"&lt;="&amp;'Cash Flow'!BB$3,'Wells Fargo'!$B:$B,"&gt;"&amp;'Cash Flow'!BA$3)</f>
        <v>0</v>
      </c>
      <c r="BC11" s="89">
        <f>SUMIFS('Wells Fargo'!$F:$F,'Wells Fargo'!$G:$G,'Cash Flow'!$A11,'Wells Fargo'!$A:$A,BC$1,'Wells Fargo'!$B:$B,"&lt;="&amp;'Cash Flow'!BC$3,'Wells Fargo'!$B:$B,"&gt;"&amp;'Cash Flow'!BB$3)</f>
        <v>0</v>
      </c>
      <c r="BD11" s="89">
        <f>SUMIFS('Wells Fargo'!$F:$F,'Wells Fargo'!$G:$G,'Cash Flow'!$A11,'Wells Fargo'!$A:$A,BD$1,'Wells Fargo'!$B:$B,"&lt;="&amp;'Cash Flow'!BD$3,'Wells Fargo'!$B:$B,"&gt;"&amp;'Cash Flow'!BC$3)</f>
        <v>0</v>
      </c>
      <c r="BE11" s="90">
        <f>SUMIFS('Wells Fargo'!$F:$F,'Wells Fargo'!$G:$G,'Cash Flow'!$A11,'Wells Fargo'!$A:$A,BE$1,'Wells Fargo'!$B:$B,"&lt;="&amp;'Cash Flow'!BE$3)</f>
        <v>0</v>
      </c>
      <c r="BF11" s="89">
        <f>SUMIFS('Wells Fargo'!$F:$F,'Wells Fargo'!$G:$G,'Cash Flow'!$A11,'Wells Fargo'!$A:$A,BF$1,'Wells Fargo'!$B:$B,"&lt;="&amp;'Cash Flow'!BF$3,'Wells Fargo'!$B:$B,"&gt;"&amp;'Cash Flow'!BE$3)</f>
        <v>0</v>
      </c>
      <c r="BG11" s="89">
        <f>SUMIFS('Wells Fargo'!$F:$F,'Wells Fargo'!$G:$G,'Cash Flow'!$A11,'Wells Fargo'!$A:$A,BG$1,'Wells Fargo'!$B:$B,"&lt;="&amp;'Cash Flow'!BG$3,'Wells Fargo'!$B:$B,"&gt;"&amp;'Cash Flow'!BF$3)</f>
        <v>0</v>
      </c>
      <c r="BH11" s="89">
        <f>SUMIFS('Wells Fargo'!$F:$F,'Wells Fargo'!$G:$G,'Cash Flow'!$A11,'Wells Fargo'!$A:$A,BH$1,'Wells Fargo'!$B:$B,"&lt;="&amp;'Cash Flow'!BH$3,'Wells Fargo'!$B:$B,"&gt;"&amp;'Cash Flow'!BG$3)</f>
        <v>0</v>
      </c>
      <c r="BI11" s="89">
        <f>SUMIFS('Wells Fargo'!$F:$F,'Wells Fargo'!$G:$G,'Cash Flow'!$A11,'Wells Fargo'!$A:$A,BI$1,'Wells Fargo'!$B:$B,"&lt;="&amp;'Cash Flow'!BI$3,'Wells Fargo'!$B:$B,"&gt;"&amp;'Cash Flow'!BH$3)</f>
        <v>0</v>
      </c>
    </row>
    <row r="12" spans="1:61" ht="12.75" x14ac:dyDescent="0.2">
      <c r="A12" t="str">
        <v>Bowling</v>
      </c>
      <c r="B12" s="15">
        <f t="shared" si="0"/>
        <v>-30</v>
      </c>
      <c r="C12" s="90">
        <f>SUMIFS('Wells Fargo'!$F:$F,'Wells Fargo'!$G:$G,'Cash Flow'!$A12,'Wells Fargo'!$A:$A,C$1,'Wells Fargo'!$B:$B,"&lt;="&amp;'Cash Flow'!C$3)</f>
        <v>0</v>
      </c>
      <c r="D12" s="89">
        <f>SUMIFS('Wells Fargo'!$F:$F,'Wells Fargo'!$G:$G,'Cash Flow'!$A12,'Wells Fargo'!$A:$A,D$1,'Wells Fargo'!$B:$B,"&lt;="&amp;'Cash Flow'!D$3,'Wells Fargo'!$B:$B,"&gt;"&amp;'Cash Flow'!C$3)</f>
        <v>0</v>
      </c>
      <c r="E12" s="89">
        <f>SUMIFS('Wells Fargo'!$F:$F,'Wells Fargo'!$G:$G,'Cash Flow'!$A12,'Wells Fargo'!$A:$A,E$1,'Wells Fargo'!$B:$B,"&lt;="&amp;'Cash Flow'!E$3,'Wells Fargo'!$B:$B,"&gt;"&amp;'Cash Flow'!D$3)</f>
        <v>0</v>
      </c>
      <c r="F12" s="89">
        <f>SUMIFS('Wells Fargo'!$F:$F,'Wells Fargo'!$G:$G,'Cash Flow'!$A12,'Wells Fargo'!$A:$A,F$1,'Wells Fargo'!$B:$B,"&lt;="&amp;'Cash Flow'!F$3,'Wells Fargo'!$B:$B,"&gt;"&amp;'Cash Flow'!E$3)</f>
        <v>0</v>
      </c>
      <c r="G12" s="89">
        <f>SUMIFS('Wells Fargo'!$F:$F,'Wells Fargo'!$G:$G,'Cash Flow'!$A12,'Wells Fargo'!$A:$A,G$1,'Wells Fargo'!$B:$B,"&lt;="&amp;'Cash Flow'!G$3,'Wells Fargo'!$B:$B,"&gt;"&amp;'Cash Flow'!F$3)</f>
        <v>0</v>
      </c>
      <c r="H12" s="90">
        <f>SUMIFS('Wells Fargo'!$F:$F,'Wells Fargo'!$G:$G,'Cash Flow'!$A12,'Wells Fargo'!$A:$A,H$1,'Wells Fargo'!$B:$B,"&lt;="&amp;'Cash Flow'!H$3)</f>
        <v>0</v>
      </c>
      <c r="I12" s="89">
        <f>SUMIFS('Wells Fargo'!$F:$F,'Wells Fargo'!$G:$G,'Cash Flow'!$A12,'Wells Fargo'!$A:$A,I$1,'Wells Fargo'!$B:$B,"&lt;="&amp;'Cash Flow'!I$3,'Wells Fargo'!$B:$B,"&gt;"&amp;'Cash Flow'!H$3)</f>
        <v>0</v>
      </c>
      <c r="J12" s="89">
        <f>SUMIFS('Wells Fargo'!$F:$F,'Wells Fargo'!$G:$G,'Cash Flow'!$A12,'Wells Fargo'!$A:$A,J$1,'Wells Fargo'!$B:$B,"&lt;="&amp;'Cash Flow'!J$3,'Wells Fargo'!$B:$B,"&gt;"&amp;'Cash Flow'!I$3)</f>
        <v>0</v>
      </c>
      <c r="K12" s="89">
        <f>SUMIFS('Wells Fargo'!$F:$F,'Wells Fargo'!$G:$G,'Cash Flow'!$A12,'Wells Fargo'!$A:$A,K$1,'Wells Fargo'!$B:$B,"&lt;="&amp;'Cash Flow'!K$3,'Wells Fargo'!$B:$B,"&gt;"&amp;'Cash Flow'!J$3)</f>
        <v>0</v>
      </c>
      <c r="L12" s="90">
        <f>SUMIFS('Wells Fargo'!$F:$F,'Wells Fargo'!$G:$G,'Cash Flow'!$A12,'Wells Fargo'!$A:$A,L$1,'Wells Fargo'!$B:$B,"&lt;="&amp;'Cash Flow'!L$3)</f>
        <v>0</v>
      </c>
      <c r="M12" s="89">
        <f>SUMIFS('Wells Fargo'!$F:$F,'Wells Fargo'!$G:$G,'Cash Flow'!$A12,'Wells Fargo'!$A:$A,M$1,'Wells Fargo'!$B:$B,"&lt;="&amp;'Cash Flow'!M$3,'Wells Fargo'!$B:$B,"&gt;"&amp;'Cash Flow'!L$3)</f>
        <v>0</v>
      </c>
      <c r="N12" s="89">
        <f>SUMIFS('Wells Fargo'!$F:$F,'Wells Fargo'!$G:$G,'Cash Flow'!$A12,'Wells Fargo'!$A:$A,N$1,'Wells Fargo'!$B:$B,"&lt;="&amp;'Cash Flow'!N$3,'Wells Fargo'!$B:$B,"&gt;"&amp;'Cash Flow'!M$3)</f>
        <v>0</v>
      </c>
      <c r="O12" s="89">
        <f>SUMIFS('Wells Fargo'!$F:$F,'Wells Fargo'!$G:$G,'Cash Flow'!$A12,'Wells Fargo'!$A:$A,O$1,'Wells Fargo'!$B:$B,"&lt;="&amp;'Cash Flow'!O$3,'Wells Fargo'!$B:$B,"&gt;"&amp;'Cash Flow'!N$3)</f>
        <v>0</v>
      </c>
      <c r="P12" s="89">
        <f>SUMIFS('Wells Fargo'!$F:$F,'Wells Fargo'!$G:$G,'Cash Flow'!$A12,'Wells Fargo'!$A:$A,P$1,'Wells Fargo'!$B:$B,"&lt;="&amp;'Cash Flow'!P$3,'Wells Fargo'!$B:$B,"&gt;"&amp;'Cash Flow'!O$3)</f>
        <v>0</v>
      </c>
      <c r="Q12" s="90">
        <f>SUMIFS('Wells Fargo'!$F:$F,'Wells Fargo'!$G:$G,'Cash Flow'!$A12,'Wells Fargo'!$A:$A,Q$1,'Wells Fargo'!$B:$B,"&lt;="&amp;'Cash Flow'!Q$3)</f>
        <v>0</v>
      </c>
      <c r="R12" s="89">
        <f>SUMIFS('Wells Fargo'!$F:$F,'Wells Fargo'!$G:$G,'Cash Flow'!$A12,'Wells Fargo'!$A:$A,R$1,'Wells Fargo'!$B:$B,"&lt;="&amp;'Cash Flow'!R$3,'Wells Fargo'!$B:$B,"&gt;"&amp;'Cash Flow'!Q$3)</f>
        <v>0</v>
      </c>
      <c r="S12" s="89">
        <f>SUMIFS('Wells Fargo'!$F:$F,'Wells Fargo'!$G:$G,'Cash Flow'!$A12,'Wells Fargo'!$A:$A,S$1,'Wells Fargo'!$B:$B,"&lt;="&amp;'Cash Flow'!S$3,'Wells Fargo'!$B:$B,"&gt;"&amp;'Cash Flow'!R$3)</f>
        <v>0</v>
      </c>
      <c r="T12" s="89">
        <f>SUMIFS('Wells Fargo'!$F:$F,'Wells Fargo'!$G:$G,'Cash Flow'!$A12,'Wells Fargo'!$A:$A,T$1,'Wells Fargo'!$B:$B,"&lt;="&amp;'Cash Flow'!T$3,'Wells Fargo'!$B:$B,"&gt;"&amp;'Cash Flow'!S$3)</f>
        <v>0</v>
      </c>
      <c r="U12" s="89">
        <f>SUMIFS('Wells Fargo'!$F:$F,'Wells Fargo'!$G:$G,'Cash Flow'!$A12,'Wells Fargo'!$A:$A,U$1,'Wells Fargo'!$B:$B,"&lt;="&amp;'Cash Flow'!U$3,'Wells Fargo'!$B:$B,"&gt;"&amp;'Cash Flow'!T$3)</f>
        <v>0</v>
      </c>
      <c r="V12" s="90">
        <f>SUMIFS('Wells Fargo'!$F:$F,'Wells Fargo'!$G:$G,'Cash Flow'!$A12,'Wells Fargo'!$A:$A,V$1,'Wells Fargo'!$B:$B,"&lt;="&amp;'Cash Flow'!V$3)</f>
        <v>0</v>
      </c>
      <c r="W12" s="89">
        <f>SUMIFS('Wells Fargo'!$F:$F,'Wells Fargo'!$G:$G,'Cash Flow'!$A12,'Wells Fargo'!$A:$A,W$1,'Wells Fargo'!$B:$B,"&lt;="&amp;'Cash Flow'!W$3,'Wells Fargo'!$B:$B,"&gt;"&amp;'Cash Flow'!V$3)</f>
        <v>0</v>
      </c>
      <c r="X12" s="89">
        <f>SUMIFS('Wells Fargo'!$F:$F,'Wells Fargo'!$G:$G,'Cash Flow'!$A12,'Wells Fargo'!$A:$A,X$1,'Wells Fargo'!$B:$B,"&lt;="&amp;'Cash Flow'!X$3,'Wells Fargo'!$B:$B,"&gt;"&amp;'Cash Flow'!W$3)</f>
        <v>0</v>
      </c>
      <c r="Y12" s="89">
        <f>SUMIFS('Wells Fargo'!$F:$F,'Wells Fargo'!$G:$G,'Cash Flow'!$A12,'Wells Fargo'!$A:$A,Y$1,'Wells Fargo'!$B:$B,"&lt;="&amp;'Cash Flow'!Y$3,'Wells Fargo'!$B:$B,"&gt;"&amp;'Cash Flow'!X$3)</f>
        <v>0</v>
      </c>
      <c r="Z12" s="89">
        <f>SUMIFS('Wells Fargo'!$F:$F,'Wells Fargo'!$G:$G,'Cash Flow'!$A12,'Wells Fargo'!$A:$A,Z$1,'Wells Fargo'!$B:$B,"&lt;="&amp;'Cash Flow'!Z$3,'Wells Fargo'!$B:$B,"&gt;"&amp;'Cash Flow'!Y$3)</f>
        <v>0</v>
      </c>
      <c r="AA12" s="90">
        <f>SUMIFS('Wells Fargo'!$F:$F,'Wells Fargo'!$G:$G,'Cash Flow'!$A12,'Wells Fargo'!$A:$A,AA$1,'Wells Fargo'!$B:$B,"&lt;="&amp;'Cash Flow'!AA$3)</f>
        <v>0</v>
      </c>
      <c r="AB12" s="89">
        <f>SUMIFS('Wells Fargo'!$F:$F,'Wells Fargo'!$G:$G,'Cash Flow'!$A12,'Wells Fargo'!$A:$A,AB$1,'Wells Fargo'!$B:$B,"&lt;="&amp;'Cash Flow'!AB$3,'Wells Fargo'!$B:$B,"&gt;"&amp;'Cash Flow'!AA$3)</f>
        <v>0</v>
      </c>
      <c r="AC12" s="89">
        <f>SUMIFS('Wells Fargo'!$F:$F,'Wells Fargo'!$G:$G,'Cash Flow'!$A12,'Wells Fargo'!$A:$A,AC$1,'Wells Fargo'!$B:$B,"&lt;="&amp;'Cash Flow'!AC$3,'Wells Fargo'!$B:$B,"&gt;"&amp;'Cash Flow'!AB$3)</f>
        <v>0</v>
      </c>
      <c r="AD12" s="89">
        <f>SUMIFS('Wells Fargo'!$F:$F,'Wells Fargo'!$G:$G,'Cash Flow'!$A12,'Wells Fargo'!$A:$A,AD$1,'Wells Fargo'!$B:$B,"&lt;="&amp;'Cash Flow'!AD$3,'Wells Fargo'!$B:$B,"&gt;"&amp;'Cash Flow'!AC$3)</f>
        <v>0</v>
      </c>
      <c r="AE12" s="89">
        <f>SUMIFS('Wells Fargo'!$F:$F,'Wells Fargo'!$G:$G,'Cash Flow'!$A12,'Wells Fargo'!$A:$A,AE$1,'Wells Fargo'!$B:$B,"&lt;="&amp;'Cash Flow'!AE$3,'Wells Fargo'!$B:$B,"&gt;"&amp;'Cash Flow'!AD$3)</f>
        <v>0</v>
      </c>
      <c r="AF12" s="90">
        <f>SUMIFS('Wells Fargo'!$F:$F,'Wells Fargo'!$G:$G,'Cash Flow'!$A12,'Wells Fargo'!$A:$A,AF$1,'Wells Fargo'!$B:$B,"&lt;="&amp;'Cash Flow'!AF$3)</f>
        <v>0</v>
      </c>
      <c r="AG12" s="89">
        <f>SUMIFS('Wells Fargo'!$F:$F,'Wells Fargo'!$G:$G,'Cash Flow'!$A12,'Wells Fargo'!$A:$A,AG$1,'Wells Fargo'!$B:$B,"&lt;="&amp;'Cash Flow'!AG$3,'Wells Fargo'!$B:$B,"&gt;"&amp;'Cash Flow'!AF$3)</f>
        <v>0</v>
      </c>
      <c r="AH12" s="89">
        <f>SUMIFS('Wells Fargo'!$F:$F,'Wells Fargo'!$G:$G,'Cash Flow'!$A12,'Wells Fargo'!$A:$A,AH$1,'Wells Fargo'!$B:$B,"&lt;="&amp;'Cash Flow'!AH$3,'Wells Fargo'!$B:$B,"&gt;"&amp;'Cash Flow'!AG$3)</f>
        <v>0</v>
      </c>
      <c r="AI12" s="89">
        <f>SUMIFS('Wells Fargo'!$F:$F,'Wells Fargo'!$G:$G,'Cash Flow'!$A12,'Wells Fargo'!$A:$A,AI$1,'Wells Fargo'!$B:$B,"&lt;="&amp;'Cash Flow'!AI$3,'Wells Fargo'!$B:$B,"&gt;"&amp;'Cash Flow'!AH$3)</f>
        <v>0</v>
      </c>
      <c r="AJ12" s="89">
        <f>SUMIFS('Wells Fargo'!$F:$F,'Wells Fargo'!$G:$G,'Cash Flow'!$A12,'Wells Fargo'!$A:$A,AJ$1,'Wells Fargo'!$B:$B,"&lt;="&amp;'Cash Flow'!AJ$3,'Wells Fargo'!$B:$B,"&gt;"&amp;'Cash Flow'!AI$3)</f>
        <v>0</v>
      </c>
      <c r="AK12" s="90">
        <f>SUMIFS('Wells Fargo'!$F:$F,'Wells Fargo'!$G:$G,'Cash Flow'!$A12,'Wells Fargo'!$A:$A,AK$1,'Wells Fargo'!$B:$B,"&lt;="&amp;'Cash Flow'!AK$3)</f>
        <v>0</v>
      </c>
      <c r="AL12" s="89">
        <f>SUMIFS('Wells Fargo'!$F:$F,'Wells Fargo'!$G:$G,'Cash Flow'!$A12,'Wells Fargo'!$A:$A,AL$1,'Wells Fargo'!$B:$B,"&lt;="&amp;'Cash Flow'!AL$3,'Wells Fargo'!$B:$B,"&gt;"&amp;'Cash Flow'!AK$3)</f>
        <v>0</v>
      </c>
      <c r="AM12" s="89">
        <f>SUMIFS('Wells Fargo'!$F:$F,'Wells Fargo'!$G:$G,'Cash Flow'!$A12,'Wells Fargo'!$A:$A,AM$1,'Wells Fargo'!$B:$B,"&lt;="&amp;'Cash Flow'!AM$3,'Wells Fargo'!$B:$B,"&gt;"&amp;'Cash Flow'!AL$3)</f>
        <v>0</v>
      </c>
      <c r="AN12" s="89">
        <f>SUMIFS('Wells Fargo'!$F:$F,'Wells Fargo'!$G:$G,'Cash Flow'!$A12,'Wells Fargo'!$A:$A,AN$1,'Wells Fargo'!$B:$B,"&lt;="&amp;'Cash Flow'!AN$3,'Wells Fargo'!$B:$B,"&gt;"&amp;'Cash Flow'!AM$3)</f>
        <v>-30</v>
      </c>
      <c r="AO12" s="89">
        <f>SUMIFS('Wells Fargo'!$F:$F,'Wells Fargo'!$G:$G,'Cash Flow'!$A12,'Wells Fargo'!$A:$A,AO$1,'Wells Fargo'!$B:$B,"&lt;="&amp;'Cash Flow'!AO$3,'Wells Fargo'!$B:$B,"&gt;"&amp;'Cash Flow'!AN$3)</f>
        <v>0</v>
      </c>
      <c r="AP12" s="90">
        <f>SUMIFS('Wells Fargo'!$F:$F,'Wells Fargo'!$G:$G,'Cash Flow'!$A12,'Wells Fargo'!$A:$A,AP$1,'Wells Fargo'!$B:$B,"&lt;="&amp;'Cash Flow'!AP$3)</f>
        <v>0</v>
      </c>
      <c r="AQ12" s="89">
        <f>SUMIFS('Wells Fargo'!$F:$F,'Wells Fargo'!$G:$G,'Cash Flow'!$A12,'Wells Fargo'!$A:$A,AQ$1,'Wells Fargo'!$B:$B,"&lt;="&amp;'Cash Flow'!AQ$3,'Wells Fargo'!$B:$B,"&gt;"&amp;'Cash Flow'!AP$3)</f>
        <v>0</v>
      </c>
      <c r="AR12" s="89">
        <f>SUMIFS('Wells Fargo'!$F:$F,'Wells Fargo'!$G:$G,'Cash Flow'!$A12,'Wells Fargo'!$A:$A,AR$1,'Wells Fargo'!$B:$B,"&lt;="&amp;'Cash Flow'!AR$3,'Wells Fargo'!$B:$B,"&gt;"&amp;'Cash Flow'!AQ$3)</f>
        <v>0</v>
      </c>
      <c r="AS12" s="89">
        <f>SUMIFS('Wells Fargo'!$F:$F,'Wells Fargo'!$G:$G,'Cash Flow'!$A12,'Wells Fargo'!$A:$A,AS$1,'Wells Fargo'!$B:$B,"&lt;="&amp;'Cash Flow'!AS$3,'Wells Fargo'!$B:$B,"&gt;"&amp;'Cash Flow'!AR$3)</f>
        <v>0</v>
      </c>
      <c r="AT12" s="89">
        <f>SUMIFS('Wells Fargo'!$F:$F,'Wells Fargo'!$G:$G,'Cash Flow'!$A12,'Wells Fargo'!$A:$A,AT$1,'Wells Fargo'!$B:$B,"&lt;="&amp;'Cash Flow'!AT$3,'Wells Fargo'!$B:$B,"&gt;"&amp;'Cash Flow'!AS$3)</f>
        <v>0</v>
      </c>
      <c r="AU12" s="90">
        <f>SUMIFS('Wells Fargo'!$F:$F,'Wells Fargo'!$G:$G,'Cash Flow'!$A12,'Wells Fargo'!$A:$A,AU$1,'Wells Fargo'!$B:$B,"&lt;="&amp;'Cash Flow'!AU$3)</f>
        <v>0</v>
      </c>
      <c r="AV12" s="89">
        <f>SUMIFS('Wells Fargo'!$F:$F,'Wells Fargo'!$G:$G,'Cash Flow'!$A12,'Wells Fargo'!$A:$A,AV$1,'Wells Fargo'!$B:$B,"&lt;="&amp;'Cash Flow'!AV$3,'Wells Fargo'!$B:$B,"&gt;"&amp;'Cash Flow'!AU$3)</f>
        <v>0</v>
      </c>
      <c r="AW12" s="89">
        <f>SUMIFS('Wells Fargo'!$F:$F,'Wells Fargo'!$G:$G,'Cash Flow'!$A12,'Wells Fargo'!$A:$A,AW$1,'Wells Fargo'!$B:$B,"&lt;="&amp;'Cash Flow'!AW$3,'Wells Fargo'!$B:$B,"&gt;"&amp;'Cash Flow'!AV$3)</f>
        <v>0</v>
      </c>
      <c r="AX12" s="89">
        <f>SUMIFS('Wells Fargo'!$F:$F,'Wells Fargo'!$G:$G,'Cash Flow'!$A12,'Wells Fargo'!$A:$A,AX$1,'Wells Fargo'!$B:$B,"&lt;="&amp;'Cash Flow'!AX$3,'Wells Fargo'!$B:$B,"&gt;"&amp;'Cash Flow'!AW$3)</f>
        <v>0</v>
      </c>
      <c r="AY12" s="89">
        <f>SUMIFS('Wells Fargo'!$F:$F,'Wells Fargo'!$G:$G,'Cash Flow'!$A12,'Wells Fargo'!$A:$A,AY$1,'Wells Fargo'!$B:$B,"&lt;="&amp;'Cash Flow'!AY$3,'Wells Fargo'!$B:$B,"&gt;"&amp;'Cash Flow'!AX$3)</f>
        <v>0</v>
      </c>
      <c r="AZ12" s="90">
        <f>SUMIFS('Wells Fargo'!$F:$F,'Wells Fargo'!$G:$G,'Cash Flow'!$A12,'Wells Fargo'!$A:$A,AZ$1,'Wells Fargo'!$B:$B,"&lt;="&amp;'Cash Flow'!AZ$3)</f>
        <v>0</v>
      </c>
      <c r="BA12" s="89">
        <f>SUMIFS('Wells Fargo'!$F:$F,'Wells Fargo'!$G:$G,'Cash Flow'!$A12,'Wells Fargo'!$A:$A,BA$1,'Wells Fargo'!$B:$B,"&lt;="&amp;'Cash Flow'!BA$3,'Wells Fargo'!$B:$B,"&gt;"&amp;'Cash Flow'!AZ$3)</f>
        <v>0</v>
      </c>
      <c r="BB12" s="89">
        <f>SUMIFS('Wells Fargo'!$F:$F,'Wells Fargo'!$G:$G,'Cash Flow'!$A12,'Wells Fargo'!$A:$A,BB$1,'Wells Fargo'!$B:$B,"&lt;="&amp;'Cash Flow'!BB$3,'Wells Fargo'!$B:$B,"&gt;"&amp;'Cash Flow'!BA$3)</f>
        <v>0</v>
      </c>
      <c r="BC12" s="89">
        <f>SUMIFS('Wells Fargo'!$F:$F,'Wells Fargo'!$G:$G,'Cash Flow'!$A12,'Wells Fargo'!$A:$A,BC$1,'Wells Fargo'!$B:$B,"&lt;="&amp;'Cash Flow'!BC$3,'Wells Fargo'!$B:$B,"&gt;"&amp;'Cash Flow'!BB$3)</f>
        <v>0</v>
      </c>
      <c r="BD12" s="89">
        <f>SUMIFS('Wells Fargo'!$F:$F,'Wells Fargo'!$G:$G,'Cash Flow'!$A12,'Wells Fargo'!$A:$A,BD$1,'Wells Fargo'!$B:$B,"&lt;="&amp;'Cash Flow'!BD$3,'Wells Fargo'!$B:$B,"&gt;"&amp;'Cash Flow'!BC$3)</f>
        <v>0</v>
      </c>
      <c r="BE12" s="90">
        <f>SUMIFS('Wells Fargo'!$F:$F,'Wells Fargo'!$G:$G,'Cash Flow'!$A12,'Wells Fargo'!$A:$A,BE$1,'Wells Fargo'!$B:$B,"&lt;="&amp;'Cash Flow'!BE$3)</f>
        <v>0</v>
      </c>
      <c r="BF12" s="89">
        <f>SUMIFS('Wells Fargo'!$F:$F,'Wells Fargo'!$G:$G,'Cash Flow'!$A12,'Wells Fargo'!$A:$A,BF$1,'Wells Fargo'!$B:$B,"&lt;="&amp;'Cash Flow'!BF$3,'Wells Fargo'!$B:$B,"&gt;"&amp;'Cash Flow'!BE$3)</f>
        <v>0</v>
      </c>
      <c r="BG12" s="89">
        <f>SUMIFS('Wells Fargo'!$F:$F,'Wells Fargo'!$G:$G,'Cash Flow'!$A12,'Wells Fargo'!$A:$A,BG$1,'Wells Fargo'!$B:$B,"&lt;="&amp;'Cash Flow'!BG$3,'Wells Fargo'!$B:$B,"&gt;"&amp;'Cash Flow'!BF$3)</f>
        <v>0</v>
      </c>
      <c r="BH12" s="89">
        <f>SUMIFS('Wells Fargo'!$F:$F,'Wells Fargo'!$G:$G,'Cash Flow'!$A12,'Wells Fargo'!$A:$A,BH$1,'Wells Fargo'!$B:$B,"&lt;="&amp;'Cash Flow'!BH$3,'Wells Fargo'!$B:$B,"&gt;"&amp;'Cash Flow'!BG$3)</f>
        <v>0</v>
      </c>
      <c r="BI12" s="89">
        <f>SUMIFS('Wells Fargo'!$F:$F,'Wells Fargo'!$G:$G,'Cash Flow'!$A12,'Wells Fargo'!$A:$A,BI$1,'Wells Fargo'!$B:$B,"&lt;="&amp;'Cash Flow'!BI$3,'Wells Fargo'!$B:$B,"&gt;"&amp;'Cash Flow'!BH$3)</f>
        <v>0</v>
      </c>
    </row>
    <row r="13" spans="1:61" ht="12.75" x14ac:dyDescent="0.2">
      <c r="A13" t="str">
        <v>Brooklyn</v>
      </c>
      <c r="B13" s="15">
        <f t="shared" si="0"/>
        <v>-952.13000000000011</v>
      </c>
      <c r="C13" s="90">
        <f>SUMIFS('Wells Fargo'!$F:$F,'Wells Fargo'!$G:$G,'Cash Flow'!$A13,'Wells Fargo'!$A:$A,C$1,'Wells Fargo'!$B:$B,"&lt;="&amp;'Cash Flow'!C$3)</f>
        <v>0</v>
      </c>
      <c r="D13" s="89">
        <f>SUMIFS('Wells Fargo'!$F:$F,'Wells Fargo'!$G:$G,'Cash Flow'!$A13,'Wells Fargo'!$A:$A,D$1,'Wells Fargo'!$B:$B,"&lt;="&amp;'Cash Flow'!D$3,'Wells Fargo'!$B:$B,"&gt;"&amp;'Cash Flow'!C$3)</f>
        <v>0</v>
      </c>
      <c r="E13" s="89">
        <f>SUMIFS('Wells Fargo'!$F:$F,'Wells Fargo'!$G:$G,'Cash Flow'!$A13,'Wells Fargo'!$A:$A,E$1,'Wells Fargo'!$B:$B,"&lt;="&amp;'Cash Flow'!E$3,'Wells Fargo'!$B:$B,"&gt;"&amp;'Cash Flow'!D$3)</f>
        <v>0</v>
      </c>
      <c r="F13" s="89">
        <f>SUMIFS('Wells Fargo'!$F:$F,'Wells Fargo'!$G:$G,'Cash Flow'!$A13,'Wells Fargo'!$A:$A,F$1,'Wells Fargo'!$B:$B,"&lt;="&amp;'Cash Flow'!F$3,'Wells Fargo'!$B:$B,"&gt;"&amp;'Cash Flow'!E$3)</f>
        <v>0</v>
      </c>
      <c r="G13" s="89">
        <f>SUMIFS('Wells Fargo'!$F:$F,'Wells Fargo'!$G:$G,'Cash Flow'!$A13,'Wells Fargo'!$A:$A,G$1,'Wells Fargo'!$B:$B,"&lt;="&amp;'Cash Flow'!G$3,'Wells Fargo'!$B:$B,"&gt;"&amp;'Cash Flow'!F$3)</f>
        <v>0</v>
      </c>
      <c r="H13" s="90">
        <f>SUMIFS('Wells Fargo'!$F:$F,'Wells Fargo'!$G:$G,'Cash Flow'!$A13,'Wells Fargo'!$A:$A,H$1,'Wells Fargo'!$B:$B,"&lt;="&amp;'Cash Flow'!H$3)</f>
        <v>0</v>
      </c>
      <c r="I13" s="89">
        <f>SUMIFS('Wells Fargo'!$F:$F,'Wells Fargo'!$G:$G,'Cash Flow'!$A13,'Wells Fargo'!$A:$A,I$1,'Wells Fargo'!$B:$B,"&lt;="&amp;'Cash Flow'!I$3,'Wells Fargo'!$B:$B,"&gt;"&amp;'Cash Flow'!H$3)</f>
        <v>0</v>
      </c>
      <c r="J13" s="89">
        <f>SUMIFS('Wells Fargo'!$F:$F,'Wells Fargo'!$G:$G,'Cash Flow'!$A13,'Wells Fargo'!$A:$A,J$1,'Wells Fargo'!$B:$B,"&lt;="&amp;'Cash Flow'!J$3,'Wells Fargo'!$B:$B,"&gt;"&amp;'Cash Flow'!I$3)</f>
        <v>0</v>
      </c>
      <c r="K13" s="89">
        <f>SUMIFS('Wells Fargo'!$F:$F,'Wells Fargo'!$G:$G,'Cash Flow'!$A13,'Wells Fargo'!$A:$A,K$1,'Wells Fargo'!$B:$B,"&lt;="&amp;'Cash Flow'!K$3,'Wells Fargo'!$B:$B,"&gt;"&amp;'Cash Flow'!J$3)</f>
        <v>0</v>
      </c>
      <c r="L13" s="90">
        <f>SUMIFS('Wells Fargo'!$F:$F,'Wells Fargo'!$G:$G,'Cash Flow'!$A13,'Wells Fargo'!$A:$A,L$1,'Wells Fargo'!$B:$B,"&lt;="&amp;'Cash Flow'!L$3)</f>
        <v>0</v>
      </c>
      <c r="M13" s="89">
        <f>SUMIFS('Wells Fargo'!$F:$F,'Wells Fargo'!$G:$G,'Cash Flow'!$A13,'Wells Fargo'!$A:$A,M$1,'Wells Fargo'!$B:$B,"&lt;="&amp;'Cash Flow'!M$3,'Wells Fargo'!$B:$B,"&gt;"&amp;'Cash Flow'!L$3)</f>
        <v>0</v>
      </c>
      <c r="N13" s="89">
        <f>SUMIFS('Wells Fargo'!$F:$F,'Wells Fargo'!$G:$G,'Cash Flow'!$A13,'Wells Fargo'!$A:$A,N$1,'Wells Fargo'!$B:$B,"&lt;="&amp;'Cash Flow'!N$3,'Wells Fargo'!$B:$B,"&gt;"&amp;'Cash Flow'!M$3)</f>
        <v>0</v>
      </c>
      <c r="O13" s="89">
        <f>SUMIFS('Wells Fargo'!$F:$F,'Wells Fargo'!$G:$G,'Cash Flow'!$A13,'Wells Fargo'!$A:$A,O$1,'Wells Fargo'!$B:$B,"&lt;="&amp;'Cash Flow'!O$3,'Wells Fargo'!$B:$B,"&gt;"&amp;'Cash Flow'!N$3)</f>
        <v>0</v>
      </c>
      <c r="P13" s="89">
        <f>SUMIFS('Wells Fargo'!$F:$F,'Wells Fargo'!$G:$G,'Cash Flow'!$A13,'Wells Fargo'!$A:$A,P$1,'Wells Fargo'!$B:$B,"&lt;="&amp;'Cash Flow'!P$3,'Wells Fargo'!$B:$B,"&gt;"&amp;'Cash Flow'!O$3)</f>
        <v>0</v>
      </c>
      <c r="Q13" s="90">
        <f>SUMIFS('Wells Fargo'!$F:$F,'Wells Fargo'!$G:$G,'Cash Flow'!$A13,'Wells Fargo'!$A:$A,Q$1,'Wells Fargo'!$B:$B,"&lt;="&amp;'Cash Flow'!Q$3)</f>
        <v>0</v>
      </c>
      <c r="R13" s="89">
        <f>SUMIFS('Wells Fargo'!$F:$F,'Wells Fargo'!$G:$G,'Cash Flow'!$A13,'Wells Fargo'!$A:$A,R$1,'Wells Fargo'!$B:$B,"&lt;="&amp;'Cash Flow'!R$3,'Wells Fargo'!$B:$B,"&gt;"&amp;'Cash Flow'!Q$3)</f>
        <v>0</v>
      </c>
      <c r="S13" s="89">
        <f>SUMIFS('Wells Fargo'!$F:$F,'Wells Fargo'!$G:$G,'Cash Flow'!$A13,'Wells Fargo'!$A:$A,S$1,'Wells Fargo'!$B:$B,"&lt;="&amp;'Cash Flow'!S$3,'Wells Fargo'!$B:$B,"&gt;"&amp;'Cash Flow'!R$3)</f>
        <v>0</v>
      </c>
      <c r="T13" s="89">
        <f>SUMIFS('Wells Fargo'!$F:$F,'Wells Fargo'!$G:$G,'Cash Flow'!$A13,'Wells Fargo'!$A:$A,T$1,'Wells Fargo'!$B:$B,"&lt;="&amp;'Cash Flow'!T$3,'Wells Fargo'!$B:$B,"&gt;"&amp;'Cash Flow'!S$3)</f>
        <v>0</v>
      </c>
      <c r="U13" s="89">
        <f>SUMIFS('Wells Fargo'!$F:$F,'Wells Fargo'!$G:$G,'Cash Flow'!$A13,'Wells Fargo'!$A:$A,U$1,'Wells Fargo'!$B:$B,"&lt;="&amp;'Cash Flow'!U$3,'Wells Fargo'!$B:$B,"&gt;"&amp;'Cash Flow'!T$3)</f>
        <v>0</v>
      </c>
      <c r="V13" s="90">
        <f>SUMIFS('Wells Fargo'!$F:$F,'Wells Fargo'!$G:$G,'Cash Flow'!$A13,'Wells Fargo'!$A:$A,V$1,'Wells Fargo'!$B:$B,"&lt;="&amp;'Cash Flow'!V$3)</f>
        <v>0</v>
      </c>
      <c r="W13" s="89">
        <f>SUMIFS('Wells Fargo'!$F:$F,'Wells Fargo'!$G:$G,'Cash Flow'!$A13,'Wells Fargo'!$A:$A,W$1,'Wells Fargo'!$B:$B,"&lt;="&amp;'Cash Flow'!W$3,'Wells Fargo'!$B:$B,"&gt;"&amp;'Cash Flow'!V$3)</f>
        <v>0</v>
      </c>
      <c r="X13" s="89">
        <f>SUMIFS('Wells Fargo'!$F:$F,'Wells Fargo'!$G:$G,'Cash Flow'!$A13,'Wells Fargo'!$A:$A,X$1,'Wells Fargo'!$B:$B,"&lt;="&amp;'Cash Flow'!X$3,'Wells Fargo'!$B:$B,"&gt;"&amp;'Cash Flow'!W$3)</f>
        <v>0</v>
      </c>
      <c r="Y13" s="89">
        <f>SUMIFS('Wells Fargo'!$F:$F,'Wells Fargo'!$G:$G,'Cash Flow'!$A13,'Wells Fargo'!$A:$A,Y$1,'Wells Fargo'!$B:$B,"&lt;="&amp;'Cash Flow'!Y$3,'Wells Fargo'!$B:$B,"&gt;"&amp;'Cash Flow'!X$3)</f>
        <v>0</v>
      </c>
      <c r="Z13" s="89">
        <f>SUMIFS('Wells Fargo'!$F:$F,'Wells Fargo'!$G:$G,'Cash Flow'!$A13,'Wells Fargo'!$A:$A,Z$1,'Wells Fargo'!$B:$B,"&lt;="&amp;'Cash Flow'!Z$3,'Wells Fargo'!$B:$B,"&gt;"&amp;'Cash Flow'!Y$3)</f>
        <v>0</v>
      </c>
      <c r="AA13" s="90">
        <f>SUMIFS('Wells Fargo'!$F:$F,'Wells Fargo'!$G:$G,'Cash Flow'!$A13,'Wells Fargo'!$A:$A,AA$1,'Wells Fargo'!$B:$B,"&lt;="&amp;'Cash Flow'!AA$3)</f>
        <v>0</v>
      </c>
      <c r="AB13" s="89">
        <f>SUMIFS('Wells Fargo'!$F:$F,'Wells Fargo'!$G:$G,'Cash Flow'!$A13,'Wells Fargo'!$A:$A,AB$1,'Wells Fargo'!$B:$B,"&lt;="&amp;'Cash Flow'!AB$3,'Wells Fargo'!$B:$B,"&gt;"&amp;'Cash Flow'!AA$3)</f>
        <v>-635.2700000000001</v>
      </c>
      <c r="AC13" s="89">
        <f>SUMIFS('Wells Fargo'!$F:$F,'Wells Fargo'!$G:$G,'Cash Flow'!$A13,'Wells Fargo'!$A:$A,AC$1,'Wells Fargo'!$B:$B,"&lt;="&amp;'Cash Flow'!AC$3,'Wells Fargo'!$B:$B,"&gt;"&amp;'Cash Flow'!AB$3)</f>
        <v>0</v>
      </c>
      <c r="AD13" s="89">
        <f>SUMIFS('Wells Fargo'!$F:$F,'Wells Fargo'!$G:$G,'Cash Flow'!$A13,'Wells Fargo'!$A:$A,AD$1,'Wells Fargo'!$B:$B,"&lt;="&amp;'Cash Flow'!AD$3,'Wells Fargo'!$B:$B,"&gt;"&amp;'Cash Flow'!AC$3)</f>
        <v>0</v>
      </c>
      <c r="AE13" s="89">
        <f>SUMIFS('Wells Fargo'!$F:$F,'Wells Fargo'!$G:$G,'Cash Flow'!$A13,'Wells Fargo'!$A:$A,AE$1,'Wells Fargo'!$B:$B,"&lt;="&amp;'Cash Flow'!AE$3,'Wells Fargo'!$B:$B,"&gt;"&amp;'Cash Flow'!AD$3)</f>
        <v>0</v>
      </c>
      <c r="AF13" s="90">
        <f>SUMIFS('Wells Fargo'!$F:$F,'Wells Fargo'!$G:$G,'Cash Flow'!$A13,'Wells Fargo'!$A:$A,AF$1,'Wells Fargo'!$B:$B,"&lt;="&amp;'Cash Flow'!AF$3)</f>
        <v>0</v>
      </c>
      <c r="AG13" s="89">
        <f>SUMIFS('Wells Fargo'!$F:$F,'Wells Fargo'!$G:$G,'Cash Flow'!$A13,'Wells Fargo'!$A:$A,AG$1,'Wells Fargo'!$B:$B,"&lt;="&amp;'Cash Flow'!AG$3,'Wells Fargo'!$B:$B,"&gt;"&amp;'Cash Flow'!AF$3)</f>
        <v>-316.86</v>
      </c>
      <c r="AH13" s="89">
        <f>SUMIFS('Wells Fargo'!$F:$F,'Wells Fargo'!$G:$G,'Cash Flow'!$A13,'Wells Fargo'!$A:$A,AH$1,'Wells Fargo'!$B:$B,"&lt;="&amp;'Cash Flow'!AH$3,'Wells Fargo'!$B:$B,"&gt;"&amp;'Cash Flow'!AG$3)</f>
        <v>0</v>
      </c>
      <c r="AI13" s="89">
        <f>SUMIFS('Wells Fargo'!$F:$F,'Wells Fargo'!$G:$G,'Cash Flow'!$A13,'Wells Fargo'!$A:$A,AI$1,'Wells Fargo'!$B:$B,"&lt;="&amp;'Cash Flow'!AI$3,'Wells Fargo'!$B:$B,"&gt;"&amp;'Cash Flow'!AH$3)</f>
        <v>0</v>
      </c>
      <c r="AJ13" s="89">
        <f>SUMIFS('Wells Fargo'!$F:$F,'Wells Fargo'!$G:$G,'Cash Flow'!$A13,'Wells Fargo'!$A:$A,AJ$1,'Wells Fargo'!$B:$B,"&lt;="&amp;'Cash Flow'!AJ$3,'Wells Fargo'!$B:$B,"&gt;"&amp;'Cash Flow'!AI$3)</f>
        <v>0</v>
      </c>
      <c r="AK13" s="90">
        <f>SUMIFS('Wells Fargo'!$F:$F,'Wells Fargo'!$G:$G,'Cash Flow'!$A13,'Wells Fargo'!$A:$A,AK$1,'Wells Fargo'!$B:$B,"&lt;="&amp;'Cash Flow'!AK$3)</f>
        <v>0</v>
      </c>
      <c r="AL13" s="89">
        <f>SUMIFS('Wells Fargo'!$F:$F,'Wells Fargo'!$G:$G,'Cash Flow'!$A13,'Wells Fargo'!$A:$A,AL$1,'Wells Fargo'!$B:$B,"&lt;="&amp;'Cash Flow'!AL$3,'Wells Fargo'!$B:$B,"&gt;"&amp;'Cash Flow'!AK$3)</f>
        <v>0</v>
      </c>
      <c r="AM13" s="89">
        <f>SUMIFS('Wells Fargo'!$F:$F,'Wells Fargo'!$G:$G,'Cash Flow'!$A13,'Wells Fargo'!$A:$A,AM$1,'Wells Fargo'!$B:$B,"&lt;="&amp;'Cash Flow'!AM$3,'Wells Fargo'!$B:$B,"&gt;"&amp;'Cash Flow'!AL$3)</f>
        <v>0</v>
      </c>
      <c r="AN13" s="89">
        <f>SUMIFS('Wells Fargo'!$F:$F,'Wells Fargo'!$G:$G,'Cash Flow'!$A13,'Wells Fargo'!$A:$A,AN$1,'Wells Fargo'!$B:$B,"&lt;="&amp;'Cash Flow'!AN$3,'Wells Fargo'!$B:$B,"&gt;"&amp;'Cash Flow'!AM$3)</f>
        <v>0</v>
      </c>
      <c r="AO13" s="89">
        <f>SUMIFS('Wells Fargo'!$F:$F,'Wells Fargo'!$G:$G,'Cash Flow'!$A13,'Wells Fargo'!$A:$A,AO$1,'Wells Fargo'!$B:$B,"&lt;="&amp;'Cash Flow'!AO$3,'Wells Fargo'!$B:$B,"&gt;"&amp;'Cash Flow'!AN$3)</f>
        <v>0</v>
      </c>
      <c r="AP13" s="90">
        <f>SUMIFS('Wells Fargo'!$F:$F,'Wells Fargo'!$G:$G,'Cash Flow'!$A13,'Wells Fargo'!$A:$A,AP$1,'Wells Fargo'!$B:$B,"&lt;="&amp;'Cash Flow'!AP$3)</f>
        <v>0</v>
      </c>
      <c r="AQ13" s="89">
        <f>SUMIFS('Wells Fargo'!$F:$F,'Wells Fargo'!$G:$G,'Cash Flow'!$A13,'Wells Fargo'!$A:$A,AQ$1,'Wells Fargo'!$B:$B,"&lt;="&amp;'Cash Flow'!AQ$3,'Wells Fargo'!$B:$B,"&gt;"&amp;'Cash Flow'!AP$3)</f>
        <v>0</v>
      </c>
      <c r="AR13" s="89">
        <f>SUMIFS('Wells Fargo'!$F:$F,'Wells Fargo'!$G:$G,'Cash Flow'!$A13,'Wells Fargo'!$A:$A,AR$1,'Wells Fargo'!$B:$B,"&lt;="&amp;'Cash Flow'!AR$3,'Wells Fargo'!$B:$B,"&gt;"&amp;'Cash Flow'!AQ$3)</f>
        <v>0</v>
      </c>
      <c r="AS13" s="89">
        <f>SUMIFS('Wells Fargo'!$F:$F,'Wells Fargo'!$G:$G,'Cash Flow'!$A13,'Wells Fargo'!$A:$A,AS$1,'Wells Fargo'!$B:$B,"&lt;="&amp;'Cash Flow'!AS$3,'Wells Fargo'!$B:$B,"&gt;"&amp;'Cash Flow'!AR$3)</f>
        <v>0</v>
      </c>
      <c r="AT13" s="89">
        <f>SUMIFS('Wells Fargo'!$F:$F,'Wells Fargo'!$G:$G,'Cash Flow'!$A13,'Wells Fargo'!$A:$A,AT$1,'Wells Fargo'!$B:$B,"&lt;="&amp;'Cash Flow'!AT$3,'Wells Fargo'!$B:$B,"&gt;"&amp;'Cash Flow'!AS$3)</f>
        <v>0</v>
      </c>
      <c r="AU13" s="90">
        <f>SUMIFS('Wells Fargo'!$F:$F,'Wells Fargo'!$G:$G,'Cash Flow'!$A13,'Wells Fargo'!$A:$A,AU$1,'Wells Fargo'!$B:$B,"&lt;="&amp;'Cash Flow'!AU$3)</f>
        <v>0</v>
      </c>
      <c r="AV13" s="89">
        <f>SUMIFS('Wells Fargo'!$F:$F,'Wells Fargo'!$G:$G,'Cash Flow'!$A13,'Wells Fargo'!$A:$A,AV$1,'Wells Fargo'!$B:$B,"&lt;="&amp;'Cash Flow'!AV$3,'Wells Fargo'!$B:$B,"&gt;"&amp;'Cash Flow'!AU$3)</f>
        <v>0</v>
      </c>
      <c r="AW13" s="89">
        <f>SUMIFS('Wells Fargo'!$F:$F,'Wells Fargo'!$G:$G,'Cash Flow'!$A13,'Wells Fargo'!$A:$A,AW$1,'Wells Fargo'!$B:$B,"&lt;="&amp;'Cash Flow'!AW$3,'Wells Fargo'!$B:$B,"&gt;"&amp;'Cash Flow'!AV$3)</f>
        <v>0</v>
      </c>
      <c r="AX13" s="89">
        <f>SUMIFS('Wells Fargo'!$F:$F,'Wells Fargo'!$G:$G,'Cash Flow'!$A13,'Wells Fargo'!$A:$A,AX$1,'Wells Fargo'!$B:$B,"&lt;="&amp;'Cash Flow'!AX$3,'Wells Fargo'!$B:$B,"&gt;"&amp;'Cash Flow'!AW$3)</f>
        <v>0</v>
      </c>
      <c r="AY13" s="89">
        <f>SUMIFS('Wells Fargo'!$F:$F,'Wells Fargo'!$G:$G,'Cash Flow'!$A13,'Wells Fargo'!$A:$A,AY$1,'Wells Fargo'!$B:$B,"&lt;="&amp;'Cash Flow'!AY$3,'Wells Fargo'!$B:$B,"&gt;"&amp;'Cash Flow'!AX$3)</f>
        <v>0</v>
      </c>
      <c r="AZ13" s="90">
        <f>SUMIFS('Wells Fargo'!$F:$F,'Wells Fargo'!$G:$G,'Cash Flow'!$A13,'Wells Fargo'!$A:$A,AZ$1,'Wells Fargo'!$B:$B,"&lt;="&amp;'Cash Flow'!AZ$3)</f>
        <v>0</v>
      </c>
      <c r="BA13" s="89">
        <f>SUMIFS('Wells Fargo'!$F:$F,'Wells Fargo'!$G:$G,'Cash Flow'!$A13,'Wells Fargo'!$A:$A,BA$1,'Wells Fargo'!$B:$B,"&lt;="&amp;'Cash Flow'!BA$3,'Wells Fargo'!$B:$B,"&gt;"&amp;'Cash Flow'!AZ$3)</f>
        <v>0</v>
      </c>
      <c r="BB13" s="89">
        <f>SUMIFS('Wells Fargo'!$F:$F,'Wells Fargo'!$G:$G,'Cash Flow'!$A13,'Wells Fargo'!$A:$A,BB$1,'Wells Fargo'!$B:$B,"&lt;="&amp;'Cash Flow'!BB$3,'Wells Fargo'!$B:$B,"&gt;"&amp;'Cash Flow'!BA$3)</f>
        <v>0</v>
      </c>
      <c r="BC13" s="89">
        <f>SUMIFS('Wells Fargo'!$F:$F,'Wells Fargo'!$G:$G,'Cash Flow'!$A13,'Wells Fargo'!$A:$A,BC$1,'Wells Fargo'!$B:$B,"&lt;="&amp;'Cash Flow'!BC$3,'Wells Fargo'!$B:$B,"&gt;"&amp;'Cash Flow'!BB$3)</f>
        <v>0</v>
      </c>
      <c r="BD13" s="89">
        <f>SUMIFS('Wells Fargo'!$F:$F,'Wells Fargo'!$G:$G,'Cash Flow'!$A13,'Wells Fargo'!$A:$A,BD$1,'Wells Fargo'!$B:$B,"&lt;="&amp;'Cash Flow'!BD$3,'Wells Fargo'!$B:$B,"&gt;"&amp;'Cash Flow'!BC$3)</f>
        <v>0</v>
      </c>
      <c r="BE13" s="90">
        <f>SUMIFS('Wells Fargo'!$F:$F,'Wells Fargo'!$G:$G,'Cash Flow'!$A13,'Wells Fargo'!$A:$A,BE$1,'Wells Fargo'!$B:$B,"&lt;="&amp;'Cash Flow'!BE$3)</f>
        <v>0</v>
      </c>
      <c r="BF13" s="89">
        <f>SUMIFS('Wells Fargo'!$F:$F,'Wells Fargo'!$G:$G,'Cash Flow'!$A13,'Wells Fargo'!$A:$A,BF$1,'Wells Fargo'!$B:$B,"&lt;="&amp;'Cash Flow'!BF$3,'Wells Fargo'!$B:$B,"&gt;"&amp;'Cash Flow'!BE$3)</f>
        <v>0</v>
      </c>
      <c r="BG13" s="89">
        <f>SUMIFS('Wells Fargo'!$F:$F,'Wells Fargo'!$G:$G,'Cash Flow'!$A13,'Wells Fargo'!$A:$A,BG$1,'Wells Fargo'!$B:$B,"&lt;="&amp;'Cash Flow'!BG$3,'Wells Fargo'!$B:$B,"&gt;"&amp;'Cash Flow'!BF$3)</f>
        <v>0</v>
      </c>
      <c r="BH13" s="89">
        <f>SUMIFS('Wells Fargo'!$F:$F,'Wells Fargo'!$G:$G,'Cash Flow'!$A13,'Wells Fargo'!$A:$A,BH$1,'Wells Fargo'!$B:$B,"&lt;="&amp;'Cash Flow'!BH$3,'Wells Fargo'!$B:$B,"&gt;"&amp;'Cash Flow'!BG$3)</f>
        <v>0</v>
      </c>
      <c r="BI13" s="89">
        <f>SUMIFS('Wells Fargo'!$F:$F,'Wells Fargo'!$G:$G,'Cash Flow'!$A13,'Wells Fargo'!$A:$A,BI$1,'Wells Fargo'!$B:$B,"&lt;="&amp;'Cash Flow'!BI$3,'Wells Fargo'!$B:$B,"&gt;"&amp;'Cash Flow'!BH$3)</f>
        <v>0</v>
      </c>
    </row>
    <row r="14" spans="1:61" ht="12.75" x14ac:dyDescent="0.2">
      <c r="A14" t="str">
        <v>Cairo</v>
      </c>
      <c r="B14" s="15">
        <f t="shared" si="0"/>
        <v>0</v>
      </c>
      <c r="C14" s="90">
        <f>SUMIFS('Wells Fargo'!$F:$F,'Wells Fargo'!$G:$G,'Cash Flow'!$A14,'Wells Fargo'!$A:$A,C$1,'Wells Fargo'!$B:$B,"&lt;="&amp;'Cash Flow'!C$3)</f>
        <v>0</v>
      </c>
      <c r="D14" s="89">
        <f>SUMIFS('Wells Fargo'!$F:$F,'Wells Fargo'!$G:$G,'Cash Flow'!$A14,'Wells Fargo'!$A:$A,D$1,'Wells Fargo'!$B:$B,"&lt;="&amp;'Cash Flow'!D$3,'Wells Fargo'!$B:$B,"&gt;"&amp;'Cash Flow'!C$3)</f>
        <v>0</v>
      </c>
      <c r="E14" s="89">
        <f>SUMIFS('Wells Fargo'!$F:$F,'Wells Fargo'!$G:$G,'Cash Flow'!$A14,'Wells Fargo'!$A:$A,E$1,'Wells Fargo'!$B:$B,"&lt;="&amp;'Cash Flow'!E$3,'Wells Fargo'!$B:$B,"&gt;"&amp;'Cash Flow'!D$3)</f>
        <v>0</v>
      </c>
      <c r="F14" s="89">
        <f>SUMIFS('Wells Fargo'!$F:$F,'Wells Fargo'!$G:$G,'Cash Flow'!$A14,'Wells Fargo'!$A:$A,F$1,'Wells Fargo'!$B:$B,"&lt;="&amp;'Cash Flow'!F$3,'Wells Fargo'!$B:$B,"&gt;"&amp;'Cash Flow'!E$3)</f>
        <v>-155</v>
      </c>
      <c r="G14" s="89">
        <f>SUMIFS('Wells Fargo'!$F:$F,'Wells Fargo'!$G:$G,'Cash Flow'!$A14,'Wells Fargo'!$A:$A,G$1,'Wells Fargo'!$B:$B,"&lt;="&amp;'Cash Flow'!G$3,'Wells Fargo'!$B:$B,"&gt;"&amp;'Cash Flow'!F$3)</f>
        <v>155</v>
      </c>
      <c r="H14" s="90">
        <f>SUMIFS('Wells Fargo'!$F:$F,'Wells Fargo'!$G:$G,'Cash Flow'!$A14,'Wells Fargo'!$A:$A,H$1,'Wells Fargo'!$B:$B,"&lt;="&amp;'Cash Flow'!H$3)</f>
        <v>0</v>
      </c>
      <c r="I14" s="89">
        <f>SUMIFS('Wells Fargo'!$F:$F,'Wells Fargo'!$G:$G,'Cash Flow'!$A14,'Wells Fargo'!$A:$A,I$1,'Wells Fargo'!$B:$B,"&lt;="&amp;'Cash Flow'!I$3,'Wells Fargo'!$B:$B,"&gt;"&amp;'Cash Flow'!H$3)</f>
        <v>0</v>
      </c>
      <c r="J14" s="89">
        <f>SUMIFS('Wells Fargo'!$F:$F,'Wells Fargo'!$G:$G,'Cash Flow'!$A14,'Wells Fargo'!$A:$A,J$1,'Wells Fargo'!$B:$B,"&lt;="&amp;'Cash Flow'!J$3,'Wells Fargo'!$B:$B,"&gt;"&amp;'Cash Flow'!I$3)</f>
        <v>0</v>
      </c>
      <c r="K14" s="89">
        <f>SUMIFS('Wells Fargo'!$F:$F,'Wells Fargo'!$G:$G,'Cash Flow'!$A14,'Wells Fargo'!$A:$A,K$1,'Wells Fargo'!$B:$B,"&lt;="&amp;'Cash Flow'!K$3,'Wells Fargo'!$B:$B,"&gt;"&amp;'Cash Flow'!J$3)</f>
        <v>0</v>
      </c>
      <c r="L14" s="90">
        <f>SUMIFS('Wells Fargo'!$F:$F,'Wells Fargo'!$G:$G,'Cash Flow'!$A14,'Wells Fargo'!$A:$A,L$1,'Wells Fargo'!$B:$B,"&lt;="&amp;'Cash Flow'!L$3)</f>
        <v>0</v>
      </c>
      <c r="M14" s="89">
        <f>SUMIFS('Wells Fargo'!$F:$F,'Wells Fargo'!$G:$G,'Cash Flow'!$A14,'Wells Fargo'!$A:$A,M$1,'Wells Fargo'!$B:$B,"&lt;="&amp;'Cash Flow'!M$3,'Wells Fargo'!$B:$B,"&gt;"&amp;'Cash Flow'!L$3)</f>
        <v>0</v>
      </c>
      <c r="N14" s="89">
        <f>SUMIFS('Wells Fargo'!$F:$F,'Wells Fargo'!$G:$G,'Cash Flow'!$A14,'Wells Fargo'!$A:$A,N$1,'Wells Fargo'!$B:$B,"&lt;="&amp;'Cash Flow'!N$3,'Wells Fargo'!$B:$B,"&gt;"&amp;'Cash Flow'!M$3)</f>
        <v>0</v>
      </c>
      <c r="O14" s="89">
        <f>SUMIFS('Wells Fargo'!$F:$F,'Wells Fargo'!$G:$G,'Cash Flow'!$A14,'Wells Fargo'!$A:$A,O$1,'Wells Fargo'!$B:$B,"&lt;="&amp;'Cash Flow'!O$3,'Wells Fargo'!$B:$B,"&gt;"&amp;'Cash Flow'!N$3)</f>
        <v>0</v>
      </c>
      <c r="P14" s="89">
        <f>SUMIFS('Wells Fargo'!$F:$F,'Wells Fargo'!$G:$G,'Cash Flow'!$A14,'Wells Fargo'!$A:$A,P$1,'Wells Fargo'!$B:$B,"&lt;="&amp;'Cash Flow'!P$3,'Wells Fargo'!$B:$B,"&gt;"&amp;'Cash Flow'!O$3)</f>
        <v>0</v>
      </c>
      <c r="Q14" s="90">
        <f>SUMIFS('Wells Fargo'!$F:$F,'Wells Fargo'!$G:$G,'Cash Flow'!$A14,'Wells Fargo'!$A:$A,Q$1,'Wells Fargo'!$B:$B,"&lt;="&amp;'Cash Flow'!Q$3)</f>
        <v>0</v>
      </c>
      <c r="R14" s="89">
        <f>SUMIFS('Wells Fargo'!$F:$F,'Wells Fargo'!$G:$G,'Cash Flow'!$A14,'Wells Fargo'!$A:$A,R$1,'Wells Fargo'!$B:$B,"&lt;="&amp;'Cash Flow'!R$3,'Wells Fargo'!$B:$B,"&gt;"&amp;'Cash Flow'!Q$3)</f>
        <v>0</v>
      </c>
      <c r="S14" s="89">
        <f>SUMIFS('Wells Fargo'!$F:$F,'Wells Fargo'!$G:$G,'Cash Flow'!$A14,'Wells Fargo'!$A:$A,S$1,'Wells Fargo'!$B:$B,"&lt;="&amp;'Cash Flow'!S$3,'Wells Fargo'!$B:$B,"&gt;"&amp;'Cash Flow'!R$3)</f>
        <v>0</v>
      </c>
      <c r="T14" s="89">
        <f>SUMIFS('Wells Fargo'!$F:$F,'Wells Fargo'!$G:$G,'Cash Flow'!$A14,'Wells Fargo'!$A:$A,T$1,'Wells Fargo'!$B:$B,"&lt;="&amp;'Cash Flow'!T$3,'Wells Fargo'!$B:$B,"&gt;"&amp;'Cash Flow'!S$3)</f>
        <v>0</v>
      </c>
      <c r="U14" s="89">
        <f>SUMIFS('Wells Fargo'!$F:$F,'Wells Fargo'!$G:$G,'Cash Flow'!$A14,'Wells Fargo'!$A:$A,U$1,'Wells Fargo'!$B:$B,"&lt;="&amp;'Cash Flow'!U$3,'Wells Fargo'!$B:$B,"&gt;"&amp;'Cash Flow'!T$3)</f>
        <v>0</v>
      </c>
      <c r="V14" s="90">
        <f>SUMIFS('Wells Fargo'!$F:$F,'Wells Fargo'!$G:$G,'Cash Flow'!$A14,'Wells Fargo'!$A:$A,V$1,'Wells Fargo'!$B:$B,"&lt;="&amp;'Cash Flow'!V$3)</f>
        <v>0</v>
      </c>
      <c r="W14" s="89">
        <f>SUMIFS('Wells Fargo'!$F:$F,'Wells Fargo'!$G:$G,'Cash Flow'!$A14,'Wells Fargo'!$A:$A,W$1,'Wells Fargo'!$B:$B,"&lt;="&amp;'Cash Flow'!W$3,'Wells Fargo'!$B:$B,"&gt;"&amp;'Cash Flow'!V$3)</f>
        <v>0</v>
      </c>
      <c r="X14" s="89">
        <f>SUMIFS('Wells Fargo'!$F:$F,'Wells Fargo'!$G:$G,'Cash Flow'!$A14,'Wells Fargo'!$A:$A,X$1,'Wells Fargo'!$B:$B,"&lt;="&amp;'Cash Flow'!X$3,'Wells Fargo'!$B:$B,"&gt;"&amp;'Cash Flow'!W$3)</f>
        <v>0</v>
      </c>
      <c r="Y14" s="89">
        <f>SUMIFS('Wells Fargo'!$F:$F,'Wells Fargo'!$G:$G,'Cash Flow'!$A14,'Wells Fargo'!$A:$A,Y$1,'Wells Fargo'!$B:$B,"&lt;="&amp;'Cash Flow'!Y$3,'Wells Fargo'!$B:$B,"&gt;"&amp;'Cash Flow'!X$3)</f>
        <v>0</v>
      </c>
      <c r="Z14" s="89">
        <f>SUMIFS('Wells Fargo'!$F:$F,'Wells Fargo'!$G:$G,'Cash Flow'!$A14,'Wells Fargo'!$A:$A,Z$1,'Wells Fargo'!$B:$B,"&lt;="&amp;'Cash Flow'!Z$3,'Wells Fargo'!$B:$B,"&gt;"&amp;'Cash Flow'!Y$3)</f>
        <v>0</v>
      </c>
      <c r="AA14" s="90">
        <f>SUMIFS('Wells Fargo'!$F:$F,'Wells Fargo'!$G:$G,'Cash Flow'!$A14,'Wells Fargo'!$A:$A,AA$1,'Wells Fargo'!$B:$B,"&lt;="&amp;'Cash Flow'!AA$3)</f>
        <v>0</v>
      </c>
      <c r="AB14" s="89">
        <f>SUMIFS('Wells Fargo'!$F:$F,'Wells Fargo'!$G:$G,'Cash Flow'!$A14,'Wells Fargo'!$A:$A,AB$1,'Wells Fargo'!$B:$B,"&lt;="&amp;'Cash Flow'!AB$3,'Wells Fargo'!$B:$B,"&gt;"&amp;'Cash Flow'!AA$3)</f>
        <v>0</v>
      </c>
      <c r="AC14" s="89">
        <f>SUMIFS('Wells Fargo'!$F:$F,'Wells Fargo'!$G:$G,'Cash Flow'!$A14,'Wells Fargo'!$A:$A,AC$1,'Wells Fargo'!$B:$B,"&lt;="&amp;'Cash Flow'!AC$3,'Wells Fargo'!$B:$B,"&gt;"&amp;'Cash Flow'!AB$3)</f>
        <v>0</v>
      </c>
      <c r="AD14" s="89">
        <f>SUMIFS('Wells Fargo'!$F:$F,'Wells Fargo'!$G:$G,'Cash Flow'!$A14,'Wells Fargo'!$A:$A,AD$1,'Wells Fargo'!$B:$B,"&lt;="&amp;'Cash Flow'!AD$3,'Wells Fargo'!$B:$B,"&gt;"&amp;'Cash Flow'!AC$3)</f>
        <v>0</v>
      </c>
      <c r="AE14" s="89">
        <f>SUMIFS('Wells Fargo'!$F:$F,'Wells Fargo'!$G:$G,'Cash Flow'!$A14,'Wells Fargo'!$A:$A,AE$1,'Wells Fargo'!$B:$B,"&lt;="&amp;'Cash Flow'!AE$3,'Wells Fargo'!$B:$B,"&gt;"&amp;'Cash Flow'!AD$3)</f>
        <v>0</v>
      </c>
      <c r="AF14" s="90">
        <f>SUMIFS('Wells Fargo'!$F:$F,'Wells Fargo'!$G:$G,'Cash Flow'!$A14,'Wells Fargo'!$A:$A,AF$1,'Wells Fargo'!$B:$B,"&lt;="&amp;'Cash Flow'!AF$3)</f>
        <v>0</v>
      </c>
      <c r="AG14" s="89">
        <f>SUMIFS('Wells Fargo'!$F:$F,'Wells Fargo'!$G:$G,'Cash Flow'!$A14,'Wells Fargo'!$A:$A,AG$1,'Wells Fargo'!$B:$B,"&lt;="&amp;'Cash Flow'!AG$3,'Wells Fargo'!$B:$B,"&gt;"&amp;'Cash Flow'!AF$3)</f>
        <v>0</v>
      </c>
      <c r="AH14" s="89">
        <f>SUMIFS('Wells Fargo'!$F:$F,'Wells Fargo'!$G:$G,'Cash Flow'!$A14,'Wells Fargo'!$A:$A,AH$1,'Wells Fargo'!$B:$B,"&lt;="&amp;'Cash Flow'!AH$3,'Wells Fargo'!$B:$B,"&gt;"&amp;'Cash Flow'!AG$3)</f>
        <v>0</v>
      </c>
      <c r="AI14" s="89">
        <f>SUMIFS('Wells Fargo'!$F:$F,'Wells Fargo'!$G:$G,'Cash Flow'!$A14,'Wells Fargo'!$A:$A,AI$1,'Wells Fargo'!$B:$B,"&lt;="&amp;'Cash Flow'!AI$3,'Wells Fargo'!$B:$B,"&gt;"&amp;'Cash Flow'!AH$3)</f>
        <v>0</v>
      </c>
      <c r="AJ14" s="89">
        <f>SUMIFS('Wells Fargo'!$F:$F,'Wells Fargo'!$G:$G,'Cash Flow'!$A14,'Wells Fargo'!$A:$A,AJ$1,'Wells Fargo'!$B:$B,"&lt;="&amp;'Cash Flow'!AJ$3,'Wells Fargo'!$B:$B,"&gt;"&amp;'Cash Flow'!AI$3)</f>
        <v>0</v>
      </c>
      <c r="AK14" s="90">
        <f>SUMIFS('Wells Fargo'!$F:$F,'Wells Fargo'!$G:$G,'Cash Flow'!$A14,'Wells Fargo'!$A:$A,AK$1,'Wells Fargo'!$B:$B,"&lt;="&amp;'Cash Flow'!AK$3)</f>
        <v>0</v>
      </c>
      <c r="AL14" s="89">
        <f>SUMIFS('Wells Fargo'!$F:$F,'Wells Fargo'!$G:$G,'Cash Flow'!$A14,'Wells Fargo'!$A:$A,AL$1,'Wells Fargo'!$B:$B,"&lt;="&amp;'Cash Flow'!AL$3,'Wells Fargo'!$B:$B,"&gt;"&amp;'Cash Flow'!AK$3)</f>
        <v>0</v>
      </c>
      <c r="AM14" s="89">
        <f>SUMIFS('Wells Fargo'!$F:$F,'Wells Fargo'!$G:$G,'Cash Flow'!$A14,'Wells Fargo'!$A:$A,AM$1,'Wells Fargo'!$B:$B,"&lt;="&amp;'Cash Flow'!AM$3,'Wells Fargo'!$B:$B,"&gt;"&amp;'Cash Flow'!AL$3)</f>
        <v>0</v>
      </c>
      <c r="AN14" s="89">
        <f>SUMIFS('Wells Fargo'!$F:$F,'Wells Fargo'!$G:$G,'Cash Flow'!$A14,'Wells Fargo'!$A:$A,AN$1,'Wells Fargo'!$B:$B,"&lt;="&amp;'Cash Flow'!AN$3,'Wells Fargo'!$B:$B,"&gt;"&amp;'Cash Flow'!AM$3)</f>
        <v>0</v>
      </c>
      <c r="AO14" s="89">
        <f>SUMIFS('Wells Fargo'!$F:$F,'Wells Fargo'!$G:$G,'Cash Flow'!$A14,'Wells Fargo'!$A:$A,AO$1,'Wells Fargo'!$B:$B,"&lt;="&amp;'Cash Flow'!AO$3,'Wells Fargo'!$B:$B,"&gt;"&amp;'Cash Flow'!AN$3)</f>
        <v>0</v>
      </c>
      <c r="AP14" s="90">
        <f>SUMIFS('Wells Fargo'!$F:$F,'Wells Fargo'!$G:$G,'Cash Flow'!$A14,'Wells Fargo'!$A:$A,AP$1,'Wells Fargo'!$B:$B,"&lt;="&amp;'Cash Flow'!AP$3)</f>
        <v>0</v>
      </c>
      <c r="AQ14" s="89">
        <f>SUMIFS('Wells Fargo'!$F:$F,'Wells Fargo'!$G:$G,'Cash Flow'!$A14,'Wells Fargo'!$A:$A,AQ$1,'Wells Fargo'!$B:$B,"&lt;="&amp;'Cash Flow'!AQ$3,'Wells Fargo'!$B:$B,"&gt;"&amp;'Cash Flow'!AP$3)</f>
        <v>0</v>
      </c>
      <c r="AR14" s="89">
        <f>SUMIFS('Wells Fargo'!$F:$F,'Wells Fargo'!$G:$G,'Cash Flow'!$A14,'Wells Fargo'!$A:$A,AR$1,'Wells Fargo'!$B:$B,"&lt;="&amp;'Cash Flow'!AR$3,'Wells Fargo'!$B:$B,"&gt;"&amp;'Cash Flow'!AQ$3)</f>
        <v>0</v>
      </c>
      <c r="AS14" s="89">
        <f>SUMIFS('Wells Fargo'!$F:$F,'Wells Fargo'!$G:$G,'Cash Flow'!$A14,'Wells Fargo'!$A:$A,AS$1,'Wells Fargo'!$B:$B,"&lt;="&amp;'Cash Flow'!AS$3,'Wells Fargo'!$B:$B,"&gt;"&amp;'Cash Flow'!AR$3)</f>
        <v>0</v>
      </c>
      <c r="AT14" s="89">
        <f>SUMIFS('Wells Fargo'!$F:$F,'Wells Fargo'!$G:$G,'Cash Flow'!$A14,'Wells Fargo'!$A:$A,AT$1,'Wells Fargo'!$B:$B,"&lt;="&amp;'Cash Flow'!AT$3,'Wells Fargo'!$B:$B,"&gt;"&amp;'Cash Flow'!AS$3)</f>
        <v>0</v>
      </c>
      <c r="AU14" s="90">
        <f>SUMIFS('Wells Fargo'!$F:$F,'Wells Fargo'!$G:$G,'Cash Flow'!$A14,'Wells Fargo'!$A:$A,AU$1,'Wells Fargo'!$B:$B,"&lt;="&amp;'Cash Flow'!AU$3)</f>
        <v>0</v>
      </c>
      <c r="AV14" s="89">
        <f>SUMIFS('Wells Fargo'!$F:$F,'Wells Fargo'!$G:$G,'Cash Flow'!$A14,'Wells Fargo'!$A:$A,AV$1,'Wells Fargo'!$B:$B,"&lt;="&amp;'Cash Flow'!AV$3,'Wells Fargo'!$B:$B,"&gt;"&amp;'Cash Flow'!AU$3)</f>
        <v>0</v>
      </c>
      <c r="AW14" s="89">
        <f>SUMIFS('Wells Fargo'!$F:$F,'Wells Fargo'!$G:$G,'Cash Flow'!$A14,'Wells Fargo'!$A:$A,AW$1,'Wells Fargo'!$B:$B,"&lt;="&amp;'Cash Flow'!AW$3,'Wells Fargo'!$B:$B,"&gt;"&amp;'Cash Flow'!AV$3)</f>
        <v>0</v>
      </c>
      <c r="AX14" s="89">
        <f>SUMIFS('Wells Fargo'!$F:$F,'Wells Fargo'!$G:$G,'Cash Flow'!$A14,'Wells Fargo'!$A:$A,AX$1,'Wells Fargo'!$B:$B,"&lt;="&amp;'Cash Flow'!AX$3,'Wells Fargo'!$B:$B,"&gt;"&amp;'Cash Flow'!AW$3)</f>
        <v>0</v>
      </c>
      <c r="AY14" s="89">
        <f>SUMIFS('Wells Fargo'!$F:$F,'Wells Fargo'!$G:$G,'Cash Flow'!$A14,'Wells Fargo'!$A:$A,AY$1,'Wells Fargo'!$B:$B,"&lt;="&amp;'Cash Flow'!AY$3,'Wells Fargo'!$B:$B,"&gt;"&amp;'Cash Flow'!AX$3)</f>
        <v>0</v>
      </c>
      <c r="AZ14" s="90">
        <f>SUMIFS('Wells Fargo'!$F:$F,'Wells Fargo'!$G:$G,'Cash Flow'!$A14,'Wells Fargo'!$A:$A,AZ$1,'Wells Fargo'!$B:$B,"&lt;="&amp;'Cash Flow'!AZ$3)</f>
        <v>0</v>
      </c>
      <c r="BA14" s="89">
        <f>SUMIFS('Wells Fargo'!$F:$F,'Wells Fargo'!$G:$G,'Cash Flow'!$A14,'Wells Fargo'!$A:$A,BA$1,'Wells Fargo'!$B:$B,"&lt;="&amp;'Cash Flow'!BA$3,'Wells Fargo'!$B:$B,"&gt;"&amp;'Cash Flow'!AZ$3)</f>
        <v>0</v>
      </c>
      <c r="BB14" s="89">
        <f>SUMIFS('Wells Fargo'!$F:$F,'Wells Fargo'!$G:$G,'Cash Flow'!$A14,'Wells Fargo'!$A:$A,BB$1,'Wells Fargo'!$B:$B,"&lt;="&amp;'Cash Flow'!BB$3,'Wells Fargo'!$B:$B,"&gt;"&amp;'Cash Flow'!BA$3)</f>
        <v>0</v>
      </c>
      <c r="BC14" s="89">
        <f>SUMIFS('Wells Fargo'!$F:$F,'Wells Fargo'!$G:$G,'Cash Flow'!$A14,'Wells Fargo'!$A:$A,BC$1,'Wells Fargo'!$B:$B,"&lt;="&amp;'Cash Flow'!BC$3,'Wells Fargo'!$B:$B,"&gt;"&amp;'Cash Flow'!BB$3)</f>
        <v>0</v>
      </c>
      <c r="BD14" s="89">
        <f>SUMIFS('Wells Fargo'!$F:$F,'Wells Fargo'!$G:$G,'Cash Flow'!$A14,'Wells Fargo'!$A:$A,BD$1,'Wells Fargo'!$B:$B,"&lt;="&amp;'Cash Flow'!BD$3,'Wells Fargo'!$B:$B,"&gt;"&amp;'Cash Flow'!BC$3)</f>
        <v>0</v>
      </c>
      <c r="BE14" s="90">
        <f>SUMIFS('Wells Fargo'!$F:$F,'Wells Fargo'!$G:$G,'Cash Flow'!$A14,'Wells Fargo'!$A:$A,BE$1,'Wells Fargo'!$B:$B,"&lt;="&amp;'Cash Flow'!BE$3)</f>
        <v>0</v>
      </c>
      <c r="BF14" s="89">
        <f>SUMIFS('Wells Fargo'!$F:$F,'Wells Fargo'!$G:$G,'Cash Flow'!$A14,'Wells Fargo'!$A:$A,BF$1,'Wells Fargo'!$B:$B,"&lt;="&amp;'Cash Flow'!BF$3,'Wells Fargo'!$B:$B,"&gt;"&amp;'Cash Flow'!BE$3)</f>
        <v>0</v>
      </c>
      <c r="BG14" s="89">
        <f>SUMIFS('Wells Fargo'!$F:$F,'Wells Fargo'!$G:$G,'Cash Flow'!$A14,'Wells Fargo'!$A:$A,BG$1,'Wells Fargo'!$B:$B,"&lt;="&amp;'Cash Flow'!BG$3,'Wells Fargo'!$B:$B,"&gt;"&amp;'Cash Flow'!BF$3)</f>
        <v>0</v>
      </c>
      <c r="BH14" s="89">
        <f>SUMIFS('Wells Fargo'!$F:$F,'Wells Fargo'!$G:$G,'Cash Flow'!$A14,'Wells Fargo'!$A:$A,BH$1,'Wells Fargo'!$B:$B,"&lt;="&amp;'Cash Flow'!BH$3,'Wells Fargo'!$B:$B,"&gt;"&amp;'Cash Flow'!BG$3)</f>
        <v>0</v>
      </c>
      <c r="BI14" s="89">
        <f>SUMIFS('Wells Fargo'!$F:$F,'Wells Fargo'!$G:$G,'Cash Flow'!$A14,'Wells Fargo'!$A:$A,BI$1,'Wells Fargo'!$B:$B,"&lt;="&amp;'Cash Flow'!BI$3,'Wells Fargo'!$B:$B,"&gt;"&amp;'Cash Flow'!BH$3)</f>
        <v>0</v>
      </c>
    </row>
    <row r="15" spans="1:61" ht="12.75" x14ac:dyDescent="0.2">
      <c r="A15" t="str">
        <v>Cleaning</v>
      </c>
      <c r="B15" s="15">
        <f t="shared" si="0"/>
        <v>-95</v>
      </c>
      <c r="C15" s="90">
        <f>SUMIFS('Wells Fargo'!$F:$F,'Wells Fargo'!$G:$G,'Cash Flow'!$A15,'Wells Fargo'!$A:$A,C$1,'Wells Fargo'!$B:$B,"&lt;="&amp;'Cash Flow'!C$3)</f>
        <v>0</v>
      </c>
      <c r="D15" s="89">
        <f>SUMIFS('Wells Fargo'!$F:$F,'Wells Fargo'!$G:$G,'Cash Flow'!$A15,'Wells Fargo'!$A:$A,D$1,'Wells Fargo'!$B:$B,"&lt;="&amp;'Cash Flow'!D$3,'Wells Fargo'!$B:$B,"&gt;"&amp;'Cash Flow'!C$3)</f>
        <v>0</v>
      </c>
      <c r="E15" s="89">
        <f>SUMIFS('Wells Fargo'!$F:$F,'Wells Fargo'!$G:$G,'Cash Flow'!$A15,'Wells Fargo'!$A:$A,E$1,'Wells Fargo'!$B:$B,"&lt;="&amp;'Cash Flow'!E$3,'Wells Fargo'!$B:$B,"&gt;"&amp;'Cash Flow'!D$3)</f>
        <v>0</v>
      </c>
      <c r="F15" s="89">
        <f>SUMIFS('Wells Fargo'!$F:$F,'Wells Fargo'!$G:$G,'Cash Flow'!$A15,'Wells Fargo'!$A:$A,F$1,'Wells Fargo'!$B:$B,"&lt;="&amp;'Cash Flow'!F$3,'Wells Fargo'!$B:$B,"&gt;"&amp;'Cash Flow'!E$3)</f>
        <v>0</v>
      </c>
      <c r="G15" s="89">
        <f>SUMIFS('Wells Fargo'!$F:$F,'Wells Fargo'!$G:$G,'Cash Flow'!$A15,'Wells Fargo'!$A:$A,G$1,'Wells Fargo'!$B:$B,"&lt;="&amp;'Cash Flow'!G$3,'Wells Fargo'!$B:$B,"&gt;"&amp;'Cash Flow'!F$3)</f>
        <v>0</v>
      </c>
      <c r="H15" s="90">
        <f>SUMIFS('Wells Fargo'!$F:$F,'Wells Fargo'!$G:$G,'Cash Flow'!$A15,'Wells Fargo'!$A:$A,H$1,'Wells Fargo'!$B:$B,"&lt;="&amp;'Cash Flow'!H$3)</f>
        <v>0</v>
      </c>
      <c r="I15" s="89">
        <f>SUMIFS('Wells Fargo'!$F:$F,'Wells Fargo'!$G:$G,'Cash Flow'!$A15,'Wells Fargo'!$A:$A,I$1,'Wells Fargo'!$B:$B,"&lt;="&amp;'Cash Flow'!I$3,'Wells Fargo'!$B:$B,"&gt;"&amp;'Cash Flow'!H$3)</f>
        <v>0</v>
      </c>
      <c r="J15" s="89">
        <f>SUMIFS('Wells Fargo'!$F:$F,'Wells Fargo'!$G:$G,'Cash Flow'!$A15,'Wells Fargo'!$A:$A,J$1,'Wells Fargo'!$B:$B,"&lt;="&amp;'Cash Flow'!J$3,'Wells Fargo'!$B:$B,"&gt;"&amp;'Cash Flow'!I$3)</f>
        <v>0</v>
      </c>
      <c r="K15" s="89">
        <f>SUMIFS('Wells Fargo'!$F:$F,'Wells Fargo'!$G:$G,'Cash Flow'!$A15,'Wells Fargo'!$A:$A,K$1,'Wells Fargo'!$B:$B,"&lt;="&amp;'Cash Flow'!K$3,'Wells Fargo'!$B:$B,"&gt;"&amp;'Cash Flow'!J$3)</f>
        <v>0</v>
      </c>
      <c r="L15" s="90">
        <f>SUMIFS('Wells Fargo'!$F:$F,'Wells Fargo'!$G:$G,'Cash Flow'!$A15,'Wells Fargo'!$A:$A,L$1,'Wells Fargo'!$B:$B,"&lt;="&amp;'Cash Flow'!L$3)</f>
        <v>0</v>
      </c>
      <c r="M15" s="89">
        <f>SUMIFS('Wells Fargo'!$F:$F,'Wells Fargo'!$G:$G,'Cash Flow'!$A15,'Wells Fargo'!$A:$A,M$1,'Wells Fargo'!$B:$B,"&lt;="&amp;'Cash Flow'!M$3,'Wells Fargo'!$B:$B,"&gt;"&amp;'Cash Flow'!L$3)</f>
        <v>0</v>
      </c>
      <c r="N15" s="89">
        <f>SUMIFS('Wells Fargo'!$F:$F,'Wells Fargo'!$G:$G,'Cash Flow'!$A15,'Wells Fargo'!$A:$A,N$1,'Wells Fargo'!$B:$B,"&lt;="&amp;'Cash Flow'!N$3,'Wells Fargo'!$B:$B,"&gt;"&amp;'Cash Flow'!M$3)</f>
        <v>0</v>
      </c>
      <c r="O15" s="89">
        <f>SUMIFS('Wells Fargo'!$F:$F,'Wells Fargo'!$G:$G,'Cash Flow'!$A15,'Wells Fargo'!$A:$A,O$1,'Wells Fargo'!$B:$B,"&lt;="&amp;'Cash Flow'!O$3,'Wells Fargo'!$B:$B,"&gt;"&amp;'Cash Flow'!N$3)</f>
        <v>0</v>
      </c>
      <c r="P15" s="89">
        <f>SUMIFS('Wells Fargo'!$F:$F,'Wells Fargo'!$G:$G,'Cash Flow'!$A15,'Wells Fargo'!$A:$A,P$1,'Wells Fargo'!$B:$B,"&lt;="&amp;'Cash Flow'!P$3,'Wells Fargo'!$B:$B,"&gt;"&amp;'Cash Flow'!O$3)</f>
        <v>0</v>
      </c>
      <c r="Q15" s="90">
        <f>SUMIFS('Wells Fargo'!$F:$F,'Wells Fargo'!$G:$G,'Cash Flow'!$A15,'Wells Fargo'!$A:$A,Q$1,'Wells Fargo'!$B:$B,"&lt;="&amp;'Cash Flow'!Q$3)</f>
        <v>0</v>
      </c>
      <c r="R15" s="89">
        <f>SUMIFS('Wells Fargo'!$F:$F,'Wells Fargo'!$G:$G,'Cash Flow'!$A15,'Wells Fargo'!$A:$A,R$1,'Wells Fargo'!$B:$B,"&lt;="&amp;'Cash Flow'!R$3,'Wells Fargo'!$B:$B,"&gt;"&amp;'Cash Flow'!Q$3)</f>
        <v>0</v>
      </c>
      <c r="S15" s="89">
        <f>SUMIFS('Wells Fargo'!$F:$F,'Wells Fargo'!$G:$G,'Cash Flow'!$A15,'Wells Fargo'!$A:$A,S$1,'Wells Fargo'!$B:$B,"&lt;="&amp;'Cash Flow'!S$3,'Wells Fargo'!$B:$B,"&gt;"&amp;'Cash Flow'!R$3)</f>
        <v>0</v>
      </c>
      <c r="T15" s="89">
        <f>SUMIFS('Wells Fargo'!$F:$F,'Wells Fargo'!$G:$G,'Cash Flow'!$A15,'Wells Fargo'!$A:$A,T$1,'Wells Fargo'!$B:$B,"&lt;="&amp;'Cash Flow'!T$3,'Wells Fargo'!$B:$B,"&gt;"&amp;'Cash Flow'!S$3)</f>
        <v>0</v>
      </c>
      <c r="U15" s="89">
        <f>SUMIFS('Wells Fargo'!$F:$F,'Wells Fargo'!$G:$G,'Cash Flow'!$A15,'Wells Fargo'!$A:$A,U$1,'Wells Fargo'!$B:$B,"&lt;="&amp;'Cash Flow'!U$3,'Wells Fargo'!$B:$B,"&gt;"&amp;'Cash Flow'!T$3)</f>
        <v>0</v>
      </c>
      <c r="V15" s="90">
        <f>SUMIFS('Wells Fargo'!$F:$F,'Wells Fargo'!$G:$G,'Cash Flow'!$A15,'Wells Fargo'!$A:$A,V$1,'Wells Fargo'!$B:$B,"&lt;="&amp;'Cash Flow'!V$3)</f>
        <v>0</v>
      </c>
      <c r="W15" s="89">
        <f>SUMIFS('Wells Fargo'!$F:$F,'Wells Fargo'!$G:$G,'Cash Flow'!$A15,'Wells Fargo'!$A:$A,W$1,'Wells Fargo'!$B:$B,"&lt;="&amp;'Cash Flow'!W$3,'Wells Fargo'!$B:$B,"&gt;"&amp;'Cash Flow'!V$3)</f>
        <v>0</v>
      </c>
      <c r="X15" s="89">
        <f>SUMIFS('Wells Fargo'!$F:$F,'Wells Fargo'!$G:$G,'Cash Flow'!$A15,'Wells Fargo'!$A:$A,X$1,'Wells Fargo'!$B:$B,"&lt;="&amp;'Cash Flow'!X$3,'Wells Fargo'!$B:$B,"&gt;"&amp;'Cash Flow'!W$3)</f>
        <v>0</v>
      </c>
      <c r="Y15" s="89">
        <f>SUMIFS('Wells Fargo'!$F:$F,'Wells Fargo'!$G:$G,'Cash Flow'!$A15,'Wells Fargo'!$A:$A,Y$1,'Wells Fargo'!$B:$B,"&lt;="&amp;'Cash Flow'!Y$3,'Wells Fargo'!$B:$B,"&gt;"&amp;'Cash Flow'!X$3)</f>
        <v>0</v>
      </c>
      <c r="Z15" s="89">
        <f>SUMIFS('Wells Fargo'!$F:$F,'Wells Fargo'!$G:$G,'Cash Flow'!$A15,'Wells Fargo'!$A:$A,Z$1,'Wells Fargo'!$B:$B,"&lt;="&amp;'Cash Flow'!Z$3,'Wells Fargo'!$B:$B,"&gt;"&amp;'Cash Flow'!Y$3)</f>
        <v>0</v>
      </c>
      <c r="AA15" s="90">
        <f>SUMIFS('Wells Fargo'!$F:$F,'Wells Fargo'!$G:$G,'Cash Flow'!$A15,'Wells Fargo'!$A:$A,AA$1,'Wells Fargo'!$B:$B,"&lt;="&amp;'Cash Flow'!AA$3)</f>
        <v>0</v>
      </c>
      <c r="AB15" s="89">
        <f>SUMIFS('Wells Fargo'!$F:$F,'Wells Fargo'!$G:$G,'Cash Flow'!$A15,'Wells Fargo'!$A:$A,AB$1,'Wells Fargo'!$B:$B,"&lt;="&amp;'Cash Flow'!AB$3,'Wells Fargo'!$B:$B,"&gt;"&amp;'Cash Flow'!AA$3)</f>
        <v>0</v>
      </c>
      <c r="AC15" s="89">
        <f>SUMIFS('Wells Fargo'!$F:$F,'Wells Fargo'!$G:$G,'Cash Flow'!$A15,'Wells Fargo'!$A:$A,AC$1,'Wells Fargo'!$B:$B,"&lt;="&amp;'Cash Flow'!AC$3,'Wells Fargo'!$B:$B,"&gt;"&amp;'Cash Flow'!AB$3)</f>
        <v>0</v>
      </c>
      <c r="AD15" s="89">
        <f>SUMIFS('Wells Fargo'!$F:$F,'Wells Fargo'!$G:$G,'Cash Flow'!$A15,'Wells Fargo'!$A:$A,AD$1,'Wells Fargo'!$B:$B,"&lt;="&amp;'Cash Flow'!AD$3,'Wells Fargo'!$B:$B,"&gt;"&amp;'Cash Flow'!AC$3)</f>
        <v>0</v>
      </c>
      <c r="AE15" s="89">
        <f>SUMIFS('Wells Fargo'!$F:$F,'Wells Fargo'!$G:$G,'Cash Flow'!$A15,'Wells Fargo'!$A:$A,AE$1,'Wells Fargo'!$B:$B,"&lt;="&amp;'Cash Flow'!AE$3,'Wells Fargo'!$B:$B,"&gt;"&amp;'Cash Flow'!AD$3)</f>
        <v>0</v>
      </c>
      <c r="AF15" s="90">
        <f>SUMIFS('Wells Fargo'!$F:$F,'Wells Fargo'!$G:$G,'Cash Flow'!$A15,'Wells Fargo'!$A:$A,AF$1,'Wells Fargo'!$B:$B,"&lt;="&amp;'Cash Flow'!AF$3)</f>
        <v>0</v>
      </c>
      <c r="AG15" s="89">
        <f>SUMIFS('Wells Fargo'!$F:$F,'Wells Fargo'!$G:$G,'Cash Flow'!$A15,'Wells Fargo'!$A:$A,AG$1,'Wells Fargo'!$B:$B,"&lt;="&amp;'Cash Flow'!AG$3,'Wells Fargo'!$B:$B,"&gt;"&amp;'Cash Flow'!AF$3)</f>
        <v>0</v>
      </c>
      <c r="AH15" s="89">
        <f>SUMIFS('Wells Fargo'!$F:$F,'Wells Fargo'!$G:$G,'Cash Flow'!$A15,'Wells Fargo'!$A:$A,AH$1,'Wells Fargo'!$B:$B,"&lt;="&amp;'Cash Flow'!AH$3,'Wells Fargo'!$B:$B,"&gt;"&amp;'Cash Flow'!AG$3)</f>
        <v>0</v>
      </c>
      <c r="AI15" s="89">
        <f>SUMIFS('Wells Fargo'!$F:$F,'Wells Fargo'!$G:$G,'Cash Flow'!$A15,'Wells Fargo'!$A:$A,AI$1,'Wells Fargo'!$B:$B,"&lt;="&amp;'Cash Flow'!AI$3,'Wells Fargo'!$B:$B,"&gt;"&amp;'Cash Flow'!AH$3)</f>
        <v>0</v>
      </c>
      <c r="AJ15" s="89">
        <f>SUMIFS('Wells Fargo'!$F:$F,'Wells Fargo'!$G:$G,'Cash Flow'!$A15,'Wells Fargo'!$A:$A,AJ$1,'Wells Fargo'!$B:$B,"&lt;="&amp;'Cash Flow'!AJ$3,'Wells Fargo'!$B:$B,"&gt;"&amp;'Cash Flow'!AI$3)</f>
        <v>0</v>
      </c>
      <c r="AK15" s="90">
        <f>SUMIFS('Wells Fargo'!$F:$F,'Wells Fargo'!$G:$G,'Cash Flow'!$A15,'Wells Fargo'!$A:$A,AK$1,'Wells Fargo'!$B:$B,"&lt;="&amp;'Cash Flow'!AK$3)</f>
        <v>0</v>
      </c>
      <c r="AL15" s="89">
        <f>SUMIFS('Wells Fargo'!$F:$F,'Wells Fargo'!$G:$G,'Cash Flow'!$A15,'Wells Fargo'!$A:$A,AL$1,'Wells Fargo'!$B:$B,"&lt;="&amp;'Cash Flow'!AL$3,'Wells Fargo'!$B:$B,"&gt;"&amp;'Cash Flow'!AK$3)</f>
        <v>0</v>
      </c>
      <c r="AM15" s="89">
        <f>SUMIFS('Wells Fargo'!$F:$F,'Wells Fargo'!$G:$G,'Cash Flow'!$A15,'Wells Fargo'!$A:$A,AM$1,'Wells Fargo'!$B:$B,"&lt;="&amp;'Cash Flow'!AM$3,'Wells Fargo'!$B:$B,"&gt;"&amp;'Cash Flow'!AL$3)</f>
        <v>0</v>
      </c>
      <c r="AN15" s="89">
        <f>SUMIFS('Wells Fargo'!$F:$F,'Wells Fargo'!$G:$G,'Cash Flow'!$A15,'Wells Fargo'!$A:$A,AN$1,'Wells Fargo'!$B:$B,"&lt;="&amp;'Cash Flow'!AN$3,'Wells Fargo'!$B:$B,"&gt;"&amp;'Cash Flow'!AM$3)</f>
        <v>0</v>
      </c>
      <c r="AO15" s="89">
        <f>SUMIFS('Wells Fargo'!$F:$F,'Wells Fargo'!$G:$G,'Cash Flow'!$A15,'Wells Fargo'!$A:$A,AO$1,'Wells Fargo'!$B:$B,"&lt;="&amp;'Cash Flow'!AO$3,'Wells Fargo'!$B:$B,"&gt;"&amp;'Cash Flow'!AN$3)</f>
        <v>0</v>
      </c>
      <c r="AP15" s="90">
        <f>SUMIFS('Wells Fargo'!$F:$F,'Wells Fargo'!$G:$G,'Cash Flow'!$A15,'Wells Fargo'!$A:$A,AP$1,'Wells Fargo'!$B:$B,"&lt;="&amp;'Cash Flow'!AP$3)</f>
        <v>0</v>
      </c>
      <c r="AQ15" s="89">
        <f>SUMIFS('Wells Fargo'!$F:$F,'Wells Fargo'!$G:$G,'Cash Flow'!$A15,'Wells Fargo'!$A:$A,AQ$1,'Wells Fargo'!$B:$B,"&lt;="&amp;'Cash Flow'!AQ$3,'Wells Fargo'!$B:$B,"&gt;"&amp;'Cash Flow'!AP$3)</f>
        <v>0</v>
      </c>
      <c r="AR15" s="89">
        <f>SUMIFS('Wells Fargo'!$F:$F,'Wells Fargo'!$G:$G,'Cash Flow'!$A15,'Wells Fargo'!$A:$A,AR$1,'Wells Fargo'!$B:$B,"&lt;="&amp;'Cash Flow'!AR$3,'Wells Fargo'!$B:$B,"&gt;"&amp;'Cash Flow'!AQ$3)</f>
        <v>0</v>
      </c>
      <c r="AS15" s="89">
        <f>SUMIFS('Wells Fargo'!$F:$F,'Wells Fargo'!$G:$G,'Cash Flow'!$A15,'Wells Fargo'!$A:$A,AS$1,'Wells Fargo'!$B:$B,"&lt;="&amp;'Cash Flow'!AS$3,'Wells Fargo'!$B:$B,"&gt;"&amp;'Cash Flow'!AR$3)</f>
        <v>0</v>
      </c>
      <c r="AT15" s="89">
        <f>SUMIFS('Wells Fargo'!$F:$F,'Wells Fargo'!$G:$G,'Cash Flow'!$A15,'Wells Fargo'!$A:$A,AT$1,'Wells Fargo'!$B:$B,"&lt;="&amp;'Cash Flow'!AT$3,'Wells Fargo'!$B:$B,"&gt;"&amp;'Cash Flow'!AS$3)</f>
        <v>-95</v>
      </c>
      <c r="AU15" s="90">
        <f>SUMIFS('Wells Fargo'!$F:$F,'Wells Fargo'!$G:$G,'Cash Flow'!$A15,'Wells Fargo'!$A:$A,AU$1,'Wells Fargo'!$B:$B,"&lt;="&amp;'Cash Flow'!AU$3)</f>
        <v>0</v>
      </c>
      <c r="AV15" s="89">
        <f>SUMIFS('Wells Fargo'!$F:$F,'Wells Fargo'!$G:$G,'Cash Flow'!$A15,'Wells Fargo'!$A:$A,AV$1,'Wells Fargo'!$B:$B,"&lt;="&amp;'Cash Flow'!AV$3,'Wells Fargo'!$B:$B,"&gt;"&amp;'Cash Flow'!AU$3)</f>
        <v>0</v>
      </c>
      <c r="AW15" s="89">
        <f>SUMIFS('Wells Fargo'!$F:$F,'Wells Fargo'!$G:$G,'Cash Flow'!$A15,'Wells Fargo'!$A:$A,AW$1,'Wells Fargo'!$B:$B,"&lt;="&amp;'Cash Flow'!AW$3,'Wells Fargo'!$B:$B,"&gt;"&amp;'Cash Flow'!AV$3)</f>
        <v>0</v>
      </c>
      <c r="AX15" s="89">
        <f>SUMIFS('Wells Fargo'!$F:$F,'Wells Fargo'!$G:$G,'Cash Flow'!$A15,'Wells Fargo'!$A:$A,AX$1,'Wells Fargo'!$B:$B,"&lt;="&amp;'Cash Flow'!AX$3,'Wells Fargo'!$B:$B,"&gt;"&amp;'Cash Flow'!AW$3)</f>
        <v>0</v>
      </c>
      <c r="AY15" s="89">
        <f>SUMIFS('Wells Fargo'!$F:$F,'Wells Fargo'!$G:$G,'Cash Flow'!$A15,'Wells Fargo'!$A:$A,AY$1,'Wells Fargo'!$B:$B,"&lt;="&amp;'Cash Flow'!AY$3,'Wells Fargo'!$B:$B,"&gt;"&amp;'Cash Flow'!AX$3)</f>
        <v>0</v>
      </c>
      <c r="AZ15" s="90">
        <f>SUMIFS('Wells Fargo'!$F:$F,'Wells Fargo'!$G:$G,'Cash Flow'!$A15,'Wells Fargo'!$A:$A,AZ$1,'Wells Fargo'!$B:$B,"&lt;="&amp;'Cash Flow'!AZ$3)</f>
        <v>0</v>
      </c>
      <c r="BA15" s="89">
        <f>SUMIFS('Wells Fargo'!$F:$F,'Wells Fargo'!$G:$G,'Cash Flow'!$A15,'Wells Fargo'!$A:$A,BA$1,'Wells Fargo'!$B:$B,"&lt;="&amp;'Cash Flow'!BA$3,'Wells Fargo'!$B:$B,"&gt;"&amp;'Cash Flow'!AZ$3)</f>
        <v>0</v>
      </c>
      <c r="BB15" s="89">
        <f>SUMIFS('Wells Fargo'!$F:$F,'Wells Fargo'!$G:$G,'Cash Flow'!$A15,'Wells Fargo'!$A:$A,BB$1,'Wells Fargo'!$B:$B,"&lt;="&amp;'Cash Flow'!BB$3,'Wells Fargo'!$B:$B,"&gt;"&amp;'Cash Flow'!BA$3)</f>
        <v>0</v>
      </c>
      <c r="BC15" s="89">
        <f>SUMIFS('Wells Fargo'!$F:$F,'Wells Fargo'!$G:$G,'Cash Flow'!$A15,'Wells Fargo'!$A:$A,BC$1,'Wells Fargo'!$B:$B,"&lt;="&amp;'Cash Flow'!BC$3,'Wells Fargo'!$B:$B,"&gt;"&amp;'Cash Flow'!BB$3)</f>
        <v>0</v>
      </c>
      <c r="BD15" s="89">
        <f>SUMIFS('Wells Fargo'!$F:$F,'Wells Fargo'!$G:$G,'Cash Flow'!$A15,'Wells Fargo'!$A:$A,BD$1,'Wells Fargo'!$B:$B,"&lt;="&amp;'Cash Flow'!BD$3,'Wells Fargo'!$B:$B,"&gt;"&amp;'Cash Flow'!BC$3)</f>
        <v>0</v>
      </c>
      <c r="BE15" s="90">
        <f>SUMIFS('Wells Fargo'!$F:$F,'Wells Fargo'!$G:$G,'Cash Flow'!$A15,'Wells Fargo'!$A:$A,BE$1,'Wells Fargo'!$B:$B,"&lt;="&amp;'Cash Flow'!BE$3)</f>
        <v>0</v>
      </c>
      <c r="BF15" s="89">
        <f>SUMIFS('Wells Fargo'!$F:$F,'Wells Fargo'!$G:$G,'Cash Flow'!$A15,'Wells Fargo'!$A:$A,BF$1,'Wells Fargo'!$B:$B,"&lt;="&amp;'Cash Flow'!BF$3,'Wells Fargo'!$B:$B,"&gt;"&amp;'Cash Flow'!BE$3)</f>
        <v>0</v>
      </c>
      <c r="BG15" s="89">
        <f>SUMIFS('Wells Fargo'!$F:$F,'Wells Fargo'!$G:$G,'Cash Flow'!$A15,'Wells Fargo'!$A:$A,BG$1,'Wells Fargo'!$B:$B,"&lt;="&amp;'Cash Flow'!BG$3,'Wells Fargo'!$B:$B,"&gt;"&amp;'Cash Flow'!BF$3)</f>
        <v>0</v>
      </c>
      <c r="BH15" s="89">
        <f>SUMIFS('Wells Fargo'!$F:$F,'Wells Fargo'!$G:$G,'Cash Flow'!$A15,'Wells Fargo'!$A:$A,BH$1,'Wells Fargo'!$B:$B,"&lt;="&amp;'Cash Flow'!BH$3,'Wells Fargo'!$B:$B,"&gt;"&amp;'Cash Flow'!BG$3)</f>
        <v>0</v>
      </c>
      <c r="BI15" s="89">
        <f>SUMIFS('Wells Fargo'!$F:$F,'Wells Fargo'!$G:$G,'Cash Flow'!$A15,'Wells Fargo'!$A:$A,BI$1,'Wells Fargo'!$B:$B,"&lt;="&amp;'Cash Flow'!BI$3,'Wells Fargo'!$B:$B,"&gt;"&amp;'Cash Flow'!BH$3)</f>
        <v>0</v>
      </c>
    </row>
    <row r="16" spans="1:61" ht="12.75" x14ac:dyDescent="0.2">
      <c r="A16" t="str">
        <v>Credit</v>
      </c>
      <c r="B16" s="15">
        <f t="shared" si="0"/>
        <v>-25476.350000000002</v>
      </c>
      <c r="C16" s="90">
        <f>SUMIFS('Wells Fargo'!$F:$F,'Wells Fargo'!$G:$G,'Cash Flow'!$A16,'Wells Fargo'!$A:$A,C$1,'Wells Fargo'!$B:$B,"&lt;="&amp;'Cash Flow'!C$3)</f>
        <v>0</v>
      </c>
      <c r="D16" s="89">
        <f>SUMIFS('Wells Fargo'!$F:$F,'Wells Fargo'!$G:$G,'Cash Flow'!$A16,'Wells Fargo'!$A:$A,D$1,'Wells Fargo'!$B:$B,"&lt;="&amp;'Cash Flow'!D$3,'Wells Fargo'!$B:$B,"&gt;"&amp;'Cash Flow'!C$3)</f>
        <v>-700</v>
      </c>
      <c r="E16" s="89">
        <f>SUMIFS('Wells Fargo'!$F:$F,'Wells Fargo'!$G:$G,'Cash Flow'!$A16,'Wells Fargo'!$A:$A,E$1,'Wells Fargo'!$B:$B,"&lt;="&amp;'Cash Flow'!E$3,'Wells Fargo'!$B:$B,"&gt;"&amp;'Cash Flow'!D$3)</f>
        <v>-729.23</v>
      </c>
      <c r="F16" s="89">
        <f>SUMIFS('Wells Fargo'!$F:$F,'Wells Fargo'!$G:$G,'Cash Flow'!$A16,'Wells Fargo'!$A:$A,F$1,'Wells Fargo'!$B:$B,"&lt;="&amp;'Cash Flow'!F$3,'Wells Fargo'!$B:$B,"&gt;"&amp;'Cash Flow'!E$3)</f>
        <v>0</v>
      </c>
      <c r="G16" s="89">
        <f>SUMIFS('Wells Fargo'!$F:$F,'Wells Fargo'!$G:$G,'Cash Flow'!$A16,'Wells Fargo'!$A:$A,G$1,'Wells Fargo'!$B:$B,"&lt;="&amp;'Cash Flow'!G$3,'Wells Fargo'!$B:$B,"&gt;"&amp;'Cash Flow'!F$3)</f>
        <v>0</v>
      </c>
      <c r="H16" s="90">
        <f>SUMIFS('Wells Fargo'!$F:$F,'Wells Fargo'!$G:$G,'Cash Flow'!$A16,'Wells Fargo'!$A:$A,H$1,'Wells Fargo'!$B:$B,"&lt;="&amp;'Cash Flow'!H$3)</f>
        <v>-157.47</v>
      </c>
      <c r="I16" s="89">
        <f>SUMIFS('Wells Fargo'!$F:$F,'Wells Fargo'!$G:$G,'Cash Flow'!$A16,'Wells Fargo'!$A:$A,I$1,'Wells Fargo'!$B:$B,"&lt;="&amp;'Cash Flow'!I$3,'Wells Fargo'!$B:$B,"&gt;"&amp;'Cash Flow'!H$3)</f>
        <v>-715.37</v>
      </c>
      <c r="J16" s="89">
        <f>SUMIFS('Wells Fargo'!$F:$F,'Wells Fargo'!$G:$G,'Cash Flow'!$A16,'Wells Fargo'!$A:$A,J$1,'Wells Fargo'!$B:$B,"&lt;="&amp;'Cash Flow'!J$3,'Wells Fargo'!$B:$B,"&gt;"&amp;'Cash Flow'!I$3)</f>
        <v>0</v>
      </c>
      <c r="K16" s="89">
        <f>SUMIFS('Wells Fargo'!$F:$F,'Wells Fargo'!$G:$G,'Cash Flow'!$A16,'Wells Fargo'!$A:$A,K$1,'Wells Fargo'!$B:$B,"&lt;="&amp;'Cash Flow'!K$3,'Wells Fargo'!$B:$B,"&gt;"&amp;'Cash Flow'!J$3)</f>
        <v>-770.55</v>
      </c>
      <c r="L16" s="90">
        <f>SUMIFS('Wells Fargo'!$F:$F,'Wells Fargo'!$G:$G,'Cash Flow'!$A16,'Wells Fargo'!$A:$A,L$1,'Wells Fargo'!$B:$B,"&lt;="&amp;'Cash Flow'!L$3)</f>
        <v>0</v>
      </c>
      <c r="M16" s="89">
        <f>SUMIFS('Wells Fargo'!$F:$F,'Wells Fargo'!$G:$G,'Cash Flow'!$A16,'Wells Fargo'!$A:$A,M$1,'Wells Fargo'!$B:$B,"&lt;="&amp;'Cash Flow'!M$3,'Wells Fargo'!$B:$B,"&gt;"&amp;'Cash Flow'!L$3)</f>
        <v>-1160.3800000000001</v>
      </c>
      <c r="N16" s="89">
        <f>SUMIFS('Wells Fargo'!$F:$F,'Wells Fargo'!$G:$G,'Cash Flow'!$A16,'Wells Fargo'!$A:$A,N$1,'Wells Fargo'!$B:$B,"&lt;="&amp;'Cash Flow'!N$3,'Wells Fargo'!$B:$B,"&gt;"&amp;'Cash Flow'!M$3)</f>
        <v>-521.61</v>
      </c>
      <c r="O16" s="89">
        <f>SUMIFS('Wells Fargo'!$F:$F,'Wells Fargo'!$G:$G,'Cash Flow'!$A16,'Wells Fargo'!$A:$A,O$1,'Wells Fargo'!$B:$B,"&lt;="&amp;'Cash Flow'!O$3,'Wells Fargo'!$B:$B,"&gt;"&amp;'Cash Flow'!N$3)</f>
        <v>-264.60000000000002</v>
      </c>
      <c r="P16" s="89">
        <f>SUMIFS('Wells Fargo'!$F:$F,'Wells Fargo'!$G:$G,'Cash Flow'!$A16,'Wells Fargo'!$A:$A,P$1,'Wells Fargo'!$B:$B,"&lt;="&amp;'Cash Flow'!P$3,'Wells Fargo'!$B:$B,"&gt;"&amp;'Cash Flow'!O$3)</f>
        <v>-465.03</v>
      </c>
      <c r="Q16" s="90">
        <f>SUMIFS('Wells Fargo'!$F:$F,'Wells Fargo'!$G:$G,'Cash Flow'!$A16,'Wells Fargo'!$A:$A,Q$1,'Wells Fargo'!$B:$B,"&lt;="&amp;'Cash Flow'!Q$3)</f>
        <v>0</v>
      </c>
      <c r="R16" s="89">
        <f>SUMIFS('Wells Fargo'!$F:$F,'Wells Fargo'!$G:$G,'Cash Flow'!$A16,'Wells Fargo'!$A:$A,R$1,'Wells Fargo'!$B:$B,"&lt;="&amp;'Cash Flow'!R$3,'Wells Fargo'!$B:$B,"&gt;"&amp;'Cash Flow'!Q$3)</f>
        <v>-450.02</v>
      </c>
      <c r="S16" s="89">
        <f>SUMIFS('Wells Fargo'!$F:$F,'Wells Fargo'!$G:$G,'Cash Flow'!$A16,'Wells Fargo'!$A:$A,S$1,'Wells Fargo'!$B:$B,"&lt;="&amp;'Cash Flow'!S$3,'Wells Fargo'!$B:$B,"&gt;"&amp;'Cash Flow'!R$3)</f>
        <v>0</v>
      </c>
      <c r="T16" s="89">
        <f>SUMIFS('Wells Fargo'!$F:$F,'Wells Fargo'!$G:$G,'Cash Flow'!$A16,'Wells Fargo'!$A:$A,T$1,'Wells Fargo'!$B:$B,"&lt;="&amp;'Cash Flow'!T$3,'Wells Fargo'!$B:$B,"&gt;"&amp;'Cash Flow'!S$3)</f>
        <v>0</v>
      </c>
      <c r="U16" s="89">
        <f>SUMIFS('Wells Fargo'!$F:$F,'Wells Fargo'!$G:$G,'Cash Flow'!$A16,'Wells Fargo'!$A:$A,U$1,'Wells Fargo'!$B:$B,"&lt;="&amp;'Cash Flow'!U$3,'Wells Fargo'!$B:$B,"&gt;"&amp;'Cash Flow'!T$3)</f>
        <v>0</v>
      </c>
      <c r="V16" s="90">
        <f>SUMIFS('Wells Fargo'!$F:$F,'Wells Fargo'!$G:$G,'Cash Flow'!$A16,'Wells Fargo'!$A:$A,V$1,'Wells Fargo'!$B:$B,"&lt;="&amp;'Cash Flow'!V$3)</f>
        <v>-1404.1</v>
      </c>
      <c r="W16" s="89">
        <f>SUMIFS('Wells Fargo'!$F:$F,'Wells Fargo'!$G:$G,'Cash Flow'!$A16,'Wells Fargo'!$A:$A,W$1,'Wells Fargo'!$B:$B,"&lt;="&amp;'Cash Flow'!W$3,'Wells Fargo'!$B:$B,"&gt;"&amp;'Cash Flow'!V$3)</f>
        <v>0</v>
      </c>
      <c r="X16" s="89">
        <f>SUMIFS('Wells Fargo'!$F:$F,'Wells Fargo'!$G:$G,'Cash Flow'!$A16,'Wells Fargo'!$A:$A,X$1,'Wells Fargo'!$B:$B,"&lt;="&amp;'Cash Flow'!X$3,'Wells Fargo'!$B:$B,"&gt;"&amp;'Cash Flow'!W$3)</f>
        <v>0</v>
      </c>
      <c r="Y16" s="89">
        <f>SUMIFS('Wells Fargo'!$F:$F,'Wells Fargo'!$G:$G,'Cash Flow'!$A16,'Wells Fargo'!$A:$A,Y$1,'Wells Fargo'!$B:$B,"&lt;="&amp;'Cash Flow'!Y$3,'Wells Fargo'!$B:$B,"&gt;"&amp;'Cash Flow'!X$3)</f>
        <v>-1412.32</v>
      </c>
      <c r="Z16" s="89">
        <f>SUMIFS('Wells Fargo'!$F:$F,'Wells Fargo'!$G:$G,'Cash Flow'!$A16,'Wells Fargo'!$A:$A,Z$1,'Wells Fargo'!$B:$B,"&lt;="&amp;'Cash Flow'!Z$3,'Wells Fargo'!$B:$B,"&gt;"&amp;'Cash Flow'!Y$3)</f>
        <v>0</v>
      </c>
      <c r="AA16" s="90">
        <f>SUMIFS('Wells Fargo'!$F:$F,'Wells Fargo'!$G:$G,'Cash Flow'!$A16,'Wells Fargo'!$A:$A,AA$1,'Wells Fargo'!$B:$B,"&lt;="&amp;'Cash Flow'!AA$3)</f>
        <v>0</v>
      </c>
      <c r="AB16" s="89">
        <f>SUMIFS('Wells Fargo'!$F:$F,'Wells Fargo'!$G:$G,'Cash Flow'!$A16,'Wells Fargo'!$A:$A,AB$1,'Wells Fargo'!$B:$B,"&lt;="&amp;'Cash Flow'!AB$3,'Wells Fargo'!$B:$B,"&gt;"&amp;'Cash Flow'!AA$3)</f>
        <v>-1368.32</v>
      </c>
      <c r="AC16" s="89">
        <f>SUMIFS('Wells Fargo'!$F:$F,'Wells Fargo'!$G:$G,'Cash Flow'!$A16,'Wells Fargo'!$A:$A,AC$1,'Wells Fargo'!$B:$B,"&lt;="&amp;'Cash Flow'!AC$3,'Wells Fargo'!$B:$B,"&gt;"&amp;'Cash Flow'!AB$3)</f>
        <v>0</v>
      </c>
      <c r="AD16" s="89">
        <f>SUMIFS('Wells Fargo'!$F:$F,'Wells Fargo'!$G:$G,'Cash Flow'!$A16,'Wells Fargo'!$A:$A,AD$1,'Wells Fargo'!$B:$B,"&lt;="&amp;'Cash Flow'!AD$3,'Wells Fargo'!$B:$B,"&gt;"&amp;'Cash Flow'!AC$3)</f>
        <v>-1869</v>
      </c>
      <c r="AE16" s="89">
        <f>SUMIFS('Wells Fargo'!$F:$F,'Wells Fargo'!$G:$G,'Cash Flow'!$A16,'Wells Fargo'!$A:$A,AE$1,'Wells Fargo'!$B:$B,"&lt;="&amp;'Cash Flow'!AE$3,'Wells Fargo'!$B:$B,"&gt;"&amp;'Cash Flow'!AD$3)</f>
        <v>0</v>
      </c>
      <c r="AF16" s="90">
        <f>SUMIFS('Wells Fargo'!$F:$F,'Wells Fargo'!$G:$G,'Cash Flow'!$A16,'Wells Fargo'!$A:$A,AF$1,'Wells Fargo'!$B:$B,"&lt;="&amp;'Cash Flow'!AF$3)</f>
        <v>-871.96</v>
      </c>
      <c r="AG16" s="89">
        <f>SUMIFS('Wells Fargo'!$F:$F,'Wells Fargo'!$G:$G,'Cash Flow'!$A16,'Wells Fargo'!$A:$A,AG$1,'Wells Fargo'!$B:$B,"&lt;="&amp;'Cash Flow'!AG$3,'Wells Fargo'!$B:$B,"&gt;"&amp;'Cash Flow'!AF$3)</f>
        <v>-2317.37</v>
      </c>
      <c r="AH16" s="89">
        <f>SUMIFS('Wells Fargo'!$F:$F,'Wells Fargo'!$G:$G,'Cash Flow'!$A16,'Wells Fargo'!$A:$A,AH$1,'Wells Fargo'!$B:$B,"&lt;="&amp;'Cash Flow'!AH$3,'Wells Fargo'!$B:$B,"&gt;"&amp;'Cash Flow'!AG$3)</f>
        <v>-1000</v>
      </c>
      <c r="AI16" s="89">
        <f>SUMIFS('Wells Fargo'!$F:$F,'Wells Fargo'!$G:$G,'Cash Flow'!$A16,'Wells Fargo'!$A:$A,AI$1,'Wells Fargo'!$B:$B,"&lt;="&amp;'Cash Flow'!AI$3,'Wells Fargo'!$B:$B,"&gt;"&amp;'Cash Flow'!AH$3)</f>
        <v>-1518.65</v>
      </c>
      <c r="AJ16" s="89">
        <f>SUMIFS('Wells Fargo'!$F:$F,'Wells Fargo'!$G:$G,'Cash Flow'!$A16,'Wells Fargo'!$A:$A,AJ$1,'Wells Fargo'!$B:$B,"&lt;="&amp;'Cash Flow'!AJ$3,'Wells Fargo'!$B:$B,"&gt;"&amp;'Cash Flow'!AI$3)</f>
        <v>0</v>
      </c>
      <c r="AK16" s="90">
        <f>SUMIFS('Wells Fargo'!$F:$F,'Wells Fargo'!$G:$G,'Cash Flow'!$A16,'Wells Fargo'!$A:$A,AK$1,'Wells Fargo'!$B:$B,"&lt;="&amp;'Cash Flow'!AK$3)</f>
        <v>-1173.17</v>
      </c>
      <c r="AL16" s="89">
        <f>SUMIFS('Wells Fargo'!$F:$F,'Wells Fargo'!$G:$G,'Cash Flow'!$A16,'Wells Fargo'!$A:$A,AL$1,'Wells Fargo'!$B:$B,"&lt;="&amp;'Cash Flow'!AL$3,'Wells Fargo'!$B:$B,"&gt;"&amp;'Cash Flow'!AK$3)</f>
        <v>0</v>
      </c>
      <c r="AM16" s="89">
        <f>SUMIFS('Wells Fargo'!$F:$F,'Wells Fargo'!$G:$G,'Cash Flow'!$A16,'Wells Fargo'!$A:$A,AM$1,'Wells Fargo'!$B:$B,"&lt;="&amp;'Cash Flow'!AM$3,'Wells Fargo'!$B:$B,"&gt;"&amp;'Cash Flow'!AL$3)</f>
        <v>0</v>
      </c>
      <c r="AN16" s="89">
        <f>SUMIFS('Wells Fargo'!$F:$F,'Wells Fargo'!$G:$G,'Cash Flow'!$A16,'Wells Fargo'!$A:$A,AN$1,'Wells Fargo'!$B:$B,"&lt;="&amp;'Cash Flow'!AN$3,'Wells Fargo'!$B:$B,"&gt;"&amp;'Cash Flow'!AM$3)</f>
        <v>-2002.0700000000002</v>
      </c>
      <c r="AO16" s="89">
        <f>SUMIFS('Wells Fargo'!$F:$F,'Wells Fargo'!$G:$G,'Cash Flow'!$A16,'Wells Fargo'!$A:$A,AO$1,'Wells Fargo'!$B:$B,"&lt;="&amp;'Cash Flow'!AO$3,'Wells Fargo'!$B:$B,"&gt;"&amp;'Cash Flow'!AN$3)</f>
        <v>0</v>
      </c>
      <c r="AP16" s="90">
        <f>SUMIFS('Wells Fargo'!$F:$F,'Wells Fargo'!$G:$G,'Cash Flow'!$A16,'Wells Fargo'!$A:$A,AP$1,'Wells Fargo'!$B:$B,"&lt;="&amp;'Cash Flow'!AP$3)</f>
        <v>0</v>
      </c>
      <c r="AQ16" s="89">
        <f>SUMIFS('Wells Fargo'!$F:$F,'Wells Fargo'!$G:$G,'Cash Flow'!$A16,'Wells Fargo'!$A:$A,AQ$1,'Wells Fargo'!$B:$B,"&lt;="&amp;'Cash Flow'!AQ$3,'Wells Fargo'!$B:$B,"&gt;"&amp;'Cash Flow'!AP$3)</f>
        <v>-2179.14</v>
      </c>
      <c r="AR16" s="89">
        <f>SUMIFS('Wells Fargo'!$F:$F,'Wells Fargo'!$G:$G,'Cash Flow'!$A16,'Wells Fargo'!$A:$A,AR$1,'Wells Fargo'!$B:$B,"&lt;="&amp;'Cash Flow'!AR$3,'Wells Fargo'!$B:$B,"&gt;"&amp;'Cash Flow'!AQ$3)</f>
        <v>0</v>
      </c>
      <c r="AS16" s="89">
        <f>SUMIFS('Wells Fargo'!$F:$F,'Wells Fargo'!$G:$G,'Cash Flow'!$A16,'Wells Fargo'!$A:$A,AS$1,'Wells Fargo'!$B:$B,"&lt;="&amp;'Cash Flow'!AS$3,'Wells Fargo'!$B:$B,"&gt;"&amp;'Cash Flow'!AR$3)</f>
        <v>-925.99</v>
      </c>
      <c r="AT16" s="89">
        <f>SUMIFS('Wells Fargo'!$F:$F,'Wells Fargo'!$G:$G,'Cash Flow'!$A16,'Wells Fargo'!$A:$A,AT$1,'Wells Fargo'!$B:$B,"&lt;="&amp;'Cash Flow'!AT$3,'Wells Fargo'!$B:$B,"&gt;"&amp;'Cash Flow'!AS$3)</f>
        <v>-1500</v>
      </c>
      <c r="AU16" s="90">
        <f>SUMIFS('Wells Fargo'!$F:$F,'Wells Fargo'!$G:$G,'Cash Flow'!$A16,'Wells Fargo'!$A:$A,AU$1,'Wells Fargo'!$B:$B,"&lt;="&amp;'Cash Flow'!AU$3)</f>
        <v>0</v>
      </c>
      <c r="AV16" s="89">
        <f>SUMIFS('Wells Fargo'!$F:$F,'Wells Fargo'!$G:$G,'Cash Flow'!$A16,'Wells Fargo'!$A:$A,AV$1,'Wells Fargo'!$B:$B,"&lt;="&amp;'Cash Flow'!AV$3,'Wells Fargo'!$B:$B,"&gt;"&amp;'Cash Flow'!AU$3)</f>
        <v>0</v>
      </c>
      <c r="AW16" s="89">
        <f>SUMIFS('Wells Fargo'!$F:$F,'Wells Fargo'!$G:$G,'Cash Flow'!$A16,'Wells Fargo'!$A:$A,AW$1,'Wells Fargo'!$B:$B,"&lt;="&amp;'Cash Flow'!AW$3,'Wells Fargo'!$B:$B,"&gt;"&amp;'Cash Flow'!AV$3)</f>
        <v>0</v>
      </c>
      <c r="AX16" s="89">
        <f>SUMIFS('Wells Fargo'!$F:$F,'Wells Fargo'!$G:$G,'Cash Flow'!$A16,'Wells Fargo'!$A:$A,AX$1,'Wells Fargo'!$B:$B,"&lt;="&amp;'Cash Flow'!AX$3,'Wells Fargo'!$B:$B,"&gt;"&amp;'Cash Flow'!AW$3)</f>
        <v>0</v>
      </c>
      <c r="AY16" s="89">
        <f>SUMIFS('Wells Fargo'!$F:$F,'Wells Fargo'!$G:$G,'Cash Flow'!$A16,'Wells Fargo'!$A:$A,AY$1,'Wells Fargo'!$B:$B,"&lt;="&amp;'Cash Flow'!AY$3,'Wells Fargo'!$B:$B,"&gt;"&amp;'Cash Flow'!AX$3)</f>
        <v>0</v>
      </c>
      <c r="AZ16" s="90">
        <f>SUMIFS('Wells Fargo'!$F:$F,'Wells Fargo'!$G:$G,'Cash Flow'!$A16,'Wells Fargo'!$A:$A,AZ$1,'Wells Fargo'!$B:$B,"&lt;="&amp;'Cash Flow'!AZ$3)</f>
        <v>0</v>
      </c>
      <c r="BA16" s="89">
        <f>SUMIFS('Wells Fargo'!$F:$F,'Wells Fargo'!$G:$G,'Cash Flow'!$A16,'Wells Fargo'!$A:$A,BA$1,'Wells Fargo'!$B:$B,"&lt;="&amp;'Cash Flow'!BA$3,'Wells Fargo'!$B:$B,"&gt;"&amp;'Cash Flow'!AZ$3)</f>
        <v>0</v>
      </c>
      <c r="BB16" s="89">
        <f>SUMIFS('Wells Fargo'!$F:$F,'Wells Fargo'!$G:$G,'Cash Flow'!$A16,'Wells Fargo'!$A:$A,BB$1,'Wells Fargo'!$B:$B,"&lt;="&amp;'Cash Flow'!BB$3,'Wells Fargo'!$B:$B,"&gt;"&amp;'Cash Flow'!BA$3)</f>
        <v>0</v>
      </c>
      <c r="BC16" s="89">
        <f>SUMIFS('Wells Fargo'!$F:$F,'Wells Fargo'!$G:$G,'Cash Flow'!$A16,'Wells Fargo'!$A:$A,BC$1,'Wells Fargo'!$B:$B,"&lt;="&amp;'Cash Flow'!BC$3,'Wells Fargo'!$B:$B,"&gt;"&amp;'Cash Flow'!BB$3)</f>
        <v>0</v>
      </c>
      <c r="BD16" s="89">
        <f>SUMIFS('Wells Fargo'!$F:$F,'Wells Fargo'!$G:$G,'Cash Flow'!$A16,'Wells Fargo'!$A:$A,BD$1,'Wells Fargo'!$B:$B,"&lt;="&amp;'Cash Flow'!BD$3,'Wells Fargo'!$B:$B,"&gt;"&amp;'Cash Flow'!BC$3)</f>
        <v>0</v>
      </c>
      <c r="BE16" s="90">
        <f>SUMIFS('Wells Fargo'!$F:$F,'Wells Fargo'!$G:$G,'Cash Flow'!$A16,'Wells Fargo'!$A:$A,BE$1,'Wells Fargo'!$B:$B,"&lt;="&amp;'Cash Flow'!BE$3)</f>
        <v>0</v>
      </c>
      <c r="BF16" s="89">
        <f>SUMIFS('Wells Fargo'!$F:$F,'Wells Fargo'!$G:$G,'Cash Flow'!$A16,'Wells Fargo'!$A:$A,BF$1,'Wells Fargo'!$B:$B,"&lt;="&amp;'Cash Flow'!BF$3,'Wells Fargo'!$B:$B,"&gt;"&amp;'Cash Flow'!BE$3)</f>
        <v>0</v>
      </c>
      <c r="BG16" s="89">
        <f>SUMIFS('Wells Fargo'!$F:$F,'Wells Fargo'!$G:$G,'Cash Flow'!$A16,'Wells Fargo'!$A:$A,BG$1,'Wells Fargo'!$B:$B,"&lt;="&amp;'Cash Flow'!BG$3,'Wells Fargo'!$B:$B,"&gt;"&amp;'Cash Flow'!BF$3)</f>
        <v>0</v>
      </c>
      <c r="BH16" s="89">
        <f>SUMIFS('Wells Fargo'!$F:$F,'Wells Fargo'!$G:$G,'Cash Flow'!$A16,'Wells Fargo'!$A:$A,BH$1,'Wells Fargo'!$B:$B,"&lt;="&amp;'Cash Flow'!BH$3,'Wells Fargo'!$B:$B,"&gt;"&amp;'Cash Flow'!BG$3)</f>
        <v>0</v>
      </c>
      <c r="BI16" s="89">
        <f>SUMIFS('Wells Fargo'!$F:$F,'Wells Fargo'!$G:$G,'Cash Flow'!$A16,'Wells Fargo'!$A:$A,BI$1,'Wells Fargo'!$B:$B,"&lt;="&amp;'Cash Flow'!BI$3,'Wells Fargo'!$B:$B,"&gt;"&amp;'Cash Flow'!BH$3)</f>
        <v>0</v>
      </c>
    </row>
    <row r="17" spans="1:61" ht="12.75" x14ac:dyDescent="0.2">
      <c r="A17" t="str">
        <v>Credit Karma</v>
      </c>
      <c r="B17" s="15">
        <f t="shared" si="0"/>
        <v>-1</v>
      </c>
      <c r="C17" s="90">
        <f>SUMIFS('Wells Fargo'!$F:$F,'Wells Fargo'!$G:$G,'Cash Flow'!$A17,'Wells Fargo'!$A:$A,C$1,'Wells Fargo'!$B:$B,"&lt;="&amp;'Cash Flow'!C$3)</f>
        <v>0</v>
      </c>
      <c r="D17" s="89">
        <f>SUMIFS('Wells Fargo'!$F:$F,'Wells Fargo'!$G:$G,'Cash Flow'!$A17,'Wells Fargo'!$A:$A,D$1,'Wells Fargo'!$B:$B,"&lt;="&amp;'Cash Flow'!D$3,'Wells Fargo'!$B:$B,"&gt;"&amp;'Cash Flow'!C$3)</f>
        <v>0</v>
      </c>
      <c r="E17" s="89">
        <f>SUMIFS('Wells Fargo'!$F:$F,'Wells Fargo'!$G:$G,'Cash Flow'!$A17,'Wells Fargo'!$A:$A,E$1,'Wells Fargo'!$B:$B,"&lt;="&amp;'Cash Flow'!E$3,'Wells Fargo'!$B:$B,"&gt;"&amp;'Cash Flow'!D$3)</f>
        <v>0</v>
      </c>
      <c r="F17" s="89">
        <f>SUMIFS('Wells Fargo'!$F:$F,'Wells Fargo'!$G:$G,'Cash Flow'!$A17,'Wells Fargo'!$A:$A,F$1,'Wells Fargo'!$B:$B,"&lt;="&amp;'Cash Flow'!F$3,'Wells Fargo'!$B:$B,"&gt;"&amp;'Cash Flow'!E$3)</f>
        <v>0</v>
      </c>
      <c r="G17" s="89">
        <f>SUMIFS('Wells Fargo'!$F:$F,'Wells Fargo'!$G:$G,'Cash Flow'!$A17,'Wells Fargo'!$A:$A,G$1,'Wells Fargo'!$B:$B,"&lt;="&amp;'Cash Flow'!G$3,'Wells Fargo'!$B:$B,"&gt;"&amp;'Cash Flow'!F$3)</f>
        <v>0</v>
      </c>
      <c r="H17" s="90">
        <f>SUMIFS('Wells Fargo'!$F:$F,'Wells Fargo'!$G:$G,'Cash Flow'!$A17,'Wells Fargo'!$A:$A,H$1,'Wells Fargo'!$B:$B,"&lt;="&amp;'Cash Flow'!H$3)</f>
        <v>-1</v>
      </c>
      <c r="I17" s="89">
        <f>SUMIFS('Wells Fargo'!$F:$F,'Wells Fargo'!$G:$G,'Cash Flow'!$A17,'Wells Fargo'!$A:$A,I$1,'Wells Fargo'!$B:$B,"&lt;="&amp;'Cash Flow'!I$3,'Wells Fargo'!$B:$B,"&gt;"&amp;'Cash Flow'!H$3)</f>
        <v>0</v>
      </c>
      <c r="J17" s="89">
        <f>SUMIFS('Wells Fargo'!$F:$F,'Wells Fargo'!$G:$G,'Cash Flow'!$A17,'Wells Fargo'!$A:$A,J$1,'Wells Fargo'!$B:$B,"&lt;="&amp;'Cash Flow'!J$3,'Wells Fargo'!$B:$B,"&gt;"&amp;'Cash Flow'!I$3)</f>
        <v>0</v>
      </c>
      <c r="K17" s="89">
        <f>SUMIFS('Wells Fargo'!$F:$F,'Wells Fargo'!$G:$G,'Cash Flow'!$A17,'Wells Fargo'!$A:$A,K$1,'Wells Fargo'!$B:$B,"&lt;="&amp;'Cash Flow'!K$3,'Wells Fargo'!$B:$B,"&gt;"&amp;'Cash Flow'!J$3)</f>
        <v>0</v>
      </c>
      <c r="L17" s="90">
        <f>SUMIFS('Wells Fargo'!$F:$F,'Wells Fargo'!$G:$G,'Cash Flow'!$A17,'Wells Fargo'!$A:$A,L$1,'Wells Fargo'!$B:$B,"&lt;="&amp;'Cash Flow'!L$3)</f>
        <v>0</v>
      </c>
      <c r="M17" s="89">
        <f>SUMIFS('Wells Fargo'!$F:$F,'Wells Fargo'!$G:$G,'Cash Flow'!$A17,'Wells Fargo'!$A:$A,M$1,'Wells Fargo'!$B:$B,"&lt;="&amp;'Cash Flow'!M$3,'Wells Fargo'!$B:$B,"&gt;"&amp;'Cash Flow'!L$3)</f>
        <v>0</v>
      </c>
      <c r="N17" s="89">
        <f>SUMIFS('Wells Fargo'!$F:$F,'Wells Fargo'!$G:$G,'Cash Flow'!$A17,'Wells Fargo'!$A:$A,N$1,'Wells Fargo'!$B:$B,"&lt;="&amp;'Cash Flow'!N$3,'Wells Fargo'!$B:$B,"&gt;"&amp;'Cash Flow'!M$3)</f>
        <v>0</v>
      </c>
      <c r="O17" s="89">
        <f>SUMIFS('Wells Fargo'!$F:$F,'Wells Fargo'!$G:$G,'Cash Flow'!$A17,'Wells Fargo'!$A:$A,O$1,'Wells Fargo'!$B:$B,"&lt;="&amp;'Cash Flow'!O$3,'Wells Fargo'!$B:$B,"&gt;"&amp;'Cash Flow'!N$3)</f>
        <v>0</v>
      </c>
      <c r="P17" s="89">
        <f>SUMIFS('Wells Fargo'!$F:$F,'Wells Fargo'!$G:$G,'Cash Flow'!$A17,'Wells Fargo'!$A:$A,P$1,'Wells Fargo'!$B:$B,"&lt;="&amp;'Cash Flow'!P$3,'Wells Fargo'!$B:$B,"&gt;"&amp;'Cash Flow'!O$3)</f>
        <v>0</v>
      </c>
      <c r="Q17" s="90">
        <f>SUMIFS('Wells Fargo'!$F:$F,'Wells Fargo'!$G:$G,'Cash Flow'!$A17,'Wells Fargo'!$A:$A,Q$1,'Wells Fargo'!$B:$B,"&lt;="&amp;'Cash Flow'!Q$3)</f>
        <v>0</v>
      </c>
      <c r="R17" s="89">
        <f>SUMIFS('Wells Fargo'!$F:$F,'Wells Fargo'!$G:$G,'Cash Flow'!$A17,'Wells Fargo'!$A:$A,R$1,'Wells Fargo'!$B:$B,"&lt;="&amp;'Cash Flow'!R$3,'Wells Fargo'!$B:$B,"&gt;"&amp;'Cash Flow'!Q$3)</f>
        <v>0</v>
      </c>
      <c r="S17" s="89">
        <f>SUMIFS('Wells Fargo'!$F:$F,'Wells Fargo'!$G:$G,'Cash Flow'!$A17,'Wells Fargo'!$A:$A,S$1,'Wells Fargo'!$B:$B,"&lt;="&amp;'Cash Flow'!S$3,'Wells Fargo'!$B:$B,"&gt;"&amp;'Cash Flow'!R$3)</f>
        <v>0</v>
      </c>
      <c r="T17" s="89">
        <f>SUMIFS('Wells Fargo'!$F:$F,'Wells Fargo'!$G:$G,'Cash Flow'!$A17,'Wells Fargo'!$A:$A,T$1,'Wells Fargo'!$B:$B,"&lt;="&amp;'Cash Flow'!T$3,'Wells Fargo'!$B:$B,"&gt;"&amp;'Cash Flow'!S$3)</f>
        <v>0</v>
      </c>
      <c r="U17" s="89">
        <f>SUMIFS('Wells Fargo'!$F:$F,'Wells Fargo'!$G:$G,'Cash Flow'!$A17,'Wells Fargo'!$A:$A,U$1,'Wells Fargo'!$B:$B,"&lt;="&amp;'Cash Flow'!U$3,'Wells Fargo'!$B:$B,"&gt;"&amp;'Cash Flow'!T$3)</f>
        <v>0</v>
      </c>
      <c r="V17" s="90">
        <f>SUMIFS('Wells Fargo'!$F:$F,'Wells Fargo'!$G:$G,'Cash Flow'!$A17,'Wells Fargo'!$A:$A,V$1,'Wells Fargo'!$B:$B,"&lt;="&amp;'Cash Flow'!V$3)</f>
        <v>0</v>
      </c>
      <c r="W17" s="89">
        <f>SUMIFS('Wells Fargo'!$F:$F,'Wells Fargo'!$G:$G,'Cash Flow'!$A17,'Wells Fargo'!$A:$A,W$1,'Wells Fargo'!$B:$B,"&lt;="&amp;'Cash Flow'!W$3,'Wells Fargo'!$B:$B,"&gt;"&amp;'Cash Flow'!V$3)</f>
        <v>0</v>
      </c>
      <c r="X17" s="89">
        <f>SUMIFS('Wells Fargo'!$F:$F,'Wells Fargo'!$G:$G,'Cash Flow'!$A17,'Wells Fargo'!$A:$A,X$1,'Wells Fargo'!$B:$B,"&lt;="&amp;'Cash Flow'!X$3,'Wells Fargo'!$B:$B,"&gt;"&amp;'Cash Flow'!W$3)</f>
        <v>0</v>
      </c>
      <c r="Y17" s="89">
        <f>SUMIFS('Wells Fargo'!$F:$F,'Wells Fargo'!$G:$G,'Cash Flow'!$A17,'Wells Fargo'!$A:$A,Y$1,'Wells Fargo'!$B:$B,"&lt;="&amp;'Cash Flow'!Y$3,'Wells Fargo'!$B:$B,"&gt;"&amp;'Cash Flow'!X$3)</f>
        <v>0</v>
      </c>
      <c r="Z17" s="89">
        <f>SUMIFS('Wells Fargo'!$F:$F,'Wells Fargo'!$G:$G,'Cash Flow'!$A17,'Wells Fargo'!$A:$A,Z$1,'Wells Fargo'!$B:$B,"&lt;="&amp;'Cash Flow'!Z$3,'Wells Fargo'!$B:$B,"&gt;"&amp;'Cash Flow'!Y$3)</f>
        <v>0</v>
      </c>
      <c r="AA17" s="90">
        <f>SUMIFS('Wells Fargo'!$F:$F,'Wells Fargo'!$G:$G,'Cash Flow'!$A17,'Wells Fargo'!$A:$A,AA$1,'Wells Fargo'!$B:$B,"&lt;="&amp;'Cash Flow'!AA$3)</f>
        <v>0</v>
      </c>
      <c r="AB17" s="89">
        <f>SUMIFS('Wells Fargo'!$F:$F,'Wells Fargo'!$G:$G,'Cash Flow'!$A17,'Wells Fargo'!$A:$A,AB$1,'Wells Fargo'!$B:$B,"&lt;="&amp;'Cash Flow'!AB$3,'Wells Fargo'!$B:$B,"&gt;"&amp;'Cash Flow'!AA$3)</f>
        <v>0</v>
      </c>
      <c r="AC17" s="89">
        <f>SUMIFS('Wells Fargo'!$F:$F,'Wells Fargo'!$G:$G,'Cash Flow'!$A17,'Wells Fargo'!$A:$A,AC$1,'Wells Fargo'!$B:$B,"&lt;="&amp;'Cash Flow'!AC$3,'Wells Fargo'!$B:$B,"&gt;"&amp;'Cash Flow'!AB$3)</f>
        <v>0</v>
      </c>
      <c r="AD17" s="89">
        <f>SUMIFS('Wells Fargo'!$F:$F,'Wells Fargo'!$G:$G,'Cash Flow'!$A17,'Wells Fargo'!$A:$A,AD$1,'Wells Fargo'!$B:$B,"&lt;="&amp;'Cash Flow'!AD$3,'Wells Fargo'!$B:$B,"&gt;"&amp;'Cash Flow'!AC$3)</f>
        <v>0</v>
      </c>
      <c r="AE17" s="89">
        <f>SUMIFS('Wells Fargo'!$F:$F,'Wells Fargo'!$G:$G,'Cash Flow'!$A17,'Wells Fargo'!$A:$A,AE$1,'Wells Fargo'!$B:$B,"&lt;="&amp;'Cash Flow'!AE$3,'Wells Fargo'!$B:$B,"&gt;"&amp;'Cash Flow'!AD$3)</f>
        <v>0</v>
      </c>
      <c r="AF17" s="90">
        <f>SUMIFS('Wells Fargo'!$F:$F,'Wells Fargo'!$G:$G,'Cash Flow'!$A17,'Wells Fargo'!$A:$A,AF$1,'Wells Fargo'!$B:$B,"&lt;="&amp;'Cash Flow'!AF$3)</f>
        <v>0</v>
      </c>
      <c r="AG17" s="89">
        <f>SUMIFS('Wells Fargo'!$F:$F,'Wells Fargo'!$G:$G,'Cash Flow'!$A17,'Wells Fargo'!$A:$A,AG$1,'Wells Fargo'!$B:$B,"&lt;="&amp;'Cash Flow'!AG$3,'Wells Fargo'!$B:$B,"&gt;"&amp;'Cash Flow'!AF$3)</f>
        <v>0</v>
      </c>
      <c r="AH17" s="89">
        <f>SUMIFS('Wells Fargo'!$F:$F,'Wells Fargo'!$G:$G,'Cash Flow'!$A17,'Wells Fargo'!$A:$A,AH$1,'Wells Fargo'!$B:$B,"&lt;="&amp;'Cash Flow'!AH$3,'Wells Fargo'!$B:$B,"&gt;"&amp;'Cash Flow'!AG$3)</f>
        <v>0</v>
      </c>
      <c r="AI17" s="89">
        <f>SUMIFS('Wells Fargo'!$F:$F,'Wells Fargo'!$G:$G,'Cash Flow'!$A17,'Wells Fargo'!$A:$A,AI$1,'Wells Fargo'!$B:$B,"&lt;="&amp;'Cash Flow'!AI$3,'Wells Fargo'!$B:$B,"&gt;"&amp;'Cash Flow'!AH$3)</f>
        <v>0</v>
      </c>
      <c r="AJ17" s="89">
        <f>SUMIFS('Wells Fargo'!$F:$F,'Wells Fargo'!$G:$G,'Cash Flow'!$A17,'Wells Fargo'!$A:$A,AJ$1,'Wells Fargo'!$B:$B,"&lt;="&amp;'Cash Flow'!AJ$3,'Wells Fargo'!$B:$B,"&gt;"&amp;'Cash Flow'!AI$3)</f>
        <v>0</v>
      </c>
      <c r="AK17" s="90">
        <f>SUMIFS('Wells Fargo'!$F:$F,'Wells Fargo'!$G:$G,'Cash Flow'!$A17,'Wells Fargo'!$A:$A,AK$1,'Wells Fargo'!$B:$B,"&lt;="&amp;'Cash Flow'!AK$3)</f>
        <v>0</v>
      </c>
      <c r="AL17" s="89">
        <f>SUMIFS('Wells Fargo'!$F:$F,'Wells Fargo'!$G:$G,'Cash Flow'!$A17,'Wells Fargo'!$A:$A,AL$1,'Wells Fargo'!$B:$B,"&lt;="&amp;'Cash Flow'!AL$3,'Wells Fargo'!$B:$B,"&gt;"&amp;'Cash Flow'!AK$3)</f>
        <v>0</v>
      </c>
      <c r="AM17" s="89">
        <f>SUMIFS('Wells Fargo'!$F:$F,'Wells Fargo'!$G:$G,'Cash Flow'!$A17,'Wells Fargo'!$A:$A,AM$1,'Wells Fargo'!$B:$B,"&lt;="&amp;'Cash Flow'!AM$3,'Wells Fargo'!$B:$B,"&gt;"&amp;'Cash Flow'!AL$3)</f>
        <v>0</v>
      </c>
      <c r="AN17" s="89">
        <f>SUMIFS('Wells Fargo'!$F:$F,'Wells Fargo'!$G:$G,'Cash Flow'!$A17,'Wells Fargo'!$A:$A,AN$1,'Wells Fargo'!$B:$B,"&lt;="&amp;'Cash Flow'!AN$3,'Wells Fargo'!$B:$B,"&gt;"&amp;'Cash Flow'!AM$3)</f>
        <v>0</v>
      </c>
      <c r="AO17" s="89">
        <f>SUMIFS('Wells Fargo'!$F:$F,'Wells Fargo'!$G:$G,'Cash Flow'!$A17,'Wells Fargo'!$A:$A,AO$1,'Wells Fargo'!$B:$B,"&lt;="&amp;'Cash Flow'!AO$3,'Wells Fargo'!$B:$B,"&gt;"&amp;'Cash Flow'!AN$3)</f>
        <v>0</v>
      </c>
      <c r="AP17" s="90">
        <f>SUMIFS('Wells Fargo'!$F:$F,'Wells Fargo'!$G:$G,'Cash Flow'!$A17,'Wells Fargo'!$A:$A,AP$1,'Wells Fargo'!$B:$B,"&lt;="&amp;'Cash Flow'!AP$3)</f>
        <v>0</v>
      </c>
      <c r="AQ17" s="89">
        <f>SUMIFS('Wells Fargo'!$F:$F,'Wells Fargo'!$G:$G,'Cash Flow'!$A17,'Wells Fargo'!$A:$A,AQ$1,'Wells Fargo'!$B:$B,"&lt;="&amp;'Cash Flow'!AQ$3,'Wells Fargo'!$B:$B,"&gt;"&amp;'Cash Flow'!AP$3)</f>
        <v>0</v>
      </c>
      <c r="AR17" s="89">
        <f>SUMIFS('Wells Fargo'!$F:$F,'Wells Fargo'!$G:$G,'Cash Flow'!$A17,'Wells Fargo'!$A:$A,AR$1,'Wells Fargo'!$B:$B,"&lt;="&amp;'Cash Flow'!AR$3,'Wells Fargo'!$B:$B,"&gt;"&amp;'Cash Flow'!AQ$3)</f>
        <v>0</v>
      </c>
      <c r="AS17" s="89">
        <f>SUMIFS('Wells Fargo'!$F:$F,'Wells Fargo'!$G:$G,'Cash Flow'!$A17,'Wells Fargo'!$A:$A,AS$1,'Wells Fargo'!$B:$B,"&lt;="&amp;'Cash Flow'!AS$3,'Wells Fargo'!$B:$B,"&gt;"&amp;'Cash Flow'!AR$3)</f>
        <v>0</v>
      </c>
      <c r="AT17" s="89">
        <f>SUMIFS('Wells Fargo'!$F:$F,'Wells Fargo'!$G:$G,'Cash Flow'!$A17,'Wells Fargo'!$A:$A,AT$1,'Wells Fargo'!$B:$B,"&lt;="&amp;'Cash Flow'!AT$3,'Wells Fargo'!$B:$B,"&gt;"&amp;'Cash Flow'!AS$3)</f>
        <v>0</v>
      </c>
      <c r="AU17" s="90">
        <f>SUMIFS('Wells Fargo'!$F:$F,'Wells Fargo'!$G:$G,'Cash Flow'!$A17,'Wells Fargo'!$A:$A,AU$1,'Wells Fargo'!$B:$B,"&lt;="&amp;'Cash Flow'!AU$3)</f>
        <v>0</v>
      </c>
      <c r="AV17" s="89">
        <f>SUMIFS('Wells Fargo'!$F:$F,'Wells Fargo'!$G:$G,'Cash Flow'!$A17,'Wells Fargo'!$A:$A,AV$1,'Wells Fargo'!$B:$B,"&lt;="&amp;'Cash Flow'!AV$3,'Wells Fargo'!$B:$B,"&gt;"&amp;'Cash Flow'!AU$3)</f>
        <v>0</v>
      </c>
      <c r="AW17" s="89">
        <f>SUMIFS('Wells Fargo'!$F:$F,'Wells Fargo'!$G:$G,'Cash Flow'!$A17,'Wells Fargo'!$A:$A,AW$1,'Wells Fargo'!$B:$B,"&lt;="&amp;'Cash Flow'!AW$3,'Wells Fargo'!$B:$B,"&gt;"&amp;'Cash Flow'!AV$3)</f>
        <v>0</v>
      </c>
      <c r="AX17" s="89">
        <f>SUMIFS('Wells Fargo'!$F:$F,'Wells Fargo'!$G:$G,'Cash Flow'!$A17,'Wells Fargo'!$A:$A,AX$1,'Wells Fargo'!$B:$B,"&lt;="&amp;'Cash Flow'!AX$3,'Wells Fargo'!$B:$B,"&gt;"&amp;'Cash Flow'!AW$3)</f>
        <v>0</v>
      </c>
      <c r="AY17" s="89">
        <f>SUMIFS('Wells Fargo'!$F:$F,'Wells Fargo'!$G:$G,'Cash Flow'!$A17,'Wells Fargo'!$A:$A,AY$1,'Wells Fargo'!$B:$B,"&lt;="&amp;'Cash Flow'!AY$3,'Wells Fargo'!$B:$B,"&gt;"&amp;'Cash Flow'!AX$3)</f>
        <v>0</v>
      </c>
      <c r="AZ17" s="90">
        <f>SUMIFS('Wells Fargo'!$F:$F,'Wells Fargo'!$G:$G,'Cash Flow'!$A17,'Wells Fargo'!$A:$A,AZ$1,'Wells Fargo'!$B:$B,"&lt;="&amp;'Cash Flow'!AZ$3)</f>
        <v>0</v>
      </c>
      <c r="BA17" s="89">
        <f>SUMIFS('Wells Fargo'!$F:$F,'Wells Fargo'!$G:$G,'Cash Flow'!$A17,'Wells Fargo'!$A:$A,BA$1,'Wells Fargo'!$B:$B,"&lt;="&amp;'Cash Flow'!BA$3,'Wells Fargo'!$B:$B,"&gt;"&amp;'Cash Flow'!AZ$3)</f>
        <v>0</v>
      </c>
      <c r="BB17" s="89">
        <f>SUMIFS('Wells Fargo'!$F:$F,'Wells Fargo'!$G:$G,'Cash Flow'!$A17,'Wells Fargo'!$A:$A,BB$1,'Wells Fargo'!$B:$B,"&lt;="&amp;'Cash Flow'!BB$3,'Wells Fargo'!$B:$B,"&gt;"&amp;'Cash Flow'!BA$3)</f>
        <v>0</v>
      </c>
      <c r="BC17" s="89">
        <f>SUMIFS('Wells Fargo'!$F:$F,'Wells Fargo'!$G:$G,'Cash Flow'!$A17,'Wells Fargo'!$A:$A,BC$1,'Wells Fargo'!$B:$B,"&lt;="&amp;'Cash Flow'!BC$3,'Wells Fargo'!$B:$B,"&gt;"&amp;'Cash Flow'!BB$3)</f>
        <v>0</v>
      </c>
      <c r="BD17" s="89">
        <f>SUMIFS('Wells Fargo'!$F:$F,'Wells Fargo'!$G:$G,'Cash Flow'!$A17,'Wells Fargo'!$A:$A,BD$1,'Wells Fargo'!$B:$B,"&lt;="&amp;'Cash Flow'!BD$3,'Wells Fargo'!$B:$B,"&gt;"&amp;'Cash Flow'!BC$3)</f>
        <v>0</v>
      </c>
      <c r="BE17" s="90">
        <f>SUMIFS('Wells Fargo'!$F:$F,'Wells Fargo'!$G:$G,'Cash Flow'!$A17,'Wells Fargo'!$A:$A,BE$1,'Wells Fargo'!$B:$B,"&lt;="&amp;'Cash Flow'!BE$3)</f>
        <v>0</v>
      </c>
      <c r="BF17" s="89">
        <f>SUMIFS('Wells Fargo'!$F:$F,'Wells Fargo'!$G:$G,'Cash Flow'!$A17,'Wells Fargo'!$A:$A,BF$1,'Wells Fargo'!$B:$B,"&lt;="&amp;'Cash Flow'!BF$3,'Wells Fargo'!$B:$B,"&gt;"&amp;'Cash Flow'!BE$3)</f>
        <v>0</v>
      </c>
      <c r="BG17" s="89">
        <f>SUMIFS('Wells Fargo'!$F:$F,'Wells Fargo'!$G:$G,'Cash Flow'!$A17,'Wells Fargo'!$A:$A,BG$1,'Wells Fargo'!$B:$B,"&lt;="&amp;'Cash Flow'!BG$3,'Wells Fargo'!$B:$B,"&gt;"&amp;'Cash Flow'!BF$3)</f>
        <v>0</v>
      </c>
      <c r="BH17" s="89">
        <f>SUMIFS('Wells Fargo'!$F:$F,'Wells Fargo'!$G:$G,'Cash Flow'!$A17,'Wells Fargo'!$A:$A,BH$1,'Wells Fargo'!$B:$B,"&lt;="&amp;'Cash Flow'!BH$3,'Wells Fargo'!$B:$B,"&gt;"&amp;'Cash Flow'!BG$3)</f>
        <v>0</v>
      </c>
      <c r="BI17" s="89">
        <f>SUMIFS('Wells Fargo'!$F:$F,'Wells Fargo'!$G:$G,'Cash Flow'!$A17,'Wells Fargo'!$A:$A,BI$1,'Wells Fargo'!$B:$B,"&lt;="&amp;'Cash Flow'!BI$3,'Wells Fargo'!$B:$B,"&gt;"&amp;'Cash Flow'!BH$3)</f>
        <v>0</v>
      </c>
    </row>
    <row r="18" spans="1:61" ht="12.75" x14ac:dyDescent="0.2">
      <c r="A18" t="str">
        <v>Dance</v>
      </c>
      <c r="B18" s="15">
        <f t="shared" si="0"/>
        <v>-15</v>
      </c>
      <c r="C18" s="90">
        <f>SUMIFS('Wells Fargo'!$F:$F,'Wells Fargo'!$G:$G,'Cash Flow'!$A18,'Wells Fargo'!$A:$A,C$1,'Wells Fargo'!$B:$B,"&lt;="&amp;'Cash Flow'!C$3)</f>
        <v>0</v>
      </c>
      <c r="D18" s="89">
        <f>SUMIFS('Wells Fargo'!$F:$F,'Wells Fargo'!$G:$G,'Cash Flow'!$A18,'Wells Fargo'!$A:$A,D$1,'Wells Fargo'!$B:$B,"&lt;="&amp;'Cash Flow'!D$3,'Wells Fargo'!$B:$B,"&gt;"&amp;'Cash Flow'!C$3)</f>
        <v>0</v>
      </c>
      <c r="E18" s="89">
        <f>SUMIFS('Wells Fargo'!$F:$F,'Wells Fargo'!$G:$G,'Cash Flow'!$A18,'Wells Fargo'!$A:$A,E$1,'Wells Fargo'!$B:$B,"&lt;="&amp;'Cash Flow'!E$3,'Wells Fargo'!$B:$B,"&gt;"&amp;'Cash Flow'!D$3)</f>
        <v>0</v>
      </c>
      <c r="F18" s="89">
        <f>SUMIFS('Wells Fargo'!$F:$F,'Wells Fargo'!$G:$G,'Cash Flow'!$A18,'Wells Fargo'!$A:$A,F$1,'Wells Fargo'!$B:$B,"&lt;="&amp;'Cash Flow'!F$3,'Wells Fargo'!$B:$B,"&gt;"&amp;'Cash Flow'!E$3)</f>
        <v>0</v>
      </c>
      <c r="G18" s="89">
        <f>SUMIFS('Wells Fargo'!$F:$F,'Wells Fargo'!$G:$G,'Cash Flow'!$A18,'Wells Fargo'!$A:$A,G$1,'Wells Fargo'!$B:$B,"&lt;="&amp;'Cash Flow'!G$3,'Wells Fargo'!$B:$B,"&gt;"&amp;'Cash Flow'!F$3)</f>
        <v>0</v>
      </c>
      <c r="H18" s="90">
        <f>SUMIFS('Wells Fargo'!$F:$F,'Wells Fargo'!$G:$G,'Cash Flow'!$A18,'Wells Fargo'!$A:$A,H$1,'Wells Fargo'!$B:$B,"&lt;="&amp;'Cash Flow'!H$3)</f>
        <v>0</v>
      </c>
      <c r="I18" s="89">
        <f>SUMIFS('Wells Fargo'!$F:$F,'Wells Fargo'!$G:$G,'Cash Flow'!$A18,'Wells Fargo'!$A:$A,I$1,'Wells Fargo'!$B:$B,"&lt;="&amp;'Cash Flow'!I$3,'Wells Fargo'!$B:$B,"&gt;"&amp;'Cash Flow'!H$3)</f>
        <v>0</v>
      </c>
      <c r="J18" s="89">
        <f>SUMIFS('Wells Fargo'!$F:$F,'Wells Fargo'!$G:$G,'Cash Flow'!$A18,'Wells Fargo'!$A:$A,J$1,'Wells Fargo'!$B:$B,"&lt;="&amp;'Cash Flow'!J$3,'Wells Fargo'!$B:$B,"&gt;"&amp;'Cash Flow'!I$3)</f>
        <v>0</v>
      </c>
      <c r="K18" s="89">
        <f>SUMIFS('Wells Fargo'!$F:$F,'Wells Fargo'!$G:$G,'Cash Flow'!$A18,'Wells Fargo'!$A:$A,K$1,'Wells Fargo'!$B:$B,"&lt;="&amp;'Cash Flow'!K$3,'Wells Fargo'!$B:$B,"&gt;"&amp;'Cash Flow'!J$3)</f>
        <v>0</v>
      </c>
      <c r="L18" s="90">
        <f>SUMIFS('Wells Fargo'!$F:$F,'Wells Fargo'!$G:$G,'Cash Flow'!$A18,'Wells Fargo'!$A:$A,L$1,'Wells Fargo'!$B:$B,"&lt;="&amp;'Cash Flow'!L$3)</f>
        <v>0</v>
      </c>
      <c r="M18" s="89">
        <f>SUMIFS('Wells Fargo'!$F:$F,'Wells Fargo'!$G:$G,'Cash Flow'!$A18,'Wells Fargo'!$A:$A,M$1,'Wells Fargo'!$B:$B,"&lt;="&amp;'Cash Flow'!M$3,'Wells Fargo'!$B:$B,"&gt;"&amp;'Cash Flow'!L$3)</f>
        <v>0</v>
      </c>
      <c r="N18" s="89">
        <f>SUMIFS('Wells Fargo'!$F:$F,'Wells Fargo'!$G:$G,'Cash Flow'!$A18,'Wells Fargo'!$A:$A,N$1,'Wells Fargo'!$B:$B,"&lt;="&amp;'Cash Flow'!N$3,'Wells Fargo'!$B:$B,"&gt;"&amp;'Cash Flow'!M$3)</f>
        <v>0</v>
      </c>
      <c r="O18" s="89">
        <f>SUMIFS('Wells Fargo'!$F:$F,'Wells Fargo'!$G:$G,'Cash Flow'!$A18,'Wells Fargo'!$A:$A,O$1,'Wells Fargo'!$B:$B,"&lt;="&amp;'Cash Flow'!O$3,'Wells Fargo'!$B:$B,"&gt;"&amp;'Cash Flow'!N$3)</f>
        <v>0</v>
      </c>
      <c r="P18" s="89">
        <f>SUMIFS('Wells Fargo'!$F:$F,'Wells Fargo'!$G:$G,'Cash Flow'!$A18,'Wells Fargo'!$A:$A,P$1,'Wells Fargo'!$B:$B,"&lt;="&amp;'Cash Flow'!P$3,'Wells Fargo'!$B:$B,"&gt;"&amp;'Cash Flow'!O$3)</f>
        <v>0</v>
      </c>
      <c r="Q18" s="90">
        <f>SUMIFS('Wells Fargo'!$F:$F,'Wells Fargo'!$G:$G,'Cash Flow'!$A18,'Wells Fargo'!$A:$A,Q$1,'Wells Fargo'!$B:$B,"&lt;="&amp;'Cash Flow'!Q$3)</f>
        <v>0</v>
      </c>
      <c r="R18" s="89">
        <f>SUMIFS('Wells Fargo'!$F:$F,'Wells Fargo'!$G:$G,'Cash Flow'!$A18,'Wells Fargo'!$A:$A,R$1,'Wells Fargo'!$B:$B,"&lt;="&amp;'Cash Flow'!R$3,'Wells Fargo'!$B:$B,"&gt;"&amp;'Cash Flow'!Q$3)</f>
        <v>0</v>
      </c>
      <c r="S18" s="89">
        <f>SUMIFS('Wells Fargo'!$F:$F,'Wells Fargo'!$G:$G,'Cash Flow'!$A18,'Wells Fargo'!$A:$A,S$1,'Wells Fargo'!$B:$B,"&lt;="&amp;'Cash Flow'!S$3,'Wells Fargo'!$B:$B,"&gt;"&amp;'Cash Flow'!R$3)</f>
        <v>0</v>
      </c>
      <c r="T18" s="89">
        <f>SUMIFS('Wells Fargo'!$F:$F,'Wells Fargo'!$G:$G,'Cash Flow'!$A18,'Wells Fargo'!$A:$A,T$1,'Wells Fargo'!$B:$B,"&lt;="&amp;'Cash Flow'!T$3,'Wells Fargo'!$B:$B,"&gt;"&amp;'Cash Flow'!S$3)</f>
        <v>0</v>
      </c>
      <c r="U18" s="89">
        <f>SUMIFS('Wells Fargo'!$F:$F,'Wells Fargo'!$G:$G,'Cash Flow'!$A18,'Wells Fargo'!$A:$A,U$1,'Wells Fargo'!$B:$B,"&lt;="&amp;'Cash Flow'!U$3,'Wells Fargo'!$B:$B,"&gt;"&amp;'Cash Flow'!T$3)</f>
        <v>0</v>
      </c>
      <c r="V18" s="90">
        <f>SUMIFS('Wells Fargo'!$F:$F,'Wells Fargo'!$G:$G,'Cash Flow'!$A18,'Wells Fargo'!$A:$A,V$1,'Wells Fargo'!$B:$B,"&lt;="&amp;'Cash Flow'!V$3)</f>
        <v>0</v>
      </c>
      <c r="W18" s="89">
        <f>SUMIFS('Wells Fargo'!$F:$F,'Wells Fargo'!$G:$G,'Cash Flow'!$A18,'Wells Fargo'!$A:$A,W$1,'Wells Fargo'!$B:$B,"&lt;="&amp;'Cash Flow'!W$3,'Wells Fargo'!$B:$B,"&gt;"&amp;'Cash Flow'!V$3)</f>
        <v>0</v>
      </c>
      <c r="X18" s="89">
        <f>SUMIFS('Wells Fargo'!$F:$F,'Wells Fargo'!$G:$G,'Cash Flow'!$A18,'Wells Fargo'!$A:$A,X$1,'Wells Fargo'!$B:$B,"&lt;="&amp;'Cash Flow'!X$3,'Wells Fargo'!$B:$B,"&gt;"&amp;'Cash Flow'!W$3)</f>
        <v>0</v>
      </c>
      <c r="Y18" s="89">
        <f>SUMIFS('Wells Fargo'!$F:$F,'Wells Fargo'!$G:$G,'Cash Flow'!$A18,'Wells Fargo'!$A:$A,Y$1,'Wells Fargo'!$B:$B,"&lt;="&amp;'Cash Flow'!Y$3,'Wells Fargo'!$B:$B,"&gt;"&amp;'Cash Flow'!X$3)</f>
        <v>0</v>
      </c>
      <c r="Z18" s="89">
        <f>SUMIFS('Wells Fargo'!$F:$F,'Wells Fargo'!$G:$G,'Cash Flow'!$A18,'Wells Fargo'!$A:$A,Z$1,'Wells Fargo'!$B:$B,"&lt;="&amp;'Cash Flow'!Z$3,'Wells Fargo'!$B:$B,"&gt;"&amp;'Cash Flow'!Y$3)</f>
        <v>0</v>
      </c>
      <c r="AA18" s="90">
        <f>SUMIFS('Wells Fargo'!$F:$F,'Wells Fargo'!$G:$G,'Cash Flow'!$A18,'Wells Fargo'!$A:$A,AA$1,'Wells Fargo'!$B:$B,"&lt;="&amp;'Cash Flow'!AA$3)</f>
        <v>0</v>
      </c>
      <c r="AB18" s="89">
        <f>SUMIFS('Wells Fargo'!$F:$F,'Wells Fargo'!$G:$G,'Cash Flow'!$A18,'Wells Fargo'!$A:$A,AB$1,'Wells Fargo'!$B:$B,"&lt;="&amp;'Cash Flow'!AB$3,'Wells Fargo'!$B:$B,"&gt;"&amp;'Cash Flow'!AA$3)</f>
        <v>0</v>
      </c>
      <c r="AC18" s="89">
        <f>SUMIFS('Wells Fargo'!$F:$F,'Wells Fargo'!$G:$G,'Cash Flow'!$A18,'Wells Fargo'!$A:$A,AC$1,'Wells Fargo'!$B:$B,"&lt;="&amp;'Cash Flow'!AC$3,'Wells Fargo'!$B:$B,"&gt;"&amp;'Cash Flow'!AB$3)</f>
        <v>0</v>
      </c>
      <c r="AD18" s="89">
        <f>SUMIFS('Wells Fargo'!$F:$F,'Wells Fargo'!$G:$G,'Cash Flow'!$A18,'Wells Fargo'!$A:$A,AD$1,'Wells Fargo'!$B:$B,"&lt;="&amp;'Cash Flow'!AD$3,'Wells Fargo'!$B:$B,"&gt;"&amp;'Cash Flow'!AC$3)</f>
        <v>0</v>
      </c>
      <c r="AE18" s="89">
        <f>SUMIFS('Wells Fargo'!$F:$F,'Wells Fargo'!$G:$G,'Cash Flow'!$A18,'Wells Fargo'!$A:$A,AE$1,'Wells Fargo'!$B:$B,"&lt;="&amp;'Cash Flow'!AE$3,'Wells Fargo'!$B:$B,"&gt;"&amp;'Cash Flow'!AD$3)</f>
        <v>0</v>
      </c>
      <c r="AF18" s="90">
        <f>SUMIFS('Wells Fargo'!$F:$F,'Wells Fargo'!$G:$G,'Cash Flow'!$A18,'Wells Fargo'!$A:$A,AF$1,'Wells Fargo'!$B:$B,"&lt;="&amp;'Cash Flow'!AF$3)</f>
        <v>0</v>
      </c>
      <c r="AG18" s="89">
        <f>SUMIFS('Wells Fargo'!$F:$F,'Wells Fargo'!$G:$G,'Cash Flow'!$A18,'Wells Fargo'!$A:$A,AG$1,'Wells Fargo'!$B:$B,"&lt;="&amp;'Cash Flow'!AG$3,'Wells Fargo'!$B:$B,"&gt;"&amp;'Cash Flow'!AF$3)</f>
        <v>0</v>
      </c>
      <c r="AH18" s="89">
        <f>SUMIFS('Wells Fargo'!$F:$F,'Wells Fargo'!$G:$G,'Cash Flow'!$A18,'Wells Fargo'!$A:$A,AH$1,'Wells Fargo'!$B:$B,"&lt;="&amp;'Cash Flow'!AH$3,'Wells Fargo'!$B:$B,"&gt;"&amp;'Cash Flow'!AG$3)</f>
        <v>0</v>
      </c>
      <c r="AI18" s="89">
        <f>SUMIFS('Wells Fargo'!$F:$F,'Wells Fargo'!$G:$G,'Cash Flow'!$A18,'Wells Fargo'!$A:$A,AI$1,'Wells Fargo'!$B:$B,"&lt;="&amp;'Cash Flow'!AI$3,'Wells Fargo'!$B:$B,"&gt;"&amp;'Cash Flow'!AH$3)</f>
        <v>0</v>
      </c>
      <c r="AJ18" s="89">
        <f>SUMIFS('Wells Fargo'!$F:$F,'Wells Fargo'!$G:$G,'Cash Flow'!$A18,'Wells Fargo'!$A:$A,AJ$1,'Wells Fargo'!$B:$B,"&lt;="&amp;'Cash Flow'!AJ$3,'Wells Fargo'!$B:$B,"&gt;"&amp;'Cash Flow'!AI$3)</f>
        <v>0</v>
      </c>
      <c r="AK18" s="90">
        <f>SUMIFS('Wells Fargo'!$F:$F,'Wells Fargo'!$G:$G,'Cash Flow'!$A18,'Wells Fargo'!$A:$A,AK$1,'Wells Fargo'!$B:$B,"&lt;="&amp;'Cash Flow'!AK$3)</f>
        <v>0</v>
      </c>
      <c r="AL18" s="89">
        <f>SUMIFS('Wells Fargo'!$F:$F,'Wells Fargo'!$G:$G,'Cash Flow'!$A18,'Wells Fargo'!$A:$A,AL$1,'Wells Fargo'!$B:$B,"&lt;="&amp;'Cash Flow'!AL$3,'Wells Fargo'!$B:$B,"&gt;"&amp;'Cash Flow'!AK$3)</f>
        <v>-15</v>
      </c>
      <c r="AM18" s="89">
        <f>SUMIFS('Wells Fargo'!$F:$F,'Wells Fargo'!$G:$G,'Cash Flow'!$A18,'Wells Fargo'!$A:$A,AM$1,'Wells Fargo'!$B:$B,"&lt;="&amp;'Cash Flow'!AM$3,'Wells Fargo'!$B:$B,"&gt;"&amp;'Cash Flow'!AL$3)</f>
        <v>0</v>
      </c>
      <c r="AN18" s="89">
        <f>SUMIFS('Wells Fargo'!$F:$F,'Wells Fargo'!$G:$G,'Cash Flow'!$A18,'Wells Fargo'!$A:$A,AN$1,'Wells Fargo'!$B:$B,"&lt;="&amp;'Cash Flow'!AN$3,'Wells Fargo'!$B:$B,"&gt;"&amp;'Cash Flow'!AM$3)</f>
        <v>0</v>
      </c>
      <c r="AO18" s="89">
        <f>SUMIFS('Wells Fargo'!$F:$F,'Wells Fargo'!$G:$G,'Cash Flow'!$A18,'Wells Fargo'!$A:$A,AO$1,'Wells Fargo'!$B:$B,"&lt;="&amp;'Cash Flow'!AO$3,'Wells Fargo'!$B:$B,"&gt;"&amp;'Cash Flow'!AN$3)</f>
        <v>0</v>
      </c>
      <c r="AP18" s="90">
        <f>SUMIFS('Wells Fargo'!$F:$F,'Wells Fargo'!$G:$G,'Cash Flow'!$A18,'Wells Fargo'!$A:$A,AP$1,'Wells Fargo'!$B:$B,"&lt;="&amp;'Cash Flow'!AP$3)</f>
        <v>0</v>
      </c>
      <c r="AQ18" s="89">
        <f>SUMIFS('Wells Fargo'!$F:$F,'Wells Fargo'!$G:$G,'Cash Flow'!$A18,'Wells Fargo'!$A:$A,AQ$1,'Wells Fargo'!$B:$B,"&lt;="&amp;'Cash Flow'!AQ$3,'Wells Fargo'!$B:$B,"&gt;"&amp;'Cash Flow'!AP$3)</f>
        <v>0</v>
      </c>
      <c r="AR18" s="89">
        <f>SUMIFS('Wells Fargo'!$F:$F,'Wells Fargo'!$G:$G,'Cash Flow'!$A18,'Wells Fargo'!$A:$A,AR$1,'Wells Fargo'!$B:$B,"&lt;="&amp;'Cash Flow'!AR$3,'Wells Fargo'!$B:$B,"&gt;"&amp;'Cash Flow'!AQ$3)</f>
        <v>0</v>
      </c>
      <c r="AS18" s="89">
        <f>SUMIFS('Wells Fargo'!$F:$F,'Wells Fargo'!$G:$G,'Cash Flow'!$A18,'Wells Fargo'!$A:$A,AS$1,'Wells Fargo'!$B:$B,"&lt;="&amp;'Cash Flow'!AS$3,'Wells Fargo'!$B:$B,"&gt;"&amp;'Cash Flow'!AR$3)</f>
        <v>0</v>
      </c>
      <c r="AT18" s="89">
        <f>SUMIFS('Wells Fargo'!$F:$F,'Wells Fargo'!$G:$G,'Cash Flow'!$A18,'Wells Fargo'!$A:$A,AT$1,'Wells Fargo'!$B:$B,"&lt;="&amp;'Cash Flow'!AT$3,'Wells Fargo'!$B:$B,"&gt;"&amp;'Cash Flow'!AS$3)</f>
        <v>0</v>
      </c>
      <c r="AU18" s="90">
        <f>SUMIFS('Wells Fargo'!$F:$F,'Wells Fargo'!$G:$G,'Cash Flow'!$A18,'Wells Fargo'!$A:$A,AU$1,'Wells Fargo'!$B:$B,"&lt;="&amp;'Cash Flow'!AU$3)</f>
        <v>0</v>
      </c>
      <c r="AV18" s="89">
        <f>SUMIFS('Wells Fargo'!$F:$F,'Wells Fargo'!$G:$G,'Cash Flow'!$A18,'Wells Fargo'!$A:$A,AV$1,'Wells Fargo'!$B:$B,"&lt;="&amp;'Cash Flow'!AV$3,'Wells Fargo'!$B:$B,"&gt;"&amp;'Cash Flow'!AU$3)</f>
        <v>0</v>
      </c>
      <c r="AW18" s="89">
        <f>SUMIFS('Wells Fargo'!$F:$F,'Wells Fargo'!$G:$G,'Cash Flow'!$A18,'Wells Fargo'!$A:$A,AW$1,'Wells Fargo'!$B:$B,"&lt;="&amp;'Cash Flow'!AW$3,'Wells Fargo'!$B:$B,"&gt;"&amp;'Cash Flow'!AV$3)</f>
        <v>0</v>
      </c>
      <c r="AX18" s="89">
        <f>SUMIFS('Wells Fargo'!$F:$F,'Wells Fargo'!$G:$G,'Cash Flow'!$A18,'Wells Fargo'!$A:$A,AX$1,'Wells Fargo'!$B:$B,"&lt;="&amp;'Cash Flow'!AX$3,'Wells Fargo'!$B:$B,"&gt;"&amp;'Cash Flow'!AW$3)</f>
        <v>0</v>
      </c>
      <c r="AY18" s="89">
        <f>SUMIFS('Wells Fargo'!$F:$F,'Wells Fargo'!$G:$G,'Cash Flow'!$A18,'Wells Fargo'!$A:$A,AY$1,'Wells Fargo'!$B:$B,"&lt;="&amp;'Cash Flow'!AY$3,'Wells Fargo'!$B:$B,"&gt;"&amp;'Cash Flow'!AX$3)</f>
        <v>0</v>
      </c>
      <c r="AZ18" s="90">
        <f>SUMIFS('Wells Fargo'!$F:$F,'Wells Fargo'!$G:$G,'Cash Flow'!$A18,'Wells Fargo'!$A:$A,AZ$1,'Wells Fargo'!$B:$B,"&lt;="&amp;'Cash Flow'!AZ$3)</f>
        <v>0</v>
      </c>
      <c r="BA18" s="89">
        <f>SUMIFS('Wells Fargo'!$F:$F,'Wells Fargo'!$G:$G,'Cash Flow'!$A18,'Wells Fargo'!$A:$A,BA$1,'Wells Fargo'!$B:$B,"&lt;="&amp;'Cash Flow'!BA$3,'Wells Fargo'!$B:$B,"&gt;"&amp;'Cash Flow'!AZ$3)</f>
        <v>0</v>
      </c>
      <c r="BB18" s="89">
        <f>SUMIFS('Wells Fargo'!$F:$F,'Wells Fargo'!$G:$G,'Cash Flow'!$A18,'Wells Fargo'!$A:$A,BB$1,'Wells Fargo'!$B:$B,"&lt;="&amp;'Cash Flow'!BB$3,'Wells Fargo'!$B:$B,"&gt;"&amp;'Cash Flow'!BA$3)</f>
        <v>0</v>
      </c>
      <c r="BC18" s="89">
        <f>SUMIFS('Wells Fargo'!$F:$F,'Wells Fargo'!$G:$G,'Cash Flow'!$A18,'Wells Fargo'!$A:$A,BC$1,'Wells Fargo'!$B:$B,"&lt;="&amp;'Cash Flow'!BC$3,'Wells Fargo'!$B:$B,"&gt;"&amp;'Cash Flow'!BB$3)</f>
        <v>0</v>
      </c>
      <c r="BD18" s="89">
        <f>SUMIFS('Wells Fargo'!$F:$F,'Wells Fargo'!$G:$G,'Cash Flow'!$A18,'Wells Fargo'!$A:$A,BD$1,'Wells Fargo'!$B:$B,"&lt;="&amp;'Cash Flow'!BD$3,'Wells Fargo'!$B:$B,"&gt;"&amp;'Cash Flow'!BC$3)</f>
        <v>0</v>
      </c>
      <c r="BE18" s="90">
        <f>SUMIFS('Wells Fargo'!$F:$F,'Wells Fargo'!$G:$G,'Cash Flow'!$A18,'Wells Fargo'!$A:$A,BE$1,'Wells Fargo'!$B:$B,"&lt;="&amp;'Cash Flow'!BE$3)</f>
        <v>0</v>
      </c>
      <c r="BF18" s="89">
        <f>SUMIFS('Wells Fargo'!$F:$F,'Wells Fargo'!$G:$G,'Cash Flow'!$A18,'Wells Fargo'!$A:$A,BF$1,'Wells Fargo'!$B:$B,"&lt;="&amp;'Cash Flow'!BF$3,'Wells Fargo'!$B:$B,"&gt;"&amp;'Cash Flow'!BE$3)</f>
        <v>0</v>
      </c>
      <c r="BG18" s="89">
        <f>SUMIFS('Wells Fargo'!$F:$F,'Wells Fargo'!$G:$G,'Cash Flow'!$A18,'Wells Fargo'!$A:$A,BG$1,'Wells Fargo'!$B:$B,"&lt;="&amp;'Cash Flow'!BG$3,'Wells Fargo'!$B:$B,"&gt;"&amp;'Cash Flow'!BF$3)</f>
        <v>0</v>
      </c>
      <c r="BH18" s="89">
        <f>SUMIFS('Wells Fargo'!$F:$F,'Wells Fargo'!$G:$G,'Cash Flow'!$A18,'Wells Fargo'!$A:$A,BH$1,'Wells Fargo'!$B:$B,"&lt;="&amp;'Cash Flow'!BH$3,'Wells Fargo'!$B:$B,"&gt;"&amp;'Cash Flow'!BG$3)</f>
        <v>0</v>
      </c>
      <c r="BI18" s="89">
        <f>SUMIFS('Wells Fargo'!$F:$F,'Wells Fargo'!$G:$G,'Cash Flow'!$A18,'Wells Fargo'!$A:$A,BI$1,'Wells Fargo'!$B:$B,"&lt;="&amp;'Cash Flow'!BI$3,'Wells Fargo'!$B:$B,"&gt;"&amp;'Cash Flow'!BH$3)</f>
        <v>0</v>
      </c>
    </row>
    <row r="19" spans="1:61" ht="12.75" x14ac:dyDescent="0.2">
      <c r="A19" t="str">
        <v>Danny</v>
      </c>
      <c r="B19" s="15">
        <f t="shared" si="0"/>
        <v>-20</v>
      </c>
      <c r="C19" s="90">
        <f>SUMIFS('Wells Fargo'!$F:$F,'Wells Fargo'!$G:$G,'Cash Flow'!$A19,'Wells Fargo'!$A:$A,C$1,'Wells Fargo'!$B:$B,"&lt;="&amp;'Cash Flow'!C$3)</f>
        <v>0</v>
      </c>
      <c r="D19" s="89">
        <f>SUMIFS('Wells Fargo'!$F:$F,'Wells Fargo'!$G:$G,'Cash Flow'!$A19,'Wells Fargo'!$A:$A,D$1,'Wells Fargo'!$B:$B,"&lt;="&amp;'Cash Flow'!D$3,'Wells Fargo'!$B:$B,"&gt;"&amp;'Cash Flow'!C$3)</f>
        <v>0</v>
      </c>
      <c r="E19" s="89">
        <f>SUMIFS('Wells Fargo'!$F:$F,'Wells Fargo'!$G:$G,'Cash Flow'!$A19,'Wells Fargo'!$A:$A,E$1,'Wells Fargo'!$B:$B,"&lt;="&amp;'Cash Flow'!E$3,'Wells Fargo'!$B:$B,"&gt;"&amp;'Cash Flow'!D$3)</f>
        <v>0</v>
      </c>
      <c r="F19" s="89">
        <f>SUMIFS('Wells Fargo'!$F:$F,'Wells Fargo'!$G:$G,'Cash Flow'!$A19,'Wells Fargo'!$A:$A,F$1,'Wells Fargo'!$B:$B,"&lt;="&amp;'Cash Flow'!F$3,'Wells Fargo'!$B:$B,"&gt;"&amp;'Cash Flow'!E$3)</f>
        <v>0</v>
      </c>
      <c r="G19" s="89">
        <f>SUMIFS('Wells Fargo'!$F:$F,'Wells Fargo'!$G:$G,'Cash Flow'!$A19,'Wells Fargo'!$A:$A,G$1,'Wells Fargo'!$B:$B,"&lt;="&amp;'Cash Flow'!G$3,'Wells Fargo'!$B:$B,"&gt;"&amp;'Cash Flow'!F$3)</f>
        <v>0</v>
      </c>
      <c r="H19" s="90">
        <f>SUMIFS('Wells Fargo'!$F:$F,'Wells Fargo'!$G:$G,'Cash Flow'!$A19,'Wells Fargo'!$A:$A,H$1,'Wells Fargo'!$B:$B,"&lt;="&amp;'Cash Flow'!H$3)</f>
        <v>0</v>
      </c>
      <c r="I19" s="89">
        <f>SUMIFS('Wells Fargo'!$F:$F,'Wells Fargo'!$G:$G,'Cash Flow'!$A19,'Wells Fargo'!$A:$A,I$1,'Wells Fargo'!$B:$B,"&lt;="&amp;'Cash Flow'!I$3,'Wells Fargo'!$B:$B,"&gt;"&amp;'Cash Flow'!H$3)</f>
        <v>0</v>
      </c>
      <c r="J19" s="89">
        <f>SUMIFS('Wells Fargo'!$F:$F,'Wells Fargo'!$G:$G,'Cash Flow'!$A19,'Wells Fargo'!$A:$A,J$1,'Wells Fargo'!$B:$B,"&lt;="&amp;'Cash Flow'!J$3,'Wells Fargo'!$B:$B,"&gt;"&amp;'Cash Flow'!I$3)</f>
        <v>0</v>
      </c>
      <c r="K19" s="89">
        <f>SUMIFS('Wells Fargo'!$F:$F,'Wells Fargo'!$G:$G,'Cash Flow'!$A19,'Wells Fargo'!$A:$A,K$1,'Wells Fargo'!$B:$B,"&lt;="&amp;'Cash Flow'!K$3,'Wells Fargo'!$B:$B,"&gt;"&amp;'Cash Flow'!J$3)</f>
        <v>0</v>
      </c>
      <c r="L19" s="90">
        <f>SUMIFS('Wells Fargo'!$F:$F,'Wells Fargo'!$G:$G,'Cash Flow'!$A19,'Wells Fargo'!$A:$A,L$1,'Wells Fargo'!$B:$B,"&lt;="&amp;'Cash Flow'!L$3)</f>
        <v>0</v>
      </c>
      <c r="M19" s="89">
        <f>SUMIFS('Wells Fargo'!$F:$F,'Wells Fargo'!$G:$G,'Cash Flow'!$A19,'Wells Fargo'!$A:$A,M$1,'Wells Fargo'!$B:$B,"&lt;="&amp;'Cash Flow'!M$3,'Wells Fargo'!$B:$B,"&gt;"&amp;'Cash Flow'!L$3)</f>
        <v>0</v>
      </c>
      <c r="N19" s="89">
        <f>SUMIFS('Wells Fargo'!$F:$F,'Wells Fargo'!$G:$G,'Cash Flow'!$A19,'Wells Fargo'!$A:$A,N$1,'Wells Fargo'!$B:$B,"&lt;="&amp;'Cash Flow'!N$3,'Wells Fargo'!$B:$B,"&gt;"&amp;'Cash Flow'!M$3)</f>
        <v>0</v>
      </c>
      <c r="O19" s="89">
        <f>SUMIFS('Wells Fargo'!$F:$F,'Wells Fargo'!$G:$G,'Cash Flow'!$A19,'Wells Fargo'!$A:$A,O$1,'Wells Fargo'!$B:$B,"&lt;="&amp;'Cash Flow'!O$3,'Wells Fargo'!$B:$B,"&gt;"&amp;'Cash Flow'!N$3)</f>
        <v>0</v>
      </c>
      <c r="P19" s="89">
        <f>SUMIFS('Wells Fargo'!$F:$F,'Wells Fargo'!$G:$G,'Cash Flow'!$A19,'Wells Fargo'!$A:$A,P$1,'Wells Fargo'!$B:$B,"&lt;="&amp;'Cash Flow'!P$3,'Wells Fargo'!$B:$B,"&gt;"&amp;'Cash Flow'!O$3)</f>
        <v>-20</v>
      </c>
      <c r="Q19" s="90">
        <f>SUMIFS('Wells Fargo'!$F:$F,'Wells Fargo'!$G:$G,'Cash Flow'!$A19,'Wells Fargo'!$A:$A,Q$1,'Wells Fargo'!$B:$B,"&lt;="&amp;'Cash Flow'!Q$3)</f>
        <v>0</v>
      </c>
      <c r="R19" s="89">
        <f>SUMIFS('Wells Fargo'!$F:$F,'Wells Fargo'!$G:$G,'Cash Flow'!$A19,'Wells Fargo'!$A:$A,R$1,'Wells Fargo'!$B:$B,"&lt;="&amp;'Cash Flow'!R$3,'Wells Fargo'!$B:$B,"&gt;"&amp;'Cash Flow'!Q$3)</f>
        <v>0</v>
      </c>
      <c r="S19" s="89">
        <f>SUMIFS('Wells Fargo'!$F:$F,'Wells Fargo'!$G:$G,'Cash Flow'!$A19,'Wells Fargo'!$A:$A,S$1,'Wells Fargo'!$B:$B,"&lt;="&amp;'Cash Flow'!S$3,'Wells Fargo'!$B:$B,"&gt;"&amp;'Cash Flow'!R$3)</f>
        <v>0</v>
      </c>
      <c r="T19" s="89">
        <f>SUMIFS('Wells Fargo'!$F:$F,'Wells Fargo'!$G:$G,'Cash Flow'!$A19,'Wells Fargo'!$A:$A,T$1,'Wells Fargo'!$B:$B,"&lt;="&amp;'Cash Flow'!T$3,'Wells Fargo'!$B:$B,"&gt;"&amp;'Cash Flow'!S$3)</f>
        <v>0</v>
      </c>
      <c r="U19" s="89">
        <f>SUMIFS('Wells Fargo'!$F:$F,'Wells Fargo'!$G:$G,'Cash Flow'!$A19,'Wells Fargo'!$A:$A,U$1,'Wells Fargo'!$B:$B,"&lt;="&amp;'Cash Flow'!U$3,'Wells Fargo'!$B:$B,"&gt;"&amp;'Cash Flow'!T$3)</f>
        <v>0</v>
      </c>
      <c r="V19" s="90">
        <f>SUMIFS('Wells Fargo'!$F:$F,'Wells Fargo'!$G:$G,'Cash Flow'!$A19,'Wells Fargo'!$A:$A,V$1,'Wells Fargo'!$B:$B,"&lt;="&amp;'Cash Flow'!V$3)</f>
        <v>0</v>
      </c>
      <c r="W19" s="89">
        <f>SUMIFS('Wells Fargo'!$F:$F,'Wells Fargo'!$G:$G,'Cash Flow'!$A19,'Wells Fargo'!$A:$A,W$1,'Wells Fargo'!$B:$B,"&lt;="&amp;'Cash Flow'!W$3,'Wells Fargo'!$B:$B,"&gt;"&amp;'Cash Flow'!V$3)</f>
        <v>0</v>
      </c>
      <c r="X19" s="89">
        <f>SUMIFS('Wells Fargo'!$F:$F,'Wells Fargo'!$G:$G,'Cash Flow'!$A19,'Wells Fargo'!$A:$A,X$1,'Wells Fargo'!$B:$B,"&lt;="&amp;'Cash Flow'!X$3,'Wells Fargo'!$B:$B,"&gt;"&amp;'Cash Flow'!W$3)</f>
        <v>0</v>
      </c>
      <c r="Y19" s="89">
        <f>SUMIFS('Wells Fargo'!$F:$F,'Wells Fargo'!$G:$G,'Cash Flow'!$A19,'Wells Fargo'!$A:$A,Y$1,'Wells Fargo'!$B:$B,"&lt;="&amp;'Cash Flow'!Y$3,'Wells Fargo'!$B:$B,"&gt;"&amp;'Cash Flow'!X$3)</f>
        <v>0</v>
      </c>
      <c r="Z19" s="89">
        <f>SUMIFS('Wells Fargo'!$F:$F,'Wells Fargo'!$G:$G,'Cash Flow'!$A19,'Wells Fargo'!$A:$A,Z$1,'Wells Fargo'!$B:$B,"&lt;="&amp;'Cash Flow'!Z$3,'Wells Fargo'!$B:$B,"&gt;"&amp;'Cash Flow'!Y$3)</f>
        <v>0</v>
      </c>
      <c r="AA19" s="90">
        <f>SUMIFS('Wells Fargo'!$F:$F,'Wells Fargo'!$G:$G,'Cash Flow'!$A19,'Wells Fargo'!$A:$A,AA$1,'Wells Fargo'!$B:$B,"&lt;="&amp;'Cash Flow'!AA$3)</f>
        <v>0</v>
      </c>
      <c r="AB19" s="89">
        <f>SUMIFS('Wells Fargo'!$F:$F,'Wells Fargo'!$G:$G,'Cash Flow'!$A19,'Wells Fargo'!$A:$A,AB$1,'Wells Fargo'!$B:$B,"&lt;="&amp;'Cash Flow'!AB$3,'Wells Fargo'!$B:$B,"&gt;"&amp;'Cash Flow'!AA$3)</f>
        <v>0</v>
      </c>
      <c r="AC19" s="89">
        <f>SUMIFS('Wells Fargo'!$F:$F,'Wells Fargo'!$G:$G,'Cash Flow'!$A19,'Wells Fargo'!$A:$A,AC$1,'Wells Fargo'!$B:$B,"&lt;="&amp;'Cash Flow'!AC$3,'Wells Fargo'!$B:$B,"&gt;"&amp;'Cash Flow'!AB$3)</f>
        <v>0</v>
      </c>
      <c r="AD19" s="89">
        <f>SUMIFS('Wells Fargo'!$F:$F,'Wells Fargo'!$G:$G,'Cash Flow'!$A19,'Wells Fargo'!$A:$A,AD$1,'Wells Fargo'!$B:$B,"&lt;="&amp;'Cash Flow'!AD$3,'Wells Fargo'!$B:$B,"&gt;"&amp;'Cash Flow'!AC$3)</f>
        <v>0</v>
      </c>
      <c r="AE19" s="89">
        <f>SUMIFS('Wells Fargo'!$F:$F,'Wells Fargo'!$G:$G,'Cash Flow'!$A19,'Wells Fargo'!$A:$A,AE$1,'Wells Fargo'!$B:$B,"&lt;="&amp;'Cash Flow'!AE$3,'Wells Fargo'!$B:$B,"&gt;"&amp;'Cash Flow'!AD$3)</f>
        <v>0</v>
      </c>
      <c r="AF19" s="90">
        <f>SUMIFS('Wells Fargo'!$F:$F,'Wells Fargo'!$G:$G,'Cash Flow'!$A19,'Wells Fargo'!$A:$A,AF$1,'Wells Fargo'!$B:$B,"&lt;="&amp;'Cash Flow'!AF$3)</f>
        <v>0</v>
      </c>
      <c r="AG19" s="89">
        <f>SUMIFS('Wells Fargo'!$F:$F,'Wells Fargo'!$G:$G,'Cash Flow'!$A19,'Wells Fargo'!$A:$A,AG$1,'Wells Fargo'!$B:$B,"&lt;="&amp;'Cash Flow'!AG$3,'Wells Fargo'!$B:$B,"&gt;"&amp;'Cash Flow'!AF$3)</f>
        <v>0</v>
      </c>
      <c r="AH19" s="89">
        <f>SUMIFS('Wells Fargo'!$F:$F,'Wells Fargo'!$G:$G,'Cash Flow'!$A19,'Wells Fargo'!$A:$A,AH$1,'Wells Fargo'!$B:$B,"&lt;="&amp;'Cash Flow'!AH$3,'Wells Fargo'!$B:$B,"&gt;"&amp;'Cash Flow'!AG$3)</f>
        <v>0</v>
      </c>
      <c r="AI19" s="89">
        <f>SUMIFS('Wells Fargo'!$F:$F,'Wells Fargo'!$G:$G,'Cash Flow'!$A19,'Wells Fargo'!$A:$A,AI$1,'Wells Fargo'!$B:$B,"&lt;="&amp;'Cash Flow'!AI$3,'Wells Fargo'!$B:$B,"&gt;"&amp;'Cash Flow'!AH$3)</f>
        <v>0</v>
      </c>
      <c r="AJ19" s="89">
        <f>SUMIFS('Wells Fargo'!$F:$F,'Wells Fargo'!$G:$G,'Cash Flow'!$A19,'Wells Fargo'!$A:$A,AJ$1,'Wells Fargo'!$B:$B,"&lt;="&amp;'Cash Flow'!AJ$3,'Wells Fargo'!$B:$B,"&gt;"&amp;'Cash Flow'!AI$3)</f>
        <v>0</v>
      </c>
      <c r="AK19" s="90">
        <f>SUMIFS('Wells Fargo'!$F:$F,'Wells Fargo'!$G:$G,'Cash Flow'!$A19,'Wells Fargo'!$A:$A,AK$1,'Wells Fargo'!$B:$B,"&lt;="&amp;'Cash Flow'!AK$3)</f>
        <v>0</v>
      </c>
      <c r="AL19" s="89">
        <f>SUMIFS('Wells Fargo'!$F:$F,'Wells Fargo'!$G:$G,'Cash Flow'!$A19,'Wells Fargo'!$A:$A,AL$1,'Wells Fargo'!$B:$B,"&lt;="&amp;'Cash Flow'!AL$3,'Wells Fargo'!$B:$B,"&gt;"&amp;'Cash Flow'!AK$3)</f>
        <v>0</v>
      </c>
      <c r="AM19" s="89">
        <f>SUMIFS('Wells Fargo'!$F:$F,'Wells Fargo'!$G:$G,'Cash Flow'!$A19,'Wells Fargo'!$A:$A,AM$1,'Wells Fargo'!$B:$B,"&lt;="&amp;'Cash Flow'!AM$3,'Wells Fargo'!$B:$B,"&gt;"&amp;'Cash Flow'!AL$3)</f>
        <v>0</v>
      </c>
      <c r="AN19" s="89">
        <f>SUMIFS('Wells Fargo'!$F:$F,'Wells Fargo'!$G:$G,'Cash Flow'!$A19,'Wells Fargo'!$A:$A,AN$1,'Wells Fargo'!$B:$B,"&lt;="&amp;'Cash Flow'!AN$3,'Wells Fargo'!$B:$B,"&gt;"&amp;'Cash Flow'!AM$3)</f>
        <v>0</v>
      </c>
      <c r="AO19" s="89">
        <f>SUMIFS('Wells Fargo'!$F:$F,'Wells Fargo'!$G:$G,'Cash Flow'!$A19,'Wells Fargo'!$A:$A,AO$1,'Wells Fargo'!$B:$B,"&lt;="&amp;'Cash Flow'!AO$3,'Wells Fargo'!$B:$B,"&gt;"&amp;'Cash Flow'!AN$3)</f>
        <v>0</v>
      </c>
      <c r="AP19" s="90">
        <f>SUMIFS('Wells Fargo'!$F:$F,'Wells Fargo'!$G:$G,'Cash Flow'!$A19,'Wells Fargo'!$A:$A,AP$1,'Wells Fargo'!$B:$B,"&lt;="&amp;'Cash Flow'!AP$3)</f>
        <v>0</v>
      </c>
      <c r="AQ19" s="89">
        <f>SUMIFS('Wells Fargo'!$F:$F,'Wells Fargo'!$G:$G,'Cash Flow'!$A19,'Wells Fargo'!$A:$A,AQ$1,'Wells Fargo'!$B:$B,"&lt;="&amp;'Cash Flow'!AQ$3,'Wells Fargo'!$B:$B,"&gt;"&amp;'Cash Flow'!AP$3)</f>
        <v>0</v>
      </c>
      <c r="AR19" s="89">
        <f>SUMIFS('Wells Fargo'!$F:$F,'Wells Fargo'!$G:$G,'Cash Flow'!$A19,'Wells Fargo'!$A:$A,AR$1,'Wells Fargo'!$B:$B,"&lt;="&amp;'Cash Flow'!AR$3,'Wells Fargo'!$B:$B,"&gt;"&amp;'Cash Flow'!AQ$3)</f>
        <v>0</v>
      </c>
      <c r="AS19" s="89">
        <f>SUMIFS('Wells Fargo'!$F:$F,'Wells Fargo'!$G:$G,'Cash Flow'!$A19,'Wells Fargo'!$A:$A,AS$1,'Wells Fargo'!$B:$B,"&lt;="&amp;'Cash Flow'!AS$3,'Wells Fargo'!$B:$B,"&gt;"&amp;'Cash Flow'!AR$3)</f>
        <v>0</v>
      </c>
      <c r="AT19" s="89">
        <f>SUMIFS('Wells Fargo'!$F:$F,'Wells Fargo'!$G:$G,'Cash Flow'!$A19,'Wells Fargo'!$A:$A,AT$1,'Wells Fargo'!$B:$B,"&lt;="&amp;'Cash Flow'!AT$3,'Wells Fargo'!$B:$B,"&gt;"&amp;'Cash Flow'!AS$3)</f>
        <v>0</v>
      </c>
      <c r="AU19" s="90">
        <f>SUMIFS('Wells Fargo'!$F:$F,'Wells Fargo'!$G:$G,'Cash Flow'!$A19,'Wells Fargo'!$A:$A,AU$1,'Wells Fargo'!$B:$B,"&lt;="&amp;'Cash Flow'!AU$3)</f>
        <v>0</v>
      </c>
      <c r="AV19" s="89">
        <f>SUMIFS('Wells Fargo'!$F:$F,'Wells Fargo'!$G:$G,'Cash Flow'!$A19,'Wells Fargo'!$A:$A,AV$1,'Wells Fargo'!$B:$B,"&lt;="&amp;'Cash Flow'!AV$3,'Wells Fargo'!$B:$B,"&gt;"&amp;'Cash Flow'!AU$3)</f>
        <v>0</v>
      </c>
      <c r="AW19" s="89">
        <f>SUMIFS('Wells Fargo'!$F:$F,'Wells Fargo'!$G:$G,'Cash Flow'!$A19,'Wells Fargo'!$A:$A,AW$1,'Wells Fargo'!$B:$B,"&lt;="&amp;'Cash Flow'!AW$3,'Wells Fargo'!$B:$B,"&gt;"&amp;'Cash Flow'!AV$3)</f>
        <v>0</v>
      </c>
      <c r="AX19" s="89">
        <f>SUMIFS('Wells Fargo'!$F:$F,'Wells Fargo'!$G:$G,'Cash Flow'!$A19,'Wells Fargo'!$A:$A,AX$1,'Wells Fargo'!$B:$B,"&lt;="&amp;'Cash Flow'!AX$3,'Wells Fargo'!$B:$B,"&gt;"&amp;'Cash Flow'!AW$3)</f>
        <v>0</v>
      </c>
      <c r="AY19" s="89">
        <f>SUMIFS('Wells Fargo'!$F:$F,'Wells Fargo'!$G:$G,'Cash Flow'!$A19,'Wells Fargo'!$A:$A,AY$1,'Wells Fargo'!$B:$B,"&lt;="&amp;'Cash Flow'!AY$3,'Wells Fargo'!$B:$B,"&gt;"&amp;'Cash Flow'!AX$3)</f>
        <v>0</v>
      </c>
      <c r="AZ19" s="90">
        <f>SUMIFS('Wells Fargo'!$F:$F,'Wells Fargo'!$G:$G,'Cash Flow'!$A19,'Wells Fargo'!$A:$A,AZ$1,'Wells Fargo'!$B:$B,"&lt;="&amp;'Cash Flow'!AZ$3)</f>
        <v>0</v>
      </c>
      <c r="BA19" s="89">
        <f>SUMIFS('Wells Fargo'!$F:$F,'Wells Fargo'!$G:$G,'Cash Flow'!$A19,'Wells Fargo'!$A:$A,BA$1,'Wells Fargo'!$B:$B,"&lt;="&amp;'Cash Flow'!BA$3,'Wells Fargo'!$B:$B,"&gt;"&amp;'Cash Flow'!AZ$3)</f>
        <v>0</v>
      </c>
      <c r="BB19" s="89">
        <f>SUMIFS('Wells Fargo'!$F:$F,'Wells Fargo'!$G:$G,'Cash Flow'!$A19,'Wells Fargo'!$A:$A,BB$1,'Wells Fargo'!$B:$B,"&lt;="&amp;'Cash Flow'!BB$3,'Wells Fargo'!$B:$B,"&gt;"&amp;'Cash Flow'!BA$3)</f>
        <v>0</v>
      </c>
      <c r="BC19" s="89">
        <f>SUMIFS('Wells Fargo'!$F:$F,'Wells Fargo'!$G:$G,'Cash Flow'!$A19,'Wells Fargo'!$A:$A,BC$1,'Wells Fargo'!$B:$B,"&lt;="&amp;'Cash Flow'!BC$3,'Wells Fargo'!$B:$B,"&gt;"&amp;'Cash Flow'!BB$3)</f>
        <v>0</v>
      </c>
      <c r="BD19" s="89">
        <f>SUMIFS('Wells Fargo'!$F:$F,'Wells Fargo'!$G:$G,'Cash Flow'!$A19,'Wells Fargo'!$A:$A,BD$1,'Wells Fargo'!$B:$B,"&lt;="&amp;'Cash Flow'!BD$3,'Wells Fargo'!$B:$B,"&gt;"&amp;'Cash Flow'!BC$3)</f>
        <v>0</v>
      </c>
      <c r="BE19" s="90">
        <f>SUMIFS('Wells Fargo'!$F:$F,'Wells Fargo'!$G:$G,'Cash Flow'!$A19,'Wells Fargo'!$A:$A,BE$1,'Wells Fargo'!$B:$B,"&lt;="&amp;'Cash Flow'!BE$3)</f>
        <v>0</v>
      </c>
      <c r="BF19" s="89">
        <f>SUMIFS('Wells Fargo'!$F:$F,'Wells Fargo'!$G:$G,'Cash Flow'!$A19,'Wells Fargo'!$A:$A,BF$1,'Wells Fargo'!$B:$B,"&lt;="&amp;'Cash Flow'!BF$3,'Wells Fargo'!$B:$B,"&gt;"&amp;'Cash Flow'!BE$3)</f>
        <v>0</v>
      </c>
      <c r="BG19" s="89">
        <f>SUMIFS('Wells Fargo'!$F:$F,'Wells Fargo'!$G:$G,'Cash Flow'!$A19,'Wells Fargo'!$A:$A,BG$1,'Wells Fargo'!$B:$B,"&lt;="&amp;'Cash Flow'!BG$3,'Wells Fargo'!$B:$B,"&gt;"&amp;'Cash Flow'!BF$3)</f>
        <v>0</v>
      </c>
      <c r="BH19" s="89">
        <f>SUMIFS('Wells Fargo'!$F:$F,'Wells Fargo'!$G:$G,'Cash Flow'!$A19,'Wells Fargo'!$A:$A,BH$1,'Wells Fargo'!$B:$B,"&lt;="&amp;'Cash Flow'!BH$3,'Wells Fargo'!$B:$B,"&gt;"&amp;'Cash Flow'!BG$3)</f>
        <v>0</v>
      </c>
      <c r="BI19" s="89">
        <f>SUMIFS('Wells Fargo'!$F:$F,'Wells Fargo'!$G:$G,'Cash Flow'!$A19,'Wells Fargo'!$A:$A,BI$1,'Wells Fargo'!$B:$B,"&lt;="&amp;'Cash Flow'!BI$3,'Wells Fargo'!$B:$B,"&gt;"&amp;'Cash Flow'!BH$3)</f>
        <v>0</v>
      </c>
    </row>
    <row r="20" spans="1:61" ht="12.75" x14ac:dyDescent="0.2">
      <c r="A20" t="str">
        <v>Divita</v>
      </c>
      <c r="B20" s="15">
        <f t="shared" si="0"/>
        <v>-50</v>
      </c>
      <c r="C20" s="90">
        <f>SUMIFS('Wells Fargo'!$F:$F,'Wells Fargo'!$G:$G,'Cash Flow'!$A20,'Wells Fargo'!$A:$A,C$1,'Wells Fargo'!$B:$B,"&lt;="&amp;'Cash Flow'!C$3)</f>
        <v>0</v>
      </c>
      <c r="D20" s="89">
        <f>SUMIFS('Wells Fargo'!$F:$F,'Wells Fargo'!$G:$G,'Cash Flow'!$A20,'Wells Fargo'!$A:$A,D$1,'Wells Fargo'!$B:$B,"&lt;="&amp;'Cash Flow'!D$3,'Wells Fargo'!$B:$B,"&gt;"&amp;'Cash Flow'!C$3)</f>
        <v>0</v>
      </c>
      <c r="E20" s="89">
        <f>SUMIFS('Wells Fargo'!$F:$F,'Wells Fargo'!$G:$G,'Cash Flow'!$A20,'Wells Fargo'!$A:$A,E$1,'Wells Fargo'!$B:$B,"&lt;="&amp;'Cash Flow'!E$3,'Wells Fargo'!$B:$B,"&gt;"&amp;'Cash Flow'!D$3)</f>
        <v>0</v>
      </c>
      <c r="F20" s="89">
        <f>SUMIFS('Wells Fargo'!$F:$F,'Wells Fargo'!$G:$G,'Cash Flow'!$A20,'Wells Fargo'!$A:$A,F$1,'Wells Fargo'!$B:$B,"&lt;="&amp;'Cash Flow'!F$3,'Wells Fargo'!$B:$B,"&gt;"&amp;'Cash Flow'!E$3)</f>
        <v>0</v>
      </c>
      <c r="G20" s="89">
        <f>SUMIFS('Wells Fargo'!$F:$F,'Wells Fargo'!$G:$G,'Cash Flow'!$A20,'Wells Fargo'!$A:$A,G$1,'Wells Fargo'!$B:$B,"&lt;="&amp;'Cash Flow'!G$3,'Wells Fargo'!$B:$B,"&gt;"&amp;'Cash Flow'!F$3)</f>
        <v>0</v>
      </c>
      <c r="H20" s="90">
        <f>SUMIFS('Wells Fargo'!$F:$F,'Wells Fargo'!$G:$G,'Cash Flow'!$A20,'Wells Fargo'!$A:$A,H$1,'Wells Fargo'!$B:$B,"&lt;="&amp;'Cash Flow'!H$3)</f>
        <v>0</v>
      </c>
      <c r="I20" s="89">
        <f>SUMIFS('Wells Fargo'!$F:$F,'Wells Fargo'!$G:$G,'Cash Flow'!$A20,'Wells Fargo'!$A:$A,I$1,'Wells Fargo'!$B:$B,"&lt;="&amp;'Cash Flow'!I$3,'Wells Fargo'!$B:$B,"&gt;"&amp;'Cash Flow'!H$3)</f>
        <v>0</v>
      </c>
      <c r="J20" s="89">
        <f>SUMIFS('Wells Fargo'!$F:$F,'Wells Fargo'!$G:$G,'Cash Flow'!$A20,'Wells Fargo'!$A:$A,J$1,'Wells Fargo'!$B:$B,"&lt;="&amp;'Cash Flow'!J$3,'Wells Fargo'!$B:$B,"&gt;"&amp;'Cash Flow'!I$3)</f>
        <v>0</v>
      </c>
      <c r="K20" s="89">
        <f>SUMIFS('Wells Fargo'!$F:$F,'Wells Fargo'!$G:$G,'Cash Flow'!$A20,'Wells Fargo'!$A:$A,K$1,'Wells Fargo'!$B:$B,"&lt;="&amp;'Cash Flow'!K$3,'Wells Fargo'!$B:$B,"&gt;"&amp;'Cash Flow'!J$3)</f>
        <v>0</v>
      </c>
      <c r="L20" s="90">
        <f>SUMIFS('Wells Fargo'!$F:$F,'Wells Fargo'!$G:$G,'Cash Flow'!$A20,'Wells Fargo'!$A:$A,L$1,'Wells Fargo'!$B:$B,"&lt;="&amp;'Cash Flow'!L$3)</f>
        <v>0</v>
      </c>
      <c r="M20" s="89">
        <f>SUMIFS('Wells Fargo'!$F:$F,'Wells Fargo'!$G:$G,'Cash Flow'!$A20,'Wells Fargo'!$A:$A,M$1,'Wells Fargo'!$B:$B,"&lt;="&amp;'Cash Flow'!M$3,'Wells Fargo'!$B:$B,"&gt;"&amp;'Cash Flow'!L$3)</f>
        <v>0</v>
      </c>
      <c r="N20" s="89">
        <f>SUMIFS('Wells Fargo'!$F:$F,'Wells Fargo'!$G:$G,'Cash Flow'!$A20,'Wells Fargo'!$A:$A,N$1,'Wells Fargo'!$B:$B,"&lt;="&amp;'Cash Flow'!N$3,'Wells Fargo'!$B:$B,"&gt;"&amp;'Cash Flow'!M$3)</f>
        <v>0</v>
      </c>
      <c r="O20" s="89">
        <f>SUMIFS('Wells Fargo'!$F:$F,'Wells Fargo'!$G:$G,'Cash Flow'!$A20,'Wells Fargo'!$A:$A,O$1,'Wells Fargo'!$B:$B,"&lt;="&amp;'Cash Flow'!O$3,'Wells Fargo'!$B:$B,"&gt;"&amp;'Cash Flow'!N$3)</f>
        <v>0</v>
      </c>
      <c r="P20" s="89">
        <f>SUMIFS('Wells Fargo'!$F:$F,'Wells Fargo'!$G:$G,'Cash Flow'!$A20,'Wells Fargo'!$A:$A,P$1,'Wells Fargo'!$B:$B,"&lt;="&amp;'Cash Flow'!P$3,'Wells Fargo'!$B:$B,"&gt;"&amp;'Cash Flow'!O$3)</f>
        <v>0</v>
      </c>
      <c r="Q20" s="90">
        <f>SUMIFS('Wells Fargo'!$F:$F,'Wells Fargo'!$G:$G,'Cash Flow'!$A20,'Wells Fargo'!$A:$A,Q$1,'Wells Fargo'!$B:$B,"&lt;="&amp;'Cash Flow'!Q$3)</f>
        <v>0</v>
      </c>
      <c r="R20" s="89">
        <f>SUMIFS('Wells Fargo'!$F:$F,'Wells Fargo'!$G:$G,'Cash Flow'!$A20,'Wells Fargo'!$A:$A,R$1,'Wells Fargo'!$B:$B,"&lt;="&amp;'Cash Flow'!R$3,'Wells Fargo'!$B:$B,"&gt;"&amp;'Cash Flow'!Q$3)</f>
        <v>0</v>
      </c>
      <c r="S20" s="89">
        <f>SUMIFS('Wells Fargo'!$F:$F,'Wells Fargo'!$G:$G,'Cash Flow'!$A20,'Wells Fargo'!$A:$A,S$1,'Wells Fargo'!$B:$B,"&lt;="&amp;'Cash Flow'!S$3,'Wells Fargo'!$B:$B,"&gt;"&amp;'Cash Flow'!R$3)</f>
        <v>0</v>
      </c>
      <c r="T20" s="89">
        <f>SUMIFS('Wells Fargo'!$F:$F,'Wells Fargo'!$G:$G,'Cash Flow'!$A20,'Wells Fargo'!$A:$A,T$1,'Wells Fargo'!$B:$B,"&lt;="&amp;'Cash Flow'!T$3,'Wells Fargo'!$B:$B,"&gt;"&amp;'Cash Flow'!S$3)</f>
        <v>0</v>
      </c>
      <c r="U20" s="89">
        <f>SUMIFS('Wells Fargo'!$F:$F,'Wells Fargo'!$G:$G,'Cash Flow'!$A20,'Wells Fargo'!$A:$A,U$1,'Wells Fargo'!$B:$B,"&lt;="&amp;'Cash Flow'!U$3,'Wells Fargo'!$B:$B,"&gt;"&amp;'Cash Flow'!T$3)</f>
        <v>0</v>
      </c>
      <c r="V20" s="90">
        <f>SUMIFS('Wells Fargo'!$F:$F,'Wells Fargo'!$G:$G,'Cash Flow'!$A20,'Wells Fargo'!$A:$A,V$1,'Wells Fargo'!$B:$B,"&lt;="&amp;'Cash Flow'!V$3)</f>
        <v>-50</v>
      </c>
      <c r="W20" s="89">
        <f>SUMIFS('Wells Fargo'!$F:$F,'Wells Fargo'!$G:$G,'Cash Flow'!$A20,'Wells Fargo'!$A:$A,W$1,'Wells Fargo'!$B:$B,"&lt;="&amp;'Cash Flow'!W$3,'Wells Fargo'!$B:$B,"&gt;"&amp;'Cash Flow'!V$3)</f>
        <v>0</v>
      </c>
      <c r="X20" s="89">
        <f>SUMIFS('Wells Fargo'!$F:$F,'Wells Fargo'!$G:$G,'Cash Flow'!$A20,'Wells Fargo'!$A:$A,X$1,'Wells Fargo'!$B:$B,"&lt;="&amp;'Cash Flow'!X$3,'Wells Fargo'!$B:$B,"&gt;"&amp;'Cash Flow'!W$3)</f>
        <v>0</v>
      </c>
      <c r="Y20" s="89">
        <f>SUMIFS('Wells Fargo'!$F:$F,'Wells Fargo'!$G:$G,'Cash Flow'!$A20,'Wells Fargo'!$A:$A,Y$1,'Wells Fargo'!$B:$B,"&lt;="&amp;'Cash Flow'!Y$3,'Wells Fargo'!$B:$B,"&gt;"&amp;'Cash Flow'!X$3)</f>
        <v>0</v>
      </c>
      <c r="Z20" s="89">
        <f>SUMIFS('Wells Fargo'!$F:$F,'Wells Fargo'!$G:$G,'Cash Flow'!$A20,'Wells Fargo'!$A:$A,Z$1,'Wells Fargo'!$B:$B,"&lt;="&amp;'Cash Flow'!Z$3,'Wells Fargo'!$B:$B,"&gt;"&amp;'Cash Flow'!Y$3)</f>
        <v>0</v>
      </c>
      <c r="AA20" s="90">
        <f>SUMIFS('Wells Fargo'!$F:$F,'Wells Fargo'!$G:$G,'Cash Flow'!$A20,'Wells Fargo'!$A:$A,AA$1,'Wells Fargo'!$B:$B,"&lt;="&amp;'Cash Flow'!AA$3)</f>
        <v>0</v>
      </c>
      <c r="AB20" s="89">
        <f>SUMIFS('Wells Fargo'!$F:$F,'Wells Fargo'!$G:$G,'Cash Flow'!$A20,'Wells Fargo'!$A:$A,AB$1,'Wells Fargo'!$B:$B,"&lt;="&amp;'Cash Flow'!AB$3,'Wells Fargo'!$B:$B,"&gt;"&amp;'Cash Flow'!AA$3)</f>
        <v>0</v>
      </c>
      <c r="AC20" s="89">
        <f>SUMIFS('Wells Fargo'!$F:$F,'Wells Fargo'!$G:$G,'Cash Flow'!$A20,'Wells Fargo'!$A:$A,AC$1,'Wells Fargo'!$B:$B,"&lt;="&amp;'Cash Flow'!AC$3,'Wells Fargo'!$B:$B,"&gt;"&amp;'Cash Flow'!AB$3)</f>
        <v>0</v>
      </c>
      <c r="AD20" s="89">
        <f>SUMIFS('Wells Fargo'!$F:$F,'Wells Fargo'!$G:$G,'Cash Flow'!$A20,'Wells Fargo'!$A:$A,AD$1,'Wells Fargo'!$B:$B,"&lt;="&amp;'Cash Flow'!AD$3,'Wells Fargo'!$B:$B,"&gt;"&amp;'Cash Flow'!AC$3)</f>
        <v>0</v>
      </c>
      <c r="AE20" s="89">
        <f>SUMIFS('Wells Fargo'!$F:$F,'Wells Fargo'!$G:$G,'Cash Flow'!$A20,'Wells Fargo'!$A:$A,AE$1,'Wells Fargo'!$B:$B,"&lt;="&amp;'Cash Flow'!AE$3,'Wells Fargo'!$B:$B,"&gt;"&amp;'Cash Flow'!AD$3)</f>
        <v>0</v>
      </c>
      <c r="AF20" s="90">
        <f>SUMIFS('Wells Fargo'!$F:$F,'Wells Fargo'!$G:$G,'Cash Flow'!$A20,'Wells Fargo'!$A:$A,AF$1,'Wells Fargo'!$B:$B,"&lt;="&amp;'Cash Flow'!AF$3)</f>
        <v>0</v>
      </c>
      <c r="AG20" s="89">
        <f>SUMIFS('Wells Fargo'!$F:$F,'Wells Fargo'!$G:$G,'Cash Flow'!$A20,'Wells Fargo'!$A:$A,AG$1,'Wells Fargo'!$B:$B,"&lt;="&amp;'Cash Flow'!AG$3,'Wells Fargo'!$B:$B,"&gt;"&amp;'Cash Flow'!AF$3)</f>
        <v>0</v>
      </c>
      <c r="AH20" s="89">
        <f>SUMIFS('Wells Fargo'!$F:$F,'Wells Fargo'!$G:$G,'Cash Flow'!$A20,'Wells Fargo'!$A:$A,AH$1,'Wells Fargo'!$B:$B,"&lt;="&amp;'Cash Flow'!AH$3,'Wells Fargo'!$B:$B,"&gt;"&amp;'Cash Flow'!AG$3)</f>
        <v>0</v>
      </c>
      <c r="AI20" s="89">
        <f>SUMIFS('Wells Fargo'!$F:$F,'Wells Fargo'!$G:$G,'Cash Flow'!$A20,'Wells Fargo'!$A:$A,AI$1,'Wells Fargo'!$B:$B,"&lt;="&amp;'Cash Flow'!AI$3,'Wells Fargo'!$B:$B,"&gt;"&amp;'Cash Flow'!AH$3)</f>
        <v>0</v>
      </c>
      <c r="AJ20" s="89">
        <f>SUMIFS('Wells Fargo'!$F:$F,'Wells Fargo'!$G:$G,'Cash Flow'!$A20,'Wells Fargo'!$A:$A,AJ$1,'Wells Fargo'!$B:$B,"&lt;="&amp;'Cash Flow'!AJ$3,'Wells Fargo'!$B:$B,"&gt;"&amp;'Cash Flow'!AI$3)</f>
        <v>0</v>
      </c>
      <c r="AK20" s="90">
        <f>SUMIFS('Wells Fargo'!$F:$F,'Wells Fargo'!$G:$G,'Cash Flow'!$A20,'Wells Fargo'!$A:$A,AK$1,'Wells Fargo'!$B:$B,"&lt;="&amp;'Cash Flow'!AK$3)</f>
        <v>0</v>
      </c>
      <c r="AL20" s="89">
        <f>SUMIFS('Wells Fargo'!$F:$F,'Wells Fargo'!$G:$G,'Cash Flow'!$A20,'Wells Fargo'!$A:$A,AL$1,'Wells Fargo'!$B:$B,"&lt;="&amp;'Cash Flow'!AL$3,'Wells Fargo'!$B:$B,"&gt;"&amp;'Cash Flow'!AK$3)</f>
        <v>0</v>
      </c>
      <c r="AM20" s="89">
        <f>SUMIFS('Wells Fargo'!$F:$F,'Wells Fargo'!$G:$G,'Cash Flow'!$A20,'Wells Fargo'!$A:$A,AM$1,'Wells Fargo'!$B:$B,"&lt;="&amp;'Cash Flow'!AM$3,'Wells Fargo'!$B:$B,"&gt;"&amp;'Cash Flow'!AL$3)</f>
        <v>0</v>
      </c>
      <c r="AN20" s="89">
        <f>SUMIFS('Wells Fargo'!$F:$F,'Wells Fargo'!$G:$G,'Cash Flow'!$A20,'Wells Fargo'!$A:$A,AN$1,'Wells Fargo'!$B:$B,"&lt;="&amp;'Cash Flow'!AN$3,'Wells Fargo'!$B:$B,"&gt;"&amp;'Cash Flow'!AM$3)</f>
        <v>0</v>
      </c>
      <c r="AO20" s="89">
        <f>SUMIFS('Wells Fargo'!$F:$F,'Wells Fargo'!$G:$G,'Cash Flow'!$A20,'Wells Fargo'!$A:$A,AO$1,'Wells Fargo'!$B:$B,"&lt;="&amp;'Cash Flow'!AO$3,'Wells Fargo'!$B:$B,"&gt;"&amp;'Cash Flow'!AN$3)</f>
        <v>0</v>
      </c>
      <c r="AP20" s="90">
        <f>SUMIFS('Wells Fargo'!$F:$F,'Wells Fargo'!$G:$G,'Cash Flow'!$A20,'Wells Fargo'!$A:$A,AP$1,'Wells Fargo'!$B:$B,"&lt;="&amp;'Cash Flow'!AP$3)</f>
        <v>0</v>
      </c>
      <c r="AQ20" s="89">
        <f>SUMIFS('Wells Fargo'!$F:$F,'Wells Fargo'!$G:$G,'Cash Flow'!$A20,'Wells Fargo'!$A:$A,AQ$1,'Wells Fargo'!$B:$B,"&lt;="&amp;'Cash Flow'!AQ$3,'Wells Fargo'!$B:$B,"&gt;"&amp;'Cash Flow'!AP$3)</f>
        <v>0</v>
      </c>
      <c r="AR20" s="89">
        <f>SUMIFS('Wells Fargo'!$F:$F,'Wells Fargo'!$G:$G,'Cash Flow'!$A20,'Wells Fargo'!$A:$A,AR$1,'Wells Fargo'!$B:$B,"&lt;="&amp;'Cash Flow'!AR$3,'Wells Fargo'!$B:$B,"&gt;"&amp;'Cash Flow'!AQ$3)</f>
        <v>0</v>
      </c>
      <c r="AS20" s="89">
        <f>SUMIFS('Wells Fargo'!$F:$F,'Wells Fargo'!$G:$G,'Cash Flow'!$A20,'Wells Fargo'!$A:$A,AS$1,'Wells Fargo'!$B:$B,"&lt;="&amp;'Cash Flow'!AS$3,'Wells Fargo'!$B:$B,"&gt;"&amp;'Cash Flow'!AR$3)</f>
        <v>0</v>
      </c>
      <c r="AT20" s="89">
        <f>SUMIFS('Wells Fargo'!$F:$F,'Wells Fargo'!$G:$G,'Cash Flow'!$A20,'Wells Fargo'!$A:$A,AT$1,'Wells Fargo'!$B:$B,"&lt;="&amp;'Cash Flow'!AT$3,'Wells Fargo'!$B:$B,"&gt;"&amp;'Cash Flow'!AS$3)</f>
        <v>0</v>
      </c>
      <c r="AU20" s="90">
        <f>SUMIFS('Wells Fargo'!$F:$F,'Wells Fargo'!$G:$G,'Cash Flow'!$A20,'Wells Fargo'!$A:$A,AU$1,'Wells Fargo'!$B:$B,"&lt;="&amp;'Cash Flow'!AU$3)</f>
        <v>0</v>
      </c>
      <c r="AV20" s="89">
        <f>SUMIFS('Wells Fargo'!$F:$F,'Wells Fargo'!$G:$G,'Cash Flow'!$A20,'Wells Fargo'!$A:$A,AV$1,'Wells Fargo'!$B:$B,"&lt;="&amp;'Cash Flow'!AV$3,'Wells Fargo'!$B:$B,"&gt;"&amp;'Cash Flow'!AU$3)</f>
        <v>0</v>
      </c>
      <c r="AW20" s="89">
        <f>SUMIFS('Wells Fargo'!$F:$F,'Wells Fargo'!$G:$G,'Cash Flow'!$A20,'Wells Fargo'!$A:$A,AW$1,'Wells Fargo'!$B:$B,"&lt;="&amp;'Cash Flow'!AW$3,'Wells Fargo'!$B:$B,"&gt;"&amp;'Cash Flow'!AV$3)</f>
        <v>0</v>
      </c>
      <c r="AX20" s="89">
        <f>SUMIFS('Wells Fargo'!$F:$F,'Wells Fargo'!$G:$G,'Cash Flow'!$A20,'Wells Fargo'!$A:$A,AX$1,'Wells Fargo'!$B:$B,"&lt;="&amp;'Cash Flow'!AX$3,'Wells Fargo'!$B:$B,"&gt;"&amp;'Cash Flow'!AW$3)</f>
        <v>0</v>
      </c>
      <c r="AY20" s="89">
        <f>SUMIFS('Wells Fargo'!$F:$F,'Wells Fargo'!$G:$G,'Cash Flow'!$A20,'Wells Fargo'!$A:$A,AY$1,'Wells Fargo'!$B:$B,"&lt;="&amp;'Cash Flow'!AY$3,'Wells Fargo'!$B:$B,"&gt;"&amp;'Cash Flow'!AX$3)</f>
        <v>0</v>
      </c>
      <c r="AZ20" s="90">
        <f>SUMIFS('Wells Fargo'!$F:$F,'Wells Fargo'!$G:$G,'Cash Flow'!$A20,'Wells Fargo'!$A:$A,AZ$1,'Wells Fargo'!$B:$B,"&lt;="&amp;'Cash Flow'!AZ$3)</f>
        <v>0</v>
      </c>
      <c r="BA20" s="89">
        <f>SUMIFS('Wells Fargo'!$F:$F,'Wells Fargo'!$G:$G,'Cash Flow'!$A20,'Wells Fargo'!$A:$A,BA$1,'Wells Fargo'!$B:$B,"&lt;="&amp;'Cash Flow'!BA$3,'Wells Fargo'!$B:$B,"&gt;"&amp;'Cash Flow'!AZ$3)</f>
        <v>0</v>
      </c>
      <c r="BB20" s="89">
        <f>SUMIFS('Wells Fargo'!$F:$F,'Wells Fargo'!$G:$G,'Cash Flow'!$A20,'Wells Fargo'!$A:$A,BB$1,'Wells Fargo'!$B:$B,"&lt;="&amp;'Cash Flow'!BB$3,'Wells Fargo'!$B:$B,"&gt;"&amp;'Cash Flow'!BA$3)</f>
        <v>0</v>
      </c>
      <c r="BC20" s="89">
        <f>SUMIFS('Wells Fargo'!$F:$F,'Wells Fargo'!$G:$G,'Cash Flow'!$A20,'Wells Fargo'!$A:$A,BC$1,'Wells Fargo'!$B:$B,"&lt;="&amp;'Cash Flow'!BC$3,'Wells Fargo'!$B:$B,"&gt;"&amp;'Cash Flow'!BB$3)</f>
        <v>0</v>
      </c>
      <c r="BD20" s="89">
        <f>SUMIFS('Wells Fargo'!$F:$F,'Wells Fargo'!$G:$G,'Cash Flow'!$A20,'Wells Fargo'!$A:$A,BD$1,'Wells Fargo'!$B:$B,"&lt;="&amp;'Cash Flow'!BD$3,'Wells Fargo'!$B:$B,"&gt;"&amp;'Cash Flow'!BC$3)</f>
        <v>0</v>
      </c>
      <c r="BE20" s="90">
        <f>SUMIFS('Wells Fargo'!$F:$F,'Wells Fargo'!$G:$G,'Cash Flow'!$A20,'Wells Fargo'!$A:$A,BE$1,'Wells Fargo'!$B:$B,"&lt;="&amp;'Cash Flow'!BE$3)</f>
        <v>0</v>
      </c>
      <c r="BF20" s="89">
        <f>SUMIFS('Wells Fargo'!$F:$F,'Wells Fargo'!$G:$G,'Cash Flow'!$A20,'Wells Fargo'!$A:$A,BF$1,'Wells Fargo'!$B:$B,"&lt;="&amp;'Cash Flow'!BF$3,'Wells Fargo'!$B:$B,"&gt;"&amp;'Cash Flow'!BE$3)</f>
        <v>0</v>
      </c>
      <c r="BG20" s="89">
        <f>SUMIFS('Wells Fargo'!$F:$F,'Wells Fargo'!$G:$G,'Cash Flow'!$A20,'Wells Fargo'!$A:$A,BG$1,'Wells Fargo'!$B:$B,"&lt;="&amp;'Cash Flow'!BG$3,'Wells Fargo'!$B:$B,"&gt;"&amp;'Cash Flow'!BF$3)</f>
        <v>0</v>
      </c>
      <c r="BH20" s="89">
        <f>SUMIFS('Wells Fargo'!$F:$F,'Wells Fargo'!$G:$G,'Cash Flow'!$A20,'Wells Fargo'!$A:$A,BH$1,'Wells Fargo'!$B:$B,"&lt;="&amp;'Cash Flow'!BH$3,'Wells Fargo'!$B:$B,"&gt;"&amp;'Cash Flow'!BG$3)</f>
        <v>0</v>
      </c>
      <c r="BI20" s="89">
        <f>SUMIFS('Wells Fargo'!$F:$F,'Wells Fargo'!$G:$G,'Cash Flow'!$A20,'Wells Fargo'!$A:$A,BI$1,'Wells Fargo'!$B:$B,"&lt;="&amp;'Cash Flow'!BI$3,'Wells Fargo'!$B:$B,"&gt;"&amp;'Cash Flow'!BH$3)</f>
        <v>0</v>
      </c>
    </row>
    <row r="21" spans="1:61" ht="12.75" x14ac:dyDescent="0.2">
      <c r="A21" t="str">
        <v>Don</v>
      </c>
      <c r="B21" s="15">
        <f t="shared" si="0"/>
        <v>-297.5</v>
      </c>
      <c r="C21" s="90">
        <f>SUMIFS('Wells Fargo'!$F:$F,'Wells Fargo'!$G:$G,'Cash Flow'!$A21,'Wells Fargo'!$A:$A,C$1,'Wells Fargo'!$B:$B,"&lt;="&amp;'Cash Flow'!C$3)</f>
        <v>0</v>
      </c>
      <c r="D21" s="89">
        <f>SUMIFS('Wells Fargo'!$F:$F,'Wells Fargo'!$G:$G,'Cash Flow'!$A21,'Wells Fargo'!$A:$A,D$1,'Wells Fargo'!$B:$B,"&lt;="&amp;'Cash Flow'!D$3,'Wells Fargo'!$B:$B,"&gt;"&amp;'Cash Flow'!C$3)</f>
        <v>0</v>
      </c>
      <c r="E21" s="89">
        <f>SUMIFS('Wells Fargo'!$F:$F,'Wells Fargo'!$G:$G,'Cash Flow'!$A21,'Wells Fargo'!$A:$A,E$1,'Wells Fargo'!$B:$B,"&lt;="&amp;'Cash Flow'!E$3,'Wells Fargo'!$B:$B,"&gt;"&amp;'Cash Flow'!D$3)</f>
        <v>0</v>
      </c>
      <c r="F21" s="89">
        <f>SUMIFS('Wells Fargo'!$F:$F,'Wells Fargo'!$G:$G,'Cash Flow'!$A21,'Wells Fargo'!$A:$A,F$1,'Wells Fargo'!$B:$B,"&lt;="&amp;'Cash Flow'!F$3,'Wells Fargo'!$B:$B,"&gt;"&amp;'Cash Flow'!E$3)</f>
        <v>0</v>
      </c>
      <c r="G21" s="89">
        <f>SUMIFS('Wells Fargo'!$F:$F,'Wells Fargo'!$G:$G,'Cash Flow'!$A21,'Wells Fargo'!$A:$A,G$1,'Wells Fargo'!$B:$B,"&lt;="&amp;'Cash Flow'!G$3,'Wells Fargo'!$B:$B,"&gt;"&amp;'Cash Flow'!F$3)</f>
        <v>0</v>
      </c>
      <c r="H21" s="90">
        <f>SUMIFS('Wells Fargo'!$F:$F,'Wells Fargo'!$G:$G,'Cash Flow'!$A21,'Wells Fargo'!$A:$A,H$1,'Wells Fargo'!$B:$B,"&lt;="&amp;'Cash Flow'!H$3)</f>
        <v>-600</v>
      </c>
      <c r="I21" s="89">
        <f>SUMIFS('Wells Fargo'!$F:$F,'Wells Fargo'!$G:$G,'Cash Flow'!$A21,'Wells Fargo'!$A:$A,I$1,'Wells Fargo'!$B:$B,"&lt;="&amp;'Cash Flow'!I$3,'Wells Fargo'!$B:$B,"&gt;"&amp;'Cash Flow'!H$3)</f>
        <v>0</v>
      </c>
      <c r="J21" s="89">
        <f>SUMIFS('Wells Fargo'!$F:$F,'Wells Fargo'!$G:$G,'Cash Flow'!$A21,'Wells Fargo'!$A:$A,J$1,'Wells Fargo'!$B:$B,"&lt;="&amp;'Cash Flow'!J$3,'Wells Fargo'!$B:$B,"&gt;"&amp;'Cash Flow'!I$3)</f>
        <v>492.5</v>
      </c>
      <c r="K21" s="89">
        <f>SUMIFS('Wells Fargo'!$F:$F,'Wells Fargo'!$G:$G,'Cash Flow'!$A21,'Wells Fargo'!$A:$A,K$1,'Wells Fargo'!$B:$B,"&lt;="&amp;'Cash Flow'!K$3,'Wells Fargo'!$B:$B,"&gt;"&amp;'Cash Flow'!J$3)</f>
        <v>0</v>
      </c>
      <c r="L21" s="90">
        <f>SUMIFS('Wells Fargo'!$F:$F,'Wells Fargo'!$G:$G,'Cash Flow'!$A21,'Wells Fargo'!$A:$A,L$1,'Wells Fargo'!$B:$B,"&lt;="&amp;'Cash Flow'!L$3)</f>
        <v>0</v>
      </c>
      <c r="M21" s="89">
        <f>SUMIFS('Wells Fargo'!$F:$F,'Wells Fargo'!$G:$G,'Cash Flow'!$A21,'Wells Fargo'!$A:$A,M$1,'Wells Fargo'!$B:$B,"&lt;="&amp;'Cash Flow'!M$3,'Wells Fargo'!$B:$B,"&gt;"&amp;'Cash Flow'!L$3)</f>
        <v>0</v>
      </c>
      <c r="N21" s="89">
        <f>SUMIFS('Wells Fargo'!$F:$F,'Wells Fargo'!$G:$G,'Cash Flow'!$A21,'Wells Fargo'!$A:$A,N$1,'Wells Fargo'!$B:$B,"&lt;="&amp;'Cash Flow'!N$3,'Wells Fargo'!$B:$B,"&gt;"&amp;'Cash Flow'!M$3)</f>
        <v>0</v>
      </c>
      <c r="O21" s="89">
        <f>SUMIFS('Wells Fargo'!$F:$F,'Wells Fargo'!$G:$G,'Cash Flow'!$A21,'Wells Fargo'!$A:$A,O$1,'Wells Fargo'!$B:$B,"&lt;="&amp;'Cash Flow'!O$3,'Wells Fargo'!$B:$B,"&gt;"&amp;'Cash Flow'!N$3)</f>
        <v>0</v>
      </c>
      <c r="P21" s="89">
        <f>SUMIFS('Wells Fargo'!$F:$F,'Wells Fargo'!$G:$G,'Cash Flow'!$A21,'Wells Fargo'!$A:$A,P$1,'Wells Fargo'!$B:$B,"&lt;="&amp;'Cash Flow'!P$3,'Wells Fargo'!$B:$B,"&gt;"&amp;'Cash Flow'!O$3)</f>
        <v>0</v>
      </c>
      <c r="Q21" s="90">
        <f>SUMIFS('Wells Fargo'!$F:$F,'Wells Fargo'!$G:$G,'Cash Flow'!$A21,'Wells Fargo'!$A:$A,Q$1,'Wells Fargo'!$B:$B,"&lt;="&amp;'Cash Flow'!Q$3)</f>
        <v>0</v>
      </c>
      <c r="R21" s="89">
        <f>SUMIFS('Wells Fargo'!$F:$F,'Wells Fargo'!$G:$G,'Cash Flow'!$A21,'Wells Fargo'!$A:$A,R$1,'Wells Fargo'!$B:$B,"&lt;="&amp;'Cash Flow'!R$3,'Wells Fargo'!$B:$B,"&gt;"&amp;'Cash Flow'!Q$3)</f>
        <v>0</v>
      </c>
      <c r="S21" s="89">
        <f>SUMIFS('Wells Fargo'!$F:$F,'Wells Fargo'!$G:$G,'Cash Flow'!$A21,'Wells Fargo'!$A:$A,S$1,'Wells Fargo'!$B:$B,"&lt;="&amp;'Cash Flow'!S$3,'Wells Fargo'!$B:$B,"&gt;"&amp;'Cash Flow'!R$3)</f>
        <v>0</v>
      </c>
      <c r="T21" s="89">
        <f>SUMIFS('Wells Fargo'!$F:$F,'Wells Fargo'!$G:$G,'Cash Flow'!$A21,'Wells Fargo'!$A:$A,T$1,'Wells Fargo'!$B:$B,"&lt;="&amp;'Cash Flow'!T$3,'Wells Fargo'!$B:$B,"&gt;"&amp;'Cash Flow'!S$3)</f>
        <v>0</v>
      </c>
      <c r="U21" s="89">
        <f>SUMIFS('Wells Fargo'!$F:$F,'Wells Fargo'!$G:$G,'Cash Flow'!$A21,'Wells Fargo'!$A:$A,U$1,'Wells Fargo'!$B:$B,"&lt;="&amp;'Cash Flow'!U$3,'Wells Fargo'!$B:$B,"&gt;"&amp;'Cash Flow'!T$3)</f>
        <v>0</v>
      </c>
      <c r="V21" s="90">
        <f>SUMIFS('Wells Fargo'!$F:$F,'Wells Fargo'!$G:$G,'Cash Flow'!$A21,'Wells Fargo'!$A:$A,V$1,'Wells Fargo'!$B:$B,"&lt;="&amp;'Cash Flow'!V$3)</f>
        <v>0</v>
      </c>
      <c r="W21" s="89">
        <f>SUMIFS('Wells Fargo'!$F:$F,'Wells Fargo'!$G:$G,'Cash Flow'!$A21,'Wells Fargo'!$A:$A,W$1,'Wells Fargo'!$B:$B,"&lt;="&amp;'Cash Flow'!W$3,'Wells Fargo'!$B:$B,"&gt;"&amp;'Cash Flow'!V$3)</f>
        <v>0</v>
      </c>
      <c r="X21" s="89">
        <f>SUMIFS('Wells Fargo'!$F:$F,'Wells Fargo'!$G:$G,'Cash Flow'!$A21,'Wells Fargo'!$A:$A,X$1,'Wells Fargo'!$B:$B,"&lt;="&amp;'Cash Flow'!X$3,'Wells Fargo'!$B:$B,"&gt;"&amp;'Cash Flow'!W$3)</f>
        <v>0</v>
      </c>
      <c r="Y21" s="89">
        <f>SUMIFS('Wells Fargo'!$F:$F,'Wells Fargo'!$G:$G,'Cash Flow'!$A21,'Wells Fargo'!$A:$A,Y$1,'Wells Fargo'!$B:$B,"&lt;="&amp;'Cash Flow'!Y$3,'Wells Fargo'!$B:$B,"&gt;"&amp;'Cash Flow'!X$3)</f>
        <v>-120</v>
      </c>
      <c r="Z21" s="89">
        <f>SUMIFS('Wells Fargo'!$F:$F,'Wells Fargo'!$G:$G,'Cash Flow'!$A21,'Wells Fargo'!$A:$A,Z$1,'Wells Fargo'!$B:$B,"&lt;="&amp;'Cash Flow'!Z$3,'Wells Fargo'!$B:$B,"&gt;"&amp;'Cash Flow'!Y$3)</f>
        <v>0</v>
      </c>
      <c r="AA21" s="90">
        <f>SUMIFS('Wells Fargo'!$F:$F,'Wells Fargo'!$G:$G,'Cash Flow'!$A21,'Wells Fargo'!$A:$A,AA$1,'Wells Fargo'!$B:$B,"&lt;="&amp;'Cash Flow'!AA$3)</f>
        <v>0</v>
      </c>
      <c r="AB21" s="89">
        <f>SUMIFS('Wells Fargo'!$F:$F,'Wells Fargo'!$G:$G,'Cash Flow'!$A21,'Wells Fargo'!$A:$A,AB$1,'Wells Fargo'!$B:$B,"&lt;="&amp;'Cash Flow'!AB$3,'Wells Fargo'!$B:$B,"&gt;"&amp;'Cash Flow'!AA$3)</f>
        <v>0</v>
      </c>
      <c r="AC21" s="89">
        <f>SUMIFS('Wells Fargo'!$F:$F,'Wells Fargo'!$G:$G,'Cash Flow'!$A21,'Wells Fargo'!$A:$A,AC$1,'Wells Fargo'!$B:$B,"&lt;="&amp;'Cash Flow'!AC$3,'Wells Fargo'!$B:$B,"&gt;"&amp;'Cash Flow'!AB$3)</f>
        <v>0</v>
      </c>
      <c r="AD21" s="89">
        <f>SUMIFS('Wells Fargo'!$F:$F,'Wells Fargo'!$G:$G,'Cash Flow'!$A21,'Wells Fargo'!$A:$A,AD$1,'Wells Fargo'!$B:$B,"&lt;="&amp;'Cash Flow'!AD$3,'Wells Fargo'!$B:$B,"&gt;"&amp;'Cash Flow'!AC$3)</f>
        <v>0</v>
      </c>
      <c r="AE21" s="89">
        <f>SUMIFS('Wells Fargo'!$F:$F,'Wells Fargo'!$G:$G,'Cash Flow'!$A21,'Wells Fargo'!$A:$A,AE$1,'Wells Fargo'!$B:$B,"&lt;="&amp;'Cash Flow'!AE$3,'Wells Fargo'!$B:$B,"&gt;"&amp;'Cash Flow'!AD$3)</f>
        <v>0</v>
      </c>
      <c r="AF21" s="90">
        <f>SUMIFS('Wells Fargo'!$F:$F,'Wells Fargo'!$G:$G,'Cash Flow'!$A21,'Wells Fargo'!$A:$A,AF$1,'Wells Fargo'!$B:$B,"&lt;="&amp;'Cash Flow'!AF$3)</f>
        <v>0</v>
      </c>
      <c r="AG21" s="89">
        <f>SUMIFS('Wells Fargo'!$F:$F,'Wells Fargo'!$G:$G,'Cash Flow'!$A21,'Wells Fargo'!$A:$A,AG$1,'Wells Fargo'!$B:$B,"&lt;="&amp;'Cash Flow'!AG$3,'Wells Fargo'!$B:$B,"&gt;"&amp;'Cash Flow'!AF$3)</f>
        <v>0</v>
      </c>
      <c r="AH21" s="89">
        <f>SUMIFS('Wells Fargo'!$F:$F,'Wells Fargo'!$G:$G,'Cash Flow'!$A21,'Wells Fargo'!$A:$A,AH$1,'Wells Fargo'!$B:$B,"&lt;="&amp;'Cash Flow'!AH$3,'Wells Fargo'!$B:$B,"&gt;"&amp;'Cash Flow'!AG$3)</f>
        <v>0</v>
      </c>
      <c r="AI21" s="89">
        <f>SUMIFS('Wells Fargo'!$F:$F,'Wells Fargo'!$G:$G,'Cash Flow'!$A21,'Wells Fargo'!$A:$A,AI$1,'Wells Fargo'!$B:$B,"&lt;="&amp;'Cash Flow'!AI$3,'Wells Fargo'!$B:$B,"&gt;"&amp;'Cash Flow'!AH$3)</f>
        <v>0</v>
      </c>
      <c r="AJ21" s="89">
        <f>SUMIFS('Wells Fargo'!$F:$F,'Wells Fargo'!$G:$G,'Cash Flow'!$A21,'Wells Fargo'!$A:$A,AJ$1,'Wells Fargo'!$B:$B,"&lt;="&amp;'Cash Flow'!AJ$3,'Wells Fargo'!$B:$B,"&gt;"&amp;'Cash Flow'!AI$3)</f>
        <v>0</v>
      </c>
      <c r="AK21" s="90">
        <f>SUMIFS('Wells Fargo'!$F:$F,'Wells Fargo'!$G:$G,'Cash Flow'!$A21,'Wells Fargo'!$A:$A,AK$1,'Wells Fargo'!$B:$B,"&lt;="&amp;'Cash Flow'!AK$3)</f>
        <v>0</v>
      </c>
      <c r="AL21" s="89">
        <f>SUMIFS('Wells Fargo'!$F:$F,'Wells Fargo'!$G:$G,'Cash Flow'!$A21,'Wells Fargo'!$A:$A,AL$1,'Wells Fargo'!$B:$B,"&lt;="&amp;'Cash Flow'!AL$3,'Wells Fargo'!$B:$B,"&gt;"&amp;'Cash Flow'!AK$3)</f>
        <v>0</v>
      </c>
      <c r="AM21" s="89">
        <f>SUMIFS('Wells Fargo'!$F:$F,'Wells Fargo'!$G:$G,'Cash Flow'!$A21,'Wells Fargo'!$A:$A,AM$1,'Wells Fargo'!$B:$B,"&lt;="&amp;'Cash Flow'!AM$3,'Wells Fargo'!$B:$B,"&gt;"&amp;'Cash Flow'!AL$3)</f>
        <v>-70</v>
      </c>
      <c r="AN21" s="89">
        <f>SUMIFS('Wells Fargo'!$F:$F,'Wells Fargo'!$G:$G,'Cash Flow'!$A21,'Wells Fargo'!$A:$A,AN$1,'Wells Fargo'!$B:$B,"&lt;="&amp;'Cash Flow'!AN$3,'Wells Fargo'!$B:$B,"&gt;"&amp;'Cash Flow'!AM$3)</f>
        <v>0</v>
      </c>
      <c r="AO21" s="89">
        <f>SUMIFS('Wells Fargo'!$F:$F,'Wells Fargo'!$G:$G,'Cash Flow'!$A21,'Wells Fargo'!$A:$A,AO$1,'Wells Fargo'!$B:$B,"&lt;="&amp;'Cash Flow'!AO$3,'Wells Fargo'!$B:$B,"&gt;"&amp;'Cash Flow'!AN$3)</f>
        <v>0</v>
      </c>
      <c r="AP21" s="90">
        <f>SUMIFS('Wells Fargo'!$F:$F,'Wells Fargo'!$G:$G,'Cash Flow'!$A21,'Wells Fargo'!$A:$A,AP$1,'Wells Fargo'!$B:$B,"&lt;="&amp;'Cash Flow'!AP$3)</f>
        <v>0</v>
      </c>
      <c r="AQ21" s="89">
        <f>SUMIFS('Wells Fargo'!$F:$F,'Wells Fargo'!$G:$G,'Cash Flow'!$A21,'Wells Fargo'!$A:$A,AQ$1,'Wells Fargo'!$B:$B,"&lt;="&amp;'Cash Flow'!AQ$3,'Wells Fargo'!$B:$B,"&gt;"&amp;'Cash Flow'!AP$3)</f>
        <v>0</v>
      </c>
      <c r="AR21" s="89">
        <f>SUMIFS('Wells Fargo'!$F:$F,'Wells Fargo'!$G:$G,'Cash Flow'!$A21,'Wells Fargo'!$A:$A,AR$1,'Wells Fargo'!$B:$B,"&lt;="&amp;'Cash Flow'!AR$3,'Wells Fargo'!$B:$B,"&gt;"&amp;'Cash Flow'!AQ$3)</f>
        <v>0</v>
      </c>
      <c r="AS21" s="89">
        <f>SUMIFS('Wells Fargo'!$F:$F,'Wells Fargo'!$G:$G,'Cash Flow'!$A21,'Wells Fargo'!$A:$A,AS$1,'Wells Fargo'!$B:$B,"&lt;="&amp;'Cash Flow'!AS$3,'Wells Fargo'!$B:$B,"&gt;"&amp;'Cash Flow'!AR$3)</f>
        <v>0</v>
      </c>
      <c r="AT21" s="89">
        <f>SUMIFS('Wells Fargo'!$F:$F,'Wells Fargo'!$G:$G,'Cash Flow'!$A21,'Wells Fargo'!$A:$A,AT$1,'Wells Fargo'!$B:$B,"&lt;="&amp;'Cash Flow'!AT$3,'Wells Fargo'!$B:$B,"&gt;"&amp;'Cash Flow'!AS$3)</f>
        <v>0</v>
      </c>
      <c r="AU21" s="90">
        <f>SUMIFS('Wells Fargo'!$F:$F,'Wells Fargo'!$G:$G,'Cash Flow'!$A21,'Wells Fargo'!$A:$A,AU$1,'Wells Fargo'!$B:$B,"&lt;="&amp;'Cash Flow'!AU$3)</f>
        <v>0</v>
      </c>
      <c r="AV21" s="89">
        <f>SUMIFS('Wells Fargo'!$F:$F,'Wells Fargo'!$G:$G,'Cash Flow'!$A21,'Wells Fargo'!$A:$A,AV$1,'Wells Fargo'!$B:$B,"&lt;="&amp;'Cash Flow'!AV$3,'Wells Fargo'!$B:$B,"&gt;"&amp;'Cash Flow'!AU$3)</f>
        <v>0</v>
      </c>
      <c r="AW21" s="89">
        <f>SUMIFS('Wells Fargo'!$F:$F,'Wells Fargo'!$G:$G,'Cash Flow'!$A21,'Wells Fargo'!$A:$A,AW$1,'Wells Fargo'!$B:$B,"&lt;="&amp;'Cash Flow'!AW$3,'Wells Fargo'!$B:$B,"&gt;"&amp;'Cash Flow'!AV$3)</f>
        <v>0</v>
      </c>
      <c r="AX21" s="89">
        <f>SUMIFS('Wells Fargo'!$F:$F,'Wells Fargo'!$G:$G,'Cash Flow'!$A21,'Wells Fargo'!$A:$A,AX$1,'Wells Fargo'!$B:$B,"&lt;="&amp;'Cash Flow'!AX$3,'Wells Fargo'!$B:$B,"&gt;"&amp;'Cash Flow'!AW$3)</f>
        <v>0</v>
      </c>
      <c r="AY21" s="89">
        <f>SUMIFS('Wells Fargo'!$F:$F,'Wells Fargo'!$G:$G,'Cash Flow'!$A21,'Wells Fargo'!$A:$A,AY$1,'Wells Fargo'!$B:$B,"&lt;="&amp;'Cash Flow'!AY$3,'Wells Fargo'!$B:$B,"&gt;"&amp;'Cash Flow'!AX$3)</f>
        <v>0</v>
      </c>
      <c r="AZ21" s="90">
        <f>SUMIFS('Wells Fargo'!$F:$F,'Wells Fargo'!$G:$G,'Cash Flow'!$A21,'Wells Fargo'!$A:$A,AZ$1,'Wells Fargo'!$B:$B,"&lt;="&amp;'Cash Flow'!AZ$3)</f>
        <v>0</v>
      </c>
      <c r="BA21" s="89">
        <f>SUMIFS('Wells Fargo'!$F:$F,'Wells Fargo'!$G:$G,'Cash Flow'!$A21,'Wells Fargo'!$A:$A,BA$1,'Wells Fargo'!$B:$B,"&lt;="&amp;'Cash Flow'!BA$3,'Wells Fargo'!$B:$B,"&gt;"&amp;'Cash Flow'!AZ$3)</f>
        <v>0</v>
      </c>
      <c r="BB21" s="89">
        <f>SUMIFS('Wells Fargo'!$F:$F,'Wells Fargo'!$G:$G,'Cash Flow'!$A21,'Wells Fargo'!$A:$A,BB$1,'Wells Fargo'!$B:$B,"&lt;="&amp;'Cash Flow'!BB$3,'Wells Fargo'!$B:$B,"&gt;"&amp;'Cash Flow'!BA$3)</f>
        <v>0</v>
      </c>
      <c r="BC21" s="89">
        <f>SUMIFS('Wells Fargo'!$F:$F,'Wells Fargo'!$G:$G,'Cash Flow'!$A21,'Wells Fargo'!$A:$A,BC$1,'Wells Fargo'!$B:$B,"&lt;="&amp;'Cash Flow'!BC$3,'Wells Fargo'!$B:$B,"&gt;"&amp;'Cash Flow'!BB$3)</f>
        <v>0</v>
      </c>
      <c r="BD21" s="89">
        <f>SUMIFS('Wells Fargo'!$F:$F,'Wells Fargo'!$G:$G,'Cash Flow'!$A21,'Wells Fargo'!$A:$A,BD$1,'Wells Fargo'!$B:$B,"&lt;="&amp;'Cash Flow'!BD$3,'Wells Fargo'!$B:$B,"&gt;"&amp;'Cash Flow'!BC$3)</f>
        <v>0</v>
      </c>
      <c r="BE21" s="90">
        <f>SUMIFS('Wells Fargo'!$F:$F,'Wells Fargo'!$G:$G,'Cash Flow'!$A21,'Wells Fargo'!$A:$A,BE$1,'Wells Fargo'!$B:$B,"&lt;="&amp;'Cash Flow'!BE$3)</f>
        <v>0</v>
      </c>
      <c r="BF21" s="89">
        <f>SUMIFS('Wells Fargo'!$F:$F,'Wells Fargo'!$G:$G,'Cash Flow'!$A21,'Wells Fargo'!$A:$A,BF$1,'Wells Fargo'!$B:$B,"&lt;="&amp;'Cash Flow'!BF$3,'Wells Fargo'!$B:$B,"&gt;"&amp;'Cash Flow'!BE$3)</f>
        <v>0</v>
      </c>
      <c r="BG21" s="89">
        <f>SUMIFS('Wells Fargo'!$F:$F,'Wells Fargo'!$G:$G,'Cash Flow'!$A21,'Wells Fargo'!$A:$A,BG$1,'Wells Fargo'!$B:$B,"&lt;="&amp;'Cash Flow'!BG$3,'Wells Fargo'!$B:$B,"&gt;"&amp;'Cash Flow'!BF$3)</f>
        <v>0</v>
      </c>
      <c r="BH21" s="89">
        <f>SUMIFS('Wells Fargo'!$F:$F,'Wells Fargo'!$G:$G,'Cash Flow'!$A21,'Wells Fargo'!$A:$A,BH$1,'Wells Fargo'!$B:$B,"&lt;="&amp;'Cash Flow'!BH$3,'Wells Fargo'!$B:$B,"&gt;"&amp;'Cash Flow'!BG$3)</f>
        <v>0</v>
      </c>
      <c r="BI21" s="89">
        <f>SUMIFS('Wells Fargo'!$F:$F,'Wells Fargo'!$G:$G,'Cash Flow'!$A21,'Wells Fargo'!$A:$A,BI$1,'Wells Fargo'!$B:$B,"&lt;="&amp;'Cash Flow'!BI$3,'Wells Fargo'!$B:$B,"&gt;"&amp;'Cash Flow'!BH$3)</f>
        <v>0</v>
      </c>
    </row>
    <row r="22" spans="1:61" ht="12.75" x14ac:dyDescent="0.2">
      <c r="A22" t="str">
        <v>Donation</v>
      </c>
      <c r="B22" s="15">
        <f t="shared" si="0"/>
        <v>-100</v>
      </c>
      <c r="C22" s="90">
        <f>SUMIFS('Wells Fargo'!$F:$F,'Wells Fargo'!$G:$G,'Cash Flow'!$A22,'Wells Fargo'!$A:$A,C$1,'Wells Fargo'!$B:$B,"&lt;="&amp;'Cash Flow'!C$3)</f>
        <v>0</v>
      </c>
      <c r="D22" s="89">
        <f>SUMIFS('Wells Fargo'!$F:$F,'Wells Fargo'!$G:$G,'Cash Flow'!$A22,'Wells Fargo'!$A:$A,D$1,'Wells Fargo'!$B:$B,"&lt;="&amp;'Cash Flow'!D$3,'Wells Fargo'!$B:$B,"&gt;"&amp;'Cash Flow'!C$3)</f>
        <v>0</v>
      </c>
      <c r="E22" s="89">
        <f>SUMIFS('Wells Fargo'!$F:$F,'Wells Fargo'!$G:$G,'Cash Flow'!$A22,'Wells Fargo'!$A:$A,E$1,'Wells Fargo'!$B:$B,"&lt;="&amp;'Cash Flow'!E$3,'Wells Fargo'!$B:$B,"&gt;"&amp;'Cash Flow'!D$3)</f>
        <v>0</v>
      </c>
      <c r="F22" s="89">
        <f>SUMIFS('Wells Fargo'!$F:$F,'Wells Fargo'!$G:$G,'Cash Flow'!$A22,'Wells Fargo'!$A:$A,F$1,'Wells Fargo'!$B:$B,"&lt;="&amp;'Cash Flow'!F$3,'Wells Fargo'!$B:$B,"&gt;"&amp;'Cash Flow'!E$3)</f>
        <v>0</v>
      </c>
      <c r="G22" s="89">
        <f>SUMIFS('Wells Fargo'!$F:$F,'Wells Fargo'!$G:$G,'Cash Flow'!$A22,'Wells Fargo'!$A:$A,G$1,'Wells Fargo'!$B:$B,"&lt;="&amp;'Cash Flow'!G$3,'Wells Fargo'!$B:$B,"&gt;"&amp;'Cash Flow'!F$3)</f>
        <v>0</v>
      </c>
      <c r="H22" s="90">
        <f>SUMIFS('Wells Fargo'!$F:$F,'Wells Fargo'!$G:$G,'Cash Flow'!$A22,'Wells Fargo'!$A:$A,H$1,'Wells Fargo'!$B:$B,"&lt;="&amp;'Cash Flow'!H$3)</f>
        <v>0</v>
      </c>
      <c r="I22" s="89">
        <f>SUMIFS('Wells Fargo'!$F:$F,'Wells Fargo'!$G:$G,'Cash Flow'!$A22,'Wells Fargo'!$A:$A,I$1,'Wells Fargo'!$B:$B,"&lt;="&amp;'Cash Flow'!I$3,'Wells Fargo'!$B:$B,"&gt;"&amp;'Cash Flow'!H$3)</f>
        <v>0</v>
      </c>
      <c r="J22" s="89">
        <f>SUMIFS('Wells Fargo'!$F:$F,'Wells Fargo'!$G:$G,'Cash Flow'!$A22,'Wells Fargo'!$A:$A,J$1,'Wells Fargo'!$B:$B,"&lt;="&amp;'Cash Flow'!J$3,'Wells Fargo'!$B:$B,"&gt;"&amp;'Cash Flow'!I$3)</f>
        <v>0</v>
      </c>
      <c r="K22" s="89">
        <f>SUMIFS('Wells Fargo'!$F:$F,'Wells Fargo'!$G:$G,'Cash Flow'!$A22,'Wells Fargo'!$A:$A,K$1,'Wells Fargo'!$B:$B,"&lt;="&amp;'Cash Flow'!K$3,'Wells Fargo'!$B:$B,"&gt;"&amp;'Cash Flow'!J$3)</f>
        <v>0</v>
      </c>
      <c r="L22" s="90">
        <f>SUMIFS('Wells Fargo'!$F:$F,'Wells Fargo'!$G:$G,'Cash Flow'!$A22,'Wells Fargo'!$A:$A,L$1,'Wells Fargo'!$B:$B,"&lt;="&amp;'Cash Flow'!L$3)</f>
        <v>0</v>
      </c>
      <c r="M22" s="89">
        <f>SUMIFS('Wells Fargo'!$F:$F,'Wells Fargo'!$G:$G,'Cash Flow'!$A22,'Wells Fargo'!$A:$A,M$1,'Wells Fargo'!$B:$B,"&lt;="&amp;'Cash Flow'!M$3,'Wells Fargo'!$B:$B,"&gt;"&amp;'Cash Flow'!L$3)</f>
        <v>0</v>
      </c>
      <c r="N22" s="89">
        <f>SUMIFS('Wells Fargo'!$F:$F,'Wells Fargo'!$G:$G,'Cash Flow'!$A22,'Wells Fargo'!$A:$A,N$1,'Wells Fargo'!$B:$B,"&lt;="&amp;'Cash Flow'!N$3,'Wells Fargo'!$B:$B,"&gt;"&amp;'Cash Flow'!M$3)</f>
        <v>0</v>
      </c>
      <c r="O22" s="89">
        <f>SUMIFS('Wells Fargo'!$F:$F,'Wells Fargo'!$G:$G,'Cash Flow'!$A22,'Wells Fargo'!$A:$A,O$1,'Wells Fargo'!$B:$B,"&lt;="&amp;'Cash Flow'!O$3,'Wells Fargo'!$B:$B,"&gt;"&amp;'Cash Flow'!N$3)</f>
        <v>0</v>
      </c>
      <c r="P22" s="89">
        <f>SUMIFS('Wells Fargo'!$F:$F,'Wells Fargo'!$G:$G,'Cash Flow'!$A22,'Wells Fargo'!$A:$A,P$1,'Wells Fargo'!$B:$B,"&lt;="&amp;'Cash Flow'!P$3,'Wells Fargo'!$B:$B,"&gt;"&amp;'Cash Flow'!O$3)</f>
        <v>0</v>
      </c>
      <c r="Q22" s="90">
        <f>SUMIFS('Wells Fargo'!$F:$F,'Wells Fargo'!$G:$G,'Cash Flow'!$A22,'Wells Fargo'!$A:$A,Q$1,'Wells Fargo'!$B:$B,"&lt;="&amp;'Cash Flow'!Q$3)</f>
        <v>0</v>
      </c>
      <c r="R22" s="89">
        <f>SUMIFS('Wells Fargo'!$F:$F,'Wells Fargo'!$G:$G,'Cash Flow'!$A22,'Wells Fargo'!$A:$A,R$1,'Wells Fargo'!$B:$B,"&lt;="&amp;'Cash Flow'!R$3,'Wells Fargo'!$B:$B,"&gt;"&amp;'Cash Flow'!Q$3)</f>
        <v>0</v>
      </c>
      <c r="S22" s="89">
        <f>SUMIFS('Wells Fargo'!$F:$F,'Wells Fargo'!$G:$G,'Cash Flow'!$A22,'Wells Fargo'!$A:$A,S$1,'Wells Fargo'!$B:$B,"&lt;="&amp;'Cash Flow'!S$3,'Wells Fargo'!$B:$B,"&gt;"&amp;'Cash Flow'!R$3)</f>
        <v>0</v>
      </c>
      <c r="T22" s="89">
        <f>SUMIFS('Wells Fargo'!$F:$F,'Wells Fargo'!$G:$G,'Cash Flow'!$A22,'Wells Fargo'!$A:$A,T$1,'Wells Fargo'!$B:$B,"&lt;="&amp;'Cash Flow'!T$3,'Wells Fargo'!$B:$B,"&gt;"&amp;'Cash Flow'!S$3)</f>
        <v>0</v>
      </c>
      <c r="U22" s="89">
        <f>SUMIFS('Wells Fargo'!$F:$F,'Wells Fargo'!$G:$G,'Cash Flow'!$A22,'Wells Fargo'!$A:$A,U$1,'Wells Fargo'!$B:$B,"&lt;="&amp;'Cash Flow'!U$3,'Wells Fargo'!$B:$B,"&gt;"&amp;'Cash Flow'!T$3)</f>
        <v>0</v>
      </c>
      <c r="V22" s="90">
        <f>SUMIFS('Wells Fargo'!$F:$F,'Wells Fargo'!$G:$G,'Cash Flow'!$A22,'Wells Fargo'!$A:$A,V$1,'Wells Fargo'!$B:$B,"&lt;="&amp;'Cash Flow'!V$3)</f>
        <v>0</v>
      </c>
      <c r="W22" s="89">
        <f>SUMIFS('Wells Fargo'!$F:$F,'Wells Fargo'!$G:$G,'Cash Flow'!$A22,'Wells Fargo'!$A:$A,W$1,'Wells Fargo'!$B:$B,"&lt;="&amp;'Cash Flow'!W$3,'Wells Fargo'!$B:$B,"&gt;"&amp;'Cash Flow'!V$3)</f>
        <v>0</v>
      </c>
      <c r="X22" s="89">
        <f>SUMIFS('Wells Fargo'!$F:$F,'Wells Fargo'!$G:$G,'Cash Flow'!$A22,'Wells Fargo'!$A:$A,X$1,'Wells Fargo'!$B:$B,"&lt;="&amp;'Cash Flow'!X$3,'Wells Fargo'!$B:$B,"&gt;"&amp;'Cash Flow'!W$3)</f>
        <v>0</v>
      </c>
      <c r="Y22" s="89">
        <f>SUMIFS('Wells Fargo'!$F:$F,'Wells Fargo'!$G:$G,'Cash Flow'!$A22,'Wells Fargo'!$A:$A,Y$1,'Wells Fargo'!$B:$B,"&lt;="&amp;'Cash Flow'!Y$3,'Wells Fargo'!$B:$B,"&gt;"&amp;'Cash Flow'!X$3)</f>
        <v>0</v>
      </c>
      <c r="Z22" s="89">
        <f>SUMIFS('Wells Fargo'!$F:$F,'Wells Fargo'!$G:$G,'Cash Flow'!$A22,'Wells Fargo'!$A:$A,Z$1,'Wells Fargo'!$B:$B,"&lt;="&amp;'Cash Flow'!Z$3,'Wells Fargo'!$B:$B,"&gt;"&amp;'Cash Flow'!Y$3)</f>
        <v>0</v>
      </c>
      <c r="AA22" s="90">
        <f>SUMIFS('Wells Fargo'!$F:$F,'Wells Fargo'!$G:$G,'Cash Flow'!$A22,'Wells Fargo'!$A:$A,AA$1,'Wells Fargo'!$B:$B,"&lt;="&amp;'Cash Flow'!AA$3)</f>
        <v>0</v>
      </c>
      <c r="AB22" s="89">
        <f>SUMIFS('Wells Fargo'!$F:$F,'Wells Fargo'!$G:$G,'Cash Flow'!$A22,'Wells Fargo'!$A:$A,AB$1,'Wells Fargo'!$B:$B,"&lt;="&amp;'Cash Flow'!AB$3,'Wells Fargo'!$B:$B,"&gt;"&amp;'Cash Flow'!AA$3)</f>
        <v>0</v>
      </c>
      <c r="AC22" s="89">
        <f>SUMIFS('Wells Fargo'!$F:$F,'Wells Fargo'!$G:$G,'Cash Flow'!$A22,'Wells Fargo'!$A:$A,AC$1,'Wells Fargo'!$B:$B,"&lt;="&amp;'Cash Flow'!AC$3,'Wells Fargo'!$B:$B,"&gt;"&amp;'Cash Flow'!AB$3)</f>
        <v>0</v>
      </c>
      <c r="AD22" s="89">
        <f>SUMIFS('Wells Fargo'!$F:$F,'Wells Fargo'!$G:$G,'Cash Flow'!$A22,'Wells Fargo'!$A:$A,AD$1,'Wells Fargo'!$B:$B,"&lt;="&amp;'Cash Flow'!AD$3,'Wells Fargo'!$B:$B,"&gt;"&amp;'Cash Flow'!AC$3)</f>
        <v>0</v>
      </c>
      <c r="AE22" s="89">
        <f>SUMIFS('Wells Fargo'!$F:$F,'Wells Fargo'!$G:$G,'Cash Flow'!$A22,'Wells Fargo'!$A:$A,AE$1,'Wells Fargo'!$B:$B,"&lt;="&amp;'Cash Flow'!AE$3,'Wells Fargo'!$B:$B,"&gt;"&amp;'Cash Flow'!AD$3)</f>
        <v>0</v>
      </c>
      <c r="AF22" s="90">
        <f>SUMIFS('Wells Fargo'!$F:$F,'Wells Fargo'!$G:$G,'Cash Flow'!$A22,'Wells Fargo'!$A:$A,AF$1,'Wells Fargo'!$B:$B,"&lt;="&amp;'Cash Flow'!AF$3)</f>
        <v>0</v>
      </c>
      <c r="AG22" s="89">
        <f>SUMIFS('Wells Fargo'!$F:$F,'Wells Fargo'!$G:$G,'Cash Flow'!$A22,'Wells Fargo'!$A:$A,AG$1,'Wells Fargo'!$B:$B,"&lt;="&amp;'Cash Flow'!AG$3,'Wells Fargo'!$B:$B,"&gt;"&amp;'Cash Flow'!AF$3)</f>
        <v>0</v>
      </c>
      <c r="AH22" s="89">
        <f>SUMIFS('Wells Fargo'!$F:$F,'Wells Fargo'!$G:$G,'Cash Flow'!$A22,'Wells Fargo'!$A:$A,AH$1,'Wells Fargo'!$B:$B,"&lt;="&amp;'Cash Flow'!AH$3,'Wells Fargo'!$B:$B,"&gt;"&amp;'Cash Flow'!AG$3)</f>
        <v>0</v>
      </c>
      <c r="AI22" s="89">
        <f>SUMIFS('Wells Fargo'!$F:$F,'Wells Fargo'!$G:$G,'Cash Flow'!$A22,'Wells Fargo'!$A:$A,AI$1,'Wells Fargo'!$B:$B,"&lt;="&amp;'Cash Flow'!AI$3,'Wells Fargo'!$B:$B,"&gt;"&amp;'Cash Flow'!AH$3)</f>
        <v>0</v>
      </c>
      <c r="AJ22" s="89">
        <f>SUMIFS('Wells Fargo'!$F:$F,'Wells Fargo'!$G:$G,'Cash Flow'!$A22,'Wells Fargo'!$A:$A,AJ$1,'Wells Fargo'!$B:$B,"&lt;="&amp;'Cash Flow'!AJ$3,'Wells Fargo'!$B:$B,"&gt;"&amp;'Cash Flow'!AI$3)</f>
        <v>0</v>
      </c>
      <c r="AK22" s="90">
        <f>SUMIFS('Wells Fargo'!$F:$F,'Wells Fargo'!$G:$G,'Cash Flow'!$A22,'Wells Fargo'!$A:$A,AK$1,'Wells Fargo'!$B:$B,"&lt;="&amp;'Cash Flow'!AK$3)</f>
        <v>0</v>
      </c>
      <c r="AL22" s="89">
        <f>SUMIFS('Wells Fargo'!$F:$F,'Wells Fargo'!$G:$G,'Cash Flow'!$A22,'Wells Fargo'!$A:$A,AL$1,'Wells Fargo'!$B:$B,"&lt;="&amp;'Cash Flow'!AL$3,'Wells Fargo'!$B:$B,"&gt;"&amp;'Cash Flow'!AK$3)</f>
        <v>0</v>
      </c>
      <c r="AM22" s="89">
        <f>SUMIFS('Wells Fargo'!$F:$F,'Wells Fargo'!$G:$G,'Cash Flow'!$A22,'Wells Fargo'!$A:$A,AM$1,'Wells Fargo'!$B:$B,"&lt;="&amp;'Cash Flow'!AM$3,'Wells Fargo'!$B:$B,"&gt;"&amp;'Cash Flow'!AL$3)</f>
        <v>0</v>
      </c>
      <c r="AN22" s="89">
        <f>SUMIFS('Wells Fargo'!$F:$F,'Wells Fargo'!$G:$G,'Cash Flow'!$A22,'Wells Fargo'!$A:$A,AN$1,'Wells Fargo'!$B:$B,"&lt;="&amp;'Cash Flow'!AN$3,'Wells Fargo'!$B:$B,"&gt;"&amp;'Cash Flow'!AM$3)</f>
        <v>0</v>
      </c>
      <c r="AO22" s="89">
        <f>SUMIFS('Wells Fargo'!$F:$F,'Wells Fargo'!$G:$G,'Cash Flow'!$A22,'Wells Fargo'!$A:$A,AO$1,'Wells Fargo'!$B:$B,"&lt;="&amp;'Cash Flow'!AO$3,'Wells Fargo'!$B:$B,"&gt;"&amp;'Cash Flow'!AN$3)</f>
        <v>0</v>
      </c>
      <c r="AP22" s="90">
        <f>SUMIFS('Wells Fargo'!$F:$F,'Wells Fargo'!$G:$G,'Cash Flow'!$A22,'Wells Fargo'!$A:$A,AP$1,'Wells Fargo'!$B:$B,"&lt;="&amp;'Cash Flow'!AP$3)</f>
        <v>0</v>
      </c>
      <c r="AQ22" s="89">
        <f>SUMIFS('Wells Fargo'!$F:$F,'Wells Fargo'!$G:$G,'Cash Flow'!$A22,'Wells Fargo'!$A:$A,AQ$1,'Wells Fargo'!$B:$B,"&lt;="&amp;'Cash Flow'!AQ$3,'Wells Fargo'!$B:$B,"&gt;"&amp;'Cash Flow'!AP$3)</f>
        <v>0</v>
      </c>
      <c r="AR22" s="89">
        <f>SUMIFS('Wells Fargo'!$F:$F,'Wells Fargo'!$G:$G,'Cash Flow'!$A22,'Wells Fargo'!$A:$A,AR$1,'Wells Fargo'!$B:$B,"&lt;="&amp;'Cash Flow'!AR$3,'Wells Fargo'!$B:$B,"&gt;"&amp;'Cash Flow'!AQ$3)</f>
        <v>-100</v>
      </c>
      <c r="AS22" s="89">
        <f>SUMIFS('Wells Fargo'!$F:$F,'Wells Fargo'!$G:$G,'Cash Flow'!$A22,'Wells Fargo'!$A:$A,AS$1,'Wells Fargo'!$B:$B,"&lt;="&amp;'Cash Flow'!AS$3,'Wells Fargo'!$B:$B,"&gt;"&amp;'Cash Flow'!AR$3)</f>
        <v>0</v>
      </c>
      <c r="AT22" s="89">
        <f>SUMIFS('Wells Fargo'!$F:$F,'Wells Fargo'!$G:$G,'Cash Flow'!$A22,'Wells Fargo'!$A:$A,AT$1,'Wells Fargo'!$B:$B,"&lt;="&amp;'Cash Flow'!AT$3,'Wells Fargo'!$B:$B,"&gt;"&amp;'Cash Flow'!AS$3)</f>
        <v>0</v>
      </c>
      <c r="AU22" s="90">
        <f>SUMIFS('Wells Fargo'!$F:$F,'Wells Fargo'!$G:$G,'Cash Flow'!$A22,'Wells Fargo'!$A:$A,AU$1,'Wells Fargo'!$B:$B,"&lt;="&amp;'Cash Flow'!AU$3)</f>
        <v>0</v>
      </c>
      <c r="AV22" s="89">
        <f>SUMIFS('Wells Fargo'!$F:$F,'Wells Fargo'!$G:$G,'Cash Flow'!$A22,'Wells Fargo'!$A:$A,AV$1,'Wells Fargo'!$B:$B,"&lt;="&amp;'Cash Flow'!AV$3,'Wells Fargo'!$B:$B,"&gt;"&amp;'Cash Flow'!AU$3)</f>
        <v>0</v>
      </c>
      <c r="AW22" s="89">
        <f>SUMIFS('Wells Fargo'!$F:$F,'Wells Fargo'!$G:$G,'Cash Flow'!$A22,'Wells Fargo'!$A:$A,AW$1,'Wells Fargo'!$B:$B,"&lt;="&amp;'Cash Flow'!AW$3,'Wells Fargo'!$B:$B,"&gt;"&amp;'Cash Flow'!AV$3)</f>
        <v>0</v>
      </c>
      <c r="AX22" s="89">
        <f>SUMIFS('Wells Fargo'!$F:$F,'Wells Fargo'!$G:$G,'Cash Flow'!$A22,'Wells Fargo'!$A:$A,AX$1,'Wells Fargo'!$B:$B,"&lt;="&amp;'Cash Flow'!AX$3,'Wells Fargo'!$B:$B,"&gt;"&amp;'Cash Flow'!AW$3)</f>
        <v>0</v>
      </c>
      <c r="AY22" s="89">
        <f>SUMIFS('Wells Fargo'!$F:$F,'Wells Fargo'!$G:$G,'Cash Flow'!$A22,'Wells Fargo'!$A:$A,AY$1,'Wells Fargo'!$B:$B,"&lt;="&amp;'Cash Flow'!AY$3,'Wells Fargo'!$B:$B,"&gt;"&amp;'Cash Flow'!AX$3)</f>
        <v>0</v>
      </c>
      <c r="AZ22" s="90">
        <f>SUMIFS('Wells Fargo'!$F:$F,'Wells Fargo'!$G:$G,'Cash Flow'!$A22,'Wells Fargo'!$A:$A,AZ$1,'Wells Fargo'!$B:$B,"&lt;="&amp;'Cash Flow'!AZ$3)</f>
        <v>0</v>
      </c>
      <c r="BA22" s="89">
        <f>SUMIFS('Wells Fargo'!$F:$F,'Wells Fargo'!$G:$G,'Cash Flow'!$A22,'Wells Fargo'!$A:$A,BA$1,'Wells Fargo'!$B:$B,"&lt;="&amp;'Cash Flow'!BA$3,'Wells Fargo'!$B:$B,"&gt;"&amp;'Cash Flow'!AZ$3)</f>
        <v>0</v>
      </c>
      <c r="BB22" s="89">
        <f>SUMIFS('Wells Fargo'!$F:$F,'Wells Fargo'!$G:$G,'Cash Flow'!$A22,'Wells Fargo'!$A:$A,BB$1,'Wells Fargo'!$B:$B,"&lt;="&amp;'Cash Flow'!BB$3,'Wells Fargo'!$B:$B,"&gt;"&amp;'Cash Flow'!BA$3)</f>
        <v>0</v>
      </c>
      <c r="BC22" s="89">
        <f>SUMIFS('Wells Fargo'!$F:$F,'Wells Fargo'!$G:$G,'Cash Flow'!$A22,'Wells Fargo'!$A:$A,BC$1,'Wells Fargo'!$B:$B,"&lt;="&amp;'Cash Flow'!BC$3,'Wells Fargo'!$B:$B,"&gt;"&amp;'Cash Flow'!BB$3)</f>
        <v>0</v>
      </c>
      <c r="BD22" s="89">
        <f>SUMIFS('Wells Fargo'!$F:$F,'Wells Fargo'!$G:$G,'Cash Flow'!$A22,'Wells Fargo'!$A:$A,BD$1,'Wells Fargo'!$B:$B,"&lt;="&amp;'Cash Flow'!BD$3,'Wells Fargo'!$B:$B,"&gt;"&amp;'Cash Flow'!BC$3)</f>
        <v>0</v>
      </c>
      <c r="BE22" s="90">
        <f>SUMIFS('Wells Fargo'!$F:$F,'Wells Fargo'!$G:$G,'Cash Flow'!$A22,'Wells Fargo'!$A:$A,BE$1,'Wells Fargo'!$B:$B,"&lt;="&amp;'Cash Flow'!BE$3)</f>
        <v>0</v>
      </c>
      <c r="BF22" s="89">
        <f>SUMIFS('Wells Fargo'!$F:$F,'Wells Fargo'!$G:$G,'Cash Flow'!$A22,'Wells Fargo'!$A:$A,BF$1,'Wells Fargo'!$B:$B,"&lt;="&amp;'Cash Flow'!BF$3,'Wells Fargo'!$B:$B,"&gt;"&amp;'Cash Flow'!BE$3)</f>
        <v>0</v>
      </c>
      <c r="BG22" s="89">
        <f>SUMIFS('Wells Fargo'!$F:$F,'Wells Fargo'!$G:$G,'Cash Flow'!$A22,'Wells Fargo'!$A:$A,BG$1,'Wells Fargo'!$B:$B,"&lt;="&amp;'Cash Flow'!BG$3,'Wells Fargo'!$B:$B,"&gt;"&amp;'Cash Flow'!BF$3)</f>
        <v>0</v>
      </c>
      <c r="BH22" s="89">
        <f>SUMIFS('Wells Fargo'!$F:$F,'Wells Fargo'!$G:$G,'Cash Flow'!$A22,'Wells Fargo'!$A:$A,BH$1,'Wells Fargo'!$B:$B,"&lt;="&amp;'Cash Flow'!BH$3,'Wells Fargo'!$B:$B,"&gt;"&amp;'Cash Flow'!BG$3)</f>
        <v>0</v>
      </c>
      <c r="BI22" s="89">
        <f>SUMIFS('Wells Fargo'!$F:$F,'Wells Fargo'!$G:$G,'Cash Flow'!$A22,'Wells Fargo'!$A:$A,BI$1,'Wells Fargo'!$B:$B,"&lt;="&amp;'Cash Flow'!BI$3,'Wells Fargo'!$B:$B,"&gt;"&amp;'Cash Flow'!BH$3)</f>
        <v>0</v>
      </c>
    </row>
    <row r="23" spans="1:61" ht="12.75" x14ac:dyDescent="0.2">
      <c r="A23" t="str">
        <v>Dorry</v>
      </c>
      <c r="B23" s="15">
        <f t="shared" si="0"/>
        <v>-436.58</v>
      </c>
      <c r="C23" s="90">
        <f>SUMIFS('Wells Fargo'!$F:$F,'Wells Fargo'!$G:$G,'Cash Flow'!$A23,'Wells Fargo'!$A:$A,C$1,'Wells Fargo'!$B:$B,"&lt;="&amp;'Cash Flow'!C$3)</f>
        <v>0</v>
      </c>
      <c r="D23" s="89">
        <f>SUMIFS('Wells Fargo'!$F:$F,'Wells Fargo'!$G:$G,'Cash Flow'!$A23,'Wells Fargo'!$A:$A,D$1,'Wells Fargo'!$B:$B,"&lt;="&amp;'Cash Flow'!D$3,'Wells Fargo'!$B:$B,"&gt;"&amp;'Cash Flow'!C$3)</f>
        <v>0</v>
      </c>
      <c r="E23" s="89">
        <f>SUMIFS('Wells Fargo'!$F:$F,'Wells Fargo'!$G:$G,'Cash Flow'!$A23,'Wells Fargo'!$A:$A,E$1,'Wells Fargo'!$B:$B,"&lt;="&amp;'Cash Flow'!E$3,'Wells Fargo'!$B:$B,"&gt;"&amp;'Cash Flow'!D$3)</f>
        <v>0</v>
      </c>
      <c r="F23" s="89">
        <f>SUMIFS('Wells Fargo'!$F:$F,'Wells Fargo'!$G:$G,'Cash Flow'!$A23,'Wells Fargo'!$A:$A,F$1,'Wells Fargo'!$B:$B,"&lt;="&amp;'Cash Flow'!F$3,'Wells Fargo'!$B:$B,"&gt;"&amp;'Cash Flow'!E$3)</f>
        <v>0</v>
      </c>
      <c r="G23" s="89">
        <f>SUMIFS('Wells Fargo'!$F:$F,'Wells Fargo'!$G:$G,'Cash Flow'!$A23,'Wells Fargo'!$A:$A,G$1,'Wells Fargo'!$B:$B,"&lt;="&amp;'Cash Flow'!G$3,'Wells Fargo'!$B:$B,"&gt;"&amp;'Cash Flow'!F$3)</f>
        <v>0</v>
      </c>
      <c r="H23" s="90">
        <f>SUMIFS('Wells Fargo'!$F:$F,'Wells Fargo'!$G:$G,'Cash Flow'!$A23,'Wells Fargo'!$A:$A,H$1,'Wells Fargo'!$B:$B,"&lt;="&amp;'Cash Flow'!H$3)</f>
        <v>0</v>
      </c>
      <c r="I23" s="89">
        <f>SUMIFS('Wells Fargo'!$F:$F,'Wells Fargo'!$G:$G,'Cash Flow'!$A23,'Wells Fargo'!$A:$A,I$1,'Wells Fargo'!$B:$B,"&lt;="&amp;'Cash Flow'!I$3,'Wells Fargo'!$B:$B,"&gt;"&amp;'Cash Flow'!H$3)</f>
        <v>0</v>
      </c>
      <c r="J23" s="89">
        <f>SUMIFS('Wells Fargo'!$F:$F,'Wells Fargo'!$G:$G,'Cash Flow'!$A23,'Wells Fargo'!$A:$A,J$1,'Wells Fargo'!$B:$B,"&lt;="&amp;'Cash Flow'!J$3,'Wells Fargo'!$B:$B,"&gt;"&amp;'Cash Flow'!I$3)</f>
        <v>0</v>
      </c>
      <c r="K23" s="89">
        <f>SUMIFS('Wells Fargo'!$F:$F,'Wells Fargo'!$G:$G,'Cash Flow'!$A23,'Wells Fargo'!$A:$A,K$1,'Wells Fargo'!$B:$B,"&lt;="&amp;'Cash Flow'!K$3,'Wells Fargo'!$B:$B,"&gt;"&amp;'Cash Flow'!J$3)</f>
        <v>0</v>
      </c>
      <c r="L23" s="90">
        <f>SUMIFS('Wells Fargo'!$F:$F,'Wells Fargo'!$G:$G,'Cash Flow'!$A23,'Wells Fargo'!$A:$A,L$1,'Wells Fargo'!$B:$B,"&lt;="&amp;'Cash Flow'!L$3)</f>
        <v>0</v>
      </c>
      <c r="M23" s="89">
        <f>SUMIFS('Wells Fargo'!$F:$F,'Wells Fargo'!$G:$G,'Cash Flow'!$A23,'Wells Fargo'!$A:$A,M$1,'Wells Fargo'!$B:$B,"&lt;="&amp;'Cash Flow'!M$3,'Wells Fargo'!$B:$B,"&gt;"&amp;'Cash Flow'!L$3)</f>
        <v>0</v>
      </c>
      <c r="N23" s="89">
        <f>SUMIFS('Wells Fargo'!$F:$F,'Wells Fargo'!$G:$G,'Cash Flow'!$A23,'Wells Fargo'!$A:$A,N$1,'Wells Fargo'!$B:$B,"&lt;="&amp;'Cash Flow'!N$3,'Wells Fargo'!$B:$B,"&gt;"&amp;'Cash Flow'!M$3)</f>
        <v>0</v>
      </c>
      <c r="O23" s="89">
        <f>SUMIFS('Wells Fargo'!$F:$F,'Wells Fargo'!$G:$G,'Cash Flow'!$A23,'Wells Fargo'!$A:$A,O$1,'Wells Fargo'!$B:$B,"&lt;="&amp;'Cash Flow'!O$3,'Wells Fargo'!$B:$B,"&gt;"&amp;'Cash Flow'!N$3)</f>
        <v>0</v>
      </c>
      <c r="P23" s="89">
        <f>SUMIFS('Wells Fargo'!$F:$F,'Wells Fargo'!$G:$G,'Cash Flow'!$A23,'Wells Fargo'!$A:$A,P$1,'Wells Fargo'!$B:$B,"&lt;="&amp;'Cash Flow'!P$3,'Wells Fargo'!$B:$B,"&gt;"&amp;'Cash Flow'!O$3)</f>
        <v>0</v>
      </c>
      <c r="Q23" s="90">
        <f>SUMIFS('Wells Fargo'!$F:$F,'Wells Fargo'!$G:$G,'Cash Flow'!$A23,'Wells Fargo'!$A:$A,Q$1,'Wells Fargo'!$B:$B,"&lt;="&amp;'Cash Flow'!Q$3)</f>
        <v>0</v>
      </c>
      <c r="R23" s="89">
        <f>SUMIFS('Wells Fargo'!$F:$F,'Wells Fargo'!$G:$G,'Cash Flow'!$A23,'Wells Fargo'!$A:$A,R$1,'Wells Fargo'!$B:$B,"&lt;="&amp;'Cash Flow'!R$3,'Wells Fargo'!$B:$B,"&gt;"&amp;'Cash Flow'!Q$3)</f>
        <v>0</v>
      </c>
      <c r="S23" s="89">
        <f>SUMIFS('Wells Fargo'!$F:$F,'Wells Fargo'!$G:$G,'Cash Flow'!$A23,'Wells Fargo'!$A:$A,S$1,'Wells Fargo'!$B:$B,"&lt;="&amp;'Cash Flow'!S$3,'Wells Fargo'!$B:$B,"&gt;"&amp;'Cash Flow'!R$3)</f>
        <v>-250</v>
      </c>
      <c r="T23" s="89">
        <f>SUMIFS('Wells Fargo'!$F:$F,'Wells Fargo'!$G:$G,'Cash Flow'!$A23,'Wells Fargo'!$A:$A,T$1,'Wells Fargo'!$B:$B,"&lt;="&amp;'Cash Flow'!T$3,'Wells Fargo'!$B:$B,"&gt;"&amp;'Cash Flow'!S$3)</f>
        <v>0</v>
      </c>
      <c r="U23" s="89">
        <f>SUMIFS('Wells Fargo'!$F:$F,'Wells Fargo'!$G:$G,'Cash Flow'!$A23,'Wells Fargo'!$A:$A,U$1,'Wells Fargo'!$B:$B,"&lt;="&amp;'Cash Flow'!U$3,'Wells Fargo'!$B:$B,"&gt;"&amp;'Cash Flow'!T$3)</f>
        <v>-50</v>
      </c>
      <c r="V23" s="90">
        <f>SUMIFS('Wells Fargo'!$F:$F,'Wells Fargo'!$G:$G,'Cash Flow'!$A23,'Wells Fargo'!$A:$A,V$1,'Wells Fargo'!$B:$B,"&lt;="&amp;'Cash Flow'!V$3)</f>
        <v>0</v>
      </c>
      <c r="W23" s="89">
        <f>SUMIFS('Wells Fargo'!$F:$F,'Wells Fargo'!$G:$G,'Cash Flow'!$A23,'Wells Fargo'!$A:$A,W$1,'Wells Fargo'!$B:$B,"&lt;="&amp;'Cash Flow'!W$3,'Wells Fargo'!$B:$B,"&gt;"&amp;'Cash Flow'!V$3)</f>
        <v>0</v>
      </c>
      <c r="X23" s="89">
        <f>SUMIFS('Wells Fargo'!$F:$F,'Wells Fargo'!$G:$G,'Cash Flow'!$A23,'Wells Fargo'!$A:$A,X$1,'Wells Fargo'!$B:$B,"&lt;="&amp;'Cash Flow'!X$3,'Wells Fargo'!$B:$B,"&gt;"&amp;'Cash Flow'!W$3)</f>
        <v>0</v>
      </c>
      <c r="Y23" s="89">
        <f>SUMIFS('Wells Fargo'!$F:$F,'Wells Fargo'!$G:$G,'Cash Flow'!$A23,'Wells Fargo'!$A:$A,Y$1,'Wells Fargo'!$B:$B,"&lt;="&amp;'Cash Flow'!Y$3,'Wells Fargo'!$B:$B,"&gt;"&amp;'Cash Flow'!X$3)</f>
        <v>0</v>
      </c>
      <c r="Z23" s="89">
        <f>SUMIFS('Wells Fargo'!$F:$F,'Wells Fargo'!$G:$G,'Cash Flow'!$A23,'Wells Fargo'!$A:$A,Z$1,'Wells Fargo'!$B:$B,"&lt;="&amp;'Cash Flow'!Z$3,'Wells Fargo'!$B:$B,"&gt;"&amp;'Cash Flow'!Y$3)</f>
        <v>0</v>
      </c>
      <c r="AA23" s="90">
        <f>SUMIFS('Wells Fargo'!$F:$F,'Wells Fargo'!$G:$G,'Cash Flow'!$A23,'Wells Fargo'!$A:$A,AA$1,'Wells Fargo'!$B:$B,"&lt;="&amp;'Cash Flow'!AA$3)</f>
        <v>0</v>
      </c>
      <c r="AB23" s="89">
        <f>SUMIFS('Wells Fargo'!$F:$F,'Wells Fargo'!$G:$G,'Cash Flow'!$A23,'Wells Fargo'!$A:$A,AB$1,'Wells Fargo'!$B:$B,"&lt;="&amp;'Cash Flow'!AB$3,'Wells Fargo'!$B:$B,"&gt;"&amp;'Cash Flow'!AA$3)</f>
        <v>0</v>
      </c>
      <c r="AC23" s="89">
        <f>SUMIFS('Wells Fargo'!$F:$F,'Wells Fargo'!$G:$G,'Cash Flow'!$A23,'Wells Fargo'!$A:$A,AC$1,'Wells Fargo'!$B:$B,"&lt;="&amp;'Cash Flow'!AC$3,'Wells Fargo'!$B:$B,"&gt;"&amp;'Cash Flow'!AB$3)</f>
        <v>0</v>
      </c>
      <c r="AD23" s="89">
        <f>SUMIFS('Wells Fargo'!$F:$F,'Wells Fargo'!$G:$G,'Cash Flow'!$A23,'Wells Fargo'!$A:$A,AD$1,'Wells Fargo'!$B:$B,"&lt;="&amp;'Cash Flow'!AD$3,'Wells Fargo'!$B:$B,"&gt;"&amp;'Cash Flow'!AC$3)</f>
        <v>0</v>
      </c>
      <c r="AE23" s="89">
        <f>SUMIFS('Wells Fargo'!$F:$F,'Wells Fargo'!$G:$G,'Cash Flow'!$A23,'Wells Fargo'!$A:$A,AE$1,'Wells Fargo'!$B:$B,"&lt;="&amp;'Cash Flow'!AE$3,'Wells Fargo'!$B:$B,"&gt;"&amp;'Cash Flow'!AD$3)</f>
        <v>0</v>
      </c>
      <c r="AF23" s="90">
        <f>SUMIFS('Wells Fargo'!$F:$F,'Wells Fargo'!$G:$G,'Cash Flow'!$A23,'Wells Fargo'!$A:$A,AF$1,'Wells Fargo'!$B:$B,"&lt;="&amp;'Cash Flow'!AF$3)</f>
        <v>0</v>
      </c>
      <c r="AG23" s="89">
        <f>SUMIFS('Wells Fargo'!$F:$F,'Wells Fargo'!$G:$G,'Cash Flow'!$A23,'Wells Fargo'!$A:$A,AG$1,'Wells Fargo'!$B:$B,"&lt;="&amp;'Cash Flow'!AG$3,'Wells Fargo'!$B:$B,"&gt;"&amp;'Cash Flow'!AF$3)</f>
        <v>0</v>
      </c>
      <c r="AH23" s="89">
        <f>SUMIFS('Wells Fargo'!$F:$F,'Wells Fargo'!$G:$G,'Cash Flow'!$A23,'Wells Fargo'!$A:$A,AH$1,'Wells Fargo'!$B:$B,"&lt;="&amp;'Cash Flow'!AH$3,'Wells Fargo'!$B:$B,"&gt;"&amp;'Cash Flow'!AG$3)</f>
        <v>0</v>
      </c>
      <c r="AI23" s="89">
        <f>SUMIFS('Wells Fargo'!$F:$F,'Wells Fargo'!$G:$G,'Cash Flow'!$A23,'Wells Fargo'!$A:$A,AI$1,'Wells Fargo'!$B:$B,"&lt;="&amp;'Cash Flow'!AI$3,'Wells Fargo'!$B:$B,"&gt;"&amp;'Cash Flow'!AH$3)</f>
        <v>0</v>
      </c>
      <c r="AJ23" s="89">
        <f>SUMIFS('Wells Fargo'!$F:$F,'Wells Fargo'!$G:$G,'Cash Flow'!$A23,'Wells Fargo'!$A:$A,AJ$1,'Wells Fargo'!$B:$B,"&lt;="&amp;'Cash Flow'!AJ$3,'Wells Fargo'!$B:$B,"&gt;"&amp;'Cash Flow'!AI$3)</f>
        <v>0</v>
      </c>
      <c r="AK23" s="90">
        <f>SUMIFS('Wells Fargo'!$F:$F,'Wells Fargo'!$G:$G,'Cash Flow'!$A23,'Wells Fargo'!$A:$A,AK$1,'Wells Fargo'!$B:$B,"&lt;="&amp;'Cash Flow'!AK$3)</f>
        <v>0</v>
      </c>
      <c r="AL23" s="89">
        <f>SUMIFS('Wells Fargo'!$F:$F,'Wells Fargo'!$G:$G,'Cash Flow'!$A23,'Wells Fargo'!$A:$A,AL$1,'Wells Fargo'!$B:$B,"&lt;="&amp;'Cash Flow'!AL$3,'Wells Fargo'!$B:$B,"&gt;"&amp;'Cash Flow'!AK$3)</f>
        <v>-40</v>
      </c>
      <c r="AM23" s="89">
        <f>SUMIFS('Wells Fargo'!$F:$F,'Wells Fargo'!$G:$G,'Cash Flow'!$A23,'Wells Fargo'!$A:$A,AM$1,'Wells Fargo'!$B:$B,"&lt;="&amp;'Cash Flow'!AM$3,'Wells Fargo'!$B:$B,"&gt;"&amp;'Cash Flow'!AL$3)</f>
        <v>0</v>
      </c>
      <c r="AN23" s="89">
        <f>SUMIFS('Wells Fargo'!$F:$F,'Wells Fargo'!$G:$G,'Cash Flow'!$A23,'Wells Fargo'!$A:$A,AN$1,'Wells Fargo'!$B:$B,"&lt;="&amp;'Cash Flow'!AN$3,'Wells Fargo'!$B:$B,"&gt;"&amp;'Cash Flow'!AM$3)</f>
        <v>0</v>
      </c>
      <c r="AO23" s="89">
        <f>SUMIFS('Wells Fargo'!$F:$F,'Wells Fargo'!$G:$G,'Cash Flow'!$A23,'Wells Fargo'!$A:$A,AO$1,'Wells Fargo'!$B:$B,"&lt;="&amp;'Cash Flow'!AO$3,'Wells Fargo'!$B:$B,"&gt;"&amp;'Cash Flow'!AN$3)</f>
        <v>0</v>
      </c>
      <c r="AP23" s="90">
        <f>SUMIFS('Wells Fargo'!$F:$F,'Wells Fargo'!$G:$G,'Cash Flow'!$A23,'Wells Fargo'!$A:$A,AP$1,'Wells Fargo'!$B:$B,"&lt;="&amp;'Cash Flow'!AP$3)</f>
        <v>-200</v>
      </c>
      <c r="AQ23" s="89">
        <f>SUMIFS('Wells Fargo'!$F:$F,'Wells Fargo'!$G:$G,'Cash Flow'!$A23,'Wells Fargo'!$A:$A,AQ$1,'Wells Fargo'!$B:$B,"&lt;="&amp;'Cash Flow'!AQ$3,'Wells Fargo'!$B:$B,"&gt;"&amp;'Cash Flow'!AP$3)</f>
        <v>103.42</v>
      </c>
      <c r="AR23" s="89">
        <f>SUMIFS('Wells Fargo'!$F:$F,'Wells Fargo'!$G:$G,'Cash Flow'!$A23,'Wells Fargo'!$A:$A,AR$1,'Wells Fargo'!$B:$B,"&lt;="&amp;'Cash Flow'!AR$3,'Wells Fargo'!$B:$B,"&gt;"&amp;'Cash Flow'!AQ$3)</f>
        <v>0</v>
      </c>
      <c r="AS23" s="89">
        <f>SUMIFS('Wells Fargo'!$F:$F,'Wells Fargo'!$G:$G,'Cash Flow'!$A23,'Wells Fargo'!$A:$A,AS$1,'Wells Fargo'!$B:$B,"&lt;="&amp;'Cash Flow'!AS$3,'Wells Fargo'!$B:$B,"&gt;"&amp;'Cash Flow'!AR$3)</f>
        <v>0</v>
      </c>
      <c r="AT23" s="89">
        <f>SUMIFS('Wells Fargo'!$F:$F,'Wells Fargo'!$G:$G,'Cash Flow'!$A23,'Wells Fargo'!$A:$A,AT$1,'Wells Fargo'!$B:$B,"&lt;="&amp;'Cash Flow'!AT$3,'Wells Fargo'!$B:$B,"&gt;"&amp;'Cash Flow'!AS$3)</f>
        <v>0</v>
      </c>
      <c r="AU23" s="90">
        <f>SUMIFS('Wells Fargo'!$F:$F,'Wells Fargo'!$G:$G,'Cash Flow'!$A23,'Wells Fargo'!$A:$A,AU$1,'Wells Fargo'!$B:$B,"&lt;="&amp;'Cash Flow'!AU$3)</f>
        <v>0</v>
      </c>
      <c r="AV23" s="89">
        <f>SUMIFS('Wells Fargo'!$F:$F,'Wells Fargo'!$G:$G,'Cash Flow'!$A23,'Wells Fargo'!$A:$A,AV$1,'Wells Fargo'!$B:$B,"&lt;="&amp;'Cash Flow'!AV$3,'Wells Fargo'!$B:$B,"&gt;"&amp;'Cash Flow'!AU$3)</f>
        <v>0</v>
      </c>
      <c r="AW23" s="89">
        <f>SUMIFS('Wells Fargo'!$F:$F,'Wells Fargo'!$G:$G,'Cash Flow'!$A23,'Wells Fargo'!$A:$A,AW$1,'Wells Fargo'!$B:$B,"&lt;="&amp;'Cash Flow'!AW$3,'Wells Fargo'!$B:$B,"&gt;"&amp;'Cash Flow'!AV$3)</f>
        <v>0</v>
      </c>
      <c r="AX23" s="89">
        <f>SUMIFS('Wells Fargo'!$F:$F,'Wells Fargo'!$G:$G,'Cash Flow'!$A23,'Wells Fargo'!$A:$A,AX$1,'Wells Fargo'!$B:$B,"&lt;="&amp;'Cash Flow'!AX$3,'Wells Fargo'!$B:$B,"&gt;"&amp;'Cash Flow'!AW$3)</f>
        <v>0</v>
      </c>
      <c r="AY23" s="89">
        <f>SUMIFS('Wells Fargo'!$F:$F,'Wells Fargo'!$G:$G,'Cash Flow'!$A23,'Wells Fargo'!$A:$A,AY$1,'Wells Fargo'!$B:$B,"&lt;="&amp;'Cash Flow'!AY$3,'Wells Fargo'!$B:$B,"&gt;"&amp;'Cash Flow'!AX$3)</f>
        <v>0</v>
      </c>
      <c r="AZ23" s="90">
        <f>SUMIFS('Wells Fargo'!$F:$F,'Wells Fargo'!$G:$G,'Cash Flow'!$A23,'Wells Fargo'!$A:$A,AZ$1,'Wells Fargo'!$B:$B,"&lt;="&amp;'Cash Flow'!AZ$3)</f>
        <v>0</v>
      </c>
      <c r="BA23" s="89">
        <f>SUMIFS('Wells Fargo'!$F:$F,'Wells Fargo'!$G:$G,'Cash Flow'!$A23,'Wells Fargo'!$A:$A,BA$1,'Wells Fargo'!$B:$B,"&lt;="&amp;'Cash Flow'!BA$3,'Wells Fargo'!$B:$B,"&gt;"&amp;'Cash Flow'!AZ$3)</f>
        <v>0</v>
      </c>
      <c r="BB23" s="89">
        <f>SUMIFS('Wells Fargo'!$F:$F,'Wells Fargo'!$G:$G,'Cash Flow'!$A23,'Wells Fargo'!$A:$A,BB$1,'Wells Fargo'!$B:$B,"&lt;="&amp;'Cash Flow'!BB$3,'Wells Fargo'!$B:$B,"&gt;"&amp;'Cash Flow'!BA$3)</f>
        <v>0</v>
      </c>
      <c r="BC23" s="89">
        <f>SUMIFS('Wells Fargo'!$F:$F,'Wells Fargo'!$G:$G,'Cash Flow'!$A23,'Wells Fargo'!$A:$A,BC$1,'Wells Fargo'!$B:$B,"&lt;="&amp;'Cash Flow'!BC$3,'Wells Fargo'!$B:$B,"&gt;"&amp;'Cash Flow'!BB$3)</f>
        <v>0</v>
      </c>
      <c r="BD23" s="89">
        <f>SUMIFS('Wells Fargo'!$F:$F,'Wells Fargo'!$G:$G,'Cash Flow'!$A23,'Wells Fargo'!$A:$A,BD$1,'Wells Fargo'!$B:$B,"&lt;="&amp;'Cash Flow'!BD$3,'Wells Fargo'!$B:$B,"&gt;"&amp;'Cash Flow'!BC$3)</f>
        <v>0</v>
      </c>
      <c r="BE23" s="90">
        <f>SUMIFS('Wells Fargo'!$F:$F,'Wells Fargo'!$G:$G,'Cash Flow'!$A23,'Wells Fargo'!$A:$A,BE$1,'Wells Fargo'!$B:$B,"&lt;="&amp;'Cash Flow'!BE$3)</f>
        <v>0</v>
      </c>
      <c r="BF23" s="89">
        <f>SUMIFS('Wells Fargo'!$F:$F,'Wells Fargo'!$G:$G,'Cash Flow'!$A23,'Wells Fargo'!$A:$A,BF$1,'Wells Fargo'!$B:$B,"&lt;="&amp;'Cash Flow'!BF$3,'Wells Fargo'!$B:$B,"&gt;"&amp;'Cash Flow'!BE$3)</f>
        <v>0</v>
      </c>
      <c r="BG23" s="89">
        <f>SUMIFS('Wells Fargo'!$F:$F,'Wells Fargo'!$G:$G,'Cash Flow'!$A23,'Wells Fargo'!$A:$A,BG$1,'Wells Fargo'!$B:$B,"&lt;="&amp;'Cash Flow'!BG$3,'Wells Fargo'!$B:$B,"&gt;"&amp;'Cash Flow'!BF$3)</f>
        <v>0</v>
      </c>
      <c r="BH23" s="89">
        <f>SUMIFS('Wells Fargo'!$F:$F,'Wells Fargo'!$G:$G,'Cash Flow'!$A23,'Wells Fargo'!$A:$A,BH$1,'Wells Fargo'!$B:$B,"&lt;="&amp;'Cash Flow'!BH$3,'Wells Fargo'!$B:$B,"&gt;"&amp;'Cash Flow'!BG$3)</f>
        <v>0</v>
      </c>
      <c r="BI23" s="89">
        <f>SUMIFS('Wells Fargo'!$F:$F,'Wells Fargo'!$G:$G,'Cash Flow'!$A23,'Wells Fargo'!$A:$A,BI$1,'Wells Fargo'!$B:$B,"&lt;="&amp;'Cash Flow'!BI$3,'Wells Fargo'!$B:$B,"&gt;"&amp;'Cash Flow'!BH$3)</f>
        <v>0</v>
      </c>
    </row>
    <row r="24" spans="1:61" ht="12.75" x14ac:dyDescent="0.2">
      <c r="A24" t="str">
        <v>Elephant</v>
      </c>
      <c r="B24" s="15">
        <f t="shared" si="0"/>
        <v>15895.410000000002</v>
      </c>
      <c r="C24" s="90">
        <f>SUMIFS('Wells Fargo'!$F:$F,'Wells Fargo'!$G:$G,'Cash Flow'!$A24,'Wells Fargo'!$A:$A,C$1,'Wells Fargo'!$B:$B,"&lt;="&amp;'Cash Flow'!C$3)</f>
        <v>0</v>
      </c>
      <c r="D24" s="89">
        <f>SUMIFS('Wells Fargo'!$F:$F,'Wells Fargo'!$G:$G,'Cash Flow'!$A24,'Wells Fargo'!$A:$A,D$1,'Wells Fargo'!$B:$B,"&lt;="&amp;'Cash Flow'!D$3,'Wells Fargo'!$B:$B,"&gt;"&amp;'Cash Flow'!C$3)</f>
        <v>0</v>
      </c>
      <c r="E24" s="89">
        <f>SUMIFS('Wells Fargo'!$F:$F,'Wells Fargo'!$G:$G,'Cash Flow'!$A24,'Wells Fargo'!$A:$A,E$1,'Wells Fargo'!$B:$B,"&lt;="&amp;'Cash Flow'!E$3,'Wells Fargo'!$B:$B,"&gt;"&amp;'Cash Flow'!D$3)</f>
        <v>1459.65</v>
      </c>
      <c r="F24" s="89">
        <f>SUMIFS('Wells Fargo'!$F:$F,'Wells Fargo'!$G:$G,'Cash Flow'!$A24,'Wells Fargo'!$A:$A,F$1,'Wells Fargo'!$B:$B,"&lt;="&amp;'Cash Flow'!F$3,'Wells Fargo'!$B:$B,"&gt;"&amp;'Cash Flow'!E$3)</f>
        <v>0</v>
      </c>
      <c r="G24" s="89">
        <f>SUMIFS('Wells Fargo'!$F:$F,'Wells Fargo'!$G:$G,'Cash Flow'!$A24,'Wells Fargo'!$A:$A,G$1,'Wells Fargo'!$B:$B,"&lt;="&amp;'Cash Flow'!G$3,'Wells Fargo'!$B:$B,"&gt;"&amp;'Cash Flow'!F$3)</f>
        <v>1459.64</v>
      </c>
      <c r="H24" s="90">
        <f>SUMIFS('Wells Fargo'!$F:$F,'Wells Fargo'!$G:$G,'Cash Flow'!$A24,'Wells Fargo'!$A:$A,H$1,'Wells Fargo'!$B:$B,"&lt;="&amp;'Cash Flow'!H$3)</f>
        <v>0</v>
      </c>
      <c r="I24" s="89">
        <f>SUMIFS('Wells Fargo'!$F:$F,'Wells Fargo'!$G:$G,'Cash Flow'!$A24,'Wells Fargo'!$A:$A,I$1,'Wells Fargo'!$B:$B,"&lt;="&amp;'Cash Flow'!I$3,'Wells Fargo'!$B:$B,"&gt;"&amp;'Cash Flow'!H$3)</f>
        <v>1809.65</v>
      </c>
      <c r="J24" s="89">
        <f>SUMIFS('Wells Fargo'!$F:$F,'Wells Fargo'!$G:$G,'Cash Flow'!$A24,'Wells Fargo'!$A:$A,J$1,'Wells Fargo'!$B:$B,"&lt;="&amp;'Cash Flow'!J$3,'Wells Fargo'!$B:$B,"&gt;"&amp;'Cash Flow'!I$3)</f>
        <v>0</v>
      </c>
      <c r="K24" s="89">
        <f>SUMIFS('Wells Fargo'!$F:$F,'Wells Fargo'!$G:$G,'Cash Flow'!$A24,'Wells Fargo'!$A:$A,K$1,'Wells Fargo'!$B:$B,"&lt;="&amp;'Cash Flow'!K$3,'Wells Fargo'!$B:$B,"&gt;"&amp;'Cash Flow'!J$3)</f>
        <v>1459.65</v>
      </c>
      <c r="L24" s="90">
        <f>SUMIFS('Wells Fargo'!$F:$F,'Wells Fargo'!$G:$G,'Cash Flow'!$A24,'Wells Fargo'!$A:$A,L$1,'Wells Fargo'!$B:$B,"&lt;="&amp;'Cash Flow'!L$3)</f>
        <v>0</v>
      </c>
      <c r="M24" s="89">
        <f>SUMIFS('Wells Fargo'!$F:$F,'Wells Fargo'!$G:$G,'Cash Flow'!$A24,'Wells Fargo'!$A:$A,M$1,'Wells Fargo'!$B:$B,"&lt;="&amp;'Cash Flow'!M$3,'Wells Fargo'!$B:$B,"&gt;"&amp;'Cash Flow'!L$3)</f>
        <v>1459.64</v>
      </c>
      <c r="N24" s="89">
        <f>SUMIFS('Wells Fargo'!$F:$F,'Wells Fargo'!$G:$G,'Cash Flow'!$A24,'Wells Fargo'!$A:$A,N$1,'Wells Fargo'!$B:$B,"&lt;="&amp;'Cash Flow'!N$3,'Wells Fargo'!$B:$B,"&gt;"&amp;'Cash Flow'!M$3)</f>
        <v>0</v>
      </c>
      <c r="O24" s="89">
        <f>SUMIFS('Wells Fargo'!$F:$F,'Wells Fargo'!$G:$G,'Cash Flow'!$A24,'Wells Fargo'!$A:$A,O$1,'Wells Fargo'!$B:$B,"&lt;="&amp;'Cash Flow'!O$3,'Wells Fargo'!$B:$B,"&gt;"&amp;'Cash Flow'!N$3)</f>
        <v>1457.82</v>
      </c>
      <c r="P24" s="89">
        <f>SUMIFS('Wells Fargo'!$F:$F,'Wells Fargo'!$G:$G,'Cash Flow'!$A24,'Wells Fargo'!$A:$A,P$1,'Wells Fargo'!$B:$B,"&lt;="&amp;'Cash Flow'!P$3,'Wells Fargo'!$B:$B,"&gt;"&amp;'Cash Flow'!O$3)</f>
        <v>0</v>
      </c>
      <c r="Q24" s="90">
        <f>SUMIFS('Wells Fargo'!$F:$F,'Wells Fargo'!$G:$G,'Cash Flow'!$A24,'Wells Fargo'!$A:$A,Q$1,'Wells Fargo'!$B:$B,"&lt;="&amp;'Cash Flow'!Q$3)</f>
        <v>0</v>
      </c>
      <c r="R24" s="89">
        <f>SUMIFS('Wells Fargo'!$F:$F,'Wells Fargo'!$G:$G,'Cash Flow'!$A24,'Wells Fargo'!$A:$A,R$1,'Wells Fargo'!$B:$B,"&lt;="&amp;'Cash Flow'!R$3,'Wells Fargo'!$B:$B,"&gt;"&amp;'Cash Flow'!Q$3)</f>
        <v>1242.82</v>
      </c>
      <c r="S24" s="89">
        <f>SUMIFS('Wells Fargo'!$F:$F,'Wells Fargo'!$G:$G,'Cash Flow'!$A24,'Wells Fargo'!$A:$A,S$1,'Wells Fargo'!$B:$B,"&lt;="&amp;'Cash Flow'!S$3,'Wells Fargo'!$B:$B,"&gt;"&amp;'Cash Flow'!R$3)</f>
        <v>0</v>
      </c>
      <c r="T24" s="89">
        <f>SUMIFS('Wells Fargo'!$F:$F,'Wells Fargo'!$G:$G,'Cash Flow'!$A24,'Wells Fargo'!$A:$A,T$1,'Wells Fargo'!$B:$B,"&lt;="&amp;'Cash Flow'!T$3,'Wells Fargo'!$B:$B,"&gt;"&amp;'Cash Flow'!S$3)</f>
        <v>1174.51</v>
      </c>
      <c r="U24" s="89">
        <f>SUMIFS('Wells Fargo'!$F:$F,'Wells Fargo'!$G:$G,'Cash Flow'!$A24,'Wells Fargo'!$A:$A,U$1,'Wells Fargo'!$B:$B,"&lt;="&amp;'Cash Flow'!U$3,'Wells Fargo'!$B:$B,"&gt;"&amp;'Cash Flow'!T$3)</f>
        <v>0</v>
      </c>
      <c r="V24" s="90">
        <f>SUMIFS('Wells Fargo'!$F:$F,'Wells Fargo'!$G:$G,'Cash Flow'!$A24,'Wells Fargo'!$A:$A,V$1,'Wells Fargo'!$B:$B,"&lt;="&amp;'Cash Flow'!V$3)</f>
        <v>1174.52</v>
      </c>
      <c r="W24" s="89">
        <f>SUMIFS('Wells Fargo'!$F:$F,'Wells Fargo'!$G:$G,'Cash Flow'!$A24,'Wells Fargo'!$A:$A,W$1,'Wells Fargo'!$B:$B,"&lt;="&amp;'Cash Flow'!W$3,'Wells Fargo'!$B:$B,"&gt;"&amp;'Cash Flow'!V$3)</f>
        <v>0</v>
      </c>
      <c r="X24" s="89">
        <f>SUMIFS('Wells Fargo'!$F:$F,'Wells Fargo'!$G:$G,'Cash Flow'!$A24,'Wells Fargo'!$A:$A,X$1,'Wells Fargo'!$B:$B,"&lt;="&amp;'Cash Flow'!X$3,'Wells Fargo'!$B:$B,"&gt;"&amp;'Cash Flow'!W$3)</f>
        <v>1342.98</v>
      </c>
      <c r="Y24" s="89">
        <f>SUMIFS('Wells Fargo'!$F:$F,'Wells Fargo'!$G:$G,'Cash Flow'!$A24,'Wells Fargo'!$A:$A,Y$1,'Wells Fargo'!$B:$B,"&lt;="&amp;'Cash Flow'!Y$3,'Wells Fargo'!$B:$B,"&gt;"&amp;'Cash Flow'!X$3)</f>
        <v>0</v>
      </c>
      <c r="Z24" s="89">
        <f>SUMIFS('Wells Fargo'!$F:$F,'Wells Fargo'!$G:$G,'Cash Flow'!$A24,'Wells Fargo'!$A:$A,Z$1,'Wells Fargo'!$B:$B,"&lt;="&amp;'Cash Flow'!Z$3,'Wells Fargo'!$B:$B,"&gt;"&amp;'Cash Flow'!Y$3)</f>
        <v>0</v>
      </c>
      <c r="AA24" s="90">
        <f>SUMIFS('Wells Fargo'!$F:$F,'Wells Fargo'!$G:$G,'Cash Flow'!$A24,'Wells Fargo'!$A:$A,AA$1,'Wells Fargo'!$B:$B,"&lt;="&amp;'Cash Flow'!AA$3)</f>
        <v>1174.51</v>
      </c>
      <c r="AB24" s="89">
        <f>SUMIFS('Wells Fargo'!$F:$F,'Wells Fargo'!$G:$G,'Cash Flow'!$A24,'Wells Fargo'!$A:$A,AB$1,'Wells Fargo'!$B:$B,"&lt;="&amp;'Cash Flow'!AB$3,'Wells Fargo'!$B:$B,"&gt;"&amp;'Cash Flow'!AA$3)</f>
        <v>0</v>
      </c>
      <c r="AC24" s="89">
        <f>SUMIFS('Wells Fargo'!$F:$F,'Wells Fargo'!$G:$G,'Cash Flow'!$A24,'Wells Fargo'!$A:$A,AC$1,'Wells Fargo'!$B:$B,"&lt;="&amp;'Cash Flow'!AC$3,'Wells Fargo'!$B:$B,"&gt;"&amp;'Cash Flow'!AB$3)</f>
        <v>680.02</v>
      </c>
      <c r="AD24" s="89">
        <f>SUMIFS('Wells Fargo'!$F:$F,'Wells Fargo'!$G:$G,'Cash Flow'!$A24,'Wells Fargo'!$A:$A,AD$1,'Wells Fargo'!$B:$B,"&lt;="&amp;'Cash Flow'!AD$3,'Wells Fargo'!$B:$B,"&gt;"&amp;'Cash Flow'!AC$3)</f>
        <v>0</v>
      </c>
      <c r="AE24" s="89">
        <f>SUMIFS('Wells Fargo'!$F:$F,'Wells Fargo'!$G:$G,'Cash Flow'!$A24,'Wells Fargo'!$A:$A,AE$1,'Wells Fargo'!$B:$B,"&lt;="&amp;'Cash Flow'!AE$3,'Wells Fargo'!$B:$B,"&gt;"&amp;'Cash Flow'!AD$3)</f>
        <v>0</v>
      </c>
      <c r="AF24" s="90">
        <f>SUMIFS('Wells Fargo'!$F:$F,'Wells Fargo'!$G:$G,'Cash Flow'!$A24,'Wells Fargo'!$A:$A,AF$1,'Wells Fargo'!$B:$B,"&lt;="&amp;'Cash Flow'!AF$3)</f>
        <v>0</v>
      </c>
      <c r="AG24" s="89">
        <f>SUMIFS('Wells Fargo'!$F:$F,'Wells Fargo'!$G:$G,'Cash Flow'!$A24,'Wells Fargo'!$A:$A,AG$1,'Wells Fargo'!$B:$B,"&lt;="&amp;'Cash Flow'!AG$3,'Wells Fargo'!$B:$B,"&gt;"&amp;'Cash Flow'!AF$3)</f>
        <v>0</v>
      </c>
      <c r="AH24" s="89">
        <f>SUMIFS('Wells Fargo'!$F:$F,'Wells Fargo'!$G:$G,'Cash Flow'!$A24,'Wells Fargo'!$A:$A,AH$1,'Wells Fargo'!$B:$B,"&lt;="&amp;'Cash Flow'!AH$3,'Wells Fargo'!$B:$B,"&gt;"&amp;'Cash Flow'!AG$3)</f>
        <v>0</v>
      </c>
      <c r="AI24" s="89">
        <f>SUMIFS('Wells Fargo'!$F:$F,'Wells Fargo'!$G:$G,'Cash Flow'!$A24,'Wells Fargo'!$A:$A,AI$1,'Wells Fargo'!$B:$B,"&lt;="&amp;'Cash Flow'!AI$3,'Wells Fargo'!$B:$B,"&gt;"&amp;'Cash Flow'!AH$3)</f>
        <v>0</v>
      </c>
      <c r="AJ24" s="89">
        <f>SUMIFS('Wells Fargo'!$F:$F,'Wells Fargo'!$G:$G,'Cash Flow'!$A24,'Wells Fargo'!$A:$A,AJ$1,'Wells Fargo'!$B:$B,"&lt;="&amp;'Cash Flow'!AJ$3,'Wells Fargo'!$B:$B,"&gt;"&amp;'Cash Flow'!AI$3)</f>
        <v>0</v>
      </c>
      <c r="AK24" s="90">
        <f>SUMIFS('Wells Fargo'!$F:$F,'Wells Fargo'!$G:$G,'Cash Flow'!$A24,'Wells Fargo'!$A:$A,AK$1,'Wells Fargo'!$B:$B,"&lt;="&amp;'Cash Flow'!AK$3)</f>
        <v>0</v>
      </c>
      <c r="AL24" s="89">
        <f>SUMIFS('Wells Fargo'!$F:$F,'Wells Fargo'!$G:$G,'Cash Flow'!$A24,'Wells Fargo'!$A:$A,AL$1,'Wells Fargo'!$B:$B,"&lt;="&amp;'Cash Flow'!AL$3,'Wells Fargo'!$B:$B,"&gt;"&amp;'Cash Flow'!AK$3)</f>
        <v>0</v>
      </c>
      <c r="AM24" s="89">
        <f>SUMIFS('Wells Fargo'!$F:$F,'Wells Fargo'!$G:$G,'Cash Flow'!$A24,'Wells Fargo'!$A:$A,AM$1,'Wells Fargo'!$B:$B,"&lt;="&amp;'Cash Flow'!AM$3,'Wells Fargo'!$B:$B,"&gt;"&amp;'Cash Flow'!AL$3)</f>
        <v>0</v>
      </c>
      <c r="AN24" s="89">
        <f>SUMIFS('Wells Fargo'!$F:$F,'Wells Fargo'!$G:$G,'Cash Flow'!$A24,'Wells Fargo'!$A:$A,AN$1,'Wells Fargo'!$B:$B,"&lt;="&amp;'Cash Flow'!AN$3,'Wells Fargo'!$B:$B,"&gt;"&amp;'Cash Flow'!AM$3)</f>
        <v>0</v>
      </c>
      <c r="AO24" s="89">
        <f>SUMIFS('Wells Fargo'!$F:$F,'Wells Fargo'!$G:$G,'Cash Flow'!$A24,'Wells Fargo'!$A:$A,AO$1,'Wells Fargo'!$B:$B,"&lt;="&amp;'Cash Flow'!AO$3,'Wells Fargo'!$B:$B,"&gt;"&amp;'Cash Flow'!AN$3)</f>
        <v>0</v>
      </c>
      <c r="AP24" s="90">
        <f>SUMIFS('Wells Fargo'!$F:$F,'Wells Fargo'!$G:$G,'Cash Flow'!$A24,'Wells Fargo'!$A:$A,AP$1,'Wells Fargo'!$B:$B,"&lt;="&amp;'Cash Flow'!AP$3)</f>
        <v>0</v>
      </c>
      <c r="AQ24" s="89">
        <f>SUMIFS('Wells Fargo'!$F:$F,'Wells Fargo'!$G:$G,'Cash Flow'!$A24,'Wells Fargo'!$A:$A,AQ$1,'Wells Fargo'!$B:$B,"&lt;="&amp;'Cash Flow'!AQ$3,'Wells Fargo'!$B:$B,"&gt;"&amp;'Cash Flow'!AP$3)</f>
        <v>0</v>
      </c>
      <c r="AR24" s="89">
        <f>SUMIFS('Wells Fargo'!$F:$F,'Wells Fargo'!$G:$G,'Cash Flow'!$A24,'Wells Fargo'!$A:$A,AR$1,'Wells Fargo'!$B:$B,"&lt;="&amp;'Cash Flow'!AR$3,'Wells Fargo'!$B:$B,"&gt;"&amp;'Cash Flow'!AQ$3)</f>
        <v>0</v>
      </c>
      <c r="AS24" s="89">
        <f>SUMIFS('Wells Fargo'!$F:$F,'Wells Fargo'!$G:$G,'Cash Flow'!$A24,'Wells Fargo'!$A:$A,AS$1,'Wells Fargo'!$B:$B,"&lt;="&amp;'Cash Flow'!AS$3,'Wells Fargo'!$B:$B,"&gt;"&amp;'Cash Flow'!AR$3)</f>
        <v>0</v>
      </c>
      <c r="AT24" s="89">
        <f>SUMIFS('Wells Fargo'!$F:$F,'Wells Fargo'!$G:$G,'Cash Flow'!$A24,'Wells Fargo'!$A:$A,AT$1,'Wells Fargo'!$B:$B,"&lt;="&amp;'Cash Flow'!AT$3,'Wells Fargo'!$B:$B,"&gt;"&amp;'Cash Flow'!AS$3)</f>
        <v>0</v>
      </c>
      <c r="AU24" s="90">
        <f>SUMIFS('Wells Fargo'!$F:$F,'Wells Fargo'!$G:$G,'Cash Flow'!$A24,'Wells Fargo'!$A:$A,AU$1,'Wells Fargo'!$B:$B,"&lt;="&amp;'Cash Flow'!AU$3)</f>
        <v>0</v>
      </c>
      <c r="AV24" s="89">
        <f>SUMIFS('Wells Fargo'!$F:$F,'Wells Fargo'!$G:$G,'Cash Flow'!$A24,'Wells Fargo'!$A:$A,AV$1,'Wells Fargo'!$B:$B,"&lt;="&amp;'Cash Flow'!AV$3,'Wells Fargo'!$B:$B,"&gt;"&amp;'Cash Flow'!AU$3)</f>
        <v>0</v>
      </c>
      <c r="AW24" s="89">
        <f>SUMIFS('Wells Fargo'!$F:$F,'Wells Fargo'!$G:$G,'Cash Flow'!$A24,'Wells Fargo'!$A:$A,AW$1,'Wells Fargo'!$B:$B,"&lt;="&amp;'Cash Flow'!AW$3,'Wells Fargo'!$B:$B,"&gt;"&amp;'Cash Flow'!AV$3)</f>
        <v>0</v>
      </c>
      <c r="AX24" s="89">
        <f>SUMIFS('Wells Fargo'!$F:$F,'Wells Fargo'!$G:$G,'Cash Flow'!$A24,'Wells Fargo'!$A:$A,AX$1,'Wells Fargo'!$B:$B,"&lt;="&amp;'Cash Flow'!AX$3,'Wells Fargo'!$B:$B,"&gt;"&amp;'Cash Flow'!AW$3)</f>
        <v>0</v>
      </c>
      <c r="AY24" s="89">
        <f>SUMIFS('Wells Fargo'!$F:$F,'Wells Fargo'!$G:$G,'Cash Flow'!$A24,'Wells Fargo'!$A:$A,AY$1,'Wells Fargo'!$B:$B,"&lt;="&amp;'Cash Flow'!AY$3,'Wells Fargo'!$B:$B,"&gt;"&amp;'Cash Flow'!AX$3)</f>
        <v>0</v>
      </c>
      <c r="AZ24" s="90">
        <f>SUMIFS('Wells Fargo'!$F:$F,'Wells Fargo'!$G:$G,'Cash Flow'!$A24,'Wells Fargo'!$A:$A,AZ$1,'Wells Fargo'!$B:$B,"&lt;="&amp;'Cash Flow'!AZ$3)</f>
        <v>0</v>
      </c>
      <c r="BA24" s="89">
        <f>SUMIFS('Wells Fargo'!$F:$F,'Wells Fargo'!$G:$G,'Cash Flow'!$A24,'Wells Fargo'!$A:$A,BA$1,'Wells Fargo'!$B:$B,"&lt;="&amp;'Cash Flow'!BA$3,'Wells Fargo'!$B:$B,"&gt;"&amp;'Cash Flow'!AZ$3)</f>
        <v>0</v>
      </c>
      <c r="BB24" s="89">
        <f>SUMIFS('Wells Fargo'!$F:$F,'Wells Fargo'!$G:$G,'Cash Flow'!$A24,'Wells Fargo'!$A:$A,BB$1,'Wells Fargo'!$B:$B,"&lt;="&amp;'Cash Flow'!BB$3,'Wells Fargo'!$B:$B,"&gt;"&amp;'Cash Flow'!BA$3)</f>
        <v>0</v>
      </c>
      <c r="BC24" s="89">
        <f>SUMIFS('Wells Fargo'!$F:$F,'Wells Fargo'!$G:$G,'Cash Flow'!$A24,'Wells Fargo'!$A:$A,BC$1,'Wells Fargo'!$B:$B,"&lt;="&amp;'Cash Flow'!BC$3,'Wells Fargo'!$B:$B,"&gt;"&amp;'Cash Flow'!BB$3)</f>
        <v>0</v>
      </c>
      <c r="BD24" s="89">
        <f>SUMIFS('Wells Fargo'!$F:$F,'Wells Fargo'!$G:$G,'Cash Flow'!$A24,'Wells Fargo'!$A:$A,BD$1,'Wells Fargo'!$B:$B,"&lt;="&amp;'Cash Flow'!BD$3,'Wells Fargo'!$B:$B,"&gt;"&amp;'Cash Flow'!BC$3)</f>
        <v>0</v>
      </c>
      <c r="BE24" s="90">
        <f>SUMIFS('Wells Fargo'!$F:$F,'Wells Fargo'!$G:$G,'Cash Flow'!$A24,'Wells Fargo'!$A:$A,BE$1,'Wells Fargo'!$B:$B,"&lt;="&amp;'Cash Flow'!BE$3)</f>
        <v>0</v>
      </c>
      <c r="BF24" s="89">
        <f>SUMIFS('Wells Fargo'!$F:$F,'Wells Fargo'!$G:$G,'Cash Flow'!$A24,'Wells Fargo'!$A:$A,BF$1,'Wells Fargo'!$B:$B,"&lt;="&amp;'Cash Flow'!BF$3,'Wells Fargo'!$B:$B,"&gt;"&amp;'Cash Flow'!BE$3)</f>
        <v>0</v>
      </c>
      <c r="BG24" s="89">
        <f>SUMIFS('Wells Fargo'!$F:$F,'Wells Fargo'!$G:$G,'Cash Flow'!$A24,'Wells Fargo'!$A:$A,BG$1,'Wells Fargo'!$B:$B,"&lt;="&amp;'Cash Flow'!BG$3,'Wells Fargo'!$B:$B,"&gt;"&amp;'Cash Flow'!BF$3)</f>
        <v>0</v>
      </c>
      <c r="BH24" s="89">
        <f>SUMIFS('Wells Fargo'!$F:$F,'Wells Fargo'!$G:$G,'Cash Flow'!$A24,'Wells Fargo'!$A:$A,BH$1,'Wells Fargo'!$B:$B,"&lt;="&amp;'Cash Flow'!BH$3,'Wells Fargo'!$B:$B,"&gt;"&amp;'Cash Flow'!BG$3)</f>
        <v>0</v>
      </c>
      <c r="BI24" s="89">
        <f>SUMIFS('Wells Fargo'!$F:$F,'Wells Fargo'!$G:$G,'Cash Flow'!$A24,'Wells Fargo'!$A:$A,BI$1,'Wells Fargo'!$B:$B,"&lt;="&amp;'Cash Flow'!BI$3,'Wells Fargo'!$B:$B,"&gt;"&amp;'Cash Flow'!BH$3)</f>
        <v>0</v>
      </c>
    </row>
    <row r="25" spans="1:61" ht="12.75" x14ac:dyDescent="0.2">
      <c r="A25" t="str">
        <v>Eye</v>
      </c>
      <c r="B25" s="15">
        <f t="shared" si="0"/>
        <v>-419.93</v>
      </c>
      <c r="C25" s="90">
        <f>SUMIFS('Wells Fargo'!$F:$F,'Wells Fargo'!$G:$G,'Cash Flow'!$A25,'Wells Fargo'!$A:$A,C$1,'Wells Fargo'!$B:$B,"&lt;="&amp;'Cash Flow'!C$3)</f>
        <v>0</v>
      </c>
      <c r="D25" s="89">
        <f>SUMIFS('Wells Fargo'!$F:$F,'Wells Fargo'!$G:$G,'Cash Flow'!$A25,'Wells Fargo'!$A:$A,D$1,'Wells Fargo'!$B:$B,"&lt;="&amp;'Cash Flow'!D$3,'Wells Fargo'!$B:$B,"&gt;"&amp;'Cash Flow'!C$3)</f>
        <v>0</v>
      </c>
      <c r="E25" s="89">
        <f>SUMIFS('Wells Fargo'!$F:$F,'Wells Fargo'!$G:$G,'Cash Flow'!$A25,'Wells Fargo'!$A:$A,E$1,'Wells Fargo'!$B:$B,"&lt;="&amp;'Cash Flow'!E$3,'Wells Fargo'!$B:$B,"&gt;"&amp;'Cash Flow'!D$3)</f>
        <v>0</v>
      </c>
      <c r="F25" s="89">
        <f>SUMIFS('Wells Fargo'!$F:$F,'Wells Fargo'!$G:$G,'Cash Flow'!$A25,'Wells Fargo'!$A:$A,F$1,'Wells Fargo'!$B:$B,"&lt;="&amp;'Cash Flow'!F$3,'Wells Fargo'!$B:$B,"&gt;"&amp;'Cash Flow'!E$3)</f>
        <v>0</v>
      </c>
      <c r="G25" s="89">
        <f>SUMIFS('Wells Fargo'!$F:$F,'Wells Fargo'!$G:$G,'Cash Flow'!$A25,'Wells Fargo'!$A:$A,G$1,'Wells Fargo'!$B:$B,"&lt;="&amp;'Cash Flow'!G$3,'Wells Fargo'!$B:$B,"&gt;"&amp;'Cash Flow'!F$3)</f>
        <v>0</v>
      </c>
      <c r="H25" s="90">
        <f>SUMIFS('Wells Fargo'!$F:$F,'Wells Fargo'!$G:$G,'Cash Flow'!$A25,'Wells Fargo'!$A:$A,H$1,'Wells Fargo'!$B:$B,"&lt;="&amp;'Cash Flow'!H$3)</f>
        <v>0</v>
      </c>
      <c r="I25" s="89">
        <f>SUMIFS('Wells Fargo'!$F:$F,'Wells Fargo'!$G:$G,'Cash Flow'!$A25,'Wells Fargo'!$A:$A,I$1,'Wells Fargo'!$B:$B,"&lt;="&amp;'Cash Flow'!I$3,'Wells Fargo'!$B:$B,"&gt;"&amp;'Cash Flow'!H$3)</f>
        <v>0</v>
      </c>
      <c r="J25" s="89">
        <f>SUMIFS('Wells Fargo'!$F:$F,'Wells Fargo'!$G:$G,'Cash Flow'!$A25,'Wells Fargo'!$A:$A,J$1,'Wells Fargo'!$B:$B,"&lt;="&amp;'Cash Flow'!J$3,'Wells Fargo'!$B:$B,"&gt;"&amp;'Cash Flow'!I$3)</f>
        <v>0</v>
      </c>
      <c r="K25" s="89">
        <f>SUMIFS('Wells Fargo'!$F:$F,'Wells Fargo'!$G:$G,'Cash Flow'!$A25,'Wells Fargo'!$A:$A,K$1,'Wells Fargo'!$B:$B,"&lt;="&amp;'Cash Flow'!K$3,'Wells Fargo'!$B:$B,"&gt;"&amp;'Cash Flow'!J$3)</f>
        <v>0</v>
      </c>
      <c r="L25" s="90">
        <f>SUMIFS('Wells Fargo'!$F:$F,'Wells Fargo'!$G:$G,'Cash Flow'!$A25,'Wells Fargo'!$A:$A,L$1,'Wells Fargo'!$B:$B,"&lt;="&amp;'Cash Flow'!L$3)</f>
        <v>0</v>
      </c>
      <c r="M25" s="89">
        <f>SUMIFS('Wells Fargo'!$F:$F,'Wells Fargo'!$G:$G,'Cash Flow'!$A25,'Wells Fargo'!$A:$A,M$1,'Wells Fargo'!$B:$B,"&lt;="&amp;'Cash Flow'!M$3,'Wells Fargo'!$B:$B,"&gt;"&amp;'Cash Flow'!L$3)</f>
        <v>0</v>
      </c>
      <c r="N25" s="89">
        <f>SUMIFS('Wells Fargo'!$F:$F,'Wells Fargo'!$G:$G,'Cash Flow'!$A25,'Wells Fargo'!$A:$A,N$1,'Wells Fargo'!$B:$B,"&lt;="&amp;'Cash Flow'!N$3,'Wells Fargo'!$B:$B,"&gt;"&amp;'Cash Flow'!M$3)</f>
        <v>0</v>
      </c>
      <c r="O25" s="89">
        <f>SUMIFS('Wells Fargo'!$F:$F,'Wells Fargo'!$G:$G,'Cash Flow'!$A25,'Wells Fargo'!$A:$A,O$1,'Wells Fargo'!$B:$B,"&lt;="&amp;'Cash Flow'!O$3,'Wells Fargo'!$B:$B,"&gt;"&amp;'Cash Flow'!N$3)</f>
        <v>0</v>
      </c>
      <c r="P25" s="89">
        <f>SUMIFS('Wells Fargo'!$F:$F,'Wells Fargo'!$G:$G,'Cash Flow'!$A25,'Wells Fargo'!$A:$A,P$1,'Wells Fargo'!$B:$B,"&lt;="&amp;'Cash Flow'!P$3,'Wells Fargo'!$B:$B,"&gt;"&amp;'Cash Flow'!O$3)</f>
        <v>0</v>
      </c>
      <c r="Q25" s="90">
        <f>SUMIFS('Wells Fargo'!$F:$F,'Wells Fargo'!$G:$G,'Cash Flow'!$A25,'Wells Fargo'!$A:$A,Q$1,'Wells Fargo'!$B:$B,"&lt;="&amp;'Cash Flow'!Q$3)</f>
        <v>0</v>
      </c>
      <c r="R25" s="89">
        <f>SUMIFS('Wells Fargo'!$F:$F,'Wells Fargo'!$G:$G,'Cash Flow'!$A25,'Wells Fargo'!$A:$A,R$1,'Wells Fargo'!$B:$B,"&lt;="&amp;'Cash Flow'!R$3,'Wells Fargo'!$B:$B,"&gt;"&amp;'Cash Flow'!Q$3)</f>
        <v>0</v>
      </c>
      <c r="S25" s="89">
        <f>SUMIFS('Wells Fargo'!$F:$F,'Wells Fargo'!$G:$G,'Cash Flow'!$A25,'Wells Fargo'!$A:$A,S$1,'Wells Fargo'!$B:$B,"&lt;="&amp;'Cash Flow'!S$3,'Wells Fargo'!$B:$B,"&gt;"&amp;'Cash Flow'!R$3)</f>
        <v>0</v>
      </c>
      <c r="T25" s="89">
        <f>SUMIFS('Wells Fargo'!$F:$F,'Wells Fargo'!$G:$G,'Cash Flow'!$A25,'Wells Fargo'!$A:$A,T$1,'Wells Fargo'!$B:$B,"&lt;="&amp;'Cash Flow'!T$3,'Wells Fargo'!$B:$B,"&gt;"&amp;'Cash Flow'!S$3)</f>
        <v>0</v>
      </c>
      <c r="U25" s="89">
        <f>SUMIFS('Wells Fargo'!$F:$F,'Wells Fargo'!$G:$G,'Cash Flow'!$A25,'Wells Fargo'!$A:$A,U$1,'Wells Fargo'!$B:$B,"&lt;="&amp;'Cash Flow'!U$3,'Wells Fargo'!$B:$B,"&gt;"&amp;'Cash Flow'!T$3)</f>
        <v>0</v>
      </c>
      <c r="V25" s="90">
        <f>SUMIFS('Wells Fargo'!$F:$F,'Wells Fargo'!$G:$G,'Cash Flow'!$A25,'Wells Fargo'!$A:$A,V$1,'Wells Fargo'!$B:$B,"&lt;="&amp;'Cash Flow'!V$3)</f>
        <v>0</v>
      </c>
      <c r="W25" s="89">
        <f>SUMIFS('Wells Fargo'!$F:$F,'Wells Fargo'!$G:$G,'Cash Flow'!$A25,'Wells Fargo'!$A:$A,W$1,'Wells Fargo'!$B:$B,"&lt;="&amp;'Cash Flow'!W$3,'Wells Fargo'!$B:$B,"&gt;"&amp;'Cash Flow'!V$3)</f>
        <v>0</v>
      </c>
      <c r="X25" s="89">
        <f>SUMIFS('Wells Fargo'!$F:$F,'Wells Fargo'!$G:$G,'Cash Flow'!$A25,'Wells Fargo'!$A:$A,X$1,'Wells Fargo'!$B:$B,"&lt;="&amp;'Cash Flow'!X$3,'Wells Fargo'!$B:$B,"&gt;"&amp;'Cash Flow'!W$3)</f>
        <v>0</v>
      </c>
      <c r="Y25" s="89">
        <f>SUMIFS('Wells Fargo'!$F:$F,'Wells Fargo'!$G:$G,'Cash Flow'!$A25,'Wells Fargo'!$A:$A,Y$1,'Wells Fargo'!$B:$B,"&lt;="&amp;'Cash Flow'!Y$3,'Wells Fargo'!$B:$B,"&gt;"&amp;'Cash Flow'!X$3)</f>
        <v>0</v>
      </c>
      <c r="Z25" s="89">
        <f>SUMIFS('Wells Fargo'!$F:$F,'Wells Fargo'!$G:$G,'Cash Flow'!$A25,'Wells Fargo'!$A:$A,Z$1,'Wells Fargo'!$B:$B,"&lt;="&amp;'Cash Flow'!Z$3,'Wells Fargo'!$B:$B,"&gt;"&amp;'Cash Flow'!Y$3)</f>
        <v>0</v>
      </c>
      <c r="AA25" s="90">
        <f>SUMIFS('Wells Fargo'!$F:$F,'Wells Fargo'!$G:$G,'Cash Flow'!$A25,'Wells Fargo'!$A:$A,AA$1,'Wells Fargo'!$B:$B,"&lt;="&amp;'Cash Flow'!AA$3)</f>
        <v>0</v>
      </c>
      <c r="AB25" s="89">
        <f>SUMIFS('Wells Fargo'!$F:$F,'Wells Fargo'!$G:$G,'Cash Flow'!$A25,'Wells Fargo'!$A:$A,AB$1,'Wells Fargo'!$B:$B,"&lt;="&amp;'Cash Flow'!AB$3,'Wells Fargo'!$B:$B,"&gt;"&amp;'Cash Flow'!AA$3)</f>
        <v>0</v>
      </c>
      <c r="AC25" s="89">
        <f>SUMIFS('Wells Fargo'!$F:$F,'Wells Fargo'!$G:$G,'Cash Flow'!$A25,'Wells Fargo'!$A:$A,AC$1,'Wells Fargo'!$B:$B,"&lt;="&amp;'Cash Flow'!AC$3,'Wells Fargo'!$B:$B,"&gt;"&amp;'Cash Flow'!AB$3)</f>
        <v>0</v>
      </c>
      <c r="AD25" s="89">
        <f>SUMIFS('Wells Fargo'!$F:$F,'Wells Fargo'!$G:$G,'Cash Flow'!$A25,'Wells Fargo'!$A:$A,AD$1,'Wells Fargo'!$B:$B,"&lt;="&amp;'Cash Flow'!AD$3,'Wells Fargo'!$B:$B,"&gt;"&amp;'Cash Flow'!AC$3)</f>
        <v>0</v>
      </c>
      <c r="AE25" s="89">
        <f>SUMIFS('Wells Fargo'!$F:$F,'Wells Fargo'!$G:$G,'Cash Flow'!$A25,'Wells Fargo'!$A:$A,AE$1,'Wells Fargo'!$B:$B,"&lt;="&amp;'Cash Flow'!AE$3,'Wells Fargo'!$B:$B,"&gt;"&amp;'Cash Flow'!AD$3)</f>
        <v>0</v>
      </c>
      <c r="AF25" s="90">
        <f>SUMIFS('Wells Fargo'!$F:$F,'Wells Fargo'!$G:$G,'Cash Flow'!$A25,'Wells Fargo'!$A:$A,AF$1,'Wells Fargo'!$B:$B,"&lt;="&amp;'Cash Flow'!AF$3)</f>
        <v>0</v>
      </c>
      <c r="AG25" s="89">
        <f>SUMIFS('Wells Fargo'!$F:$F,'Wells Fargo'!$G:$G,'Cash Flow'!$A25,'Wells Fargo'!$A:$A,AG$1,'Wells Fargo'!$B:$B,"&lt;="&amp;'Cash Flow'!AG$3,'Wells Fargo'!$B:$B,"&gt;"&amp;'Cash Flow'!AF$3)</f>
        <v>0</v>
      </c>
      <c r="AH25" s="89">
        <f>SUMIFS('Wells Fargo'!$F:$F,'Wells Fargo'!$G:$G,'Cash Flow'!$A25,'Wells Fargo'!$A:$A,AH$1,'Wells Fargo'!$B:$B,"&lt;="&amp;'Cash Flow'!AH$3,'Wells Fargo'!$B:$B,"&gt;"&amp;'Cash Flow'!AG$3)</f>
        <v>0</v>
      </c>
      <c r="AI25" s="89">
        <f>SUMIFS('Wells Fargo'!$F:$F,'Wells Fargo'!$G:$G,'Cash Flow'!$A25,'Wells Fargo'!$A:$A,AI$1,'Wells Fargo'!$B:$B,"&lt;="&amp;'Cash Flow'!AI$3,'Wells Fargo'!$B:$B,"&gt;"&amp;'Cash Flow'!AH$3)</f>
        <v>0</v>
      </c>
      <c r="AJ25" s="89">
        <f>SUMIFS('Wells Fargo'!$F:$F,'Wells Fargo'!$G:$G,'Cash Flow'!$A25,'Wells Fargo'!$A:$A,AJ$1,'Wells Fargo'!$B:$B,"&lt;="&amp;'Cash Flow'!AJ$3,'Wells Fargo'!$B:$B,"&gt;"&amp;'Cash Flow'!AI$3)</f>
        <v>0</v>
      </c>
      <c r="AK25" s="90">
        <f>SUMIFS('Wells Fargo'!$F:$F,'Wells Fargo'!$G:$G,'Cash Flow'!$A25,'Wells Fargo'!$A:$A,AK$1,'Wells Fargo'!$B:$B,"&lt;="&amp;'Cash Flow'!AK$3)</f>
        <v>0</v>
      </c>
      <c r="AL25" s="89">
        <f>SUMIFS('Wells Fargo'!$F:$F,'Wells Fargo'!$G:$G,'Cash Flow'!$A25,'Wells Fargo'!$A:$A,AL$1,'Wells Fargo'!$B:$B,"&lt;="&amp;'Cash Flow'!AL$3,'Wells Fargo'!$B:$B,"&gt;"&amp;'Cash Flow'!AK$3)</f>
        <v>0</v>
      </c>
      <c r="AM25" s="89">
        <f>SUMIFS('Wells Fargo'!$F:$F,'Wells Fargo'!$G:$G,'Cash Flow'!$A25,'Wells Fargo'!$A:$A,AM$1,'Wells Fargo'!$B:$B,"&lt;="&amp;'Cash Flow'!AM$3,'Wells Fargo'!$B:$B,"&gt;"&amp;'Cash Flow'!AL$3)</f>
        <v>0</v>
      </c>
      <c r="AN25" s="89">
        <f>SUMIFS('Wells Fargo'!$F:$F,'Wells Fargo'!$G:$G,'Cash Flow'!$A25,'Wells Fargo'!$A:$A,AN$1,'Wells Fargo'!$B:$B,"&lt;="&amp;'Cash Flow'!AN$3,'Wells Fargo'!$B:$B,"&gt;"&amp;'Cash Flow'!AM$3)</f>
        <v>0</v>
      </c>
      <c r="AO25" s="89">
        <f>SUMIFS('Wells Fargo'!$F:$F,'Wells Fargo'!$G:$G,'Cash Flow'!$A25,'Wells Fargo'!$A:$A,AO$1,'Wells Fargo'!$B:$B,"&lt;="&amp;'Cash Flow'!AO$3,'Wells Fargo'!$B:$B,"&gt;"&amp;'Cash Flow'!AN$3)</f>
        <v>0</v>
      </c>
      <c r="AP25" s="90">
        <f>SUMIFS('Wells Fargo'!$F:$F,'Wells Fargo'!$G:$G,'Cash Flow'!$A25,'Wells Fargo'!$A:$A,AP$1,'Wells Fargo'!$B:$B,"&lt;="&amp;'Cash Flow'!AP$3)</f>
        <v>0</v>
      </c>
      <c r="AQ25" s="89">
        <f>SUMIFS('Wells Fargo'!$F:$F,'Wells Fargo'!$G:$G,'Cash Flow'!$A25,'Wells Fargo'!$A:$A,AQ$1,'Wells Fargo'!$B:$B,"&lt;="&amp;'Cash Flow'!AQ$3,'Wells Fargo'!$B:$B,"&gt;"&amp;'Cash Flow'!AP$3)</f>
        <v>-419.93</v>
      </c>
      <c r="AR25" s="89">
        <f>SUMIFS('Wells Fargo'!$F:$F,'Wells Fargo'!$G:$G,'Cash Flow'!$A25,'Wells Fargo'!$A:$A,AR$1,'Wells Fargo'!$B:$B,"&lt;="&amp;'Cash Flow'!AR$3,'Wells Fargo'!$B:$B,"&gt;"&amp;'Cash Flow'!AQ$3)</f>
        <v>0</v>
      </c>
      <c r="AS25" s="89">
        <f>SUMIFS('Wells Fargo'!$F:$F,'Wells Fargo'!$G:$G,'Cash Flow'!$A25,'Wells Fargo'!$A:$A,AS$1,'Wells Fargo'!$B:$B,"&lt;="&amp;'Cash Flow'!AS$3,'Wells Fargo'!$B:$B,"&gt;"&amp;'Cash Flow'!AR$3)</f>
        <v>0</v>
      </c>
      <c r="AT25" s="89">
        <f>SUMIFS('Wells Fargo'!$F:$F,'Wells Fargo'!$G:$G,'Cash Flow'!$A25,'Wells Fargo'!$A:$A,AT$1,'Wells Fargo'!$B:$B,"&lt;="&amp;'Cash Flow'!AT$3,'Wells Fargo'!$B:$B,"&gt;"&amp;'Cash Flow'!AS$3)</f>
        <v>0</v>
      </c>
      <c r="AU25" s="90">
        <f>SUMIFS('Wells Fargo'!$F:$F,'Wells Fargo'!$G:$G,'Cash Flow'!$A25,'Wells Fargo'!$A:$A,AU$1,'Wells Fargo'!$B:$B,"&lt;="&amp;'Cash Flow'!AU$3)</f>
        <v>0</v>
      </c>
      <c r="AV25" s="89">
        <f>SUMIFS('Wells Fargo'!$F:$F,'Wells Fargo'!$G:$G,'Cash Flow'!$A25,'Wells Fargo'!$A:$A,AV$1,'Wells Fargo'!$B:$B,"&lt;="&amp;'Cash Flow'!AV$3,'Wells Fargo'!$B:$B,"&gt;"&amp;'Cash Flow'!AU$3)</f>
        <v>0</v>
      </c>
      <c r="AW25" s="89">
        <f>SUMIFS('Wells Fargo'!$F:$F,'Wells Fargo'!$G:$G,'Cash Flow'!$A25,'Wells Fargo'!$A:$A,AW$1,'Wells Fargo'!$B:$B,"&lt;="&amp;'Cash Flow'!AW$3,'Wells Fargo'!$B:$B,"&gt;"&amp;'Cash Flow'!AV$3)</f>
        <v>0</v>
      </c>
      <c r="AX25" s="89">
        <f>SUMIFS('Wells Fargo'!$F:$F,'Wells Fargo'!$G:$G,'Cash Flow'!$A25,'Wells Fargo'!$A:$A,AX$1,'Wells Fargo'!$B:$B,"&lt;="&amp;'Cash Flow'!AX$3,'Wells Fargo'!$B:$B,"&gt;"&amp;'Cash Flow'!AW$3)</f>
        <v>0</v>
      </c>
      <c r="AY25" s="89">
        <f>SUMIFS('Wells Fargo'!$F:$F,'Wells Fargo'!$G:$G,'Cash Flow'!$A25,'Wells Fargo'!$A:$A,AY$1,'Wells Fargo'!$B:$B,"&lt;="&amp;'Cash Flow'!AY$3,'Wells Fargo'!$B:$B,"&gt;"&amp;'Cash Flow'!AX$3)</f>
        <v>0</v>
      </c>
      <c r="AZ25" s="90">
        <f>SUMIFS('Wells Fargo'!$F:$F,'Wells Fargo'!$G:$G,'Cash Flow'!$A25,'Wells Fargo'!$A:$A,AZ$1,'Wells Fargo'!$B:$B,"&lt;="&amp;'Cash Flow'!AZ$3)</f>
        <v>0</v>
      </c>
      <c r="BA25" s="89">
        <f>SUMIFS('Wells Fargo'!$F:$F,'Wells Fargo'!$G:$G,'Cash Flow'!$A25,'Wells Fargo'!$A:$A,BA$1,'Wells Fargo'!$B:$B,"&lt;="&amp;'Cash Flow'!BA$3,'Wells Fargo'!$B:$B,"&gt;"&amp;'Cash Flow'!AZ$3)</f>
        <v>0</v>
      </c>
      <c r="BB25" s="89">
        <f>SUMIFS('Wells Fargo'!$F:$F,'Wells Fargo'!$G:$G,'Cash Flow'!$A25,'Wells Fargo'!$A:$A,BB$1,'Wells Fargo'!$B:$B,"&lt;="&amp;'Cash Flow'!BB$3,'Wells Fargo'!$B:$B,"&gt;"&amp;'Cash Flow'!BA$3)</f>
        <v>0</v>
      </c>
      <c r="BC25" s="89">
        <f>SUMIFS('Wells Fargo'!$F:$F,'Wells Fargo'!$G:$G,'Cash Flow'!$A25,'Wells Fargo'!$A:$A,BC$1,'Wells Fargo'!$B:$B,"&lt;="&amp;'Cash Flow'!BC$3,'Wells Fargo'!$B:$B,"&gt;"&amp;'Cash Flow'!BB$3)</f>
        <v>0</v>
      </c>
      <c r="BD25" s="89">
        <f>SUMIFS('Wells Fargo'!$F:$F,'Wells Fargo'!$G:$G,'Cash Flow'!$A25,'Wells Fargo'!$A:$A,BD$1,'Wells Fargo'!$B:$B,"&lt;="&amp;'Cash Flow'!BD$3,'Wells Fargo'!$B:$B,"&gt;"&amp;'Cash Flow'!BC$3)</f>
        <v>0</v>
      </c>
      <c r="BE25" s="90">
        <f>SUMIFS('Wells Fargo'!$F:$F,'Wells Fargo'!$G:$G,'Cash Flow'!$A25,'Wells Fargo'!$A:$A,BE$1,'Wells Fargo'!$B:$B,"&lt;="&amp;'Cash Flow'!BE$3)</f>
        <v>0</v>
      </c>
      <c r="BF25" s="89">
        <f>SUMIFS('Wells Fargo'!$F:$F,'Wells Fargo'!$G:$G,'Cash Flow'!$A25,'Wells Fargo'!$A:$A,BF$1,'Wells Fargo'!$B:$B,"&lt;="&amp;'Cash Flow'!BF$3,'Wells Fargo'!$B:$B,"&gt;"&amp;'Cash Flow'!BE$3)</f>
        <v>0</v>
      </c>
      <c r="BG25" s="89">
        <f>SUMIFS('Wells Fargo'!$F:$F,'Wells Fargo'!$G:$G,'Cash Flow'!$A25,'Wells Fargo'!$A:$A,BG$1,'Wells Fargo'!$B:$B,"&lt;="&amp;'Cash Flow'!BG$3,'Wells Fargo'!$B:$B,"&gt;"&amp;'Cash Flow'!BF$3)</f>
        <v>0</v>
      </c>
      <c r="BH25" s="89">
        <f>SUMIFS('Wells Fargo'!$F:$F,'Wells Fargo'!$G:$G,'Cash Flow'!$A25,'Wells Fargo'!$A:$A,BH$1,'Wells Fargo'!$B:$B,"&lt;="&amp;'Cash Flow'!BH$3,'Wells Fargo'!$B:$B,"&gt;"&amp;'Cash Flow'!BG$3)</f>
        <v>0</v>
      </c>
      <c r="BI25" s="89">
        <f>SUMIFS('Wells Fargo'!$F:$F,'Wells Fargo'!$G:$G,'Cash Flow'!$A25,'Wells Fargo'!$A:$A,BI$1,'Wells Fargo'!$B:$B,"&lt;="&amp;'Cash Flow'!BI$3,'Wells Fargo'!$B:$B,"&gt;"&amp;'Cash Flow'!BH$3)</f>
        <v>0</v>
      </c>
    </row>
    <row r="26" spans="1:61" ht="12.75" x14ac:dyDescent="0.2">
      <c r="A26" t="str">
        <v>Garbage Removal</v>
      </c>
      <c r="B26" s="15">
        <f t="shared" si="0"/>
        <v>-200</v>
      </c>
      <c r="C26" s="90">
        <f>SUMIFS('Wells Fargo'!$F:$F,'Wells Fargo'!$G:$G,'Cash Flow'!$A26,'Wells Fargo'!$A:$A,C$1,'Wells Fargo'!$B:$B,"&lt;="&amp;'Cash Flow'!C$3)</f>
        <v>0</v>
      </c>
      <c r="D26" s="89">
        <f>SUMIFS('Wells Fargo'!$F:$F,'Wells Fargo'!$G:$G,'Cash Flow'!$A26,'Wells Fargo'!$A:$A,D$1,'Wells Fargo'!$B:$B,"&lt;="&amp;'Cash Flow'!D$3,'Wells Fargo'!$B:$B,"&gt;"&amp;'Cash Flow'!C$3)</f>
        <v>0</v>
      </c>
      <c r="E26" s="89">
        <f>SUMIFS('Wells Fargo'!$F:$F,'Wells Fargo'!$G:$G,'Cash Flow'!$A26,'Wells Fargo'!$A:$A,E$1,'Wells Fargo'!$B:$B,"&lt;="&amp;'Cash Flow'!E$3,'Wells Fargo'!$B:$B,"&gt;"&amp;'Cash Flow'!D$3)</f>
        <v>0</v>
      </c>
      <c r="F26" s="89">
        <f>SUMIFS('Wells Fargo'!$F:$F,'Wells Fargo'!$G:$G,'Cash Flow'!$A26,'Wells Fargo'!$A:$A,F$1,'Wells Fargo'!$B:$B,"&lt;="&amp;'Cash Flow'!F$3,'Wells Fargo'!$B:$B,"&gt;"&amp;'Cash Flow'!E$3)</f>
        <v>0</v>
      </c>
      <c r="G26" s="89">
        <f>SUMIFS('Wells Fargo'!$F:$F,'Wells Fargo'!$G:$G,'Cash Flow'!$A26,'Wells Fargo'!$A:$A,G$1,'Wells Fargo'!$B:$B,"&lt;="&amp;'Cash Flow'!G$3,'Wells Fargo'!$B:$B,"&gt;"&amp;'Cash Flow'!F$3)</f>
        <v>0</v>
      </c>
      <c r="H26" s="90">
        <f>SUMIFS('Wells Fargo'!$F:$F,'Wells Fargo'!$G:$G,'Cash Flow'!$A26,'Wells Fargo'!$A:$A,H$1,'Wells Fargo'!$B:$B,"&lt;="&amp;'Cash Flow'!H$3)</f>
        <v>0</v>
      </c>
      <c r="I26" s="89">
        <f>SUMIFS('Wells Fargo'!$F:$F,'Wells Fargo'!$G:$G,'Cash Flow'!$A26,'Wells Fargo'!$A:$A,I$1,'Wells Fargo'!$B:$B,"&lt;="&amp;'Cash Flow'!I$3,'Wells Fargo'!$B:$B,"&gt;"&amp;'Cash Flow'!H$3)</f>
        <v>0</v>
      </c>
      <c r="J26" s="89">
        <f>SUMIFS('Wells Fargo'!$F:$F,'Wells Fargo'!$G:$G,'Cash Flow'!$A26,'Wells Fargo'!$A:$A,J$1,'Wells Fargo'!$B:$B,"&lt;="&amp;'Cash Flow'!J$3,'Wells Fargo'!$B:$B,"&gt;"&amp;'Cash Flow'!I$3)</f>
        <v>0</v>
      </c>
      <c r="K26" s="89">
        <f>SUMIFS('Wells Fargo'!$F:$F,'Wells Fargo'!$G:$G,'Cash Flow'!$A26,'Wells Fargo'!$A:$A,K$1,'Wells Fargo'!$B:$B,"&lt;="&amp;'Cash Flow'!K$3,'Wells Fargo'!$B:$B,"&gt;"&amp;'Cash Flow'!J$3)</f>
        <v>0</v>
      </c>
      <c r="L26" s="90">
        <f>SUMIFS('Wells Fargo'!$F:$F,'Wells Fargo'!$G:$G,'Cash Flow'!$A26,'Wells Fargo'!$A:$A,L$1,'Wells Fargo'!$B:$B,"&lt;="&amp;'Cash Flow'!L$3)</f>
        <v>0</v>
      </c>
      <c r="M26" s="89">
        <f>SUMIFS('Wells Fargo'!$F:$F,'Wells Fargo'!$G:$G,'Cash Flow'!$A26,'Wells Fargo'!$A:$A,M$1,'Wells Fargo'!$B:$B,"&lt;="&amp;'Cash Flow'!M$3,'Wells Fargo'!$B:$B,"&gt;"&amp;'Cash Flow'!L$3)</f>
        <v>0</v>
      </c>
      <c r="N26" s="89">
        <f>SUMIFS('Wells Fargo'!$F:$F,'Wells Fargo'!$G:$G,'Cash Flow'!$A26,'Wells Fargo'!$A:$A,N$1,'Wells Fargo'!$B:$B,"&lt;="&amp;'Cash Flow'!N$3,'Wells Fargo'!$B:$B,"&gt;"&amp;'Cash Flow'!M$3)</f>
        <v>0</v>
      </c>
      <c r="O26" s="89">
        <f>SUMIFS('Wells Fargo'!$F:$F,'Wells Fargo'!$G:$G,'Cash Flow'!$A26,'Wells Fargo'!$A:$A,O$1,'Wells Fargo'!$B:$B,"&lt;="&amp;'Cash Flow'!O$3,'Wells Fargo'!$B:$B,"&gt;"&amp;'Cash Flow'!N$3)</f>
        <v>0</v>
      </c>
      <c r="P26" s="89">
        <f>SUMIFS('Wells Fargo'!$F:$F,'Wells Fargo'!$G:$G,'Cash Flow'!$A26,'Wells Fargo'!$A:$A,P$1,'Wells Fargo'!$B:$B,"&lt;="&amp;'Cash Flow'!P$3,'Wells Fargo'!$B:$B,"&gt;"&amp;'Cash Flow'!O$3)</f>
        <v>0</v>
      </c>
      <c r="Q26" s="90">
        <f>SUMIFS('Wells Fargo'!$F:$F,'Wells Fargo'!$G:$G,'Cash Flow'!$A26,'Wells Fargo'!$A:$A,Q$1,'Wells Fargo'!$B:$B,"&lt;="&amp;'Cash Flow'!Q$3)</f>
        <v>0</v>
      </c>
      <c r="R26" s="89">
        <f>SUMIFS('Wells Fargo'!$F:$F,'Wells Fargo'!$G:$G,'Cash Flow'!$A26,'Wells Fargo'!$A:$A,R$1,'Wells Fargo'!$B:$B,"&lt;="&amp;'Cash Flow'!R$3,'Wells Fargo'!$B:$B,"&gt;"&amp;'Cash Flow'!Q$3)</f>
        <v>0</v>
      </c>
      <c r="S26" s="89">
        <f>SUMIFS('Wells Fargo'!$F:$F,'Wells Fargo'!$G:$G,'Cash Flow'!$A26,'Wells Fargo'!$A:$A,S$1,'Wells Fargo'!$B:$B,"&lt;="&amp;'Cash Flow'!S$3,'Wells Fargo'!$B:$B,"&gt;"&amp;'Cash Flow'!R$3)</f>
        <v>0</v>
      </c>
      <c r="T26" s="89">
        <f>SUMIFS('Wells Fargo'!$F:$F,'Wells Fargo'!$G:$G,'Cash Flow'!$A26,'Wells Fargo'!$A:$A,T$1,'Wells Fargo'!$B:$B,"&lt;="&amp;'Cash Flow'!T$3,'Wells Fargo'!$B:$B,"&gt;"&amp;'Cash Flow'!S$3)</f>
        <v>0</v>
      </c>
      <c r="U26" s="89">
        <f>SUMIFS('Wells Fargo'!$F:$F,'Wells Fargo'!$G:$G,'Cash Flow'!$A26,'Wells Fargo'!$A:$A,U$1,'Wells Fargo'!$B:$B,"&lt;="&amp;'Cash Flow'!U$3,'Wells Fargo'!$B:$B,"&gt;"&amp;'Cash Flow'!T$3)</f>
        <v>0</v>
      </c>
      <c r="V26" s="90">
        <f>SUMIFS('Wells Fargo'!$F:$F,'Wells Fargo'!$G:$G,'Cash Flow'!$A26,'Wells Fargo'!$A:$A,V$1,'Wells Fargo'!$B:$B,"&lt;="&amp;'Cash Flow'!V$3)</f>
        <v>0</v>
      </c>
      <c r="W26" s="89">
        <f>SUMIFS('Wells Fargo'!$F:$F,'Wells Fargo'!$G:$G,'Cash Flow'!$A26,'Wells Fargo'!$A:$A,W$1,'Wells Fargo'!$B:$B,"&lt;="&amp;'Cash Flow'!W$3,'Wells Fargo'!$B:$B,"&gt;"&amp;'Cash Flow'!V$3)</f>
        <v>0</v>
      </c>
      <c r="X26" s="89">
        <f>SUMIFS('Wells Fargo'!$F:$F,'Wells Fargo'!$G:$G,'Cash Flow'!$A26,'Wells Fargo'!$A:$A,X$1,'Wells Fargo'!$B:$B,"&lt;="&amp;'Cash Flow'!X$3,'Wells Fargo'!$B:$B,"&gt;"&amp;'Cash Flow'!W$3)</f>
        <v>0</v>
      </c>
      <c r="Y26" s="89">
        <f>SUMIFS('Wells Fargo'!$F:$F,'Wells Fargo'!$G:$G,'Cash Flow'!$A26,'Wells Fargo'!$A:$A,Y$1,'Wells Fargo'!$B:$B,"&lt;="&amp;'Cash Flow'!Y$3,'Wells Fargo'!$B:$B,"&gt;"&amp;'Cash Flow'!X$3)</f>
        <v>0</v>
      </c>
      <c r="Z26" s="89">
        <f>SUMIFS('Wells Fargo'!$F:$F,'Wells Fargo'!$G:$G,'Cash Flow'!$A26,'Wells Fargo'!$A:$A,Z$1,'Wells Fargo'!$B:$B,"&lt;="&amp;'Cash Flow'!Z$3,'Wells Fargo'!$B:$B,"&gt;"&amp;'Cash Flow'!Y$3)</f>
        <v>0</v>
      </c>
      <c r="AA26" s="90">
        <f>SUMIFS('Wells Fargo'!$F:$F,'Wells Fargo'!$G:$G,'Cash Flow'!$A26,'Wells Fargo'!$A:$A,AA$1,'Wells Fargo'!$B:$B,"&lt;="&amp;'Cash Flow'!AA$3)</f>
        <v>0</v>
      </c>
      <c r="AB26" s="89">
        <f>SUMIFS('Wells Fargo'!$F:$F,'Wells Fargo'!$G:$G,'Cash Flow'!$A26,'Wells Fargo'!$A:$A,AB$1,'Wells Fargo'!$B:$B,"&lt;="&amp;'Cash Flow'!AB$3,'Wells Fargo'!$B:$B,"&gt;"&amp;'Cash Flow'!AA$3)</f>
        <v>-200</v>
      </c>
      <c r="AC26" s="89">
        <f>SUMIFS('Wells Fargo'!$F:$F,'Wells Fargo'!$G:$G,'Cash Flow'!$A26,'Wells Fargo'!$A:$A,AC$1,'Wells Fargo'!$B:$B,"&lt;="&amp;'Cash Flow'!AC$3,'Wells Fargo'!$B:$B,"&gt;"&amp;'Cash Flow'!AB$3)</f>
        <v>0</v>
      </c>
      <c r="AD26" s="89">
        <f>SUMIFS('Wells Fargo'!$F:$F,'Wells Fargo'!$G:$G,'Cash Flow'!$A26,'Wells Fargo'!$A:$A,AD$1,'Wells Fargo'!$B:$B,"&lt;="&amp;'Cash Flow'!AD$3,'Wells Fargo'!$B:$B,"&gt;"&amp;'Cash Flow'!AC$3)</f>
        <v>0</v>
      </c>
      <c r="AE26" s="89">
        <f>SUMIFS('Wells Fargo'!$F:$F,'Wells Fargo'!$G:$G,'Cash Flow'!$A26,'Wells Fargo'!$A:$A,AE$1,'Wells Fargo'!$B:$B,"&lt;="&amp;'Cash Flow'!AE$3,'Wells Fargo'!$B:$B,"&gt;"&amp;'Cash Flow'!AD$3)</f>
        <v>0</v>
      </c>
      <c r="AF26" s="90">
        <f>SUMIFS('Wells Fargo'!$F:$F,'Wells Fargo'!$G:$G,'Cash Flow'!$A26,'Wells Fargo'!$A:$A,AF$1,'Wells Fargo'!$B:$B,"&lt;="&amp;'Cash Flow'!AF$3)</f>
        <v>0</v>
      </c>
      <c r="AG26" s="89">
        <f>SUMIFS('Wells Fargo'!$F:$F,'Wells Fargo'!$G:$G,'Cash Flow'!$A26,'Wells Fargo'!$A:$A,AG$1,'Wells Fargo'!$B:$B,"&lt;="&amp;'Cash Flow'!AG$3,'Wells Fargo'!$B:$B,"&gt;"&amp;'Cash Flow'!AF$3)</f>
        <v>0</v>
      </c>
      <c r="AH26" s="89">
        <f>SUMIFS('Wells Fargo'!$F:$F,'Wells Fargo'!$G:$G,'Cash Flow'!$A26,'Wells Fargo'!$A:$A,AH$1,'Wells Fargo'!$B:$B,"&lt;="&amp;'Cash Flow'!AH$3,'Wells Fargo'!$B:$B,"&gt;"&amp;'Cash Flow'!AG$3)</f>
        <v>0</v>
      </c>
      <c r="AI26" s="89">
        <f>SUMIFS('Wells Fargo'!$F:$F,'Wells Fargo'!$G:$G,'Cash Flow'!$A26,'Wells Fargo'!$A:$A,AI$1,'Wells Fargo'!$B:$B,"&lt;="&amp;'Cash Flow'!AI$3,'Wells Fargo'!$B:$B,"&gt;"&amp;'Cash Flow'!AH$3)</f>
        <v>0</v>
      </c>
      <c r="AJ26" s="89">
        <f>SUMIFS('Wells Fargo'!$F:$F,'Wells Fargo'!$G:$G,'Cash Flow'!$A26,'Wells Fargo'!$A:$A,AJ$1,'Wells Fargo'!$B:$B,"&lt;="&amp;'Cash Flow'!AJ$3,'Wells Fargo'!$B:$B,"&gt;"&amp;'Cash Flow'!AI$3)</f>
        <v>0</v>
      </c>
      <c r="AK26" s="90">
        <f>SUMIFS('Wells Fargo'!$F:$F,'Wells Fargo'!$G:$G,'Cash Flow'!$A26,'Wells Fargo'!$A:$A,AK$1,'Wells Fargo'!$B:$B,"&lt;="&amp;'Cash Flow'!AK$3)</f>
        <v>0</v>
      </c>
      <c r="AL26" s="89">
        <f>SUMIFS('Wells Fargo'!$F:$F,'Wells Fargo'!$G:$G,'Cash Flow'!$A26,'Wells Fargo'!$A:$A,AL$1,'Wells Fargo'!$B:$B,"&lt;="&amp;'Cash Flow'!AL$3,'Wells Fargo'!$B:$B,"&gt;"&amp;'Cash Flow'!AK$3)</f>
        <v>0</v>
      </c>
      <c r="AM26" s="89">
        <f>SUMIFS('Wells Fargo'!$F:$F,'Wells Fargo'!$G:$G,'Cash Flow'!$A26,'Wells Fargo'!$A:$A,AM$1,'Wells Fargo'!$B:$B,"&lt;="&amp;'Cash Flow'!AM$3,'Wells Fargo'!$B:$B,"&gt;"&amp;'Cash Flow'!AL$3)</f>
        <v>0</v>
      </c>
      <c r="AN26" s="89">
        <f>SUMIFS('Wells Fargo'!$F:$F,'Wells Fargo'!$G:$G,'Cash Flow'!$A26,'Wells Fargo'!$A:$A,AN$1,'Wells Fargo'!$B:$B,"&lt;="&amp;'Cash Flow'!AN$3,'Wells Fargo'!$B:$B,"&gt;"&amp;'Cash Flow'!AM$3)</f>
        <v>0</v>
      </c>
      <c r="AO26" s="89">
        <f>SUMIFS('Wells Fargo'!$F:$F,'Wells Fargo'!$G:$G,'Cash Flow'!$A26,'Wells Fargo'!$A:$A,AO$1,'Wells Fargo'!$B:$B,"&lt;="&amp;'Cash Flow'!AO$3,'Wells Fargo'!$B:$B,"&gt;"&amp;'Cash Flow'!AN$3)</f>
        <v>0</v>
      </c>
      <c r="AP26" s="90">
        <f>SUMIFS('Wells Fargo'!$F:$F,'Wells Fargo'!$G:$G,'Cash Flow'!$A26,'Wells Fargo'!$A:$A,AP$1,'Wells Fargo'!$B:$B,"&lt;="&amp;'Cash Flow'!AP$3)</f>
        <v>0</v>
      </c>
      <c r="AQ26" s="89">
        <f>SUMIFS('Wells Fargo'!$F:$F,'Wells Fargo'!$G:$G,'Cash Flow'!$A26,'Wells Fargo'!$A:$A,AQ$1,'Wells Fargo'!$B:$B,"&lt;="&amp;'Cash Flow'!AQ$3,'Wells Fargo'!$B:$B,"&gt;"&amp;'Cash Flow'!AP$3)</f>
        <v>0</v>
      </c>
      <c r="AR26" s="89">
        <f>SUMIFS('Wells Fargo'!$F:$F,'Wells Fargo'!$G:$G,'Cash Flow'!$A26,'Wells Fargo'!$A:$A,AR$1,'Wells Fargo'!$B:$B,"&lt;="&amp;'Cash Flow'!AR$3,'Wells Fargo'!$B:$B,"&gt;"&amp;'Cash Flow'!AQ$3)</f>
        <v>0</v>
      </c>
      <c r="AS26" s="89">
        <f>SUMIFS('Wells Fargo'!$F:$F,'Wells Fargo'!$G:$G,'Cash Flow'!$A26,'Wells Fargo'!$A:$A,AS$1,'Wells Fargo'!$B:$B,"&lt;="&amp;'Cash Flow'!AS$3,'Wells Fargo'!$B:$B,"&gt;"&amp;'Cash Flow'!AR$3)</f>
        <v>0</v>
      </c>
      <c r="AT26" s="89">
        <f>SUMIFS('Wells Fargo'!$F:$F,'Wells Fargo'!$G:$G,'Cash Flow'!$A26,'Wells Fargo'!$A:$A,AT$1,'Wells Fargo'!$B:$B,"&lt;="&amp;'Cash Flow'!AT$3,'Wells Fargo'!$B:$B,"&gt;"&amp;'Cash Flow'!AS$3)</f>
        <v>0</v>
      </c>
      <c r="AU26" s="90">
        <f>SUMIFS('Wells Fargo'!$F:$F,'Wells Fargo'!$G:$G,'Cash Flow'!$A26,'Wells Fargo'!$A:$A,AU$1,'Wells Fargo'!$B:$B,"&lt;="&amp;'Cash Flow'!AU$3)</f>
        <v>0</v>
      </c>
      <c r="AV26" s="89">
        <f>SUMIFS('Wells Fargo'!$F:$F,'Wells Fargo'!$G:$G,'Cash Flow'!$A26,'Wells Fargo'!$A:$A,AV$1,'Wells Fargo'!$B:$B,"&lt;="&amp;'Cash Flow'!AV$3,'Wells Fargo'!$B:$B,"&gt;"&amp;'Cash Flow'!AU$3)</f>
        <v>0</v>
      </c>
      <c r="AW26" s="89">
        <f>SUMIFS('Wells Fargo'!$F:$F,'Wells Fargo'!$G:$G,'Cash Flow'!$A26,'Wells Fargo'!$A:$A,AW$1,'Wells Fargo'!$B:$B,"&lt;="&amp;'Cash Flow'!AW$3,'Wells Fargo'!$B:$B,"&gt;"&amp;'Cash Flow'!AV$3)</f>
        <v>0</v>
      </c>
      <c r="AX26" s="89">
        <f>SUMIFS('Wells Fargo'!$F:$F,'Wells Fargo'!$G:$G,'Cash Flow'!$A26,'Wells Fargo'!$A:$A,AX$1,'Wells Fargo'!$B:$B,"&lt;="&amp;'Cash Flow'!AX$3,'Wells Fargo'!$B:$B,"&gt;"&amp;'Cash Flow'!AW$3)</f>
        <v>0</v>
      </c>
      <c r="AY26" s="89">
        <f>SUMIFS('Wells Fargo'!$F:$F,'Wells Fargo'!$G:$G,'Cash Flow'!$A26,'Wells Fargo'!$A:$A,AY$1,'Wells Fargo'!$B:$B,"&lt;="&amp;'Cash Flow'!AY$3,'Wells Fargo'!$B:$B,"&gt;"&amp;'Cash Flow'!AX$3)</f>
        <v>0</v>
      </c>
      <c r="AZ26" s="90">
        <f>SUMIFS('Wells Fargo'!$F:$F,'Wells Fargo'!$G:$G,'Cash Flow'!$A26,'Wells Fargo'!$A:$A,AZ$1,'Wells Fargo'!$B:$B,"&lt;="&amp;'Cash Flow'!AZ$3)</f>
        <v>0</v>
      </c>
      <c r="BA26" s="89">
        <f>SUMIFS('Wells Fargo'!$F:$F,'Wells Fargo'!$G:$G,'Cash Flow'!$A26,'Wells Fargo'!$A:$A,BA$1,'Wells Fargo'!$B:$B,"&lt;="&amp;'Cash Flow'!BA$3,'Wells Fargo'!$B:$B,"&gt;"&amp;'Cash Flow'!AZ$3)</f>
        <v>0</v>
      </c>
      <c r="BB26" s="89">
        <f>SUMIFS('Wells Fargo'!$F:$F,'Wells Fargo'!$G:$G,'Cash Flow'!$A26,'Wells Fargo'!$A:$A,BB$1,'Wells Fargo'!$B:$B,"&lt;="&amp;'Cash Flow'!BB$3,'Wells Fargo'!$B:$B,"&gt;"&amp;'Cash Flow'!BA$3)</f>
        <v>0</v>
      </c>
      <c r="BC26" s="89">
        <f>SUMIFS('Wells Fargo'!$F:$F,'Wells Fargo'!$G:$G,'Cash Flow'!$A26,'Wells Fargo'!$A:$A,BC$1,'Wells Fargo'!$B:$B,"&lt;="&amp;'Cash Flow'!BC$3,'Wells Fargo'!$B:$B,"&gt;"&amp;'Cash Flow'!BB$3)</f>
        <v>0</v>
      </c>
      <c r="BD26" s="89">
        <f>SUMIFS('Wells Fargo'!$F:$F,'Wells Fargo'!$G:$G,'Cash Flow'!$A26,'Wells Fargo'!$A:$A,BD$1,'Wells Fargo'!$B:$B,"&lt;="&amp;'Cash Flow'!BD$3,'Wells Fargo'!$B:$B,"&gt;"&amp;'Cash Flow'!BC$3)</f>
        <v>0</v>
      </c>
      <c r="BE26" s="90">
        <f>SUMIFS('Wells Fargo'!$F:$F,'Wells Fargo'!$G:$G,'Cash Flow'!$A26,'Wells Fargo'!$A:$A,BE$1,'Wells Fargo'!$B:$B,"&lt;="&amp;'Cash Flow'!BE$3)</f>
        <v>0</v>
      </c>
      <c r="BF26" s="89">
        <f>SUMIFS('Wells Fargo'!$F:$F,'Wells Fargo'!$G:$G,'Cash Flow'!$A26,'Wells Fargo'!$A:$A,BF$1,'Wells Fargo'!$B:$B,"&lt;="&amp;'Cash Flow'!BF$3,'Wells Fargo'!$B:$B,"&gt;"&amp;'Cash Flow'!BE$3)</f>
        <v>0</v>
      </c>
      <c r="BG26" s="89">
        <f>SUMIFS('Wells Fargo'!$F:$F,'Wells Fargo'!$G:$G,'Cash Flow'!$A26,'Wells Fargo'!$A:$A,BG$1,'Wells Fargo'!$B:$B,"&lt;="&amp;'Cash Flow'!BG$3,'Wells Fargo'!$B:$B,"&gt;"&amp;'Cash Flow'!BF$3)</f>
        <v>0</v>
      </c>
      <c r="BH26" s="89">
        <f>SUMIFS('Wells Fargo'!$F:$F,'Wells Fargo'!$G:$G,'Cash Flow'!$A26,'Wells Fargo'!$A:$A,BH$1,'Wells Fargo'!$B:$B,"&lt;="&amp;'Cash Flow'!BH$3,'Wells Fargo'!$B:$B,"&gt;"&amp;'Cash Flow'!BG$3)</f>
        <v>0</v>
      </c>
      <c r="BI26" s="89">
        <f>SUMIFS('Wells Fargo'!$F:$F,'Wells Fargo'!$G:$G,'Cash Flow'!$A26,'Wells Fargo'!$A:$A,BI$1,'Wells Fargo'!$B:$B,"&lt;="&amp;'Cash Flow'!BI$3,'Wells Fargo'!$B:$B,"&gt;"&amp;'Cash Flow'!BH$3)</f>
        <v>0</v>
      </c>
    </row>
    <row r="27" spans="1:61" ht="12.75" x14ac:dyDescent="0.2">
      <c r="A27" t="str">
        <v>Gas</v>
      </c>
      <c r="B27" s="15">
        <f t="shared" si="0"/>
        <v>-153.64000000000001</v>
      </c>
      <c r="C27" s="90">
        <f>SUMIFS('Wells Fargo'!$F:$F,'Wells Fargo'!$G:$G,'Cash Flow'!$A27,'Wells Fargo'!$A:$A,C$1,'Wells Fargo'!$B:$B,"&lt;="&amp;'Cash Flow'!C$3)</f>
        <v>0</v>
      </c>
      <c r="D27" s="89">
        <f>SUMIFS('Wells Fargo'!$F:$F,'Wells Fargo'!$G:$G,'Cash Flow'!$A27,'Wells Fargo'!$A:$A,D$1,'Wells Fargo'!$B:$B,"&lt;="&amp;'Cash Flow'!D$3,'Wells Fargo'!$B:$B,"&gt;"&amp;'Cash Flow'!C$3)</f>
        <v>0</v>
      </c>
      <c r="E27" s="89">
        <f>SUMIFS('Wells Fargo'!$F:$F,'Wells Fargo'!$G:$G,'Cash Flow'!$A27,'Wells Fargo'!$A:$A,E$1,'Wells Fargo'!$B:$B,"&lt;="&amp;'Cash Flow'!E$3,'Wells Fargo'!$B:$B,"&gt;"&amp;'Cash Flow'!D$3)</f>
        <v>0</v>
      </c>
      <c r="F27" s="89">
        <f>SUMIFS('Wells Fargo'!$F:$F,'Wells Fargo'!$G:$G,'Cash Flow'!$A27,'Wells Fargo'!$A:$A,F$1,'Wells Fargo'!$B:$B,"&lt;="&amp;'Cash Flow'!F$3,'Wells Fargo'!$B:$B,"&gt;"&amp;'Cash Flow'!E$3)</f>
        <v>0</v>
      </c>
      <c r="G27" s="89">
        <f>SUMIFS('Wells Fargo'!$F:$F,'Wells Fargo'!$G:$G,'Cash Flow'!$A27,'Wells Fargo'!$A:$A,G$1,'Wells Fargo'!$B:$B,"&lt;="&amp;'Cash Flow'!G$3,'Wells Fargo'!$B:$B,"&gt;"&amp;'Cash Flow'!F$3)</f>
        <v>0</v>
      </c>
      <c r="H27" s="90">
        <f>SUMIFS('Wells Fargo'!$F:$F,'Wells Fargo'!$G:$G,'Cash Flow'!$A27,'Wells Fargo'!$A:$A,H$1,'Wells Fargo'!$B:$B,"&lt;="&amp;'Cash Flow'!H$3)</f>
        <v>0</v>
      </c>
      <c r="I27" s="89">
        <f>SUMIFS('Wells Fargo'!$F:$F,'Wells Fargo'!$G:$G,'Cash Flow'!$A27,'Wells Fargo'!$A:$A,I$1,'Wells Fargo'!$B:$B,"&lt;="&amp;'Cash Flow'!I$3,'Wells Fargo'!$B:$B,"&gt;"&amp;'Cash Flow'!H$3)</f>
        <v>0</v>
      </c>
      <c r="J27" s="89">
        <f>SUMIFS('Wells Fargo'!$F:$F,'Wells Fargo'!$G:$G,'Cash Flow'!$A27,'Wells Fargo'!$A:$A,J$1,'Wells Fargo'!$B:$B,"&lt;="&amp;'Cash Flow'!J$3,'Wells Fargo'!$B:$B,"&gt;"&amp;'Cash Flow'!I$3)</f>
        <v>0</v>
      </c>
      <c r="K27" s="89">
        <f>SUMIFS('Wells Fargo'!$F:$F,'Wells Fargo'!$G:$G,'Cash Flow'!$A27,'Wells Fargo'!$A:$A,K$1,'Wells Fargo'!$B:$B,"&lt;="&amp;'Cash Flow'!K$3,'Wells Fargo'!$B:$B,"&gt;"&amp;'Cash Flow'!J$3)</f>
        <v>0</v>
      </c>
      <c r="L27" s="90">
        <f>SUMIFS('Wells Fargo'!$F:$F,'Wells Fargo'!$G:$G,'Cash Flow'!$A27,'Wells Fargo'!$A:$A,L$1,'Wells Fargo'!$B:$B,"&lt;="&amp;'Cash Flow'!L$3)</f>
        <v>0</v>
      </c>
      <c r="M27" s="89">
        <f>SUMIFS('Wells Fargo'!$F:$F,'Wells Fargo'!$G:$G,'Cash Flow'!$A27,'Wells Fargo'!$A:$A,M$1,'Wells Fargo'!$B:$B,"&lt;="&amp;'Cash Flow'!M$3,'Wells Fargo'!$B:$B,"&gt;"&amp;'Cash Flow'!L$3)</f>
        <v>0</v>
      </c>
      <c r="N27" s="89">
        <f>SUMIFS('Wells Fargo'!$F:$F,'Wells Fargo'!$G:$G,'Cash Flow'!$A27,'Wells Fargo'!$A:$A,N$1,'Wells Fargo'!$B:$B,"&lt;="&amp;'Cash Flow'!N$3,'Wells Fargo'!$B:$B,"&gt;"&amp;'Cash Flow'!M$3)</f>
        <v>-25.57</v>
      </c>
      <c r="O27" s="89">
        <f>SUMIFS('Wells Fargo'!$F:$F,'Wells Fargo'!$G:$G,'Cash Flow'!$A27,'Wells Fargo'!$A:$A,O$1,'Wells Fargo'!$B:$B,"&lt;="&amp;'Cash Flow'!O$3,'Wells Fargo'!$B:$B,"&gt;"&amp;'Cash Flow'!N$3)</f>
        <v>0</v>
      </c>
      <c r="P27" s="89">
        <f>SUMIFS('Wells Fargo'!$F:$F,'Wells Fargo'!$G:$G,'Cash Flow'!$A27,'Wells Fargo'!$A:$A,P$1,'Wells Fargo'!$B:$B,"&lt;="&amp;'Cash Flow'!P$3,'Wells Fargo'!$B:$B,"&gt;"&amp;'Cash Flow'!O$3)</f>
        <v>0</v>
      </c>
      <c r="Q27" s="90">
        <f>SUMIFS('Wells Fargo'!$F:$F,'Wells Fargo'!$G:$G,'Cash Flow'!$A27,'Wells Fargo'!$A:$A,Q$1,'Wells Fargo'!$B:$B,"&lt;="&amp;'Cash Flow'!Q$3)</f>
        <v>0</v>
      </c>
      <c r="R27" s="89">
        <f>SUMIFS('Wells Fargo'!$F:$F,'Wells Fargo'!$G:$G,'Cash Flow'!$A27,'Wells Fargo'!$A:$A,R$1,'Wells Fargo'!$B:$B,"&lt;="&amp;'Cash Flow'!R$3,'Wells Fargo'!$B:$B,"&gt;"&amp;'Cash Flow'!Q$3)</f>
        <v>0</v>
      </c>
      <c r="S27" s="89">
        <f>SUMIFS('Wells Fargo'!$F:$F,'Wells Fargo'!$G:$G,'Cash Flow'!$A27,'Wells Fargo'!$A:$A,S$1,'Wells Fargo'!$B:$B,"&lt;="&amp;'Cash Flow'!S$3,'Wells Fargo'!$B:$B,"&gt;"&amp;'Cash Flow'!R$3)</f>
        <v>0</v>
      </c>
      <c r="T27" s="89">
        <f>SUMIFS('Wells Fargo'!$F:$F,'Wells Fargo'!$G:$G,'Cash Flow'!$A27,'Wells Fargo'!$A:$A,T$1,'Wells Fargo'!$B:$B,"&lt;="&amp;'Cash Flow'!T$3,'Wells Fargo'!$B:$B,"&gt;"&amp;'Cash Flow'!S$3)</f>
        <v>0</v>
      </c>
      <c r="U27" s="89">
        <f>SUMIFS('Wells Fargo'!$F:$F,'Wells Fargo'!$G:$G,'Cash Flow'!$A27,'Wells Fargo'!$A:$A,U$1,'Wells Fargo'!$B:$B,"&lt;="&amp;'Cash Flow'!U$3,'Wells Fargo'!$B:$B,"&gt;"&amp;'Cash Flow'!T$3)</f>
        <v>0</v>
      </c>
      <c r="V27" s="90">
        <f>SUMIFS('Wells Fargo'!$F:$F,'Wells Fargo'!$G:$G,'Cash Flow'!$A27,'Wells Fargo'!$A:$A,V$1,'Wells Fargo'!$B:$B,"&lt;="&amp;'Cash Flow'!V$3)</f>
        <v>0</v>
      </c>
      <c r="W27" s="89">
        <f>SUMIFS('Wells Fargo'!$F:$F,'Wells Fargo'!$G:$G,'Cash Flow'!$A27,'Wells Fargo'!$A:$A,W$1,'Wells Fargo'!$B:$B,"&lt;="&amp;'Cash Flow'!W$3,'Wells Fargo'!$B:$B,"&gt;"&amp;'Cash Flow'!V$3)</f>
        <v>-50.32</v>
      </c>
      <c r="X27" s="89">
        <f>SUMIFS('Wells Fargo'!$F:$F,'Wells Fargo'!$G:$G,'Cash Flow'!$A27,'Wells Fargo'!$A:$A,X$1,'Wells Fargo'!$B:$B,"&lt;="&amp;'Cash Flow'!X$3,'Wells Fargo'!$B:$B,"&gt;"&amp;'Cash Flow'!W$3)</f>
        <v>0</v>
      </c>
      <c r="Y27" s="89">
        <f>SUMIFS('Wells Fargo'!$F:$F,'Wells Fargo'!$G:$G,'Cash Flow'!$A27,'Wells Fargo'!$A:$A,Y$1,'Wells Fargo'!$B:$B,"&lt;="&amp;'Cash Flow'!Y$3,'Wells Fargo'!$B:$B,"&gt;"&amp;'Cash Flow'!X$3)</f>
        <v>0</v>
      </c>
      <c r="Z27" s="89">
        <f>SUMIFS('Wells Fargo'!$F:$F,'Wells Fargo'!$G:$G,'Cash Flow'!$A27,'Wells Fargo'!$A:$A,Z$1,'Wells Fargo'!$B:$B,"&lt;="&amp;'Cash Flow'!Z$3,'Wells Fargo'!$B:$B,"&gt;"&amp;'Cash Flow'!Y$3)</f>
        <v>0</v>
      </c>
      <c r="AA27" s="90">
        <f>SUMIFS('Wells Fargo'!$F:$F,'Wells Fargo'!$G:$G,'Cash Flow'!$A27,'Wells Fargo'!$A:$A,AA$1,'Wells Fargo'!$B:$B,"&lt;="&amp;'Cash Flow'!AA$3)</f>
        <v>0</v>
      </c>
      <c r="AB27" s="89">
        <f>SUMIFS('Wells Fargo'!$F:$F,'Wells Fargo'!$G:$G,'Cash Flow'!$A27,'Wells Fargo'!$A:$A,AB$1,'Wells Fargo'!$B:$B,"&lt;="&amp;'Cash Flow'!AB$3,'Wells Fargo'!$B:$B,"&gt;"&amp;'Cash Flow'!AA$3)</f>
        <v>0</v>
      </c>
      <c r="AC27" s="89">
        <f>SUMIFS('Wells Fargo'!$F:$F,'Wells Fargo'!$G:$G,'Cash Flow'!$A27,'Wells Fargo'!$A:$A,AC$1,'Wells Fargo'!$B:$B,"&lt;="&amp;'Cash Flow'!AC$3,'Wells Fargo'!$B:$B,"&gt;"&amp;'Cash Flow'!AB$3)</f>
        <v>0</v>
      </c>
      <c r="AD27" s="89">
        <f>SUMIFS('Wells Fargo'!$F:$F,'Wells Fargo'!$G:$G,'Cash Flow'!$A27,'Wells Fargo'!$A:$A,AD$1,'Wells Fargo'!$B:$B,"&lt;="&amp;'Cash Flow'!AD$3,'Wells Fargo'!$B:$B,"&gt;"&amp;'Cash Flow'!AC$3)</f>
        <v>0</v>
      </c>
      <c r="AE27" s="89">
        <f>SUMIFS('Wells Fargo'!$F:$F,'Wells Fargo'!$G:$G,'Cash Flow'!$A27,'Wells Fargo'!$A:$A,AE$1,'Wells Fargo'!$B:$B,"&lt;="&amp;'Cash Flow'!AE$3,'Wells Fargo'!$B:$B,"&gt;"&amp;'Cash Flow'!AD$3)</f>
        <v>0</v>
      </c>
      <c r="AF27" s="90">
        <f>SUMIFS('Wells Fargo'!$F:$F,'Wells Fargo'!$G:$G,'Cash Flow'!$A27,'Wells Fargo'!$A:$A,AF$1,'Wells Fargo'!$B:$B,"&lt;="&amp;'Cash Flow'!AF$3)</f>
        <v>0</v>
      </c>
      <c r="AG27" s="89">
        <f>SUMIFS('Wells Fargo'!$F:$F,'Wells Fargo'!$G:$G,'Cash Flow'!$A27,'Wells Fargo'!$A:$A,AG$1,'Wells Fargo'!$B:$B,"&lt;="&amp;'Cash Flow'!AG$3,'Wells Fargo'!$B:$B,"&gt;"&amp;'Cash Flow'!AF$3)</f>
        <v>0</v>
      </c>
      <c r="AH27" s="89">
        <f>SUMIFS('Wells Fargo'!$F:$F,'Wells Fargo'!$G:$G,'Cash Flow'!$A27,'Wells Fargo'!$A:$A,AH$1,'Wells Fargo'!$B:$B,"&lt;="&amp;'Cash Flow'!AH$3,'Wells Fargo'!$B:$B,"&gt;"&amp;'Cash Flow'!AG$3)</f>
        <v>0</v>
      </c>
      <c r="AI27" s="89">
        <f>SUMIFS('Wells Fargo'!$F:$F,'Wells Fargo'!$G:$G,'Cash Flow'!$A27,'Wells Fargo'!$A:$A,AI$1,'Wells Fargo'!$B:$B,"&lt;="&amp;'Cash Flow'!AI$3,'Wells Fargo'!$B:$B,"&gt;"&amp;'Cash Flow'!AH$3)</f>
        <v>-29.73</v>
      </c>
      <c r="AJ27" s="89">
        <f>SUMIFS('Wells Fargo'!$F:$F,'Wells Fargo'!$G:$G,'Cash Flow'!$A27,'Wells Fargo'!$A:$A,AJ$1,'Wells Fargo'!$B:$B,"&lt;="&amp;'Cash Flow'!AJ$3,'Wells Fargo'!$B:$B,"&gt;"&amp;'Cash Flow'!AI$3)</f>
        <v>0</v>
      </c>
      <c r="AK27" s="90">
        <f>SUMIFS('Wells Fargo'!$F:$F,'Wells Fargo'!$G:$G,'Cash Flow'!$A27,'Wells Fargo'!$A:$A,AK$1,'Wells Fargo'!$B:$B,"&lt;="&amp;'Cash Flow'!AK$3)</f>
        <v>0</v>
      </c>
      <c r="AL27" s="89">
        <f>SUMIFS('Wells Fargo'!$F:$F,'Wells Fargo'!$G:$G,'Cash Flow'!$A27,'Wells Fargo'!$A:$A,AL$1,'Wells Fargo'!$B:$B,"&lt;="&amp;'Cash Flow'!AL$3,'Wells Fargo'!$B:$B,"&gt;"&amp;'Cash Flow'!AK$3)</f>
        <v>0</v>
      </c>
      <c r="AM27" s="89">
        <f>SUMIFS('Wells Fargo'!$F:$F,'Wells Fargo'!$G:$G,'Cash Flow'!$A27,'Wells Fargo'!$A:$A,AM$1,'Wells Fargo'!$B:$B,"&lt;="&amp;'Cash Flow'!AM$3,'Wells Fargo'!$B:$B,"&gt;"&amp;'Cash Flow'!AL$3)</f>
        <v>0</v>
      </c>
      <c r="AN27" s="89">
        <f>SUMIFS('Wells Fargo'!$F:$F,'Wells Fargo'!$G:$G,'Cash Flow'!$A27,'Wells Fargo'!$A:$A,AN$1,'Wells Fargo'!$B:$B,"&lt;="&amp;'Cash Flow'!AN$3,'Wells Fargo'!$B:$B,"&gt;"&amp;'Cash Flow'!AM$3)</f>
        <v>0</v>
      </c>
      <c r="AO27" s="89">
        <f>SUMIFS('Wells Fargo'!$F:$F,'Wells Fargo'!$G:$G,'Cash Flow'!$A27,'Wells Fargo'!$A:$A,AO$1,'Wells Fargo'!$B:$B,"&lt;="&amp;'Cash Flow'!AO$3,'Wells Fargo'!$B:$B,"&gt;"&amp;'Cash Flow'!AN$3)</f>
        <v>0</v>
      </c>
      <c r="AP27" s="90">
        <f>SUMIFS('Wells Fargo'!$F:$F,'Wells Fargo'!$G:$G,'Cash Flow'!$A27,'Wells Fargo'!$A:$A,AP$1,'Wells Fargo'!$B:$B,"&lt;="&amp;'Cash Flow'!AP$3)</f>
        <v>0</v>
      </c>
      <c r="AQ27" s="89">
        <f>SUMIFS('Wells Fargo'!$F:$F,'Wells Fargo'!$G:$G,'Cash Flow'!$A27,'Wells Fargo'!$A:$A,AQ$1,'Wells Fargo'!$B:$B,"&lt;="&amp;'Cash Flow'!AQ$3,'Wells Fargo'!$B:$B,"&gt;"&amp;'Cash Flow'!AP$3)</f>
        <v>0</v>
      </c>
      <c r="AR27" s="89">
        <f>SUMIFS('Wells Fargo'!$F:$F,'Wells Fargo'!$G:$G,'Cash Flow'!$A27,'Wells Fargo'!$A:$A,AR$1,'Wells Fargo'!$B:$B,"&lt;="&amp;'Cash Flow'!AR$3,'Wells Fargo'!$B:$B,"&gt;"&amp;'Cash Flow'!AQ$3)</f>
        <v>-48.02</v>
      </c>
      <c r="AS27" s="89">
        <f>SUMIFS('Wells Fargo'!$F:$F,'Wells Fargo'!$G:$G,'Cash Flow'!$A27,'Wells Fargo'!$A:$A,AS$1,'Wells Fargo'!$B:$B,"&lt;="&amp;'Cash Flow'!AS$3,'Wells Fargo'!$B:$B,"&gt;"&amp;'Cash Flow'!AR$3)</f>
        <v>0</v>
      </c>
      <c r="AT27" s="89">
        <f>SUMIFS('Wells Fargo'!$F:$F,'Wells Fargo'!$G:$G,'Cash Flow'!$A27,'Wells Fargo'!$A:$A,AT$1,'Wells Fargo'!$B:$B,"&lt;="&amp;'Cash Flow'!AT$3,'Wells Fargo'!$B:$B,"&gt;"&amp;'Cash Flow'!AS$3)</f>
        <v>0</v>
      </c>
      <c r="AU27" s="90">
        <f>SUMIFS('Wells Fargo'!$F:$F,'Wells Fargo'!$G:$G,'Cash Flow'!$A27,'Wells Fargo'!$A:$A,AU$1,'Wells Fargo'!$B:$B,"&lt;="&amp;'Cash Flow'!AU$3)</f>
        <v>0</v>
      </c>
      <c r="AV27" s="89">
        <f>SUMIFS('Wells Fargo'!$F:$F,'Wells Fargo'!$G:$G,'Cash Flow'!$A27,'Wells Fargo'!$A:$A,AV$1,'Wells Fargo'!$B:$B,"&lt;="&amp;'Cash Flow'!AV$3,'Wells Fargo'!$B:$B,"&gt;"&amp;'Cash Flow'!AU$3)</f>
        <v>0</v>
      </c>
      <c r="AW27" s="89">
        <f>SUMIFS('Wells Fargo'!$F:$F,'Wells Fargo'!$G:$G,'Cash Flow'!$A27,'Wells Fargo'!$A:$A,AW$1,'Wells Fargo'!$B:$B,"&lt;="&amp;'Cash Flow'!AW$3,'Wells Fargo'!$B:$B,"&gt;"&amp;'Cash Flow'!AV$3)</f>
        <v>0</v>
      </c>
      <c r="AX27" s="89">
        <f>SUMIFS('Wells Fargo'!$F:$F,'Wells Fargo'!$G:$G,'Cash Flow'!$A27,'Wells Fargo'!$A:$A,AX$1,'Wells Fargo'!$B:$B,"&lt;="&amp;'Cash Flow'!AX$3,'Wells Fargo'!$B:$B,"&gt;"&amp;'Cash Flow'!AW$3)</f>
        <v>0</v>
      </c>
      <c r="AY27" s="89">
        <f>SUMIFS('Wells Fargo'!$F:$F,'Wells Fargo'!$G:$G,'Cash Flow'!$A27,'Wells Fargo'!$A:$A,AY$1,'Wells Fargo'!$B:$B,"&lt;="&amp;'Cash Flow'!AY$3,'Wells Fargo'!$B:$B,"&gt;"&amp;'Cash Flow'!AX$3)</f>
        <v>0</v>
      </c>
      <c r="AZ27" s="90">
        <f>SUMIFS('Wells Fargo'!$F:$F,'Wells Fargo'!$G:$G,'Cash Flow'!$A27,'Wells Fargo'!$A:$A,AZ$1,'Wells Fargo'!$B:$B,"&lt;="&amp;'Cash Flow'!AZ$3)</f>
        <v>0</v>
      </c>
      <c r="BA27" s="89">
        <f>SUMIFS('Wells Fargo'!$F:$F,'Wells Fargo'!$G:$G,'Cash Flow'!$A27,'Wells Fargo'!$A:$A,BA$1,'Wells Fargo'!$B:$B,"&lt;="&amp;'Cash Flow'!BA$3,'Wells Fargo'!$B:$B,"&gt;"&amp;'Cash Flow'!AZ$3)</f>
        <v>0</v>
      </c>
      <c r="BB27" s="89">
        <f>SUMIFS('Wells Fargo'!$F:$F,'Wells Fargo'!$G:$G,'Cash Flow'!$A27,'Wells Fargo'!$A:$A,BB$1,'Wells Fargo'!$B:$B,"&lt;="&amp;'Cash Flow'!BB$3,'Wells Fargo'!$B:$B,"&gt;"&amp;'Cash Flow'!BA$3)</f>
        <v>0</v>
      </c>
      <c r="BC27" s="89">
        <f>SUMIFS('Wells Fargo'!$F:$F,'Wells Fargo'!$G:$G,'Cash Flow'!$A27,'Wells Fargo'!$A:$A,BC$1,'Wells Fargo'!$B:$B,"&lt;="&amp;'Cash Flow'!BC$3,'Wells Fargo'!$B:$B,"&gt;"&amp;'Cash Flow'!BB$3)</f>
        <v>0</v>
      </c>
      <c r="BD27" s="89">
        <f>SUMIFS('Wells Fargo'!$F:$F,'Wells Fargo'!$G:$G,'Cash Flow'!$A27,'Wells Fargo'!$A:$A,BD$1,'Wells Fargo'!$B:$B,"&lt;="&amp;'Cash Flow'!BD$3,'Wells Fargo'!$B:$B,"&gt;"&amp;'Cash Flow'!BC$3)</f>
        <v>0</v>
      </c>
      <c r="BE27" s="90">
        <f>SUMIFS('Wells Fargo'!$F:$F,'Wells Fargo'!$G:$G,'Cash Flow'!$A27,'Wells Fargo'!$A:$A,BE$1,'Wells Fargo'!$B:$B,"&lt;="&amp;'Cash Flow'!BE$3)</f>
        <v>0</v>
      </c>
      <c r="BF27" s="89">
        <f>SUMIFS('Wells Fargo'!$F:$F,'Wells Fargo'!$G:$G,'Cash Flow'!$A27,'Wells Fargo'!$A:$A,BF$1,'Wells Fargo'!$B:$B,"&lt;="&amp;'Cash Flow'!BF$3,'Wells Fargo'!$B:$B,"&gt;"&amp;'Cash Flow'!BE$3)</f>
        <v>0</v>
      </c>
      <c r="BG27" s="89">
        <f>SUMIFS('Wells Fargo'!$F:$F,'Wells Fargo'!$G:$G,'Cash Flow'!$A27,'Wells Fargo'!$A:$A,BG$1,'Wells Fargo'!$B:$B,"&lt;="&amp;'Cash Flow'!BG$3,'Wells Fargo'!$B:$B,"&gt;"&amp;'Cash Flow'!BF$3)</f>
        <v>0</v>
      </c>
      <c r="BH27" s="89">
        <f>SUMIFS('Wells Fargo'!$F:$F,'Wells Fargo'!$G:$G,'Cash Flow'!$A27,'Wells Fargo'!$A:$A,BH$1,'Wells Fargo'!$B:$B,"&lt;="&amp;'Cash Flow'!BH$3,'Wells Fargo'!$B:$B,"&gt;"&amp;'Cash Flow'!BG$3)</f>
        <v>0</v>
      </c>
      <c r="BI27" s="89">
        <f>SUMIFS('Wells Fargo'!$F:$F,'Wells Fargo'!$G:$G,'Cash Flow'!$A27,'Wells Fargo'!$A:$A,BI$1,'Wells Fargo'!$B:$B,"&lt;="&amp;'Cash Flow'!BI$3,'Wells Fargo'!$B:$B,"&gt;"&amp;'Cash Flow'!BH$3)</f>
        <v>0</v>
      </c>
    </row>
    <row r="28" spans="1:61" ht="12.75" x14ac:dyDescent="0.2">
      <c r="A28" t="str">
        <v>Headshot</v>
      </c>
      <c r="B28" s="15">
        <f t="shared" si="0"/>
        <v>-163.24</v>
      </c>
      <c r="C28" s="90">
        <f>SUMIFS('Wells Fargo'!$F:$F,'Wells Fargo'!$G:$G,'Cash Flow'!$A28,'Wells Fargo'!$A:$A,C$1,'Wells Fargo'!$B:$B,"&lt;="&amp;'Cash Flow'!C$3)</f>
        <v>0</v>
      </c>
      <c r="D28" s="89">
        <f>SUMIFS('Wells Fargo'!$F:$F,'Wells Fargo'!$G:$G,'Cash Flow'!$A28,'Wells Fargo'!$A:$A,D$1,'Wells Fargo'!$B:$B,"&lt;="&amp;'Cash Flow'!D$3,'Wells Fargo'!$B:$B,"&gt;"&amp;'Cash Flow'!C$3)</f>
        <v>0</v>
      </c>
      <c r="E28" s="89">
        <f>SUMIFS('Wells Fargo'!$F:$F,'Wells Fargo'!$G:$G,'Cash Flow'!$A28,'Wells Fargo'!$A:$A,E$1,'Wells Fargo'!$B:$B,"&lt;="&amp;'Cash Flow'!E$3,'Wells Fargo'!$B:$B,"&gt;"&amp;'Cash Flow'!D$3)</f>
        <v>0</v>
      </c>
      <c r="F28" s="89">
        <f>SUMIFS('Wells Fargo'!$F:$F,'Wells Fargo'!$G:$G,'Cash Flow'!$A28,'Wells Fargo'!$A:$A,F$1,'Wells Fargo'!$B:$B,"&lt;="&amp;'Cash Flow'!F$3,'Wells Fargo'!$B:$B,"&gt;"&amp;'Cash Flow'!E$3)</f>
        <v>0</v>
      </c>
      <c r="G28" s="89">
        <f>SUMIFS('Wells Fargo'!$F:$F,'Wells Fargo'!$G:$G,'Cash Flow'!$A28,'Wells Fargo'!$A:$A,G$1,'Wells Fargo'!$B:$B,"&lt;="&amp;'Cash Flow'!G$3,'Wells Fargo'!$B:$B,"&gt;"&amp;'Cash Flow'!F$3)</f>
        <v>0</v>
      </c>
      <c r="H28" s="90">
        <f>SUMIFS('Wells Fargo'!$F:$F,'Wells Fargo'!$G:$G,'Cash Flow'!$A28,'Wells Fargo'!$A:$A,H$1,'Wells Fargo'!$B:$B,"&lt;="&amp;'Cash Flow'!H$3)</f>
        <v>0</v>
      </c>
      <c r="I28" s="89">
        <f>SUMIFS('Wells Fargo'!$F:$F,'Wells Fargo'!$G:$G,'Cash Flow'!$A28,'Wells Fargo'!$A:$A,I$1,'Wells Fargo'!$B:$B,"&lt;="&amp;'Cash Flow'!I$3,'Wells Fargo'!$B:$B,"&gt;"&amp;'Cash Flow'!H$3)</f>
        <v>0</v>
      </c>
      <c r="J28" s="89">
        <f>SUMIFS('Wells Fargo'!$F:$F,'Wells Fargo'!$G:$G,'Cash Flow'!$A28,'Wells Fargo'!$A:$A,J$1,'Wells Fargo'!$B:$B,"&lt;="&amp;'Cash Flow'!J$3,'Wells Fargo'!$B:$B,"&gt;"&amp;'Cash Flow'!I$3)</f>
        <v>0</v>
      </c>
      <c r="K28" s="89">
        <f>SUMIFS('Wells Fargo'!$F:$F,'Wells Fargo'!$G:$G,'Cash Flow'!$A28,'Wells Fargo'!$A:$A,K$1,'Wells Fargo'!$B:$B,"&lt;="&amp;'Cash Flow'!K$3,'Wells Fargo'!$B:$B,"&gt;"&amp;'Cash Flow'!J$3)</f>
        <v>0</v>
      </c>
      <c r="L28" s="90">
        <f>SUMIFS('Wells Fargo'!$F:$F,'Wells Fargo'!$G:$G,'Cash Flow'!$A28,'Wells Fargo'!$A:$A,L$1,'Wells Fargo'!$B:$B,"&lt;="&amp;'Cash Flow'!L$3)</f>
        <v>0</v>
      </c>
      <c r="M28" s="89">
        <f>SUMIFS('Wells Fargo'!$F:$F,'Wells Fargo'!$G:$G,'Cash Flow'!$A28,'Wells Fargo'!$A:$A,M$1,'Wells Fargo'!$B:$B,"&lt;="&amp;'Cash Flow'!M$3,'Wells Fargo'!$B:$B,"&gt;"&amp;'Cash Flow'!L$3)</f>
        <v>0</v>
      </c>
      <c r="N28" s="89">
        <f>SUMIFS('Wells Fargo'!$F:$F,'Wells Fargo'!$G:$G,'Cash Flow'!$A28,'Wells Fargo'!$A:$A,N$1,'Wells Fargo'!$B:$B,"&lt;="&amp;'Cash Flow'!N$3,'Wells Fargo'!$B:$B,"&gt;"&amp;'Cash Flow'!M$3)</f>
        <v>0</v>
      </c>
      <c r="O28" s="89">
        <f>SUMIFS('Wells Fargo'!$F:$F,'Wells Fargo'!$G:$G,'Cash Flow'!$A28,'Wells Fargo'!$A:$A,O$1,'Wells Fargo'!$B:$B,"&lt;="&amp;'Cash Flow'!O$3,'Wells Fargo'!$B:$B,"&gt;"&amp;'Cash Flow'!N$3)</f>
        <v>0</v>
      </c>
      <c r="P28" s="89">
        <f>SUMIFS('Wells Fargo'!$F:$F,'Wells Fargo'!$G:$G,'Cash Flow'!$A28,'Wells Fargo'!$A:$A,P$1,'Wells Fargo'!$B:$B,"&lt;="&amp;'Cash Flow'!P$3,'Wells Fargo'!$B:$B,"&gt;"&amp;'Cash Flow'!O$3)</f>
        <v>0</v>
      </c>
      <c r="Q28" s="90">
        <f>SUMIFS('Wells Fargo'!$F:$F,'Wells Fargo'!$G:$G,'Cash Flow'!$A28,'Wells Fargo'!$A:$A,Q$1,'Wells Fargo'!$B:$B,"&lt;="&amp;'Cash Flow'!Q$3)</f>
        <v>0</v>
      </c>
      <c r="R28" s="89">
        <f>SUMIFS('Wells Fargo'!$F:$F,'Wells Fargo'!$G:$G,'Cash Flow'!$A28,'Wells Fargo'!$A:$A,R$1,'Wells Fargo'!$B:$B,"&lt;="&amp;'Cash Flow'!R$3,'Wells Fargo'!$B:$B,"&gt;"&amp;'Cash Flow'!Q$3)</f>
        <v>0</v>
      </c>
      <c r="S28" s="89">
        <f>SUMIFS('Wells Fargo'!$F:$F,'Wells Fargo'!$G:$G,'Cash Flow'!$A28,'Wells Fargo'!$A:$A,S$1,'Wells Fargo'!$B:$B,"&lt;="&amp;'Cash Flow'!S$3,'Wells Fargo'!$B:$B,"&gt;"&amp;'Cash Flow'!R$3)</f>
        <v>0</v>
      </c>
      <c r="T28" s="89">
        <f>SUMIFS('Wells Fargo'!$F:$F,'Wells Fargo'!$G:$G,'Cash Flow'!$A28,'Wells Fargo'!$A:$A,T$1,'Wells Fargo'!$B:$B,"&lt;="&amp;'Cash Flow'!T$3,'Wells Fargo'!$B:$B,"&gt;"&amp;'Cash Flow'!S$3)</f>
        <v>0</v>
      </c>
      <c r="U28" s="89">
        <f>SUMIFS('Wells Fargo'!$F:$F,'Wells Fargo'!$G:$G,'Cash Flow'!$A28,'Wells Fargo'!$A:$A,U$1,'Wells Fargo'!$B:$B,"&lt;="&amp;'Cash Flow'!U$3,'Wells Fargo'!$B:$B,"&gt;"&amp;'Cash Flow'!T$3)</f>
        <v>0</v>
      </c>
      <c r="V28" s="90">
        <f>SUMIFS('Wells Fargo'!$F:$F,'Wells Fargo'!$G:$G,'Cash Flow'!$A28,'Wells Fargo'!$A:$A,V$1,'Wells Fargo'!$B:$B,"&lt;="&amp;'Cash Flow'!V$3)</f>
        <v>0</v>
      </c>
      <c r="W28" s="89">
        <f>SUMIFS('Wells Fargo'!$F:$F,'Wells Fargo'!$G:$G,'Cash Flow'!$A28,'Wells Fargo'!$A:$A,W$1,'Wells Fargo'!$B:$B,"&lt;="&amp;'Cash Flow'!W$3,'Wells Fargo'!$B:$B,"&gt;"&amp;'Cash Flow'!V$3)</f>
        <v>0</v>
      </c>
      <c r="X28" s="89">
        <f>SUMIFS('Wells Fargo'!$F:$F,'Wells Fargo'!$G:$G,'Cash Flow'!$A28,'Wells Fargo'!$A:$A,X$1,'Wells Fargo'!$B:$B,"&lt;="&amp;'Cash Flow'!X$3,'Wells Fargo'!$B:$B,"&gt;"&amp;'Cash Flow'!W$3)</f>
        <v>0</v>
      </c>
      <c r="Y28" s="89">
        <f>SUMIFS('Wells Fargo'!$F:$F,'Wells Fargo'!$G:$G,'Cash Flow'!$A28,'Wells Fargo'!$A:$A,Y$1,'Wells Fargo'!$B:$B,"&lt;="&amp;'Cash Flow'!Y$3,'Wells Fargo'!$B:$B,"&gt;"&amp;'Cash Flow'!X$3)</f>
        <v>0</v>
      </c>
      <c r="Z28" s="89">
        <f>SUMIFS('Wells Fargo'!$F:$F,'Wells Fargo'!$G:$G,'Cash Flow'!$A28,'Wells Fargo'!$A:$A,Z$1,'Wells Fargo'!$B:$B,"&lt;="&amp;'Cash Flow'!Z$3,'Wells Fargo'!$B:$B,"&gt;"&amp;'Cash Flow'!Y$3)</f>
        <v>0</v>
      </c>
      <c r="AA28" s="90">
        <f>SUMIFS('Wells Fargo'!$F:$F,'Wells Fargo'!$G:$G,'Cash Flow'!$A28,'Wells Fargo'!$A:$A,AA$1,'Wells Fargo'!$B:$B,"&lt;="&amp;'Cash Flow'!AA$3)</f>
        <v>0</v>
      </c>
      <c r="AB28" s="89">
        <f>SUMIFS('Wells Fargo'!$F:$F,'Wells Fargo'!$G:$G,'Cash Flow'!$A28,'Wells Fargo'!$A:$A,AB$1,'Wells Fargo'!$B:$B,"&lt;="&amp;'Cash Flow'!AB$3,'Wells Fargo'!$B:$B,"&gt;"&amp;'Cash Flow'!AA$3)</f>
        <v>0</v>
      </c>
      <c r="AC28" s="89">
        <f>SUMIFS('Wells Fargo'!$F:$F,'Wells Fargo'!$G:$G,'Cash Flow'!$A28,'Wells Fargo'!$A:$A,AC$1,'Wells Fargo'!$B:$B,"&lt;="&amp;'Cash Flow'!AC$3,'Wells Fargo'!$B:$B,"&gt;"&amp;'Cash Flow'!AB$3)</f>
        <v>0</v>
      </c>
      <c r="AD28" s="89">
        <f>SUMIFS('Wells Fargo'!$F:$F,'Wells Fargo'!$G:$G,'Cash Flow'!$A28,'Wells Fargo'!$A:$A,AD$1,'Wells Fargo'!$B:$B,"&lt;="&amp;'Cash Flow'!AD$3,'Wells Fargo'!$B:$B,"&gt;"&amp;'Cash Flow'!AC$3)</f>
        <v>-20</v>
      </c>
      <c r="AE28" s="89">
        <f>SUMIFS('Wells Fargo'!$F:$F,'Wells Fargo'!$G:$G,'Cash Flow'!$A28,'Wells Fargo'!$A:$A,AE$1,'Wells Fargo'!$B:$B,"&lt;="&amp;'Cash Flow'!AE$3,'Wells Fargo'!$B:$B,"&gt;"&amp;'Cash Flow'!AD$3)</f>
        <v>0</v>
      </c>
      <c r="AF28" s="90">
        <f>SUMIFS('Wells Fargo'!$F:$F,'Wells Fargo'!$G:$G,'Cash Flow'!$A28,'Wells Fargo'!$A:$A,AF$1,'Wells Fargo'!$B:$B,"&lt;="&amp;'Cash Flow'!AF$3)</f>
        <v>0</v>
      </c>
      <c r="AG28" s="89">
        <f>SUMIFS('Wells Fargo'!$F:$F,'Wells Fargo'!$G:$G,'Cash Flow'!$A28,'Wells Fargo'!$A:$A,AG$1,'Wells Fargo'!$B:$B,"&lt;="&amp;'Cash Flow'!AG$3,'Wells Fargo'!$B:$B,"&gt;"&amp;'Cash Flow'!AF$3)</f>
        <v>0</v>
      </c>
      <c r="AH28" s="89">
        <f>SUMIFS('Wells Fargo'!$F:$F,'Wells Fargo'!$G:$G,'Cash Flow'!$A28,'Wells Fargo'!$A:$A,AH$1,'Wells Fargo'!$B:$B,"&lt;="&amp;'Cash Flow'!AH$3,'Wells Fargo'!$B:$B,"&gt;"&amp;'Cash Flow'!AG$3)</f>
        <v>-143.24</v>
      </c>
      <c r="AI28" s="89">
        <f>SUMIFS('Wells Fargo'!$F:$F,'Wells Fargo'!$G:$G,'Cash Flow'!$A28,'Wells Fargo'!$A:$A,AI$1,'Wells Fargo'!$B:$B,"&lt;="&amp;'Cash Flow'!AI$3,'Wells Fargo'!$B:$B,"&gt;"&amp;'Cash Flow'!AH$3)</f>
        <v>0</v>
      </c>
      <c r="AJ28" s="89">
        <f>SUMIFS('Wells Fargo'!$F:$F,'Wells Fargo'!$G:$G,'Cash Flow'!$A28,'Wells Fargo'!$A:$A,AJ$1,'Wells Fargo'!$B:$B,"&lt;="&amp;'Cash Flow'!AJ$3,'Wells Fargo'!$B:$B,"&gt;"&amp;'Cash Flow'!AI$3)</f>
        <v>0</v>
      </c>
      <c r="AK28" s="90">
        <f>SUMIFS('Wells Fargo'!$F:$F,'Wells Fargo'!$G:$G,'Cash Flow'!$A28,'Wells Fargo'!$A:$A,AK$1,'Wells Fargo'!$B:$B,"&lt;="&amp;'Cash Flow'!AK$3)</f>
        <v>0</v>
      </c>
      <c r="AL28" s="89">
        <f>SUMIFS('Wells Fargo'!$F:$F,'Wells Fargo'!$G:$G,'Cash Flow'!$A28,'Wells Fargo'!$A:$A,AL$1,'Wells Fargo'!$B:$B,"&lt;="&amp;'Cash Flow'!AL$3,'Wells Fargo'!$B:$B,"&gt;"&amp;'Cash Flow'!AK$3)</f>
        <v>0</v>
      </c>
      <c r="AM28" s="89">
        <f>SUMIFS('Wells Fargo'!$F:$F,'Wells Fargo'!$G:$G,'Cash Flow'!$A28,'Wells Fargo'!$A:$A,AM$1,'Wells Fargo'!$B:$B,"&lt;="&amp;'Cash Flow'!AM$3,'Wells Fargo'!$B:$B,"&gt;"&amp;'Cash Flow'!AL$3)</f>
        <v>0</v>
      </c>
      <c r="AN28" s="89">
        <f>SUMIFS('Wells Fargo'!$F:$F,'Wells Fargo'!$G:$G,'Cash Flow'!$A28,'Wells Fargo'!$A:$A,AN$1,'Wells Fargo'!$B:$B,"&lt;="&amp;'Cash Flow'!AN$3,'Wells Fargo'!$B:$B,"&gt;"&amp;'Cash Flow'!AM$3)</f>
        <v>0</v>
      </c>
      <c r="AO28" s="89">
        <f>SUMIFS('Wells Fargo'!$F:$F,'Wells Fargo'!$G:$G,'Cash Flow'!$A28,'Wells Fargo'!$A:$A,AO$1,'Wells Fargo'!$B:$B,"&lt;="&amp;'Cash Flow'!AO$3,'Wells Fargo'!$B:$B,"&gt;"&amp;'Cash Flow'!AN$3)</f>
        <v>0</v>
      </c>
      <c r="AP28" s="90">
        <f>SUMIFS('Wells Fargo'!$F:$F,'Wells Fargo'!$G:$G,'Cash Flow'!$A28,'Wells Fargo'!$A:$A,AP$1,'Wells Fargo'!$B:$B,"&lt;="&amp;'Cash Flow'!AP$3)</f>
        <v>0</v>
      </c>
      <c r="AQ28" s="89">
        <f>SUMIFS('Wells Fargo'!$F:$F,'Wells Fargo'!$G:$G,'Cash Flow'!$A28,'Wells Fargo'!$A:$A,AQ$1,'Wells Fargo'!$B:$B,"&lt;="&amp;'Cash Flow'!AQ$3,'Wells Fargo'!$B:$B,"&gt;"&amp;'Cash Flow'!AP$3)</f>
        <v>0</v>
      </c>
      <c r="AR28" s="89">
        <f>SUMIFS('Wells Fargo'!$F:$F,'Wells Fargo'!$G:$G,'Cash Flow'!$A28,'Wells Fargo'!$A:$A,AR$1,'Wells Fargo'!$B:$B,"&lt;="&amp;'Cash Flow'!AR$3,'Wells Fargo'!$B:$B,"&gt;"&amp;'Cash Flow'!AQ$3)</f>
        <v>0</v>
      </c>
      <c r="AS28" s="89">
        <f>SUMIFS('Wells Fargo'!$F:$F,'Wells Fargo'!$G:$G,'Cash Flow'!$A28,'Wells Fargo'!$A:$A,AS$1,'Wells Fargo'!$B:$B,"&lt;="&amp;'Cash Flow'!AS$3,'Wells Fargo'!$B:$B,"&gt;"&amp;'Cash Flow'!AR$3)</f>
        <v>0</v>
      </c>
      <c r="AT28" s="89">
        <f>SUMIFS('Wells Fargo'!$F:$F,'Wells Fargo'!$G:$G,'Cash Flow'!$A28,'Wells Fargo'!$A:$A,AT$1,'Wells Fargo'!$B:$B,"&lt;="&amp;'Cash Flow'!AT$3,'Wells Fargo'!$B:$B,"&gt;"&amp;'Cash Flow'!AS$3)</f>
        <v>0</v>
      </c>
      <c r="AU28" s="90">
        <f>SUMIFS('Wells Fargo'!$F:$F,'Wells Fargo'!$G:$G,'Cash Flow'!$A28,'Wells Fargo'!$A:$A,AU$1,'Wells Fargo'!$B:$B,"&lt;="&amp;'Cash Flow'!AU$3)</f>
        <v>0</v>
      </c>
      <c r="AV28" s="89">
        <f>SUMIFS('Wells Fargo'!$F:$F,'Wells Fargo'!$G:$G,'Cash Flow'!$A28,'Wells Fargo'!$A:$A,AV$1,'Wells Fargo'!$B:$B,"&lt;="&amp;'Cash Flow'!AV$3,'Wells Fargo'!$B:$B,"&gt;"&amp;'Cash Flow'!AU$3)</f>
        <v>0</v>
      </c>
      <c r="AW28" s="89">
        <f>SUMIFS('Wells Fargo'!$F:$F,'Wells Fargo'!$G:$G,'Cash Flow'!$A28,'Wells Fargo'!$A:$A,AW$1,'Wells Fargo'!$B:$B,"&lt;="&amp;'Cash Flow'!AW$3,'Wells Fargo'!$B:$B,"&gt;"&amp;'Cash Flow'!AV$3)</f>
        <v>0</v>
      </c>
      <c r="AX28" s="89">
        <f>SUMIFS('Wells Fargo'!$F:$F,'Wells Fargo'!$G:$G,'Cash Flow'!$A28,'Wells Fargo'!$A:$A,AX$1,'Wells Fargo'!$B:$B,"&lt;="&amp;'Cash Flow'!AX$3,'Wells Fargo'!$B:$B,"&gt;"&amp;'Cash Flow'!AW$3)</f>
        <v>0</v>
      </c>
      <c r="AY28" s="89">
        <f>SUMIFS('Wells Fargo'!$F:$F,'Wells Fargo'!$G:$G,'Cash Flow'!$A28,'Wells Fargo'!$A:$A,AY$1,'Wells Fargo'!$B:$B,"&lt;="&amp;'Cash Flow'!AY$3,'Wells Fargo'!$B:$B,"&gt;"&amp;'Cash Flow'!AX$3)</f>
        <v>0</v>
      </c>
      <c r="AZ28" s="90">
        <f>SUMIFS('Wells Fargo'!$F:$F,'Wells Fargo'!$G:$G,'Cash Flow'!$A28,'Wells Fargo'!$A:$A,AZ$1,'Wells Fargo'!$B:$B,"&lt;="&amp;'Cash Flow'!AZ$3)</f>
        <v>0</v>
      </c>
      <c r="BA28" s="89">
        <f>SUMIFS('Wells Fargo'!$F:$F,'Wells Fargo'!$G:$G,'Cash Flow'!$A28,'Wells Fargo'!$A:$A,BA$1,'Wells Fargo'!$B:$B,"&lt;="&amp;'Cash Flow'!BA$3,'Wells Fargo'!$B:$B,"&gt;"&amp;'Cash Flow'!AZ$3)</f>
        <v>0</v>
      </c>
      <c r="BB28" s="89">
        <f>SUMIFS('Wells Fargo'!$F:$F,'Wells Fargo'!$G:$G,'Cash Flow'!$A28,'Wells Fargo'!$A:$A,BB$1,'Wells Fargo'!$B:$B,"&lt;="&amp;'Cash Flow'!BB$3,'Wells Fargo'!$B:$B,"&gt;"&amp;'Cash Flow'!BA$3)</f>
        <v>0</v>
      </c>
      <c r="BC28" s="89">
        <f>SUMIFS('Wells Fargo'!$F:$F,'Wells Fargo'!$G:$G,'Cash Flow'!$A28,'Wells Fargo'!$A:$A,BC$1,'Wells Fargo'!$B:$B,"&lt;="&amp;'Cash Flow'!BC$3,'Wells Fargo'!$B:$B,"&gt;"&amp;'Cash Flow'!BB$3)</f>
        <v>0</v>
      </c>
      <c r="BD28" s="89">
        <f>SUMIFS('Wells Fargo'!$F:$F,'Wells Fargo'!$G:$G,'Cash Flow'!$A28,'Wells Fargo'!$A:$A,BD$1,'Wells Fargo'!$B:$B,"&lt;="&amp;'Cash Flow'!BD$3,'Wells Fargo'!$B:$B,"&gt;"&amp;'Cash Flow'!BC$3)</f>
        <v>0</v>
      </c>
      <c r="BE28" s="90">
        <f>SUMIFS('Wells Fargo'!$F:$F,'Wells Fargo'!$G:$G,'Cash Flow'!$A28,'Wells Fargo'!$A:$A,BE$1,'Wells Fargo'!$B:$B,"&lt;="&amp;'Cash Flow'!BE$3)</f>
        <v>0</v>
      </c>
      <c r="BF28" s="89">
        <f>SUMIFS('Wells Fargo'!$F:$F,'Wells Fargo'!$G:$G,'Cash Flow'!$A28,'Wells Fargo'!$A:$A,BF$1,'Wells Fargo'!$B:$B,"&lt;="&amp;'Cash Flow'!BF$3,'Wells Fargo'!$B:$B,"&gt;"&amp;'Cash Flow'!BE$3)</f>
        <v>0</v>
      </c>
      <c r="BG28" s="89">
        <f>SUMIFS('Wells Fargo'!$F:$F,'Wells Fargo'!$G:$G,'Cash Flow'!$A28,'Wells Fargo'!$A:$A,BG$1,'Wells Fargo'!$B:$B,"&lt;="&amp;'Cash Flow'!BG$3,'Wells Fargo'!$B:$B,"&gt;"&amp;'Cash Flow'!BF$3)</f>
        <v>0</v>
      </c>
      <c r="BH28" s="89">
        <f>SUMIFS('Wells Fargo'!$F:$F,'Wells Fargo'!$G:$G,'Cash Flow'!$A28,'Wells Fargo'!$A:$A,BH$1,'Wells Fargo'!$B:$B,"&lt;="&amp;'Cash Flow'!BH$3,'Wells Fargo'!$B:$B,"&gt;"&amp;'Cash Flow'!BG$3)</f>
        <v>0</v>
      </c>
      <c r="BI28" s="89">
        <f>SUMIFS('Wells Fargo'!$F:$F,'Wells Fargo'!$G:$G,'Cash Flow'!$A28,'Wells Fargo'!$A:$A,BI$1,'Wells Fargo'!$B:$B,"&lt;="&amp;'Cash Flow'!BI$3,'Wells Fargo'!$B:$B,"&gt;"&amp;'Cash Flow'!BH$3)</f>
        <v>0</v>
      </c>
    </row>
    <row r="29" spans="1:61" ht="12.75" x14ac:dyDescent="0.2">
      <c r="A29" t="str">
        <v>HSA</v>
      </c>
      <c r="B29" s="15">
        <f t="shared" si="0"/>
        <v>2643.15</v>
      </c>
      <c r="C29" s="90">
        <f>SUMIFS('Wells Fargo'!$F:$F,'Wells Fargo'!$G:$G,'Cash Flow'!$A29,'Wells Fargo'!$A:$A,C$1,'Wells Fargo'!$B:$B,"&lt;="&amp;'Cash Flow'!C$3)</f>
        <v>0</v>
      </c>
      <c r="D29" s="89">
        <f>SUMIFS('Wells Fargo'!$F:$F,'Wells Fargo'!$G:$G,'Cash Flow'!$A29,'Wells Fargo'!$A:$A,D$1,'Wells Fargo'!$B:$B,"&lt;="&amp;'Cash Flow'!D$3,'Wells Fargo'!$B:$B,"&gt;"&amp;'Cash Flow'!C$3)</f>
        <v>0</v>
      </c>
      <c r="E29" s="89">
        <f>SUMIFS('Wells Fargo'!$F:$F,'Wells Fargo'!$G:$G,'Cash Flow'!$A29,'Wells Fargo'!$A:$A,E$1,'Wells Fargo'!$B:$B,"&lt;="&amp;'Cash Flow'!E$3,'Wells Fargo'!$B:$B,"&gt;"&amp;'Cash Flow'!D$3)</f>
        <v>0</v>
      </c>
      <c r="F29" s="89">
        <f>SUMIFS('Wells Fargo'!$F:$F,'Wells Fargo'!$G:$G,'Cash Flow'!$A29,'Wells Fargo'!$A:$A,F$1,'Wells Fargo'!$B:$B,"&lt;="&amp;'Cash Flow'!F$3,'Wells Fargo'!$B:$B,"&gt;"&amp;'Cash Flow'!E$3)</f>
        <v>0</v>
      </c>
      <c r="G29" s="89">
        <f>SUMIFS('Wells Fargo'!$F:$F,'Wells Fargo'!$G:$G,'Cash Flow'!$A29,'Wells Fargo'!$A:$A,G$1,'Wells Fargo'!$B:$B,"&lt;="&amp;'Cash Flow'!G$3,'Wells Fargo'!$B:$B,"&gt;"&amp;'Cash Flow'!F$3)</f>
        <v>388.47</v>
      </c>
      <c r="H29" s="90">
        <f>SUMIFS('Wells Fargo'!$F:$F,'Wells Fargo'!$G:$G,'Cash Flow'!$A29,'Wells Fargo'!$A:$A,H$1,'Wells Fargo'!$B:$B,"&lt;="&amp;'Cash Flow'!H$3)</f>
        <v>0</v>
      </c>
      <c r="I29" s="89">
        <f>SUMIFS('Wells Fargo'!$F:$F,'Wells Fargo'!$G:$G,'Cash Flow'!$A29,'Wells Fargo'!$A:$A,I$1,'Wells Fargo'!$B:$B,"&lt;="&amp;'Cash Flow'!I$3,'Wells Fargo'!$B:$B,"&gt;"&amp;'Cash Flow'!H$3)</f>
        <v>138.47999999999999</v>
      </c>
      <c r="J29" s="89">
        <f>SUMIFS('Wells Fargo'!$F:$F,'Wells Fargo'!$G:$G,'Cash Flow'!$A29,'Wells Fargo'!$A:$A,J$1,'Wells Fargo'!$B:$B,"&lt;="&amp;'Cash Flow'!J$3,'Wells Fargo'!$B:$B,"&gt;"&amp;'Cash Flow'!I$3)</f>
        <v>138.47</v>
      </c>
      <c r="K29" s="89">
        <f>SUMIFS('Wells Fargo'!$F:$F,'Wells Fargo'!$G:$G,'Cash Flow'!$A29,'Wells Fargo'!$A:$A,K$1,'Wells Fargo'!$B:$B,"&lt;="&amp;'Cash Flow'!K$3,'Wells Fargo'!$B:$B,"&gt;"&amp;'Cash Flow'!J$3)</f>
        <v>0</v>
      </c>
      <c r="L29" s="90">
        <f>SUMIFS('Wells Fargo'!$F:$F,'Wells Fargo'!$G:$G,'Cash Flow'!$A29,'Wells Fargo'!$A:$A,L$1,'Wells Fargo'!$B:$B,"&lt;="&amp;'Cash Flow'!L$3)</f>
        <v>138.47</v>
      </c>
      <c r="M29" s="89">
        <f>SUMIFS('Wells Fargo'!$F:$F,'Wells Fargo'!$G:$G,'Cash Flow'!$A29,'Wells Fargo'!$A:$A,M$1,'Wells Fargo'!$B:$B,"&lt;="&amp;'Cash Flow'!M$3,'Wells Fargo'!$B:$B,"&gt;"&amp;'Cash Flow'!L$3)</f>
        <v>0</v>
      </c>
      <c r="N29" s="89">
        <f>SUMIFS('Wells Fargo'!$F:$F,'Wells Fargo'!$G:$G,'Cash Flow'!$A29,'Wells Fargo'!$A:$A,N$1,'Wells Fargo'!$B:$B,"&lt;="&amp;'Cash Flow'!N$3,'Wells Fargo'!$B:$B,"&gt;"&amp;'Cash Flow'!M$3)</f>
        <v>0</v>
      </c>
      <c r="O29" s="89">
        <f>SUMIFS('Wells Fargo'!$F:$F,'Wells Fargo'!$G:$G,'Cash Flow'!$A29,'Wells Fargo'!$A:$A,O$1,'Wells Fargo'!$B:$B,"&lt;="&amp;'Cash Flow'!O$3,'Wells Fargo'!$B:$B,"&gt;"&amp;'Cash Flow'!N$3)</f>
        <v>0</v>
      </c>
      <c r="P29" s="89">
        <f>SUMIFS('Wells Fargo'!$F:$F,'Wells Fargo'!$G:$G,'Cash Flow'!$A29,'Wells Fargo'!$A:$A,P$1,'Wells Fargo'!$B:$B,"&lt;="&amp;'Cash Flow'!P$3,'Wells Fargo'!$B:$B,"&gt;"&amp;'Cash Flow'!O$3)</f>
        <v>0</v>
      </c>
      <c r="Q29" s="90">
        <f>SUMIFS('Wells Fargo'!$F:$F,'Wells Fargo'!$G:$G,'Cash Flow'!$A29,'Wells Fargo'!$A:$A,Q$1,'Wells Fargo'!$B:$B,"&lt;="&amp;'Cash Flow'!Q$3)</f>
        <v>0</v>
      </c>
      <c r="R29" s="89">
        <f>SUMIFS('Wells Fargo'!$F:$F,'Wells Fargo'!$G:$G,'Cash Flow'!$A29,'Wells Fargo'!$A:$A,R$1,'Wells Fargo'!$B:$B,"&lt;="&amp;'Cash Flow'!R$3,'Wells Fargo'!$B:$B,"&gt;"&amp;'Cash Flow'!Q$3)</f>
        <v>0</v>
      </c>
      <c r="S29" s="89">
        <f>SUMIFS('Wells Fargo'!$F:$F,'Wells Fargo'!$G:$G,'Cash Flow'!$A29,'Wells Fargo'!$A:$A,S$1,'Wells Fargo'!$B:$B,"&lt;="&amp;'Cash Flow'!S$3,'Wells Fargo'!$B:$B,"&gt;"&amp;'Cash Flow'!R$3)</f>
        <v>0</v>
      </c>
      <c r="T29" s="89">
        <f>SUMIFS('Wells Fargo'!$F:$F,'Wells Fargo'!$G:$G,'Cash Flow'!$A29,'Wells Fargo'!$A:$A,T$1,'Wells Fargo'!$B:$B,"&lt;="&amp;'Cash Flow'!T$3,'Wells Fargo'!$B:$B,"&gt;"&amp;'Cash Flow'!S$3)</f>
        <v>0</v>
      </c>
      <c r="U29" s="89">
        <f>SUMIFS('Wells Fargo'!$F:$F,'Wells Fargo'!$G:$G,'Cash Flow'!$A29,'Wells Fargo'!$A:$A,U$1,'Wells Fargo'!$B:$B,"&lt;="&amp;'Cash Flow'!U$3,'Wells Fargo'!$B:$B,"&gt;"&amp;'Cash Flow'!T$3)</f>
        <v>0</v>
      </c>
      <c r="V29" s="90">
        <f>SUMIFS('Wells Fargo'!$F:$F,'Wells Fargo'!$G:$G,'Cash Flow'!$A29,'Wells Fargo'!$A:$A,V$1,'Wells Fargo'!$B:$B,"&lt;="&amp;'Cash Flow'!V$3)</f>
        <v>803.91</v>
      </c>
      <c r="W29" s="89">
        <f>SUMIFS('Wells Fargo'!$F:$F,'Wells Fargo'!$G:$G,'Cash Flow'!$A29,'Wells Fargo'!$A:$A,W$1,'Wells Fargo'!$B:$B,"&lt;="&amp;'Cash Flow'!W$3,'Wells Fargo'!$B:$B,"&gt;"&amp;'Cash Flow'!V$3)</f>
        <v>0</v>
      </c>
      <c r="X29" s="89">
        <f>SUMIFS('Wells Fargo'!$F:$F,'Wells Fargo'!$G:$G,'Cash Flow'!$A29,'Wells Fargo'!$A:$A,X$1,'Wells Fargo'!$B:$B,"&lt;="&amp;'Cash Flow'!X$3,'Wells Fargo'!$B:$B,"&gt;"&amp;'Cash Flow'!W$3)</f>
        <v>0</v>
      </c>
      <c r="Y29" s="89">
        <f>SUMIFS('Wells Fargo'!$F:$F,'Wells Fargo'!$G:$G,'Cash Flow'!$A29,'Wells Fargo'!$A:$A,Y$1,'Wells Fargo'!$B:$B,"&lt;="&amp;'Cash Flow'!Y$3,'Wells Fargo'!$B:$B,"&gt;"&amp;'Cash Flow'!X$3)</f>
        <v>0</v>
      </c>
      <c r="Z29" s="89">
        <f>SUMIFS('Wells Fargo'!$F:$F,'Wells Fargo'!$G:$G,'Cash Flow'!$A29,'Wells Fargo'!$A:$A,Z$1,'Wells Fargo'!$B:$B,"&lt;="&amp;'Cash Flow'!Z$3,'Wells Fargo'!$B:$B,"&gt;"&amp;'Cash Flow'!Y$3)</f>
        <v>0</v>
      </c>
      <c r="AA29" s="90">
        <f>SUMIFS('Wells Fargo'!$F:$F,'Wells Fargo'!$G:$G,'Cash Flow'!$A29,'Wells Fargo'!$A:$A,AA$1,'Wells Fargo'!$B:$B,"&lt;="&amp;'Cash Flow'!AA$3)</f>
        <v>0</v>
      </c>
      <c r="AB29" s="89">
        <f>SUMIFS('Wells Fargo'!$F:$F,'Wells Fargo'!$G:$G,'Cash Flow'!$A29,'Wells Fargo'!$A:$A,AB$1,'Wells Fargo'!$B:$B,"&lt;="&amp;'Cash Flow'!AB$3,'Wells Fargo'!$B:$B,"&gt;"&amp;'Cash Flow'!AA$3)</f>
        <v>415.42</v>
      </c>
      <c r="AC29" s="89">
        <f>SUMIFS('Wells Fargo'!$F:$F,'Wells Fargo'!$G:$G,'Cash Flow'!$A29,'Wells Fargo'!$A:$A,AC$1,'Wells Fargo'!$B:$B,"&lt;="&amp;'Cash Flow'!AC$3,'Wells Fargo'!$B:$B,"&gt;"&amp;'Cash Flow'!AB$3)</f>
        <v>0</v>
      </c>
      <c r="AD29" s="89">
        <f>SUMIFS('Wells Fargo'!$F:$F,'Wells Fargo'!$G:$G,'Cash Flow'!$A29,'Wells Fargo'!$A:$A,AD$1,'Wells Fargo'!$B:$B,"&lt;="&amp;'Cash Flow'!AD$3,'Wells Fargo'!$B:$B,"&gt;"&amp;'Cash Flow'!AC$3)</f>
        <v>0</v>
      </c>
      <c r="AE29" s="89">
        <f>SUMIFS('Wells Fargo'!$F:$F,'Wells Fargo'!$G:$G,'Cash Flow'!$A29,'Wells Fargo'!$A:$A,AE$1,'Wells Fargo'!$B:$B,"&lt;="&amp;'Cash Flow'!AE$3,'Wells Fargo'!$B:$B,"&gt;"&amp;'Cash Flow'!AD$3)</f>
        <v>0</v>
      </c>
      <c r="AF29" s="90">
        <f>SUMIFS('Wells Fargo'!$F:$F,'Wells Fargo'!$G:$G,'Cash Flow'!$A29,'Wells Fargo'!$A:$A,AF$1,'Wells Fargo'!$B:$B,"&lt;="&amp;'Cash Flow'!AF$3)</f>
        <v>0</v>
      </c>
      <c r="AG29" s="89">
        <f>SUMIFS('Wells Fargo'!$F:$F,'Wells Fargo'!$G:$G,'Cash Flow'!$A29,'Wells Fargo'!$A:$A,AG$1,'Wells Fargo'!$B:$B,"&lt;="&amp;'Cash Flow'!AG$3,'Wells Fargo'!$B:$B,"&gt;"&amp;'Cash Flow'!AF$3)</f>
        <v>0</v>
      </c>
      <c r="AH29" s="89">
        <f>SUMIFS('Wells Fargo'!$F:$F,'Wells Fargo'!$G:$G,'Cash Flow'!$A29,'Wells Fargo'!$A:$A,AH$1,'Wells Fargo'!$B:$B,"&lt;="&amp;'Cash Flow'!AH$3,'Wells Fargo'!$B:$B,"&gt;"&amp;'Cash Flow'!AG$3)</f>
        <v>0</v>
      </c>
      <c r="AI29" s="89">
        <f>SUMIFS('Wells Fargo'!$F:$F,'Wells Fargo'!$G:$G,'Cash Flow'!$A29,'Wells Fargo'!$A:$A,AI$1,'Wells Fargo'!$B:$B,"&lt;="&amp;'Cash Flow'!AI$3,'Wells Fargo'!$B:$B,"&gt;"&amp;'Cash Flow'!AH$3)</f>
        <v>200</v>
      </c>
      <c r="AJ29" s="89">
        <f>SUMIFS('Wells Fargo'!$F:$F,'Wells Fargo'!$G:$G,'Cash Flow'!$A29,'Wells Fargo'!$A:$A,AJ$1,'Wells Fargo'!$B:$B,"&lt;="&amp;'Cash Flow'!AJ$3,'Wells Fargo'!$B:$B,"&gt;"&amp;'Cash Flow'!AI$3)</f>
        <v>0</v>
      </c>
      <c r="AK29" s="90">
        <f>SUMIFS('Wells Fargo'!$F:$F,'Wells Fargo'!$G:$G,'Cash Flow'!$A29,'Wells Fargo'!$A:$A,AK$1,'Wells Fargo'!$B:$B,"&lt;="&amp;'Cash Flow'!AK$3)</f>
        <v>0</v>
      </c>
      <c r="AL29" s="89">
        <f>SUMIFS('Wells Fargo'!$F:$F,'Wells Fargo'!$G:$G,'Cash Flow'!$A29,'Wells Fargo'!$A:$A,AL$1,'Wells Fargo'!$B:$B,"&lt;="&amp;'Cash Flow'!AL$3,'Wells Fargo'!$B:$B,"&gt;"&amp;'Cash Flow'!AK$3)</f>
        <v>0</v>
      </c>
      <c r="AM29" s="89">
        <f>SUMIFS('Wells Fargo'!$F:$F,'Wells Fargo'!$G:$G,'Cash Flow'!$A29,'Wells Fargo'!$A:$A,AM$1,'Wells Fargo'!$B:$B,"&lt;="&amp;'Cash Flow'!AM$3,'Wells Fargo'!$B:$B,"&gt;"&amp;'Cash Flow'!AL$3)</f>
        <v>0</v>
      </c>
      <c r="AN29" s="89">
        <f>SUMIFS('Wells Fargo'!$F:$F,'Wells Fargo'!$G:$G,'Cash Flow'!$A29,'Wells Fargo'!$A:$A,AN$1,'Wells Fargo'!$B:$B,"&lt;="&amp;'Cash Flow'!AN$3,'Wells Fargo'!$B:$B,"&gt;"&amp;'Cash Flow'!AM$3)</f>
        <v>0</v>
      </c>
      <c r="AO29" s="89">
        <f>SUMIFS('Wells Fargo'!$F:$F,'Wells Fargo'!$G:$G,'Cash Flow'!$A29,'Wells Fargo'!$A:$A,AO$1,'Wells Fargo'!$B:$B,"&lt;="&amp;'Cash Flow'!AO$3,'Wells Fargo'!$B:$B,"&gt;"&amp;'Cash Flow'!AN$3)</f>
        <v>0</v>
      </c>
      <c r="AP29" s="90">
        <f>SUMIFS('Wells Fargo'!$F:$F,'Wells Fargo'!$G:$G,'Cash Flow'!$A29,'Wells Fargo'!$A:$A,AP$1,'Wells Fargo'!$B:$B,"&lt;="&amp;'Cash Flow'!AP$3)</f>
        <v>0</v>
      </c>
      <c r="AQ29" s="89">
        <f>SUMIFS('Wells Fargo'!$F:$F,'Wells Fargo'!$G:$G,'Cash Flow'!$A29,'Wells Fargo'!$A:$A,AQ$1,'Wells Fargo'!$B:$B,"&lt;="&amp;'Cash Flow'!AQ$3,'Wells Fargo'!$B:$B,"&gt;"&amp;'Cash Flow'!AP$3)</f>
        <v>0</v>
      </c>
      <c r="AR29" s="89">
        <f>SUMIFS('Wells Fargo'!$F:$F,'Wells Fargo'!$G:$G,'Cash Flow'!$A29,'Wells Fargo'!$A:$A,AR$1,'Wells Fargo'!$B:$B,"&lt;="&amp;'Cash Flow'!AR$3,'Wells Fargo'!$B:$B,"&gt;"&amp;'Cash Flow'!AQ$3)</f>
        <v>419.93</v>
      </c>
      <c r="AS29" s="89">
        <f>SUMIFS('Wells Fargo'!$F:$F,'Wells Fargo'!$G:$G,'Cash Flow'!$A29,'Wells Fargo'!$A:$A,AS$1,'Wells Fargo'!$B:$B,"&lt;="&amp;'Cash Flow'!AS$3,'Wells Fargo'!$B:$B,"&gt;"&amp;'Cash Flow'!AR$3)</f>
        <v>0</v>
      </c>
      <c r="AT29" s="89">
        <f>SUMIFS('Wells Fargo'!$F:$F,'Wells Fargo'!$G:$G,'Cash Flow'!$A29,'Wells Fargo'!$A:$A,AT$1,'Wells Fargo'!$B:$B,"&lt;="&amp;'Cash Flow'!AT$3,'Wells Fargo'!$B:$B,"&gt;"&amp;'Cash Flow'!AS$3)</f>
        <v>0</v>
      </c>
      <c r="AU29" s="90">
        <f>SUMIFS('Wells Fargo'!$F:$F,'Wells Fargo'!$G:$G,'Cash Flow'!$A29,'Wells Fargo'!$A:$A,AU$1,'Wells Fargo'!$B:$B,"&lt;="&amp;'Cash Flow'!AU$3)</f>
        <v>0</v>
      </c>
      <c r="AV29" s="89">
        <f>SUMIFS('Wells Fargo'!$F:$F,'Wells Fargo'!$G:$G,'Cash Flow'!$A29,'Wells Fargo'!$A:$A,AV$1,'Wells Fargo'!$B:$B,"&lt;="&amp;'Cash Flow'!AV$3,'Wells Fargo'!$B:$B,"&gt;"&amp;'Cash Flow'!AU$3)</f>
        <v>0</v>
      </c>
      <c r="AW29" s="89">
        <f>SUMIFS('Wells Fargo'!$F:$F,'Wells Fargo'!$G:$G,'Cash Flow'!$A29,'Wells Fargo'!$A:$A,AW$1,'Wells Fargo'!$B:$B,"&lt;="&amp;'Cash Flow'!AW$3,'Wells Fargo'!$B:$B,"&gt;"&amp;'Cash Flow'!AV$3)</f>
        <v>0</v>
      </c>
      <c r="AX29" s="89">
        <f>SUMIFS('Wells Fargo'!$F:$F,'Wells Fargo'!$G:$G,'Cash Flow'!$A29,'Wells Fargo'!$A:$A,AX$1,'Wells Fargo'!$B:$B,"&lt;="&amp;'Cash Flow'!AX$3,'Wells Fargo'!$B:$B,"&gt;"&amp;'Cash Flow'!AW$3)</f>
        <v>0</v>
      </c>
      <c r="AY29" s="89">
        <f>SUMIFS('Wells Fargo'!$F:$F,'Wells Fargo'!$G:$G,'Cash Flow'!$A29,'Wells Fargo'!$A:$A,AY$1,'Wells Fargo'!$B:$B,"&lt;="&amp;'Cash Flow'!AY$3,'Wells Fargo'!$B:$B,"&gt;"&amp;'Cash Flow'!AX$3)</f>
        <v>0</v>
      </c>
      <c r="AZ29" s="90">
        <f>SUMIFS('Wells Fargo'!$F:$F,'Wells Fargo'!$G:$G,'Cash Flow'!$A29,'Wells Fargo'!$A:$A,AZ$1,'Wells Fargo'!$B:$B,"&lt;="&amp;'Cash Flow'!AZ$3)</f>
        <v>0</v>
      </c>
      <c r="BA29" s="89">
        <f>SUMIFS('Wells Fargo'!$F:$F,'Wells Fargo'!$G:$G,'Cash Flow'!$A29,'Wells Fargo'!$A:$A,BA$1,'Wells Fargo'!$B:$B,"&lt;="&amp;'Cash Flow'!BA$3,'Wells Fargo'!$B:$B,"&gt;"&amp;'Cash Flow'!AZ$3)</f>
        <v>0</v>
      </c>
      <c r="BB29" s="89">
        <f>SUMIFS('Wells Fargo'!$F:$F,'Wells Fargo'!$G:$G,'Cash Flow'!$A29,'Wells Fargo'!$A:$A,BB$1,'Wells Fargo'!$B:$B,"&lt;="&amp;'Cash Flow'!BB$3,'Wells Fargo'!$B:$B,"&gt;"&amp;'Cash Flow'!BA$3)</f>
        <v>0</v>
      </c>
      <c r="BC29" s="89">
        <f>SUMIFS('Wells Fargo'!$F:$F,'Wells Fargo'!$G:$G,'Cash Flow'!$A29,'Wells Fargo'!$A:$A,BC$1,'Wells Fargo'!$B:$B,"&lt;="&amp;'Cash Flow'!BC$3,'Wells Fargo'!$B:$B,"&gt;"&amp;'Cash Flow'!BB$3)</f>
        <v>0</v>
      </c>
      <c r="BD29" s="89">
        <f>SUMIFS('Wells Fargo'!$F:$F,'Wells Fargo'!$G:$G,'Cash Flow'!$A29,'Wells Fargo'!$A:$A,BD$1,'Wells Fargo'!$B:$B,"&lt;="&amp;'Cash Flow'!BD$3,'Wells Fargo'!$B:$B,"&gt;"&amp;'Cash Flow'!BC$3)</f>
        <v>0</v>
      </c>
      <c r="BE29" s="90">
        <f>SUMIFS('Wells Fargo'!$F:$F,'Wells Fargo'!$G:$G,'Cash Flow'!$A29,'Wells Fargo'!$A:$A,BE$1,'Wells Fargo'!$B:$B,"&lt;="&amp;'Cash Flow'!BE$3)</f>
        <v>0</v>
      </c>
      <c r="BF29" s="89">
        <f>SUMIFS('Wells Fargo'!$F:$F,'Wells Fargo'!$G:$G,'Cash Flow'!$A29,'Wells Fargo'!$A:$A,BF$1,'Wells Fargo'!$B:$B,"&lt;="&amp;'Cash Flow'!BF$3,'Wells Fargo'!$B:$B,"&gt;"&amp;'Cash Flow'!BE$3)</f>
        <v>0</v>
      </c>
      <c r="BG29" s="89">
        <f>SUMIFS('Wells Fargo'!$F:$F,'Wells Fargo'!$G:$G,'Cash Flow'!$A29,'Wells Fargo'!$A:$A,BG$1,'Wells Fargo'!$B:$B,"&lt;="&amp;'Cash Flow'!BG$3,'Wells Fargo'!$B:$B,"&gt;"&amp;'Cash Flow'!BF$3)</f>
        <v>0</v>
      </c>
      <c r="BH29" s="89">
        <f>SUMIFS('Wells Fargo'!$F:$F,'Wells Fargo'!$G:$G,'Cash Flow'!$A29,'Wells Fargo'!$A:$A,BH$1,'Wells Fargo'!$B:$B,"&lt;="&amp;'Cash Flow'!BH$3,'Wells Fargo'!$B:$B,"&gt;"&amp;'Cash Flow'!BG$3)</f>
        <v>0</v>
      </c>
      <c r="BI29" s="89">
        <f>SUMIFS('Wells Fargo'!$F:$F,'Wells Fargo'!$G:$G,'Cash Flow'!$A29,'Wells Fargo'!$A:$A,BI$1,'Wells Fargo'!$B:$B,"&lt;="&amp;'Cash Flow'!BI$3,'Wells Fargo'!$B:$B,"&gt;"&amp;'Cash Flow'!BH$3)</f>
        <v>0</v>
      </c>
    </row>
    <row r="30" spans="1:61" ht="12.75" x14ac:dyDescent="0.2">
      <c r="A30" t="str">
        <v>Income</v>
      </c>
      <c r="B30" s="15">
        <f t="shared" si="0"/>
        <v>30</v>
      </c>
      <c r="C30" s="90">
        <f>SUMIFS('Wells Fargo'!$F:$F,'Wells Fargo'!$G:$G,'Cash Flow'!$A30,'Wells Fargo'!$A:$A,C$1,'Wells Fargo'!$B:$B,"&lt;="&amp;'Cash Flow'!C$3)</f>
        <v>0</v>
      </c>
      <c r="D30" s="89">
        <f>SUMIFS('Wells Fargo'!$F:$F,'Wells Fargo'!$G:$G,'Cash Flow'!$A30,'Wells Fargo'!$A:$A,D$1,'Wells Fargo'!$B:$B,"&lt;="&amp;'Cash Flow'!D$3,'Wells Fargo'!$B:$B,"&gt;"&amp;'Cash Flow'!C$3)</f>
        <v>0</v>
      </c>
      <c r="E30" s="89">
        <f>SUMIFS('Wells Fargo'!$F:$F,'Wells Fargo'!$G:$G,'Cash Flow'!$A30,'Wells Fargo'!$A:$A,E$1,'Wells Fargo'!$B:$B,"&lt;="&amp;'Cash Flow'!E$3,'Wells Fargo'!$B:$B,"&gt;"&amp;'Cash Flow'!D$3)</f>
        <v>0</v>
      </c>
      <c r="F30" s="89">
        <f>SUMIFS('Wells Fargo'!$F:$F,'Wells Fargo'!$G:$G,'Cash Flow'!$A30,'Wells Fargo'!$A:$A,F$1,'Wells Fargo'!$B:$B,"&lt;="&amp;'Cash Flow'!F$3,'Wells Fargo'!$B:$B,"&gt;"&amp;'Cash Flow'!E$3)</f>
        <v>0</v>
      </c>
      <c r="G30" s="89">
        <f>SUMIFS('Wells Fargo'!$F:$F,'Wells Fargo'!$G:$G,'Cash Flow'!$A30,'Wells Fargo'!$A:$A,G$1,'Wells Fargo'!$B:$B,"&lt;="&amp;'Cash Flow'!G$3,'Wells Fargo'!$B:$B,"&gt;"&amp;'Cash Flow'!F$3)</f>
        <v>0</v>
      </c>
      <c r="H30" s="90">
        <f>SUMIFS('Wells Fargo'!$F:$F,'Wells Fargo'!$G:$G,'Cash Flow'!$A30,'Wells Fargo'!$A:$A,H$1,'Wells Fargo'!$B:$B,"&lt;="&amp;'Cash Flow'!H$3)</f>
        <v>0</v>
      </c>
      <c r="I30" s="89">
        <f>SUMIFS('Wells Fargo'!$F:$F,'Wells Fargo'!$G:$G,'Cash Flow'!$A30,'Wells Fargo'!$A:$A,I$1,'Wells Fargo'!$B:$B,"&lt;="&amp;'Cash Flow'!I$3,'Wells Fargo'!$B:$B,"&gt;"&amp;'Cash Flow'!H$3)</f>
        <v>0</v>
      </c>
      <c r="J30" s="89">
        <f>SUMIFS('Wells Fargo'!$F:$F,'Wells Fargo'!$G:$G,'Cash Flow'!$A30,'Wells Fargo'!$A:$A,J$1,'Wells Fargo'!$B:$B,"&lt;="&amp;'Cash Flow'!J$3,'Wells Fargo'!$B:$B,"&gt;"&amp;'Cash Flow'!I$3)</f>
        <v>0</v>
      </c>
      <c r="K30" s="89">
        <f>SUMIFS('Wells Fargo'!$F:$F,'Wells Fargo'!$G:$G,'Cash Flow'!$A30,'Wells Fargo'!$A:$A,K$1,'Wells Fargo'!$B:$B,"&lt;="&amp;'Cash Flow'!K$3,'Wells Fargo'!$B:$B,"&gt;"&amp;'Cash Flow'!J$3)</f>
        <v>0</v>
      </c>
      <c r="L30" s="90">
        <f>SUMIFS('Wells Fargo'!$F:$F,'Wells Fargo'!$G:$G,'Cash Flow'!$A30,'Wells Fargo'!$A:$A,L$1,'Wells Fargo'!$B:$B,"&lt;="&amp;'Cash Flow'!L$3)</f>
        <v>0</v>
      </c>
      <c r="M30" s="89">
        <f>SUMIFS('Wells Fargo'!$F:$F,'Wells Fargo'!$G:$G,'Cash Flow'!$A30,'Wells Fargo'!$A:$A,M$1,'Wells Fargo'!$B:$B,"&lt;="&amp;'Cash Flow'!M$3,'Wells Fargo'!$B:$B,"&gt;"&amp;'Cash Flow'!L$3)</f>
        <v>0</v>
      </c>
      <c r="N30" s="89">
        <f>SUMIFS('Wells Fargo'!$F:$F,'Wells Fargo'!$G:$G,'Cash Flow'!$A30,'Wells Fargo'!$A:$A,N$1,'Wells Fargo'!$B:$B,"&lt;="&amp;'Cash Flow'!N$3,'Wells Fargo'!$B:$B,"&gt;"&amp;'Cash Flow'!M$3)</f>
        <v>0</v>
      </c>
      <c r="O30" s="89">
        <f>SUMIFS('Wells Fargo'!$F:$F,'Wells Fargo'!$G:$G,'Cash Flow'!$A30,'Wells Fargo'!$A:$A,O$1,'Wells Fargo'!$B:$B,"&lt;="&amp;'Cash Flow'!O$3,'Wells Fargo'!$B:$B,"&gt;"&amp;'Cash Flow'!N$3)</f>
        <v>0</v>
      </c>
      <c r="P30" s="89">
        <f>SUMIFS('Wells Fargo'!$F:$F,'Wells Fargo'!$G:$G,'Cash Flow'!$A30,'Wells Fargo'!$A:$A,P$1,'Wells Fargo'!$B:$B,"&lt;="&amp;'Cash Flow'!P$3,'Wells Fargo'!$B:$B,"&gt;"&amp;'Cash Flow'!O$3)</f>
        <v>0</v>
      </c>
      <c r="Q30" s="90">
        <f>SUMIFS('Wells Fargo'!$F:$F,'Wells Fargo'!$G:$G,'Cash Flow'!$A30,'Wells Fargo'!$A:$A,Q$1,'Wells Fargo'!$B:$B,"&lt;="&amp;'Cash Flow'!Q$3)</f>
        <v>0</v>
      </c>
      <c r="R30" s="89">
        <f>SUMIFS('Wells Fargo'!$F:$F,'Wells Fargo'!$G:$G,'Cash Flow'!$A30,'Wells Fargo'!$A:$A,R$1,'Wells Fargo'!$B:$B,"&lt;="&amp;'Cash Flow'!R$3,'Wells Fargo'!$B:$B,"&gt;"&amp;'Cash Flow'!Q$3)</f>
        <v>0</v>
      </c>
      <c r="S30" s="89">
        <f>SUMIFS('Wells Fargo'!$F:$F,'Wells Fargo'!$G:$G,'Cash Flow'!$A30,'Wells Fargo'!$A:$A,S$1,'Wells Fargo'!$B:$B,"&lt;="&amp;'Cash Flow'!S$3,'Wells Fargo'!$B:$B,"&gt;"&amp;'Cash Flow'!R$3)</f>
        <v>0</v>
      </c>
      <c r="T30" s="89">
        <f>SUMIFS('Wells Fargo'!$F:$F,'Wells Fargo'!$G:$G,'Cash Flow'!$A30,'Wells Fargo'!$A:$A,T$1,'Wells Fargo'!$B:$B,"&lt;="&amp;'Cash Flow'!T$3,'Wells Fargo'!$B:$B,"&gt;"&amp;'Cash Flow'!S$3)</f>
        <v>30</v>
      </c>
      <c r="U30" s="89">
        <f>SUMIFS('Wells Fargo'!$F:$F,'Wells Fargo'!$G:$G,'Cash Flow'!$A30,'Wells Fargo'!$A:$A,U$1,'Wells Fargo'!$B:$B,"&lt;="&amp;'Cash Flow'!U$3,'Wells Fargo'!$B:$B,"&gt;"&amp;'Cash Flow'!T$3)</f>
        <v>0</v>
      </c>
      <c r="V30" s="90">
        <f>SUMIFS('Wells Fargo'!$F:$F,'Wells Fargo'!$G:$G,'Cash Flow'!$A30,'Wells Fargo'!$A:$A,V$1,'Wells Fargo'!$B:$B,"&lt;="&amp;'Cash Flow'!V$3)</f>
        <v>0</v>
      </c>
      <c r="W30" s="89">
        <f>SUMIFS('Wells Fargo'!$F:$F,'Wells Fargo'!$G:$G,'Cash Flow'!$A30,'Wells Fargo'!$A:$A,W$1,'Wells Fargo'!$B:$B,"&lt;="&amp;'Cash Flow'!W$3,'Wells Fargo'!$B:$B,"&gt;"&amp;'Cash Flow'!V$3)</f>
        <v>0</v>
      </c>
      <c r="X30" s="89">
        <f>SUMIFS('Wells Fargo'!$F:$F,'Wells Fargo'!$G:$G,'Cash Flow'!$A30,'Wells Fargo'!$A:$A,X$1,'Wells Fargo'!$B:$B,"&lt;="&amp;'Cash Flow'!X$3,'Wells Fargo'!$B:$B,"&gt;"&amp;'Cash Flow'!W$3)</f>
        <v>0</v>
      </c>
      <c r="Y30" s="89">
        <f>SUMIFS('Wells Fargo'!$F:$F,'Wells Fargo'!$G:$G,'Cash Flow'!$A30,'Wells Fargo'!$A:$A,Y$1,'Wells Fargo'!$B:$B,"&lt;="&amp;'Cash Flow'!Y$3,'Wells Fargo'!$B:$B,"&gt;"&amp;'Cash Flow'!X$3)</f>
        <v>0</v>
      </c>
      <c r="Z30" s="89">
        <f>SUMIFS('Wells Fargo'!$F:$F,'Wells Fargo'!$G:$G,'Cash Flow'!$A30,'Wells Fargo'!$A:$A,Z$1,'Wells Fargo'!$B:$B,"&lt;="&amp;'Cash Flow'!Z$3,'Wells Fargo'!$B:$B,"&gt;"&amp;'Cash Flow'!Y$3)</f>
        <v>0</v>
      </c>
      <c r="AA30" s="90">
        <f>SUMIFS('Wells Fargo'!$F:$F,'Wells Fargo'!$G:$G,'Cash Flow'!$A30,'Wells Fargo'!$A:$A,AA$1,'Wells Fargo'!$B:$B,"&lt;="&amp;'Cash Flow'!AA$3)</f>
        <v>0</v>
      </c>
      <c r="AB30" s="89">
        <f>SUMIFS('Wells Fargo'!$F:$F,'Wells Fargo'!$G:$G,'Cash Flow'!$A30,'Wells Fargo'!$A:$A,AB$1,'Wells Fargo'!$B:$B,"&lt;="&amp;'Cash Flow'!AB$3,'Wells Fargo'!$B:$B,"&gt;"&amp;'Cash Flow'!AA$3)</f>
        <v>0</v>
      </c>
      <c r="AC30" s="89">
        <f>SUMIFS('Wells Fargo'!$F:$F,'Wells Fargo'!$G:$G,'Cash Flow'!$A30,'Wells Fargo'!$A:$A,AC$1,'Wells Fargo'!$B:$B,"&lt;="&amp;'Cash Flow'!AC$3,'Wells Fargo'!$B:$B,"&gt;"&amp;'Cash Flow'!AB$3)</f>
        <v>0</v>
      </c>
      <c r="AD30" s="89">
        <f>SUMIFS('Wells Fargo'!$F:$F,'Wells Fargo'!$G:$G,'Cash Flow'!$A30,'Wells Fargo'!$A:$A,AD$1,'Wells Fargo'!$B:$B,"&lt;="&amp;'Cash Flow'!AD$3,'Wells Fargo'!$B:$B,"&gt;"&amp;'Cash Flow'!AC$3)</f>
        <v>0</v>
      </c>
      <c r="AE30" s="89">
        <f>SUMIFS('Wells Fargo'!$F:$F,'Wells Fargo'!$G:$G,'Cash Flow'!$A30,'Wells Fargo'!$A:$A,AE$1,'Wells Fargo'!$B:$B,"&lt;="&amp;'Cash Flow'!AE$3,'Wells Fargo'!$B:$B,"&gt;"&amp;'Cash Flow'!AD$3)</f>
        <v>0</v>
      </c>
      <c r="AF30" s="90">
        <f>SUMIFS('Wells Fargo'!$F:$F,'Wells Fargo'!$G:$G,'Cash Flow'!$A30,'Wells Fargo'!$A:$A,AF$1,'Wells Fargo'!$B:$B,"&lt;="&amp;'Cash Flow'!AF$3)</f>
        <v>0</v>
      </c>
      <c r="AG30" s="89">
        <f>SUMIFS('Wells Fargo'!$F:$F,'Wells Fargo'!$G:$G,'Cash Flow'!$A30,'Wells Fargo'!$A:$A,AG$1,'Wells Fargo'!$B:$B,"&lt;="&amp;'Cash Flow'!AG$3,'Wells Fargo'!$B:$B,"&gt;"&amp;'Cash Flow'!AF$3)</f>
        <v>0</v>
      </c>
      <c r="AH30" s="89">
        <f>SUMIFS('Wells Fargo'!$F:$F,'Wells Fargo'!$G:$G,'Cash Flow'!$A30,'Wells Fargo'!$A:$A,AH$1,'Wells Fargo'!$B:$B,"&lt;="&amp;'Cash Flow'!AH$3,'Wells Fargo'!$B:$B,"&gt;"&amp;'Cash Flow'!AG$3)</f>
        <v>0</v>
      </c>
      <c r="AI30" s="89">
        <f>SUMIFS('Wells Fargo'!$F:$F,'Wells Fargo'!$G:$G,'Cash Flow'!$A30,'Wells Fargo'!$A:$A,AI$1,'Wells Fargo'!$B:$B,"&lt;="&amp;'Cash Flow'!AI$3,'Wells Fargo'!$B:$B,"&gt;"&amp;'Cash Flow'!AH$3)</f>
        <v>0</v>
      </c>
      <c r="AJ30" s="89">
        <f>SUMIFS('Wells Fargo'!$F:$F,'Wells Fargo'!$G:$G,'Cash Flow'!$A30,'Wells Fargo'!$A:$A,AJ$1,'Wells Fargo'!$B:$B,"&lt;="&amp;'Cash Flow'!AJ$3,'Wells Fargo'!$B:$B,"&gt;"&amp;'Cash Flow'!AI$3)</f>
        <v>0</v>
      </c>
      <c r="AK30" s="90">
        <f>SUMIFS('Wells Fargo'!$F:$F,'Wells Fargo'!$G:$G,'Cash Flow'!$A30,'Wells Fargo'!$A:$A,AK$1,'Wells Fargo'!$B:$B,"&lt;="&amp;'Cash Flow'!AK$3)</f>
        <v>0</v>
      </c>
      <c r="AL30" s="89">
        <f>SUMIFS('Wells Fargo'!$F:$F,'Wells Fargo'!$G:$G,'Cash Flow'!$A30,'Wells Fargo'!$A:$A,AL$1,'Wells Fargo'!$B:$B,"&lt;="&amp;'Cash Flow'!AL$3,'Wells Fargo'!$B:$B,"&gt;"&amp;'Cash Flow'!AK$3)</f>
        <v>0</v>
      </c>
      <c r="AM30" s="89">
        <f>SUMIFS('Wells Fargo'!$F:$F,'Wells Fargo'!$G:$G,'Cash Flow'!$A30,'Wells Fargo'!$A:$A,AM$1,'Wells Fargo'!$B:$B,"&lt;="&amp;'Cash Flow'!AM$3,'Wells Fargo'!$B:$B,"&gt;"&amp;'Cash Flow'!AL$3)</f>
        <v>0</v>
      </c>
      <c r="AN30" s="89">
        <f>SUMIFS('Wells Fargo'!$F:$F,'Wells Fargo'!$G:$G,'Cash Flow'!$A30,'Wells Fargo'!$A:$A,AN$1,'Wells Fargo'!$B:$B,"&lt;="&amp;'Cash Flow'!AN$3,'Wells Fargo'!$B:$B,"&gt;"&amp;'Cash Flow'!AM$3)</f>
        <v>0</v>
      </c>
      <c r="AO30" s="89">
        <f>SUMIFS('Wells Fargo'!$F:$F,'Wells Fargo'!$G:$G,'Cash Flow'!$A30,'Wells Fargo'!$A:$A,AO$1,'Wells Fargo'!$B:$B,"&lt;="&amp;'Cash Flow'!AO$3,'Wells Fargo'!$B:$B,"&gt;"&amp;'Cash Flow'!AN$3)</f>
        <v>0</v>
      </c>
      <c r="AP30" s="90">
        <f>SUMIFS('Wells Fargo'!$F:$F,'Wells Fargo'!$G:$G,'Cash Flow'!$A30,'Wells Fargo'!$A:$A,AP$1,'Wells Fargo'!$B:$B,"&lt;="&amp;'Cash Flow'!AP$3)</f>
        <v>0</v>
      </c>
      <c r="AQ30" s="89">
        <f>SUMIFS('Wells Fargo'!$F:$F,'Wells Fargo'!$G:$G,'Cash Flow'!$A30,'Wells Fargo'!$A:$A,AQ$1,'Wells Fargo'!$B:$B,"&lt;="&amp;'Cash Flow'!AQ$3,'Wells Fargo'!$B:$B,"&gt;"&amp;'Cash Flow'!AP$3)</f>
        <v>0</v>
      </c>
      <c r="AR30" s="89">
        <f>SUMIFS('Wells Fargo'!$F:$F,'Wells Fargo'!$G:$G,'Cash Flow'!$A30,'Wells Fargo'!$A:$A,AR$1,'Wells Fargo'!$B:$B,"&lt;="&amp;'Cash Flow'!AR$3,'Wells Fargo'!$B:$B,"&gt;"&amp;'Cash Flow'!AQ$3)</f>
        <v>0</v>
      </c>
      <c r="AS30" s="89">
        <f>SUMIFS('Wells Fargo'!$F:$F,'Wells Fargo'!$G:$G,'Cash Flow'!$A30,'Wells Fargo'!$A:$A,AS$1,'Wells Fargo'!$B:$B,"&lt;="&amp;'Cash Flow'!AS$3,'Wells Fargo'!$B:$B,"&gt;"&amp;'Cash Flow'!AR$3)</f>
        <v>0</v>
      </c>
      <c r="AT30" s="89">
        <f>SUMIFS('Wells Fargo'!$F:$F,'Wells Fargo'!$G:$G,'Cash Flow'!$A30,'Wells Fargo'!$A:$A,AT$1,'Wells Fargo'!$B:$B,"&lt;="&amp;'Cash Flow'!AT$3,'Wells Fargo'!$B:$B,"&gt;"&amp;'Cash Flow'!AS$3)</f>
        <v>0</v>
      </c>
      <c r="AU30" s="90">
        <f>SUMIFS('Wells Fargo'!$F:$F,'Wells Fargo'!$G:$G,'Cash Flow'!$A30,'Wells Fargo'!$A:$A,AU$1,'Wells Fargo'!$B:$B,"&lt;="&amp;'Cash Flow'!AU$3)</f>
        <v>0</v>
      </c>
      <c r="AV30" s="89">
        <f>SUMIFS('Wells Fargo'!$F:$F,'Wells Fargo'!$G:$G,'Cash Flow'!$A30,'Wells Fargo'!$A:$A,AV$1,'Wells Fargo'!$B:$B,"&lt;="&amp;'Cash Flow'!AV$3,'Wells Fargo'!$B:$B,"&gt;"&amp;'Cash Flow'!AU$3)</f>
        <v>0</v>
      </c>
      <c r="AW30" s="89">
        <f>SUMIFS('Wells Fargo'!$F:$F,'Wells Fargo'!$G:$G,'Cash Flow'!$A30,'Wells Fargo'!$A:$A,AW$1,'Wells Fargo'!$B:$B,"&lt;="&amp;'Cash Flow'!AW$3,'Wells Fargo'!$B:$B,"&gt;"&amp;'Cash Flow'!AV$3)</f>
        <v>0</v>
      </c>
      <c r="AX30" s="89">
        <f>SUMIFS('Wells Fargo'!$F:$F,'Wells Fargo'!$G:$G,'Cash Flow'!$A30,'Wells Fargo'!$A:$A,AX$1,'Wells Fargo'!$B:$B,"&lt;="&amp;'Cash Flow'!AX$3,'Wells Fargo'!$B:$B,"&gt;"&amp;'Cash Flow'!AW$3)</f>
        <v>0</v>
      </c>
      <c r="AY30" s="89">
        <f>SUMIFS('Wells Fargo'!$F:$F,'Wells Fargo'!$G:$G,'Cash Flow'!$A30,'Wells Fargo'!$A:$A,AY$1,'Wells Fargo'!$B:$B,"&lt;="&amp;'Cash Flow'!AY$3,'Wells Fargo'!$B:$B,"&gt;"&amp;'Cash Flow'!AX$3)</f>
        <v>0</v>
      </c>
      <c r="AZ30" s="90">
        <f>SUMIFS('Wells Fargo'!$F:$F,'Wells Fargo'!$G:$G,'Cash Flow'!$A30,'Wells Fargo'!$A:$A,AZ$1,'Wells Fargo'!$B:$B,"&lt;="&amp;'Cash Flow'!AZ$3)</f>
        <v>0</v>
      </c>
      <c r="BA30" s="89">
        <f>SUMIFS('Wells Fargo'!$F:$F,'Wells Fargo'!$G:$G,'Cash Flow'!$A30,'Wells Fargo'!$A:$A,BA$1,'Wells Fargo'!$B:$B,"&lt;="&amp;'Cash Flow'!BA$3,'Wells Fargo'!$B:$B,"&gt;"&amp;'Cash Flow'!AZ$3)</f>
        <v>0</v>
      </c>
      <c r="BB30" s="89">
        <f>SUMIFS('Wells Fargo'!$F:$F,'Wells Fargo'!$G:$G,'Cash Flow'!$A30,'Wells Fargo'!$A:$A,BB$1,'Wells Fargo'!$B:$B,"&lt;="&amp;'Cash Flow'!BB$3,'Wells Fargo'!$B:$B,"&gt;"&amp;'Cash Flow'!BA$3)</f>
        <v>0</v>
      </c>
      <c r="BC30" s="89">
        <f>SUMIFS('Wells Fargo'!$F:$F,'Wells Fargo'!$G:$G,'Cash Flow'!$A30,'Wells Fargo'!$A:$A,BC$1,'Wells Fargo'!$B:$B,"&lt;="&amp;'Cash Flow'!BC$3,'Wells Fargo'!$B:$B,"&gt;"&amp;'Cash Flow'!BB$3)</f>
        <v>0</v>
      </c>
      <c r="BD30" s="89">
        <f>SUMIFS('Wells Fargo'!$F:$F,'Wells Fargo'!$G:$G,'Cash Flow'!$A30,'Wells Fargo'!$A:$A,BD$1,'Wells Fargo'!$B:$B,"&lt;="&amp;'Cash Flow'!BD$3,'Wells Fargo'!$B:$B,"&gt;"&amp;'Cash Flow'!BC$3)</f>
        <v>0</v>
      </c>
      <c r="BE30" s="90">
        <f>SUMIFS('Wells Fargo'!$F:$F,'Wells Fargo'!$G:$G,'Cash Flow'!$A30,'Wells Fargo'!$A:$A,BE$1,'Wells Fargo'!$B:$B,"&lt;="&amp;'Cash Flow'!BE$3)</f>
        <v>0</v>
      </c>
      <c r="BF30" s="89">
        <f>SUMIFS('Wells Fargo'!$F:$F,'Wells Fargo'!$G:$G,'Cash Flow'!$A30,'Wells Fargo'!$A:$A,BF$1,'Wells Fargo'!$B:$B,"&lt;="&amp;'Cash Flow'!BF$3,'Wells Fargo'!$B:$B,"&gt;"&amp;'Cash Flow'!BE$3)</f>
        <v>0</v>
      </c>
      <c r="BG30" s="89">
        <f>SUMIFS('Wells Fargo'!$F:$F,'Wells Fargo'!$G:$G,'Cash Flow'!$A30,'Wells Fargo'!$A:$A,BG$1,'Wells Fargo'!$B:$B,"&lt;="&amp;'Cash Flow'!BG$3,'Wells Fargo'!$B:$B,"&gt;"&amp;'Cash Flow'!BF$3)</f>
        <v>0</v>
      </c>
      <c r="BH30" s="89">
        <f>SUMIFS('Wells Fargo'!$F:$F,'Wells Fargo'!$G:$G,'Cash Flow'!$A30,'Wells Fargo'!$A:$A,BH$1,'Wells Fargo'!$B:$B,"&lt;="&amp;'Cash Flow'!BH$3,'Wells Fargo'!$B:$B,"&gt;"&amp;'Cash Flow'!BG$3)</f>
        <v>0</v>
      </c>
      <c r="BI30" s="89">
        <f>SUMIFS('Wells Fargo'!$F:$F,'Wells Fargo'!$G:$G,'Cash Flow'!$A30,'Wells Fargo'!$A:$A,BI$1,'Wells Fargo'!$B:$B,"&lt;="&amp;'Cash Flow'!BI$3,'Wells Fargo'!$B:$B,"&gt;"&amp;'Cash Flow'!BH$3)</f>
        <v>0</v>
      </c>
    </row>
    <row r="31" spans="1:61" ht="12.75" x14ac:dyDescent="0.2">
      <c r="A31" t="str">
        <v>Investment</v>
      </c>
      <c r="B31" s="15">
        <f t="shared" si="0"/>
        <v>-35.060000000000173</v>
      </c>
      <c r="C31" s="90">
        <f>SUMIFS('Wells Fargo'!$F:$F,'Wells Fargo'!$G:$G,'Cash Flow'!$A31,'Wells Fargo'!$A:$A,C$1,'Wells Fargo'!$B:$B,"&lt;="&amp;'Cash Flow'!C$3)</f>
        <v>0</v>
      </c>
      <c r="D31" s="89">
        <f>SUMIFS('Wells Fargo'!$F:$F,'Wells Fargo'!$G:$G,'Cash Flow'!$A31,'Wells Fargo'!$A:$A,D$1,'Wells Fargo'!$B:$B,"&lt;="&amp;'Cash Flow'!D$3,'Wells Fargo'!$B:$B,"&gt;"&amp;'Cash Flow'!C$3)</f>
        <v>0</v>
      </c>
      <c r="E31" s="89">
        <f>SUMIFS('Wells Fargo'!$F:$F,'Wells Fargo'!$G:$G,'Cash Flow'!$A31,'Wells Fargo'!$A:$A,E$1,'Wells Fargo'!$B:$B,"&lt;="&amp;'Cash Flow'!E$3,'Wells Fargo'!$B:$B,"&gt;"&amp;'Cash Flow'!D$3)</f>
        <v>0</v>
      </c>
      <c r="F31" s="89">
        <f>SUMIFS('Wells Fargo'!$F:$F,'Wells Fargo'!$G:$G,'Cash Flow'!$A31,'Wells Fargo'!$A:$A,F$1,'Wells Fargo'!$B:$B,"&lt;="&amp;'Cash Flow'!F$3,'Wells Fargo'!$B:$B,"&gt;"&amp;'Cash Flow'!E$3)</f>
        <v>0</v>
      </c>
      <c r="G31" s="89">
        <f>SUMIFS('Wells Fargo'!$F:$F,'Wells Fargo'!$G:$G,'Cash Flow'!$A31,'Wells Fargo'!$A:$A,G$1,'Wells Fargo'!$B:$B,"&lt;="&amp;'Cash Flow'!G$3,'Wells Fargo'!$B:$B,"&gt;"&amp;'Cash Flow'!F$3)</f>
        <v>-150</v>
      </c>
      <c r="H31" s="90">
        <f>SUMIFS('Wells Fargo'!$F:$F,'Wells Fargo'!$G:$G,'Cash Flow'!$A31,'Wells Fargo'!$A:$A,H$1,'Wells Fargo'!$B:$B,"&lt;="&amp;'Cash Flow'!H$3)</f>
        <v>-50</v>
      </c>
      <c r="I31" s="89">
        <f>SUMIFS('Wells Fargo'!$F:$F,'Wells Fargo'!$G:$G,'Cash Flow'!$A31,'Wells Fargo'!$A:$A,I$1,'Wells Fargo'!$B:$B,"&lt;="&amp;'Cash Flow'!I$3,'Wells Fargo'!$B:$B,"&gt;"&amp;'Cash Flow'!H$3)</f>
        <v>-150</v>
      </c>
      <c r="J31" s="89">
        <f>SUMIFS('Wells Fargo'!$F:$F,'Wells Fargo'!$G:$G,'Cash Flow'!$A31,'Wells Fargo'!$A:$A,J$1,'Wells Fargo'!$B:$B,"&lt;="&amp;'Cash Flow'!J$3,'Wells Fargo'!$B:$B,"&gt;"&amp;'Cash Flow'!I$3)</f>
        <v>-743.26</v>
      </c>
      <c r="K31" s="89">
        <f>SUMIFS('Wells Fargo'!$F:$F,'Wells Fargo'!$G:$G,'Cash Flow'!$A31,'Wells Fargo'!$A:$A,K$1,'Wells Fargo'!$B:$B,"&lt;="&amp;'Cash Flow'!K$3,'Wells Fargo'!$B:$B,"&gt;"&amp;'Cash Flow'!J$3)</f>
        <v>0</v>
      </c>
      <c r="L31" s="90">
        <f>SUMIFS('Wells Fargo'!$F:$F,'Wells Fargo'!$G:$G,'Cash Flow'!$A31,'Wells Fargo'!$A:$A,L$1,'Wells Fargo'!$B:$B,"&lt;="&amp;'Cash Flow'!L$3)</f>
        <v>-1900</v>
      </c>
      <c r="M31" s="89">
        <f>SUMIFS('Wells Fargo'!$F:$F,'Wells Fargo'!$G:$G,'Cash Flow'!$A31,'Wells Fargo'!$A:$A,M$1,'Wells Fargo'!$B:$B,"&lt;="&amp;'Cash Flow'!M$3,'Wells Fargo'!$B:$B,"&gt;"&amp;'Cash Flow'!L$3)</f>
        <v>-200</v>
      </c>
      <c r="N31" s="89">
        <f>SUMIFS('Wells Fargo'!$F:$F,'Wells Fargo'!$G:$G,'Cash Flow'!$A31,'Wells Fargo'!$A:$A,N$1,'Wells Fargo'!$B:$B,"&lt;="&amp;'Cash Flow'!N$3,'Wells Fargo'!$B:$B,"&gt;"&amp;'Cash Flow'!M$3)</f>
        <v>0</v>
      </c>
      <c r="O31" s="89">
        <f>SUMIFS('Wells Fargo'!$F:$F,'Wells Fargo'!$G:$G,'Cash Flow'!$A31,'Wells Fargo'!$A:$A,O$1,'Wells Fargo'!$B:$B,"&lt;="&amp;'Cash Flow'!O$3,'Wells Fargo'!$B:$B,"&gt;"&amp;'Cash Flow'!N$3)</f>
        <v>0</v>
      </c>
      <c r="P31" s="89">
        <f>SUMIFS('Wells Fargo'!$F:$F,'Wells Fargo'!$G:$G,'Cash Flow'!$A31,'Wells Fargo'!$A:$A,P$1,'Wells Fargo'!$B:$B,"&lt;="&amp;'Cash Flow'!P$3,'Wells Fargo'!$B:$B,"&gt;"&amp;'Cash Flow'!O$3)</f>
        <v>0</v>
      </c>
      <c r="Q31" s="90">
        <f>SUMIFS('Wells Fargo'!$F:$F,'Wells Fargo'!$G:$G,'Cash Flow'!$A31,'Wells Fargo'!$A:$A,Q$1,'Wells Fargo'!$B:$B,"&lt;="&amp;'Cash Flow'!Q$3)</f>
        <v>0</v>
      </c>
      <c r="R31" s="89">
        <f>SUMIFS('Wells Fargo'!$F:$F,'Wells Fargo'!$G:$G,'Cash Flow'!$A31,'Wells Fargo'!$A:$A,R$1,'Wells Fargo'!$B:$B,"&lt;="&amp;'Cash Flow'!R$3,'Wells Fargo'!$B:$B,"&gt;"&amp;'Cash Flow'!Q$3)</f>
        <v>0</v>
      </c>
      <c r="S31" s="89">
        <f>SUMIFS('Wells Fargo'!$F:$F,'Wells Fargo'!$G:$G,'Cash Flow'!$A31,'Wells Fargo'!$A:$A,S$1,'Wells Fargo'!$B:$B,"&lt;="&amp;'Cash Flow'!S$3,'Wells Fargo'!$B:$B,"&gt;"&amp;'Cash Flow'!R$3)</f>
        <v>0</v>
      </c>
      <c r="T31" s="89">
        <f>SUMIFS('Wells Fargo'!$F:$F,'Wells Fargo'!$G:$G,'Cash Flow'!$A31,'Wells Fargo'!$A:$A,T$1,'Wells Fargo'!$B:$B,"&lt;="&amp;'Cash Flow'!T$3,'Wells Fargo'!$B:$B,"&gt;"&amp;'Cash Flow'!S$3)</f>
        <v>0</v>
      </c>
      <c r="U31" s="89">
        <f>SUMIFS('Wells Fargo'!$F:$F,'Wells Fargo'!$G:$G,'Cash Flow'!$A31,'Wells Fargo'!$A:$A,U$1,'Wells Fargo'!$B:$B,"&lt;="&amp;'Cash Flow'!U$3,'Wells Fargo'!$B:$B,"&gt;"&amp;'Cash Flow'!T$3)</f>
        <v>0</v>
      </c>
      <c r="V31" s="90">
        <f>SUMIFS('Wells Fargo'!$F:$F,'Wells Fargo'!$G:$G,'Cash Flow'!$A31,'Wells Fargo'!$A:$A,V$1,'Wells Fargo'!$B:$B,"&lt;="&amp;'Cash Flow'!V$3)</f>
        <v>0</v>
      </c>
      <c r="W31" s="89">
        <f>SUMIFS('Wells Fargo'!$F:$F,'Wells Fargo'!$G:$G,'Cash Flow'!$A31,'Wells Fargo'!$A:$A,W$1,'Wells Fargo'!$B:$B,"&lt;="&amp;'Cash Flow'!W$3,'Wells Fargo'!$B:$B,"&gt;"&amp;'Cash Flow'!V$3)</f>
        <v>0</v>
      </c>
      <c r="X31" s="89">
        <f>SUMIFS('Wells Fargo'!$F:$F,'Wells Fargo'!$G:$G,'Cash Flow'!$A31,'Wells Fargo'!$A:$A,X$1,'Wells Fargo'!$B:$B,"&lt;="&amp;'Cash Flow'!X$3,'Wells Fargo'!$B:$B,"&gt;"&amp;'Cash Flow'!W$3)</f>
        <v>0</v>
      </c>
      <c r="Y31" s="89">
        <f>SUMIFS('Wells Fargo'!$F:$F,'Wells Fargo'!$G:$G,'Cash Flow'!$A31,'Wells Fargo'!$A:$A,Y$1,'Wells Fargo'!$B:$B,"&lt;="&amp;'Cash Flow'!Y$3,'Wells Fargo'!$B:$B,"&gt;"&amp;'Cash Flow'!X$3)</f>
        <v>0</v>
      </c>
      <c r="Z31" s="89">
        <f>SUMIFS('Wells Fargo'!$F:$F,'Wells Fargo'!$G:$G,'Cash Flow'!$A31,'Wells Fargo'!$A:$A,Z$1,'Wells Fargo'!$B:$B,"&lt;="&amp;'Cash Flow'!Z$3,'Wells Fargo'!$B:$B,"&gt;"&amp;'Cash Flow'!Y$3)</f>
        <v>0</v>
      </c>
      <c r="AA31" s="90">
        <f>SUMIFS('Wells Fargo'!$F:$F,'Wells Fargo'!$G:$G,'Cash Flow'!$A31,'Wells Fargo'!$A:$A,AA$1,'Wells Fargo'!$B:$B,"&lt;="&amp;'Cash Flow'!AA$3)</f>
        <v>2000</v>
      </c>
      <c r="AB31" s="89">
        <f>SUMIFS('Wells Fargo'!$F:$F,'Wells Fargo'!$G:$G,'Cash Flow'!$A31,'Wells Fargo'!$A:$A,AB$1,'Wells Fargo'!$B:$B,"&lt;="&amp;'Cash Flow'!AB$3,'Wells Fargo'!$B:$B,"&gt;"&amp;'Cash Flow'!AA$3)</f>
        <v>1158.2</v>
      </c>
      <c r="AC31" s="89">
        <f>SUMIFS('Wells Fargo'!$F:$F,'Wells Fargo'!$G:$G,'Cash Flow'!$A31,'Wells Fargo'!$A:$A,AC$1,'Wells Fargo'!$B:$B,"&lt;="&amp;'Cash Flow'!AC$3,'Wells Fargo'!$B:$B,"&gt;"&amp;'Cash Flow'!AB$3)</f>
        <v>0</v>
      </c>
      <c r="AD31" s="89">
        <f>SUMIFS('Wells Fargo'!$F:$F,'Wells Fargo'!$G:$G,'Cash Flow'!$A31,'Wells Fargo'!$A:$A,AD$1,'Wells Fargo'!$B:$B,"&lt;="&amp;'Cash Flow'!AD$3,'Wells Fargo'!$B:$B,"&gt;"&amp;'Cash Flow'!AC$3)</f>
        <v>0</v>
      </c>
      <c r="AE31" s="89">
        <f>SUMIFS('Wells Fargo'!$F:$F,'Wells Fargo'!$G:$G,'Cash Flow'!$A31,'Wells Fargo'!$A:$A,AE$1,'Wells Fargo'!$B:$B,"&lt;="&amp;'Cash Flow'!AE$3,'Wells Fargo'!$B:$B,"&gt;"&amp;'Cash Flow'!AD$3)</f>
        <v>0</v>
      </c>
      <c r="AF31" s="90">
        <f>SUMIFS('Wells Fargo'!$F:$F,'Wells Fargo'!$G:$G,'Cash Flow'!$A31,'Wells Fargo'!$A:$A,AF$1,'Wells Fargo'!$B:$B,"&lt;="&amp;'Cash Flow'!AF$3)</f>
        <v>0</v>
      </c>
      <c r="AG31" s="89">
        <f>SUMIFS('Wells Fargo'!$F:$F,'Wells Fargo'!$G:$G,'Cash Flow'!$A31,'Wells Fargo'!$A:$A,AG$1,'Wells Fargo'!$B:$B,"&lt;="&amp;'Cash Flow'!AG$3,'Wells Fargo'!$B:$B,"&gt;"&amp;'Cash Flow'!AF$3)</f>
        <v>0</v>
      </c>
      <c r="AH31" s="89">
        <f>SUMIFS('Wells Fargo'!$F:$F,'Wells Fargo'!$G:$G,'Cash Flow'!$A31,'Wells Fargo'!$A:$A,AH$1,'Wells Fargo'!$B:$B,"&lt;="&amp;'Cash Flow'!AH$3,'Wells Fargo'!$B:$B,"&gt;"&amp;'Cash Flow'!AG$3)</f>
        <v>0</v>
      </c>
      <c r="AI31" s="89">
        <f>SUMIFS('Wells Fargo'!$F:$F,'Wells Fargo'!$G:$G,'Cash Flow'!$A31,'Wells Fargo'!$A:$A,AI$1,'Wells Fargo'!$B:$B,"&lt;="&amp;'Cash Flow'!AI$3,'Wells Fargo'!$B:$B,"&gt;"&amp;'Cash Flow'!AH$3)</f>
        <v>0</v>
      </c>
      <c r="AJ31" s="89">
        <f>SUMIFS('Wells Fargo'!$F:$F,'Wells Fargo'!$G:$G,'Cash Flow'!$A31,'Wells Fargo'!$A:$A,AJ$1,'Wells Fargo'!$B:$B,"&lt;="&amp;'Cash Flow'!AJ$3,'Wells Fargo'!$B:$B,"&gt;"&amp;'Cash Flow'!AI$3)</f>
        <v>0</v>
      </c>
      <c r="AK31" s="90">
        <f>SUMIFS('Wells Fargo'!$F:$F,'Wells Fargo'!$G:$G,'Cash Flow'!$A31,'Wells Fargo'!$A:$A,AK$1,'Wells Fargo'!$B:$B,"&lt;="&amp;'Cash Flow'!AK$3)</f>
        <v>0</v>
      </c>
      <c r="AL31" s="89">
        <f>SUMIFS('Wells Fargo'!$F:$F,'Wells Fargo'!$G:$G,'Cash Flow'!$A31,'Wells Fargo'!$A:$A,AL$1,'Wells Fargo'!$B:$B,"&lt;="&amp;'Cash Flow'!AL$3,'Wells Fargo'!$B:$B,"&gt;"&amp;'Cash Flow'!AK$3)</f>
        <v>0</v>
      </c>
      <c r="AM31" s="89">
        <f>SUMIFS('Wells Fargo'!$F:$F,'Wells Fargo'!$G:$G,'Cash Flow'!$A31,'Wells Fargo'!$A:$A,AM$1,'Wells Fargo'!$B:$B,"&lt;="&amp;'Cash Flow'!AM$3,'Wells Fargo'!$B:$B,"&gt;"&amp;'Cash Flow'!AL$3)</f>
        <v>0</v>
      </c>
      <c r="AN31" s="89">
        <f>SUMIFS('Wells Fargo'!$F:$F,'Wells Fargo'!$G:$G,'Cash Flow'!$A31,'Wells Fargo'!$A:$A,AN$1,'Wells Fargo'!$B:$B,"&lt;="&amp;'Cash Flow'!AN$3,'Wells Fargo'!$B:$B,"&gt;"&amp;'Cash Flow'!AM$3)</f>
        <v>0</v>
      </c>
      <c r="AO31" s="89">
        <f>SUMIFS('Wells Fargo'!$F:$F,'Wells Fargo'!$G:$G,'Cash Flow'!$A31,'Wells Fargo'!$A:$A,AO$1,'Wells Fargo'!$B:$B,"&lt;="&amp;'Cash Flow'!AO$3,'Wells Fargo'!$B:$B,"&gt;"&amp;'Cash Flow'!AN$3)</f>
        <v>0</v>
      </c>
      <c r="AP31" s="90">
        <f>SUMIFS('Wells Fargo'!$F:$F,'Wells Fargo'!$G:$G,'Cash Flow'!$A31,'Wells Fargo'!$A:$A,AP$1,'Wells Fargo'!$B:$B,"&lt;="&amp;'Cash Flow'!AP$3)</f>
        <v>0</v>
      </c>
      <c r="AQ31" s="89">
        <f>SUMIFS('Wells Fargo'!$F:$F,'Wells Fargo'!$G:$G,'Cash Flow'!$A31,'Wells Fargo'!$A:$A,AQ$1,'Wells Fargo'!$B:$B,"&lt;="&amp;'Cash Flow'!AQ$3,'Wells Fargo'!$B:$B,"&gt;"&amp;'Cash Flow'!AP$3)</f>
        <v>0</v>
      </c>
      <c r="AR31" s="89">
        <f>SUMIFS('Wells Fargo'!$F:$F,'Wells Fargo'!$G:$G,'Cash Flow'!$A31,'Wells Fargo'!$A:$A,AR$1,'Wells Fargo'!$B:$B,"&lt;="&amp;'Cash Flow'!AR$3,'Wells Fargo'!$B:$B,"&gt;"&amp;'Cash Flow'!AQ$3)</f>
        <v>0</v>
      </c>
      <c r="AS31" s="89">
        <f>SUMIFS('Wells Fargo'!$F:$F,'Wells Fargo'!$G:$G,'Cash Flow'!$A31,'Wells Fargo'!$A:$A,AS$1,'Wells Fargo'!$B:$B,"&lt;="&amp;'Cash Flow'!AS$3,'Wells Fargo'!$B:$B,"&gt;"&amp;'Cash Flow'!AR$3)</f>
        <v>0</v>
      </c>
      <c r="AT31" s="89">
        <f>SUMIFS('Wells Fargo'!$F:$F,'Wells Fargo'!$G:$G,'Cash Flow'!$A31,'Wells Fargo'!$A:$A,AT$1,'Wells Fargo'!$B:$B,"&lt;="&amp;'Cash Flow'!AT$3,'Wells Fargo'!$B:$B,"&gt;"&amp;'Cash Flow'!AS$3)</f>
        <v>0</v>
      </c>
      <c r="AU31" s="90">
        <f>SUMIFS('Wells Fargo'!$F:$F,'Wells Fargo'!$G:$G,'Cash Flow'!$A31,'Wells Fargo'!$A:$A,AU$1,'Wells Fargo'!$B:$B,"&lt;="&amp;'Cash Flow'!AU$3)</f>
        <v>0</v>
      </c>
      <c r="AV31" s="89">
        <f>SUMIFS('Wells Fargo'!$F:$F,'Wells Fargo'!$G:$G,'Cash Flow'!$A31,'Wells Fargo'!$A:$A,AV$1,'Wells Fargo'!$B:$B,"&lt;="&amp;'Cash Flow'!AV$3,'Wells Fargo'!$B:$B,"&gt;"&amp;'Cash Flow'!AU$3)</f>
        <v>0</v>
      </c>
      <c r="AW31" s="89">
        <f>SUMIFS('Wells Fargo'!$F:$F,'Wells Fargo'!$G:$G,'Cash Flow'!$A31,'Wells Fargo'!$A:$A,AW$1,'Wells Fargo'!$B:$B,"&lt;="&amp;'Cash Flow'!AW$3,'Wells Fargo'!$B:$B,"&gt;"&amp;'Cash Flow'!AV$3)</f>
        <v>0</v>
      </c>
      <c r="AX31" s="89">
        <f>SUMIFS('Wells Fargo'!$F:$F,'Wells Fargo'!$G:$G,'Cash Flow'!$A31,'Wells Fargo'!$A:$A,AX$1,'Wells Fargo'!$B:$B,"&lt;="&amp;'Cash Flow'!AX$3,'Wells Fargo'!$B:$B,"&gt;"&amp;'Cash Flow'!AW$3)</f>
        <v>0</v>
      </c>
      <c r="AY31" s="89">
        <f>SUMIFS('Wells Fargo'!$F:$F,'Wells Fargo'!$G:$G,'Cash Flow'!$A31,'Wells Fargo'!$A:$A,AY$1,'Wells Fargo'!$B:$B,"&lt;="&amp;'Cash Flow'!AY$3,'Wells Fargo'!$B:$B,"&gt;"&amp;'Cash Flow'!AX$3)</f>
        <v>0</v>
      </c>
      <c r="AZ31" s="90">
        <f>SUMIFS('Wells Fargo'!$F:$F,'Wells Fargo'!$G:$G,'Cash Flow'!$A31,'Wells Fargo'!$A:$A,AZ$1,'Wells Fargo'!$B:$B,"&lt;="&amp;'Cash Flow'!AZ$3)</f>
        <v>0</v>
      </c>
      <c r="BA31" s="89">
        <f>SUMIFS('Wells Fargo'!$F:$F,'Wells Fargo'!$G:$G,'Cash Flow'!$A31,'Wells Fargo'!$A:$A,BA$1,'Wells Fargo'!$B:$B,"&lt;="&amp;'Cash Flow'!BA$3,'Wells Fargo'!$B:$B,"&gt;"&amp;'Cash Flow'!AZ$3)</f>
        <v>0</v>
      </c>
      <c r="BB31" s="89">
        <f>SUMIFS('Wells Fargo'!$F:$F,'Wells Fargo'!$G:$G,'Cash Flow'!$A31,'Wells Fargo'!$A:$A,BB$1,'Wells Fargo'!$B:$B,"&lt;="&amp;'Cash Flow'!BB$3,'Wells Fargo'!$B:$B,"&gt;"&amp;'Cash Flow'!BA$3)</f>
        <v>0</v>
      </c>
      <c r="BC31" s="89">
        <f>SUMIFS('Wells Fargo'!$F:$F,'Wells Fargo'!$G:$G,'Cash Flow'!$A31,'Wells Fargo'!$A:$A,BC$1,'Wells Fargo'!$B:$B,"&lt;="&amp;'Cash Flow'!BC$3,'Wells Fargo'!$B:$B,"&gt;"&amp;'Cash Flow'!BB$3)</f>
        <v>0</v>
      </c>
      <c r="BD31" s="89">
        <f>SUMIFS('Wells Fargo'!$F:$F,'Wells Fargo'!$G:$G,'Cash Flow'!$A31,'Wells Fargo'!$A:$A,BD$1,'Wells Fargo'!$B:$B,"&lt;="&amp;'Cash Flow'!BD$3,'Wells Fargo'!$B:$B,"&gt;"&amp;'Cash Flow'!BC$3)</f>
        <v>0</v>
      </c>
      <c r="BE31" s="90">
        <f>SUMIFS('Wells Fargo'!$F:$F,'Wells Fargo'!$G:$G,'Cash Flow'!$A31,'Wells Fargo'!$A:$A,BE$1,'Wells Fargo'!$B:$B,"&lt;="&amp;'Cash Flow'!BE$3)</f>
        <v>0</v>
      </c>
      <c r="BF31" s="89">
        <f>SUMIFS('Wells Fargo'!$F:$F,'Wells Fargo'!$G:$G,'Cash Flow'!$A31,'Wells Fargo'!$A:$A,BF$1,'Wells Fargo'!$B:$B,"&lt;="&amp;'Cash Flow'!BF$3,'Wells Fargo'!$B:$B,"&gt;"&amp;'Cash Flow'!BE$3)</f>
        <v>0</v>
      </c>
      <c r="BG31" s="89">
        <f>SUMIFS('Wells Fargo'!$F:$F,'Wells Fargo'!$G:$G,'Cash Flow'!$A31,'Wells Fargo'!$A:$A,BG$1,'Wells Fargo'!$B:$B,"&lt;="&amp;'Cash Flow'!BG$3,'Wells Fargo'!$B:$B,"&gt;"&amp;'Cash Flow'!BF$3)</f>
        <v>0</v>
      </c>
      <c r="BH31" s="89">
        <f>SUMIFS('Wells Fargo'!$F:$F,'Wells Fargo'!$G:$G,'Cash Flow'!$A31,'Wells Fargo'!$A:$A,BH$1,'Wells Fargo'!$B:$B,"&lt;="&amp;'Cash Flow'!BH$3,'Wells Fargo'!$B:$B,"&gt;"&amp;'Cash Flow'!BG$3)</f>
        <v>0</v>
      </c>
      <c r="BI31" s="89">
        <f>SUMIFS('Wells Fargo'!$F:$F,'Wells Fargo'!$G:$G,'Cash Flow'!$A31,'Wells Fargo'!$A:$A,BI$1,'Wells Fargo'!$B:$B,"&lt;="&amp;'Cash Flow'!BI$3,'Wells Fargo'!$B:$B,"&gt;"&amp;'Cash Flow'!BH$3)</f>
        <v>0</v>
      </c>
    </row>
    <row r="32" spans="1:61" ht="12.75" x14ac:dyDescent="0.2">
      <c r="A32" t="str">
        <v>Jayelin</v>
      </c>
      <c r="B32" s="15">
        <f t="shared" si="0"/>
        <v>-657.51</v>
      </c>
      <c r="C32" s="90">
        <f>SUMIFS('Wells Fargo'!$F:$F,'Wells Fargo'!$G:$G,'Cash Flow'!$A32,'Wells Fargo'!$A:$A,C$1,'Wells Fargo'!$B:$B,"&lt;="&amp;'Cash Flow'!C$3)</f>
        <v>0</v>
      </c>
      <c r="D32" s="89">
        <f>SUMIFS('Wells Fargo'!$F:$F,'Wells Fargo'!$G:$G,'Cash Flow'!$A32,'Wells Fargo'!$A:$A,D$1,'Wells Fargo'!$B:$B,"&lt;="&amp;'Cash Flow'!D$3,'Wells Fargo'!$B:$B,"&gt;"&amp;'Cash Flow'!C$3)</f>
        <v>0</v>
      </c>
      <c r="E32" s="89">
        <f>SUMIFS('Wells Fargo'!$F:$F,'Wells Fargo'!$G:$G,'Cash Flow'!$A32,'Wells Fargo'!$A:$A,E$1,'Wells Fargo'!$B:$B,"&lt;="&amp;'Cash Flow'!E$3,'Wells Fargo'!$B:$B,"&gt;"&amp;'Cash Flow'!D$3)</f>
        <v>0</v>
      </c>
      <c r="F32" s="89">
        <f>SUMIFS('Wells Fargo'!$F:$F,'Wells Fargo'!$G:$G,'Cash Flow'!$A32,'Wells Fargo'!$A:$A,F$1,'Wells Fargo'!$B:$B,"&lt;="&amp;'Cash Flow'!F$3,'Wells Fargo'!$B:$B,"&gt;"&amp;'Cash Flow'!E$3)</f>
        <v>0</v>
      </c>
      <c r="G32" s="89">
        <f>SUMIFS('Wells Fargo'!$F:$F,'Wells Fargo'!$G:$G,'Cash Flow'!$A32,'Wells Fargo'!$A:$A,G$1,'Wells Fargo'!$B:$B,"&lt;="&amp;'Cash Flow'!G$3,'Wells Fargo'!$B:$B,"&gt;"&amp;'Cash Flow'!F$3)</f>
        <v>0</v>
      </c>
      <c r="H32" s="90">
        <f>SUMIFS('Wells Fargo'!$F:$F,'Wells Fargo'!$G:$G,'Cash Flow'!$A32,'Wells Fargo'!$A:$A,H$1,'Wells Fargo'!$B:$B,"&lt;="&amp;'Cash Flow'!H$3)</f>
        <v>0</v>
      </c>
      <c r="I32" s="89">
        <f>SUMIFS('Wells Fargo'!$F:$F,'Wells Fargo'!$G:$G,'Cash Flow'!$A32,'Wells Fargo'!$A:$A,I$1,'Wells Fargo'!$B:$B,"&lt;="&amp;'Cash Flow'!I$3,'Wells Fargo'!$B:$B,"&gt;"&amp;'Cash Flow'!H$3)</f>
        <v>0</v>
      </c>
      <c r="J32" s="89">
        <f>SUMIFS('Wells Fargo'!$F:$F,'Wells Fargo'!$G:$G,'Cash Flow'!$A32,'Wells Fargo'!$A:$A,J$1,'Wells Fargo'!$B:$B,"&lt;="&amp;'Cash Flow'!J$3,'Wells Fargo'!$B:$B,"&gt;"&amp;'Cash Flow'!I$3)</f>
        <v>0</v>
      </c>
      <c r="K32" s="89">
        <f>SUMIFS('Wells Fargo'!$F:$F,'Wells Fargo'!$G:$G,'Cash Flow'!$A32,'Wells Fargo'!$A:$A,K$1,'Wells Fargo'!$B:$B,"&lt;="&amp;'Cash Flow'!K$3,'Wells Fargo'!$B:$B,"&gt;"&amp;'Cash Flow'!J$3)</f>
        <v>0</v>
      </c>
      <c r="L32" s="90">
        <f>SUMIFS('Wells Fargo'!$F:$F,'Wells Fargo'!$G:$G,'Cash Flow'!$A32,'Wells Fargo'!$A:$A,L$1,'Wells Fargo'!$B:$B,"&lt;="&amp;'Cash Flow'!L$3)</f>
        <v>-500</v>
      </c>
      <c r="M32" s="89">
        <f>SUMIFS('Wells Fargo'!$F:$F,'Wells Fargo'!$G:$G,'Cash Flow'!$A32,'Wells Fargo'!$A:$A,M$1,'Wells Fargo'!$B:$B,"&lt;="&amp;'Cash Flow'!M$3,'Wells Fargo'!$B:$B,"&gt;"&amp;'Cash Flow'!L$3)</f>
        <v>227.35</v>
      </c>
      <c r="N32" s="89">
        <f>SUMIFS('Wells Fargo'!$F:$F,'Wells Fargo'!$G:$G,'Cash Flow'!$A32,'Wells Fargo'!$A:$A,N$1,'Wells Fargo'!$B:$B,"&lt;="&amp;'Cash Flow'!N$3,'Wells Fargo'!$B:$B,"&gt;"&amp;'Cash Flow'!M$3)</f>
        <v>0</v>
      </c>
      <c r="O32" s="89">
        <f>SUMIFS('Wells Fargo'!$F:$F,'Wells Fargo'!$G:$G,'Cash Flow'!$A32,'Wells Fargo'!$A:$A,O$1,'Wells Fargo'!$B:$B,"&lt;="&amp;'Cash Flow'!O$3,'Wells Fargo'!$B:$B,"&gt;"&amp;'Cash Flow'!N$3)</f>
        <v>0</v>
      </c>
      <c r="P32" s="89">
        <f>SUMIFS('Wells Fargo'!$F:$F,'Wells Fargo'!$G:$G,'Cash Flow'!$A32,'Wells Fargo'!$A:$A,P$1,'Wells Fargo'!$B:$B,"&lt;="&amp;'Cash Flow'!P$3,'Wells Fargo'!$B:$B,"&gt;"&amp;'Cash Flow'!O$3)</f>
        <v>0</v>
      </c>
      <c r="Q32" s="90">
        <f>SUMIFS('Wells Fargo'!$F:$F,'Wells Fargo'!$G:$G,'Cash Flow'!$A32,'Wells Fargo'!$A:$A,Q$1,'Wells Fargo'!$B:$B,"&lt;="&amp;'Cash Flow'!Q$3)</f>
        <v>0</v>
      </c>
      <c r="R32" s="89">
        <f>SUMIFS('Wells Fargo'!$F:$F,'Wells Fargo'!$G:$G,'Cash Flow'!$A32,'Wells Fargo'!$A:$A,R$1,'Wells Fargo'!$B:$B,"&lt;="&amp;'Cash Flow'!R$3,'Wells Fargo'!$B:$B,"&gt;"&amp;'Cash Flow'!Q$3)</f>
        <v>0</v>
      </c>
      <c r="S32" s="89">
        <f>SUMIFS('Wells Fargo'!$F:$F,'Wells Fargo'!$G:$G,'Cash Flow'!$A32,'Wells Fargo'!$A:$A,S$1,'Wells Fargo'!$B:$B,"&lt;="&amp;'Cash Flow'!S$3,'Wells Fargo'!$B:$B,"&gt;"&amp;'Cash Flow'!R$3)</f>
        <v>0</v>
      </c>
      <c r="T32" s="89">
        <f>SUMIFS('Wells Fargo'!$F:$F,'Wells Fargo'!$G:$G,'Cash Flow'!$A32,'Wells Fargo'!$A:$A,T$1,'Wells Fargo'!$B:$B,"&lt;="&amp;'Cash Flow'!T$3,'Wells Fargo'!$B:$B,"&gt;"&amp;'Cash Flow'!S$3)</f>
        <v>189</v>
      </c>
      <c r="U32" s="89">
        <f>SUMIFS('Wells Fargo'!$F:$F,'Wells Fargo'!$G:$G,'Cash Flow'!$A32,'Wells Fargo'!$A:$A,U$1,'Wells Fargo'!$B:$B,"&lt;="&amp;'Cash Flow'!U$3,'Wells Fargo'!$B:$B,"&gt;"&amp;'Cash Flow'!T$3)</f>
        <v>0</v>
      </c>
      <c r="V32" s="90">
        <f>SUMIFS('Wells Fargo'!$F:$F,'Wells Fargo'!$G:$G,'Cash Flow'!$A32,'Wells Fargo'!$A:$A,V$1,'Wells Fargo'!$B:$B,"&lt;="&amp;'Cash Flow'!V$3)</f>
        <v>0</v>
      </c>
      <c r="W32" s="89">
        <f>SUMIFS('Wells Fargo'!$F:$F,'Wells Fargo'!$G:$G,'Cash Flow'!$A32,'Wells Fargo'!$A:$A,W$1,'Wells Fargo'!$B:$B,"&lt;="&amp;'Cash Flow'!W$3,'Wells Fargo'!$B:$B,"&gt;"&amp;'Cash Flow'!V$3)</f>
        <v>136.13999999999999</v>
      </c>
      <c r="X32" s="89">
        <f>SUMIFS('Wells Fargo'!$F:$F,'Wells Fargo'!$G:$G,'Cash Flow'!$A32,'Wells Fargo'!$A:$A,X$1,'Wells Fargo'!$B:$B,"&lt;="&amp;'Cash Flow'!X$3,'Wells Fargo'!$B:$B,"&gt;"&amp;'Cash Flow'!W$3)</f>
        <v>0</v>
      </c>
      <c r="Y32" s="89">
        <f>SUMIFS('Wells Fargo'!$F:$F,'Wells Fargo'!$G:$G,'Cash Flow'!$A32,'Wells Fargo'!$A:$A,Y$1,'Wells Fargo'!$B:$B,"&lt;="&amp;'Cash Flow'!Y$3,'Wells Fargo'!$B:$B,"&gt;"&amp;'Cash Flow'!X$3)</f>
        <v>0</v>
      </c>
      <c r="Z32" s="89">
        <f>SUMIFS('Wells Fargo'!$F:$F,'Wells Fargo'!$G:$G,'Cash Flow'!$A32,'Wells Fargo'!$A:$A,Z$1,'Wells Fargo'!$B:$B,"&lt;="&amp;'Cash Flow'!Z$3,'Wells Fargo'!$B:$B,"&gt;"&amp;'Cash Flow'!Y$3)</f>
        <v>0</v>
      </c>
      <c r="AA32" s="90">
        <f>SUMIFS('Wells Fargo'!$F:$F,'Wells Fargo'!$G:$G,'Cash Flow'!$A32,'Wells Fargo'!$A:$A,AA$1,'Wells Fargo'!$B:$B,"&lt;="&amp;'Cash Flow'!AA$3)</f>
        <v>-500</v>
      </c>
      <c r="AB32" s="89">
        <f>SUMIFS('Wells Fargo'!$F:$F,'Wells Fargo'!$G:$G,'Cash Flow'!$A32,'Wells Fargo'!$A:$A,AB$1,'Wells Fargo'!$B:$B,"&lt;="&amp;'Cash Flow'!AB$3,'Wells Fargo'!$B:$B,"&gt;"&amp;'Cash Flow'!AA$3)</f>
        <v>0</v>
      </c>
      <c r="AC32" s="89">
        <f>SUMIFS('Wells Fargo'!$F:$F,'Wells Fargo'!$G:$G,'Cash Flow'!$A32,'Wells Fargo'!$A:$A,AC$1,'Wells Fargo'!$B:$B,"&lt;="&amp;'Cash Flow'!AC$3,'Wells Fargo'!$B:$B,"&gt;"&amp;'Cash Flow'!AB$3)</f>
        <v>0</v>
      </c>
      <c r="AD32" s="89">
        <f>SUMIFS('Wells Fargo'!$F:$F,'Wells Fargo'!$G:$G,'Cash Flow'!$A32,'Wells Fargo'!$A:$A,AD$1,'Wells Fargo'!$B:$B,"&lt;="&amp;'Cash Flow'!AD$3,'Wells Fargo'!$B:$B,"&gt;"&amp;'Cash Flow'!AC$3)</f>
        <v>0</v>
      </c>
      <c r="AE32" s="89">
        <f>SUMIFS('Wells Fargo'!$F:$F,'Wells Fargo'!$G:$G,'Cash Flow'!$A32,'Wells Fargo'!$A:$A,AE$1,'Wells Fargo'!$B:$B,"&lt;="&amp;'Cash Flow'!AE$3,'Wells Fargo'!$B:$B,"&gt;"&amp;'Cash Flow'!AD$3)</f>
        <v>0</v>
      </c>
      <c r="AF32" s="90">
        <f>SUMIFS('Wells Fargo'!$F:$F,'Wells Fargo'!$G:$G,'Cash Flow'!$A32,'Wells Fargo'!$A:$A,AF$1,'Wells Fargo'!$B:$B,"&lt;="&amp;'Cash Flow'!AF$3)</f>
        <v>0</v>
      </c>
      <c r="AG32" s="89">
        <f>SUMIFS('Wells Fargo'!$F:$F,'Wells Fargo'!$G:$G,'Cash Flow'!$A32,'Wells Fargo'!$A:$A,AG$1,'Wells Fargo'!$B:$B,"&lt;="&amp;'Cash Flow'!AG$3,'Wells Fargo'!$B:$B,"&gt;"&amp;'Cash Flow'!AF$3)</f>
        <v>0</v>
      </c>
      <c r="AH32" s="89">
        <f>SUMIFS('Wells Fargo'!$F:$F,'Wells Fargo'!$G:$G,'Cash Flow'!$A32,'Wells Fargo'!$A:$A,AH$1,'Wells Fargo'!$B:$B,"&lt;="&amp;'Cash Flow'!AH$3,'Wells Fargo'!$B:$B,"&gt;"&amp;'Cash Flow'!AG$3)</f>
        <v>0</v>
      </c>
      <c r="AI32" s="89">
        <f>SUMIFS('Wells Fargo'!$F:$F,'Wells Fargo'!$G:$G,'Cash Flow'!$A32,'Wells Fargo'!$A:$A,AI$1,'Wells Fargo'!$B:$B,"&lt;="&amp;'Cash Flow'!AI$3,'Wells Fargo'!$B:$B,"&gt;"&amp;'Cash Flow'!AH$3)</f>
        <v>0</v>
      </c>
      <c r="AJ32" s="89">
        <f>SUMIFS('Wells Fargo'!$F:$F,'Wells Fargo'!$G:$G,'Cash Flow'!$A32,'Wells Fargo'!$A:$A,AJ$1,'Wells Fargo'!$B:$B,"&lt;="&amp;'Cash Flow'!AJ$3,'Wells Fargo'!$B:$B,"&gt;"&amp;'Cash Flow'!AI$3)</f>
        <v>0</v>
      </c>
      <c r="AK32" s="90">
        <f>SUMIFS('Wells Fargo'!$F:$F,'Wells Fargo'!$G:$G,'Cash Flow'!$A32,'Wells Fargo'!$A:$A,AK$1,'Wells Fargo'!$B:$B,"&lt;="&amp;'Cash Flow'!AK$3)</f>
        <v>0</v>
      </c>
      <c r="AL32" s="89">
        <f>SUMIFS('Wells Fargo'!$F:$F,'Wells Fargo'!$G:$G,'Cash Flow'!$A32,'Wells Fargo'!$A:$A,AL$1,'Wells Fargo'!$B:$B,"&lt;="&amp;'Cash Flow'!AL$3,'Wells Fargo'!$B:$B,"&gt;"&amp;'Cash Flow'!AK$3)</f>
        <v>0</v>
      </c>
      <c r="AM32" s="89">
        <f>SUMIFS('Wells Fargo'!$F:$F,'Wells Fargo'!$G:$G,'Cash Flow'!$A32,'Wells Fargo'!$A:$A,AM$1,'Wells Fargo'!$B:$B,"&lt;="&amp;'Cash Flow'!AM$3,'Wells Fargo'!$B:$B,"&gt;"&amp;'Cash Flow'!AL$3)</f>
        <v>-200</v>
      </c>
      <c r="AN32" s="89">
        <f>SUMIFS('Wells Fargo'!$F:$F,'Wells Fargo'!$G:$G,'Cash Flow'!$A32,'Wells Fargo'!$A:$A,AN$1,'Wells Fargo'!$B:$B,"&lt;="&amp;'Cash Flow'!AN$3,'Wells Fargo'!$B:$B,"&gt;"&amp;'Cash Flow'!AM$3)</f>
        <v>0</v>
      </c>
      <c r="AO32" s="89">
        <f>SUMIFS('Wells Fargo'!$F:$F,'Wells Fargo'!$G:$G,'Cash Flow'!$A32,'Wells Fargo'!$A:$A,AO$1,'Wells Fargo'!$B:$B,"&lt;="&amp;'Cash Flow'!AO$3,'Wells Fargo'!$B:$B,"&gt;"&amp;'Cash Flow'!AN$3)</f>
        <v>0</v>
      </c>
      <c r="AP32" s="90">
        <f>SUMIFS('Wells Fargo'!$F:$F,'Wells Fargo'!$G:$G,'Cash Flow'!$A32,'Wells Fargo'!$A:$A,AP$1,'Wells Fargo'!$B:$B,"&lt;="&amp;'Cash Flow'!AP$3)</f>
        <v>0</v>
      </c>
      <c r="AQ32" s="89">
        <f>SUMIFS('Wells Fargo'!$F:$F,'Wells Fargo'!$G:$G,'Cash Flow'!$A32,'Wells Fargo'!$A:$A,AQ$1,'Wells Fargo'!$B:$B,"&lt;="&amp;'Cash Flow'!AQ$3,'Wells Fargo'!$B:$B,"&gt;"&amp;'Cash Flow'!AP$3)</f>
        <v>0</v>
      </c>
      <c r="AR32" s="89">
        <f>SUMIFS('Wells Fargo'!$F:$F,'Wells Fargo'!$G:$G,'Cash Flow'!$A32,'Wells Fargo'!$A:$A,AR$1,'Wells Fargo'!$B:$B,"&lt;="&amp;'Cash Flow'!AR$3,'Wells Fargo'!$B:$B,"&gt;"&amp;'Cash Flow'!AQ$3)</f>
        <v>0</v>
      </c>
      <c r="AS32" s="89">
        <f>SUMIFS('Wells Fargo'!$F:$F,'Wells Fargo'!$G:$G,'Cash Flow'!$A32,'Wells Fargo'!$A:$A,AS$1,'Wells Fargo'!$B:$B,"&lt;="&amp;'Cash Flow'!AS$3,'Wells Fargo'!$B:$B,"&gt;"&amp;'Cash Flow'!AR$3)</f>
        <v>-10</v>
      </c>
      <c r="AT32" s="89">
        <f>SUMIFS('Wells Fargo'!$F:$F,'Wells Fargo'!$G:$G,'Cash Flow'!$A32,'Wells Fargo'!$A:$A,AT$1,'Wells Fargo'!$B:$B,"&lt;="&amp;'Cash Flow'!AT$3,'Wells Fargo'!$B:$B,"&gt;"&amp;'Cash Flow'!AS$3)</f>
        <v>0</v>
      </c>
      <c r="AU32" s="90">
        <f>SUMIFS('Wells Fargo'!$F:$F,'Wells Fargo'!$G:$G,'Cash Flow'!$A32,'Wells Fargo'!$A:$A,AU$1,'Wells Fargo'!$B:$B,"&lt;="&amp;'Cash Flow'!AU$3)</f>
        <v>0</v>
      </c>
      <c r="AV32" s="89">
        <f>SUMIFS('Wells Fargo'!$F:$F,'Wells Fargo'!$G:$G,'Cash Flow'!$A32,'Wells Fargo'!$A:$A,AV$1,'Wells Fargo'!$B:$B,"&lt;="&amp;'Cash Flow'!AV$3,'Wells Fargo'!$B:$B,"&gt;"&amp;'Cash Flow'!AU$3)</f>
        <v>0</v>
      </c>
      <c r="AW32" s="89">
        <f>SUMIFS('Wells Fargo'!$F:$F,'Wells Fargo'!$G:$G,'Cash Flow'!$A32,'Wells Fargo'!$A:$A,AW$1,'Wells Fargo'!$B:$B,"&lt;="&amp;'Cash Flow'!AW$3,'Wells Fargo'!$B:$B,"&gt;"&amp;'Cash Flow'!AV$3)</f>
        <v>0</v>
      </c>
      <c r="AX32" s="89">
        <f>SUMIFS('Wells Fargo'!$F:$F,'Wells Fargo'!$G:$G,'Cash Flow'!$A32,'Wells Fargo'!$A:$A,AX$1,'Wells Fargo'!$B:$B,"&lt;="&amp;'Cash Flow'!AX$3,'Wells Fargo'!$B:$B,"&gt;"&amp;'Cash Flow'!AW$3)</f>
        <v>0</v>
      </c>
      <c r="AY32" s="89">
        <f>SUMIFS('Wells Fargo'!$F:$F,'Wells Fargo'!$G:$G,'Cash Flow'!$A32,'Wells Fargo'!$A:$A,AY$1,'Wells Fargo'!$B:$B,"&lt;="&amp;'Cash Flow'!AY$3,'Wells Fargo'!$B:$B,"&gt;"&amp;'Cash Flow'!AX$3)</f>
        <v>0</v>
      </c>
      <c r="AZ32" s="90">
        <f>SUMIFS('Wells Fargo'!$F:$F,'Wells Fargo'!$G:$G,'Cash Flow'!$A32,'Wells Fargo'!$A:$A,AZ$1,'Wells Fargo'!$B:$B,"&lt;="&amp;'Cash Flow'!AZ$3)</f>
        <v>0</v>
      </c>
      <c r="BA32" s="89">
        <f>SUMIFS('Wells Fargo'!$F:$F,'Wells Fargo'!$G:$G,'Cash Flow'!$A32,'Wells Fargo'!$A:$A,BA$1,'Wells Fargo'!$B:$B,"&lt;="&amp;'Cash Flow'!BA$3,'Wells Fargo'!$B:$B,"&gt;"&amp;'Cash Flow'!AZ$3)</f>
        <v>0</v>
      </c>
      <c r="BB32" s="89">
        <f>SUMIFS('Wells Fargo'!$F:$F,'Wells Fargo'!$G:$G,'Cash Flow'!$A32,'Wells Fargo'!$A:$A,BB$1,'Wells Fargo'!$B:$B,"&lt;="&amp;'Cash Flow'!BB$3,'Wells Fargo'!$B:$B,"&gt;"&amp;'Cash Flow'!BA$3)</f>
        <v>0</v>
      </c>
      <c r="BC32" s="89">
        <f>SUMIFS('Wells Fargo'!$F:$F,'Wells Fargo'!$G:$G,'Cash Flow'!$A32,'Wells Fargo'!$A:$A,BC$1,'Wells Fargo'!$B:$B,"&lt;="&amp;'Cash Flow'!BC$3,'Wells Fargo'!$B:$B,"&gt;"&amp;'Cash Flow'!BB$3)</f>
        <v>0</v>
      </c>
      <c r="BD32" s="89">
        <f>SUMIFS('Wells Fargo'!$F:$F,'Wells Fargo'!$G:$G,'Cash Flow'!$A32,'Wells Fargo'!$A:$A,BD$1,'Wells Fargo'!$B:$B,"&lt;="&amp;'Cash Flow'!BD$3,'Wells Fargo'!$B:$B,"&gt;"&amp;'Cash Flow'!BC$3)</f>
        <v>0</v>
      </c>
      <c r="BE32" s="90">
        <f>SUMIFS('Wells Fargo'!$F:$F,'Wells Fargo'!$G:$G,'Cash Flow'!$A32,'Wells Fargo'!$A:$A,BE$1,'Wells Fargo'!$B:$B,"&lt;="&amp;'Cash Flow'!BE$3)</f>
        <v>0</v>
      </c>
      <c r="BF32" s="89">
        <f>SUMIFS('Wells Fargo'!$F:$F,'Wells Fargo'!$G:$G,'Cash Flow'!$A32,'Wells Fargo'!$A:$A,BF$1,'Wells Fargo'!$B:$B,"&lt;="&amp;'Cash Flow'!BF$3,'Wells Fargo'!$B:$B,"&gt;"&amp;'Cash Flow'!BE$3)</f>
        <v>0</v>
      </c>
      <c r="BG32" s="89">
        <f>SUMIFS('Wells Fargo'!$F:$F,'Wells Fargo'!$G:$G,'Cash Flow'!$A32,'Wells Fargo'!$A:$A,BG$1,'Wells Fargo'!$B:$B,"&lt;="&amp;'Cash Flow'!BG$3,'Wells Fargo'!$B:$B,"&gt;"&amp;'Cash Flow'!BF$3)</f>
        <v>0</v>
      </c>
      <c r="BH32" s="89">
        <f>SUMIFS('Wells Fargo'!$F:$F,'Wells Fargo'!$G:$G,'Cash Flow'!$A32,'Wells Fargo'!$A:$A,BH$1,'Wells Fargo'!$B:$B,"&lt;="&amp;'Cash Flow'!BH$3,'Wells Fargo'!$B:$B,"&gt;"&amp;'Cash Flow'!BG$3)</f>
        <v>0</v>
      </c>
      <c r="BI32" s="89">
        <f>SUMIFS('Wells Fargo'!$F:$F,'Wells Fargo'!$G:$G,'Cash Flow'!$A32,'Wells Fargo'!$A:$A,BI$1,'Wells Fargo'!$B:$B,"&lt;="&amp;'Cash Flow'!BI$3,'Wells Fargo'!$B:$B,"&gt;"&amp;'Cash Flow'!BH$3)</f>
        <v>0</v>
      </c>
    </row>
    <row r="33" spans="1:61" ht="12.75" x14ac:dyDescent="0.2">
      <c r="A33" t="str">
        <v>Jon Li</v>
      </c>
      <c r="B33" s="15">
        <f t="shared" si="0"/>
        <v>-340</v>
      </c>
      <c r="C33" s="90">
        <f>SUMIFS('Wells Fargo'!$F:$F,'Wells Fargo'!$G:$G,'Cash Flow'!$A33,'Wells Fargo'!$A:$A,C$1,'Wells Fargo'!$B:$B,"&lt;="&amp;'Cash Flow'!C$3)</f>
        <v>0</v>
      </c>
      <c r="D33" s="89">
        <f>SUMIFS('Wells Fargo'!$F:$F,'Wells Fargo'!$G:$G,'Cash Flow'!$A33,'Wells Fargo'!$A:$A,D$1,'Wells Fargo'!$B:$B,"&lt;="&amp;'Cash Flow'!D$3,'Wells Fargo'!$B:$B,"&gt;"&amp;'Cash Flow'!C$3)</f>
        <v>0</v>
      </c>
      <c r="E33" s="89">
        <f>SUMIFS('Wells Fargo'!$F:$F,'Wells Fargo'!$G:$G,'Cash Flow'!$A33,'Wells Fargo'!$A:$A,E$1,'Wells Fargo'!$B:$B,"&lt;="&amp;'Cash Flow'!E$3,'Wells Fargo'!$B:$B,"&gt;"&amp;'Cash Flow'!D$3)</f>
        <v>0</v>
      </c>
      <c r="F33" s="89">
        <f>SUMIFS('Wells Fargo'!$F:$F,'Wells Fargo'!$G:$G,'Cash Flow'!$A33,'Wells Fargo'!$A:$A,F$1,'Wells Fargo'!$B:$B,"&lt;="&amp;'Cash Flow'!F$3,'Wells Fargo'!$B:$B,"&gt;"&amp;'Cash Flow'!E$3)</f>
        <v>0</v>
      </c>
      <c r="G33" s="89">
        <f>SUMIFS('Wells Fargo'!$F:$F,'Wells Fargo'!$G:$G,'Cash Flow'!$A33,'Wells Fargo'!$A:$A,G$1,'Wells Fargo'!$B:$B,"&lt;="&amp;'Cash Flow'!G$3,'Wells Fargo'!$B:$B,"&gt;"&amp;'Cash Flow'!F$3)</f>
        <v>0</v>
      </c>
      <c r="H33" s="90">
        <f>SUMIFS('Wells Fargo'!$F:$F,'Wells Fargo'!$G:$G,'Cash Flow'!$A33,'Wells Fargo'!$A:$A,H$1,'Wells Fargo'!$B:$B,"&lt;="&amp;'Cash Flow'!H$3)</f>
        <v>0</v>
      </c>
      <c r="I33" s="89">
        <f>SUMIFS('Wells Fargo'!$F:$F,'Wells Fargo'!$G:$G,'Cash Flow'!$A33,'Wells Fargo'!$A:$A,I$1,'Wells Fargo'!$B:$B,"&lt;="&amp;'Cash Flow'!I$3,'Wells Fargo'!$B:$B,"&gt;"&amp;'Cash Flow'!H$3)</f>
        <v>0</v>
      </c>
      <c r="J33" s="89">
        <f>SUMIFS('Wells Fargo'!$F:$F,'Wells Fargo'!$G:$G,'Cash Flow'!$A33,'Wells Fargo'!$A:$A,J$1,'Wells Fargo'!$B:$B,"&lt;="&amp;'Cash Flow'!J$3,'Wells Fargo'!$B:$B,"&gt;"&amp;'Cash Flow'!I$3)</f>
        <v>0</v>
      </c>
      <c r="K33" s="89">
        <f>SUMIFS('Wells Fargo'!$F:$F,'Wells Fargo'!$G:$G,'Cash Flow'!$A33,'Wells Fargo'!$A:$A,K$1,'Wells Fargo'!$B:$B,"&lt;="&amp;'Cash Flow'!K$3,'Wells Fargo'!$B:$B,"&gt;"&amp;'Cash Flow'!J$3)</f>
        <v>0</v>
      </c>
      <c r="L33" s="90">
        <f>SUMIFS('Wells Fargo'!$F:$F,'Wells Fargo'!$G:$G,'Cash Flow'!$A33,'Wells Fargo'!$A:$A,L$1,'Wells Fargo'!$B:$B,"&lt;="&amp;'Cash Flow'!L$3)</f>
        <v>0</v>
      </c>
      <c r="M33" s="89">
        <f>SUMIFS('Wells Fargo'!$F:$F,'Wells Fargo'!$G:$G,'Cash Flow'!$A33,'Wells Fargo'!$A:$A,M$1,'Wells Fargo'!$B:$B,"&lt;="&amp;'Cash Flow'!M$3,'Wells Fargo'!$B:$B,"&gt;"&amp;'Cash Flow'!L$3)</f>
        <v>0</v>
      </c>
      <c r="N33" s="89">
        <f>SUMIFS('Wells Fargo'!$F:$F,'Wells Fargo'!$G:$G,'Cash Flow'!$A33,'Wells Fargo'!$A:$A,N$1,'Wells Fargo'!$B:$B,"&lt;="&amp;'Cash Flow'!N$3,'Wells Fargo'!$B:$B,"&gt;"&amp;'Cash Flow'!M$3)</f>
        <v>0</v>
      </c>
      <c r="O33" s="89">
        <f>SUMIFS('Wells Fargo'!$F:$F,'Wells Fargo'!$G:$G,'Cash Flow'!$A33,'Wells Fargo'!$A:$A,O$1,'Wells Fargo'!$B:$B,"&lt;="&amp;'Cash Flow'!O$3,'Wells Fargo'!$B:$B,"&gt;"&amp;'Cash Flow'!N$3)</f>
        <v>0</v>
      </c>
      <c r="P33" s="89">
        <f>SUMIFS('Wells Fargo'!$F:$F,'Wells Fargo'!$G:$G,'Cash Flow'!$A33,'Wells Fargo'!$A:$A,P$1,'Wells Fargo'!$B:$B,"&lt;="&amp;'Cash Flow'!P$3,'Wells Fargo'!$B:$B,"&gt;"&amp;'Cash Flow'!O$3)</f>
        <v>0</v>
      </c>
      <c r="Q33" s="90">
        <f>SUMIFS('Wells Fargo'!$F:$F,'Wells Fargo'!$G:$G,'Cash Flow'!$A33,'Wells Fargo'!$A:$A,Q$1,'Wells Fargo'!$B:$B,"&lt;="&amp;'Cash Flow'!Q$3)</f>
        <v>0</v>
      </c>
      <c r="R33" s="89">
        <f>SUMIFS('Wells Fargo'!$F:$F,'Wells Fargo'!$G:$G,'Cash Flow'!$A33,'Wells Fargo'!$A:$A,R$1,'Wells Fargo'!$B:$B,"&lt;="&amp;'Cash Flow'!R$3,'Wells Fargo'!$B:$B,"&gt;"&amp;'Cash Flow'!Q$3)</f>
        <v>0</v>
      </c>
      <c r="S33" s="89">
        <f>SUMIFS('Wells Fargo'!$F:$F,'Wells Fargo'!$G:$G,'Cash Flow'!$A33,'Wells Fargo'!$A:$A,S$1,'Wells Fargo'!$B:$B,"&lt;="&amp;'Cash Flow'!S$3,'Wells Fargo'!$B:$B,"&gt;"&amp;'Cash Flow'!R$3)</f>
        <v>0</v>
      </c>
      <c r="T33" s="89">
        <f>SUMIFS('Wells Fargo'!$F:$F,'Wells Fargo'!$G:$G,'Cash Flow'!$A33,'Wells Fargo'!$A:$A,T$1,'Wells Fargo'!$B:$B,"&lt;="&amp;'Cash Flow'!T$3,'Wells Fargo'!$B:$B,"&gt;"&amp;'Cash Flow'!S$3)</f>
        <v>0</v>
      </c>
      <c r="U33" s="89">
        <f>SUMIFS('Wells Fargo'!$F:$F,'Wells Fargo'!$G:$G,'Cash Flow'!$A33,'Wells Fargo'!$A:$A,U$1,'Wells Fargo'!$B:$B,"&lt;="&amp;'Cash Flow'!U$3,'Wells Fargo'!$B:$B,"&gt;"&amp;'Cash Flow'!T$3)</f>
        <v>0</v>
      </c>
      <c r="V33" s="90">
        <f>SUMIFS('Wells Fargo'!$F:$F,'Wells Fargo'!$G:$G,'Cash Flow'!$A33,'Wells Fargo'!$A:$A,V$1,'Wells Fargo'!$B:$B,"&lt;="&amp;'Cash Flow'!V$3)</f>
        <v>0</v>
      </c>
      <c r="W33" s="89">
        <f>SUMIFS('Wells Fargo'!$F:$F,'Wells Fargo'!$G:$G,'Cash Flow'!$A33,'Wells Fargo'!$A:$A,W$1,'Wells Fargo'!$B:$B,"&lt;="&amp;'Cash Flow'!W$3,'Wells Fargo'!$B:$B,"&gt;"&amp;'Cash Flow'!V$3)</f>
        <v>0</v>
      </c>
      <c r="X33" s="89">
        <f>SUMIFS('Wells Fargo'!$F:$F,'Wells Fargo'!$G:$G,'Cash Flow'!$A33,'Wells Fargo'!$A:$A,X$1,'Wells Fargo'!$B:$B,"&lt;="&amp;'Cash Flow'!X$3,'Wells Fargo'!$B:$B,"&gt;"&amp;'Cash Flow'!W$3)</f>
        <v>-340</v>
      </c>
      <c r="Y33" s="89">
        <f>SUMIFS('Wells Fargo'!$F:$F,'Wells Fargo'!$G:$G,'Cash Flow'!$A33,'Wells Fargo'!$A:$A,Y$1,'Wells Fargo'!$B:$B,"&lt;="&amp;'Cash Flow'!Y$3,'Wells Fargo'!$B:$B,"&gt;"&amp;'Cash Flow'!X$3)</f>
        <v>0</v>
      </c>
      <c r="Z33" s="89">
        <f>SUMIFS('Wells Fargo'!$F:$F,'Wells Fargo'!$G:$G,'Cash Flow'!$A33,'Wells Fargo'!$A:$A,Z$1,'Wells Fargo'!$B:$B,"&lt;="&amp;'Cash Flow'!Z$3,'Wells Fargo'!$B:$B,"&gt;"&amp;'Cash Flow'!Y$3)</f>
        <v>0</v>
      </c>
      <c r="AA33" s="90">
        <f>SUMIFS('Wells Fargo'!$F:$F,'Wells Fargo'!$G:$G,'Cash Flow'!$A33,'Wells Fargo'!$A:$A,AA$1,'Wells Fargo'!$B:$B,"&lt;="&amp;'Cash Flow'!AA$3)</f>
        <v>0</v>
      </c>
      <c r="AB33" s="89">
        <f>SUMIFS('Wells Fargo'!$F:$F,'Wells Fargo'!$G:$G,'Cash Flow'!$A33,'Wells Fargo'!$A:$A,AB$1,'Wells Fargo'!$B:$B,"&lt;="&amp;'Cash Flow'!AB$3,'Wells Fargo'!$B:$B,"&gt;"&amp;'Cash Flow'!AA$3)</f>
        <v>0</v>
      </c>
      <c r="AC33" s="89">
        <f>SUMIFS('Wells Fargo'!$F:$F,'Wells Fargo'!$G:$G,'Cash Flow'!$A33,'Wells Fargo'!$A:$A,AC$1,'Wells Fargo'!$B:$B,"&lt;="&amp;'Cash Flow'!AC$3,'Wells Fargo'!$B:$B,"&gt;"&amp;'Cash Flow'!AB$3)</f>
        <v>0</v>
      </c>
      <c r="AD33" s="89">
        <f>SUMIFS('Wells Fargo'!$F:$F,'Wells Fargo'!$G:$G,'Cash Flow'!$A33,'Wells Fargo'!$A:$A,AD$1,'Wells Fargo'!$B:$B,"&lt;="&amp;'Cash Flow'!AD$3,'Wells Fargo'!$B:$B,"&gt;"&amp;'Cash Flow'!AC$3)</f>
        <v>0</v>
      </c>
      <c r="AE33" s="89">
        <f>SUMIFS('Wells Fargo'!$F:$F,'Wells Fargo'!$G:$G,'Cash Flow'!$A33,'Wells Fargo'!$A:$A,AE$1,'Wells Fargo'!$B:$B,"&lt;="&amp;'Cash Flow'!AE$3,'Wells Fargo'!$B:$B,"&gt;"&amp;'Cash Flow'!AD$3)</f>
        <v>0</v>
      </c>
      <c r="AF33" s="90">
        <f>SUMIFS('Wells Fargo'!$F:$F,'Wells Fargo'!$G:$G,'Cash Flow'!$A33,'Wells Fargo'!$A:$A,AF$1,'Wells Fargo'!$B:$B,"&lt;="&amp;'Cash Flow'!AF$3)</f>
        <v>0</v>
      </c>
      <c r="AG33" s="89">
        <f>SUMIFS('Wells Fargo'!$F:$F,'Wells Fargo'!$G:$G,'Cash Flow'!$A33,'Wells Fargo'!$A:$A,AG$1,'Wells Fargo'!$B:$B,"&lt;="&amp;'Cash Flow'!AG$3,'Wells Fargo'!$B:$B,"&gt;"&amp;'Cash Flow'!AF$3)</f>
        <v>0</v>
      </c>
      <c r="AH33" s="89">
        <f>SUMIFS('Wells Fargo'!$F:$F,'Wells Fargo'!$G:$G,'Cash Flow'!$A33,'Wells Fargo'!$A:$A,AH$1,'Wells Fargo'!$B:$B,"&lt;="&amp;'Cash Flow'!AH$3,'Wells Fargo'!$B:$B,"&gt;"&amp;'Cash Flow'!AG$3)</f>
        <v>0</v>
      </c>
      <c r="AI33" s="89">
        <f>SUMIFS('Wells Fargo'!$F:$F,'Wells Fargo'!$G:$G,'Cash Flow'!$A33,'Wells Fargo'!$A:$A,AI$1,'Wells Fargo'!$B:$B,"&lt;="&amp;'Cash Flow'!AI$3,'Wells Fargo'!$B:$B,"&gt;"&amp;'Cash Flow'!AH$3)</f>
        <v>0</v>
      </c>
      <c r="AJ33" s="89">
        <f>SUMIFS('Wells Fargo'!$F:$F,'Wells Fargo'!$G:$G,'Cash Flow'!$A33,'Wells Fargo'!$A:$A,AJ$1,'Wells Fargo'!$B:$B,"&lt;="&amp;'Cash Flow'!AJ$3,'Wells Fargo'!$B:$B,"&gt;"&amp;'Cash Flow'!AI$3)</f>
        <v>0</v>
      </c>
      <c r="AK33" s="90">
        <f>SUMIFS('Wells Fargo'!$F:$F,'Wells Fargo'!$G:$G,'Cash Flow'!$A33,'Wells Fargo'!$A:$A,AK$1,'Wells Fargo'!$B:$B,"&lt;="&amp;'Cash Flow'!AK$3)</f>
        <v>0</v>
      </c>
      <c r="AL33" s="89">
        <f>SUMIFS('Wells Fargo'!$F:$F,'Wells Fargo'!$G:$G,'Cash Flow'!$A33,'Wells Fargo'!$A:$A,AL$1,'Wells Fargo'!$B:$B,"&lt;="&amp;'Cash Flow'!AL$3,'Wells Fargo'!$B:$B,"&gt;"&amp;'Cash Flow'!AK$3)</f>
        <v>0</v>
      </c>
      <c r="AM33" s="89">
        <f>SUMIFS('Wells Fargo'!$F:$F,'Wells Fargo'!$G:$G,'Cash Flow'!$A33,'Wells Fargo'!$A:$A,AM$1,'Wells Fargo'!$B:$B,"&lt;="&amp;'Cash Flow'!AM$3,'Wells Fargo'!$B:$B,"&gt;"&amp;'Cash Flow'!AL$3)</f>
        <v>0</v>
      </c>
      <c r="AN33" s="89">
        <f>SUMIFS('Wells Fargo'!$F:$F,'Wells Fargo'!$G:$G,'Cash Flow'!$A33,'Wells Fargo'!$A:$A,AN$1,'Wells Fargo'!$B:$B,"&lt;="&amp;'Cash Flow'!AN$3,'Wells Fargo'!$B:$B,"&gt;"&amp;'Cash Flow'!AM$3)</f>
        <v>0</v>
      </c>
      <c r="AO33" s="89">
        <f>SUMIFS('Wells Fargo'!$F:$F,'Wells Fargo'!$G:$G,'Cash Flow'!$A33,'Wells Fargo'!$A:$A,AO$1,'Wells Fargo'!$B:$B,"&lt;="&amp;'Cash Flow'!AO$3,'Wells Fargo'!$B:$B,"&gt;"&amp;'Cash Flow'!AN$3)</f>
        <v>0</v>
      </c>
      <c r="AP33" s="90">
        <f>SUMIFS('Wells Fargo'!$F:$F,'Wells Fargo'!$G:$G,'Cash Flow'!$A33,'Wells Fargo'!$A:$A,AP$1,'Wells Fargo'!$B:$B,"&lt;="&amp;'Cash Flow'!AP$3)</f>
        <v>0</v>
      </c>
      <c r="AQ33" s="89">
        <f>SUMIFS('Wells Fargo'!$F:$F,'Wells Fargo'!$G:$G,'Cash Flow'!$A33,'Wells Fargo'!$A:$A,AQ$1,'Wells Fargo'!$B:$B,"&lt;="&amp;'Cash Flow'!AQ$3,'Wells Fargo'!$B:$B,"&gt;"&amp;'Cash Flow'!AP$3)</f>
        <v>0</v>
      </c>
      <c r="AR33" s="89">
        <f>SUMIFS('Wells Fargo'!$F:$F,'Wells Fargo'!$G:$G,'Cash Flow'!$A33,'Wells Fargo'!$A:$A,AR$1,'Wells Fargo'!$B:$B,"&lt;="&amp;'Cash Flow'!AR$3,'Wells Fargo'!$B:$B,"&gt;"&amp;'Cash Flow'!AQ$3)</f>
        <v>0</v>
      </c>
      <c r="AS33" s="89">
        <f>SUMIFS('Wells Fargo'!$F:$F,'Wells Fargo'!$G:$G,'Cash Flow'!$A33,'Wells Fargo'!$A:$A,AS$1,'Wells Fargo'!$B:$B,"&lt;="&amp;'Cash Flow'!AS$3,'Wells Fargo'!$B:$B,"&gt;"&amp;'Cash Flow'!AR$3)</f>
        <v>0</v>
      </c>
      <c r="AT33" s="89">
        <f>SUMIFS('Wells Fargo'!$F:$F,'Wells Fargo'!$G:$G,'Cash Flow'!$A33,'Wells Fargo'!$A:$A,AT$1,'Wells Fargo'!$B:$B,"&lt;="&amp;'Cash Flow'!AT$3,'Wells Fargo'!$B:$B,"&gt;"&amp;'Cash Flow'!AS$3)</f>
        <v>0</v>
      </c>
      <c r="AU33" s="90">
        <f>SUMIFS('Wells Fargo'!$F:$F,'Wells Fargo'!$G:$G,'Cash Flow'!$A33,'Wells Fargo'!$A:$A,AU$1,'Wells Fargo'!$B:$B,"&lt;="&amp;'Cash Flow'!AU$3)</f>
        <v>0</v>
      </c>
      <c r="AV33" s="89">
        <f>SUMIFS('Wells Fargo'!$F:$F,'Wells Fargo'!$G:$G,'Cash Flow'!$A33,'Wells Fargo'!$A:$A,AV$1,'Wells Fargo'!$B:$B,"&lt;="&amp;'Cash Flow'!AV$3,'Wells Fargo'!$B:$B,"&gt;"&amp;'Cash Flow'!AU$3)</f>
        <v>0</v>
      </c>
      <c r="AW33" s="89">
        <f>SUMIFS('Wells Fargo'!$F:$F,'Wells Fargo'!$G:$G,'Cash Flow'!$A33,'Wells Fargo'!$A:$A,AW$1,'Wells Fargo'!$B:$B,"&lt;="&amp;'Cash Flow'!AW$3,'Wells Fargo'!$B:$B,"&gt;"&amp;'Cash Flow'!AV$3)</f>
        <v>0</v>
      </c>
      <c r="AX33" s="89">
        <f>SUMIFS('Wells Fargo'!$F:$F,'Wells Fargo'!$G:$G,'Cash Flow'!$A33,'Wells Fargo'!$A:$A,AX$1,'Wells Fargo'!$B:$B,"&lt;="&amp;'Cash Flow'!AX$3,'Wells Fargo'!$B:$B,"&gt;"&amp;'Cash Flow'!AW$3)</f>
        <v>0</v>
      </c>
      <c r="AY33" s="89">
        <f>SUMIFS('Wells Fargo'!$F:$F,'Wells Fargo'!$G:$G,'Cash Flow'!$A33,'Wells Fargo'!$A:$A,AY$1,'Wells Fargo'!$B:$B,"&lt;="&amp;'Cash Flow'!AY$3,'Wells Fargo'!$B:$B,"&gt;"&amp;'Cash Flow'!AX$3)</f>
        <v>0</v>
      </c>
      <c r="AZ33" s="90">
        <f>SUMIFS('Wells Fargo'!$F:$F,'Wells Fargo'!$G:$G,'Cash Flow'!$A33,'Wells Fargo'!$A:$A,AZ$1,'Wells Fargo'!$B:$B,"&lt;="&amp;'Cash Flow'!AZ$3)</f>
        <v>0</v>
      </c>
      <c r="BA33" s="89">
        <f>SUMIFS('Wells Fargo'!$F:$F,'Wells Fargo'!$G:$G,'Cash Flow'!$A33,'Wells Fargo'!$A:$A,BA$1,'Wells Fargo'!$B:$B,"&lt;="&amp;'Cash Flow'!BA$3,'Wells Fargo'!$B:$B,"&gt;"&amp;'Cash Flow'!AZ$3)</f>
        <v>0</v>
      </c>
      <c r="BB33" s="89">
        <f>SUMIFS('Wells Fargo'!$F:$F,'Wells Fargo'!$G:$G,'Cash Flow'!$A33,'Wells Fargo'!$A:$A,BB$1,'Wells Fargo'!$B:$B,"&lt;="&amp;'Cash Flow'!BB$3,'Wells Fargo'!$B:$B,"&gt;"&amp;'Cash Flow'!BA$3)</f>
        <v>0</v>
      </c>
      <c r="BC33" s="89">
        <f>SUMIFS('Wells Fargo'!$F:$F,'Wells Fargo'!$G:$G,'Cash Flow'!$A33,'Wells Fargo'!$A:$A,BC$1,'Wells Fargo'!$B:$B,"&lt;="&amp;'Cash Flow'!BC$3,'Wells Fargo'!$B:$B,"&gt;"&amp;'Cash Flow'!BB$3)</f>
        <v>0</v>
      </c>
      <c r="BD33" s="89">
        <f>SUMIFS('Wells Fargo'!$F:$F,'Wells Fargo'!$G:$G,'Cash Flow'!$A33,'Wells Fargo'!$A:$A,BD$1,'Wells Fargo'!$B:$B,"&lt;="&amp;'Cash Flow'!BD$3,'Wells Fargo'!$B:$B,"&gt;"&amp;'Cash Flow'!BC$3)</f>
        <v>0</v>
      </c>
      <c r="BE33" s="90">
        <f>SUMIFS('Wells Fargo'!$F:$F,'Wells Fargo'!$G:$G,'Cash Flow'!$A33,'Wells Fargo'!$A:$A,BE$1,'Wells Fargo'!$B:$B,"&lt;="&amp;'Cash Flow'!BE$3)</f>
        <v>0</v>
      </c>
      <c r="BF33" s="89">
        <f>SUMIFS('Wells Fargo'!$F:$F,'Wells Fargo'!$G:$G,'Cash Flow'!$A33,'Wells Fargo'!$A:$A,BF$1,'Wells Fargo'!$B:$B,"&lt;="&amp;'Cash Flow'!BF$3,'Wells Fargo'!$B:$B,"&gt;"&amp;'Cash Flow'!BE$3)</f>
        <v>0</v>
      </c>
      <c r="BG33" s="89">
        <f>SUMIFS('Wells Fargo'!$F:$F,'Wells Fargo'!$G:$G,'Cash Flow'!$A33,'Wells Fargo'!$A:$A,BG$1,'Wells Fargo'!$B:$B,"&lt;="&amp;'Cash Flow'!BG$3,'Wells Fargo'!$B:$B,"&gt;"&amp;'Cash Flow'!BF$3)</f>
        <v>0</v>
      </c>
      <c r="BH33" s="89">
        <f>SUMIFS('Wells Fargo'!$F:$F,'Wells Fargo'!$G:$G,'Cash Flow'!$A33,'Wells Fargo'!$A:$A,BH$1,'Wells Fargo'!$B:$B,"&lt;="&amp;'Cash Flow'!BH$3,'Wells Fargo'!$B:$B,"&gt;"&amp;'Cash Flow'!BG$3)</f>
        <v>0</v>
      </c>
      <c r="BI33" s="89">
        <f>SUMIFS('Wells Fargo'!$F:$F,'Wells Fargo'!$G:$G,'Cash Flow'!$A33,'Wells Fargo'!$A:$A,BI$1,'Wells Fargo'!$B:$B,"&lt;="&amp;'Cash Flow'!BI$3,'Wells Fargo'!$B:$B,"&gt;"&amp;'Cash Flow'!BH$3)</f>
        <v>0</v>
      </c>
    </row>
    <row r="34" spans="1:61" ht="12.75" x14ac:dyDescent="0.2">
      <c r="A34" t="str">
        <v>Kaiya</v>
      </c>
      <c r="B34" s="15">
        <f t="shared" si="0"/>
        <v>-20</v>
      </c>
      <c r="C34" s="90">
        <f>SUMIFS('Wells Fargo'!$F:$F,'Wells Fargo'!$G:$G,'Cash Flow'!$A34,'Wells Fargo'!$A:$A,C$1,'Wells Fargo'!$B:$B,"&lt;="&amp;'Cash Flow'!C$3)</f>
        <v>0</v>
      </c>
      <c r="D34" s="89">
        <f>SUMIFS('Wells Fargo'!$F:$F,'Wells Fargo'!$G:$G,'Cash Flow'!$A34,'Wells Fargo'!$A:$A,D$1,'Wells Fargo'!$B:$B,"&lt;="&amp;'Cash Flow'!D$3,'Wells Fargo'!$B:$B,"&gt;"&amp;'Cash Flow'!C$3)</f>
        <v>0</v>
      </c>
      <c r="E34" s="89">
        <f>SUMIFS('Wells Fargo'!$F:$F,'Wells Fargo'!$G:$G,'Cash Flow'!$A34,'Wells Fargo'!$A:$A,E$1,'Wells Fargo'!$B:$B,"&lt;="&amp;'Cash Flow'!E$3,'Wells Fargo'!$B:$B,"&gt;"&amp;'Cash Flow'!D$3)</f>
        <v>0</v>
      </c>
      <c r="F34" s="89">
        <f>SUMIFS('Wells Fargo'!$F:$F,'Wells Fargo'!$G:$G,'Cash Flow'!$A34,'Wells Fargo'!$A:$A,F$1,'Wells Fargo'!$B:$B,"&lt;="&amp;'Cash Flow'!F$3,'Wells Fargo'!$B:$B,"&gt;"&amp;'Cash Flow'!E$3)</f>
        <v>0</v>
      </c>
      <c r="G34" s="89">
        <f>SUMIFS('Wells Fargo'!$F:$F,'Wells Fargo'!$G:$G,'Cash Flow'!$A34,'Wells Fargo'!$A:$A,G$1,'Wells Fargo'!$B:$B,"&lt;="&amp;'Cash Flow'!G$3,'Wells Fargo'!$B:$B,"&gt;"&amp;'Cash Flow'!F$3)</f>
        <v>0</v>
      </c>
      <c r="H34" s="90">
        <f>SUMIFS('Wells Fargo'!$F:$F,'Wells Fargo'!$G:$G,'Cash Flow'!$A34,'Wells Fargo'!$A:$A,H$1,'Wells Fargo'!$B:$B,"&lt;="&amp;'Cash Flow'!H$3)</f>
        <v>0</v>
      </c>
      <c r="I34" s="89">
        <f>SUMIFS('Wells Fargo'!$F:$F,'Wells Fargo'!$G:$G,'Cash Flow'!$A34,'Wells Fargo'!$A:$A,I$1,'Wells Fargo'!$B:$B,"&lt;="&amp;'Cash Flow'!I$3,'Wells Fargo'!$B:$B,"&gt;"&amp;'Cash Flow'!H$3)</f>
        <v>0</v>
      </c>
      <c r="J34" s="89">
        <f>SUMIFS('Wells Fargo'!$F:$F,'Wells Fargo'!$G:$G,'Cash Flow'!$A34,'Wells Fargo'!$A:$A,J$1,'Wells Fargo'!$B:$B,"&lt;="&amp;'Cash Flow'!J$3,'Wells Fargo'!$B:$B,"&gt;"&amp;'Cash Flow'!I$3)</f>
        <v>0</v>
      </c>
      <c r="K34" s="89">
        <f>SUMIFS('Wells Fargo'!$F:$F,'Wells Fargo'!$G:$G,'Cash Flow'!$A34,'Wells Fargo'!$A:$A,K$1,'Wells Fargo'!$B:$B,"&lt;="&amp;'Cash Flow'!K$3,'Wells Fargo'!$B:$B,"&gt;"&amp;'Cash Flow'!J$3)</f>
        <v>0</v>
      </c>
      <c r="L34" s="90">
        <f>SUMIFS('Wells Fargo'!$F:$F,'Wells Fargo'!$G:$G,'Cash Flow'!$A34,'Wells Fargo'!$A:$A,L$1,'Wells Fargo'!$B:$B,"&lt;="&amp;'Cash Flow'!L$3)</f>
        <v>0</v>
      </c>
      <c r="M34" s="89">
        <f>SUMIFS('Wells Fargo'!$F:$F,'Wells Fargo'!$G:$G,'Cash Flow'!$A34,'Wells Fargo'!$A:$A,M$1,'Wells Fargo'!$B:$B,"&lt;="&amp;'Cash Flow'!M$3,'Wells Fargo'!$B:$B,"&gt;"&amp;'Cash Flow'!L$3)</f>
        <v>0</v>
      </c>
      <c r="N34" s="89">
        <f>SUMIFS('Wells Fargo'!$F:$F,'Wells Fargo'!$G:$G,'Cash Flow'!$A34,'Wells Fargo'!$A:$A,N$1,'Wells Fargo'!$B:$B,"&lt;="&amp;'Cash Flow'!N$3,'Wells Fargo'!$B:$B,"&gt;"&amp;'Cash Flow'!M$3)</f>
        <v>0</v>
      </c>
      <c r="O34" s="89">
        <f>SUMIFS('Wells Fargo'!$F:$F,'Wells Fargo'!$G:$G,'Cash Flow'!$A34,'Wells Fargo'!$A:$A,O$1,'Wells Fargo'!$B:$B,"&lt;="&amp;'Cash Flow'!O$3,'Wells Fargo'!$B:$B,"&gt;"&amp;'Cash Flow'!N$3)</f>
        <v>0</v>
      </c>
      <c r="P34" s="89">
        <f>SUMIFS('Wells Fargo'!$F:$F,'Wells Fargo'!$G:$G,'Cash Flow'!$A34,'Wells Fargo'!$A:$A,P$1,'Wells Fargo'!$B:$B,"&lt;="&amp;'Cash Flow'!P$3,'Wells Fargo'!$B:$B,"&gt;"&amp;'Cash Flow'!O$3)</f>
        <v>0</v>
      </c>
      <c r="Q34" s="90">
        <f>SUMIFS('Wells Fargo'!$F:$F,'Wells Fargo'!$G:$G,'Cash Flow'!$A34,'Wells Fargo'!$A:$A,Q$1,'Wells Fargo'!$B:$B,"&lt;="&amp;'Cash Flow'!Q$3)</f>
        <v>0</v>
      </c>
      <c r="R34" s="89">
        <f>SUMIFS('Wells Fargo'!$F:$F,'Wells Fargo'!$G:$G,'Cash Flow'!$A34,'Wells Fargo'!$A:$A,R$1,'Wells Fargo'!$B:$B,"&lt;="&amp;'Cash Flow'!R$3,'Wells Fargo'!$B:$B,"&gt;"&amp;'Cash Flow'!Q$3)</f>
        <v>0</v>
      </c>
      <c r="S34" s="89">
        <f>SUMIFS('Wells Fargo'!$F:$F,'Wells Fargo'!$G:$G,'Cash Flow'!$A34,'Wells Fargo'!$A:$A,S$1,'Wells Fargo'!$B:$B,"&lt;="&amp;'Cash Flow'!S$3,'Wells Fargo'!$B:$B,"&gt;"&amp;'Cash Flow'!R$3)</f>
        <v>0</v>
      </c>
      <c r="T34" s="89">
        <f>SUMIFS('Wells Fargo'!$F:$F,'Wells Fargo'!$G:$G,'Cash Flow'!$A34,'Wells Fargo'!$A:$A,T$1,'Wells Fargo'!$B:$B,"&lt;="&amp;'Cash Flow'!T$3,'Wells Fargo'!$B:$B,"&gt;"&amp;'Cash Flow'!S$3)</f>
        <v>0</v>
      </c>
      <c r="U34" s="89">
        <f>SUMIFS('Wells Fargo'!$F:$F,'Wells Fargo'!$G:$G,'Cash Flow'!$A34,'Wells Fargo'!$A:$A,U$1,'Wells Fargo'!$B:$B,"&lt;="&amp;'Cash Flow'!U$3,'Wells Fargo'!$B:$B,"&gt;"&amp;'Cash Flow'!T$3)</f>
        <v>0</v>
      </c>
      <c r="V34" s="90">
        <f>SUMIFS('Wells Fargo'!$F:$F,'Wells Fargo'!$G:$G,'Cash Flow'!$A34,'Wells Fargo'!$A:$A,V$1,'Wells Fargo'!$B:$B,"&lt;="&amp;'Cash Flow'!V$3)</f>
        <v>0</v>
      </c>
      <c r="W34" s="89">
        <f>SUMIFS('Wells Fargo'!$F:$F,'Wells Fargo'!$G:$G,'Cash Flow'!$A34,'Wells Fargo'!$A:$A,W$1,'Wells Fargo'!$B:$B,"&lt;="&amp;'Cash Flow'!W$3,'Wells Fargo'!$B:$B,"&gt;"&amp;'Cash Flow'!V$3)</f>
        <v>0</v>
      </c>
      <c r="X34" s="89">
        <f>SUMIFS('Wells Fargo'!$F:$F,'Wells Fargo'!$G:$G,'Cash Flow'!$A34,'Wells Fargo'!$A:$A,X$1,'Wells Fargo'!$B:$B,"&lt;="&amp;'Cash Flow'!X$3,'Wells Fargo'!$B:$B,"&gt;"&amp;'Cash Flow'!W$3)</f>
        <v>0</v>
      </c>
      <c r="Y34" s="89">
        <f>SUMIFS('Wells Fargo'!$F:$F,'Wells Fargo'!$G:$G,'Cash Flow'!$A34,'Wells Fargo'!$A:$A,Y$1,'Wells Fargo'!$B:$B,"&lt;="&amp;'Cash Flow'!Y$3,'Wells Fargo'!$B:$B,"&gt;"&amp;'Cash Flow'!X$3)</f>
        <v>0</v>
      </c>
      <c r="Z34" s="89">
        <f>SUMIFS('Wells Fargo'!$F:$F,'Wells Fargo'!$G:$G,'Cash Flow'!$A34,'Wells Fargo'!$A:$A,Z$1,'Wells Fargo'!$B:$B,"&lt;="&amp;'Cash Flow'!Z$3,'Wells Fargo'!$B:$B,"&gt;"&amp;'Cash Flow'!Y$3)</f>
        <v>0</v>
      </c>
      <c r="AA34" s="90">
        <f>SUMIFS('Wells Fargo'!$F:$F,'Wells Fargo'!$G:$G,'Cash Flow'!$A34,'Wells Fargo'!$A:$A,AA$1,'Wells Fargo'!$B:$B,"&lt;="&amp;'Cash Flow'!AA$3)</f>
        <v>0</v>
      </c>
      <c r="AB34" s="89">
        <f>SUMIFS('Wells Fargo'!$F:$F,'Wells Fargo'!$G:$G,'Cash Flow'!$A34,'Wells Fargo'!$A:$A,AB$1,'Wells Fargo'!$B:$B,"&lt;="&amp;'Cash Flow'!AB$3,'Wells Fargo'!$B:$B,"&gt;"&amp;'Cash Flow'!AA$3)</f>
        <v>0</v>
      </c>
      <c r="AC34" s="89">
        <f>SUMIFS('Wells Fargo'!$F:$F,'Wells Fargo'!$G:$G,'Cash Flow'!$A34,'Wells Fargo'!$A:$A,AC$1,'Wells Fargo'!$B:$B,"&lt;="&amp;'Cash Flow'!AC$3,'Wells Fargo'!$B:$B,"&gt;"&amp;'Cash Flow'!AB$3)</f>
        <v>0</v>
      </c>
      <c r="AD34" s="89">
        <f>SUMIFS('Wells Fargo'!$F:$F,'Wells Fargo'!$G:$G,'Cash Flow'!$A34,'Wells Fargo'!$A:$A,AD$1,'Wells Fargo'!$B:$B,"&lt;="&amp;'Cash Flow'!AD$3,'Wells Fargo'!$B:$B,"&gt;"&amp;'Cash Flow'!AC$3)</f>
        <v>0</v>
      </c>
      <c r="AE34" s="89">
        <f>SUMIFS('Wells Fargo'!$F:$F,'Wells Fargo'!$G:$G,'Cash Flow'!$A34,'Wells Fargo'!$A:$A,AE$1,'Wells Fargo'!$B:$B,"&lt;="&amp;'Cash Flow'!AE$3,'Wells Fargo'!$B:$B,"&gt;"&amp;'Cash Flow'!AD$3)</f>
        <v>0</v>
      </c>
      <c r="AF34" s="90">
        <f>SUMIFS('Wells Fargo'!$F:$F,'Wells Fargo'!$G:$G,'Cash Flow'!$A34,'Wells Fargo'!$A:$A,AF$1,'Wells Fargo'!$B:$B,"&lt;="&amp;'Cash Flow'!AF$3)</f>
        <v>0</v>
      </c>
      <c r="AG34" s="89">
        <f>SUMIFS('Wells Fargo'!$F:$F,'Wells Fargo'!$G:$G,'Cash Flow'!$A34,'Wells Fargo'!$A:$A,AG$1,'Wells Fargo'!$B:$B,"&lt;="&amp;'Cash Flow'!AG$3,'Wells Fargo'!$B:$B,"&gt;"&amp;'Cash Flow'!AF$3)</f>
        <v>0</v>
      </c>
      <c r="AH34" s="89">
        <f>SUMIFS('Wells Fargo'!$F:$F,'Wells Fargo'!$G:$G,'Cash Flow'!$A34,'Wells Fargo'!$A:$A,AH$1,'Wells Fargo'!$B:$B,"&lt;="&amp;'Cash Flow'!AH$3,'Wells Fargo'!$B:$B,"&gt;"&amp;'Cash Flow'!AG$3)</f>
        <v>0</v>
      </c>
      <c r="AI34" s="89">
        <f>SUMIFS('Wells Fargo'!$F:$F,'Wells Fargo'!$G:$G,'Cash Flow'!$A34,'Wells Fargo'!$A:$A,AI$1,'Wells Fargo'!$B:$B,"&lt;="&amp;'Cash Flow'!AI$3,'Wells Fargo'!$B:$B,"&gt;"&amp;'Cash Flow'!AH$3)</f>
        <v>0</v>
      </c>
      <c r="AJ34" s="89">
        <f>SUMIFS('Wells Fargo'!$F:$F,'Wells Fargo'!$G:$G,'Cash Flow'!$A34,'Wells Fargo'!$A:$A,AJ$1,'Wells Fargo'!$B:$B,"&lt;="&amp;'Cash Flow'!AJ$3,'Wells Fargo'!$B:$B,"&gt;"&amp;'Cash Flow'!AI$3)</f>
        <v>0</v>
      </c>
      <c r="AK34" s="90">
        <f>SUMIFS('Wells Fargo'!$F:$F,'Wells Fargo'!$G:$G,'Cash Flow'!$A34,'Wells Fargo'!$A:$A,AK$1,'Wells Fargo'!$B:$B,"&lt;="&amp;'Cash Flow'!AK$3)</f>
        <v>0</v>
      </c>
      <c r="AL34" s="89">
        <f>SUMIFS('Wells Fargo'!$F:$F,'Wells Fargo'!$G:$G,'Cash Flow'!$A34,'Wells Fargo'!$A:$A,AL$1,'Wells Fargo'!$B:$B,"&lt;="&amp;'Cash Flow'!AL$3,'Wells Fargo'!$B:$B,"&gt;"&amp;'Cash Flow'!AK$3)</f>
        <v>-20</v>
      </c>
      <c r="AM34" s="89">
        <f>SUMIFS('Wells Fargo'!$F:$F,'Wells Fargo'!$G:$G,'Cash Flow'!$A34,'Wells Fargo'!$A:$A,AM$1,'Wells Fargo'!$B:$B,"&lt;="&amp;'Cash Flow'!AM$3,'Wells Fargo'!$B:$B,"&gt;"&amp;'Cash Flow'!AL$3)</f>
        <v>0</v>
      </c>
      <c r="AN34" s="89">
        <f>SUMIFS('Wells Fargo'!$F:$F,'Wells Fargo'!$G:$G,'Cash Flow'!$A34,'Wells Fargo'!$A:$A,AN$1,'Wells Fargo'!$B:$B,"&lt;="&amp;'Cash Flow'!AN$3,'Wells Fargo'!$B:$B,"&gt;"&amp;'Cash Flow'!AM$3)</f>
        <v>0</v>
      </c>
      <c r="AO34" s="89">
        <f>SUMIFS('Wells Fargo'!$F:$F,'Wells Fargo'!$G:$G,'Cash Flow'!$A34,'Wells Fargo'!$A:$A,AO$1,'Wells Fargo'!$B:$B,"&lt;="&amp;'Cash Flow'!AO$3,'Wells Fargo'!$B:$B,"&gt;"&amp;'Cash Flow'!AN$3)</f>
        <v>0</v>
      </c>
      <c r="AP34" s="90">
        <f>SUMIFS('Wells Fargo'!$F:$F,'Wells Fargo'!$G:$G,'Cash Flow'!$A34,'Wells Fargo'!$A:$A,AP$1,'Wells Fargo'!$B:$B,"&lt;="&amp;'Cash Flow'!AP$3)</f>
        <v>0</v>
      </c>
      <c r="AQ34" s="89">
        <f>SUMIFS('Wells Fargo'!$F:$F,'Wells Fargo'!$G:$G,'Cash Flow'!$A34,'Wells Fargo'!$A:$A,AQ$1,'Wells Fargo'!$B:$B,"&lt;="&amp;'Cash Flow'!AQ$3,'Wells Fargo'!$B:$B,"&gt;"&amp;'Cash Flow'!AP$3)</f>
        <v>0</v>
      </c>
      <c r="AR34" s="89">
        <f>SUMIFS('Wells Fargo'!$F:$F,'Wells Fargo'!$G:$G,'Cash Flow'!$A34,'Wells Fargo'!$A:$A,AR$1,'Wells Fargo'!$B:$B,"&lt;="&amp;'Cash Flow'!AR$3,'Wells Fargo'!$B:$B,"&gt;"&amp;'Cash Flow'!AQ$3)</f>
        <v>0</v>
      </c>
      <c r="AS34" s="89">
        <f>SUMIFS('Wells Fargo'!$F:$F,'Wells Fargo'!$G:$G,'Cash Flow'!$A34,'Wells Fargo'!$A:$A,AS$1,'Wells Fargo'!$B:$B,"&lt;="&amp;'Cash Flow'!AS$3,'Wells Fargo'!$B:$B,"&gt;"&amp;'Cash Flow'!AR$3)</f>
        <v>0</v>
      </c>
      <c r="AT34" s="89">
        <f>SUMIFS('Wells Fargo'!$F:$F,'Wells Fargo'!$G:$G,'Cash Flow'!$A34,'Wells Fargo'!$A:$A,AT$1,'Wells Fargo'!$B:$B,"&lt;="&amp;'Cash Flow'!AT$3,'Wells Fargo'!$B:$B,"&gt;"&amp;'Cash Flow'!AS$3)</f>
        <v>0</v>
      </c>
      <c r="AU34" s="90">
        <f>SUMIFS('Wells Fargo'!$F:$F,'Wells Fargo'!$G:$G,'Cash Flow'!$A34,'Wells Fargo'!$A:$A,AU$1,'Wells Fargo'!$B:$B,"&lt;="&amp;'Cash Flow'!AU$3)</f>
        <v>0</v>
      </c>
      <c r="AV34" s="89">
        <f>SUMIFS('Wells Fargo'!$F:$F,'Wells Fargo'!$G:$G,'Cash Flow'!$A34,'Wells Fargo'!$A:$A,AV$1,'Wells Fargo'!$B:$B,"&lt;="&amp;'Cash Flow'!AV$3,'Wells Fargo'!$B:$B,"&gt;"&amp;'Cash Flow'!AU$3)</f>
        <v>0</v>
      </c>
      <c r="AW34" s="89">
        <f>SUMIFS('Wells Fargo'!$F:$F,'Wells Fargo'!$G:$G,'Cash Flow'!$A34,'Wells Fargo'!$A:$A,AW$1,'Wells Fargo'!$B:$B,"&lt;="&amp;'Cash Flow'!AW$3,'Wells Fargo'!$B:$B,"&gt;"&amp;'Cash Flow'!AV$3)</f>
        <v>0</v>
      </c>
      <c r="AX34" s="89">
        <f>SUMIFS('Wells Fargo'!$F:$F,'Wells Fargo'!$G:$G,'Cash Flow'!$A34,'Wells Fargo'!$A:$A,AX$1,'Wells Fargo'!$B:$B,"&lt;="&amp;'Cash Flow'!AX$3,'Wells Fargo'!$B:$B,"&gt;"&amp;'Cash Flow'!AW$3)</f>
        <v>0</v>
      </c>
      <c r="AY34" s="89">
        <f>SUMIFS('Wells Fargo'!$F:$F,'Wells Fargo'!$G:$G,'Cash Flow'!$A34,'Wells Fargo'!$A:$A,AY$1,'Wells Fargo'!$B:$B,"&lt;="&amp;'Cash Flow'!AY$3,'Wells Fargo'!$B:$B,"&gt;"&amp;'Cash Flow'!AX$3)</f>
        <v>0</v>
      </c>
      <c r="AZ34" s="90">
        <f>SUMIFS('Wells Fargo'!$F:$F,'Wells Fargo'!$G:$G,'Cash Flow'!$A34,'Wells Fargo'!$A:$A,AZ$1,'Wells Fargo'!$B:$B,"&lt;="&amp;'Cash Flow'!AZ$3)</f>
        <v>0</v>
      </c>
      <c r="BA34" s="89">
        <f>SUMIFS('Wells Fargo'!$F:$F,'Wells Fargo'!$G:$G,'Cash Flow'!$A34,'Wells Fargo'!$A:$A,BA$1,'Wells Fargo'!$B:$B,"&lt;="&amp;'Cash Flow'!BA$3,'Wells Fargo'!$B:$B,"&gt;"&amp;'Cash Flow'!AZ$3)</f>
        <v>0</v>
      </c>
      <c r="BB34" s="89">
        <f>SUMIFS('Wells Fargo'!$F:$F,'Wells Fargo'!$G:$G,'Cash Flow'!$A34,'Wells Fargo'!$A:$A,BB$1,'Wells Fargo'!$B:$B,"&lt;="&amp;'Cash Flow'!BB$3,'Wells Fargo'!$B:$B,"&gt;"&amp;'Cash Flow'!BA$3)</f>
        <v>0</v>
      </c>
      <c r="BC34" s="89">
        <f>SUMIFS('Wells Fargo'!$F:$F,'Wells Fargo'!$G:$G,'Cash Flow'!$A34,'Wells Fargo'!$A:$A,BC$1,'Wells Fargo'!$B:$B,"&lt;="&amp;'Cash Flow'!BC$3,'Wells Fargo'!$B:$B,"&gt;"&amp;'Cash Flow'!BB$3)</f>
        <v>0</v>
      </c>
      <c r="BD34" s="89">
        <f>SUMIFS('Wells Fargo'!$F:$F,'Wells Fargo'!$G:$G,'Cash Flow'!$A34,'Wells Fargo'!$A:$A,BD$1,'Wells Fargo'!$B:$B,"&lt;="&amp;'Cash Flow'!BD$3,'Wells Fargo'!$B:$B,"&gt;"&amp;'Cash Flow'!BC$3)</f>
        <v>0</v>
      </c>
      <c r="BE34" s="90">
        <f>SUMIFS('Wells Fargo'!$F:$F,'Wells Fargo'!$G:$G,'Cash Flow'!$A34,'Wells Fargo'!$A:$A,BE$1,'Wells Fargo'!$B:$B,"&lt;="&amp;'Cash Flow'!BE$3)</f>
        <v>0</v>
      </c>
      <c r="BF34" s="89">
        <f>SUMIFS('Wells Fargo'!$F:$F,'Wells Fargo'!$G:$G,'Cash Flow'!$A34,'Wells Fargo'!$A:$A,BF$1,'Wells Fargo'!$B:$B,"&lt;="&amp;'Cash Flow'!BF$3,'Wells Fargo'!$B:$B,"&gt;"&amp;'Cash Flow'!BE$3)</f>
        <v>0</v>
      </c>
      <c r="BG34" s="89">
        <f>SUMIFS('Wells Fargo'!$F:$F,'Wells Fargo'!$G:$G,'Cash Flow'!$A34,'Wells Fargo'!$A:$A,BG$1,'Wells Fargo'!$B:$B,"&lt;="&amp;'Cash Flow'!BG$3,'Wells Fargo'!$B:$B,"&gt;"&amp;'Cash Flow'!BF$3)</f>
        <v>0</v>
      </c>
      <c r="BH34" s="89">
        <f>SUMIFS('Wells Fargo'!$F:$F,'Wells Fargo'!$G:$G,'Cash Flow'!$A34,'Wells Fargo'!$A:$A,BH$1,'Wells Fargo'!$B:$B,"&lt;="&amp;'Cash Flow'!BH$3,'Wells Fargo'!$B:$B,"&gt;"&amp;'Cash Flow'!BG$3)</f>
        <v>0</v>
      </c>
      <c r="BI34" s="89">
        <f>SUMIFS('Wells Fargo'!$F:$F,'Wells Fargo'!$G:$G,'Cash Flow'!$A34,'Wells Fargo'!$A:$A,BI$1,'Wells Fargo'!$B:$B,"&lt;="&amp;'Cash Flow'!BI$3,'Wells Fargo'!$B:$B,"&gt;"&amp;'Cash Flow'!BH$3)</f>
        <v>0</v>
      </c>
    </row>
    <row r="35" spans="1:61" ht="12.75" x14ac:dyDescent="0.2">
      <c r="A35" t="str">
        <v>Luminality Event</v>
      </c>
      <c r="B35" s="15">
        <f t="shared" si="0"/>
        <v>-78.75</v>
      </c>
      <c r="C35" s="90">
        <f>SUMIFS('Wells Fargo'!$F:$F,'Wells Fargo'!$G:$G,'Cash Flow'!$A35,'Wells Fargo'!$A:$A,C$1,'Wells Fargo'!$B:$B,"&lt;="&amp;'Cash Flow'!C$3)</f>
        <v>0</v>
      </c>
      <c r="D35" s="89">
        <f>SUMIFS('Wells Fargo'!$F:$F,'Wells Fargo'!$G:$G,'Cash Flow'!$A35,'Wells Fargo'!$A:$A,D$1,'Wells Fargo'!$B:$B,"&lt;="&amp;'Cash Flow'!D$3,'Wells Fargo'!$B:$B,"&gt;"&amp;'Cash Flow'!C$3)</f>
        <v>0</v>
      </c>
      <c r="E35" s="89">
        <f>SUMIFS('Wells Fargo'!$F:$F,'Wells Fargo'!$G:$G,'Cash Flow'!$A35,'Wells Fargo'!$A:$A,E$1,'Wells Fargo'!$B:$B,"&lt;="&amp;'Cash Flow'!E$3,'Wells Fargo'!$B:$B,"&gt;"&amp;'Cash Flow'!D$3)</f>
        <v>0</v>
      </c>
      <c r="F35" s="89">
        <f>SUMIFS('Wells Fargo'!$F:$F,'Wells Fargo'!$G:$G,'Cash Flow'!$A35,'Wells Fargo'!$A:$A,F$1,'Wells Fargo'!$B:$B,"&lt;="&amp;'Cash Flow'!F$3,'Wells Fargo'!$B:$B,"&gt;"&amp;'Cash Flow'!E$3)</f>
        <v>0</v>
      </c>
      <c r="G35" s="89">
        <f>SUMIFS('Wells Fargo'!$F:$F,'Wells Fargo'!$G:$G,'Cash Flow'!$A35,'Wells Fargo'!$A:$A,G$1,'Wells Fargo'!$B:$B,"&lt;="&amp;'Cash Flow'!G$3,'Wells Fargo'!$B:$B,"&gt;"&amp;'Cash Flow'!F$3)</f>
        <v>0</v>
      </c>
      <c r="H35" s="90">
        <f>SUMIFS('Wells Fargo'!$F:$F,'Wells Fargo'!$G:$G,'Cash Flow'!$A35,'Wells Fargo'!$A:$A,H$1,'Wells Fargo'!$B:$B,"&lt;="&amp;'Cash Flow'!H$3)</f>
        <v>0</v>
      </c>
      <c r="I35" s="89">
        <f>SUMIFS('Wells Fargo'!$F:$F,'Wells Fargo'!$G:$G,'Cash Flow'!$A35,'Wells Fargo'!$A:$A,I$1,'Wells Fargo'!$B:$B,"&lt;="&amp;'Cash Flow'!I$3,'Wells Fargo'!$B:$B,"&gt;"&amp;'Cash Flow'!H$3)</f>
        <v>0</v>
      </c>
      <c r="J35" s="89">
        <f>SUMIFS('Wells Fargo'!$F:$F,'Wells Fargo'!$G:$G,'Cash Flow'!$A35,'Wells Fargo'!$A:$A,J$1,'Wells Fargo'!$B:$B,"&lt;="&amp;'Cash Flow'!J$3,'Wells Fargo'!$B:$B,"&gt;"&amp;'Cash Flow'!I$3)</f>
        <v>0</v>
      </c>
      <c r="K35" s="89">
        <f>SUMIFS('Wells Fargo'!$F:$F,'Wells Fargo'!$G:$G,'Cash Flow'!$A35,'Wells Fargo'!$A:$A,K$1,'Wells Fargo'!$B:$B,"&lt;="&amp;'Cash Flow'!K$3,'Wells Fargo'!$B:$B,"&gt;"&amp;'Cash Flow'!J$3)</f>
        <v>0</v>
      </c>
      <c r="L35" s="90">
        <f>SUMIFS('Wells Fargo'!$F:$F,'Wells Fargo'!$G:$G,'Cash Flow'!$A35,'Wells Fargo'!$A:$A,L$1,'Wells Fargo'!$B:$B,"&lt;="&amp;'Cash Flow'!L$3)</f>
        <v>0</v>
      </c>
      <c r="M35" s="89">
        <f>SUMIFS('Wells Fargo'!$F:$F,'Wells Fargo'!$G:$G,'Cash Flow'!$A35,'Wells Fargo'!$A:$A,M$1,'Wells Fargo'!$B:$B,"&lt;="&amp;'Cash Flow'!M$3,'Wells Fargo'!$B:$B,"&gt;"&amp;'Cash Flow'!L$3)</f>
        <v>0</v>
      </c>
      <c r="N35" s="89">
        <f>SUMIFS('Wells Fargo'!$F:$F,'Wells Fargo'!$G:$G,'Cash Flow'!$A35,'Wells Fargo'!$A:$A,N$1,'Wells Fargo'!$B:$B,"&lt;="&amp;'Cash Flow'!N$3,'Wells Fargo'!$B:$B,"&gt;"&amp;'Cash Flow'!M$3)</f>
        <v>0</v>
      </c>
      <c r="O35" s="89">
        <f>SUMIFS('Wells Fargo'!$F:$F,'Wells Fargo'!$G:$G,'Cash Flow'!$A35,'Wells Fargo'!$A:$A,O$1,'Wells Fargo'!$B:$B,"&lt;="&amp;'Cash Flow'!O$3,'Wells Fargo'!$B:$B,"&gt;"&amp;'Cash Flow'!N$3)</f>
        <v>0</v>
      </c>
      <c r="P35" s="89">
        <f>SUMIFS('Wells Fargo'!$F:$F,'Wells Fargo'!$G:$G,'Cash Flow'!$A35,'Wells Fargo'!$A:$A,P$1,'Wells Fargo'!$B:$B,"&lt;="&amp;'Cash Flow'!P$3,'Wells Fargo'!$B:$B,"&gt;"&amp;'Cash Flow'!O$3)</f>
        <v>0</v>
      </c>
      <c r="Q35" s="90">
        <f>SUMIFS('Wells Fargo'!$F:$F,'Wells Fargo'!$G:$G,'Cash Flow'!$A35,'Wells Fargo'!$A:$A,Q$1,'Wells Fargo'!$B:$B,"&lt;="&amp;'Cash Flow'!Q$3)</f>
        <v>0</v>
      </c>
      <c r="R35" s="89">
        <f>SUMIFS('Wells Fargo'!$F:$F,'Wells Fargo'!$G:$G,'Cash Flow'!$A35,'Wells Fargo'!$A:$A,R$1,'Wells Fargo'!$B:$B,"&lt;="&amp;'Cash Flow'!R$3,'Wells Fargo'!$B:$B,"&gt;"&amp;'Cash Flow'!Q$3)</f>
        <v>0</v>
      </c>
      <c r="S35" s="89">
        <f>SUMIFS('Wells Fargo'!$F:$F,'Wells Fargo'!$G:$G,'Cash Flow'!$A35,'Wells Fargo'!$A:$A,S$1,'Wells Fargo'!$B:$B,"&lt;="&amp;'Cash Flow'!S$3,'Wells Fargo'!$B:$B,"&gt;"&amp;'Cash Flow'!R$3)</f>
        <v>0</v>
      </c>
      <c r="T35" s="89">
        <f>SUMIFS('Wells Fargo'!$F:$F,'Wells Fargo'!$G:$G,'Cash Flow'!$A35,'Wells Fargo'!$A:$A,T$1,'Wells Fargo'!$B:$B,"&lt;="&amp;'Cash Flow'!T$3,'Wells Fargo'!$B:$B,"&gt;"&amp;'Cash Flow'!S$3)</f>
        <v>0</v>
      </c>
      <c r="U35" s="89">
        <f>SUMIFS('Wells Fargo'!$F:$F,'Wells Fargo'!$G:$G,'Cash Flow'!$A35,'Wells Fargo'!$A:$A,U$1,'Wells Fargo'!$B:$B,"&lt;="&amp;'Cash Flow'!U$3,'Wells Fargo'!$B:$B,"&gt;"&amp;'Cash Flow'!T$3)</f>
        <v>0</v>
      </c>
      <c r="V35" s="90">
        <f>SUMIFS('Wells Fargo'!$F:$F,'Wells Fargo'!$G:$G,'Cash Flow'!$A35,'Wells Fargo'!$A:$A,V$1,'Wells Fargo'!$B:$B,"&lt;="&amp;'Cash Flow'!V$3)</f>
        <v>0</v>
      </c>
      <c r="W35" s="89">
        <f>SUMIFS('Wells Fargo'!$F:$F,'Wells Fargo'!$G:$G,'Cash Flow'!$A35,'Wells Fargo'!$A:$A,W$1,'Wells Fargo'!$B:$B,"&lt;="&amp;'Cash Flow'!W$3,'Wells Fargo'!$B:$B,"&gt;"&amp;'Cash Flow'!V$3)</f>
        <v>0</v>
      </c>
      <c r="X35" s="89">
        <f>SUMIFS('Wells Fargo'!$F:$F,'Wells Fargo'!$G:$G,'Cash Flow'!$A35,'Wells Fargo'!$A:$A,X$1,'Wells Fargo'!$B:$B,"&lt;="&amp;'Cash Flow'!X$3,'Wells Fargo'!$B:$B,"&gt;"&amp;'Cash Flow'!W$3)</f>
        <v>0</v>
      </c>
      <c r="Y35" s="89">
        <f>SUMIFS('Wells Fargo'!$F:$F,'Wells Fargo'!$G:$G,'Cash Flow'!$A35,'Wells Fargo'!$A:$A,Y$1,'Wells Fargo'!$B:$B,"&lt;="&amp;'Cash Flow'!Y$3,'Wells Fargo'!$B:$B,"&gt;"&amp;'Cash Flow'!X$3)</f>
        <v>0</v>
      </c>
      <c r="Z35" s="89">
        <f>SUMIFS('Wells Fargo'!$F:$F,'Wells Fargo'!$G:$G,'Cash Flow'!$A35,'Wells Fargo'!$A:$A,Z$1,'Wells Fargo'!$B:$B,"&lt;="&amp;'Cash Flow'!Z$3,'Wells Fargo'!$B:$B,"&gt;"&amp;'Cash Flow'!Y$3)</f>
        <v>0</v>
      </c>
      <c r="AA35" s="90">
        <f>SUMIFS('Wells Fargo'!$F:$F,'Wells Fargo'!$G:$G,'Cash Flow'!$A35,'Wells Fargo'!$A:$A,AA$1,'Wells Fargo'!$B:$B,"&lt;="&amp;'Cash Flow'!AA$3)</f>
        <v>0</v>
      </c>
      <c r="AB35" s="89">
        <f>SUMIFS('Wells Fargo'!$F:$F,'Wells Fargo'!$G:$G,'Cash Flow'!$A35,'Wells Fargo'!$A:$A,AB$1,'Wells Fargo'!$B:$B,"&lt;="&amp;'Cash Flow'!AB$3,'Wells Fargo'!$B:$B,"&gt;"&amp;'Cash Flow'!AA$3)</f>
        <v>-78.75</v>
      </c>
      <c r="AC35" s="89">
        <f>SUMIFS('Wells Fargo'!$F:$F,'Wells Fargo'!$G:$G,'Cash Flow'!$A35,'Wells Fargo'!$A:$A,AC$1,'Wells Fargo'!$B:$B,"&lt;="&amp;'Cash Flow'!AC$3,'Wells Fargo'!$B:$B,"&gt;"&amp;'Cash Flow'!AB$3)</f>
        <v>0</v>
      </c>
      <c r="AD35" s="89">
        <f>SUMIFS('Wells Fargo'!$F:$F,'Wells Fargo'!$G:$G,'Cash Flow'!$A35,'Wells Fargo'!$A:$A,AD$1,'Wells Fargo'!$B:$B,"&lt;="&amp;'Cash Flow'!AD$3,'Wells Fargo'!$B:$B,"&gt;"&amp;'Cash Flow'!AC$3)</f>
        <v>0</v>
      </c>
      <c r="AE35" s="89">
        <f>SUMIFS('Wells Fargo'!$F:$F,'Wells Fargo'!$G:$G,'Cash Flow'!$A35,'Wells Fargo'!$A:$A,AE$1,'Wells Fargo'!$B:$B,"&lt;="&amp;'Cash Flow'!AE$3,'Wells Fargo'!$B:$B,"&gt;"&amp;'Cash Flow'!AD$3)</f>
        <v>0</v>
      </c>
      <c r="AF35" s="90">
        <f>SUMIFS('Wells Fargo'!$F:$F,'Wells Fargo'!$G:$G,'Cash Flow'!$A35,'Wells Fargo'!$A:$A,AF$1,'Wells Fargo'!$B:$B,"&lt;="&amp;'Cash Flow'!AF$3)</f>
        <v>0</v>
      </c>
      <c r="AG35" s="89">
        <f>SUMIFS('Wells Fargo'!$F:$F,'Wells Fargo'!$G:$G,'Cash Flow'!$A35,'Wells Fargo'!$A:$A,AG$1,'Wells Fargo'!$B:$B,"&lt;="&amp;'Cash Flow'!AG$3,'Wells Fargo'!$B:$B,"&gt;"&amp;'Cash Flow'!AF$3)</f>
        <v>0</v>
      </c>
      <c r="AH35" s="89">
        <f>SUMIFS('Wells Fargo'!$F:$F,'Wells Fargo'!$G:$G,'Cash Flow'!$A35,'Wells Fargo'!$A:$A,AH$1,'Wells Fargo'!$B:$B,"&lt;="&amp;'Cash Flow'!AH$3,'Wells Fargo'!$B:$B,"&gt;"&amp;'Cash Flow'!AG$3)</f>
        <v>0</v>
      </c>
      <c r="AI35" s="89">
        <f>SUMIFS('Wells Fargo'!$F:$F,'Wells Fargo'!$G:$G,'Cash Flow'!$A35,'Wells Fargo'!$A:$A,AI$1,'Wells Fargo'!$B:$B,"&lt;="&amp;'Cash Flow'!AI$3,'Wells Fargo'!$B:$B,"&gt;"&amp;'Cash Flow'!AH$3)</f>
        <v>0</v>
      </c>
      <c r="AJ35" s="89">
        <f>SUMIFS('Wells Fargo'!$F:$F,'Wells Fargo'!$G:$G,'Cash Flow'!$A35,'Wells Fargo'!$A:$A,AJ$1,'Wells Fargo'!$B:$B,"&lt;="&amp;'Cash Flow'!AJ$3,'Wells Fargo'!$B:$B,"&gt;"&amp;'Cash Flow'!AI$3)</f>
        <v>0</v>
      </c>
      <c r="AK35" s="90">
        <f>SUMIFS('Wells Fargo'!$F:$F,'Wells Fargo'!$G:$G,'Cash Flow'!$A35,'Wells Fargo'!$A:$A,AK$1,'Wells Fargo'!$B:$B,"&lt;="&amp;'Cash Flow'!AK$3)</f>
        <v>0</v>
      </c>
      <c r="AL35" s="89">
        <f>SUMIFS('Wells Fargo'!$F:$F,'Wells Fargo'!$G:$G,'Cash Flow'!$A35,'Wells Fargo'!$A:$A,AL$1,'Wells Fargo'!$B:$B,"&lt;="&amp;'Cash Flow'!AL$3,'Wells Fargo'!$B:$B,"&gt;"&amp;'Cash Flow'!AK$3)</f>
        <v>0</v>
      </c>
      <c r="AM35" s="89">
        <f>SUMIFS('Wells Fargo'!$F:$F,'Wells Fargo'!$G:$G,'Cash Flow'!$A35,'Wells Fargo'!$A:$A,AM$1,'Wells Fargo'!$B:$B,"&lt;="&amp;'Cash Flow'!AM$3,'Wells Fargo'!$B:$B,"&gt;"&amp;'Cash Flow'!AL$3)</f>
        <v>0</v>
      </c>
      <c r="AN35" s="89">
        <f>SUMIFS('Wells Fargo'!$F:$F,'Wells Fargo'!$G:$G,'Cash Flow'!$A35,'Wells Fargo'!$A:$A,AN$1,'Wells Fargo'!$B:$B,"&lt;="&amp;'Cash Flow'!AN$3,'Wells Fargo'!$B:$B,"&gt;"&amp;'Cash Flow'!AM$3)</f>
        <v>0</v>
      </c>
      <c r="AO35" s="89">
        <f>SUMIFS('Wells Fargo'!$F:$F,'Wells Fargo'!$G:$G,'Cash Flow'!$A35,'Wells Fargo'!$A:$A,AO$1,'Wells Fargo'!$B:$B,"&lt;="&amp;'Cash Flow'!AO$3,'Wells Fargo'!$B:$B,"&gt;"&amp;'Cash Flow'!AN$3)</f>
        <v>0</v>
      </c>
      <c r="AP35" s="90">
        <f>SUMIFS('Wells Fargo'!$F:$F,'Wells Fargo'!$G:$G,'Cash Flow'!$A35,'Wells Fargo'!$A:$A,AP$1,'Wells Fargo'!$B:$B,"&lt;="&amp;'Cash Flow'!AP$3)</f>
        <v>0</v>
      </c>
      <c r="AQ35" s="89">
        <f>SUMIFS('Wells Fargo'!$F:$F,'Wells Fargo'!$G:$G,'Cash Flow'!$A35,'Wells Fargo'!$A:$A,AQ$1,'Wells Fargo'!$B:$B,"&lt;="&amp;'Cash Flow'!AQ$3,'Wells Fargo'!$B:$B,"&gt;"&amp;'Cash Flow'!AP$3)</f>
        <v>0</v>
      </c>
      <c r="AR35" s="89">
        <f>SUMIFS('Wells Fargo'!$F:$F,'Wells Fargo'!$G:$G,'Cash Flow'!$A35,'Wells Fargo'!$A:$A,AR$1,'Wells Fargo'!$B:$B,"&lt;="&amp;'Cash Flow'!AR$3,'Wells Fargo'!$B:$B,"&gt;"&amp;'Cash Flow'!AQ$3)</f>
        <v>0</v>
      </c>
      <c r="AS35" s="89">
        <f>SUMIFS('Wells Fargo'!$F:$F,'Wells Fargo'!$G:$G,'Cash Flow'!$A35,'Wells Fargo'!$A:$A,AS$1,'Wells Fargo'!$B:$B,"&lt;="&amp;'Cash Flow'!AS$3,'Wells Fargo'!$B:$B,"&gt;"&amp;'Cash Flow'!AR$3)</f>
        <v>0</v>
      </c>
      <c r="AT35" s="89">
        <f>SUMIFS('Wells Fargo'!$F:$F,'Wells Fargo'!$G:$G,'Cash Flow'!$A35,'Wells Fargo'!$A:$A,AT$1,'Wells Fargo'!$B:$B,"&lt;="&amp;'Cash Flow'!AT$3,'Wells Fargo'!$B:$B,"&gt;"&amp;'Cash Flow'!AS$3)</f>
        <v>0</v>
      </c>
      <c r="AU35" s="90">
        <f>SUMIFS('Wells Fargo'!$F:$F,'Wells Fargo'!$G:$G,'Cash Flow'!$A35,'Wells Fargo'!$A:$A,AU$1,'Wells Fargo'!$B:$B,"&lt;="&amp;'Cash Flow'!AU$3)</f>
        <v>0</v>
      </c>
      <c r="AV35" s="89">
        <f>SUMIFS('Wells Fargo'!$F:$F,'Wells Fargo'!$G:$G,'Cash Flow'!$A35,'Wells Fargo'!$A:$A,AV$1,'Wells Fargo'!$B:$B,"&lt;="&amp;'Cash Flow'!AV$3,'Wells Fargo'!$B:$B,"&gt;"&amp;'Cash Flow'!AU$3)</f>
        <v>0</v>
      </c>
      <c r="AW35" s="89">
        <f>SUMIFS('Wells Fargo'!$F:$F,'Wells Fargo'!$G:$G,'Cash Flow'!$A35,'Wells Fargo'!$A:$A,AW$1,'Wells Fargo'!$B:$B,"&lt;="&amp;'Cash Flow'!AW$3,'Wells Fargo'!$B:$B,"&gt;"&amp;'Cash Flow'!AV$3)</f>
        <v>0</v>
      </c>
      <c r="AX35" s="89">
        <f>SUMIFS('Wells Fargo'!$F:$F,'Wells Fargo'!$G:$G,'Cash Flow'!$A35,'Wells Fargo'!$A:$A,AX$1,'Wells Fargo'!$B:$B,"&lt;="&amp;'Cash Flow'!AX$3,'Wells Fargo'!$B:$B,"&gt;"&amp;'Cash Flow'!AW$3)</f>
        <v>0</v>
      </c>
      <c r="AY35" s="89">
        <f>SUMIFS('Wells Fargo'!$F:$F,'Wells Fargo'!$G:$G,'Cash Flow'!$A35,'Wells Fargo'!$A:$A,AY$1,'Wells Fargo'!$B:$B,"&lt;="&amp;'Cash Flow'!AY$3,'Wells Fargo'!$B:$B,"&gt;"&amp;'Cash Flow'!AX$3)</f>
        <v>0</v>
      </c>
      <c r="AZ35" s="90">
        <f>SUMIFS('Wells Fargo'!$F:$F,'Wells Fargo'!$G:$G,'Cash Flow'!$A35,'Wells Fargo'!$A:$A,AZ$1,'Wells Fargo'!$B:$B,"&lt;="&amp;'Cash Flow'!AZ$3)</f>
        <v>0</v>
      </c>
      <c r="BA35" s="89">
        <f>SUMIFS('Wells Fargo'!$F:$F,'Wells Fargo'!$G:$G,'Cash Flow'!$A35,'Wells Fargo'!$A:$A,BA$1,'Wells Fargo'!$B:$B,"&lt;="&amp;'Cash Flow'!BA$3,'Wells Fargo'!$B:$B,"&gt;"&amp;'Cash Flow'!AZ$3)</f>
        <v>0</v>
      </c>
      <c r="BB35" s="89">
        <f>SUMIFS('Wells Fargo'!$F:$F,'Wells Fargo'!$G:$G,'Cash Flow'!$A35,'Wells Fargo'!$A:$A,BB$1,'Wells Fargo'!$B:$B,"&lt;="&amp;'Cash Flow'!BB$3,'Wells Fargo'!$B:$B,"&gt;"&amp;'Cash Flow'!BA$3)</f>
        <v>0</v>
      </c>
      <c r="BC35" s="89">
        <f>SUMIFS('Wells Fargo'!$F:$F,'Wells Fargo'!$G:$G,'Cash Flow'!$A35,'Wells Fargo'!$A:$A,BC$1,'Wells Fargo'!$B:$B,"&lt;="&amp;'Cash Flow'!BC$3,'Wells Fargo'!$B:$B,"&gt;"&amp;'Cash Flow'!BB$3)</f>
        <v>0</v>
      </c>
      <c r="BD35" s="89">
        <f>SUMIFS('Wells Fargo'!$F:$F,'Wells Fargo'!$G:$G,'Cash Flow'!$A35,'Wells Fargo'!$A:$A,BD$1,'Wells Fargo'!$B:$B,"&lt;="&amp;'Cash Flow'!BD$3,'Wells Fargo'!$B:$B,"&gt;"&amp;'Cash Flow'!BC$3)</f>
        <v>0</v>
      </c>
      <c r="BE35" s="90">
        <f>SUMIFS('Wells Fargo'!$F:$F,'Wells Fargo'!$G:$G,'Cash Flow'!$A35,'Wells Fargo'!$A:$A,BE$1,'Wells Fargo'!$B:$B,"&lt;="&amp;'Cash Flow'!BE$3)</f>
        <v>0</v>
      </c>
      <c r="BF35" s="89">
        <f>SUMIFS('Wells Fargo'!$F:$F,'Wells Fargo'!$G:$G,'Cash Flow'!$A35,'Wells Fargo'!$A:$A,BF$1,'Wells Fargo'!$B:$B,"&lt;="&amp;'Cash Flow'!BF$3,'Wells Fargo'!$B:$B,"&gt;"&amp;'Cash Flow'!BE$3)</f>
        <v>0</v>
      </c>
      <c r="BG35" s="89">
        <f>SUMIFS('Wells Fargo'!$F:$F,'Wells Fargo'!$G:$G,'Cash Flow'!$A35,'Wells Fargo'!$A:$A,BG$1,'Wells Fargo'!$B:$B,"&lt;="&amp;'Cash Flow'!BG$3,'Wells Fargo'!$B:$B,"&gt;"&amp;'Cash Flow'!BF$3)</f>
        <v>0</v>
      </c>
      <c r="BH35" s="89">
        <f>SUMIFS('Wells Fargo'!$F:$F,'Wells Fargo'!$G:$G,'Cash Flow'!$A35,'Wells Fargo'!$A:$A,BH$1,'Wells Fargo'!$B:$B,"&lt;="&amp;'Cash Flow'!BH$3,'Wells Fargo'!$B:$B,"&gt;"&amp;'Cash Flow'!BG$3)</f>
        <v>0</v>
      </c>
      <c r="BI35" s="89">
        <f>SUMIFS('Wells Fargo'!$F:$F,'Wells Fargo'!$G:$G,'Cash Flow'!$A35,'Wells Fargo'!$A:$A,BI$1,'Wells Fargo'!$B:$B,"&lt;="&amp;'Cash Flow'!BI$3,'Wells Fargo'!$B:$B,"&gt;"&amp;'Cash Flow'!BH$3)</f>
        <v>0</v>
      </c>
    </row>
    <row r="36" spans="1:61" ht="12.75" x14ac:dyDescent="0.2">
      <c r="A36" t="str">
        <v>Matt Bozz</v>
      </c>
      <c r="B36" s="15">
        <f t="shared" si="0"/>
        <v>-2738.5</v>
      </c>
      <c r="C36" s="90">
        <f>SUMIFS('Wells Fargo'!$F:$F,'Wells Fargo'!$G:$G,'Cash Flow'!$A36,'Wells Fargo'!$A:$A,C$1,'Wells Fargo'!$B:$B,"&lt;="&amp;'Cash Flow'!C$3)</f>
        <v>0</v>
      </c>
      <c r="D36" s="89">
        <f>SUMIFS('Wells Fargo'!$F:$F,'Wells Fargo'!$G:$G,'Cash Flow'!$A36,'Wells Fargo'!$A:$A,D$1,'Wells Fargo'!$B:$B,"&lt;="&amp;'Cash Flow'!D$3,'Wells Fargo'!$B:$B,"&gt;"&amp;'Cash Flow'!C$3)</f>
        <v>0</v>
      </c>
      <c r="E36" s="89">
        <f>SUMIFS('Wells Fargo'!$F:$F,'Wells Fargo'!$G:$G,'Cash Flow'!$A36,'Wells Fargo'!$A:$A,E$1,'Wells Fargo'!$B:$B,"&lt;="&amp;'Cash Flow'!E$3,'Wells Fargo'!$B:$B,"&gt;"&amp;'Cash Flow'!D$3)</f>
        <v>0</v>
      </c>
      <c r="F36" s="89">
        <f>SUMIFS('Wells Fargo'!$F:$F,'Wells Fargo'!$G:$G,'Cash Flow'!$A36,'Wells Fargo'!$A:$A,F$1,'Wells Fargo'!$B:$B,"&lt;="&amp;'Cash Flow'!F$3,'Wells Fargo'!$B:$B,"&gt;"&amp;'Cash Flow'!E$3)</f>
        <v>0</v>
      </c>
      <c r="G36" s="89">
        <f>SUMIFS('Wells Fargo'!$F:$F,'Wells Fargo'!$G:$G,'Cash Flow'!$A36,'Wells Fargo'!$A:$A,G$1,'Wells Fargo'!$B:$B,"&lt;="&amp;'Cash Flow'!G$3,'Wells Fargo'!$B:$B,"&gt;"&amp;'Cash Flow'!F$3)</f>
        <v>0</v>
      </c>
      <c r="H36" s="90">
        <f>SUMIFS('Wells Fargo'!$F:$F,'Wells Fargo'!$G:$G,'Cash Flow'!$A36,'Wells Fargo'!$A:$A,H$1,'Wells Fargo'!$B:$B,"&lt;="&amp;'Cash Flow'!H$3)</f>
        <v>0</v>
      </c>
      <c r="I36" s="89">
        <f>SUMIFS('Wells Fargo'!$F:$F,'Wells Fargo'!$G:$G,'Cash Flow'!$A36,'Wells Fargo'!$A:$A,I$1,'Wells Fargo'!$B:$B,"&lt;="&amp;'Cash Flow'!I$3,'Wells Fargo'!$B:$B,"&gt;"&amp;'Cash Flow'!H$3)</f>
        <v>0</v>
      </c>
      <c r="J36" s="89">
        <f>SUMIFS('Wells Fargo'!$F:$F,'Wells Fargo'!$G:$G,'Cash Flow'!$A36,'Wells Fargo'!$A:$A,J$1,'Wells Fargo'!$B:$B,"&lt;="&amp;'Cash Flow'!J$3,'Wells Fargo'!$B:$B,"&gt;"&amp;'Cash Flow'!I$3)</f>
        <v>0</v>
      </c>
      <c r="K36" s="89">
        <f>SUMIFS('Wells Fargo'!$F:$F,'Wells Fargo'!$G:$G,'Cash Flow'!$A36,'Wells Fargo'!$A:$A,K$1,'Wells Fargo'!$B:$B,"&lt;="&amp;'Cash Flow'!K$3,'Wells Fargo'!$B:$B,"&gt;"&amp;'Cash Flow'!J$3)</f>
        <v>0</v>
      </c>
      <c r="L36" s="90">
        <f>SUMIFS('Wells Fargo'!$F:$F,'Wells Fargo'!$G:$G,'Cash Flow'!$A36,'Wells Fargo'!$A:$A,L$1,'Wells Fargo'!$B:$B,"&lt;="&amp;'Cash Flow'!L$3)</f>
        <v>0</v>
      </c>
      <c r="M36" s="89">
        <f>SUMIFS('Wells Fargo'!$F:$F,'Wells Fargo'!$G:$G,'Cash Flow'!$A36,'Wells Fargo'!$A:$A,M$1,'Wells Fargo'!$B:$B,"&lt;="&amp;'Cash Flow'!M$3,'Wells Fargo'!$B:$B,"&gt;"&amp;'Cash Flow'!L$3)</f>
        <v>0</v>
      </c>
      <c r="N36" s="89">
        <f>SUMIFS('Wells Fargo'!$F:$F,'Wells Fargo'!$G:$G,'Cash Flow'!$A36,'Wells Fargo'!$A:$A,N$1,'Wells Fargo'!$B:$B,"&lt;="&amp;'Cash Flow'!N$3,'Wells Fargo'!$B:$B,"&gt;"&amp;'Cash Flow'!M$3)</f>
        <v>0</v>
      </c>
      <c r="O36" s="89">
        <f>SUMIFS('Wells Fargo'!$F:$F,'Wells Fargo'!$G:$G,'Cash Flow'!$A36,'Wells Fargo'!$A:$A,O$1,'Wells Fargo'!$B:$B,"&lt;="&amp;'Cash Flow'!O$3,'Wells Fargo'!$B:$B,"&gt;"&amp;'Cash Flow'!N$3)</f>
        <v>0</v>
      </c>
      <c r="P36" s="89">
        <f>SUMIFS('Wells Fargo'!$F:$F,'Wells Fargo'!$G:$G,'Cash Flow'!$A36,'Wells Fargo'!$A:$A,P$1,'Wells Fargo'!$B:$B,"&lt;="&amp;'Cash Flow'!P$3,'Wells Fargo'!$B:$B,"&gt;"&amp;'Cash Flow'!O$3)</f>
        <v>0</v>
      </c>
      <c r="Q36" s="90">
        <f>SUMIFS('Wells Fargo'!$F:$F,'Wells Fargo'!$G:$G,'Cash Flow'!$A36,'Wells Fargo'!$A:$A,Q$1,'Wells Fargo'!$B:$B,"&lt;="&amp;'Cash Flow'!Q$3)</f>
        <v>0</v>
      </c>
      <c r="R36" s="89">
        <f>SUMIFS('Wells Fargo'!$F:$F,'Wells Fargo'!$G:$G,'Cash Flow'!$A36,'Wells Fargo'!$A:$A,R$1,'Wells Fargo'!$B:$B,"&lt;="&amp;'Cash Flow'!R$3,'Wells Fargo'!$B:$B,"&gt;"&amp;'Cash Flow'!Q$3)</f>
        <v>0</v>
      </c>
      <c r="S36" s="89">
        <f>SUMIFS('Wells Fargo'!$F:$F,'Wells Fargo'!$G:$G,'Cash Flow'!$A36,'Wells Fargo'!$A:$A,S$1,'Wells Fargo'!$B:$B,"&lt;="&amp;'Cash Flow'!S$3,'Wells Fargo'!$B:$B,"&gt;"&amp;'Cash Flow'!R$3)</f>
        <v>0</v>
      </c>
      <c r="T36" s="89">
        <f>SUMIFS('Wells Fargo'!$F:$F,'Wells Fargo'!$G:$G,'Cash Flow'!$A36,'Wells Fargo'!$A:$A,T$1,'Wells Fargo'!$B:$B,"&lt;="&amp;'Cash Flow'!T$3,'Wells Fargo'!$B:$B,"&gt;"&amp;'Cash Flow'!S$3)</f>
        <v>0</v>
      </c>
      <c r="U36" s="89">
        <f>SUMIFS('Wells Fargo'!$F:$F,'Wells Fargo'!$G:$G,'Cash Flow'!$A36,'Wells Fargo'!$A:$A,U$1,'Wells Fargo'!$B:$B,"&lt;="&amp;'Cash Flow'!U$3,'Wells Fargo'!$B:$B,"&gt;"&amp;'Cash Flow'!T$3)</f>
        <v>0</v>
      </c>
      <c r="V36" s="90">
        <f>SUMIFS('Wells Fargo'!$F:$F,'Wells Fargo'!$G:$G,'Cash Flow'!$A36,'Wells Fargo'!$A:$A,V$1,'Wells Fargo'!$B:$B,"&lt;="&amp;'Cash Flow'!V$3)</f>
        <v>0</v>
      </c>
      <c r="W36" s="89">
        <f>SUMIFS('Wells Fargo'!$F:$F,'Wells Fargo'!$G:$G,'Cash Flow'!$A36,'Wells Fargo'!$A:$A,W$1,'Wells Fargo'!$B:$B,"&lt;="&amp;'Cash Flow'!W$3,'Wells Fargo'!$B:$B,"&gt;"&amp;'Cash Flow'!V$3)</f>
        <v>0</v>
      </c>
      <c r="X36" s="89">
        <f>SUMIFS('Wells Fargo'!$F:$F,'Wells Fargo'!$G:$G,'Cash Flow'!$A36,'Wells Fargo'!$A:$A,X$1,'Wells Fargo'!$B:$B,"&lt;="&amp;'Cash Flow'!X$3,'Wells Fargo'!$B:$B,"&gt;"&amp;'Cash Flow'!W$3)</f>
        <v>0</v>
      </c>
      <c r="Y36" s="89">
        <f>SUMIFS('Wells Fargo'!$F:$F,'Wells Fargo'!$G:$G,'Cash Flow'!$A36,'Wells Fargo'!$A:$A,Y$1,'Wells Fargo'!$B:$B,"&lt;="&amp;'Cash Flow'!Y$3,'Wells Fargo'!$B:$B,"&gt;"&amp;'Cash Flow'!X$3)</f>
        <v>0</v>
      </c>
      <c r="Z36" s="89">
        <f>SUMIFS('Wells Fargo'!$F:$F,'Wells Fargo'!$G:$G,'Cash Flow'!$A36,'Wells Fargo'!$A:$A,Z$1,'Wells Fargo'!$B:$B,"&lt;="&amp;'Cash Flow'!Z$3,'Wells Fargo'!$B:$B,"&gt;"&amp;'Cash Flow'!Y$3)</f>
        <v>0</v>
      </c>
      <c r="AA36" s="90">
        <f>SUMIFS('Wells Fargo'!$F:$F,'Wells Fargo'!$G:$G,'Cash Flow'!$A36,'Wells Fargo'!$A:$A,AA$1,'Wells Fargo'!$B:$B,"&lt;="&amp;'Cash Flow'!AA$3)</f>
        <v>0</v>
      </c>
      <c r="AB36" s="89">
        <f>SUMIFS('Wells Fargo'!$F:$F,'Wells Fargo'!$G:$G,'Cash Flow'!$A36,'Wells Fargo'!$A:$A,AB$1,'Wells Fargo'!$B:$B,"&lt;="&amp;'Cash Flow'!AB$3,'Wells Fargo'!$B:$B,"&gt;"&amp;'Cash Flow'!AA$3)</f>
        <v>0</v>
      </c>
      <c r="AC36" s="89">
        <f>SUMIFS('Wells Fargo'!$F:$F,'Wells Fargo'!$G:$G,'Cash Flow'!$A36,'Wells Fargo'!$A:$A,AC$1,'Wells Fargo'!$B:$B,"&lt;="&amp;'Cash Flow'!AC$3,'Wells Fargo'!$B:$B,"&gt;"&amp;'Cash Flow'!AB$3)</f>
        <v>0</v>
      </c>
      <c r="AD36" s="89">
        <f>SUMIFS('Wells Fargo'!$F:$F,'Wells Fargo'!$G:$G,'Cash Flow'!$A36,'Wells Fargo'!$A:$A,AD$1,'Wells Fargo'!$B:$B,"&lt;="&amp;'Cash Flow'!AD$3,'Wells Fargo'!$B:$B,"&gt;"&amp;'Cash Flow'!AC$3)</f>
        <v>-2738.5</v>
      </c>
      <c r="AE36" s="89">
        <f>SUMIFS('Wells Fargo'!$F:$F,'Wells Fargo'!$G:$G,'Cash Flow'!$A36,'Wells Fargo'!$A:$A,AE$1,'Wells Fargo'!$B:$B,"&lt;="&amp;'Cash Flow'!AE$3,'Wells Fargo'!$B:$B,"&gt;"&amp;'Cash Flow'!AD$3)</f>
        <v>0</v>
      </c>
      <c r="AF36" s="90">
        <f>SUMIFS('Wells Fargo'!$F:$F,'Wells Fargo'!$G:$G,'Cash Flow'!$A36,'Wells Fargo'!$A:$A,AF$1,'Wells Fargo'!$B:$B,"&lt;="&amp;'Cash Flow'!AF$3)</f>
        <v>0</v>
      </c>
      <c r="AG36" s="89">
        <f>SUMIFS('Wells Fargo'!$F:$F,'Wells Fargo'!$G:$G,'Cash Flow'!$A36,'Wells Fargo'!$A:$A,AG$1,'Wells Fargo'!$B:$B,"&lt;="&amp;'Cash Flow'!AG$3,'Wells Fargo'!$B:$B,"&gt;"&amp;'Cash Flow'!AF$3)</f>
        <v>0</v>
      </c>
      <c r="AH36" s="89">
        <f>SUMIFS('Wells Fargo'!$F:$F,'Wells Fargo'!$G:$G,'Cash Flow'!$A36,'Wells Fargo'!$A:$A,AH$1,'Wells Fargo'!$B:$B,"&lt;="&amp;'Cash Flow'!AH$3,'Wells Fargo'!$B:$B,"&gt;"&amp;'Cash Flow'!AG$3)</f>
        <v>0</v>
      </c>
      <c r="AI36" s="89">
        <f>SUMIFS('Wells Fargo'!$F:$F,'Wells Fargo'!$G:$G,'Cash Flow'!$A36,'Wells Fargo'!$A:$A,AI$1,'Wells Fargo'!$B:$B,"&lt;="&amp;'Cash Flow'!AI$3,'Wells Fargo'!$B:$B,"&gt;"&amp;'Cash Flow'!AH$3)</f>
        <v>0</v>
      </c>
      <c r="AJ36" s="89">
        <f>SUMIFS('Wells Fargo'!$F:$F,'Wells Fargo'!$G:$G,'Cash Flow'!$A36,'Wells Fargo'!$A:$A,AJ$1,'Wells Fargo'!$B:$B,"&lt;="&amp;'Cash Flow'!AJ$3,'Wells Fargo'!$B:$B,"&gt;"&amp;'Cash Flow'!AI$3)</f>
        <v>0</v>
      </c>
      <c r="AK36" s="90">
        <f>SUMIFS('Wells Fargo'!$F:$F,'Wells Fargo'!$G:$G,'Cash Flow'!$A36,'Wells Fargo'!$A:$A,AK$1,'Wells Fargo'!$B:$B,"&lt;="&amp;'Cash Flow'!AK$3)</f>
        <v>0</v>
      </c>
      <c r="AL36" s="89">
        <f>SUMIFS('Wells Fargo'!$F:$F,'Wells Fargo'!$G:$G,'Cash Flow'!$A36,'Wells Fargo'!$A:$A,AL$1,'Wells Fargo'!$B:$B,"&lt;="&amp;'Cash Flow'!AL$3,'Wells Fargo'!$B:$B,"&gt;"&amp;'Cash Flow'!AK$3)</f>
        <v>0</v>
      </c>
      <c r="AM36" s="89">
        <f>SUMIFS('Wells Fargo'!$F:$F,'Wells Fargo'!$G:$G,'Cash Flow'!$A36,'Wells Fargo'!$A:$A,AM$1,'Wells Fargo'!$B:$B,"&lt;="&amp;'Cash Flow'!AM$3,'Wells Fargo'!$B:$B,"&gt;"&amp;'Cash Flow'!AL$3)</f>
        <v>0</v>
      </c>
      <c r="AN36" s="89">
        <f>SUMIFS('Wells Fargo'!$F:$F,'Wells Fargo'!$G:$G,'Cash Flow'!$A36,'Wells Fargo'!$A:$A,AN$1,'Wells Fargo'!$B:$B,"&lt;="&amp;'Cash Flow'!AN$3,'Wells Fargo'!$B:$B,"&gt;"&amp;'Cash Flow'!AM$3)</f>
        <v>0</v>
      </c>
      <c r="AO36" s="89">
        <f>SUMIFS('Wells Fargo'!$F:$F,'Wells Fargo'!$G:$G,'Cash Flow'!$A36,'Wells Fargo'!$A:$A,AO$1,'Wells Fargo'!$B:$B,"&lt;="&amp;'Cash Flow'!AO$3,'Wells Fargo'!$B:$B,"&gt;"&amp;'Cash Flow'!AN$3)</f>
        <v>0</v>
      </c>
      <c r="AP36" s="90">
        <f>SUMIFS('Wells Fargo'!$F:$F,'Wells Fargo'!$G:$G,'Cash Flow'!$A36,'Wells Fargo'!$A:$A,AP$1,'Wells Fargo'!$B:$B,"&lt;="&amp;'Cash Flow'!AP$3)</f>
        <v>0</v>
      </c>
      <c r="AQ36" s="89">
        <f>SUMIFS('Wells Fargo'!$F:$F,'Wells Fargo'!$G:$G,'Cash Flow'!$A36,'Wells Fargo'!$A:$A,AQ$1,'Wells Fargo'!$B:$B,"&lt;="&amp;'Cash Flow'!AQ$3,'Wells Fargo'!$B:$B,"&gt;"&amp;'Cash Flow'!AP$3)</f>
        <v>0</v>
      </c>
      <c r="AR36" s="89">
        <f>SUMIFS('Wells Fargo'!$F:$F,'Wells Fargo'!$G:$G,'Cash Flow'!$A36,'Wells Fargo'!$A:$A,AR$1,'Wells Fargo'!$B:$B,"&lt;="&amp;'Cash Flow'!AR$3,'Wells Fargo'!$B:$B,"&gt;"&amp;'Cash Flow'!AQ$3)</f>
        <v>0</v>
      </c>
      <c r="AS36" s="89">
        <f>SUMIFS('Wells Fargo'!$F:$F,'Wells Fargo'!$G:$G,'Cash Flow'!$A36,'Wells Fargo'!$A:$A,AS$1,'Wells Fargo'!$B:$B,"&lt;="&amp;'Cash Flow'!AS$3,'Wells Fargo'!$B:$B,"&gt;"&amp;'Cash Flow'!AR$3)</f>
        <v>0</v>
      </c>
      <c r="AT36" s="89">
        <f>SUMIFS('Wells Fargo'!$F:$F,'Wells Fargo'!$G:$G,'Cash Flow'!$A36,'Wells Fargo'!$A:$A,AT$1,'Wells Fargo'!$B:$B,"&lt;="&amp;'Cash Flow'!AT$3,'Wells Fargo'!$B:$B,"&gt;"&amp;'Cash Flow'!AS$3)</f>
        <v>0</v>
      </c>
      <c r="AU36" s="90">
        <f>SUMIFS('Wells Fargo'!$F:$F,'Wells Fargo'!$G:$G,'Cash Flow'!$A36,'Wells Fargo'!$A:$A,AU$1,'Wells Fargo'!$B:$B,"&lt;="&amp;'Cash Flow'!AU$3)</f>
        <v>0</v>
      </c>
      <c r="AV36" s="89">
        <f>SUMIFS('Wells Fargo'!$F:$F,'Wells Fargo'!$G:$G,'Cash Flow'!$A36,'Wells Fargo'!$A:$A,AV$1,'Wells Fargo'!$B:$B,"&lt;="&amp;'Cash Flow'!AV$3,'Wells Fargo'!$B:$B,"&gt;"&amp;'Cash Flow'!AU$3)</f>
        <v>0</v>
      </c>
      <c r="AW36" s="89">
        <f>SUMIFS('Wells Fargo'!$F:$F,'Wells Fargo'!$G:$G,'Cash Flow'!$A36,'Wells Fargo'!$A:$A,AW$1,'Wells Fargo'!$B:$B,"&lt;="&amp;'Cash Flow'!AW$3,'Wells Fargo'!$B:$B,"&gt;"&amp;'Cash Flow'!AV$3)</f>
        <v>0</v>
      </c>
      <c r="AX36" s="89">
        <f>SUMIFS('Wells Fargo'!$F:$F,'Wells Fargo'!$G:$G,'Cash Flow'!$A36,'Wells Fargo'!$A:$A,AX$1,'Wells Fargo'!$B:$B,"&lt;="&amp;'Cash Flow'!AX$3,'Wells Fargo'!$B:$B,"&gt;"&amp;'Cash Flow'!AW$3)</f>
        <v>0</v>
      </c>
      <c r="AY36" s="89">
        <f>SUMIFS('Wells Fargo'!$F:$F,'Wells Fargo'!$G:$G,'Cash Flow'!$A36,'Wells Fargo'!$A:$A,AY$1,'Wells Fargo'!$B:$B,"&lt;="&amp;'Cash Flow'!AY$3,'Wells Fargo'!$B:$B,"&gt;"&amp;'Cash Flow'!AX$3)</f>
        <v>0</v>
      </c>
      <c r="AZ36" s="90">
        <f>SUMIFS('Wells Fargo'!$F:$F,'Wells Fargo'!$G:$G,'Cash Flow'!$A36,'Wells Fargo'!$A:$A,AZ$1,'Wells Fargo'!$B:$B,"&lt;="&amp;'Cash Flow'!AZ$3)</f>
        <v>0</v>
      </c>
      <c r="BA36" s="89">
        <f>SUMIFS('Wells Fargo'!$F:$F,'Wells Fargo'!$G:$G,'Cash Flow'!$A36,'Wells Fargo'!$A:$A,BA$1,'Wells Fargo'!$B:$B,"&lt;="&amp;'Cash Flow'!BA$3,'Wells Fargo'!$B:$B,"&gt;"&amp;'Cash Flow'!AZ$3)</f>
        <v>0</v>
      </c>
      <c r="BB36" s="89">
        <f>SUMIFS('Wells Fargo'!$F:$F,'Wells Fargo'!$G:$G,'Cash Flow'!$A36,'Wells Fargo'!$A:$A,BB$1,'Wells Fargo'!$B:$B,"&lt;="&amp;'Cash Flow'!BB$3,'Wells Fargo'!$B:$B,"&gt;"&amp;'Cash Flow'!BA$3)</f>
        <v>0</v>
      </c>
      <c r="BC36" s="89">
        <f>SUMIFS('Wells Fargo'!$F:$F,'Wells Fargo'!$G:$G,'Cash Flow'!$A36,'Wells Fargo'!$A:$A,BC$1,'Wells Fargo'!$B:$B,"&lt;="&amp;'Cash Flow'!BC$3,'Wells Fargo'!$B:$B,"&gt;"&amp;'Cash Flow'!BB$3)</f>
        <v>0</v>
      </c>
      <c r="BD36" s="89">
        <f>SUMIFS('Wells Fargo'!$F:$F,'Wells Fargo'!$G:$G,'Cash Flow'!$A36,'Wells Fargo'!$A:$A,BD$1,'Wells Fargo'!$B:$B,"&lt;="&amp;'Cash Flow'!BD$3,'Wells Fargo'!$B:$B,"&gt;"&amp;'Cash Flow'!BC$3)</f>
        <v>0</v>
      </c>
      <c r="BE36" s="90">
        <f>SUMIFS('Wells Fargo'!$F:$F,'Wells Fargo'!$G:$G,'Cash Flow'!$A36,'Wells Fargo'!$A:$A,BE$1,'Wells Fargo'!$B:$B,"&lt;="&amp;'Cash Flow'!BE$3)</f>
        <v>0</v>
      </c>
      <c r="BF36" s="89">
        <f>SUMIFS('Wells Fargo'!$F:$F,'Wells Fargo'!$G:$G,'Cash Flow'!$A36,'Wells Fargo'!$A:$A,BF$1,'Wells Fargo'!$B:$B,"&lt;="&amp;'Cash Flow'!BF$3,'Wells Fargo'!$B:$B,"&gt;"&amp;'Cash Flow'!BE$3)</f>
        <v>0</v>
      </c>
      <c r="BG36" s="89">
        <f>SUMIFS('Wells Fargo'!$F:$F,'Wells Fargo'!$G:$G,'Cash Flow'!$A36,'Wells Fargo'!$A:$A,BG$1,'Wells Fargo'!$B:$B,"&lt;="&amp;'Cash Flow'!BG$3,'Wells Fargo'!$B:$B,"&gt;"&amp;'Cash Flow'!BF$3)</f>
        <v>0</v>
      </c>
      <c r="BH36" s="89">
        <f>SUMIFS('Wells Fargo'!$F:$F,'Wells Fargo'!$G:$G,'Cash Flow'!$A36,'Wells Fargo'!$A:$A,BH$1,'Wells Fargo'!$B:$B,"&lt;="&amp;'Cash Flow'!BH$3,'Wells Fargo'!$B:$B,"&gt;"&amp;'Cash Flow'!BG$3)</f>
        <v>0</v>
      </c>
      <c r="BI36" s="89">
        <f>SUMIFS('Wells Fargo'!$F:$F,'Wells Fargo'!$G:$G,'Cash Flow'!$A36,'Wells Fargo'!$A:$A,BI$1,'Wells Fargo'!$B:$B,"&lt;="&amp;'Cash Flow'!BI$3,'Wells Fargo'!$B:$B,"&gt;"&amp;'Cash Flow'!BH$3)</f>
        <v>0</v>
      </c>
    </row>
    <row r="37" spans="1:61" ht="12.75" x14ac:dyDescent="0.2">
      <c r="A37" t="str">
        <v>Mom</v>
      </c>
      <c r="B37" s="15">
        <f t="shared" ref="B37:B46" si="1">SUM(C37:BI37)</f>
        <v>0</v>
      </c>
      <c r="C37" s="90">
        <f>SUMIFS('Wells Fargo'!$F:$F,'Wells Fargo'!$G:$G,'Cash Flow'!$A37,'Wells Fargo'!$A:$A,C$1,'Wells Fargo'!$B:$B,"&lt;="&amp;'Cash Flow'!C$3)</f>
        <v>0</v>
      </c>
      <c r="D37" s="89">
        <f>SUMIFS('Wells Fargo'!$F:$F,'Wells Fargo'!$G:$G,'Cash Flow'!$A37,'Wells Fargo'!$A:$A,D$1,'Wells Fargo'!$B:$B,"&lt;="&amp;'Cash Flow'!D$3,'Wells Fargo'!$B:$B,"&gt;"&amp;'Cash Flow'!C$3)</f>
        <v>0</v>
      </c>
      <c r="E37" s="89">
        <f>SUMIFS('Wells Fargo'!$F:$F,'Wells Fargo'!$G:$G,'Cash Flow'!$A37,'Wells Fargo'!$A:$A,E$1,'Wells Fargo'!$B:$B,"&lt;="&amp;'Cash Flow'!E$3,'Wells Fargo'!$B:$B,"&gt;"&amp;'Cash Flow'!D$3)</f>
        <v>0</v>
      </c>
      <c r="F37" s="89">
        <f>SUMIFS('Wells Fargo'!$F:$F,'Wells Fargo'!$G:$G,'Cash Flow'!$A37,'Wells Fargo'!$A:$A,F$1,'Wells Fargo'!$B:$B,"&lt;="&amp;'Cash Flow'!F$3,'Wells Fargo'!$B:$B,"&gt;"&amp;'Cash Flow'!E$3)</f>
        <v>0</v>
      </c>
      <c r="G37" s="89">
        <f>SUMIFS('Wells Fargo'!$F:$F,'Wells Fargo'!$G:$G,'Cash Flow'!$A37,'Wells Fargo'!$A:$A,G$1,'Wells Fargo'!$B:$B,"&lt;="&amp;'Cash Flow'!G$3,'Wells Fargo'!$B:$B,"&gt;"&amp;'Cash Flow'!F$3)</f>
        <v>0</v>
      </c>
      <c r="H37" s="90">
        <f>SUMIFS('Wells Fargo'!$F:$F,'Wells Fargo'!$G:$G,'Cash Flow'!$A37,'Wells Fargo'!$A:$A,H$1,'Wells Fargo'!$B:$B,"&lt;="&amp;'Cash Flow'!H$3)</f>
        <v>0</v>
      </c>
      <c r="I37" s="89">
        <f>SUMIFS('Wells Fargo'!$F:$F,'Wells Fargo'!$G:$G,'Cash Flow'!$A37,'Wells Fargo'!$A:$A,I$1,'Wells Fargo'!$B:$B,"&lt;="&amp;'Cash Flow'!I$3,'Wells Fargo'!$B:$B,"&gt;"&amp;'Cash Flow'!H$3)</f>
        <v>0</v>
      </c>
      <c r="J37" s="89">
        <f>SUMIFS('Wells Fargo'!$F:$F,'Wells Fargo'!$G:$G,'Cash Flow'!$A37,'Wells Fargo'!$A:$A,J$1,'Wells Fargo'!$B:$B,"&lt;="&amp;'Cash Flow'!J$3,'Wells Fargo'!$B:$B,"&gt;"&amp;'Cash Flow'!I$3)</f>
        <v>0</v>
      </c>
      <c r="K37" s="89">
        <f>SUMIFS('Wells Fargo'!$F:$F,'Wells Fargo'!$G:$G,'Cash Flow'!$A37,'Wells Fargo'!$A:$A,K$1,'Wells Fargo'!$B:$B,"&lt;="&amp;'Cash Flow'!K$3,'Wells Fargo'!$B:$B,"&gt;"&amp;'Cash Flow'!J$3)</f>
        <v>0</v>
      </c>
      <c r="L37" s="90">
        <f>SUMIFS('Wells Fargo'!$F:$F,'Wells Fargo'!$G:$G,'Cash Flow'!$A37,'Wells Fargo'!$A:$A,L$1,'Wells Fargo'!$B:$B,"&lt;="&amp;'Cash Flow'!L$3)</f>
        <v>0</v>
      </c>
      <c r="M37" s="89">
        <f>SUMIFS('Wells Fargo'!$F:$F,'Wells Fargo'!$G:$G,'Cash Flow'!$A37,'Wells Fargo'!$A:$A,M$1,'Wells Fargo'!$B:$B,"&lt;="&amp;'Cash Flow'!M$3,'Wells Fargo'!$B:$B,"&gt;"&amp;'Cash Flow'!L$3)</f>
        <v>0</v>
      </c>
      <c r="N37" s="89">
        <f>SUMIFS('Wells Fargo'!$F:$F,'Wells Fargo'!$G:$G,'Cash Flow'!$A37,'Wells Fargo'!$A:$A,N$1,'Wells Fargo'!$B:$B,"&lt;="&amp;'Cash Flow'!N$3,'Wells Fargo'!$B:$B,"&gt;"&amp;'Cash Flow'!M$3)</f>
        <v>0</v>
      </c>
      <c r="O37" s="89">
        <f>SUMIFS('Wells Fargo'!$F:$F,'Wells Fargo'!$G:$G,'Cash Flow'!$A37,'Wells Fargo'!$A:$A,O$1,'Wells Fargo'!$B:$B,"&lt;="&amp;'Cash Flow'!O$3,'Wells Fargo'!$B:$B,"&gt;"&amp;'Cash Flow'!N$3)</f>
        <v>0</v>
      </c>
      <c r="P37" s="89">
        <f>SUMIFS('Wells Fargo'!$F:$F,'Wells Fargo'!$G:$G,'Cash Flow'!$A37,'Wells Fargo'!$A:$A,P$1,'Wells Fargo'!$B:$B,"&lt;="&amp;'Cash Flow'!P$3,'Wells Fargo'!$B:$B,"&gt;"&amp;'Cash Flow'!O$3)</f>
        <v>0</v>
      </c>
      <c r="Q37" s="90">
        <f>SUMIFS('Wells Fargo'!$F:$F,'Wells Fargo'!$G:$G,'Cash Flow'!$A37,'Wells Fargo'!$A:$A,Q$1,'Wells Fargo'!$B:$B,"&lt;="&amp;'Cash Flow'!Q$3)</f>
        <v>0</v>
      </c>
      <c r="R37" s="89">
        <f>SUMIFS('Wells Fargo'!$F:$F,'Wells Fargo'!$G:$G,'Cash Flow'!$A37,'Wells Fargo'!$A:$A,R$1,'Wells Fargo'!$B:$B,"&lt;="&amp;'Cash Flow'!R$3,'Wells Fargo'!$B:$B,"&gt;"&amp;'Cash Flow'!Q$3)</f>
        <v>0</v>
      </c>
      <c r="S37" s="89">
        <f>SUMIFS('Wells Fargo'!$F:$F,'Wells Fargo'!$G:$G,'Cash Flow'!$A37,'Wells Fargo'!$A:$A,S$1,'Wells Fargo'!$B:$B,"&lt;="&amp;'Cash Flow'!S$3,'Wells Fargo'!$B:$B,"&gt;"&amp;'Cash Flow'!R$3)</f>
        <v>0</v>
      </c>
      <c r="T37" s="89">
        <f>SUMIFS('Wells Fargo'!$F:$F,'Wells Fargo'!$G:$G,'Cash Flow'!$A37,'Wells Fargo'!$A:$A,T$1,'Wells Fargo'!$B:$B,"&lt;="&amp;'Cash Flow'!T$3,'Wells Fargo'!$B:$B,"&gt;"&amp;'Cash Flow'!S$3)</f>
        <v>0</v>
      </c>
      <c r="U37" s="89">
        <f>SUMIFS('Wells Fargo'!$F:$F,'Wells Fargo'!$G:$G,'Cash Flow'!$A37,'Wells Fargo'!$A:$A,U$1,'Wells Fargo'!$B:$B,"&lt;="&amp;'Cash Flow'!U$3,'Wells Fargo'!$B:$B,"&gt;"&amp;'Cash Flow'!T$3)</f>
        <v>0</v>
      </c>
      <c r="V37" s="90">
        <f>SUMIFS('Wells Fargo'!$F:$F,'Wells Fargo'!$G:$G,'Cash Flow'!$A37,'Wells Fargo'!$A:$A,V$1,'Wells Fargo'!$B:$B,"&lt;="&amp;'Cash Flow'!V$3)</f>
        <v>0</v>
      </c>
      <c r="W37" s="89">
        <f>SUMIFS('Wells Fargo'!$F:$F,'Wells Fargo'!$G:$G,'Cash Flow'!$A37,'Wells Fargo'!$A:$A,W$1,'Wells Fargo'!$B:$B,"&lt;="&amp;'Cash Flow'!W$3,'Wells Fargo'!$B:$B,"&gt;"&amp;'Cash Flow'!V$3)</f>
        <v>0</v>
      </c>
      <c r="X37" s="89">
        <f>SUMIFS('Wells Fargo'!$F:$F,'Wells Fargo'!$G:$G,'Cash Flow'!$A37,'Wells Fargo'!$A:$A,X$1,'Wells Fargo'!$B:$B,"&lt;="&amp;'Cash Flow'!X$3,'Wells Fargo'!$B:$B,"&gt;"&amp;'Cash Flow'!W$3)</f>
        <v>0</v>
      </c>
      <c r="Y37" s="89">
        <f>SUMIFS('Wells Fargo'!$F:$F,'Wells Fargo'!$G:$G,'Cash Flow'!$A37,'Wells Fargo'!$A:$A,Y$1,'Wells Fargo'!$B:$B,"&lt;="&amp;'Cash Flow'!Y$3,'Wells Fargo'!$B:$B,"&gt;"&amp;'Cash Flow'!X$3)</f>
        <v>0</v>
      </c>
      <c r="Z37" s="89">
        <f>SUMIFS('Wells Fargo'!$F:$F,'Wells Fargo'!$G:$G,'Cash Flow'!$A37,'Wells Fargo'!$A:$A,Z$1,'Wells Fargo'!$B:$B,"&lt;="&amp;'Cash Flow'!Z$3,'Wells Fargo'!$B:$B,"&gt;"&amp;'Cash Flow'!Y$3)</f>
        <v>0</v>
      </c>
      <c r="AA37" s="90">
        <f>SUMIFS('Wells Fargo'!$F:$F,'Wells Fargo'!$G:$G,'Cash Flow'!$A37,'Wells Fargo'!$A:$A,AA$1,'Wells Fargo'!$B:$B,"&lt;="&amp;'Cash Flow'!AA$3)</f>
        <v>0</v>
      </c>
      <c r="AB37" s="89">
        <f>SUMIFS('Wells Fargo'!$F:$F,'Wells Fargo'!$G:$G,'Cash Flow'!$A37,'Wells Fargo'!$A:$A,AB$1,'Wells Fargo'!$B:$B,"&lt;="&amp;'Cash Flow'!AB$3,'Wells Fargo'!$B:$B,"&gt;"&amp;'Cash Flow'!AA$3)</f>
        <v>0</v>
      </c>
      <c r="AC37" s="89">
        <f>SUMIFS('Wells Fargo'!$F:$F,'Wells Fargo'!$G:$G,'Cash Flow'!$A37,'Wells Fargo'!$A:$A,AC$1,'Wells Fargo'!$B:$B,"&lt;="&amp;'Cash Flow'!AC$3,'Wells Fargo'!$B:$B,"&gt;"&amp;'Cash Flow'!AB$3)</f>
        <v>0</v>
      </c>
      <c r="AD37" s="89">
        <f>SUMIFS('Wells Fargo'!$F:$F,'Wells Fargo'!$G:$G,'Cash Flow'!$A37,'Wells Fargo'!$A:$A,AD$1,'Wells Fargo'!$B:$B,"&lt;="&amp;'Cash Flow'!AD$3,'Wells Fargo'!$B:$B,"&gt;"&amp;'Cash Flow'!AC$3)</f>
        <v>0</v>
      </c>
      <c r="AE37" s="89">
        <f>SUMIFS('Wells Fargo'!$F:$F,'Wells Fargo'!$G:$G,'Cash Flow'!$A37,'Wells Fargo'!$A:$A,AE$1,'Wells Fargo'!$B:$B,"&lt;="&amp;'Cash Flow'!AE$3,'Wells Fargo'!$B:$B,"&gt;"&amp;'Cash Flow'!AD$3)</f>
        <v>0</v>
      </c>
      <c r="AF37" s="90">
        <f>SUMIFS('Wells Fargo'!$F:$F,'Wells Fargo'!$G:$G,'Cash Flow'!$A37,'Wells Fargo'!$A:$A,AF$1,'Wells Fargo'!$B:$B,"&lt;="&amp;'Cash Flow'!AF$3)</f>
        <v>0</v>
      </c>
      <c r="AG37" s="89">
        <f>SUMIFS('Wells Fargo'!$F:$F,'Wells Fargo'!$G:$G,'Cash Flow'!$A37,'Wells Fargo'!$A:$A,AG$1,'Wells Fargo'!$B:$B,"&lt;="&amp;'Cash Flow'!AG$3,'Wells Fargo'!$B:$B,"&gt;"&amp;'Cash Flow'!AF$3)</f>
        <v>0</v>
      </c>
      <c r="AH37" s="89">
        <f>SUMIFS('Wells Fargo'!$F:$F,'Wells Fargo'!$G:$G,'Cash Flow'!$A37,'Wells Fargo'!$A:$A,AH$1,'Wells Fargo'!$B:$B,"&lt;="&amp;'Cash Flow'!AH$3,'Wells Fargo'!$B:$B,"&gt;"&amp;'Cash Flow'!AG$3)</f>
        <v>0</v>
      </c>
      <c r="AI37" s="89">
        <f>SUMIFS('Wells Fargo'!$F:$F,'Wells Fargo'!$G:$G,'Cash Flow'!$A37,'Wells Fargo'!$A:$A,AI$1,'Wells Fargo'!$B:$B,"&lt;="&amp;'Cash Flow'!AI$3,'Wells Fargo'!$B:$B,"&gt;"&amp;'Cash Flow'!AH$3)</f>
        <v>0</v>
      </c>
      <c r="AJ37" s="89">
        <f>SUMIFS('Wells Fargo'!$F:$F,'Wells Fargo'!$G:$G,'Cash Flow'!$A37,'Wells Fargo'!$A:$A,AJ$1,'Wells Fargo'!$B:$B,"&lt;="&amp;'Cash Flow'!AJ$3,'Wells Fargo'!$B:$B,"&gt;"&amp;'Cash Flow'!AI$3)</f>
        <v>0</v>
      </c>
      <c r="AK37" s="90">
        <f>SUMIFS('Wells Fargo'!$F:$F,'Wells Fargo'!$G:$G,'Cash Flow'!$A37,'Wells Fargo'!$A:$A,AK$1,'Wells Fargo'!$B:$B,"&lt;="&amp;'Cash Flow'!AK$3)</f>
        <v>0</v>
      </c>
      <c r="AL37" s="89">
        <f>SUMIFS('Wells Fargo'!$F:$F,'Wells Fargo'!$G:$G,'Cash Flow'!$A37,'Wells Fargo'!$A:$A,AL$1,'Wells Fargo'!$B:$B,"&lt;="&amp;'Cash Flow'!AL$3,'Wells Fargo'!$B:$B,"&gt;"&amp;'Cash Flow'!AK$3)</f>
        <v>0</v>
      </c>
      <c r="AM37" s="89">
        <f>SUMIFS('Wells Fargo'!$F:$F,'Wells Fargo'!$G:$G,'Cash Flow'!$A37,'Wells Fargo'!$A:$A,AM$1,'Wells Fargo'!$B:$B,"&lt;="&amp;'Cash Flow'!AM$3,'Wells Fargo'!$B:$B,"&gt;"&amp;'Cash Flow'!AL$3)</f>
        <v>0</v>
      </c>
      <c r="AN37" s="89">
        <f>SUMIFS('Wells Fargo'!$F:$F,'Wells Fargo'!$G:$G,'Cash Flow'!$A37,'Wells Fargo'!$A:$A,AN$1,'Wells Fargo'!$B:$B,"&lt;="&amp;'Cash Flow'!AN$3,'Wells Fargo'!$B:$B,"&gt;"&amp;'Cash Flow'!AM$3)</f>
        <v>0</v>
      </c>
      <c r="AO37" s="89">
        <f>SUMIFS('Wells Fargo'!$F:$F,'Wells Fargo'!$G:$G,'Cash Flow'!$A37,'Wells Fargo'!$A:$A,AO$1,'Wells Fargo'!$B:$B,"&lt;="&amp;'Cash Flow'!AO$3,'Wells Fargo'!$B:$B,"&gt;"&amp;'Cash Flow'!AN$3)</f>
        <v>0</v>
      </c>
      <c r="AP37" s="90">
        <f>SUMIFS('Wells Fargo'!$F:$F,'Wells Fargo'!$G:$G,'Cash Flow'!$A37,'Wells Fargo'!$A:$A,AP$1,'Wells Fargo'!$B:$B,"&lt;="&amp;'Cash Flow'!AP$3)</f>
        <v>0</v>
      </c>
      <c r="AQ37" s="89">
        <f>SUMIFS('Wells Fargo'!$F:$F,'Wells Fargo'!$G:$G,'Cash Flow'!$A37,'Wells Fargo'!$A:$A,AQ$1,'Wells Fargo'!$B:$B,"&lt;="&amp;'Cash Flow'!AQ$3,'Wells Fargo'!$B:$B,"&gt;"&amp;'Cash Flow'!AP$3)</f>
        <v>0</v>
      </c>
      <c r="AR37" s="89">
        <f>SUMIFS('Wells Fargo'!$F:$F,'Wells Fargo'!$G:$G,'Cash Flow'!$A37,'Wells Fargo'!$A:$A,AR$1,'Wells Fargo'!$B:$B,"&lt;="&amp;'Cash Flow'!AR$3,'Wells Fargo'!$B:$B,"&gt;"&amp;'Cash Flow'!AQ$3)</f>
        <v>0</v>
      </c>
      <c r="AS37" s="89">
        <f>SUMIFS('Wells Fargo'!$F:$F,'Wells Fargo'!$G:$G,'Cash Flow'!$A37,'Wells Fargo'!$A:$A,AS$1,'Wells Fargo'!$B:$B,"&lt;="&amp;'Cash Flow'!AS$3,'Wells Fargo'!$B:$B,"&gt;"&amp;'Cash Flow'!AR$3)</f>
        <v>-500</v>
      </c>
      <c r="AT37" s="89">
        <f>SUMIFS('Wells Fargo'!$F:$F,'Wells Fargo'!$G:$G,'Cash Flow'!$A37,'Wells Fargo'!$A:$A,AT$1,'Wells Fargo'!$B:$B,"&lt;="&amp;'Cash Flow'!AT$3,'Wells Fargo'!$B:$B,"&gt;"&amp;'Cash Flow'!AS$3)</f>
        <v>500</v>
      </c>
      <c r="AU37" s="90">
        <f>SUMIFS('Wells Fargo'!$F:$F,'Wells Fargo'!$G:$G,'Cash Flow'!$A37,'Wells Fargo'!$A:$A,AU$1,'Wells Fargo'!$B:$B,"&lt;="&amp;'Cash Flow'!AU$3)</f>
        <v>0</v>
      </c>
      <c r="AV37" s="89">
        <f>SUMIFS('Wells Fargo'!$F:$F,'Wells Fargo'!$G:$G,'Cash Flow'!$A37,'Wells Fargo'!$A:$A,AV$1,'Wells Fargo'!$B:$B,"&lt;="&amp;'Cash Flow'!AV$3,'Wells Fargo'!$B:$B,"&gt;"&amp;'Cash Flow'!AU$3)</f>
        <v>0</v>
      </c>
      <c r="AW37" s="89">
        <f>SUMIFS('Wells Fargo'!$F:$F,'Wells Fargo'!$G:$G,'Cash Flow'!$A37,'Wells Fargo'!$A:$A,AW$1,'Wells Fargo'!$B:$B,"&lt;="&amp;'Cash Flow'!AW$3,'Wells Fargo'!$B:$B,"&gt;"&amp;'Cash Flow'!AV$3)</f>
        <v>0</v>
      </c>
      <c r="AX37" s="89">
        <f>SUMIFS('Wells Fargo'!$F:$F,'Wells Fargo'!$G:$G,'Cash Flow'!$A37,'Wells Fargo'!$A:$A,AX$1,'Wells Fargo'!$B:$B,"&lt;="&amp;'Cash Flow'!AX$3,'Wells Fargo'!$B:$B,"&gt;"&amp;'Cash Flow'!AW$3)</f>
        <v>0</v>
      </c>
      <c r="AY37" s="89">
        <f>SUMIFS('Wells Fargo'!$F:$F,'Wells Fargo'!$G:$G,'Cash Flow'!$A37,'Wells Fargo'!$A:$A,AY$1,'Wells Fargo'!$B:$B,"&lt;="&amp;'Cash Flow'!AY$3,'Wells Fargo'!$B:$B,"&gt;"&amp;'Cash Flow'!AX$3)</f>
        <v>0</v>
      </c>
      <c r="AZ37" s="90">
        <f>SUMIFS('Wells Fargo'!$F:$F,'Wells Fargo'!$G:$G,'Cash Flow'!$A37,'Wells Fargo'!$A:$A,AZ$1,'Wells Fargo'!$B:$B,"&lt;="&amp;'Cash Flow'!AZ$3)</f>
        <v>0</v>
      </c>
      <c r="BA37" s="89">
        <f>SUMIFS('Wells Fargo'!$F:$F,'Wells Fargo'!$G:$G,'Cash Flow'!$A37,'Wells Fargo'!$A:$A,BA$1,'Wells Fargo'!$B:$B,"&lt;="&amp;'Cash Flow'!BA$3,'Wells Fargo'!$B:$B,"&gt;"&amp;'Cash Flow'!AZ$3)</f>
        <v>0</v>
      </c>
      <c r="BB37" s="89">
        <f>SUMIFS('Wells Fargo'!$F:$F,'Wells Fargo'!$G:$G,'Cash Flow'!$A37,'Wells Fargo'!$A:$A,BB$1,'Wells Fargo'!$B:$B,"&lt;="&amp;'Cash Flow'!BB$3,'Wells Fargo'!$B:$B,"&gt;"&amp;'Cash Flow'!BA$3)</f>
        <v>0</v>
      </c>
      <c r="BC37" s="89">
        <f>SUMIFS('Wells Fargo'!$F:$F,'Wells Fargo'!$G:$G,'Cash Flow'!$A37,'Wells Fargo'!$A:$A,BC$1,'Wells Fargo'!$B:$B,"&lt;="&amp;'Cash Flow'!BC$3,'Wells Fargo'!$B:$B,"&gt;"&amp;'Cash Flow'!BB$3)</f>
        <v>0</v>
      </c>
      <c r="BD37" s="89">
        <f>SUMIFS('Wells Fargo'!$F:$F,'Wells Fargo'!$G:$G,'Cash Flow'!$A37,'Wells Fargo'!$A:$A,BD$1,'Wells Fargo'!$B:$B,"&lt;="&amp;'Cash Flow'!BD$3,'Wells Fargo'!$B:$B,"&gt;"&amp;'Cash Flow'!BC$3)</f>
        <v>0</v>
      </c>
      <c r="BE37" s="90">
        <f>SUMIFS('Wells Fargo'!$F:$F,'Wells Fargo'!$G:$G,'Cash Flow'!$A37,'Wells Fargo'!$A:$A,BE$1,'Wells Fargo'!$B:$B,"&lt;="&amp;'Cash Flow'!BE$3)</f>
        <v>0</v>
      </c>
      <c r="BF37" s="89">
        <f>SUMIFS('Wells Fargo'!$F:$F,'Wells Fargo'!$G:$G,'Cash Flow'!$A37,'Wells Fargo'!$A:$A,BF$1,'Wells Fargo'!$B:$B,"&lt;="&amp;'Cash Flow'!BF$3,'Wells Fargo'!$B:$B,"&gt;"&amp;'Cash Flow'!BE$3)</f>
        <v>0</v>
      </c>
      <c r="BG37" s="89">
        <f>SUMIFS('Wells Fargo'!$F:$F,'Wells Fargo'!$G:$G,'Cash Flow'!$A37,'Wells Fargo'!$A:$A,BG$1,'Wells Fargo'!$B:$B,"&lt;="&amp;'Cash Flow'!BG$3,'Wells Fargo'!$B:$B,"&gt;"&amp;'Cash Flow'!BF$3)</f>
        <v>0</v>
      </c>
      <c r="BH37" s="89">
        <f>SUMIFS('Wells Fargo'!$F:$F,'Wells Fargo'!$G:$G,'Cash Flow'!$A37,'Wells Fargo'!$A:$A,BH$1,'Wells Fargo'!$B:$B,"&lt;="&amp;'Cash Flow'!BH$3,'Wells Fargo'!$B:$B,"&gt;"&amp;'Cash Flow'!BG$3)</f>
        <v>0</v>
      </c>
      <c r="BI37" s="89">
        <f>SUMIFS('Wells Fargo'!$F:$F,'Wells Fargo'!$G:$G,'Cash Flow'!$A37,'Wells Fargo'!$A:$A,BI$1,'Wells Fargo'!$B:$B,"&lt;="&amp;'Cash Flow'!BI$3,'Wells Fargo'!$B:$B,"&gt;"&amp;'Cash Flow'!BH$3)</f>
        <v>0</v>
      </c>
    </row>
    <row r="38" spans="1:61" ht="12.75" x14ac:dyDescent="0.2">
      <c r="A38" t="str">
        <v>Movie</v>
      </c>
      <c r="B38" s="15">
        <f t="shared" si="1"/>
        <v>-8</v>
      </c>
      <c r="C38" s="90">
        <f>SUMIFS('Wells Fargo'!$F:$F,'Wells Fargo'!$G:$G,'Cash Flow'!$A38,'Wells Fargo'!$A:$A,C$1,'Wells Fargo'!$B:$B,"&lt;="&amp;'Cash Flow'!C$3)</f>
        <v>0</v>
      </c>
      <c r="D38" s="89">
        <f>SUMIFS('Wells Fargo'!$F:$F,'Wells Fargo'!$G:$G,'Cash Flow'!$A38,'Wells Fargo'!$A:$A,D$1,'Wells Fargo'!$B:$B,"&lt;="&amp;'Cash Flow'!D$3,'Wells Fargo'!$B:$B,"&gt;"&amp;'Cash Flow'!C$3)</f>
        <v>0</v>
      </c>
      <c r="E38" s="89">
        <f>SUMIFS('Wells Fargo'!$F:$F,'Wells Fargo'!$G:$G,'Cash Flow'!$A38,'Wells Fargo'!$A:$A,E$1,'Wells Fargo'!$B:$B,"&lt;="&amp;'Cash Flow'!E$3,'Wells Fargo'!$B:$B,"&gt;"&amp;'Cash Flow'!D$3)</f>
        <v>0</v>
      </c>
      <c r="F38" s="89">
        <f>SUMIFS('Wells Fargo'!$F:$F,'Wells Fargo'!$G:$G,'Cash Flow'!$A38,'Wells Fargo'!$A:$A,F$1,'Wells Fargo'!$B:$B,"&lt;="&amp;'Cash Flow'!F$3,'Wells Fargo'!$B:$B,"&gt;"&amp;'Cash Flow'!E$3)</f>
        <v>0</v>
      </c>
      <c r="G38" s="89">
        <f>SUMIFS('Wells Fargo'!$F:$F,'Wells Fargo'!$G:$G,'Cash Flow'!$A38,'Wells Fargo'!$A:$A,G$1,'Wells Fargo'!$B:$B,"&lt;="&amp;'Cash Flow'!G$3,'Wells Fargo'!$B:$B,"&gt;"&amp;'Cash Flow'!F$3)</f>
        <v>0</v>
      </c>
      <c r="H38" s="90">
        <f>SUMIFS('Wells Fargo'!$F:$F,'Wells Fargo'!$G:$G,'Cash Flow'!$A38,'Wells Fargo'!$A:$A,H$1,'Wells Fargo'!$B:$B,"&lt;="&amp;'Cash Flow'!H$3)</f>
        <v>0</v>
      </c>
      <c r="I38" s="89">
        <f>SUMIFS('Wells Fargo'!$F:$F,'Wells Fargo'!$G:$G,'Cash Flow'!$A38,'Wells Fargo'!$A:$A,I$1,'Wells Fargo'!$B:$B,"&lt;="&amp;'Cash Flow'!I$3,'Wells Fargo'!$B:$B,"&gt;"&amp;'Cash Flow'!H$3)</f>
        <v>0</v>
      </c>
      <c r="J38" s="89">
        <f>SUMIFS('Wells Fargo'!$F:$F,'Wells Fargo'!$G:$G,'Cash Flow'!$A38,'Wells Fargo'!$A:$A,J$1,'Wells Fargo'!$B:$B,"&lt;="&amp;'Cash Flow'!J$3,'Wells Fargo'!$B:$B,"&gt;"&amp;'Cash Flow'!I$3)</f>
        <v>0</v>
      </c>
      <c r="K38" s="89">
        <f>SUMIFS('Wells Fargo'!$F:$F,'Wells Fargo'!$G:$G,'Cash Flow'!$A38,'Wells Fargo'!$A:$A,K$1,'Wells Fargo'!$B:$B,"&lt;="&amp;'Cash Flow'!K$3,'Wells Fargo'!$B:$B,"&gt;"&amp;'Cash Flow'!J$3)</f>
        <v>0</v>
      </c>
      <c r="L38" s="90">
        <f>SUMIFS('Wells Fargo'!$F:$F,'Wells Fargo'!$G:$G,'Cash Flow'!$A38,'Wells Fargo'!$A:$A,L$1,'Wells Fargo'!$B:$B,"&lt;="&amp;'Cash Flow'!L$3)</f>
        <v>0</v>
      </c>
      <c r="M38" s="89">
        <f>SUMIFS('Wells Fargo'!$F:$F,'Wells Fargo'!$G:$G,'Cash Flow'!$A38,'Wells Fargo'!$A:$A,M$1,'Wells Fargo'!$B:$B,"&lt;="&amp;'Cash Flow'!M$3,'Wells Fargo'!$B:$B,"&gt;"&amp;'Cash Flow'!L$3)</f>
        <v>0</v>
      </c>
      <c r="N38" s="89">
        <f>SUMIFS('Wells Fargo'!$F:$F,'Wells Fargo'!$G:$G,'Cash Flow'!$A38,'Wells Fargo'!$A:$A,N$1,'Wells Fargo'!$B:$B,"&lt;="&amp;'Cash Flow'!N$3,'Wells Fargo'!$B:$B,"&gt;"&amp;'Cash Flow'!M$3)</f>
        <v>0</v>
      </c>
      <c r="O38" s="89">
        <f>SUMIFS('Wells Fargo'!$F:$F,'Wells Fargo'!$G:$G,'Cash Flow'!$A38,'Wells Fargo'!$A:$A,O$1,'Wells Fargo'!$B:$B,"&lt;="&amp;'Cash Flow'!O$3,'Wells Fargo'!$B:$B,"&gt;"&amp;'Cash Flow'!N$3)</f>
        <v>0</v>
      </c>
      <c r="P38" s="89">
        <f>SUMIFS('Wells Fargo'!$F:$F,'Wells Fargo'!$G:$G,'Cash Flow'!$A38,'Wells Fargo'!$A:$A,P$1,'Wells Fargo'!$B:$B,"&lt;="&amp;'Cash Flow'!P$3,'Wells Fargo'!$B:$B,"&gt;"&amp;'Cash Flow'!O$3)</f>
        <v>0</v>
      </c>
      <c r="Q38" s="90">
        <f>SUMIFS('Wells Fargo'!$F:$F,'Wells Fargo'!$G:$G,'Cash Flow'!$A38,'Wells Fargo'!$A:$A,Q$1,'Wells Fargo'!$B:$B,"&lt;="&amp;'Cash Flow'!Q$3)</f>
        <v>0</v>
      </c>
      <c r="R38" s="89">
        <f>SUMIFS('Wells Fargo'!$F:$F,'Wells Fargo'!$G:$G,'Cash Flow'!$A38,'Wells Fargo'!$A:$A,R$1,'Wells Fargo'!$B:$B,"&lt;="&amp;'Cash Flow'!R$3,'Wells Fargo'!$B:$B,"&gt;"&amp;'Cash Flow'!Q$3)</f>
        <v>0</v>
      </c>
      <c r="S38" s="89">
        <f>SUMIFS('Wells Fargo'!$F:$F,'Wells Fargo'!$G:$G,'Cash Flow'!$A38,'Wells Fargo'!$A:$A,S$1,'Wells Fargo'!$B:$B,"&lt;="&amp;'Cash Flow'!S$3,'Wells Fargo'!$B:$B,"&gt;"&amp;'Cash Flow'!R$3)</f>
        <v>0</v>
      </c>
      <c r="T38" s="89">
        <f>SUMIFS('Wells Fargo'!$F:$F,'Wells Fargo'!$G:$G,'Cash Flow'!$A38,'Wells Fargo'!$A:$A,T$1,'Wells Fargo'!$B:$B,"&lt;="&amp;'Cash Flow'!T$3,'Wells Fargo'!$B:$B,"&gt;"&amp;'Cash Flow'!S$3)</f>
        <v>0</v>
      </c>
      <c r="U38" s="89">
        <f>SUMIFS('Wells Fargo'!$F:$F,'Wells Fargo'!$G:$G,'Cash Flow'!$A38,'Wells Fargo'!$A:$A,U$1,'Wells Fargo'!$B:$B,"&lt;="&amp;'Cash Flow'!U$3,'Wells Fargo'!$B:$B,"&gt;"&amp;'Cash Flow'!T$3)</f>
        <v>0</v>
      </c>
      <c r="V38" s="90">
        <f>SUMIFS('Wells Fargo'!$F:$F,'Wells Fargo'!$G:$G,'Cash Flow'!$A38,'Wells Fargo'!$A:$A,V$1,'Wells Fargo'!$B:$B,"&lt;="&amp;'Cash Flow'!V$3)</f>
        <v>0</v>
      </c>
      <c r="W38" s="89">
        <f>SUMIFS('Wells Fargo'!$F:$F,'Wells Fargo'!$G:$G,'Cash Flow'!$A38,'Wells Fargo'!$A:$A,W$1,'Wells Fargo'!$B:$B,"&lt;="&amp;'Cash Flow'!W$3,'Wells Fargo'!$B:$B,"&gt;"&amp;'Cash Flow'!V$3)</f>
        <v>0</v>
      </c>
      <c r="X38" s="89">
        <f>SUMIFS('Wells Fargo'!$F:$F,'Wells Fargo'!$G:$G,'Cash Flow'!$A38,'Wells Fargo'!$A:$A,X$1,'Wells Fargo'!$B:$B,"&lt;="&amp;'Cash Flow'!X$3,'Wells Fargo'!$B:$B,"&gt;"&amp;'Cash Flow'!W$3)</f>
        <v>0</v>
      </c>
      <c r="Y38" s="89">
        <f>SUMIFS('Wells Fargo'!$F:$F,'Wells Fargo'!$G:$G,'Cash Flow'!$A38,'Wells Fargo'!$A:$A,Y$1,'Wells Fargo'!$B:$B,"&lt;="&amp;'Cash Flow'!Y$3,'Wells Fargo'!$B:$B,"&gt;"&amp;'Cash Flow'!X$3)</f>
        <v>0</v>
      </c>
      <c r="Z38" s="89">
        <f>SUMIFS('Wells Fargo'!$F:$F,'Wells Fargo'!$G:$G,'Cash Flow'!$A38,'Wells Fargo'!$A:$A,Z$1,'Wells Fargo'!$B:$B,"&lt;="&amp;'Cash Flow'!Z$3,'Wells Fargo'!$B:$B,"&gt;"&amp;'Cash Flow'!Y$3)</f>
        <v>0</v>
      </c>
      <c r="AA38" s="90">
        <f>SUMIFS('Wells Fargo'!$F:$F,'Wells Fargo'!$G:$G,'Cash Flow'!$A38,'Wells Fargo'!$A:$A,AA$1,'Wells Fargo'!$B:$B,"&lt;="&amp;'Cash Flow'!AA$3)</f>
        <v>0</v>
      </c>
      <c r="AB38" s="89">
        <f>SUMIFS('Wells Fargo'!$F:$F,'Wells Fargo'!$G:$G,'Cash Flow'!$A38,'Wells Fargo'!$A:$A,AB$1,'Wells Fargo'!$B:$B,"&lt;="&amp;'Cash Flow'!AB$3,'Wells Fargo'!$B:$B,"&gt;"&amp;'Cash Flow'!AA$3)</f>
        <v>0</v>
      </c>
      <c r="AC38" s="89">
        <f>SUMIFS('Wells Fargo'!$F:$F,'Wells Fargo'!$G:$G,'Cash Flow'!$A38,'Wells Fargo'!$A:$A,AC$1,'Wells Fargo'!$B:$B,"&lt;="&amp;'Cash Flow'!AC$3,'Wells Fargo'!$B:$B,"&gt;"&amp;'Cash Flow'!AB$3)</f>
        <v>0</v>
      </c>
      <c r="AD38" s="89">
        <f>SUMIFS('Wells Fargo'!$F:$F,'Wells Fargo'!$G:$G,'Cash Flow'!$A38,'Wells Fargo'!$A:$A,AD$1,'Wells Fargo'!$B:$B,"&lt;="&amp;'Cash Flow'!AD$3,'Wells Fargo'!$B:$B,"&gt;"&amp;'Cash Flow'!AC$3)</f>
        <v>0</v>
      </c>
      <c r="AE38" s="89">
        <f>SUMIFS('Wells Fargo'!$F:$F,'Wells Fargo'!$G:$G,'Cash Flow'!$A38,'Wells Fargo'!$A:$A,AE$1,'Wells Fargo'!$B:$B,"&lt;="&amp;'Cash Flow'!AE$3,'Wells Fargo'!$B:$B,"&gt;"&amp;'Cash Flow'!AD$3)</f>
        <v>0</v>
      </c>
      <c r="AF38" s="90">
        <f>SUMIFS('Wells Fargo'!$F:$F,'Wells Fargo'!$G:$G,'Cash Flow'!$A38,'Wells Fargo'!$A:$A,AF$1,'Wells Fargo'!$B:$B,"&lt;="&amp;'Cash Flow'!AF$3)</f>
        <v>0</v>
      </c>
      <c r="AG38" s="89">
        <f>SUMIFS('Wells Fargo'!$F:$F,'Wells Fargo'!$G:$G,'Cash Flow'!$A38,'Wells Fargo'!$A:$A,AG$1,'Wells Fargo'!$B:$B,"&lt;="&amp;'Cash Flow'!AG$3,'Wells Fargo'!$B:$B,"&gt;"&amp;'Cash Flow'!AF$3)</f>
        <v>0</v>
      </c>
      <c r="AH38" s="89">
        <f>SUMIFS('Wells Fargo'!$F:$F,'Wells Fargo'!$G:$G,'Cash Flow'!$A38,'Wells Fargo'!$A:$A,AH$1,'Wells Fargo'!$B:$B,"&lt;="&amp;'Cash Flow'!AH$3,'Wells Fargo'!$B:$B,"&gt;"&amp;'Cash Flow'!AG$3)</f>
        <v>0</v>
      </c>
      <c r="AI38" s="89">
        <f>SUMIFS('Wells Fargo'!$F:$F,'Wells Fargo'!$G:$G,'Cash Flow'!$A38,'Wells Fargo'!$A:$A,AI$1,'Wells Fargo'!$B:$B,"&lt;="&amp;'Cash Flow'!AI$3,'Wells Fargo'!$B:$B,"&gt;"&amp;'Cash Flow'!AH$3)</f>
        <v>0</v>
      </c>
      <c r="AJ38" s="89">
        <f>SUMIFS('Wells Fargo'!$F:$F,'Wells Fargo'!$G:$G,'Cash Flow'!$A38,'Wells Fargo'!$A:$A,AJ$1,'Wells Fargo'!$B:$B,"&lt;="&amp;'Cash Flow'!AJ$3,'Wells Fargo'!$B:$B,"&gt;"&amp;'Cash Flow'!AI$3)</f>
        <v>0</v>
      </c>
      <c r="AK38" s="90">
        <f>SUMIFS('Wells Fargo'!$F:$F,'Wells Fargo'!$G:$G,'Cash Flow'!$A38,'Wells Fargo'!$A:$A,AK$1,'Wells Fargo'!$B:$B,"&lt;="&amp;'Cash Flow'!AK$3)</f>
        <v>0</v>
      </c>
      <c r="AL38" s="89">
        <f>SUMIFS('Wells Fargo'!$F:$F,'Wells Fargo'!$G:$G,'Cash Flow'!$A38,'Wells Fargo'!$A:$A,AL$1,'Wells Fargo'!$B:$B,"&lt;="&amp;'Cash Flow'!AL$3,'Wells Fargo'!$B:$B,"&gt;"&amp;'Cash Flow'!AK$3)</f>
        <v>0</v>
      </c>
      <c r="AM38" s="89">
        <f>SUMIFS('Wells Fargo'!$F:$F,'Wells Fargo'!$G:$G,'Cash Flow'!$A38,'Wells Fargo'!$A:$A,AM$1,'Wells Fargo'!$B:$B,"&lt;="&amp;'Cash Flow'!AM$3,'Wells Fargo'!$B:$B,"&gt;"&amp;'Cash Flow'!AL$3)</f>
        <v>0</v>
      </c>
      <c r="AN38" s="89">
        <f>SUMIFS('Wells Fargo'!$F:$F,'Wells Fargo'!$G:$G,'Cash Flow'!$A38,'Wells Fargo'!$A:$A,AN$1,'Wells Fargo'!$B:$B,"&lt;="&amp;'Cash Flow'!AN$3,'Wells Fargo'!$B:$B,"&gt;"&amp;'Cash Flow'!AM$3)</f>
        <v>0</v>
      </c>
      <c r="AO38" s="89">
        <f>SUMIFS('Wells Fargo'!$F:$F,'Wells Fargo'!$G:$G,'Cash Flow'!$A38,'Wells Fargo'!$A:$A,AO$1,'Wells Fargo'!$B:$B,"&lt;="&amp;'Cash Flow'!AO$3,'Wells Fargo'!$B:$B,"&gt;"&amp;'Cash Flow'!AN$3)</f>
        <v>0</v>
      </c>
      <c r="AP38" s="90">
        <f>SUMIFS('Wells Fargo'!$F:$F,'Wells Fargo'!$G:$G,'Cash Flow'!$A38,'Wells Fargo'!$A:$A,AP$1,'Wells Fargo'!$B:$B,"&lt;="&amp;'Cash Flow'!AP$3)</f>
        <v>0</v>
      </c>
      <c r="AQ38" s="89">
        <f>SUMIFS('Wells Fargo'!$F:$F,'Wells Fargo'!$G:$G,'Cash Flow'!$A38,'Wells Fargo'!$A:$A,AQ$1,'Wells Fargo'!$B:$B,"&lt;="&amp;'Cash Flow'!AQ$3,'Wells Fargo'!$B:$B,"&gt;"&amp;'Cash Flow'!AP$3)</f>
        <v>-8</v>
      </c>
      <c r="AR38" s="89">
        <f>SUMIFS('Wells Fargo'!$F:$F,'Wells Fargo'!$G:$G,'Cash Flow'!$A38,'Wells Fargo'!$A:$A,AR$1,'Wells Fargo'!$B:$B,"&lt;="&amp;'Cash Flow'!AR$3,'Wells Fargo'!$B:$B,"&gt;"&amp;'Cash Flow'!AQ$3)</f>
        <v>0</v>
      </c>
      <c r="AS38" s="89">
        <f>SUMIFS('Wells Fargo'!$F:$F,'Wells Fargo'!$G:$G,'Cash Flow'!$A38,'Wells Fargo'!$A:$A,AS$1,'Wells Fargo'!$B:$B,"&lt;="&amp;'Cash Flow'!AS$3,'Wells Fargo'!$B:$B,"&gt;"&amp;'Cash Flow'!AR$3)</f>
        <v>0</v>
      </c>
      <c r="AT38" s="89">
        <f>SUMIFS('Wells Fargo'!$F:$F,'Wells Fargo'!$G:$G,'Cash Flow'!$A38,'Wells Fargo'!$A:$A,AT$1,'Wells Fargo'!$B:$B,"&lt;="&amp;'Cash Flow'!AT$3,'Wells Fargo'!$B:$B,"&gt;"&amp;'Cash Flow'!AS$3)</f>
        <v>0</v>
      </c>
      <c r="AU38" s="90">
        <f>SUMIFS('Wells Fargo'!$F:$F,'Wells Fargo'!$G:$G,'Cash Flow'!$A38,'Wells Fargo'!$A:$A,AU$1,'Wells Fargo'!$B:$B,"&lt;="&amp;'Cash Flow'!AU$3)</f>
        <v>0</v>
      </c>
      <c r="AV38" s="89">
        <f>SUMIFS('Wells Fargo'!$F:$F,'Wells Fargo'!$G:$G,'Cash Flow'!$A38,'Wells Fargo'!$A:$A,AV$1,'Wells Fargo'!$B:$B,"&lt;="&amp;'Cash Flow'!AV$3,'Wells Fargo'!$B:$B,"&gt;"&amp;'Cash Flow'!AU$3)</f>
        <v>0</v>
      </c>
      <c r="AW38" s="89">
        <f>SUMIFS('Wells Fargo'!$F:$F,'Wells Fargo'!$G:$G,'Cash Flow'!$A38,'Wells Fargo'!$A:$A,AW$1,'Wells Fargo'!$B:$B,"&lt;="&amp;'Cash Flow'!AW$3,'Wells Fargo'!$B:$B,"&gt;"&amp;'Cash Flow'!AV$3)</f>
        <v>0</v>
      </c>
      <c r="AX38" s="89">
        <f>SUMIFS('Wells Fargo'!$F:$F,'Wells Fargo'!$G:$G,'Cash Flow'!$A38,'Wells Fargo'!$A:$A,AX$1,'Wells Fargo'!$B:$B,"&lt;="&amp;'Cash Flow'!AX$3,'Wells Fargo'!$B:$B,"&gt;"&amp;'Cash Flow'!AW$3)</f>
        <v>0</v>
      </c>
      <c r="AY38" s="89">
        <f>SUMIFS('Wells Fargo'!$F:$F,'Wells Fargo'!$G:$G,'Cash Flow'!$A38,'Wells Fargo'!$A:$A,AY$1,'Wells Fargo'!$B:$B,"&lt;="&amp;'Cash Flow'!AY$3,'Wells Fargo'!$B:$B,"&gt;"&amp;'Cash Flow'!AX$3)</f>
        <v>0</v>
      </c>
      <c r="AZ38" s="90">
        <f>SUMIFS('Wells Fargo'!$F:$F,'Wells Fargo'!$G:$G,'Cash Flow'!$A38,'Wells Fargo'!$A:$A,AZ$1,'Wells Fargo'!$B:$B,"&lt;="&amp;'Cash Flow'!AZ$3)</f>
        <v>0</v>
      </c>
      <c r="BA38" s="89">
        <f>SUMIFS('Wells Fargo'!$F:$F,'Wells Fargo'!$G:$G,'Cash Flow'!$A38,'Wells Fargo'!$A:$A,BA$1,'Wells Fargo'!$B:$B,"&lt;="&amp;'Cash Flow'!BA$3,'Wells Fargo'!$B:$B,"&gt;"&amp;'Cash Flow'!AZ$3)</f>
        <v>0</v>
      </c>
      <c r="BB38" s="89">
        <f>SUMIFS('Wells Fargo'!$F:$F,'Wells Fargo'!$G:$G,'Cash Flow'!$A38,'Wells Fargo'!$A:$A,BB$1,'Wells Fargo'!$B:$B,"&lt;="&amp;'Cash Flow'!BB$3,'Wells Fargo'!$B:$B,"&gt;"&amp;'Cash Flow'!BA$3)</f>
        <v>0</v>
      </c>
      <c r="BC38" s="89">
        <f>SUMIFS('Wells Fargo'!$F:$F,'Wells Fargo'!$G:$G,'Cash Flow'!$A38,'Wells Fargo'!$A:$A,BC$1,'Wells Fargo'!$B:$B,"&lt;="&amp;'Cash Flow'!BC$3,'Wells Fargo'!$B:$B,"&gt;"&amp;'Cash Flow'!BB$3)</f>
        <v>0</v>
      </c>
      <c r="BD38" s="89">
        <f>SUMIFS('Wells Fargo'!$F:$F,'Wells Fargo'!$G:$G,'Cash Flow'!$A38,'Wells Fargo'!$A:$A,BD$1,'Wells Fargo'!$B:$B,"&lt;="&amp;'Cash Flow'!BD$3,'Wells Fargo'!$B:$B,"&gt;"&amp;'Cash Flow'!BC$3)</f>
        <v>0</v>
      </c>
      <c r="BE38" s="90">
        <f>SUMIFS('Wells Fargo'!$F:$F,'Wells Fargo'!$G:$G,'Cash Flow'!$A38,'Wells Fargo'!$A:$A,BE$1,'Wells Fargo'!$B:$B,"&lt;="&amp;'Cash Flow'!BE$3)</f>
        <v>0</v>
      </c>
      <c r="BF38" s="89">
        <f>SUMIFS('Wells Fargo'!$F:$F,'Wells Fargo'!$G:$G,'Cash Flow'!$A38,'Wells Fargo'!$A:$A,BF$1,'Wells Fargo'!$B:$B,"&lt;="&amp;'Cash Flow'!BF$3,'Wells Fargo'!$B:$B,"&gt;"&amp;'Cash Flow'!BE$3)</f>
        <v>0</v>
      </c>
      <c r="BG38" s="89">
        <f>SUMIFS('Wells Fargo'!$F:$F,'Wells Fargo'!$G:$G,'Cash Flow'!$A38,'Wells Fargo'!$A:$A,BG$1,'Wells Fargo'!$B:$B,"&lt;="&amp;'Cash Flow'!BG$3,'Wells Fargo'!$B:$B,"&gt;"&amp;'Cash Flow'!BF$3)</f>
        <v>0</v>
      </c>
      <c r="BH38" s="89">
        <f>SUMIFS('Wells Fargo'!$F:$F,'Wells Fargo'!$G:$G,'Cash Flow'!$A38,'Wells Fargo'!$A:$A,BH$1,'Wells Fargo'!$B:$B,"&lt;="&amp;'Cash Flow'!BH$3,'Wells Fargo'!$B:$B,"&gt;"&amp;'Cash Flow'!BG$3)</f>
        <v>0</v>
      </c>
      <c r="BI38" s="89">
        <f>SUMIFS('Wells Fargo'!$F:$F,'Wells Fargo'!$G:$G,'Cash Flow'!$A38,'Wells Fargo'!$A:$A,BI$1,'Wells Fargo'!$B:$B,"&lt;="&amp;'Cash Flow'!BI$3,'Wells Fargo'!$B:$B,"&gt;"&amp;'Cash Flow'!BH$3)</f>
        <v>0</v>
      </c>
    </row>
    <row r="39" spans="1:61" ht="12.75" x14ac:dyDescent="0.2">
      <c r="A39" t="str">
        <v>Nate</v>
      </c>
      <c r="B39" s="15">
        <f t="shared" si="1"/>
        <v>-250</v>
      </c>
      <c r="C39" s="90">
        <f>SUMIFS('Wells Fargo'!$F:$F,'Wells Fargo'!$G:$G,'Cash Flow'!$A39,'Wells Fargo'!$A:$A,C$1,'Wells Fargo'!$B:$B,"&lt;="&amp;'Cash Flow'!C$3)</f>
        <v>0</v>
      </c>
      <c r="D39" s="89">
        <f>SUMIFS('Wells Fargo'!$F:$F,'Wells Fargo'!$G:$G,'Cash Flow'!$A39,'Wells Fargo'!$A:$A,D$1,'Wells Fargo'!$B:$B,"&lt;="&amp;'Cash Flow'!D$3,'Wells Fargo'!$B:$B,"&gt;"&amp;'Cash Flow'!C$3)</f>
        <v>0</v>
      </c>
      <c r="E39" s="89">
        <f>SUMIFS('Wells Fargo'!$F:$F,'Wells Fargo'!$G:$G,'Cash Flow'!$A39,'Wells Fargo'!$A:$A,E$1,'Wells Fargo'!$B:$B,"&lt;="&amp;'Cash Flow'!E$3,'Wells Fargo'!$B:$B,"&gt;"&amp;'Cash Flow'!D$3)</f>
        <v>0</v>
      </c>
      <c r="F39" s="89">
        <f>SUMIFS('Wells Fargo'!$F:$F,'Wells Fargo'!$G:$G,'Cash Flow'!$A39,'Wells Fargo'!$A:$A,F$1,'Wells Fargo'!$B:$B,"&lt;="&amp;'Cash Flow'!F$3,'Wells Fargo'!$B:$B,"&gt;"&amp;'Cash Flow'!E$3)</f>
        <v>0</v>
      </c>
      <c r="G39" s="89">
        <f>SUMIFS('Wells Fargo'!$F:$F,'Wells Fargo'!$G:$G,'Cash Flow'!$A39,'Wells Fargo'!$A:$A,G$1,'Wells Fargo'!$B:$B,"&lt;="&amp;'Cash Flow'!G$3,'Wells Fargo'!$B:$B,"&gt;"&amp;'Cash Flow'!F$3)</f>
        <v>0</v>
      </c>
      <c r="H39" s="90">
        <f>SUMIFS('Wells Fargo'!$F:$F,'Wells Fargo'!$G:$G,'Cash Flow'!$A39,'Wells Fargo'!$A:$A,H$1,'Wells Fargo'!$B:$B,"&lt;="&amp;'Cash Flow'!H$3)</f>
        <v>0</v>
      </c>
      <c r="I39" s="89">
        <f>SUMIFS('Wells Fargo'!$F:$F,'Wells Fargo'!$G:$G,'Cash Flow'!$A39,'Wells Fargo'!$A:$A,I$1,'Wells Fargo'!$B:$B,"&lt;="&amp;'Cash Flow'!I$3,'Wells Fargo'!$B:$B,"&gt;"&amp;'Cash Flow'!H$3)</f>
        <v>0</v>
      </c>
      <c r="J39" s="89">
        <f>SUMIFS('Wells Fargo'!$F:$F,'Wells Fargo'!$G:$G,'Cash Flow'!$A39,'Wells Fargo'!$A:$A,J$1,'Wells Fargo'!$B:$B,"&lt;="&amp;'Cash Flow'!J$3,'Wells Fargo'!$B:$B,"&gt;"&amp;'Cash Flow'!I$3)</f>
        <v>0</v>
      </c>
      <c r="K39" s="89">
        <f>SUMIFS('Wells Fargo'!$F:$F,'Wells Fargo'!$G:$G,'Cash Flow'!$A39,'Wells Fargo'!$A:$A,K$1,'Wells Fargo'!$B:$B,"&lt;="&amp;'Cash Flow'!K$3,'Wells Fargo'!$B:$B,"&gt;"&amp;'Cash Flow'!J$3)</f>
        <v>0</v>
      </c>
      <c r="L39" s="90">
        <f>SUMIFS('Wells Fargo'!$F:$F,'Wells Fargo'!$G:$G,'Cash Flow'!$A39,'Wells Fargo'!$A:$A,L$1,'Wells Fargo'!$B:$B,"&lt;="&amp;'Cash Flow'!L$3)</f>
        <v>0</v>
      </c>
      <c r="M39" s="89">
        <f>SUMIFS('Wells Fargo'!$F:$F,'Wells Fargo'!$G:$G,'Cash Flow'!$A39,'Wells Fargo'!$A:$A,M$1,'Wells Fargo'!$B:$B,"&lt;="&amp;'Cash Flow'!M$3,'Wells Fargo'!$B:$B,"&gt;"&amp;'Cash Flow'!L$3)</f>
        <v>0</v>
      </c>
      <c r="N39" s="89">
        <f>SUMIFS('Wells Fargo'!$F:$F,'Wells Fargo'!$G:$G,'Cash Flow'!$A39,'Wells Fargo'!$A:$A,N$1,'Wells Fargo'!$B:$B,"&lt;="&amp;'Cash Flow'!N$3,'Wells Fargo'!$B:$B,"&gt;"&amp;'Cash Flow'!M$3)</f>
        <v>0</v>
      </c>
      <c r="O39" s="89">
        <f>SUMIFS('Wells Fargo'!$F:$F,'Wells Fargo'!$G:$G,'Cash Flow'!$A39,'Wells Fargo'!$A:$A,O$1,'Wells Fargo'!$B:$B,"&lt;="&amp;'Cash Flow'!O$3,'Wells Fargo'!$B:$B,"&gt;"&amp;'Cash Flow'!N$3)</f>
        <v>0</v>
      </c>
      <c r="P39" s="89">
        <f>SUMIFS('Wells Fargo'!$F:$F,'Wells Fargo'!$G:$G,'Cash Flow'!$A39,'Wells Fargo'!$A:$A,P$1,'Wells Fargo'!$B:$B,"&lt;="&amp;'Cash Flow'!P$3,'Wells Fargo'!$B:$B,"&gt;"&amp;'Cash Flow'!O$3)</f>
        <v>0</v>
      </c>
      <c r="Q39" s="90">
        <f>SUMIFS('Wells Fargo'!$F:$F,'Wells Fargo'!$G:$G,'Cash Flow'!$A39,'Wells Fargo'!$A:$A,Q$1,'Wells Fargo'!$B:$B,"&lt;="&amp;'Cash Flow'!Q$3)</f>
        <v>0</v>
      </c>
      <c r="R39" s="89">
        <f>SUMIFS('Wells Fargo'!$F:$F,'Wells Fargo'!$G:$G,'Cash Flow'!$A39,'Wells Fargo'!$A:$A,R$1,'Wells Fargo'!$B:$B,"&lt;="&amp;'Cash Flow'!R$3,'Wells Fargo'!$B:$B,"&gt;"&amp;'Cash Flow'!Q$3)</f>
        <v>0</v>
      </c>
      <c r="S39" s="89">
        <f>SUMIFS('Wells Fargo'!$F:$F,'Wells Fargo'!$G:$G,'Cash Flow'!$A39,'Wells Fargo'!$A:$A,S$1,'Wells Fargo'!$B:$B,"&lt;="&amp;'Cash Flow'!S$3,'Wells Fargo'!$B:$B,"&gt;"&amp;'Cash Flow'!R$3)</f>
        <v>0</v>
      </c>
      <c r="T39" s="89">
        <f>SUMIFS('Wells Fargo'!$F:$F,'Wells Fargo'!$G:$G,'Cash Flow'!$A39,'Wells Fargo'!$A:$A,T$1,'Wells Fargo'!$B:$B,"&lt;="&amp;'Cash Flow'!T$3,'Wells Fargo'!$B:$B,"&gt;"&amp;'Cash Flow'!S$3)</f>
        <v>0</v>
      </c>
      <c r="U39" s="89">
        <f>SUMIFS('Wells Fargo'!$F:$F,'Wells Fargo'!$G:$G,'Cash Flow'!$A39,'Wells Fargo'!$A:$A,U$1,'Wells Fargo'!$B:$B,"&lt;="&amp;'Cash Flow'!U$3,'Wells Fargo'!$B:$B,"&gt;"&amp;'Cash Flow'!T$3)</f>
        <v>0</v>
      </c>
      <c r="V39" s="90">
        <f>SUMIFS('Wells Fargo'!$F:$F,'Wells Fargo'!$G:$G,'Cash Flow'!$A39,'Wells Fargo'!$A:$A,V$1,'Wells Fargo'!$B:$B,"&lt;="&amp;'Cash Flow'!V$3)</f>
        <v>0</v>
      </c>
      <c r="W39" s="89">
        <f>SUMIFS('Wells Fargo'!$F:$F,'Wells Fargo'!$G:$G,'Cash Flow'!$A39,'Wells Fargo'!$A:$A,W$1,'Wells Fargo'!$B:$B,"&lt;="&amp;'Cash Flow'!W$3,'Wells Fargo'!$B:$B,"&gt;"&amp;'Cash Flow'!V$3)</f>
        <v>0</v>
      </c>
      <c r="X39" s="89">
        <f>SUMIFS('Wells Fargo'!$F:$F,'Wells Fargo'!$G:$G,'Cash Flow'!$A39,'Wells Fargo'!$A:$A,X$1,'Wells Fargo'!$B:$B,"&lt;="&amp;'Cash Flow'!X$3,'Wells Fargo'!$B:$B,"&gt;"&amp;'Cash Flow'!W$3)</f>
        <v>0</v>
      </c>
      <c r="Y39" s="89">
        <f>SUMIFS('Wells Fargo'!$F:$F,'Wells Fargo'!$G:$G,'Cash Flow'!$A39,'Wells Fargo'!$A:$A,Y$1,'Wells Fargo'!$B:$B,"&lt;="&amp;'Cash Flow'!Y$3,'Wells Fargo'!$B:$B,"&gt;"&amp;'Cash Flow'!X$3)</f>
        <v>-50</v>
      </c>
      <c r="Z39" s="89">
        <f>SUMIFS('Wells Fargo'!$F:$F,'Wells Fargo'!$G:$G,'Cash Flow'!$A39,'Wells Fargo'!$A:$A,Z$1,'Wells Fargo'!$B:$B,"&lt;="&amp;'Cash Flow'!Z$3,'Wells Fargo'!$B:$B,"&gt;"&amp;'Cash Flow'!Y$3)</f>
        <v>0</v>
      </c>
      <c r="AA39" s="90">
        <f>SUMIFS('Wells Fargo'!$F:$F,'Wells Fargo'!$G:$G,'Cash Flow'!$A39,'Wells Fargo'!$A:$A,AA$1,'Wells Fargo'!$B:$B,"&lt;="&amp;'Cash Flow'!AA$3)</f>
        <v>0</v>
      </c>
      <c r="AB39" s="89">
        <f>SUMIFS('Wells Fargo'!$F:$F,'Wells Fargo'!$G:$G,'Cash Flow'!$A39,'Wells Fargo'!$A:$A,AB$1,'Wells Fargo'!$B:$B,"&lt;="&amp;'Cash Flow'!AB$3,'Wells Fargo'!$B:$B,"&gt;"&amp;'Cash Flow'!AA$3)</f>
        <v>0</v>
      </c>
      <c r="AC39" s="89">
        <f>SUMIFS('Wells Fargo'!$F:$F,'Wells Fargo'!$G:$G,'Cash Flow'!$A39,'Wells Fargo'!$A:$A,AC$1,'Wells Fargo'!$B:$B,"&lt;="&amp;'Cash Flow'!AC$3,'Wells Fargo'!$B:$B,"&gt;"&amp;'Cash Flow'!AB$3)</f>
        <v>-200</v>
      </c>
      <c r="AD39" s="89">
        <f>SUMIFS('Wells Fargo'!$F:$F,'Wells Fargo'!$G:$G,'Cash Flow'!$A39,'Wells Fargo'!$A:$A,AD$1,'Wells Fargo'!$B:$B,"&lt;="&amp;'Cash Flow'!AD$3,'Wells Fargo'!$B:$B,"&gt;"&amp;'Cash Flow'!AC$3)</f>
        <v>0</v>
      </c>
      <c r="AE39" s="89">
        <f>SUMIFS('Wells Fargo'!$F:$F,'Wells Fargo'!$G:$G,'Cash Flow'!$A39,'Wells Fargo'!$A:$A,AE$1,'Wells Fargo'!$B:$B,"&lt;="&amp;'Cash Flow'!AE$3,'Wells Fargo'!$B:$B,"&gt;"&amp;'Cash Flow'!AD$3)</f>
        <v>0</v>
      </c>
      <c r="AF39" s="90">
        <f>SUMIFS('Wells Fargo'!$F:$F,'Wells Fargo'!$G:$G,'Cash Flow'!$A39,'Wells Fargo'!$A:$A,AF$1,'Wells Fargo'!$B:$B,"&lt;="&amp;'Cash Flow'!AF$3)</f>
        <v>0</v>
      </c>
      <c r="AG39" s="89">
        <f>SUMIFS('Wells Fargo'!$F:$F,'Wells Fargo'!$G:$G,'Cash Flow'!$A39,'Wells Fargo'!$A:$A,AG$1,'Wells Fargo'!$B:$B,"&lt;="&amp;'Cash Flow'!AG$3,'Wells Fargo'!$B:$B,"&gt;"&amp;'Cash Flow'!AF$3)</f>
        <v>0</v>
      </c>
      <c r="AH39" s="89">
        <f>SUMIFS('Wells Fargo'!$F:$F,'Wells Fargo'!$G:$G,'Cash Flow'!$A39,'Wells Fargo'!$A:$A,AH$1,'Wells Fargo'!$B:$B,"&lt;="&amp;'Cash Flow'!AH$3,'Wells Fargo'!$B:$B,"&gt;"&amp;'Cash Flow'!AG$3)</f>
        <v>0</v>
      </c>
      <c r="AI39" s="89">
        <f>SUMIFS('Wells Fargo'!$F:$F,'Wells Fargo'!$G:$G,'Cash Flow'!$A39,'Wells Fargo'!$A:$A,AI$1,'Wells Fargo'!$B:$B,"&lt;="&amp;'Cash Flow'!AI$3,'Wells Fargo'!$B:$B,"&gt;"&amp;'Cash Flow'!AH$3)</f>
        <v>0</v>
      </c>
      <c r="AJ39" s="89">
        <f>SUMIFS('Wells Fargo'!$F:$F,'Wells Fargo'!$G:$G,'Cash Flow'!$A39,'Wells Fargo'!$A:$A,AJ$1,'Wells Fargo'!$B:$B,"&lt;="&amp;'Cash Flow'!AJ$3,'Wells Fargo'!$B:$B,"&gt;"&amp;'Cash Flow'!AI$3)</f>
        <v>0</v>
      </c>
      <c r="AK39" s="90">
        <f>SUMIFS('Wells Fargo'!$F:$F,'Wells Fargo'!$G:$G,'Cash Flow'!$A39,'Wells Fargo'!$A:$A,AK$1,'Wells Fargo'!$B:$B,"&lt;="&amp;'Cash Flow'!AK$3)</f>
        <v>0</v>
      </c>
      <c r="AL39" s="89">
        <f>SUMIFS('Wells Fargo'!$F:$F,'Wells Fargo'!$G:$G,'Cash Flow'!$A39,'Wells Fargo'!$A:$A,AL$1,'Wells Fargo'!$B:$B,"&lt;="&amp;'Cash Flow'!AL$3,'Wells Fargo'!$B:$B,"&gt;"&amp;'Cash Flow'!AK$3)</f>
        <v>0</v>
      </c>
      <c r="AM39" s="89">
        <f>SUMIFS('Wells Fargo'!$F:$F,'Wells Fargo'!$G:$G,'Cash Flow'!$A39,'Wells Fargo'!$A:$A,AM$1,'Wells Fargo'!$B:$B,"&lt;="&amp;'Cash Flow'!AM$3,'Wells Fargo'!$B:$B,"&gt;"&amp;'Cash Flow'!AL$3)</f>
        <v>0</v>
      </c>
      <c r="AN39" s="89">
        <f>SUMIFS('Wells Fargo'!$F:$F,'Wells Fargo'!$G:$G,'Cash Flow'!$A39,'Wells Fargo'!$A:$A,AN$1,'Wells Fargo'!$B:$B,"&lt;="&amp;'Cash Flow'!AN$3,'Wells Fargo'!$B:$B,"&gt;"&amp;'Cash Flow'!AM$3)</f>
        <v>0</v>
      </c>
      <c r="AO39" s="89">
        <f>SUMIFS('Wells Fargo'!$F:$F,'Wells Fargo'!$G:$G,'Cash Flow'!$A39,'Wells Fargo'!$A:$A,AO$1,'Wells Fargo'!$B:$B,"&lt;="&amp;'Cash Flow'!AO$3,'Wells Fargo'!$B:$B,"&gt;"&amp;'Cash Flow'!AN$3)</f>
        <v>0</v>
      </c>
      <c r="AP39" s="90">
        <f>SUMIFS('Wells Fargo'!$F:$F,'Wells Fargo'!$G:$G,'Cash Flow'!$A39,'Wells Fargo'!$A:$A,AP$1,'Wells Fargo'!$B:$B,"&lt;="&amp;'Cash Flow'!AP$3)</f>
        <v>0</v>
      </c>
      <c r="AQ39" s="89">
        <f>SUMIFS('Wells Fargo'!$F:$F,'Wells Fargo'!$G:$G,'Cash Flow'!$A39,'Wells Fargo'!$A:$A,AQ$1,'Wells Fargo'!$B:$B,"&lt;="&amp;'Cash Flow'!AQ$3,'Wells Fargo'!$B:$B,"&gt;"&amp;'Cash Flow'!AP$3)</f>
        <v>0</v>
      </c>
      <c r="AR39" s="89">
        <f>SUMIFS('Wells Fargo'!$F:$F,'Wells Fargo'!$G:$G,'Cash Flow'!$A39,'Wells Fargo'!$A:$A,AR$1,'Wells Fargo'!$B:$B,"&lt;="&amp;'Cash Flow'!AR$3,'Wells Fargo'!$B:$B,"&gt;"&amp;'Cash Flow'!AQ$3)</f>
        <v>0</v>
      </c>
      <c r="AS39" s="89">
        <f>SUMIFS('Wells Fargo'!$F:$F,'Wells Fargo'!$G:$G,'Cash Flow'!$A39,'Wells Fargo'!$A:$A,AS$1,'Wells Fargo'!$B:$B,"&lt;="&amp;'Cash Flow'!AS$3,'Wells Fargo'!$B:$B,"&gt;"&amp;'Cash Flow'!AR$3)</f>
        <v>0</v>
      </c>
      <c r="AT39" s="89">
        <f>SUMIFS('Wells Fargo'!$F:$F,'Wells Fargo'!$G:$G,'Cash Flow'!$A39,'Wells Fargo'!$A:$A,AT$1,'Wells Fargo'!$B:$B,"&lt;="&amp;'Cash Flow'!AT$3,'Wells Fargo'!$B:$B,"&gt;"&amp;'Cash Flow'!AS$3)</f>
        <v>0</v>
      </c>
      <c r="AU39" s="90">
        <f>SUMIFS('Wells Fargo'!$F:$F,'Wells Fargo'!$G:$G,'Cash Flow'!$A39,'Wells Fargo'!$A:$A,AU$1,'Wells Fargo'!$B:$B,"&lt;="&amp;'Cash Flow'!AU$3)</f>
        <v>0</v>
      </c>
      <c r="AV39" s="89">
        <f>SUMIFS('Wells Fargo'!$F:$F,'Wells Fargo'!$G:$G,'Cash Flow'!$A39,'Wells Fargo'!$A:$A,AV$1,'Wells Fargo'!$B:$B,"&lt;="&amp;'Cash Flow'!AV$3,'Wells Fargo'!$B:$B,"&gt;"&amp;'Cash Flow'!AU$3)</f>
        <v>0</v>
      </c>
      <c r="AW39" s="89">
        <f>SUMIFS('Wells Fargo'!$F:$F,'Wells Fargo'!$G:$G,'Cash Flow'!$A39,'Wells Fargo'!$A:$A,AW$1,'Wells Fargo'!$B:$B,"&lt;="&amp;'Cash Flow'!AW$3,'Wells Fargo'!$B:$B,"&gt;"&amp;'Cash Flow'!AV$3)</f>
        <v>0</v>
      </c>
      <c r="AX39" s="89">
        <f>SUMIFS('Wells Fargo'!$F:$F,'Wells Fargo'!$G:$G,'Cash Flow'!$A39,'Wells Fargo'!$A:$A,AX$1,'Wells Fargo'!$B:$B,"&lt;="&amp;'Cash Flow'!AX$3,'Wells Fargo'!$B:$B,"&gt;"&amp;'Cash Flow'!AW$3)</f>
        <v>0</v>
      </c>
      <c r="AY39" s="89">
        <f>SUMIFS('Wells Fargo'!$F:$F,'Wells Fargo'!$G:$G,'Cash Flow'!$A39,'Wells Fargo'!$A:$A,AY$1,'Wells Fargo'!$B:$B,"&lt;="&amp;'Cash Flow'!AY$3,'Wells Fargo'!$B:$B,"&gt;"&amp;'Cash Flow'!AX$3)</f>
        <v>0</v>
      </c>
      <c r="AZ39" s="90">
        <f>SUMIFS('Wells Fargo'!$F:$F,'Wells Fargo'!$G:$G,'Cash Flow'!$A39,'Wells Fargo'!$A:$A,AZ$1,'Wells Fargo'!$B:$B,"&lt;="&amp;'Cash Flow'!AZ$3)</f>
        <v>0</v>
      </c>
      <c r="BA39" s="89">
        <f>SUMIFS('Wells Fargo'!$F:$F,'Wells Fargo'!$G:$G,'Cash Flow'!$A39,'Wells Fargo'!$A:$A,BA$1,'Wells Fargo'!$B:$B,"&lt;="&amp;'Cash Flow'!BA$3,'Wells Fargo'!$B:$B,"&gt;"&amp;'Cash Flow'!AZ$3)</f>
        <v>0</v>
      </c>
      <c r="BB39" s="89">
        <f>SUMIFS('Wells Fargo'!$F:$F,'Wells Fargo'!$G:$G,'Cash Flow'!$A39,'Wells Fargo'!$A:$A,BB$1,'Wells Fargo'!$B:$B,"&lt;="&amp;'Cash Flow'!BB$3,'Wells Fargo'!$B:$B,"&gt;"&amp;'Cash Flow'!BA$3)</f>
        <v>0</v>
      </c>
      <c r="BC39" s="89">
        <f>SUMIFS('Wells Fargo'!$F:$F,'Wells Fargo'!$G:$G,'Cash Flow'!$A39,'Wells Fargo'!$A:$A,BC$1,'Wells Fargo'!$B:$B,"&lt;="&amp;'Cash Flow'!BC$3,'Wells Fargo'!$B:$B,"&gt;"&amp;'Cash Flow'!BB$3)</f>
        <v>0</v>
      </c>
      <c r="BD39" s="89">
        <f>SUMIFS('Wells Fargo'!$F:$F,'Wells Fargo'!$G:$G,'Cash Flow'!$A39,'Wells Fargo'!$A:$A,BD$1,'Wells Fargo'!$B:$B,"&lt;="&amp;'Cash Flow'!BD$3,'Wells Fargo'!$B:$B,"&gt;"&amp;'Cash Flow'!BC$3)</f>
        <v>0</v>
      </c>
      <c r="BE39" s="90">
        <f>SUMIFS('Wells Fargo'!$F:$F,'Wells Fargo'!$G:$G,'Cash Flow'!$A39,'Wells Fargo'!$A:$A,BE$1,'Wells Fargo'!$B:$B,"&lt;="&amp;'Cash Flow'!BE$3)</f>
        <v>0</v>
      </c>
      <c r="BF39" s="89">
        <f>SUMIFS('Wells Fargo'!$F:$F,'Wells Fargo'!$G:$G,'Cash Flow'!$A39,'Wells Fargo'!$A:$A,BF$1,'Wells Fargo'!$B:$B,"&lt;="&amp;'Cash Flow'!BF$3,'Wells Fargo'!$B:$B,"&gt;"&amp;'Cash Flow'!BE$3)</f>
        <v>0</v>
      </c>
      <c r="BG39" s="89">
        <f>SUMIFS('Wells Fargo'!$F:$F,'Wells Fargo'!$G:$G,'Cash Flow'!$A39,'Wells Fargo'!$A:$A,BG$1,'Wells Fargo'!$B:$B,"&lt;="&amp;'Cash Flow'!BG$3,'Wells Fargo'!$B:$B,"&gt;"&amp;'Cash Flow'!BF$3)</f>
        <v>0</v>
      </c>
      <c r="BH39" s="89">
        <f>SUMIFS('Wells Fargo'!$F:$F,'Wells Fargo'!$G:$G,'Cash Flow'!$A39,'Wells Fargo'!$A:$A,BH$1,'Wells Fargo'!$B:$B,"&lt;="&amp;'Cash Flow'!BH$3,'Wells Fargo'!$B:$B,"&gt;"&amp;'Cash Flow'!BG$3)</f>
        <v>0</v>
      </c>
      <c r="BI39" s="89">
        <f>SUMIFS('Wells Fargo'!$F:$F,'Wells Fargo'!$G:$G,'Cash Flow'!$A39,'Wells Fargo'!$A:$A,BI$1,'Wells Fargo'!$B:$B,"&lt;="&amp;'Cash Flow'!BI$3,'Wells Fargo'!$B:$B,"&gt;"&amp;'Cash Flow'!BH$3)</f>
        <v>0</v>
      </c>
    </row>
    <row r="40" spans="1:61" ht="12.75" x14ac:dyDescent="0.2">
      <c r="A40" t="str">
        <v>Nationwide</v>
      </c>
      <c r="B40" s="15">
        <f t="shared" si="1"/>
        <v>17617.759999999998</v>
      </c>
      <c r="C40" s="90">
        <f>SUMIFS('Wells Fargo'!$F:$F,'Wells Fargo'!$G:$G,'Cash Flow'!$A40,'Wells Fargo'!$A:$A,C$1,'Wells Fargo'!$B:$B,"&lt;="&amp;'Cash Flow'!C$3)</f>
        <v>0</v>
      </c>
      <c r="D40" s="89">
        <f>SUMIFS('Wells Fargo'!$F:$F,'Wells Fargo'!$G:$G,'Cash Flow'!$A40,'Wells Fargo'!$A:$A,D$1,'Wells Fargo'!$B:$B,"&lt;="&amp;'Cash Flow'!D$3,'Wells Fargo'!$B:$B,"&gt;"&amp;'Cash Flow'!C$3)</f>
        <v>0</v>
      </c>
      <c r="E40" s="89">
        <f>SUMIFS('Wells Fargo'!$F:$F,'Wells Fargo'!$G:$G,'Cash Flow'!$A40,'Wells Fargo'!$A:$A,E$1,'Wells Fargo'!$B:$B,"&lt;="&amp;'Cash Flow'!E$3,'Wells Fargo'!$B:$B,"&gt;"&amp;'Cash Flow'!D$3)</f>
        <v>0</v>
      </c>
      <c r="F40" s="89">
        <f>SUMIFS('Wells Fargo'!$F:$F,'Wells Fargo'!$G:$G,'Cash Flow'!$A40,'Wells Fargo'!$A:$A,F$1,'Wells Fargo'!$B:$B,"&lt;="&amp;'Cash Flow'!F$3,'Wells Fargo'!$B:$B,"&gt;"&amp;'Cash Flow'!E$3)</f>
        <v>0</v>
      </c>
      <c r="G40" s="89">
        <f>SUMIFS('Wells Fargo'!$F:$F,'Wells Fargo'!$G:$G,'Cash Flow'!$A40,'Wells Fargo'!$A:$A,G$1,'Wells Fargo'!$B:$B,"&lt;="&amp;'Cash Flow'!G$3,'Wells Fargo'!$B:$B,"&gt;"&amp;'Cash Flow'!F$3)</f>
        <v>0</v>
      </c>
      <c r="H40" s="90">
        <f>SUMIFS('Wells Fargo'!$F:$F,'Wells Fargo'!$G:$G,'Cash Flow'!$A40,'Wells Fargo'!$A:$A,H$1,'Wells Fargo'!$B:$B,"&lt;="&amp;'Cash Flow'!H$3)</f>
        <v>0</v>
      </c>
      <c r="I40" s="89">
        <f>SUMIFS('Wells Fargo'!$F:$F,'Wells Fargo'!$G:$G,'Cash Flow'!$A40,'Wells Fargo'!$A:$A,I$1,'Wells Fargo'!$B:$B,"&lt;="&amp;'Cash Flow'!I$3,'Wells Fargo'!$B:$B,"&gt;"&amp;'Cash Flow'!H$3)</f>
        <v>0</v>
      </c>
      <c r="J40" s="89">
        <f>SUMIFS('Wells Fargo'!$F:$F,'Wells Fargo'!$G:$G,'Cash Flow'!$A40,'Wells Fargo'!$A:$A,J$1,'Wells Fargo'!$B:$B,"&lt;="&amp;'Cash Flow'!J$3,'Wells Fargo'!$B:$B,"&gt;"&amp;'Cash Flow'!I$3)</f>
        <v>0</v>
      </c>
      <c r="K40" s="89">
        <f>SUMIFS('Wells Fargo'!$F:$F,'Wells Fargo'!$G:$G,'Cash Flow'!$A40,'Wells Fargo'!$A:$A,K$1,'Wells Fargo'!$B:$B,"&lt;="&amp;'Cash Flow'!K$3,'Wells Fargo'!$B:$B,"&gt;"&amp;'Cash Flow'!J$3)</f>
        <v>0</v>
      </c>
      <c r="L40" s="90">
        <f>SUMIFS('Wells Fargo'!$F:$F,'Wells Fargo'!$G:$G,'Cash Flow'!$A40,'Wells Fargo'!$A:$A,L$1,'Wells Fargo'!$B:$B,"&lt;="&amp;'Cash Flow'!L$3)</f>
        <v>0</v>
      </c>
      <c r="M40" s="89">
        <f>SUMIFS('Wells Fargo'!$F:$F,'Wells Fargo'!$G:$G,'Cash Flow'!$A40,'Wells Fargo'!$A:$A,M$1,'Wells Fargo'!$B:$B,"&lt;="&amp;'Cash Flow'!M$3,'Wells Fargo'!$B:$B,"&gt;"&amp;'Cash Flow'!L$3)</f>
        <v>0</v>
      </c>
      <c r="N40" s="89">
        <f>SUMIFS('Wells Fargo'!$F:$F,'Wells Fargo'!$G:$G,'Cash Flow'!$A40,'Wells Fargo'!$A:$A,N$1,'Wells Fargo'!$B:$B,"&lt;="&amp;'Cash Flow'!N$3,'Wells Fargo'!$B:$B,"&gt;"&amp;'Cash Flow'!M$3)</f>
        <v>0</v>
      </c>
      <c r="O40" s="89">
        <f>SUMIFS('Wells Fargo'!$F:$F,'Wells Fargo'!$G:$G,'Cash Flow'!$A40,'Wells Fargo'!$A:$A,O$1,'Wells Fargo'!$B:$B,"&lt;="&amp;'Cash Flow'!O$3,'Wells Fargo'!$B:$B,"&gt;"&amp;'Cash Flow'!N$3)</f>
        <v>0</v>
      </c>
      <c r="P40" s="89">
        <f>SUMIFS('Wells Fargo'!$F:$F,'Wells Fargo'!$G:$G,'Cash Flow'!$A40,'Wells Fargo'!$A:$A,P$1,'Wells Fargo'!$B:$B,"&lt;="&amp;'Cash Flow'!P$3,'Wells Fargo'!$B:$B,"&gt;"&amp;'Cash Flow'!O$3)</f>
        <v>0</v>
      </c>
      <c r="Q40" s="90">
        <f>SUMIFS('Wells Fargo'!$F:$F,'Wells Fargo'!$G:$G,'Cash Flow'!$A40,'Wells Fargo'!$A:$A,Q$1,'Wells Fargo'!$B:$B,"&lt;="&amp;'Cash Flow'!Q$3)</f>
        <v>0</v>
      </c>
      <c r="R40" s="89">
        <f>SUMIFS('Wells Fargo'!$F:$F,'Wells Fargo'!$G:$G,'Cash Flow'!$A40,'Wells Fargo'!$A:$A,R$1,'Wells Fargo'!$B:$B,"&lt;="&amp;'Cash Flow'!R$3,'Wells Fargo'!$B:$B,"&gt;"&amp;'Cash Flow'!Q$3)</f>
        <v>0</v>
      </c>
      <c r="S40" s="89">
        <f>SUMIFS('Wells Fargo'!$F:$F,'Wells Fargo'!$G:$G,'Cash Flow'!$A40,'Wells Fargo'!$A:$A,S$1,'Wells Fargo'!$B:$B,"&lt;="&amp;'Cash Flow'!S$3,'Wells Fargo'!$B:$B,"&gt;"&amp;'Cash Flow'!R$3)</f>
        <v>0</v>
      </c>
      <c r="T40" s="89">
        <f>SUMIFS('Wells Fargo'!$F:$F,'Wells Fargo'!$G:$G,'Cash Flow'!$A40,'Wells Fargo'!$A:$A,T$1,'Wells Fargo'!$B:$B,"&lt;="&amp;'Cash Flow'!T$3,'Wells Fargo'!$B:$B,"&gt;"&amp;'Cash Flow'!S$3)</f>
        <v>0</v>
      </c>
      <c r="U40" s="89">
        <f>SUMIFS('Wells Fargo'!$F:$F,'Wells Fargo'!$G:$G,'Cash Flow'!$A40,'Wells Fargo'!$A:$A,U$1,'Wells Fargo'!$B:$B,"&lt;="&amp;'Cash Flow'!U$3,'Wells Fargo'!$B:$B,"&gt;"&amp;'Cash Flow'!T$3)</f>
        <v>0</v>
      </c>
      <c r="V40" s="90">
        <f>SUMIFS('Wells Fargo'!$F:$F,'Wells Fargo'!$G:$G,'Cash Flow'!$A40,'Wells Fargo'!$A:$A,V$1,'Wells Fargo'!$B:$B,"&lt;="&amp;'Cash Flow'!V$3)</f>
        <v>0</v>
      </c>
      <c r="W40" s="89">
        <f>SUMIFS('Wells Fargo'!$F:$F,'Wells Fargo'!$G:$G,'Cash Flow'!$A40,'Wells Fargo'!$A:$A,W$1,'Wells Fargo'!$B:$B,"&lt;="&amp;'Cash Flow'!W$3,'Wells Fargo'!$B:$B,"&gt;"&amp;'Cash Flow'!V$3)</f>
        <v>0</v>
      </c>
      <c r="X40" s="89">
        <f>SUMIFS('Wells Fargo'!$F:$F,'Wells Fargo'!$G:$G,'Cash Flow'!$A40,'Wells Fargo'!$A:$A,X$1,'Wells Fargo'!$B:$B,"&lt;="&amp;'Cash Flow'!X$3,'Wells Fargo'!$B:$B,"&gt;"&amp;'Cash Flow'!W$3)</f>
        <v>0</v>
      </c>
      <c r="Y40" s="89">
        <f>SUMIFS('Wells Fargo'!$F:$F,'Wells Fargo'!$G:$G,'Cash Flow'!$A40,'Wells Fargo'!$A:$A,Y$1,'Wells Fargo'!$B:$B,"&lt;="&amp;'Cash Flow'!Y$3,'Wells Fargo'!$B:$B,"&gt;"&amp;'Cash Flow'!X$3)</f>
        <v>0</v>
      </c>
      <c r="Z40" s="89">
        <f>SUMIFS('Wells Fargo'!$F:$F,'Wells Fargo'!$G:$G,'Cash Flow'!$A40,'Wells Fargo'!$A:$A,Z$1,'Wells Fargo'!$B:$B,"&lt;="&amp;'Cash Flow'!Z$3,'Wells Fargo'!$B:$B,"&gt;"&amp;'Cash Flow'!Y$3)</f>
        <v>0</v>
      </c>
      <c r="AA40" s="90">
        <f>SUMIFS('Wells Fargo'!$F:$F,'Wells Fargo'!$G:$G,'Cash Flow'!$A40,'Wells Fargo'!$A:$A,AA$1,'Wells Fargo'!$B:$B,"&lt;="&amp;'Cash Flow'!AA$3)</f>
        <v>0</v>
      </c>
      <c r="AB40" s="89">
        <f>SUMIFS('Wells Fargo'!$F:$F,'Wells Fargo'!$G:$G,'Cash Flow'!$A40,'Wells Fargo'!$A:$A,AB$1,'Wells Fargo'!$B:$B,"&lt;="&amp;'Cash Flow'!AB$3,'Wells Fargo'!$B:$B,"&gt;"&amp;'Cash Flow'!AA$3)</f>
        <v>0</v>
      </c>
      <c r="AC40" s="89">
        <f>SUMIFS('Wells Fargo'!$F:$F,'Wells Fargo'!$G:$G,'Cash Flow'!$A40,'Wells Fargo'!$A:$A,AC$1,'Wells Fargo'!$B:$B,"&lt;="&amp;'Cash Flow'!AC$3,'Wells Fargo'!$B:$B,"&gt;"&amp;'Cash Flow'!AB$3)</f>
        <v>4436.57</v>
      </c>
      <c r="AD40" s="89">
        <f>SUMIFS('Wells Fargo'!$F:$F,'Wells Fargo'!$G:$G,'Cash Flow'!$A40,'Wells Fargo'!$A:$A,AD$1,'Wells Fargo'!$B:$B,"&lt;="&amp;'Cash Flow'!AD$3,'Wells Fargo'!$B:$B,"&gt;"&amp;'Cash Flow'!AC$3)</f>
        <v>0</v>
      </c>
      <c r="AE40" s="89">
        <f>SUMIFS('Wells Fargo'!$F:$F,'Wells Fargo'!$G:$G,'Cash Flow'!$A40,'Wells Fargo'!$A:$A,AE$1,'Wells Fargo'!$B:$B,"&lt;="&amp;'Cash Flow'!AE$3,'Wells Fargo'!$B:$B,"&gt;"&amp;'Cash Flow'!AD$3)</f>
        <v>0</v>
      </c>
      <c r="AF40" s="90">
        <f>SUMIFS('Wells Fargo'!$F:$F,'Wells Fargo'!$G:$G,'Cash Flow'!$A40,'Wells Fargo'!$A:$A,AF$1,'Wells Fargo'!$B:$B,"&lt;="&amp;'Cash Flow'!AF$3)</f>
        <v>1583.62</v>
      </c>
      <c r="AG40" s="89">
        <f>SUMIFS('Wells Fargo'!$F:$F,'Wells Fargo'!$G:$G,'Cash Flow'!$A40,'Wells Fargo'!$A:$A,AG$1,'Wells Fargo'!$B:$B,"&lt;="&amp;'Cash Flow'!AG$3,'Wells Fargo'!$B:$B,"&gt;"&amp;'Cash Flow'!AF$3)</f>
        <v>0</v>
      </c>
      <c r="AH40" s="89">
        <f>SUMIFS('Wells Fargo'!$F:$F,'Wells Fargo'!$G:$G,'Cash Flow'!$A40,'Wells Fargo'!$A:$A,AH$1,'Wells Fargo'!$B:$B,"&lt;="&amp;'Cash Flow'!AH$3,'Wells Fargo'!$B:$B,"&gt;"&amp;'Cash Flow'!AG$3)</f>
        <v>1583.61</v>
      </c>
      <c r="AI40" s="89">
        <f>SUMIFS('Wells Fargo'!$F:$F,'Wells Fargo'!$G:$G,'Cash Flow'!$A40,'Wells Fargo'!$A:$A,AI$1,'Wells Fargo'!$B:$B,"&lt;="&amp;'Cash Flow'!AI$3,'Wells Fargo'!$B:$B,"&gt;"&amp;'Cash Flow'!AH$3)</f>
        <v>0</v>
      </c>
      <c r="AJ40" s="89">
        <f>SUMIFS('Wells Fargo'!$F:$F,'Wells Fargo'!$G:$G,'Cash Flow'!$A40,'Wells Fargo'!$A:$A,AJ$1,'Wells Fargo'!$B:$B,"&lt;="&amp;'Cash Flow'!AJ$3,'Wells Fargo'!$B:$B,"&gt;"&amp;'Cash Flow'!AI$3)</f>
        <v>1733.66</v>
      </c>
      <c r="AK40" s="90">
        <f>SUMIFS('Wells Fargo'!$F:$F,'Wells Fargo'!$G:$G,'Cash Flow'!$A40,'Wells Fargo'!$A:$A,AK$1,'Wells Fargo'!$B:$B,"&lt;="&amp;'Cash Flow'!AK$3)</f>
        <v>0</v>
      </c>
      <c r="AL40" s="89">
        <f>SUMIFS('Wells Fargo'!$F:$F,'Wells Fargo'!$G:$G,'Cash Flow'!$A40,'Wells Fargo'!$A:$A,AL$1,'Wells Fargo'!$B:$B,"&lt;="&amp;'Cash Flow'!AL$3,'Wells Fargo'!$B:$B,"&gt;"&amp;'Cash Flow'!AK$3)</f>
        <v>2033.65</v>
      </c>
      <c r="AM40" s="89">
        <f>SUMIFS('Wells Fargo'!$F:$F,'Wells Fargo'!$G:$G,'Cash Flow'!$A40,'Wells Fargo'!$A:$A,AM$1,'Wells Fargo'!$B:$B,"&lt;="&amp;'Cash Flow'!AM$3,'Wells Fargo'!$B:$B,"&gt;"&amp;'Cash Flow'!AL$3)</f>
        <v>0</v>
      </c>
      <c r="AN40" s="89">
        <f>SUMIFS('Wells Fargo'!$F:$F,'Wells Fargo'!$G:$G,'Cash Flow'!$A40,'Wells Fargo'!$A:$A,AN$1,'Wells Fargo'!$B:$B,"&lt;="&amp;'Cash Flow'!AN$3,'Wells Fargo'!$B:$B,"&gt;"&amp;'Cash Flow'!AM$3)</f>
        <v>2033.65</v>
      </c>
      <c r="AO40" s="89">
        <f>SUMIFS('Wells Fargo'!$F:$F,'Wells Fargo'!$G:$G,'Cash Flow'!$A40,'Wells Fargo'!$A:$A,AO$1,'Wells Fargo'!$B:$B,"&lt;="&amp;'Cash Flow'!AO$3,'Wells Fargo'!$B:$B,"&gt;"&amp;'Cash Flow'!AN$3)</f>
        <v>0</v>
      </c>
      <c r="AP40" s="90">
        <f>SUMIFS('Wells Fargo'!$F:$F,'Wells Fargo'!$G:$G,'Cash Flow'!$A40,'Wells Fargo'!$A:$A,AP$1,'Wells Fargo'!$B:$B,"&lt;="&amp;'Cash Flow'!AP$3)</f>
        <v>0</v>
      </c>
      <c r="AQ40" s="89">
        <f>SUMIFS('Wells Fargo'!$F:$F,'Wells Fargo'!$G:$G,'Cash Flow'!$A40,'Wells Fargo'!$A:$A,AQ$1,'Wells Fargo'!$B:$B,"&lt;="&amp;'Cash Flow'!AQ$3,'Wells Fargo'!$B:$B,"&gt;"&amp;'Cash Flow'!AP$3)</f>
        <v>2033.66</v>
      </c>
      <c r="AR40" s="89">
        <f>SUMIFS('Wells Fargo'!$F:$F,'Wells Fargo'!$G:$G,'Cash Flow'!$A40,'Wells Fargo'!$A:$A,AR$1,'Wells Fargo'!$B:$B,"&lt;="&amp;'Cash Flow'!AR$3,'Wells Fargo'!$B:$B,"&gt;"&amp;'Cash Flow'!AQ$3)</f>
        <v>0</v>
      </c>
      <c r="AS40" s="89">
        <f>SUMIFS('Wells Fargo'!$F:$F,'Wells Fargo'!$G:$G,'Cash Flow'!$A40,'Wells Fargo'!$A:$A,AS$1,'Wells Fargo'!$B:$B,"&lt;="&amp;'Cash Flow'!AS$3,'Wells Fargo'!$B:$B,"&gt;"&amp;'Cash Flow'!AR$3)</f>
        <v>2179.34</v>
      </c>
      <c r="AT40" s="89">
        <f>SUMIFS('Wells Fargo'!$F:$F,'Wells Fargo'!$G:$G,'Cash Flow'!$A40,'Wells Fargo'!$A:$A,AT$1,'Wells Fargo'!$B:$B,"&lt;="&amp;'Cash Flow'!AT$3,'Wells Fargo'!$B:$B,"&gt;"&amp;'Cash Flow'!AS$3)</f>
        <v>0</v>
      </c>
      <c r="AU40" s="90">
        <f>SUMIFS('Wells Fargo'!$F:$F,'Wells Fargo'!$G:$G,'Cash Flow'!$A40,'Wells Fargo'!$A:$A,AU$1,'Wells Fargo'!$B:$B,"&lt;="&amp;'Cash Flow'!AU$3)</f>
        <v>0</v>
      </c>
      <c r="AV40" s="89">
        <f>SUMIFS('Wells Fargo'!$F:$F,'Wells Fargo'!$G:$G,'Cash Flow'!$A40,'Wells Fargo'!$A:$A,AV$1,'Wells Fargo'!$B:$B,"&lt;="&amp;'Cash Flow'!AV$3,'Wells Fargo'!$B:$B,"&gt;"&amp;'Cash Flow'!AU$3)</f>
        <v>0</v>
      </c>
      <c r="AW40" s="89">
        <f>SUMIFS('Wells Fargo'!$F:$F,'Wells Fargo'!$G:$G,'Cash Flow'!$A40,'Wells Fargo'!$A:$A,AW$1,'Wells Fargo'!$B:$B,"&lt;="&amp;'Cash Flow'!AW$3,'Wells Fargo'!$B:$B,"&gt;"&amp;'Cash Flow'!AV$3)</f>
        <v>0</v>
      </c>
      <c r="AX40" s="89">
        <f>SUMIFS('Wells Fargo'!$F:$F,'Wells Fargo'!$G:$G,'Cash Flow'!$A40,'Wells Fargo'!$A:$A,AX$1,'Wells Fargo'!$B:$B,"&lt;="&amp;'Cash Flow'!AX$3,'Wells Fargo'!$B:$B,"&gt;"&amp;'Cash Flow'!AW$3)</f>
        <v>0</v>
      </c>
      <c r="AY40" s="89">
        <f>SUMIFS('Wells Fargo'!$F:$F,'Wells Fargo'!$G:$G,'Cash Flow'!$A40,'Wells Fargo'!$A:$A,AY$1,'Wells Fargo'!$B:$B,"&lt;="&amp;'Cash Flow'!AY$3,'Wells Fargo'!$B:$B,"&gt;"&amp;'Cash Flow'!AX$3)</f>
        <v>0</v>
      </c>
      <c r="AZ40" s="90">
        <f>SUMIFS('Wells Fargo'!$F:$F,'Wells Fargo'!$G:$G,'Cash Flow'!$A40,'Wells Fargo'!$A:$A,AZ$1,'Wells Fargo'!$B:$B,"&lt;="&amp;'Cash Flow'!AZ$3)</f>
        <v>0</v>
      </c>
      <c r="BA40" s="89">
        <f>SUMIFS('Wells Fargo'!$F:$F,'Wells Fargo'!$G:$G,'Cash Flow'!$A40,'Wells Fargo'!$A:$A,BA$1,'Wells Fargo'!$B:$B,"&lt;="&amp;'Cash Flow'!BA$3,'Wells Fargo'!$B:$B,"&gt;"&amp;'Cash Flow'!AZ$3)</f>
        <v>0</v>
      </c>
      <c r="BB40" s="89">
        <f>SUMIFS('Wells Fargo'!$F:$F,'Wells Fargo'!$G:$G,'Cash Flow'!$A40,'Wells Fargo'!$A:$A,BB$1,'Wells Fargo'!$B:$B,"&lt;="&amp;'Cash Flow'!BB$3,'Wells Fargo'!$B:$B,"&gt;"&amp;'Cash Flow'!BA$3)</f>
        <v>0</v>
      </c>
      <c r="BC40" s="89">
        <f>SUMIFS('Wells Fargo'!$F:$F,'Wells Fargo'!$G:$G,'Cash Flow'!$A40,'Wells Fargo'!$A:$A,BC$1,'Wells Fargo'!$B:$B,"&lt;="&amp;'Cash Flow'!BC$3,'Wells Fargo'!$B:$B,"&gt;"&amp;'Cash Flow'!BB$3)</f>
        <v>0</v>
      </c>
      <c r="BD40" s="89">
        <f>SUMIFS('Wells Fargo'!$F:$F,'Wells Fargo'!$G:$G,'Cash Flow'!$A40,'Wells Fargo'!$A:$A,BD$1,'Wells Fargo'!$B:$B,"&lt;="&amp;'Cash Flow'!BD$3,'Wells Fargo'!$B:$B,"&gt;"&amp;'Cash Flow'!BC$3)</f>
        <v>0</v>
      </c>
      <c r="BE40" s="90">
        <f>SUMIFS('Wells Fargo'!$F:$F,'Wells Fargo'!$G:$G,'Cash Flow'!$A40,'Wells Fargo'!$A:$A,BE$1,'Wells Fargo'!$B:$B,"&lt;="&amp;'Cash Flow'!BE$3)</f>
        <v>0</v>
      </c>
      <c r="BF40" s="89">
        <f>SUMIFS('Wells Fargo'!$F:$F,'Wells Fargo'!$G:$G,'Cash Flow'!$A40,'Wells Fargo'!$A:$A,BF$1,'Wells Fargo'!$B:$B,"&lt;="&amp;'Cash Flow'!BF$3,'Wells Fargo'!$B:$B,"&gt;"&amp;'Cash Flow'!BE$3)</f>
        <v>0</v>
      </c>
      <c r="BG40" s="89">
        <f>SUMIFS('Wells Fargo'!$F:$F,'Wells Fargo'!$G:$G,'Cash Flow'!$A40,'Wells Fargo'!$A:$A,BG$1,'Wells Fargo'!$B:$B,"&lt;="&amp;'Cash Flow'!BG$3,'Wells Fargo'!$B:$B,"&gt;"&amp;'Cash Flow'!BF$3)</f>
        <v>0</v>
      </c>
      <c r="BH40" s="89">
        <f>SUMIFS('Wells Fargo'!$F:$F,'Wells Fargo'!$G:$G,'Cash Flow'!$A40,'Wells Fargo'!$A:$A,BH$1,'Wells Fargo'!$B:$B,"&lt;="&amp;'Cash Flow'!BH$3,'Wells Fargo'!$B:$B,"&gt;"&amp;'Cash Flow'!BG$3)</f>
        <v>0</v>
      </c>
      <c r="BI40" s="89">
        <f>SUMIFS('Wells Fargo'!$F:$F,'Wells Fargo'!$G:$G,'Cash Flow'!$A40,'Wells Fargo'!$A:$A,BI$1,'Wells Fargo'!$B:$B,"&lt;="&amp;'Cash Flow'!BI$3,'Wells Fargo'!$B:$B,"&gt;"&amp;'Cash Flow'!BH$3)</f>
        <v>0</v>
      </c>
    </row>
    <row r="41" spans="1:61" ht="12.75" x14ac:dyDescent="0.2">
      <c r="A41" t="str">
        <v>Nationwide Tech Reimbursement</v>
      </c>
      <c r="B41" s="15">
        <f t="shared" si="1"/>
        <v>60</v>
      </c>
      <c r="C41" s="90">
        <f>SUMIFS('Wells Fargo'!$F:$F,'Wells Fargo'!$G:$G,'Cash Flow'!$A41,'Wells Fargo'!$A:$A,C$1,'Wells Fargo'!$B:$B,"&lt;="&amp;'Cash Flow'!C$3)</f>
        <v>0</v>
      </c>
      <c r="D41" s="89">
        <f>SUMIFS('Wells Fargo'!$F:$F,'Wells Fargo'!$G:$G,'Cash Flow'!$A41,'Wells Fargo'!$A:$A,D$1,'Wells Fargo'!$B:$B,"&lt;="&amp;'Cash Flow'!D$3,'Wells Fargo'!$B:$B,"&gt;"&amp;'Cash Flow'!C$3)</f>
        <v>0</v>
      </c>
      <c r="E41" s="89">
        <f>SUMIFS('Wells Fargo'!$F:$F,'Wells Fargo'!$G:$G,'Cash Flow'!$A41,'Wells Fargo'!$A:$A,E$1,'Wells Fargo'!$B:$B,"&lt;="&amp;'Cash Flow'!E$3,'Wells Fargo'!$B:$B,"&gt;"&amp;'Cash Flow'!D$3)</f>
        <v>0</v>
      </c>
      <c r="F41" s="89">
        <f>SUMIFS('Wells Fargo'!$F:$F,'Wells Fargo'!$G:$G,'Cash Flow'!$A41,'Wells Fargo'!$A:$A,F$1,'Wells Fargo'!$B:$B,"&lt;="&amp;'Cash Flow'!F$3,'Wells Fargo'!$B:$B,"&gt;"&amp;'Cash Flow'!E$3)</f>
        <v>0</v>
      </c>
      <c r="G41" s="89">
        <f>SUMIFS('Wells Fargo'!$F:$F,'Wells Fargo'!$G:$G,'Cash Flow'!$A41,'Wells Fargo'!$A:$A,G$1,'Wells Fargo'!$B:$B,"&lt;="&amp;'Cash Flow'!G$3,'Wells Fargo'!$B:$B,"&gt;"&amp;'Cash Flow'!F$3)</f>
        <v>0</v>
      </c>
      <c r="H41" s="90">
        <f>SUMIFS('Wells Fargo'!$F:$F,'Wells Fargo'!$G:$G,'Cash Flow'!$A41,'Wells Fargo'!$A:$A,H$1,'Wells Fargo'!$B:$B,"&lt;="&amp;'Cash Flow'!H$3)</f>
        <v>0</v>
      </c>
      <c r="I41" s="89">
        <f>SUMIFS('Wells Fargo'!$F:$F,'Wells Fargo'!$G:$G,'Cash Flow'!$A41,'Wells Fargo'!$A:$A,I$1,'Wells Fargo'!$B:$B,"&lt;="&amp;'Cash Flow'!I$3,'Wells Fargo'!$B:$B,"&gt;"&amp;'Cash Flow'!H$3)</f>
        <v>0</v>
      </c>
      <c r="J41" s="89">
        <f>SUMIFS('Wells Fargo'!$F:$F,'Wells Fargo'!$G:$G,'Cash Flow'!$A41,'Wells Fargo'!$A:$A,J$1,'Wells Fargo'!$B:$B,"&lt;="&amp;'Cash Flow'!J$3,'Wells Fargo'!$B:$B,"&gt;"&amp;'Cash Flow'!I$3)</f>
        <v>0</v>
      </c>
      <c r="K41" s="89">
        <f>SUMIFS('Wells Fargo'!$F:$F,'Wells Fargo'!$G:$G,'Cash Flow'!$A41,'Wells Fargo'!$A:$A,K$1,'Wells Fargo'!$B:$B,"&lt;="&amp;'Cash Flow'!K$3,'Wells Fargo'!$B:$B,"&gt;"&amp;'Cash Flow'!J$3)</f>
        <v>0</v>
      </c>
      <c r="L41" s="90">
        <f>SUMIFS('Wells Fargo'!$F:$F,'Wells Fargo'!$G:$G,'Cash Flow'!$A41,'Wells Fargo'!$A:$A,L$1,'Wells Fargo'!$B:$B,"&lt;="&amp;'Cash Flow'!L$3)</f>
        <v>0</v>
      </c>
      <c r="M41" s="89">
        <f>SUMIFS('Wells Fargo'!$F:$F,'Wells Fargo'!$G:$G,'Cash Flow'!$A41,'Wells Fargo'!$A:$A,M$1,'Wells Fargo'!$B:$B,"&lt;="&amp;'Cash Flow'!M$3,'Wells Fargo'!$B:$B,"&gt;"&amp;'Cash Flow'!L$3)</f>
        <v>0</v>
      </c>
      <c r="N41" s="89">
        <f>SUMIFS('Wells Fargo'!$F:$F,'Wells Fargo'!$G:$G,'Cash Flow'!$A41,'Wells Fargo'!$A:$A,N$1,'Wells Fargo'!$B:$B,"&lt;="&amp;'Cash Flow'!N$3,'Wells Fargo'!$B:$B,"&gt;"&amp;'Cash Flow'!M$3)</f>
        <v>0</v>
      </c>
      <c r="O41" s="89">
        <f>SUMIFS('Wells Fargo'!$F:$F,'Wells Fargo'!$G:$G,'Cash Flow'!$A41,'Wells Fargo'!$A:$A,O$1,'Wells Fargo'!$B:$B,"&lt;="&amp;'Cash Flow'!O$3,'Wells Fargo'!$B:$B,"&gt;"&amp;'Cash Flow'!N$3)</f>
        <v>0</v>
      </c>
      <c r="P41" s="89">
        <f>SUMIFS('Wells Fargo'!$F:$F,'Wells Fargo'!$G:$G,'Cash Flow'!$A41,'Wells Fargo'!$A:$A,P$1,'Wells Fargo'!$B:$B,"&lt;="&amp;'Cash Flow'!P$3,'Wells Fargo'!$B:$B,"&gt;"&amp;'Cash Flow'!O$3)</f>
        <v>0</v>
      </c>
      <c r="Q41" s="90">
        <f>SUMIFS('Wells Fargo'!$F:$F,'Wells Fargo'!$G:$G,'Cash Flow'!$A41,'Wells Fargo'!$A:$A,Q$1,'Wells Fargo'!$B:$B,"&lt;="&amp;'Cash Flow'!Q$3)</f>
        <v>0</v>
      </c>
      <c r="R41" s="89">
        <f>SUMIFS('Wells Fargo'!$F:$F,'Wells Fargo'!$G:$G,'Cash Flow'!$A41,'Wells Fargo'!$A:$A,R$1,'Wells Fargo'!$B:$B,"&lt;="&amp;'Cash Flow'!R$3,'Wells Fargo'!$B:$B,"&gt;"&amp;'Cash Flow'!Q$3)</f>
        <v>0</v>
      </c>
      <c r="S41" s="89">
        <f>SUMIFS('Wells Fargo'!$F:$F,'Wells Fargo'!$G:$G,'Cash Flow'!$A41,'Wells Fargo'!$A:$A,S$1,'Wells Fargo'!$B:$B,"&lt;="&amp;'Cash Flow'!S$3,'Wells Fargo'!$B:$B,"&gt;"&amp;'Cash Flow'!R$3)</f>
        <v>0</v>
      </c>
      <c r="T41" s="89">
        <f>SUMIFS('Wells Fargo'!$F:$F,'Wells Fargo'!$G:$G,'Cash Flow'!$A41,'Wells Fargo'!$A:$A,T$1,'Wells Fargo'!$B:$B,"&lt;="&amp;'Cash Flow'!T$3,'Wells Fargo'!$B:$B,"&gt;"&amp;'Cash Flow'!S$3)</f>
        <v>0</v>
      </c>
      <c r="U41" s="89">
        <f>SUMIFS('Wells Fargo'!$F:$F,'Wells Fargo'!$G:$G,'Cash Flow'!$A41,'Wells Fargo'!$A:$A,U$1,'Wells Fargo'!$B:$B,"&lt;="&amp;'Cash Flow'!U$3,'Wells Fargo'!$B:$B,"&gt;"&amp;'Cash Flow'!T$3)</f>
        <v>0</v>
      </c>
      <c r="V41" s="90">
        <f>SUMIFS('Wells Fargo'!$F:$F,'Wells Fargo'!$G:$G,'Cash Flow'!$A41,'Wells Fargo'!$A:$A,V$1,'Wells Fargo'!$B:$B,"&lt;="&amp;'Cash Flow'!V$3)</f>
        <v>0</v>
      </c>
      <c r="W41" s="89">
        <f>SUMIFS('Wells Fargo'!$F:$F,'Wells Fargo'!$G:$G,'Cash Flow'!$A41,'Wells Fargo'!$A:$A,W$1,'Wells Fargo'!$B:$B,"&lt;="&amp;'Cash Flow'!W$3,'Wells Fargo'!$B:$B,"&gt;"&amp;'Cash Flow'!V$3)</f>
        <v>0</v>
      </c>
      <c r="X41" s="89">
        <f>SUMIFS('Wells Fargo'!$F:$F,'Wells Fargo'!$G:$G,'Cash Flow'!$A41,'Wells Fargo'!$A:$A,X$1,'Wells Fargo'!$B:$B,"&lt;="&amp;'Cash Flow'!X$3,'Wells Fargo'!$B:$B,"&gt;"&amp;'Cash Flow'!W$3)</f>
        <v>0</v>
      </c>
      <c r="Y41" s="89">
        <f>SUMIFS('Wells Fargo'!$F:$F,'Wells Fargo'!$G:$G,'Cash Flow'!$A41,'Wells Fargo'!$A:$A,Y$1,'Wells Fargo'!$B:$B,"&lt;="&amp;'Cash Flow'!Y$3,'Wells Fargo'!$B:$B,"&gt;"&amp;'Cash Flow'!X$3)</f>
        <v>0</v>
      </c>
      <c r="Z41" s="89">
        <f>SUMIFS('Wells Fargo'!$F:$F,'Wells Fargo'!$G:$G,'Cash Flow'!$A41,'Wells Fargo'!$A:$A,Z$1,'Wells Fargo'!$B:$B,"&lt;="&amp;'Cash Flow'!Z$3,'Wells Fargo'!$B:$B,"&gt;"&amp;'Cash Flow'!Y$3)</f>
        <v>0</v>
      </c>
      <c r="AA41" s="90">
        <f>SUMIFS('Wells Fargo'!$F:$F,'Wells Fargo'!$G:$G,'Cash Flow'!$A41,'Wells Fargo'!$A:$A,AA$1,'Wells Fargo'!$B:$B,"&lt;="&amp;'Cash Flow'!AA$3)</f>
        <v>0</v>
      </c>
      <c r="AB41" s="89">
        <f>SUMIFS('Wells Fargo'!$F:$F,'Wells Fargo'!$G:$G,'Cash Flow'!$A41,'Wells Fargo'!$A:$A,AB$1,'Wells Fargo'!$B:$B,"&lt;="&amp;'Cash Flow'!AB$3,'Wells Fargo'!$B:$B,"&gt;"&amp;'Cash Flow'!AA$3)</f>
        <v>0</v>
      </c>
      <c r="AC41" s="89">
        <f>SUMIFS('Wells Fargo'!$F:$F,'Wells Fargo'!$G:$G,'Cash Flow'!$A41,'Wells Fargo'!$A:$A,AC$1,'Wells Fargo'!$B:$B,"&lt;="&amp;'Cash Flow'!AC$3,'Wells Fargo'!$B:$B,"&gt;"&amp;'Cash Flow'!AB$3)</f>
        <v>0</v>
      </c>
      <c r="AD41" s="89">
        <f>SUMIFS('Wells Fargo'!$F:$F,'Wells Fargo'!$G:$G,'Cash Flow'!$A41,'Wells Fargo'!$A:$A,AD$1,'Wells Fargo'!$B:$B,"&lt;="&amp;'Cash Flow'!AD$3,'Wells Fargo'!$B:$B,"&gt;"&amp;'Cash Flow'!AC$3)</f>
        <v>0</v>
      </c>
      <c r="AE41" s="89">
        <f>SUMIFS('Wells Fargo'!$F:$F,'Wells Fargo'!$G:$G,'Cash Flow'!$A41,'Wells Fargo'!$A:$A,AE$1,'Wells Fargo'!$B:$B,"&lt;="&amp;'Cash Flow'!AE$3,'Wells Fargo'!$B:$B,"&gt;"&amp;'Cash Flow'!AD$3)</f>
        <v>0</v>
      </c>
      <c r="AF41" s="90">
        <f>SUMIFS('Wells Fargo'!$F:$F,'Wells Fargo'!$G:$G,'Cash Flow'!$A41,'Wells Fargo'!$A:$A,AF$1,'Wells Fargo'!$B:$B,"&lt;="&amp;'Cash Flow'!AF$3)</f>
        <v>0</v>
      </c>
      <c r="AG41" s="89">
        <f>SUMIFS('Wells Fargo'!$F:$F,'Wells Fargo'!$G:$G,'Cash Flow'!$A41,'Wells Fargo'!$A:$A,AG$1,'Wells Fargo'!$B:$B,"&lt;="&amp;'Cash Flow'!AG$3,'Wells Fargo'!$B:$B,"&gt;"&amp;'Cash Flow'!AF$3)</f>
        <v>0</v>
      </c>
      <c r="AH41" s="89">
        <f>SUMIFS('Wells Fargo'!$F:$F,'Wells Fargo'!$G:$G,'Cash Flow'!$A41,'Wells Fargo'!$A:$A,AH$1,'Wells Fargo'!$B:$B,"&lt;="&amp;'Cash Flow'!AH$3,'Wells Fargo'!$B:$B,"&gt;"&amp;'Cash Flow'!AG$3)</f>
        <v>0</v>
      </c>
      <c r="AI41" s="89">
        <f>SUMIFS('Wells Fargo'!$F:$F,'Wells Fargo'!$G:$G,'Cash Flow'!$A41,'Wells Fargo'!$A:$A,AI$1,'Wells Fargo'!$B:$B,"&lt;="&amp;'Cash Flow'!AI$3,'Wells Fargo'!$B:$B,"&gt;"&amp;'Cash Flow'!AH$3)</f>
        <v>0</v>
      </c>
      <c r="AJ41" s="89">
        <f>SUMIFS('Wells Fargo'!$F:$F,'Wells Fargo'!$G:$G,'Cash Flow'!$A41,'Wells Fargo'!$A:$A,AJ$1,'Wells Fargo'!$B:$B,"&lt;="&amp;'Cash Flow'!AJ$3,'Wells Fargo'!$B:$B,"&gt;"&amp;'Cash Flow'!AI$3)</f>
        <v>30</v>
      </c>
      <c r="AK41" s="90">
        <f>SUMIFS('Wells Fargo'!$F:$F,'Wells Fargo'!$G:$G,'Cash Flow'!$A41,'Wells Fargo'!$A:$A,AK$1,'Wells Fargo'!$B:$B,"&lt;="&amp;'Cash Flow'!AK$3)</f>
        <v>0</v>
      </c>
      <c r="AL41" s="89">
        <f>SUMIFS('Wells Fargo'!$F:$F,'Wells Fargo'!$G:$G,'Cash Flow'!$A41,'Wells Fargo'!$A:$A,AL$1,'Wells Fargo'!$B:$B,"&lt;="&amp;'Cash Flow'!AL$3,'Wells Fargo'!$B:$B,"&gt;"&amp;'Cash Flow'!AK$3)</f>
        <v>0</v>
      </c>
      <c r="AM41" s="89">
        <f>SUMIFS('Wells Fargo'!$F:$F,'Wells Fargo'!$G:$G,'Cash Flow'!$A41,'Wells Fargo'!$A:$A,AM$1,'Wells Fargo'!$B:$B,"&lt;="&amp;'Cash Flow'!AM$3,'Wells Fargo'!$B:$B,"&gt;"&amp;'Cash Flow'!AL$3)</f>
        <v>0</v>
      </c>
      <c r="AN41" s="89">
        <f>SUMIFS('Wells Fargo'!$F:$F,'Wells Fargo'!$G:$G,'Cash Flow'!$A41,'Wells Fargo'!$A:$A,AN$1,'Wells Fargo'!$B:$B,"&lt;="&amp;'Cash Flow'!AN$3,'Wells Fargo'!$B:$B,"&gt;"&amp;'Cash Flow'!AM$3)</f>
        <v>0</v>
      </c>
      <c r="AO41" s="89">
        <f>SUMIFS('Wells Fargo'!$F:$F,'Wells Fargo'!$G:$G,'Cash Flow'!$A41,'Wells Fargo'!$A:$A,AO$1,'Wells Fargo'!$B:$B,"&lt;="&amp;'Cash Flow'!AO$3,'Wells Fargo'!$B:$B,"&gt;"&amp;'Cash Flow'!AN$3)</f>
        <v>0</v>
      </c>
      <c r="AP41" s="90">
        <f>SUMIFS('Wells Fargo'!$F:$F,'Wells Fargo'!$G:$G,'Cash Flow'!$A41,'Wells Fargo'!$A:$A,AP$1,'Wells Fargo'!$B:$B,"&lt;="&amp;'Cash Flow'!AP$3)</f>
        <v>0</v>
      </c>
      <c r="AQ41" s="89">
        <f>SUMIFS('Wells Fargo'!$F:$F,'Wells Fargo'!$G:$G,'Cash Flow'!$A41,'Wells Fargo'!$A:$A,AQ$1,'Wells Fargo'!$B:$B,"&lt;="&amp;'Cash Flow'!AQ$3,'Wells Fargo'!$B:$B,"&gt;"&amp;'Cash Flow'!AP$3)</f>
        <v>0</v>
      </c>
      <c r="AR41" s="89">
        <f>SUMIFS('Wells Fargo'!$F:$F,'Wells Fargo'!$G:$G,'Cash Flow'!$A41,'Wells Fargo'!$A:$A,AR$1,'Wells Fargo'!$B:$B,"&lt;="&amp;'Cash Flow'!AR$3,'Wells Fargo'!$B:$B,"&gt;"&amp;'Cash Flow'!AQ$3)</f>
        <v>0</v>
      </c>
      <c r="AS41" s="89">
        <f>SUMIFS('Wells Fargo'!$F:$F,'Wells Fargo'!$G:$G,'Cash Flow'!$A41,'Wells Fargo'!$A:$A,AS$1,'Wells Fargo'!$B:$B,"&lt;="&amp;'Cash Flow'!AS$3,'Wells Fargo'!$B:$B,"&gt;"&amp;'Cash Flow'!AR$3)</f>
        <v>0</v>
      </c>
      <c r="AT41" s="89">
        <f>SUMIFS('Wells Fargo'!$F:$F,'Wells Fargo'!$G:$G,'Cash Flow'!$A41,'Wells Fargo'!$A:$A,AT$1,'Wells Fargo'!$B:$B,"&lt;="&amp;'Cash Flow'!AT$3,'Wells Fargo'!$B:$B,"&gt;"&amp;'Cash Flow'!AS$3)</f>
        <v>30</v>
      </c>
      <c r="AU41" s="90">
        <f>SUMIFS('Wells Fargo'!$F:$F,'Wells Fargo'!$G:$G,'Cash Flow'!$A41,'Wells Fargo'!$A:$A,AU$1,'Wells Fargo'!$B:$B,"&lt;="&amp;'Cash Flow'!AU$3)</f>
        <v>0</v>
      </c>
      <c r="AV41" s="89">
        <f>SUMIFS('Wells Fargo'!$F:$F,'Wells Fargo'!$G:$G,'Cash Flow'!$A41,'Wells Fargo'!$A:$A,AV$1,'Wells Fargo'!$B:$B,"&lt;="&amp;'Cash Flow'!AV$3,'Wells Fargo'!$B:$B,"&gt;"&amp;'Cash Flow'!AU$3)</f>
        <v>0</v>
      </c>
      <c r="AW41" s="89">
        <f>SUMIFS('Wells Fargo'!$F:$F,'Wells Fargo'!$G:$G,'Cash Flow'!$A41,'Wells Fargo'!$A:$A,AW$1,'Wells Fargo'!$B:$B,"&lt;="&amp;'Cash Flow'!AW$3,'Wells Fargo'!$B:$B,"&gt;"&amp;'Cash Flow'!AV$3)</f>
        <v>0</v>
      </c>
      <c r="AX41" s="89">
        <f>SUMIFS('Wells Fargo'!$F:$F,'Wells Fargo'!$G:$G,'Cash Flow'!$A41,'Wells Fargo'!$A:$A,AX$1,'Wells Fargo'!$B:$B,"&lt;="&amp;'Cash Flow'!AX$3,'Wells Fargo'!$B:$B,"&gt;"&amp;'Cash Flow'!AW$3)</f>
        <v>0</v>
      </c>
      <c r="AY41" s="89">
        <f>SUMIFS('Wells Fargo'!$F:$F,'Wells Fargo'!$G:$G,'Cash Flow'!$A41,'Wells Fargo'!$A:$A,AY$1,'Wells Fargo'!$B:$B,"&lt;="&amp;'Cash Flow'!AY$3,'Wells Fargo'!$B:$B,"&gt;"&amp;'Cash Flow'!AX$3)</f>
        <v>0</v>
      </c>
      <c r="AZ41" s="90">
        <f>SUMIFS('Wells Fargo'!$F:$F,'Wells Fargo'!$G:$G,'Cash Flow'!$A41,'Wells Fargo'!$A:$A,AZ$1,'Wells Fargo'!$B:$B,"&lt;="&amp;'Cash Flow'!AZ$3)</f>
        <v>0</v>
      </c>
      <c r="BA41" s="89">
        <f>SUMIFS('Wells Fargo'!$F:$F,'Wells Fargo'!$G:$G,'Cash Flow'!$A41,'Wells Fargo'!$A:$A,BA$1,'Wells Fargo'!$B:$B,"&lt;="&amp;'Cash Flow'!BA$3,'Wells Fargo'!$B:$B,"&gt;"&amp;'Cash Flow'!AZ$3)</f>
        <v>0</v>
      </c>
      <c r="BB41" s="89">
        <f>SUMIFS('Wells Fargo'!$F:$F,'Wells Fargo'!$G:$G,'Cash Flow'!$A41,'Wells Fargo'!$A:$A,BB$1,'Wells Fargo'!$B:$B,"&lt;="&amp;'Cash Flow'!BB$3,'Wells Fargo'!$B:$B,"&gt;"&amp;'Cash Flow'!BA$3)</f>
        <v>0</v>
      </c>
      <c r="BC41" s="89">
        <f>SUMIFS('Wells Fargo'!$F:$F,'Wells Fargo'!$G:$G,'Cash Flow'!$A41,'Wells Fargo'!$A:$A,BC$1,'Wells Fargo'!$B:$B,"&lt;="&amp;'Cash Flow'!BC$3,'Wells Fargo'!$B:$B,"&gt;"&amp;'Cash Flow'!BB$3)</f>
        <v>0</v>
      </c>
      <c r="BD41" s="89">
        <f>SUMIFS('Wells Fargo'!$F:$F,'Wells Fargo'!$G:$G,'Cash Flow'!$A41,'Wells Fargo'!$A:$A,BD$1,'Wells Fargo'!$B:$B,"&lt;="&amp;'Cash Flow'!BD$3,'Wells Fargo'!$B:$B,"&gt;"&amp;'Cash Flow'!BC$3)</f>
        <v>0</v>
      </c>
      <c r="BE41" s="90">
        <f>SUMIFS('Wells Fargo'!$F:$F,'Wells Fargo'!$G:$G,'Cash Flow'!$A41,'Wells Fargo'!$A:$A,BE$1,'Wells Fargo'!$B:$B,"&lt;="&amp;'Cash Flow'!BE$3)</f>
        <v>0</v>
      </c>
      <c r="BF41" s="89">
        <f>SUMIFS('Wells Fargo'!$F:$F,'Wells Fargo'!$G:$G,'Cash Flow'!$A41,'Wells Fargo'!$A:$A,BF$1,'Wells Fargo'!$B:$B,"&lt;="&amp;'Cash Flow'!BF$3,'Wells Fargo'!$B:$B,"&gt;"&amp;'Cash Flow'!BE$3)</f>
        <v>0</v>
      </c>
      <c r="BG41" s="89">
        <f>SUMIFS('Wells Fargo'!$F:$F,'Wells Fargo'!$G:$G,'Cash Flow'!$A41,'Wells Fargo'!$A:$A,BG$1,'Wells Fargo'!$B:$B,"&lt;="&amp;'Cash Flow'!BG$3,'Wells Fargo'!$B:$B,"&gt;"&amp;'Cash Flow'!BF$3)</f>
        <v>0</v>
      </c>
      <c r="BH41" s="89">
        <f>SUMIFS('Wells Fargo'!$F:$F,'Wells Fargo'!$G:$G,'Cash Flow'!$A41,'Wells Fargo'!$A:$A,BH$1,'Wells Fargo'!$B:$B,"&lt;="&amp;'Cash Flow'!BH$3,'Wells Fargo'!$B:$B,"&gt;"&amp;'Cash Flow'!BG$3)</f>
        <v>0</v>
      </c>
      <c r="BI41" s="89">
        <f>SUMIFS('Wells Fargo'!$F:$F,'Wells Fargo'!$G:$G,'Cash Flow'!$A41,'Wells Fargo'!$A:$A,BI$1,'Wells Fargo'!$B:$B,"&lt;="&amp;'Cash Flow'!BI$3,'Wells Fargo'!$B:$B,"&gt;"&amp;'Cash Flow'!BH$3)</f>
        <v>0</v>
      </c>
    </row>
    <row r="42" spans="1:61" ht="12.75" x14ac:dyDescent="0.2">
      <c r="A42" t="str">
        <v>New Manchester - Fee</v>
      </c>
      <c r="B42" s="15">
        <f t="shared" si="1"/>
        <v>-200</v>
      </c>
      <c r="C42" s="90">
        <f>SUMIFS('Wells Fargo'!$F:$F,'Wells Fargo'!$G:$G,'Cash Flow'!$A42,'Wells Fargo'!$A:$A,C$1,'Wells Fargo'!$B:$B,"&lt;="&amp;'Cash Flow'!C$3)</f>
        <v>0</v>
      </c>
      <c r="D42" s="89">
        <f>SUMIFS('Wells Fargo'!$F:$F,'Wells Fargo'!$G:$G,'Cash Flow'!$A42,'Wells Fargo'!$A:$A,D$1,'Wells Fargo'!$B:$B,"&lt;="&amp;'Cash Flow'!D$3,'Wells Fargo'!$B:$B,"&gt;"&amp;'Cash Flow'!C$3)</f>
        <v>0</v>
      </c>
      <c r="E42" s="89">
        <f>SUMIFS('Wells Fargo'!$F:$F,'Wells Fargo'!$G:$G,'Cash Flow'!$A42,'Wells Fargo'!$A:$A,E$1,'Wells Fargo'!$B:$B,"&lt;="&amp;'Cash Flow'!E$3,'Wells Fargo'!$B:$B,"&gt;"&amp;'Cash Flow'!D$3)</f>
        <v>0</v>
      </c>
      <c r="F42" s="89">
        <f>SUMIFS('Wells Fargo'!$F:$F,'Wells Fargo'!$G:$G,'Cash Flow'!$A42,'Wells Fargo'!$A:$A,F$1,'Wells Fargo'!$B:$B,"&lt;="&amp;'Cash Flow'!F$3,'Wells Fargo'!$B:$B,"&gt;"&amp;'Cash Flow'!E$3)</f>
        <v>0</v>
      </c>
      <c r="G42" s="89">
        <f>SUMIFS('Wells Fargo'!$F:$F,'Wells Fargo'!$G:$G,'Cash Flow'!$A42,'Wells Fargo'!$A:$A,G$1,'Wells Fargo'!$B:$B,"&lt;="&amp;'Cash Flow'!G$3,'Wells Fargo'!$B:$B,"&gt;"&amp;'Cash Flow'!F$3)</f>
        <v>0</v>
      </c>
      <c r="H42" s="90">
        <f>SUMIFS('Wells Fargo'!$F:$F,'Wells Fargo'!$G:$G,'Cash Flow'!$A42,'Wells Fargo'!$A:$A,H$1,'Wells Fargo'!$B:$B,"&lt;="&amp;'Cash Flow'!H$3)</f>
        <v>0</v>
      </c>
      <c r="I42" s="89">
        <f>SUMIFS('Wells Fargo'!$F:$F,'Wells Fargo'!$G:$G,'Cash Flow'!$A42,'Wells Fargo'!$A:$A,I$1,'Wells Fargo'!$B:$B,"&lt;="&amp;'Cash Flow'!I$3,'Wells Fargo'!$B:$B,"&gt;"&amp;'Cash Flow'!H$3)</f>
        <v>0</v>
      </c>
      <c r="J42" s="89">
        <f>SUMIFS('Wells Fargo'!$F:$F,'Wells Fargo'!$G:$G,'Cash Flow'!$A42,'Wells Fargo'!$A:$A,J$1,'Wells Fargo'!$B:$B,"&lt;="&amp;'Cash Flow'!J$3,'Wells Fargo'!$B:$B,"&gt;"&amp;'Cash Flow'!I$3)</f>
        <v>0</v>
      </c>
      <c r="K42" s="89">
        <f>SUMIFS('Wells Fargo'!$F:$F,'Wells Fargo'!$G:$G,'Cash Flow'!$A42,'Wells Fargo'!$A:$A,K$1,'Wells Fargo'!$B:$B,"&lt;="&amp;'Cash Flow'!K$3,'Wells Fargo'!$B:$B,"&gt;"&amp;'Cash Flow'!J$3)</f>
        <v>0</v>
      </c>
      <c r="L42" s="90">
        <f>SUMIFS('Wells Fargo'!$F:$F,'Wells Fargo'!$G:$G,'Cash Flow'!$A42,'Wells Fargo'!$A:$A,L$1,'Wells Fargo'!$B:$B,"&lt;="&amp;'Cash Flow'!L$3)</f>
        <v>0</v>
      </c>
      <c r="M42" s="89">
        <f>SUMIFS('Wells Fargo'!$F:$F,'Wells Fargo'!$G:$G,'Cash Flow'!$A42,'Wells Fargo'!$A:$A,M$1,'Wells Fargo'!$B:$B,"&lt;="&amp;'Cash Flow'!M$3,'Wells Fargo'!$B:$B,"&gt;"&amp;'Cash Flow'!L$3)</f>
        <v>0</v>
      </c>
      <c r="N42" s="89">
        <f>SUMIFS('Wells Fargo'!$F:$F,'Wells Fargo'!$G:$G,'Cash Flow'!$A42,'Wells Fargo'!$A:$A,N$1,'Wells Fargo'!$B:$B,"&lt;="&amp;'Cash Flow'!N$3,'Wells Fargo'!$B:$B,"&gt;"&amp;'Cash Flow'!M$3)</f>
        <v>0</v>
      </c>
      <c r="O42" s="89">
        <f>SUMIFS('Wells Fargo'!$F:$F,'Wells Fargo'!$G:$G,'Cash Flow'!$A42,'Wells Fargo'!$A:$A,O$1,'Wells Fargo'!$B:$B,"&lt;="&amp;'Cash Flow'!O$3,'Wells Fargo'!$B:$B,"&gt;"&amp;'Cash Flow'!N$3)</f>
        <v>0</v>
      </c>
      <c r="P42" s="89">
        <f>SUMIFS('Wells Fargo'!$F:$F,'Wells Fargo'!$G:$G,'Cash Flow'!$A42,'Wells Fargo'!$A:$A,P$1,'Wells Fargo'!$B:$B,"&lt;="&amp;'Cash Flow'!P$3,'Wells Fargo'!$B:$B,"&gt;"&amp;'Cash Flow'!O$3)</f>
        <v>0</v>
      </c>
      <c r="Q42" s="90">
        <f>SUMIFS('Wells Fargo'!$F:$F,'Wells Fargo'!$G:$G,'Cash Flow'!$A42,'Wells Fargo'!$A:$A,Q$1,'Wells Fargo'!$B:$B,"&lt;="&amp;'Cash Flow'!Q$3)</f>
        <v>0</v>
      </c>
      <c r="R42" s="89">
        <f>SUMIFS('Wells Fargo'!$F:$F,'Wells Fargo'!$G:$G,'Cash Flow'!$A42,'Wells Fargo'!$A:$A,R$1,'Wells Fargo'!$B:$B,"&lt;="&amp;'Cash Flow'!R$3,'Wells Fargo'!$B:$B,"&gt;"&amp;'Cash Flow'!Q$3)</f>
        <v>0</v>
      </c>
      <c r="S42" s="89">
        <f>SUMIFS('Wells Fargo'!$F:$F,'Wells Fargo'!$G:$G,'Cash Flow'!$A42,'Wells Fargo'!$A:$A,S$1,'Wells Fargo'!$B:$B,"&lt;="&amp;'Cash Flow'!S$3,'Wells Fargo'!$B:$B,"&gt;"&amp;'Cash Flow'!R$3)</f>
        <v>0</v>
      </c>
      <c r="T42" s="89">
        <f>SUMIFS('Wells Fargo'!$F:$F,'Wells Fargo'!$G:$G,'Cash Flow'!$A42,'Wells Fargo'!$A:$A,T$1,'Wells Fargo'!$B:$B,"&lt;="&amp;'Cash Flow'!T$3,'Wells Fargo'!$B:$B,"&gt;"&amp;'Cash Flow'!S$3)</f>
        <v>0</v>
      </c>
      <c r="U42" s="89">
        <f>SUMIFS('Wells Fargo'!$F:$F,'Wells Fargo'!$G:$G,'Cash Flow'!$A42,'Wells Fargo'!$A:$A,U$1,'Wells Fargo'!$B:$B,"&lt;="&amp;'Cash Flow'!U$3,'Wells Fargo'!$B:$B,"&gt;"&amp;'Cash Flow'!T$3)</f>
        <v>0</v>
      </c>
      <c r="V42" s="90">
        <f>SUMIFS('Wells Fargo'!$F:$F,'Wells Fargo'!$G:$G,'Cash Flow'!$A42,'Wells Fargo'!$A:$A,V$1,'Wells Fargo'!$B:$B,"&lt;="&amp;'Cash Flow'!V$3)</f>
        <v>-200</v>
      </c>
      <c r="W42" s="89">
        <f>SUMIFS('Wells Fargo'!$F:$F,'Wells Fargo'!$G:$G,'Cash Flow'!$A42,'Wells Fargo'!$A:$A,W$1,'Wells Fargo'!$B:$B,"&lt;="&amp;'Cash Flow'!W$3,'Wells Fargo'!$B:$B,"&gt;"&amp;'Cash Flow'!V$3)</f>
        <v>0</v>
      </c>
      <c r="X42" s="89">
        <f>SUMIFS('Wells Fargo'!$F:$F,'Wells Fargo'!$G:$G,'Cash Flow'!$A42,'Wells Fargo'!$A:$A,X$1,'Wells Fargo'!$B:$B,"&lt;="&amp;'Cash Flow'!X$3,'Wells Fargo'!$B:$B,"&gt;"&amp;'Cash Flow'!W$3)</f>
        <v>0</v>
      </c>
      <c r="Y42" s="89">
        <f>SUMIFS('Wells Fargo'!$F:$F,'Wells Fargo'!$G:$G,'Cash Flow'!$A42,'Wells Fargo'!$A:$A,Y$1,'Wells Fargo'!$B:$B,"&lt;="&amp;'Cash Flow'!Y$3,'Wells Fargo'!$B:$B,"&gt;"&amp;'Cash Flow'!X$3)</f>
        <v>0</v>
      </c>
      <c r="Z42" s="89">
        <f>SUMIFS('Wells Fargo'!$F:$F,'Wells Fargo'!$G:$G,'Cash Flow'!$A42,'Wells Fargo'!$A:$A,Z$1,'Wells Fargo'!$B:$B,"&lt;="&amp;'Cash Flow'!Z$3,'Wells Fargo'!$B:$B,"&gt;"&amp;'Cash Flow'!Y$3)</f>
        <v>0</v>
      </c>
      <c r="AA42" s="90">
        <f>SUMIFS('Wells Fargo'!$F:$F,'Wells Fargo'!$G:$G,'Cash Flow'!$A42,'Wells Fargo'!$A:$A,AA$1,'Wells Fargo'!$B:$B,"&lt;="&amp;'Cash Flow'!AA$3)</f>
        <v>0</v>
      </c>
      <c r="AB42" s="89">
        <f>SUMIFS('Wells Fargo'!$F:$F,'Wells Fargo'!$G:$G,'Cash Flow'!$A42,'Wells Fargo'!$A:$A,AB$1,'Wells Fargo'!$B:$B,"&lt;="&amp;'Cash Flow'!AB$3,'Wells Fargo'!$B:$B,"&gt;"&amp;'Cash Flow'!AA$3)</f>
        <v>0</v>
      </c>
      <c r="AC42" s="89">
        <f>SUMIFS('Wells Fargo'!$F:$F,'Wells Fargo'!$G:$G,'Cash Flow'!$A42,'Wells Fargo'!$A:$A,AC$1,'Wells Fargo'!$B:$B,"&lt;="&amp;'Cash Flow'!AC$3,'Wells Fargo'!$B:$B,"&gt;"&amp;'Cash Flow'!AB$3)</f>
        <v>0</v>
      </c>
      <c r="AD42" s="89">
        <f>SUMIFS('Wells Fargo'!$F:$F,'Wells Fargo'!$G:$G,'Cash Flow'!$A42,'Wells Fargo'!$A:$A,AD$1,'Wells Fargo'!$B:$B,"&lt;="&amp;'Cash Flow'!AD$3,'Wells Fargo'!$B:$B,"&gt;"&amp;'Cash Flow'!AC$3)</f>
        <v>0</v>
      </c>
      <c r="AE42" s="89">
        <f>SUMIFS('Wells Fargo'!$F:$F,'Wells Fargo'!$G:$G,'Cash Flow'!$A42,'Wells Fargo'!$A:$A,AE$1,'Wells Fargo'!$B:$B,"&lt;="&amp;'Cash Flow'!AE$3,'Wells Fargo'!$B:$B,"&gt;"&amp;'Cash Flow'!AD$3)</f>
        <v>0</v>
      </c>
      <c r="AF42" s="90">
        <f>SUMIFS('Wells Fargo'!$F:$F,'Wells Fargo'!$G:$G,'Cash Flow'!$A42,'Wells Fargo'!$A:$A,AF$1,'Wells Fargo'!$B:$B,"&lt;="&amp;'Cash Flow'!AF$3)</f>
        <v>0</v>
      </c>
      <c r="AG42" s="89">
        <f>SUMIFS('Wells Fargo'!$F:$F,'Wells Fargo'!$G:$G,'Cash Flow'!$A42,'Wells Fargo'!$A:$A,AG$1,'Wells Fargo'!$B:$B,"&lt;="&amp;'Cash Flow'!AG$3,'Wells Fargo'!$B:$B,"&gt;"&amp;'Cash Flow'!AF$3)</f>
        <v>0</v>
      </c>
      <c r="AH42" s="89">
        <f>SUMIFS('Wells Fargo'!$F:$F,'Wells Fargo'!$G:$G,'Cash Flow'!$A42,'Wells Fargo'!$A:$A,AH$1,'Wells Fargo'!$B:$B,"&lt;="&amp;'Cash Flow'!AH$3,'Wells Fargo'!$B:$B,"&gt;"&amp;'Cash Flow'!AG$3)</f>
        <v>0</v>
      </c>
      <c r="AI42" s="89">
        <f>SUMIFS('Wells Fargo'!$F:$F,'Wells Fargo'!$G:$G,'Cash Flow'!$A42,'Wells Fargo'!$A:$A,AI$1,'Wells Fargo'!$B:$B,"&lt;="&amp;'Cash Flow'!AI$3,'Wells Fargo'!$B:$B,"&gt;"&amp;'Cash Flow'!AH$3)</f>
        <v>0</v>
      </c>
      <c r="AJ42" s="89">
        <f>SUMIFS('Wells Fargo'!$F:$F,'Wells Fargo'!$G:$G,'Cash Flow'!$A42,'Wells Fargo'!$A:$A,AJ$1,'Wells Fargo'!$B:$B,"&lt;="&amp;'Cash Flow'!AJ$3,'Wells Fargo'!$B:$B,"&gt;"&amp;'Cash Flow'!AI$3)</f>
        <v>0</v>
      </c>
      <c r="AK42" s="90">
        <f>SUMIFS('Wells Fargo'!$F:$F,'Wells Fargo'!$G:$G,'Cash Flow'!$A42,'Wells Fargo'!$A:$A,AK$1,'Wells Fargo'!$B:$B,"&lt;="&amp;'Cash Flow'!AK$3)</f>
        <v>0</v>
      </c>
      <c r="AL42" s="89">
        <f>SUMIFS('Wells Fargo'!$F:$F,'Wells Fargo'!$G:$G,'Cash Flow'!$A42,'Wells Fargo'!$A:$A,AL$1,'Wells Fargo'!$B:$B,"&lt;="&amp;'Cash Flow'!AL$3,'Wells Fargo'!$B:$B,"&gt;"&amp;'Cash Flow'!AK$3)</f>
        <v>0</v>
      </c>
      <c r="AM42" s="89">
        <f>SUMIFS('Wells Fargo'!$F:$F,'Wells Fargo'!$G:$G,'Cash Flow'!$A42,'Wells Fargo'!$A:$A,AM$1,'Wells Fargo'!$B:$B,"&lt;="&amp;'Cash Flow'!AM$3,'Wells Fargo'!$B:$B,"&gt;"&amp;'Cash Flow'!AL$3)</f>
        <v>0</v>
      </c>
      <c r="AN42" s="89">
        <f>SUMIFS('Wells Fargo'!$F:$F,'Wells Fargo'!$G:$G,'Cash Flow'!$A42,'Wells Fargo'!$A:$A,AN$1,'Wells Fargo'!$B:$B,"&lt;="&amp;'Cash Flow'!AN$3,'Wells Fargo'!$B:$B,"&gt;"&amp;'Cash Flow'!AM$3)</f>
        <v>0</v>
      </c>
      <c r="AO42" s="89">
        <f>SUMIFS('Wells Fargo'!$F:$F,'Wells Fargo'!$G:$G,'Cash Flow'!$A42,'Wells Fargo'!$A:$A,AO$1,'Wells Fargo'!$B:$B,"&lt;="&amp;'Cash Flow'!AO$3,'Wells Fargo'!$B:$B,"&gt;"&amp;'Cash Flow'!AN$3)</f>
        <v>0</v>
      </c>
      <c r="AP42" s="90">
        <f>SUMIFS('Wells Fargo'!$F:$F,'Wells Fargo'!$G:$G,'Cash Flow'!$A42,'Wells Fargo'!$A:$A,AP$1,'Wells Fargo'!$B:$B,"&lt;="&amp;'Cash Flow'!AP$3)</f>
        <v>0</v>
      </c>
      <c r="AQ42" s="89">
        <f>SUMIFS('Wells Fargo'!$F:$F,'Wells Fargo'!$G:$G,'Cash Flow'!$A42,'Wells Fargo'!$A:$A,AQ$1,'Wells Fargo'!$B:$B,"&lt;="&amp;'Cash Flow'!AQ$3,'Wells Fargo'!$B:$B,"&gt;"&amp;'Cash Flow'!AP$3)</f>
        <v>0</v>
      </c>
      <c r="AR42" s="89">
        <f>SUMIFS('Wells Fargo'!$F:$F,'Wells Fargo'!$G:$G,'Cash Flow'!$A42,'Wells Fargo'!$A:$A,AR$1,'Wells Fargo'!$B:$B,"&lt;="&amp;'Cash Flow'!AR$3,'Wells Fargo'!$B:$B,"&gt;"&amp;'Cash Flow'!AQ$3)</f>
        <v>0</v>
      </c>
      <c r="AS42" s="89">
        <f>SUMIFS('Wells Fargo'!$F:$F,'Wells Fargo'!$G:$G,'Cash Flow'!$A42,'Wells Fargo'!$A:$A,AS$1,'Wells Fargo'!$B:$B,"&lt;="&amp;'Cash Flow'!AS$3,'Wells Fargo'!$B:$B,"&gt;"&amp;'Cash Flow'!AR$3)</f>
        <v>0</v>
      </c>
      <c r="AT42" s="89">
        <f>SUMIFS('Wells Fargo'!$F:$F,'Wells Fargo'!$G:$G,'Cash Flow'!$A42,'Wells Fargo'!$A:$A,AT$1,'Wells Fargo'!$B:$B,"&lt;="&amp;'Cash Flow'!AT$3,'Wells Fargo'!$B:$B,"&gt;"&amp;'Cash Flow'!AS$3)</f>
        <v>0</v>
      </c>
      <c r="AU42" s="90">
        <f>SUMIFS('Wells Fargo'!$F:$F,'Wells Fargo'!$G:$G,'Cash Flow'!$A42,'Wells Fargo'!$A:$A,AU$1,'Wells Fargo'!$B:$B,"&lt;="&amp;'Cash Flow'!AU$3)</f>
        <v>0</v>
      </c>
      <c r="AV42" s="89">
        <f>SUMIFS('Wells Fargo'!$F:$F,'Wells Fargo'!$G:$G,'Cash Flow'!$A42,'Wells Fargo'!$A:$A,AV$1,'Wells Fargo'!$B:$B,"&lt;="&amp;'Cash Flow'!AV$3,'Wells Fargo'!$B:$B,"&gt;"&amp;'Cash Flow'!AU$3)</f>
        <v>0</v>
      </c>
      <c r="AW42" s="89">
        <f>SUMIFS('Wells Fargo'!$F:$F,'Wells Fargo'!$G:$G,'Cash Flow'!$A42,'Wells Fargo'!$A:$A,AW$1,'Wells Fargo'!$B:$B,"&lt;="&amp;'Cash Flow'!AW$3,'Wells Fargo'!$B:$B,"&gt;"&amp;'Cash Flow'!AV$3)</f>
        <v>0</v>
      </c>
      <c r="AX42" s="89">
        <f>SUMIFS('Wells Fargo'!$F:$F,'Wells Fargo'!$G:$G,'Cash Flow'!$A42,'Wells Fargo'!$A:$A,AX$1,'Wells Fargo'!$B:$B,"&lt;="&amp;'Cash Flow'!AX$3,'Wells Fargo'!$B:$B,"&gt;"&amp;'Cash Flow'!AW$3)</f>
        <v>0</v>
      </c>
      <c r="AY42" s="89">
        <f>SUMIFS('Wells Fargo'!$F:$F,'Wells Fargo'!$G:$G,'Cash Flow'!$A42,'Wells Fargo'!$A:$A,AY$1,'Wells Fargo'!$B:$B,"&lt;="&amp;'Cash Flow'!AY$3,'Wells Fargo'!$B:$B,"&gt;"&amp;'Cash Flow'!AX$3)</f>
        <v>0</v>
      </c>
      <c r="AZ42" s="90">
        <f>SUMIFS('Wells Fargo'!$F:$F,'Wells Fargo'!$G:$G,'Cash Flow'!$A42,'Wells Fargo'!$A:$A,AZ$1,'Wells Fargo'!$B:$B,"&lt;="&amp;'Cash Flow'!AZ$3)</f>
        <v>0</v>
      </c>
      <c r="BA42" s="89">
        <f>SUMIFS('Wells Fargo'!$F:$F,'Wells Fargo'!$G:$G,'Cash Flow'!$A42,'Wells Fargo'!$A:$A,BA$1,'Wells Fargo'!$B:$B,"&lt;="&amp;'Cash Flow'!BA$3,'Wells Fargo'!$B:$B,"&gt;"&amp;'Cash Flow'!AZ$3)</f>
        <v>0</v>
      </c>
      <c r="BB42" s="89">
        <f>SUMIFS('Wells Fargo'!$F:$F,'Wells Fargo'!$G:$G,'Cash Flow'!$A42,'Wells Fargo'!$A:$A,BB$1,'Wells Fargo'!$B:$B,"&lt;="&amp;'Cash Flow'!BB$3,'Wells Fargo'!$B:$B,"&gt;"&amp;'Cash Flow'!BA$3)</f>
        <v>0</v>
      </c>
      <c r="BC42" s="89">
        <f>SUMIFS('Wells Fargo'!$F:$F,'Wells Fargo'!$G:$G,'Cash Flow'!$A42,'Wells Fargo'!$A:$A,BC$1,'Wells Fargo'!$B:$B,"&lt;="&amp;'Cash Flow'!BC$3,'Wells Fargo'!$B:$B,"&gt;"&amp;'Cash Flow'!BB$3)</f>
        <v>0</v>
      </c>
      <c r="BD42" s="89">
        <f>SUMIFS('Wells Fargo'!$F:$F,'Wells Fargo'!$G:$G,'Cash Flow'!$A42,'Wells Fargo'!$A:$A,BD$1,'Wells Fargo'!$B:$B,"&lt;="&amp;'Cash Flow'!BD$3,'Wells Fargo'!$B:$B,"&gt;"&amp;'Cash Flow'!BC$3)</f>
        <v>0</v>
      </c>
      <c r="BE42" s="90">
        <f>SUMIFS('Wells Fargo'!$F:$F,'Wells Fargo'!$G:$G,'Cash Flow'!$A42,'Wells Fargo'!$A:$A,BE$1,'Wells Fargo'!$B:$B,"&lt;="&amp;'Cash Flow'!BE$3)</f>
        <v>0</v>
      </c>
      <c r="BF42" s="89">
        <f>SUMIFS('Wells Fargo'!$F:$F,'Wells Fargo'!$G:$G,'Cash Flow'!$A42,'Wells Fargo'!$A:$A,BF$1,'Wells Fargo'!$B:$B,"&lt;="&amp;'Cash Flow'!BF$3,'Wells Fargo'!$B:$B,"&gt;"&amp;'Cash Flow'!BE$3)</f>
        <v>0</v>
      </c>
      <c r="BG42" s="89">
        <f>SUMIFS('Wells Fargo'!$F:$F,'Wells Fargo'!$G:$G,'Cash Flow'!$A42,'Wells Fargo'!$A:$A,BG$1,'Wells Fargo'!$B:$B,"&lt;="&amp;'Cash Flow'!BG$3,'Wells Fargo'!$B:$B,"&gt;"&amp;'Cash Flow'!BF$3)</f>
        <v>0</v>
      </c>
      <c r="BH42" s="89">
        <f>SUMIFS('Wells Fargo'!$F:$F,'Wells Fargo'!$G:$G,'Cash Flow'!$A42,'Wells Fargo'!$A:$A,BH$1,'Wells Fargo'!$B:$B,"&lt;="&amp;'Cash Flow'!BH$3,'Wells Fargo'!$B:$B,"&gt;"&amp;'Cash Flow'!BG$3)</f>
        <v>0</v>
      </c>
      <c r="BI42" s="89">
        <f>SUMIFS('Wells Fargo'!$F:$F,'Wells Fargo'!$G:$G,'Cash Flow'!$A42,'Wells Fargo'!$A:$A,BI$1,'Wells Fargo'!$B:$B,"&lt;="&amp;'Cash Flow'!BI$3,'Wells Fargo'!$B:$B,"&gt;"&amp;'Cash Flow'!BH$3)</f>
        <v>0</v>
      </c>
    </row>
    <row r="43" spans="1:61" ht="12.75" x14ac:dyDescent="0.2">
      <c r="A43" t="str">
        <v>New Manchester - Rent</v>
      </c>
      <c r="B43" s="15">
        <f t="shared" si="1"/>
        <v>-5582.85</v>
      </c>
      <c r="C43" s="90">
        <f>SUMIFS('Wells Fargo'!$F:$F,'Wells Fargo'!$G:$G,'Cash Flow'!$A43,'Wells Fargo'!$A:$A,C$1,'Wells Fargo'!$B:$B,"&lt;="&amp;'Cash Flow'!C$3)</f>
        <v>0</v>
      </c>
      <c r="D43" s="89">
        <f>SUMIFS('Wells Fargo'!$F:$F,'Wells Fargo'!$G:$G,'Cash Flow'!$A43,'Wells Fargo'!$A:$A,D$1,'Wells Fargo'!$B:$B,"&lt;="&amp;'Cash Flow'!D$3,'Wells Fargo'!$B:$B,"&gt;"&amp;'Cash Flow'!C$3)</f>
        <v>0</v>
      </c>
      <c r="E43" s="89">
        <f>SUMIFS('Wells Fargo'!$F:$F,'Wells Fargo'!$G:$G,'Cash Flow'!$A43,'Wells Fargo'!$A:$A,E$1,'Wells Fargo'!$B:$B,"&lt;="&amp;'Cash Flow'!E$3,'Wells Fargo'!$B:$B,"&gt;"&amp;'Cash Flow'!D$3)</f>
        <v>0</v>
      </c>
      <c r="F43" s="89">
        <f>SUMIFS('Wells Fargo'!$F:$F,'Wells Fargo'!$G:$G,'Cash Flow'!$A43,'Wells Fargo'!$A:$A,F$1,'Wells Fargo'!$B:$B,"&lt;="&amp;'Cash Flow'!F$3,'Wells Fargo'!$B:$B,"&gt;"&amp;'Cash Flow'!E$3)</f>
        <v>0</v>
      </c>
      <c r="G43" s="89">
        <f>SUMIFS('Wells Fargo'!$F:$F,'Wells Fargo'!$G:$G,'Cash Flow'!$A43,'Wells Fargo'!$A:$A,G$1,'Wells Fargo'!$B:$B,"&lt;="&amp;'Cash Flow'!G$3,'Wells Fargo'!$B:$B,"&gt;"&amp;'Cash Flow'!F$3)</f>
        <v>0</v>
      </c>
      <c r="H43" s="90">
        <f>SUMIFS('Wells Fargo'!$F:$F,'Wells Fargo'!$G:$G,'Cash Flow'!$A43,'Wells Fargo'!$A:$A,H$1,'Wells Fargo'!$B:$B,"&lt;="&amp;'Cash Flow'!H$3)</f>
        <v>0</v>
      </c>
      <c r="I43" s="89">
        <f>SUMIFS('Wells Fargo'!$F:$F,'Wells Fargo'!$G:$G,'Cash Flow'!$A43,'Wells Fargo'!$A:$A,I$1,'Wells Fargo'!$B:$B,"&lt;="&amp;'Cash Flow'!I$3,'Wells Fargo'!$B:$B,"&gt;"&amp;'Cash Flow'!H$3)</f>
        <v>0</v>
      </c>
      <c r="J43" s="89">
        <f>SUMIFS('Wells Fargo'!$F:$F,'Wells Fargo'!$G:$G,'Cash Flow'!$A43,'Wells Fargo'!$A:$A,J$1,'Wells Fargo'!$B:$B,"&lt;="&amp;'Cash Flow'!J$3,'Wells Fargo'!$B:$B,"&gt;"&amp;'Cash Flow'!I$3)</f>
        <v>0</v>
      </c>
      <c r="K43" s="89">
        <f>SUMIFS('Wells Fargo'!$F:$F,'Wells Fargo'!$G:$G,'Cash Flow'!$A43,'Wells Fargo'!$A:$A,K$1,'Wells Fargo'!$B:$B,"&lt;="&amp;'Cash Flow'!K$3,'Wells Fargo'!$B:$B,"&gt;"&amp;'Cash Flow'!J$3)</f>
        <v>0</v>
      </c>
      <c r="L43" s="90">
        <f>SUMIFS('Wells Fargo'!$F:$F,'Wells Fargo'!$G:$G,'Cash Flow'!$A43,'Wells Fargo'!$A:$A,L$1,'Wells Fargo'!$B:$B,"&lt;="&amp;'Cash Flow'!L$3)</f>
        <v>0</v>
      </c>
      <c r="M43" s="89">
        <f>SUMIFS('Wells Fargo'!$F:$F,'Wells Fargo'!$G:$G,'Cash Flow'!$A43,'Wells Fargo'!$A:$A,M$1,'Wells Fargo'!$B:$B,"&lt;="&amp;'Cash Flow'!M$3,'Wells Fargo'!$B:$B,"&gt;"&amp;'Cash Flow'!L$3)</f>
        <v>0</v>
      </c>
      <c r="N43" s="89">
        <f>SUMIFS('Wells Fargo'!$F:$F,'Wells Fargo'!$G:$G,'Cash Flow'!$A43,'Wells Fargo'!$A:$A,N$1,'Wells Fargo'!$B:$B,"&lt;="&amp;'Cash Flow'!N$3,'Wells Fargo'!$B:$B,"&gt;"&amp;'Cash Flow'!M$3)</f>
        <v>0</v>
      </c>
      <c r="O43" s="89">
        <f>SUMIFS('Wells Fargo'!$F:$F,'Wells Fargo'!$G:$G,'Cash Flow'!$A43,'Wells Fargo'!$A:$A,O$1,'Wells Fargo'!$B:$B,"&lt;="&amp;'Cash Flow'!O$3,'Wells Fargo'!$B:$B,"&gt;"&amp;'Cash Flow'!N$3)</f>
        <v>0</v>
      </c>
      <c r="P43" s="89">
        <f>SUMIFS('Wells Fargo'!$F:$F,'Wells Fargo'!$G:$G,'Cash Flow'!$A43,'Wells Fargo'!$A:$A,P$1,'Wells Fargo'!$B:$B,"&lt;="&amp;'Cash Flow'!P$3,'Wells Fargo'!$B:$B,"&gt;"&amp;'Cash Flow'!O$3)</f>
        <v>0</v>
      </c>
      <c r="Q43" s="90">
        <f>SUMIFS('Wells Fargo'!$F:$F,'Wells Fargo'!$G:$G,'Cash Flow'!$A43,'Wells Fargo'!$A:$A,Q$1,'Wells Fargo'!$B:$B,"&lt;="&amp;'Cash Flow'!Q$3)</f>
        <v>0</v>
      </c>
      <c r="R43" s="89">
        <f>SUMIFS('Wells Fargo'!$F:$F,'Wells Fargo'!$G:$G,'Cash Flow'!$A43,'Wells Fargo'!$A:$A,R$1,'Wells Fargo'!$B:$B,"&lt;="&amp;'Cash Flow'!R$3,'Wells Fargo'!$B:$B,"&gt;"&amp;'Cash Flow'!Q$3)</f>
        <v>0</v>
      </c>
      <c r="S43" s="89">
        <f>SUMIFS('Wells Fargo'!$F:$F,'Wells Fargo'!$G:$G,'Cash Flow'!$A43,'Wells Fargo'!$A:$A,S$1,'Wells Fargo'!$B:$B,"&lt;="&amp;'Cash Flow'!S$3,'Wells Fargo'!$B:$B,"&gt;"&amp;'Cash Flow'!R$3)</f>
        <v>0</v>
      </c>
      <c r="T43" s="89">
        <f>SUMIFS('Wells Fargo'!$F:$F,'Wells Fargo'!$G:$G,'Cash Flow'!$A43,'Wells Fargo'!$A:$A,T$1,'Wells Fargo'!$B:$B,"&lt;="&amp;'Cash Flow'!T$3,'Wells Fargo'!$B:$B,"&gt;"&amp;'Cash Flow'!S$3)</f>
        <v>0</v>
      </c>
      <c r="U43" s="89">
        <f>SUMIFS('Wells Fargo'!$F:$F,'Wells Fargo'!$G:$G,'Cash Flow'!$A43,'Wells Fargo'!$A:$A,U$1,'Wells Fargo'!$B:$B,"&lt;="&amp;'Cash Flow'!U$3,'Wells Fargo'!$B:$B,"&gt;"&amp;'Cash Flow'!T$3)</f>
        <v>0</v>
      </c>
      <c r="V43" s="90">
        <f>SUMIFS('Wells Fargo'!$F:$F,'Wells Fargo'!$G:$G,'Cash Flow'!$A43,'Wells Fargo'!$A:$A,V$1,'Wells Fargo'!$B:$B,"&lt;="&amp;'Cash Flow'!V$3)</f>
        <v>0</v>
      </c>
      <c r="W43" s="89">
        <f>SUMIFS('Wells Fargo'!$F:$F,'Wells Fargo'!$G:$G,'Cash Flow'!$A43,'Wells Fargo'!$A:$A,W$1,'Wells Fargo'!$B:$B,"&lt;="&amp;'Cash Flow'!W$3,'Wells Fargo'!$B:$B,"&gt;"&amp;'Cash Flow'!V$3)</f>
        <v>0</v>
      </c>
      <c r="X43" s="89">
        <f>SUMIFS('Wells Fargo'!$F:$F,'Wells Fargo'!$G:$G,'Cash Flow'!$A43,'Wells Fargo'!$A:$A,X$1,'Wells Fargo'!$B:$B,"&lt;="&amp;'Cash Flow'!X$3,'Wells Fargo'!$B:$B,"&gt;"&amp;'Cash Flow'!W$3)</f>
        <v>0</v>
      </c>
      <c r="Y43" s="89">
        <f>SUMIFS('Wells Fargo'!$F:$F,'Wells Fargo'!$G:$G,'Cash Flow'!$A43,'Wells Fargo'!$A:$A,Y$1,'Wells Fargo'!$B:$B,"&lt;="&amp;'Cash Flow'!Y$3,'Wells Fargo'!$B:$B,"&gt;"&amp;'Cash Flow'!X$3)</f>
        <v>0</v>
      </c>
      <c r="Z43" s="89">
        <f>SUMIFS('Wells Fargo'!$F:$F,'Wells Fargo'!$G:$G,'Cash Flow'!$A43,'Wells Fargo'!$A:$A,Z$1,'Wells Fargo'!$B:$B,"&lt;="&amp;'Cash Flow'!Z$3,'Wells Fargo'!$B:$B,"&gt;"&amp;'Cash Flow'!Y$3)</f>
        <v>0</v>
      </c>
      <c r="AA43" s="90">
        <f>SUMIFS('Wells Fargo'!$F:$F,'Wells Fargo'!$G:$G,'Cash Flow'!$A43,'Wells Fargo'!$A:$A,AA$1,'Wells Fargo'!$B:$B,"&lt;="&amp;'Cash Flow'!AA$3)</f>
        <v>-2041.66</v>
      </c>
      <c r="AB43" s="89">
        <f>SUMIFS('Wells Fargo'!$F:$F,'Wells Fargo'!$G:$G,'Cash Flow'!$A43,'Wells Fargo'!$A:$A,AB$1,'Wells Fargo'!$B:$B,"&lt;="&amp;'Cash Flow'!AB$3,'Wells Fargo'!$B:$B,"&gt;"&amp;'Cash Flow'!AA$3)</f>
        <v>0</v>
      </c>
      <c r="AC43" s="89">
        <f>SUMIFS('Wells Fargo'!$F:$F,'Wells Fargo'!$G:$G,'Cash Flow'!$A43,'Wells Fargo'!$A:$A,AC$1,'Wells Fargo'!$B:$B,"&lt;="&amp;'Cash Flow'!AC$3,'Wells Fargo'!$B:$B,"&gt;"&amp;'Cash Flow'!AB$3)</f>
        <v>0</v>
      </c>
      <c r="AD43" s="89">
        <f>SUMIFS('Wells Fargo'!$F:$F,'Wells Fargo'!$G:$G,'Cash Flow'!$A43,'Wells Fargo'!$A:$A,AD$1,'Wells Fargo'!$B:$B,"&lt;="&amp;'Cash Flow'!AD$3,'Wells Fargo'!$B:$B,"&gt;"&amp;'Cash Flow'!AC$3)</f>
        <v>0</v>
      </c>
      <c r="AE43" s="89">
        <f>SUMIFS('Wells Fargo'!$F:$F,'Wells Fargo'!$G:$G,'Cash Flow'!$A43,'Wells Fargo'!$A:$A,AE$1,'Wells Fargo'!$B:$B,"&lt;="&amp;'Cash Flow'!AE$3,'Wells Fargo'!$B:$B,"&gt;"&amp;'Cash Flow'!AD$3)</f>
        <v>-1804.34</v>
      </c>
      <c r="AF43" s="90">
        <f>SUMIFS('Wells Fargo'!$F:$F,'Wells Fargo'!$G:$G,'Cash Flow'!$A43,'Wells Fargo'!$A:$A,AF$1,'Wells Fargo'!$B:$B,"&lt;="&amp;'Cash Flow'!AF$3)</f>
        <v>0</v>
      </c>
      <c r="AG43" s="89">
        <f>SUMIFS('Wells Fargo'!$F:$F,'Wells Fargo'!$G:$G,'Cash Flow'!$A43,'Wells Fargo'!$A:$A,AG$1,'Wells Fargo'!$B:$B,"&lt;="&amp;'Cash Flow'!AG$3,'Wells Fargo'!$B:$B,"&gt;"&amp;'Cash Flow'!AF$3)</f>
        <v>0</v>
      </c>
      <c r="AH43" s="89">
        <f>SUMIFS('Wells Fargo'!$F:$F,'Wells Fargo'!$G:$G,'Cash Flow'!$A43,'Wells Fargo'!$A:$A,AH$1,'Wells Fargo'!$B:$B,"&lt;="&amp;'Cash Flow'!AH$3,'Wells Fargo'!$B:$B,"&gt;"&amp;'Cash Flow'!AG$3)</f>
        <v>0</v>
      </c>
      <c r="AI43" s="89">
        <f>SUMIFS('Wells Fargo'!$F:$F,'Wells Fargo'!$G:$G,'Cash Flow'!$A43,'Wells Fargo'!$A:$A,AI$1,'Wells Fargo'!$B:$B,"&lt;="&amp;'Cash Flow'!AI$3,'Wells Fargo'!$B:$B,"&gt;"&amp;'Cash Flow'!AH$3)</f>
        <v>-1825</v>
      </c>
      <c r="AJ43" s="89">
        <f>SUMIFS('Wells Fargo'!$F:$F,'Wells Fargo'!$G:$G,'Cash Flow'!$A43,'Wells Fargo'!$A:$A,AJ$1,'Wells Fargo'!$B:$B,"&lt;="&amp;'Cash Flow'!AJ$3,'Wells Fargo'!$B:$B,"&gt;"&amp;'Cash Flow'!AI$3)</f>
        <v>0</v>
      </c>
      <c r="AK43" s="90">
        <f>SUMIFS('Wells Fargo'!$F:$F,'Wells Fargo'!$G:$G,'Cash Flow'!$A43,'Wells Fargo'!$A:$A,AK$1,'Wells Fargo'!$B:$B,"&lt;="&amp;'Cash Flow'!AK$3)</f>
        <v>0</v>
      </c>
      <c r="AL43" s="89">
        <f>SUMIFS('Wells Fargo'!$F:$F,'Wells Fargo'!$G:$G,'Cash Flow'!$A43,'Wells Fargo'!$A:$A,AL$1,'Wells Fargo'!$B:$B,"&lt;="&amp;'Cash Flow'!AL$3,'Wells Fargo'!$B:$B,"&gt;"&amp;'Cash Flow'!AK$3)</f>
        <v>0</v>
      </c>
      <c r="AM43" s="89">
        <f>SUMIFS('Wells Fargo'!$F:$F,'Wells Fargo'!$G:$G,'Cash Flow'!$A43,'Wells Fargo'!$A:$A,AM$1,'Wells Fargo'!$B:$B,"&lt;="&amp;'Cash Flow'!AM$3,'Wells Fargo'!$B:$B,"&gt;"&amp;'Cash Flow'!AL$3)</f>
        <v>0</v>
      </c>
      <c r="AN43" s="89">
        <f>SUMIFS('Wells Fargo'!$F:$F,'Wells Fargo'!$G:$G,'Cash Flow'!$A43,'Wells Fargo'!$A:$A,AN$1,'Wells Fargo'!$B:$B,"&lt;="&amp;'Cash Flow'!AN$3,'Wells Fargo'!$B:$B,"&gt;"&amp;'Cash Flow'!AM$3)</f>
        <v>-348.05</v>
      </c>
      <c r="AO43" s="89">
        <f>SUMIFS('Wells Fargo'!$F:$F,'Wells Fargo'!$G:$G,'Cash Flow'!$A43,'Wells Fargo'!$A:$A,AO$1,'Wells Fargo'!$B:$B,"&lt;="&amp;'Cash Flow'!AO$3,'Wells Fargo'!$B:$B,"&gt;"&amp;'Cash Flow'!AN$3)</f>
        <v>0</v>
      </c>
      <c r="AP43" s="90">
        <f>SUMIFS('Wells Fargo'!$F:$F,'Wells Fargo'!$G:$G,'Cash Flow'!$A43,'Wells Fargo'!$A:$A,AP$1,'Wells Fargo'!$B:$B,"&lt;="&amp;'Cash Flow'!AP$3)</f>
        <v>0</v>
      </c>
      <c r="AQ43" s="89">
        <f>SUMIFS('Wells Fargo'!$F:$F,'Wells Fargo'!$G:$G,'Cash Flow'!$A43,'Wells Fargo'!$A:$A,AQ$1,'Wells Fargo'!$B:$B,"&lt;="&amp;'Cash Flow'!AQ$3,'Wells Fargo'!$B:$B,"&gt;"&amp;'Cash Flow'!AP$3)</f>
        <v>0</v>
      </c>
      <c r="AR43" s="89">
        <f>SUMIFS('Wells Fargo'!$F:$F,'Wells Fargo'!$G:$G,'Cash Flow'!$A43,'Wells Fargo'!$A:$A,AR$1,'Wells Fargo'!$B:$B,"&lt;="&amp;'Cash Flow'!AR$3,'Wells Fargo'!$B:$B,"&gt;"&amp;'Cash Flow'!AQ$3)</f>
        <v>0</v>
      </c>
      <c r="AS43" s="89">
        <f>SUMIFS('Wells Fargo'!$F:$F,'Wells Fargo'!$G:$G,'Cash Flow'!$A43,'Wells Fargo'!$A:$A,AS$1,'Wells Fargo'!$B:$B,"&lt;="&amp;'Cash Flow'!AS$3,'Wells Fargo'!$B:$B,"&gt;"&amp;'Cash Flow'!AR$3)</f>
        <v>436.2</v>
      </c>
      <c r="AT43" s="89">
        <f>SUMIFS('Wells Fargo'!$F:$F,'Wells Fargo'!$G:$G,'Cash Flow'!$A43,'Wells Fargo'!$A:$A,AT$1,'Wells Fargo'!$B:$B,"&lt;="&amp;'Cash Flow'!AT$3,'Wells Fargo'!$B:$B,"&gt;"&amp;'Cash Flow'!AS$3)</f>
        <v>0</v>
      </c>
      <c r="AU43" s="90">
        <f>SUMIFS('Wells Fargo'!$F:$F,'Wells Fargo'!$G:$G,'Cash Flow'!$A43,'Wells Fargo'!$A:$A,AU$1,'Wells Fargo'!$B:$B,"&lt;="&amp;'Cash Flow'!AU$3)</f>
        <v>0</v>
      </c>
      <c r="AV43" s="89">
        <f>SUMIFS('Wells Fargo'!$F:$F,'Wells Fargo'!$G:$G,'Cash Flow'!$A43,'Wells Fargo'!$A:$A,AV$1,'Wells Fargo'!$B:$B,"&lt;="&amp;'Cash Flow'!AV$3,'Wells Fargo'!$B:$B,"&gt;"&amp;'Cash Flow'!AU$3)</f>
        <v>0</v>
      </c>
      <c r="AW43" s="89">
        <f>SUMIFS('Wells Fargo'!$F:$F,'Wells Fargo'!$G:$G,'Cash Flow'!$A43,'Wells Fargo'!$A:$A,AW$1,'Wells Fargo'!$B:$B,"&lt;="&amp;'Cash Flow'!AW$3,'Wells Fargo'!$B:$B,"&gt;"&amp;'Cash Flow'!AV$3)</f>
        <v>0</v>
      </c>
      <c r="AX43" s="89">
        <f>SUMIFS('Wells Fargo'!$F:$F,'Wells Fargo'!$G:$G,'Cash Flow'!$A43,'Wells Fargo'!$A:$A,AX$1,'Wells Fargo'!$B:$B,"&lt;="&amp;'Cash Flow'!AX$3,'Wells Fargo'!$B:$B,"&gt;"&amp;'Cash Flow'!AW$3)</f>
        <v>0</v>
      </c>
      <c r="AY43" s="89">
        <f>SUMIFS('Wells Fargo'!$F:$F,'Wells Fargo'!$G:$G,'Cash Flow'!$A43,'Wells Fargo'!$A:$A,AY$1,'Wells Fargo'!$B:$B,"&lt;="&amp;'Cash Flow'!AY$3,'Wells Fargo'!$B:$B,"&gt;"&amp;'Cash Flow'!AX$3)</f>
        <v>0</v>
      </c>
      <c r="AZ43" s="90">
        <f>SUMIFS('Wells Fargo'!$F:$F,'Wells Fargo'!$G:$G,'Cash Flow'!$A43,'Wells Fargo'!$A:$A,AZ$1,'Wells Fargo'!$B:$B,"&lt;="&amp;'Cash Flow'!AZ$3)</f>
        <v>0</v>
      </c>
      <c r="BA43" s="89">
        <f>SUMIFS('Wells Fargo'!$F:$F,'Wells Fargo'!$G:$G,'Cash Flow'!$A43,'Wells Fargo'!$A:$A,BA$1,'Wells Fargo'!$B:$B,"&lt;="&amp;'Cash Flow'!BA$3,'Wells Fargo'!$B:$B,"&gt;"&amp;'Cash Flow'!AZ$3)</f>
        <v>0</v>
      </c>
      <c r="BB43" s="89">
        <f>SUMIFS('Wells Fargo'!$F:$F,'Wells Fargo'!$G:$G,'Cash Flow'!$A43,'Wells Fargo'!$A:$A,BB$1,'Wells Fargo'!$B:$B,"&lt;="&amp;'Cash Flow'!BB$3,'Wells Fargo'!$B:$B,"&gt;"&amp;'Cash Flow'!BA$3)</f>
        <v>0</v>
      </c>
      <c r="BC43" s="89">
        <f>SUMIFS('Wells Fargo'!$F:$F,'Wells Fargo'!$G:$G,'Cash Flow'!$A43,'Wells Fargo'!$A:$A,BC$1,'Wells Fargo'!$B:$B,"&lt;="&amp;'Cash Flow'!BC$3,'Wells Fargo'!$B:$B,"&gt;"&amp;'Cash Flow'!BB$3)</f>
        <v>0</v>
      </c>
      <c r="BD43" s="89">
        <f>SUMIFS('Wells Fargo'!$F:$F,'Wells Fargo'!$G:$G,'Cash Flow'!$A43,'Wells Fargo'!$A:$A,BD$1,'Wells Fargo'!$B:$B,"&lt;="&amp;'Cash Flow'!BD$3,'Wells Fargo'!$B:$B,"&gt;"&amp;'Cash Flow'!BC$3)</f>
        <v>0</v>
      </c>
      <c r="BE43" s="90">
        <f>SUMIFS('Wells Fargo'!$F:$F,'Wells Fargo'!$G:$G,'Cash Flow'!$A43,'Wells Fargo'!$A:$A,BE$1,'Wells Fargo'!$B:$B,"&lt;="&amp;'Cash Flow'!BE$3)</f>
        <v>0</v>
      </c>
      <c r="BF43" s="89">
        <f>SUMIFS('Wells Fargo'!$F:$F,'Wells Fargo'!$G:$G,'Cash Flow'!$A43,'Wells Fargo'!$A:$A,BF$1,'Wells Fargo'!$B:$B,"&lt;="&amp;'Cash Flow'!BF$3,'Wells Fargo'!$B:$B,"&gt;"&amp;'Cash Flow'!BE$3)</f>
        <v>0</v>
      </c>
      <c r="BG43" s="89">
        <f>SUMIFS('Wells Fargo'!$F:$F,'Wells Fargo'!$G:$G,'Cash Flow'!$A43,'Wells Fargo'!$A:$A,BG$1,'Wells Fargo'!$B:$B,"&lt;="&amp;'Cash Flow'!BG$3,'Wells Fargo'!$B:$B,"&gt;"&amp;'Cash Flow'!BF$3)</f>
        <v>0</v>
      </c>
      <c r="BH43" s="89">
        <f>SUMIFS('Wells Fargo'!$F:$F,'Wells Fargo'!$G:$G,'Cash Flow'!$A43,'Wells Fargo'!$A:$A,BH$1,'Wells Fargo'!$B:$B,"&lt;="&amp;'Cash Flow'!BH$3,'Wells Fargo'!$B:$B,"&gt;"&amp;'Cash Flow'!BG$3)</f>
        <v>0</v>
      </c>
      <c r="BI43" s="89">
        <f>SUMIFS('Wells Fargo'!$F:$F,'Wells Fargo'!$G:$G,'Cash Flow'!$A43,'Wells Fargo'!$A:$A,BI$1,'Wells Fargo'!$B:$B,"&lt;="&amp;'Cash Flow'!BI$3,'Wells Fargo'!$B:$B,"&gt;"&amp;'Cash Flow'!BH$3)</f>
        <v>0</v>
      </c>
    </row>
    <row r="44" spans="1:61" ht="12.75" x14ac:dyDescent="0.2">
      <c r="A44" t="str">
        <v>New Manchester Deposit</v>
      </c>
      <c r="B44" s="15">
        <f t="shared" si="1"/>
        <v>-200</v>
      </c>
      <c r="C44" s="90">
        <f>SUMIFS('Wells Fargo'!$F:$F,'Wells Fargo'!$G:$G,'Cash Flow'!$A44,'Wells Fargo'!$A:$A,C$1,'Wells Fargo'!$B:$B,"&lt;="&amp;'Cash Flow'!C$3)</f>
        <v>0</v>
      </c>
      <c r="D44" s="89">
        <f>SUMIFS('Wells Fargo'!$F:$F,'Wells Fargo'!$G:$G,'Cash Flow'!$A44,'Wells Fargo'!$A:$A,D$1,'Wells Fargo'!$B:$B,"&lt;="&amp;'Cash Flow'!D$3,'Wells Fargo'!$B:$B,"&gt;"&amp;'Cash Flow'!C$3)</f>
        <v>0</v>
      </c>
      <c r="E44" s="89">
        <f>SUMIFS('Wells Fargo'!$F:$F,'Wells Fargo'!$G:$G,'Cash Flow'!$A44,'Wells Fargo'!$A:$A,E$1,'Wells Fargo'!$B:$B,"&lt;="&amp;'Cash Flow'!E$3,'Wells Fargo'!$B:$B,"&gt;"&amp;'Cash Flow'!D$3)</f>
        <v>0</v>
      </c>
      <c r="F44" s="89">
        <f>SUMIFS('Wells Fargo'!$F:$F,'Wells Fargo'!$G:$G,'Cash Flow'!$A44,'Wells Fargo'!$A:$A,F$1,'Wells Fargo'!$B:$B,"&lt;="&amp;'Cash Flow'!F$3,'Wells Fargo'!$B:$B,"&gt;"&amp;'Cash Flow'!E$3)</f>
        <v>0</v>
      </c>
      <c r="G44" s="89">
        <f>SUMIFS('Wells Fargo'!$F:$F,'Wells Fargo'!$G:$G,'Cash Flow'!$A44,'Wells Fargo'!$A:$A,G$1,'Wells Fargo'!$B:$B,"&lt;="&amp;'Cash Flow'!G$3,'Wells Fargo'!$B:$B,"&gt;"&amp;'Cash Flow'!F$3)</f>
        <v>0</v>
      </c>
      <c r="H44" s="90">
        <f>SUMIFS('Wells Fargo'!$F:$F,'Wells Fargo'!$G:$G,'Cash Flow'!$A44,'Wells Fargo'!$A:$A,H$1,'Wells Fargo'!$B:$B,"&lt;="&amp;'Cash Flow'!H$3)</f>
        <v>0</v>
      </c>
      <c r="I44" s="89">
        <f>SUMIFS('Wells Fargo'!$F:$F,'Wells Fargo'!$G:$G,'Cash Flow'!$A44,'Wells Fargo'!$A:$A,I$1,'Wells Fargo'!$B:$B,"&lt;="&amp;'Cash Flow'!I$3,'Wells Fargo'!$B:$B,"&gt;"&amp;'Cash Flow'!H$3)</f>
        <v>0</v>
      </c>
      <c r="J44" s="89">
        <f>SUMIFS('Wells Fargo'!$F:$F,'Wells Fargo'!$G:$G,'Cash Flow'!$A44,'Wells Fargo'!$A:$A,J$1,'Wells Fargo'!$B:$B,"&lt;="&amp;'Cash Flow'!J$3,'Wells Fargo'!$B:$B,"&gt;"&amp;'Cash Flow'!I$3)</f>
        <v>0</v>
      </c>
      <c r="K44" s="89">
        <f>SUMIFS('Wells Fargo'!$F:$F,'Wells Fargo'!$G:$G,'Cash Flow'!$A44,'Wells Fargo'!$A:$A,K$1,'Wells Fargo'!$B:$B,"&lt;="&amp;'Cash Flow'!K$3,'Wells Fargo'!$B:$B,"&gt;"&amp;'Cash Flow'!J$3)</f>
        <v>0</v>
      </c>
      <c r="L44" s="90">
        <f>SUMIFS('Wells Fargo'!$F:$F,'Wells Fargo'!$G:$G,'Cash Flow'!$A44,'Wells Fargo'!$A:$A,L$1,'Wells Fargo'!$B:$B,"&lt;="&amp;'Cash Flow'!L$3)</f>
        <v>0</v>
      </c>
      <c r="M44" s="89">
        <f>SUMIFS('Wells Fargo'!$F:$F,'Wells Fargo'!$G:$G,'Cash Flow'!$A44,'Wells Fargo'!$A:$A,M$1,'Wells Fargo'!$B:$B,"&lt;="&amp;'Cash Flow'!M$3,'Wells Fargo'!$B:$B,"&gt;"&amp;'Cash Flow'!L$3)</f>
        <v>0</v>
      </c>
      <c r="N44" s="89">
        <f>SUMIFS('Wells Fargo'!$F:$F,'Wells Fargo'!$G:$G,'Cash Flow'!$A44,'Wells Fargo'!$A:$A,N$1,'Wells Fargo'!$B:$B,"&lt;="&amp;'Cash Flow'!N$3,'Wells Fargo'!$B:$B,"&gt;"&amp;'Cash Flow'!M$3)</f>
        <v>0</v>
      </c>
      <c r="O44" s="89">
        <f>SUMIFS('Wells Fargo'!$F:$F,'Wells Fargo'!$G:$G,'Cash Flow'!$A44,'Wells Fargo'!$A:$A,O$1,'Wells Fargo'!$B:$B,"&lt;="&amp;'Cash Flow'!O$3,'Wells Fargo'!$B:$B,"&gt;"&amp;'Cash Flow'!N$3)</f>
        <v>0</v>
      </c>
      <c r="P44" s="89">
        <f>SUMIFS('Wells Fargo'!$F:$F,'Wells Fargo'!$G:$G,'Cash Flow'!$A44,'Wells Fargo'!$A:$A,P$1,'Wells Fargo'!$B:$B,"&lt;="&amp;'Cash Flow'!P$3,'Wells Fargo'!$B:$B,"&gt;"&amp;'Cash Flow'!O$3)</f>
        <v>0</v>
      </c>
      <c r="Q44" s="90">
        <f>SUMIFS('Wells Fargo'!$F:$F,'Wells Fargo'!$G:$G,'Cash Flow'!$A44,'Wells Fargo'!$A:$A,Q$1,'Wells Fargo'!$B:$B,"&lt;="&amp;'Cash Flow'!Q$3)</f>
        <v>0</v>
      </c>
      <c r="R44" s="89">
        <f>SUMIFS('Wells Fargo'!$F:$F,'Wells Fargo'!$G:$G,'Cash Flow'!$A44,'Wells Fargo'!$A:$A,R$1,'Wells Fargo'!$B:$B,"&lt;="&amp;'Cash Flow'!R$3,'Wells Fargo'!$B:$B,"&gt;"&amp;'Cash Flow'!Q$3)</f>
        <v>0</v>
      </c>
      <c r="S44" s="89">
        <f>SUMIFS('Wells Fargo'!$F:$F,'Wells Fargo'!$G:$G,'Cash Flow'!$A44,'Wells Fargo'!$A:$A,S$1,'Wells Fargo'!$B:$B,"&lt;="&amp;'Cash Flow'!S$3,'Wells Fargo'!$B:$B,"&gt;"&amp;'Cash Flow'!R$3)</f>
        <v>0</v>
      </c>
      <c r="T44" s="89">
        <f>SUMIFS('Wells Fargo'!$F:$F,'Wells Fargo'!$G:$G,'Cash Flow'!$A44,'Wells Fargo'!$A:$A,T$1,'Wells Fargo'!$B:$B,"&lt;="&amp;'Cash Flow'!T$3,'Wells Fargo'!$B:$B,"&gt;"&amp;'Cash Flow'!S$3)</f>
        <v>0</v>
      </c>
      <c r="U44" s="89">
        <f>SUMIFS('Wells Fargo'!$F:$F,'Wells Fargo'!$G:$G,'Cash Flow'!$A44,'Wells Fargo'!$A:$A,U$1,'Wells Fargo'!$B:$B,"&lt;="&amp;'Cash Flow'!U$3,'Wells Fargo'!$B:$B,"&gt;"&amp;'Cash Flow'!T$3)</f>
        <v>0</v>
      </c>
      <c r="V44" s="90">
        <f>SUMIFS('Wells Fargo'!$F:$F,'Wells Fargo'!$G:$G,'Cash Flow'!$A44,'Wells Fargo'!$A:$A,V$1,'Wells Fargo'!$B:$B,"&lt;="&amp;'Cash Flow'!V$3)</f>
        <v>-200</v>
      </c>
      <c r="W44" s="89">
        <f>SUMIFS('Wells Fargo'!$F:$F,'Wells Fargo'!$G:$G,'Cash Flow'!$A44,'Wells Fargo'!$A:$A,W$1,'Wells Fargo'!$B:$B,"&lt;="&amp;'Cash Flow'!W$3,'Wells Fargo'!$B:$B,"&gt;"&amp;'Cash Flow'!V$3)</f>
        <v>0</v>
      </c>
      <c r="X44" s="89">
        <f>SUMIFS('Wells Fargo'!$F:$F,'Wells Fargo'!$G:$G,'Cash Flow'!$A44,'Wells Fargo'!$A:$A,X$1,'Wells Fargo'!$B:$B,"&lt;="&amp;'Cash Flow'!X$3,'Wells Fargo'!$B:$B,"&gt;"&amp;'Cash Flow'!W$3)</f>
        <v>0</v>
      </c>
      <c r="Y44" s="89">
        <f>SUMIFS('Wells Fargo'!$F:$F,'Wells Fargo'!$G:$G,'Cash Flow'!$A44,'Wells Fargo'!$A:$A,Y$1,'Wells Fargo'!$B:$B,"&lt;="&amp;'Cash Flow'!Y$3,'Wells Fargo'!$B:$B,"&gt;"&amp;'Cash Flow'!X$3)</f>
        <v>0</v>
      </c>
      <c r="Z44" s="89">
        <f>SUMIFS('Wells Fargo'!$F:$F,'Wells Fargo'!$G:$G,'Cash Flow'!$A44,'Wells Fargo'!$A:$A,Z$1,'Wells Fargo'!$B:$B,"&lt;="&amp;'Cash Flow'!Z$3,'Wells Fargo'!$B:$B,"&gt;"&amp;'Cash Flow'!Y$3)</f>
        <v>0</v>
      </c>
      <c r="AA44" s="90">
        <f>SUMIFS('Wells Fargo'!$F:$F,'Wells Fargo'!$G:$G,'Cash Flow'!$A44,'Wells Fargo'!$A:$A,AA$1,'Wells Fargo'!$B:$B,"&lt;="&amp;'Cash Flow'!AA$3)</f>
        <v>0</v>
      </c>
      <c r="AB44" s="89">
        <f>SUMIFS('Wells Fargo'!$F:$F,'Wells Fargo'!$G:$G,'Cash Flow'!$A44,'Wells Fargo'!$A:$A,AB$1,'Wells Fargo'!$B:$B,"&lt;="&amp;'Cash Flow'!AB$3,'Wells Fargo'!$B:$B,"&gt;"&amp;'Cash Flow'!AA$3)</f>
        <v>0</v>
      </c>
      <c r="AC44" s="89">
        <f>SUMIFS('Wells Fargo'!$F:$F,'Wells Fargo'!$G:$G,'Cash Flow'!$A44,'Wells Fargo'!$A:$A,AC$1,'Wells Fargo'!$B:$B,"&lt;="&amp;'Cash Flow'!AC$3,'Wells Fargo'!$B:$B,"&gt;"&amp;'Cash Flow'!AB$3)</f>
        <v>0</v>
      </c>
      <c r="AD44" s="89">
        <f>SUMIFS('Wells Fargo'!$F:$F,'Wells Fargo'!$G:$G,'Cash Flow'!$A44,'Wells Fargo'!$A:$A,AD$1,'Wells Fargo'!$B:$B,"&lt;="&amp;'Cash Flow'!AD$3,'Wells Fargo'!$B:$B,"&gt;"&amp;'Cash Flow'!AC$3)</f>
        <v>0</v>
      </c>
      <c r="AE44" s="89">
        <f>SUMIFS('Wells Fargo'!$F:$F,'Wells Fargo'!$G:$G,'Cash Flow'!$A44,'Wells Fargo'!$A:$A,AE$1,'Wells Fargo'!$B:$B,"&lt;="&amp;'Cash Flow'!AE$3,'Wells Fargo'!$B:$B,"&gt;"&amp;'Cash Flow'!AD$3)</f>
        <v>0</v>
      </c>
      <c r="AF44" s="90">
        <f>SUMIFS('Wells Fargo'!$F:$F,'Wells Fargo'!$G:$G,'Cash Flow'!$A44,'Wells Fargo'!$A:$A,AF$1,'Wells Fargo'!$B:$B,"&lt;="&amp;'Cash Flow'!AF$3)</f>
        <v>0</v>
      </c>
      <c r="AG44" s="89">
        <f>SUMIFS('Wells Fargo'!$F:$F,'Wells Fargo'!$G:$G,'Cash Flow'!$A44,'Wells Fargo'!$A:$A,AG$1,'Wells Fargo'!$B:$B,"&lt;="&amp;'Cash Flow'!AG$3,'Wells Fargo'!$B:$B,"&gt;"&amp;'Cash Flow'!AF$3)</f>
        <v>0</v>
      </c>
      <c r="AH44" s="89">
        <f>SUMIFS('Wells Fargo'!$F:$F,'Wells Fargo'!$G:$G,'Cash Flow'!$A44,'Wells Fargo'!$A:$A,AH$1,'Wells Fargo'!$B:$B,"&lt;="&amp;'Cash Flow'!AH$3,'Wells Fargo'!$B:$B,"&gt;"&amp;'Cash Flow'!AG$3)</f>
        <v>0</v>
      </c>
      <c r="AI44" s="89">
        <f>SUMIFS('Wells Fargo'!$F:$F,'Wells Fargo'!$G:$G,'Cash Flow'!$A44,'Wells Fargo'!$A:$A,AI$1,'Wells Fargo'!$B:$B,"&lt;="&amp;'Cash Flow'!AI$3,'Wells Fargo'!$B:$B,"&gt;"&amp;'Cash Flow'!AH$3)</f>
        <v>0</v>
      </c>
      <c r="AJ44" s="89">
        <f>SUMIFS('Wells Fargo'!$F:$F,'Wells Fargo'!$G:$G,'Cash Flow'!$A44,'Wells Fargo'!$A:$A,AJ$1,'Wells Fargo'!$B:$B,"&lt;="&amp;'Cash Flow'!AJ$3,'Wells Fargo'!$B:$B,"&gt;"&amp;'Cash Flow'!AI$3)</f>
        <v>0</v>
      </c>
      <c r="AK44" s="90">
        <f>SUMIFS('Wells Fargo'!$F:$F,'Wells Fargo'!$G:$G,'Cash Flow'!$A44,'Wells Fargo'!$A:$A,AK$1,'Wells Fargo'!$B:$B,"&lt;="&amp;'Cash Flow'!AK$3)</f>
        <v>0</v>
      </c>
      <c r="AL44" s="89">
        <f>SUMIFS('Wells Fargo'!$F:$F,'Wells Fargo'!$G:$G,'Cash Flow'!$A44,'Wells Fargo'!$A:$A,AL$1,'Wells Fargo'!$B:$B,"&lt;="&amp;'Cash Flow'!AL$3,'Wells Fargo'!$B:$B,"&gt;"&amp;'Cash Flow'!AK$3)</f>
        <v>0</v>
      </c>
      <c r="AM44" s="89">
        <f>SUMIFS('Wells Fargo'!$F:$F,'Wells Fargo'!$G:$G,'Cash Flow'!$A44,'Wells Fargo'!$A:$A,AM$1,'Wells Fargo'!$B:$B,"&lt;="&amp;'Cash Flow'!AM$3,'Wells Fargo'!$B:$B,"&gt;"&amp;'Cash Flow'!AL$3)</f>
        <v>0</v>
      </c>
      <c r="AN44" s="89">
        <f>SUMIFS('Wells Fargo'!$F:$F,'Wells Fargo'!$G:$G,'Cash Flow'!$A44,'Wells Fargo'!$A:$A,AN$1,'Wells Fargo'!$B:$B,"&lt;="&amp;'Cash Flow'!AN$3,'Wells Fargo'!$B:$B,"&gt;"&amp;'Cash Flow'!AM$3)</f>
        <v>0</v>
      </c>
      <c r="AO44" s="89">
        <f>SUMIFS('Wells Fargo'!$F:$F,'Wells Fargo'!$G:$G,'Cash Flow'!$A44,'Wells Fargo'!$A:$A,AO$1,'Wells Fargo'!$B:$B,"&lt;="&amp;'Cash Flow'!AO$3,'Wells Fargo'!$B:$B,"&gt;"&amp;'Cash Flow'!AN$3)</f>
        <v>0</v>
      </c>
      <c r="AP44" s="90">
        <f>SUMIFS('Wells Fargo'!$F:$F,'Wells Fargo'!$G:$G,'Cash Flow'!$A44,'Wells Fargo'!$A:$A,AP$1,'Wells Fargo'!$B:$B,"&lt;="&amp;'Cash Flow'!AP$3)</f>
        <v>0</v>
      </c>
      <c r="AQ44" s="89">
        <f>SUMIFS('Wells Fargo'!$F:$F,'Wells Fargo'!$G:$G,'Cash Flow'!$A44,'Wells Fargo'!$A:$A,AQ$1,'Wells Fargo'!$B:$B,"&lt;="&amp;'Cash Flow'!AQ$3,'Wells Fargo'!$B:$B,"&gt;"&amp;'Cash Flow'!AP$3)</f>
        <v>0</v>
      </c>
      <c r="AR44" s="89">
        <f>SUMIFS('Wells Fargo'!$F:$F,'Wells Fargo'!$G:$G,'Cash Flow'!$A44,'Wells Fargo'!$A:$A,AR$1,'Wells Fargo'!$B:$B,"&lt;="&amp;'Cash Flow'!AR$3,'Wells Fargo'!$B:$B,"&gt;"&amp;'Cash Flow'!AQ$3)</f>
        <v>0</v>
      </c>
      <c r="AS44" s="89">
        <f>SUMIFS('Wells Fargo'!$F:$F,'Wells Fargo'!$G:$G,'Cash Flow'!$A44,'Wells Fargo'!$A:$A,AS$1,'Wells Fargo'!$B:$B,"&lt;="&amp;'Cash Flow'!AS$3,'Wells Fargo'!$B:$B,"&gt;"&amp;'Cash Flow'!AR$3)</f>
        <v>0</v>
      </c>
      <c r="AT44" s="89">
        <f>SUMIFS('Wells Fargo'!$F:$F,'Wells Fargo'!$G:$G,'Cash Flow'!$A44,'Wells Fargo'!$A:$A,AT$1,'Wells Fargo'!$B:$B,"&lt;="&amp;'Cash Flow'!AT$3,'Wells Fargo'!$B:$B,"&gt;"&amp;'Cash Flow'!AS$3)</f>
        <v>0</v>
      </c>
      <c r="AU44" s="90">
        <f>SUMIFS('Wells Fargo'!$F:$F,'Wells Fargo'!$G:$G,'Cash Flow'!$A44,'Wells Fargo'!$A:$A,AU$1,'Wells Fargo'!$B:$B,"&lt;="&amp;'Cash Flow'!AU$3)</f>
        <v>0</v>
      </c>
      <c r="AV44" s="89">
        <f>SUMIFS('Wells Fargo'!$F:$F,'Wells Fargo'!$G:$G,'Cash Flow'!$A44,'Wells Fargo'!$A:$A,AV$1,'Wells Fargo'!$B:$B,"&lt;="&amp;'Cash Flow'!AV$3,'Wells Fargo'!$B:$B,"&gt;"&amp;'Cash Flow'!AU$3)</f>
        <v>0</v>
      </c>
      <c r="AW44" s="89">
        <f>SUMIFS('Wells Fargo'!$F:$F,'Wells Fargo'!$G:$G,'Cash Flow'!$A44,'Wells Fargo'!$A:$A,AW$1,'Wells Fargo'!$B:$B,"&lt;="&amp;'Cash Flow'!AW$3,'Wells Fargo'!$B:$B,"&gt;"&amp;'Cash Flow'!AV$3)</f>
        <v>0</v>
      </c>
      <c r="AX44" s="89">
        <f>SUMIFS('Wells Fargo'!$F:$F,'Wells Fargo'!$G:$G,'Cash Flow'!$A44,'Wells Fargo'!$A:$A,AX$1,'Wells Fargo'!$B:$B,"&lt;="&amp;'Cash Flow'!AX$3,'Wells Fargo'!$B:$B,"&gt;"&amp;'Cash Flow'!AW$3)</f>
        <v>0</v>
      </c>
      <c r="AY44" s="89">
        <f>SUMIFS('Wells Fargo'!$F:$F,'Wells Fargo'!$G:$G,'Cash Flow'!$A44,'Wells Fargo'!$A:$A,AY$1,'Wells Fargo'!$B:$B,"&lt;="&amp;'Cash Flow'!AY$3,'Wells Fargo'!$B:$B,"&gt;"&amp;'Cash Flow'!AX$3)</f>
        <v>0</v>
      </c>
      <c r="AZ44" s="90">
        <f>SUMIFS('Wells Fargo'!$F:$F,'Wells Fargo'!$G:$G,'Cash Flow'!$A44,'Wells Fargo'!$A:$A,AZ$1,'Wells Fargo'!$B:$B,"&lt;="&amp;'Cash Flow'!AZ$3)</f>
        <v>0</v>
      </c>
      <c r="BA44" s="89">
        <f>SUMIFS('Wells Fargo'!$F:$F,'Wells Fargo'!$G:$G,'Cash Flow'!$A44,'Wells Fargo'!$A:$A,BA$1,'Wells Fargo'!$B:$B,"&lt;="&amp;'Cash Flow'!BA$3,'Wells Fargo'!$B:$B,"&gt;"&amp;'Cash Flow'!AZ$3)</f>
        <v>0</v>
      </c>
      <c r="BB44" s="89">
        <f>SUMIFS('Wells Fargo'!$F:$F,'Wells Fargo'!$G:$G,'Cash Flow'!$A44,'Wells Fargo'!$A:$A,BB$1,'Wells Fargo'!$B:$B,"&lt;="&amp;'Cash Flow'!BB$3,'Wells Fargo'!$B:$B,"&gt;"&amp;'Cash Flow'!BA$3)</f>
        <v>0</v>
      </c>
      <c r="BC44" s="89">
        <f>SUMIFS('Wells Fargo'!$F:$F,'Wells Fargo'!$G:$G,'Cash Flow'!$A44,'Wells Fargo'!$A:$A,BC$1,'Wells Fargo'!$B:$B,"&lt;="&amp;'Cash Flow'!BC$3,'Wells Fargo'!$B:$B,"&gt;"&amp;'Cash Flow'!BB$3)</f>
        <v>0</v>
      </c>
      <c r="BD44" s="89">
        <f>SUMIFS('Wells Fargo'!$F:$F,'Wells Fargo'!$G:$G,'Cash Flow'!$A44,'Wells Fargo'!$A:$A,BD$1,'Wells Fargo'!$B:$B,"&lt;="&amp;'Cash Flow'!BD$3,'Wells Fargo'!$B:$B,"&gt;"&amp;'Cash Flow'!BC$3)</f>
        <v>0</v>
      </c>
      <c r="BE44" s="90">
        <f>SUMIFS('Wells Fargo'!$F:$F,'Wells Fargo'!$G:$G,'Cash Flow'!$A44,'Wells Fargo'!$A:$A,BE$1,'Wells Fargo'!$B:$B,"&lt;="&amp;'Cash Flow'!BE$3)</f>
        <v>0</v>
      </c>
      <c r="BF44" s="89">
        <f>SUMIFS('Wells Fargo'!$F:$F,'Wells Fargo'!$G:$G,'Cash Flow'!$A44,'Wells Fargo'!$A:$A,BF$1,'Wells Fargo'!$B:$B,"&lt;="&amp;'Cash Flow'!BF$3,'Wells Fargo'!$B:$B,"&gt;"&amp;'Cash Flow'!BE$3)</f>
        <v>0</v>
      </c>
      <c r="BG44" s="89">
        <f>SUMIFS('Wells Fargo'!$F:$F,'Wells Fargo'!$G:$G,'Cash Flow'!$A44,'Wells Fargo'!$A:$A,BG$1,'Wells Fargo'!$B:$B,"&lt;="&amp;'Cash Flow'!BG$3,'Wells Fargo'!$B:$B,"&gt;"&amp;'Cash Flow'!BF$3)</f>
        <v>0</v>
      </c>
      <c r="BH44" s="89">
        <f>SUMIFS('Wells Fargo'!$F:$F,'Wells Fargo'!$G:$G,'Cash Flow'!$A44,'Wells Fargo'!$A:$A,BH$1,'Wells Fargo'!$B:$B,"&lt;="&amp;'Cash Flow'!BH$3,'Wells Fargo'!$B:$B,"&gt;"&amp;'Cash Flow'!BG$3)</f>
        <v>0</v>
      </c>
      <c r="BI44" s="89">
        <f>SUMIFS('Wells Fargo'!$F:$F,'Wells Fargo'!$G:$G,'Cash Flow'!$A44,'Wells Fargo'!$A:$A,BI$1,'Wells Fargo'!$B:$B,"&lt;="&amp;'Cash Flow'!BI$3,'Wells Fargo'!$B:$B,"&gt;"&amp;'Cash Flow'!BH$3)</f>
        <v>0</v>
      </c>
    </row>
    <row r="45" spans="1:61" ht="12.75" x14ac:dyDescent="0.2">
      <c r="A45" t="str">
        <v>Principal retirement</v>
      </c>
      <c r="B45" s="15">
        <f t="shared" si="1"/>
        <v>4165.5599999999995</v>
      </c>
      <c r="C45" s="90">
        <f>SUMIFS('Wells Fargo'!$F:$F,'Wells Fargo'!$G:$G,'Cash Flow'!$A45,'Wells Fargo'!$A:$A,C$1,'Wells Fargo'!$B:$B,"&lt;="&amp;'Cash Flow'!C$3)</f>
        <v>0</v>
      </c>
      <c r="D45" s="89">
        <f>SUMIFS('Wells Fargo'!$F:$F,'Wells Fargo'!$G:$G,'Cash Flow'!$A45,'Wells Fargo'!$A:$A,D$1,'Wells Fargo'!$B:$B,"&lt;="&amp;'Cash Flow'!D$3,'Wells Fargo'!$B:$B,"&gt;"&amp;'Cash Flow'!C$3)</f>
        <v>0</v>
      </c>
      <c r="E45" s="89">
        <f>SUMIFS('Wells Fargo'!$F:$F,'Wells Fargo'!$G:$G,'Cash Flow'!$A45,'Wells Fargo'!$A:$A,E$1,'Wells Fargo'!$B:$B,"&lt;="&amp;'Cash Flow'!E$3,'Wells Fargo'!$B:$B,"&gt;"&amp;'Cash Flow'!D$3)</f>
        <v>0</v>
      </c>
      <c r="F45" s="89">
        <f>SUMIFS('Wells Fargo'!$F:$F,'Wells Fargo'!$G:$G,'Cash Flow'!$A45,'Wells Fargo'!$A:$A,F$1,'Wells Fargo'!$B:$B,"&lt;="&amp;'Cash Flow'!F$3,'Wells Fargo'!$B:$B,"&gt;"&amp;'Cash Flow'!E$3)</f>
        <v>0</v>
      </c>
      <c r="G45" s="89">
        <f>SUMIFS('Wells Fargo'!$F:$F,'Wells Fargo'!$G:$G,'Cash Flow'!$A45,'Wells Fargo'!$A:$A,G$1,'Wells Fargo'!$B:$B,"&lt;="&amp;'Cash Flow'!G$3,'Wells Fargo'!$B:$B,"&gt;"&amp;'Cash Flow'!F$3)</f>
        <v>0</v>
      </c>
      <c r="H45" s="90">
        <f>SUMIFS('Wells Fargo'!$F:$F,'Wells Fargo'!$G:$G,'Cash Flow'!$A45,'Wells Fargo'!$A:$A,H$1,'Wells Fargo'!$B:$B,"&lt;="&amp;'Cash Flow'!H$3)</f>
        <v>0</v>
      </c>
      <c r="I45" s="89">
        <f>SUMIFS('Wells Fargo'!$F:$F,'Wells Fargo'!$G:$G,'Cash Flow'!$A45,'Wells Fargo'!$A:$A,I$1,'Wells Fargo'!$B:$B,"&lt;="&amp;'Cash Flow'!I$3,'Wells Fargo'!$B:$B,"&gt;"&amp;'Cash Flow'!H$3)</f>
        <v>0</v>
      </c>
      <c r="J45" s="89">
        <f>SUMIFS('Wells Fargo'!$F:$F,'Wells Fargo'!$G:$G,'Cash Flow'!$A45,'Wells Fargo'!$A:$A,J$1,'Wells Fargo'!$B:$B,"&lt;="&amp;'Cash Flow'!J$3,'Wells Fargo'!$B:$B,"&gt;"&amp;'Cash Flow'!I$3)</f>
        <v>0</v>
      </c>
      <c r="K45" s="89">
        <f>SUMIFS('Wells Fargo'!$F:$F,'Wells Fargo'!$G:$G,'Cash Flow'!$A45,'Wells Fargo'!$A:$A,K$1,'Wells Fargo'!$B:$B,"&lt;="&amp;'Cash Flow'!K$3,'Wells Fargo'!$B:$B,"&gt;"&amp;'Cash Flow'!J$3)</f>
        <v>0</v>
      </c>
      <c r="L45" s="90">
        <f>SUMIFS('Wells Fargo'!$F:$F,'Wells Fargo'!$G:$G,'Cash Flow'!$A45,'Wells Fargo'!$A:$A,L$1,'Wells Fargo'!$B:$B,"&lt;="&amp;'Cash Flow'!L$3)</f>
        <v>0</v>
      </c>
      <c r="M45" s="89">
        <f>SUMIFS('Wells Fargo'!$F:$F,'Wells Fargo'!$G:$G,'Cash Flow'!$A45,'Wells Fargo'!$A:$A,M$1,'Wells Fargo'!$B:$B,"&lt;="&amp;'Cash Flow'!M$3,'Wells Fargo'!$B:$B,"&gt;"&amp;'Cash Flow'!L$3)</f>
        <v>0</v>
      </c>
      <c r="N45" s="89">
        <f>SUMIFS('Wells Fargo'!$F:$F,'Wells Fargo'!$G:$G,'Cash Flow'!$A45,'Wells Fargo'!$A:$A,N$1,'Wells Fargo'!$B:$B,"&lt;="&amp;'Cash Flow'!N$3,'Wells Fargo'!$B:$B,"&gt;"&amp;'Cash Flow'!M$3)</f>
        <v>0</v>
      </c>
      <c r="O45" s="89">
        <f>SUMIFS('Wells Fargo'!$F:$F,'Wells Fargo'!$G:$G,'Cash Flow'!$A45,'Wells Fargo'!$A:$A,O$1,'Wells Fargo'!$B:$B,"&lt;="&amp;'Cash Flow'!O$3,'Wells Fargo'!$B:$B,"&gt;"&amp;'Cash Flow'!N$3)</f>
        <v>0</v>
      </c>
      <c r="P45" s="89">
        <f>SUMIFS('Wells Fargo'!$F:$F,'Wells Fargo'!$G:$G,'Cash Flow'!$A45,'Wells Fargo'!$A:$A,P$1,'Wells Fargo'!$B:$B,"&lt;="&amp;'Cash Flow'!P$3,'Wells Fargo'!$B:$B,"&gt;"&amp;'Cash Flow'!O$3)</f>
        <v>0</v>
      </c>
      <c r="Q45" s="90">
        <f>SUMIFS('Wells Fargo'!$F:$F,'Wells Fargo'!$G:$G,'Cash Flow'!$A45,'Wells Fargo'!$A:$A,Q$1,'Wells Fargo'!$B:$B,"&lt;="&amp;'Cash Flow'!Q$3)</f>
        <v>0</v>
      </c>
      <c r="R45" s="89">
        <f>SUMIFS('Wells Fargo'!$F:$F,'Wells Fargo'!$G:$G,'Cash Flow'!$A45,'Wells Fargo'!$A:$A,R$1,'Wells Fargo'!$B:$B,"&lt;="&amp;'Cash Flow'!R$3,'Wells Fargo'!$B:$B,"&gt;"&amp;'Cash Flow'!Q$3)</f>
        <v>0</v>
      </c>
      <c r="S45" s="89">
        <f>SUMIFS('Wells Fargo'!$F:$F,'Wells Fargo'!$G:$G,'Cash Flow'!$A45,'Wells Fargo'!$A:$A,S$1,'Wells Fargo'!$B:$B,"&lt;="&amp;'Cash Flow'!S$3,'Wells Fargo'!$B:$B,"&gt;"&amp;'Cash Flow'!R$3)</f>
        <v>0</v>
      </c>
      <c r="T45" s="89">
        <f>SUMIFS('Wells Fargo'!$F:$F,'Wells Fargo'!$G:$G,'Cash Flow'!$A45,'Wells Fargo'!$A:$A,T$1,'Wells Fargo'!$B:$B,"&lt;="&amp;'Cash Flow'!T$3,'Wells Fargo'!$B:$B,"&gt;"&amp;'Cash Flow'!S$3)</f>
        <v>0</v>
      </c>
      <c r="U45" s="89">
        <f>SUMIFS('Wells Fargo'!$F:$F,'Wells Fargo'!$G:$G,'Cash Flow'!$A45,'Wells Fargo'!$A:$A,U$1,'Wells Fargo'!$B:$B,"&lt;="&amp;'Cash Flow'!U$3,'Wells Fargo'!$B:$B,"&gt;"&amp;'Cash Flow'!T$3)</f>
        <v>0</v>
      </c>
      <c r="V45" s="90">
        <f>SUMIFS('Wells Fargo'!$F:$F,'Wells Fargo'!$G:$G,'Cash Flow'!$A45,'Wells Fargo'!$A:$A,V$1,'Wells Fargo'!$B:$B,"&lt;="&amp;'Cash Flow'!V$3)</f>
        <v>0</v>
      </c>
      <c r="W45" s="89">
        <f>SUMIFS('Wells Fargo'!$F:$F,'Wells Fargo'!$G:$G,'Cash Flow'!$A45,'Wells Fargo'!$A:$A,W$1,'Wells Fargo'!$B:$B,"&lt;="&amp;'Cash Flow'!W$3,'Wells Fargo'!$B:$B,"&gt;"&amp;'Cash Flow'!V$3)</f>
        <v>0</v>
      </c>
      <c r="X45" s="89">
        <f>SUMIFS('Wells Fargo'!$F:$F,'Wells Fargo'!$G:$G,'Cash Flow'!$A45,'Wells Fargo'!$A:$A,X$1,'Wells Fargo'!$B:$B,"&lt;="&amp;'Cash Flow'!X$3,'Wells Fargo'!$B:$B,"&gt;"&amp;'Cash Flow'!W$3)</f>
        <v>0</v>
      </c>
      <c r="Y45" s="89">
        <f>SUMIFS('Wells Fargo'!$F:$F,'Wells Fargo'!$G:$G,'Cash Flow'!$A45,'Wells Fargo'!$A:$A,Y$1,'Wells Fargo'!$B:$B,"&lt;="&amp;'Cash Flow'!Y$3,'Wells Fargo'!$B:$B,"&gt;"&amp;'Cash Flow'!X$3)</f>
        <v>0</v>
      </c>
      <c r="Z45" s="89">
        <f>SUMIFS('Wells Fargo'!$F:$F,'Wells Fargo'!$G:$G,'Cash Flow'!$A45,'Wells Fargo'!$A:$A,Z$1,'Wells Fargo'!$B:$B,"&lt;="&amp;'Cash Flow'!Z$3,'Wells Fargo'!$B:$B,"&gt;"&amp;'Cash Flow'!Y$3)</f>
        <v>0</v>
      </c>
      <c r="AA45" s="90">
        <f>SUMIFS('Wells Fargo'!$F:$F,'Wells Fargo'!$G:$G,'Cash Flow'!$A45,'Wells Fargo'!$A:$A,AA$1,'Wells Fargo'!$B:$B,"&lt;="&amp;'Cash Flow'!AA$3)</f>
        <v>0</v>
      </c>
      <c r="AB45" s="89">
        <f>SUMIFS('Wells Fargo'!$F:$F,'Wells Fargo'!$G:$G,'Cash Flow'!$A45,'Wells Fargo'!$A:$A,AB$1,'Wells Fargo'!$B:$B,"&lt;="&amp;'Cash Flow'!AB$3,'Wells Fargo'!$B:$B,"&gt;"&amp;'Cash Flow'!AA$3)</f>
        <v>0</v>
      </c>
      <c r="AC45" s="89">
        <f>SUMIFS('Wells Fargo'!$F:$F,'Wells Fargo'!$G:$G,'Cash Flow'!$A45,'Wells Fargo'!$A:$A,AC$1,'Wells Fargo'!$B:$B,"&lt;="&amp;'Cash Flow'!AC$3,'Wells Fargo'!$B:$B,"&gt;"&amp;'Cash Flow'!AB$3)</f>
        <v>3967.1</v>
      </c>
      <c r="AD45" s="89">
        <f>SUMIFS('Wells Fargo'!$F:$F,'Wells Fargo'!$G:$G,'Cash Flow'!$A45,'Wells Fargo'!$A:$A,AD$1,'Wells Fargo'!$B:$B,"&lt;="&amp;'Cash Flow'!AD$3,'Wells Fargo'!$B:$B,"&gt;"&amp;'Cash Flow'!AC$3)</f>
        <v>198.46</v>
      </c>
      <c r="AE45" s="89">
        <f>SUMIFS('Wells Fargo'!$F:$F,'Wells Fargo'!$G:$G,'Cash Flow'!$A45,'Wells Fargo'!$A:$A,AE$1,'Wells Fargo'!$B:$B,"&lt;="&amp;'Cash Flow'!AE$3,'Wells Fargo'!$B:$B,"&gt;"&amp;'Cash Flow'!AD$3)</f>
        <v>0</v>
      </c>
      <c r="AF45" s="90">
        <f>SUMIFS('Wells Fargo'!$F:$F,'Wells Fargo'!$G:$G,'Cash Flow'!$A45,'Wells Fargo'!$A:$A,AF$1,'Wells Fargo'!$B:$B,"&lt;="&amp;'Cash Flow'!AF$3)</f>
        <v>0</v>
      </c>
      <c r="AG45" s="89">
        <f>SUMIFS('Wells Fargo'!$F:$F,'Wells Fargo'!$G:$G,'Cash Flow'!$A45,'Wells Fargo'!$A:$A,AG$1,'Wells Fargo'!$B:$B,"&lt;="&amp;'Cash Flow'!AG$3,'Wells Fargo'!$B:$B,"&gt;"&amp;'Cash Flow'!AF$3)</f>
        <v>0</v>
      </c>
      <c r="AH45" s="89">
        <f>SUMIFS('Wells Fargo'!$F:$F,'Wells Fargo'!$G:$G,'Cash Flow'!$A45,'Wells Fargo'!$A:$A,AH$1,'Wells Fargo'!$B:$B,"&lt;="&amp;'Cash Flow'!AH$3,'Wells Fargo'!$B:$B,"&gt;"&amp;'Cash Flow'!AG$3)</f>
        <v>0</v>
      </c>
      <c r="AI45" s="89">
        <f>SUMIFS('Wells Fargo'!$F:$F,'Wells Fargo'!$G:$G,'Cash Flow'!$A45,'Wells Fargo'!$A:$A,AI$1,'Wells Fargo'!$B:$B,"&lt;="&amp;'Cash Flow'!AI$3,'Wells Fargo'!$B:$B,"&gt;"&amp;'Cash Flow'!AH$3)</f>
        <v>0</v>
      </c>
      <c r="AJ45" s="89">
        <f>SUMIFS('Wells Fargo'!$F:$F,'Wells Fargo'!$G:$G,'Cash Flow'!$A45,'Wells Fargo'!$A:$A,AJ$1,'Wells Fargo'!$B:$B,"&lt;="&amp;'Cash Flow'!AJ$3,'Wells Fargo'!$B:$B,"&gt;"&amp;'Cash Flow'!AI$3)</f>
        <v>0</v>
      </c>
      <c r="AK45" s="90">
        <f>SUMIFS('Wells Fargo'!$F:$F,'Wells Fargo'!$G:$G,'Cash Flow'!$A45,'Wells Fargo'!$A:$A,AK$1,'Wells Fargo'!$B:$B,"&lt;="&amp;'Cash Flow'!AK$3)</f>
        <v>0</v>
      </c>
      <c r="AL45" s="89">
        <f>SUMIFS('Wells Fargo'!$F:$F,'Wells Fargo'!$G:$G,'Cash Flow'!$A45,'Wells Fargo'!$A:$A,AL$1,'Wells Fargo'!$B:$B,"&lt;="&amp;'Cash Flow'!AL$3,'Wells Fargo'!$B:$B,"&gt;"&amp;'Cash Flow'!AK$3)</f>
        <v>0</v>
      </c>
      <c r="AM45" s="89">
        <f>SUMIFS('Wells Fargo'!$F:$F,'Wells Fargo'!$G:$G,'Cash Flow'!$A45,'Wells Fargo'!$A:$A,AM$1,'Wells Fargo'!$B:$B,"&lt;="&amp;'Cash Flow'!AM$3,'Wells Fargo'!$B:$B,"&gt;"&amp;'Cash Flow'!AL$3)</f>
        <v>0</v>
      </c>
      <c r="AN45" s="89">
        <f>SUMIFS('Wells Fargo'!$F:$F,'Wells Fargo'!$G:$G,'Cash Flow'!$A45,'Wells Fargo'!$A:$A,AN$1,'Wells Fargo'!$B:$B,"&lt;="&amp;'Cash Flow'!AN$3,'Wells Fargo'!$B:$B,"&gt;"&amp;'Cash Flow'!AM$3)</f>
        <v>0</v>
      </c>
      <c r="AO45" s="89">
        <f>SUMIFS('Wells Fargo'!$F:$F,'Wells Fargo'!$G:$G,'Cash Flow'!$A45,'Wells Fargo'!$A:$A,AO$1,'Wells Fargo'!$B:$B,"&lt;="&amp;'Cash Flow'!AO$3,'Wells Fargo'!$B:$B,"&gt;"&amp;'Cash Flow'!AN$3)</f>
        <v>0</v>
      </c>
      <c r="AP45" s="90">
        <f>SUMIFS('Wells Fargo'!$F:$F,'Wells Fargo'!$G:$G,'Cash Flow'!$A45,'Wells Fargo'!$A:$A,AP$1,'Wells Fargo'!$B:$B,"&lt;="&amp;'Cash Flow'!AP$3)</f>
        <v>0</v>
      </c>
      <c r="AQ45" s="89">
        <f>SUMIFS('Wells Fargo'!$F:$F,'Wells Fargo'!$G:$G,'Cash Flow'!$A45,'Wells Fargo'!$A:$A,AQ$1,'Wells Fargo'!$B:$B,"&lt;="&amp;'Cash Flow'!AQ$3,'Wells Fargo'!$B:$B,"&gt;"&amp;'Cash Flow'!AP$3)</f>
        <v>0</v>
      </c>
      <c r="AR45" s="89">
        <f>SUMIFS('Wells Fargo'!$F:$F,'Wells Fargo'!$G:$G,'Cash Flow'!$A45,'Wells Fargo'!$A:$A,AR$1,'Wells Fargo'!$B:$B,"&lt;="&amp;'Cash Flow'!AR$3,'Wells Fargo'!$B:$B,"&gt;"&amp;'Cash Flow'!AQ$3)</f>
        <v>0</v>
      </c>
      <c r="AS45" s="89">
        <f>SUMIFS('Wells Fargo'!$F:$F,'Wells Fargo'!$G:$G,'Cash Flow'!$A45,'Wells Fargo'!$A:$A,AS$1,'Wells Fargo'!$B:$B,"&lt;="&amp;'Cash Flow'!AS$3,'Wells Fargo'!$B:$B,"&gt;"&amp;'Cash Flow'!AR$3)</f>
        <v>0</v>
      </c>
      <c r="AT45" s="89">
        <f>SUMIFS('Wells Fargo'!$F:$F,'Wells Fargo'!$G:$G,'Cash Flow'!$A45,'Wells Fargo'!$A:$A,AT$1,'Wells Fargo'!$B:$B,"&lt;="&amp;'Cash Flow'!AT$3,'Wells Fargo'!$B:$B,"&gt;"&amp;'Cash Flow'!AS$3)</f>
        <v>0</v>
      </c>
      <c r="AU45" s="90">
        <f>SUMIFS('Wells Fargo'!$F:$F,'Wells Fargo'!$G:$G,'Cash Flow'!$A45,'Wells Fargo'!$A:$A,AU$1,'Wells Fargo'!$B:$B,"&lt;="&amp;'Cash Flow'!AU$3)</f>
        <v>0</v>
      </c>
      <c r="AV45" s="89">
        <f>SUMIFS('Wells Fargo'!$F:$F,'Wells Fargo'!$G:$G,'Cash Flow'!$A45,'Wells Fargo'!$A:$A,AV$1,'Wells Fargo'!$B:$B,"&lt;="&amp;'Cash Flow'!AV$3,'Wells Fargo'!$B:$B,"&gt;"&amp;'Cash Flow'!AU$3)</f>
        <v>0</v>
      </c>
      <c r="AW45" s="89">
        <f>SUMIFS('Wells Fargo'!$F:$F,'Wells Fargo'!$G:$G,'Cash Flow'!$A45,'Wells Fargo'!$A:$A,AW$1,'Wells Fargo'!$B:$B,"&lt;="&amp;'Cash Flow'!AW$3,'Wells Fargo'!$B:$B,"&gt;"&amp;'Cash Flow'!AV$3)</f>
        <v>0</v>
      </c>
      <c r="AX45" s="89">
        <f>SUMIFS('Wells Fargo'!$F:$F,'Wells Fargo'!$G:$G,'Cash Flow'!$A45,'Wells Fargo'!$A:$A,AX$1,'Wells Fargo'!$B:$B,"&lt;="&amp;'Cash Flow'!AX$3,'Wells Fargo'!$B:$B,"&gt;"&amp;'Cash Flow'!AW$3)</f>
        <v>0</v>
      </c>
      <c r="AY45" s="89">
        <f>SUMIFS('Wells Fargo'!$F:$F,'Wells Fargo'!$G:$G,'Cash Flow'!$A45,'Wells Fargo'!$A:$A,AY$1,'Wells Fargo'!$B:$B,"&lt;="&amp;'Cash Flow'!AY$3,'Wells Fargo'!$B:$B,"&gt;"&amp;'Cash Flow'!AX$3)</f>
        <v>0</v>
      </c>
      <c r="AZ45" s="90">
        <f>SUMIFS('Wells Fargo'!$F:$F,'Wells Fargo'!$G:$G,'Cash Flow'!$A45,'Wells Fargo'!$A:$A,AZ$1,'Wells Fargo'!$B:$B,"&lt;="&amp;'Cash Flow'!AZ$3)</f>
        <v>0</v>
      </c>
      <c r="BA45" s="89">
        <f>SUMIFS('Wells Fargo'!$F:$F,'Wells Fargo'!$G:$G,'Cash Flow'!$A45,'Wells Fargo'!$A:$A,BA$1,'Wells Fargo'!$B:$B,"&lt;="&amp;'Cash Flow'!BA$3,'Wells Fargo'!$B:$B,"&gt;"&amp;'Cash Flow'!AZ$3)</f>
        <v>0</v>
      </c>
      <c r="BB45" s="89">
        <f>SUMIFS('Wells Fargo'!$F:$F,'Wells Fargo'!$G:$G,'Cash Flow'!$A45,'Wells Fargo'!$A:$A,BB$1,'Wells Fargo'!$B:$B,"&lt;="&amp;'Cash Flow'!BB$3,'Wells Fargo'!$B:$B,"&gt;"&amp;'Cash Flow'!BA$3)</f>
        <v>0</v>
      </c>
      <c r="BC45" s="89">
        <f>SUMIFS('Wells Fargo'!$F:$F,'Wells Fargo'!$G:$G,'Cash Flow'!$A45,'Wells Fargo'!$A:$A,BC$1,'Wells Fargo'!$B:$B,"&lt;="&amp;'Cash Flow'!BC$3,'Wells Fargo'!$B:$B,"&gt;"&amp;'Cash Flow'!BB$3)</f>
        <v>0</v>
      </c>
      <c r="BD45" s="89">
        <f>SUMIFS('Wells Fargo'!$F:$F,'Wells Fargo'!$G:$G,'Cash Flow'!$A45,'Wells Fargo'!$A:$A,BD$1,'Wells Fargo'!$B:$B,"&lt;="&amp;'Cash Flow'!BD$3,'Wells Fargo'!$B:$B,"&gt;"&amp;'Cash Flow'!BC$3)</f>
        <v>0</v>
      </c>
      <c r="BE45" s="90">
        <f>SUMIFS('Wells Fargo'!$F:$F,'Wells Fargo'!$G:$G,'Cash Flow'!$A45,'Wells Fargo'!$A:$A,BE$1,'Wells Fargo'!$B:$B,"&lt;="&amp;'Cash Flow'!BE$3)</f>
        <v>0</v>
      </c>
      <c r="BF45" s="89">
        <f>SUMIFS('Wells Fargo'!$F:$F,'Wells Fargo'!$G:$G,'Cash Flow'!$A45,'Wells Fargo'!$A:$A,BF$1,'Wells Fargo'!$B:$B,"&lt;="&amp;'Cash Flow'!BF$3,'Wells Fargo'!$B:$B,"&gt;"&amp;'Cash Flow'!BE$3)</f>
        <v>0</v>
      </c>
      <c r="BG45" s="89">
        <f>SUMIFS('Wells Fargo'!$F:$F,'Wells Fargo'!$G:$G,'Cash Flow'!$A45,'Wells Fargo'!$A:$A,BG$1,'Wells Fargo'!$B:$B,"&lt;="&amp;'Cash Flow'!BG$3,'Wells Fargo'!$B:$B,"&gt;"&amp;'Cash Flow'!BF$3)</f>
        <v>0</v>
      </c>
      <c r="BH45" s="89">
        <f>SUMIFS('Wells Fargo'!$F:$F,'Wells Fargo'!$G:$G,'Cash Flow'!$A45,'Wells Fargo'!$A:$A,BH$1,'Wells Fargo'!$B:$B,"&lt;="&amp;'Cash Flow'!BH$3,'Wells Fargo'!$B:$B,"&gt;"&amp;'Cash Flow'!BG$3)</f>
        <v>0</v>
      </c>
      <c r="BI45" s="89">
        <f>SUMIFS('Wells Fargo'!$F:$F,'Wells Fargo'!$G:$G,'Cash Flow'!$A45,'Wells Fargo'!$A:$A,BI$1,'Wells Fargo'!$B:$B,"&lt;="&amp;'Cash Flow'!BI$3,'Wells Fargo'!$B:$B,"&gt;"&amp;'Cash Flow'!BH$3)</f>
        <v>0</v>
      </c>
    </row>
    <row r="46" spans="1:61" ht="12.75" x14ac:dyDescent="0.2">
      <c r="A46" t="str">
        <v>Purchase</v>
      </c>
      <c r="B46" s="15">
        <f t="shared" si="1"/>
        <v>-59.610000000000007</v>
      </c>
      <c r="C46" s="90">
        <f>SUMIFS('Wells Fargo'!$F:$F,'Wells Fargo'!$G:$G,'Cash Flow'!$A46,'Wells Fargo'!$A:$A,C$1,'Wells Fargo'!$B:$B,"&lt;="&amp;'Cash Flow'!C$3)</f>
        <v>0</v>
      </c>
      <c r="D46" s="89">
        <f>SUMIFS('Wells Fargo'!$F:$F,'Wells Fargo'!$G:$G,'Cash Flow'!$A46,'Wells Fargo'!$A:$A,D$1,'Wells Fargo'!$B:$B,"&lt;="&amp;'Cash Flow'!D$3,'Wells Fargo'!$B:$B,"&gt;"&amp;'Cash Flow'!C$3)</f>
        <v>0</v>
      </c>
      <c r="E46" s="89">
        <f>SUMIFS('Wells Fargo'!$F:$F,'Wells Fargo'!$G:$G,'Cash Flow'!$A46,'Wells Fargo'!$A:$A,E$1,'Wells Fargo'!$B:$B,"&lt;="&amp;'Cash Flow'!E$3,'Wells Fargo'!$B:$B,"&gt;"&amp;'Cash Flow'!D$3)</f>
        <v>0</v>
      </c>
      <c r="F46" s="89">
        <f>SUMIFS('Wells Fargo'!$F:$F,'Wells Fargo'!$G:$G,'Cash Flow'!$A46,'Wells Fargo'!$A:$A,F$1,'Wells Fargo'!$B:$B,"&lt;="&amp;'Cash Flow'!F$3,'Wells Fargo'!$B:$B,"&gt;"&amp;'Cash Flow'!E$3)</f>
        <v>0</v>
      </c>
      <c r="G46" s="89">
        <f>SUMIFS('Wells Fargo'!$F:$F,'Wells Fargo'!$G:$G,'Cash Flow'!$A46,'Wells Fargo'!$A:$A,G$1,'Wells Fargo'!$B:$B,"&lt;="&amp;'Cash Flow'!G$3,'Wells Fargo'!$B:$B,"&gt;"&amp;'Cash Flow'!F$3)</f>
        <v>0</v>
      </c>
      <c r="H46" s="90">
        <f>SUMIFS('Wells Fargo'!$F:$F,'Wells Fargo'!$G:$G,'Cash Flow'!$A46,'Wells Fargo'!$A:$A,H$1,'Wells Fargo'!$B:$B,"&lt;="&amp;'Cash Flow'!H$3)</f>
        <v>-36.840000000000003</v>
      </c>
      <c r="I46" s="89">
        <f>SUMIFS('Wells Fargo'!$F:$F,'Wells Fargo'!$G:$G,'Cash Flow'!$A46,'Wells Fargo'!$A:$A,I$1,'Wells Fargo'!$B:$B,"&lt;="&amp;'Cash Flow'!I$3,'Wells Fargo'!$B:$B,"&gt;"&amp;'Cash Flow'!H$3)</f>
        <v>0</v>
      </c>
      <c r="J46" s="89">
        <f>SUMIFS('Wells Fargo'!$F:$F,'Wells Fargo'!$G:$G,'Cash Flow'!$A46,'Wells Fargo'!$A:$A,J$1,'Wells Fargo'!$B:$B,"&lt;="&amp;'Cash Flow'!J$3,'Wells Fargo'!$B:$B,"&gt;"&amp;'Cash Flow'!I$3)</f>
        <v>0</v>
      </c>
      <c r="K46" s="89">
        <f>SUMIFS('Wells Fargo'!$F:$F,'Wells Fargo'!$G:$G,'Cash Flow'!$A46,'Wells Fargo'!$A:$A,K$1,'Wells Fargo'!$B:$B,"&lt;="&amp;'Cash Flow'!K$3,'Wells Fargo'!$B:$B,"&gt;"&amp;'Cash Flow'!J$3)</f>
        <v>0</v>
      </c>
      <c r="L46" s="90">
        <f>SUMIFS('Wells Fargo'!$F:$F,'Wells Fargo'!$G:$G,'Cash Flow'!$A46,'Wells Fargo'!$A:$A,L$1,'Wells Fargo'!$B:$B,"&lt;="&amp;'Cash Flow'!L$3)</f>
        <v>0</v>
      </c>
      <c r="M46" s="89">
        <f>SUMIFS('Wells Fargo'!$F:$F,'Wells Fargo'!$G:$G,'Cash Flow'!$A46,'Wells Fargo'!$A:$A,M$1,'Wells Fargo'!$B:$B,"&lt;="&amp;'Cash Flow'!M$3,'Wells Fargo'!$B:$B,"&gt;"&amp;'Cash Flow'!L$3)</f>
        <v>0</v>
      </c>
      <c r="N46" s="89">
        <f>SUMIFS('Wells Fargo'!$F:$F,'Wells Fargo'!$G:$G,'Cash Flow'!$A46,'Wells Fargo'!$A:$A,N$1,'Wells Fargo'!$B:$B,"&lt;="&amp;'Cash Flow'!N$3,'Wells Fargo'!$B:$B,"&gt;"&amp;'Cash Flow'!M$3)</f>
        <v>0</v>
      </c>
      <c r="O46" s="89">
        <f>SUMIFS('Wells Fargo'!$F:$F,'Wells Fargo'!$G:$G,'Cash Flow'!$A46,'Wells Fargo'!$A:$A,O$1,'Wells Fargo'!$B:$B,"&lt;="&amp;'Cash Flow'!O$3,'Wells Fargo'!$B:$B,"&gt;"&amp;'Cash Flow'!N$3)</f>
        <v>0</v>
      </c>
      <c r="P46" s="89">
        <f>SUMIFS('Wells Fargo'!$F:$F,'Wells Fargo'!$G:$G,'Cash Flow'!$A46,'Wells Fargo'!$A:$A,P$1,'Wells Fargo'!$B:$B,"&lt;="&amp;'Cash Flow'!P$3,'Wells Fargo'!$B:$B,"&gt;"&amp;'Cash Flow'!O$3)</f>
        <v>0</v>
      </c>
      <c r="Q46" s="90">
        <f>SUMIFS('Wells Fargo'!$F:$F,'Wells Fargo'!$G:$G,'Cash Flow'!$A46,'Wells Fargo'!$A:$A,Q$1,'Wells Fargo'!$B:$B,"&lt;="&amp;'Cash Flow'!Q$3)</f>
        <v>0</v>
      </c>
      <c r="R46" s="89">
        <f>SUMIFS('Wells Fargo'!$F:$F,'Wells Fargo'!$G:$G,'Cash Flow'!$A46,'Wells Fargo'!$A:$A,R$1,'Wells Fargo'!$B:$B,"&lt;="&amp;'Cash Flow'!R$3,'Wells Fargo'!$B:$B,"&gt;"&amp;'Cash Flow'!Q$3)</f>
        <v>0</v>
      </c>
      <c r="S46" s="89">
        <f>SUMIFS('Wells Fargo'!$F:$F,'Wells Fargo'!$G:$G,'Cash Flow'!$A46,'Wells Fargo'!$A:$A,S$1,'Wells Fargo'!$B:$B,"&lt;="&amp;'Cash Flow'!S$3,'Wells Fargo'!$B:$B,"&gt;"&amp;'Cash Flow'!R$3)</f>
        <v>0</v>
      </c>
      <c r="T46" s="89">
        <f>SUMIFS('Wells Fargo'!$F:$F,'Wells Fargo'!$G:$G,'Cash Flow'!$A46,'Wells Fargo'!$A:$A,T$1,'Wells Fargo'!$B:$B,"&lt;="&amp;'Cash Flow'!T$3,'Wells Fargo'!$B:$B,"&gt;"&amp;'Cash Flow'!S$3)</f>
        <v>-10.6</v>
      </c>
      <c r="U46" s="89">
        <f>SUMIFS('Wells Fargo'!$F:$F,'Wells Fargo'!$G:$G,'Cash Flow'!$A46,'Wells Fargo'!$A:$A,U$1,'Wells Fargo'!$B:$B,"&lt;="&amp;'Cash Flow'!U$3,'Wells Fargo'!$B:$B,"&gt;"&amp;'Cash Flow'!T$3)</f>
        <v>0</v>
      </c>
      <c r="V46" s="90">
        <f>SUMIFS('Wells Fargo'!$F:$F,'Wells Fargo'!$G:$G,'Cash Flow'!$A46,'Wells Fargo'!$A:$A,V$1,'Wells Fargo'!$B:$B,"&lt;="&amp;'Cash Flow'!V$3)</f>
        <v>0</v>
      </c>
      <c r="W46" s="89">
        <f>SUMIFS('Wells Fargo'!$F:$F,'Wells Fargo'!$G:$G,'Cash Flow'!$A46,'Wells Fargo'!$A:$A,W$1,'Wells Fargo'!$B:$B,"&lt;="&amp;'Cash Flow'!W$3,'Wells Fargo'!$B:$B,"&gt;"&amp;'Cash Flow'!V$3)</f>
        <v>0</v>
      </c>
      <c r="X46" s="89">
        <f>SUMIFS('Wells Fargo'!$F:$F,'Wells Fargo'!$G:$G,'Cash Flow'!$A46,'Wells Fargo'!$A:$A,X$1,'Wells Fargo'!$B:$B,"&lt;="&amp;'Cash Flow'!X$3,'Wells Fargo'!$B:$B,"&gt;"&amp;'Cash Flow'!W$3)</f>
        <v>0</v>
      </c>
      <c r="Y46" s="89">
        <f>SUMIFS('Wells Fargo'!$F:$F,'Wells Fargo'!$G:$G,'Cash Flow'!$A46,'Wells Fargo'!$A:$A,Y$1,'Wells Fargo'!$B:$B,"&lt;="&amp;'Cash Flow'!Y$3,'Wells Fargo'!$B:$B,"&gt;"&amp;'Cash Flow'!X$3)</f>
        <v>0</v>
      </c>
      <c r="Z46" s="89">
        <f>SUMIFS('Wells Fargo'!$F:$F,'Wells Fargo'!$G:$G,'Cash Flow'!$A46,'Wells Fargo'!$A:$A,Z$1,'Wells Fargo'!$B:$B,"&lt;="&amp;'Cash Flow'!Z$3,'Wells Fargo'!$B:$B,"&gt;"&amp;'Cash Flow'!Y$3)</f>
        <v>0</v>
      </c>
      <c r="AA46" s="90">
        <f>SUMIFS('Wells Fargo'!$F:$F,'Wells Fargo'!$G:$G,'Cash Flow'!$A46,'Wells Fargo'!$A:$A,AA$1,'Wells Fargo'!$B:$B,"&lt;="&amp;'Cash Flow'!AA$3)</f>
        <v>0</v>
      </c>
      <c r="AB46" s="89">
        <f>SUMIFS('Wells Fargo'!$F:$F,'Wells Fargo'!$G:$G,'Cash Flow'!$A46,'Wells Fargo'!$A:$A,AB$1,'Wells Fargo'!$B:$B,"&lt;="&amp;'Cash Flow'!AB$3,'Wells Fargo'!$B:$B,"&gt;"&amp;'Cash Flow'!AA$3)</f>
        <v>-12.17</v>
      </c>
      <c r="AC46" s="89">
        <f>SUMIFS('Wells Fargo'!$F:$F,'Wells Fargo'!$G:$G,'Cash Flow'!$A46,'Wells Fargo'!$A:$A,AC$1,'Wells Fargo'!$B:$B,"&lt;="&amp;'Cash Flow'!AC$3,'Wells Fargo'!$B:$B,"&gt;"&amp;'Cash Flow'!AB$3)</f>
        <v>0</v>
      </c>
      <c r="AD46" s="89">
        <f>SUMIFS('Wells Fargo'!$F:$F,'Wells Fargo'!$G:$G,'Cash Flow'!$A46,'Wells Fargo'!$A:$A,AD$1,'Wells Fargo'!$B:$B,"&lt;="&amp;'Cash Flow'!AD$3,'Wells Fargo'!$B:$B,"&gt;"&amp;'Cash Flow'!AC$3)</f>
        <v>0</v>
      </c>
      <c r="AE46" s="89">
        <f>SUMIFS('Wells Fargo'!$F:$F,'Wells Fargo'!$G:$G,'Cash Flow'!$A46,'Wells Fargo'!$A:$A,AE$1,'Wells Fargo'!$B:$B,"&lt;="&amp;'Cash Flow'!AE$3,'Wells Fargo'!$B:$B,"&gt;"&amp;'Cash Flow'!AD$3)</f>
        <v>0</v>
      </c>
      <c r="AF46" s="90">
        <f>SUMIFS('Wells Fargo'!$F:$F,'Wells Fargo'!$G:$G,'Cash Flow'!$A46,'Wells Fargo'!$A:$A,AF$1,'Wells Fargo'!$B:$B,"&lt;="&amp;'Cash Flow'!AF$3)</f>
        <v>0</v>
      </c>
      <c r="AG46" s="89">
        <f>SUMIFS('Wells Fargo'!$F:$F,'Wells Fargo'!$G:$G,'Cash Flow'!$A46,'Wells Fargo'!$A:$A,AG$1,'Wells Fargo'!$B:$B,"&lt;="&amp;'Cash Flow'!AG$3,'Wells Fargo'!$B:$B,"&gt;"&amp;'Cash Flow'!AF$3)</f>
        <v>0</v>
      </c>
      <c r="AH46" s="89">
        <f>SUMIFS('Wells Fargo'!$F:$F,'Wells Fargo'!$G:$G,'Cash Flow'!$A46,'Wells Fargo'!$A:$A,AH$1,'Wells Fargo'!$B:$B,"&lt;="&amp;'Cash Flow'!AH$3,'Wells Fargo'!$B:$B,"&gt;"&amp;'Cash Flow'!AG$3)</f>
        <v>0</v>
      </c>
      <c r="AI46" s="89">
        <f>SUMIFS('Wells Fargo'!$F:$F,'Wells Fargo'!$G:$G,'Cash Flow'!$A46,'Wells Fargo'!$A:$A,AI$1,'Wells Fargo'!$B:$B,"&lt;="&amp;'Cash Flow'!AI$3,'Wells Fargo'!$B:$B,"&gt;"&amp;'Cash Flow'!AH$3)</f>
        <v>0</v>
      </c>
      <c r="AJ46" s="89">
        <f>SUMIFS('Wells Fargo'!$F:$F,'Wells Fargo'!$G:$G,'Cash Flow'!$A46,'Wells Fargo'!$A:$A,AJ$1,'Wells Fargo'!$B:$B,"&lt;="&amp;'Cash Flow'!AJ$3,'Wells Fargo'!$B:$B,"&gt;"&amp;'Cash Flow'!AI$3)</f>
        <v>0</v>
      </c>
      <c r="AK46" s="90">
        <f>SUMIFS('Wells Fargo'!$F:$F,'Wells Fargo'!$G:$G,'Cash Flow'!$A46,'Wells Fargo'!$A:$A,AK$1,'Wells Fargo'!$B:$B,"&lt;="&amp;'Cash Flow'!AK$3)</f>
        <v>0</v>
      </c>
      <c r="AL46" s="89">
        <f>SUMIFS('Wells Fargo'!$F:$F,'Wells Fargo'!$G:$G,'Cash Flow'!$A46,'Wells Fargo'!$A:$A,AL$1,'Wells Fargo'!$B:$B,"&lt;="&amp;'Cash Flow'!AL$3,'Wells Fargo'!$B:$B,"&gt;"&amp;'Cash Flow'!AK$3)</f>
        <v>0</v>
      </c>
      <c r="AM46" s="89">
        <f>SUMIFS('Wells Fargo'!$F:$F,'Wells Fargo'!$G:$G,'Cash Flow'!$A46,'Wells Fargo'!$A:$A,AM$1,'Wells Fargo'!$B:$B,"&lt;="&amp;'Cash Flow'!AM$3,'Wells Fargo'!$B:$B,"&gt;"&amp;'Cash Flow'!AL$3)</f>
        <v>0</v>
      </c>
      <c r="AN46" s="89">
        <f>SUMIFS('Wells Fargo'!$F:$F,'Wells Fargo'!$G:$G,'Cash Flow'!$A46,'Wells Fargo'!$A:$A,AN$1,'Wells Fargo'!$B:$B,"&lt;="&amp;'Cash Flow'!AN$3,'Wells Fargo'!$B:$B,"&gt;"&amp;'Cash Flow'!AM$3)</f>
        <v>0</v>
      </c>
      <c r="AO46" s="89">
        <f>SUMIFS('Wells Fargo'!$F:$F,'Wells Fargo'!$G:$G,'Cash Flow'!$A46,'Wells Fargo'!$A:$A,AO$1,'Wells Fargo'!$B:$B,"&lt;="&amp;'Cash Flow'!AO$3,'Wells Fargo'!$B:$B,"&gt;"&amp;'Cash Flow'!AN$3)</f>
        <v>0</v>
      </c>
      <c r="AP46" s="90">
        <f>SUMIFS('Wells Fargo'!$F:$F,'Wells Fargo'!$G:$G,'Cash Flow'!$A46,'Wells Fargo'!$A:$A,AP$1,'Wells Fargo'!$B:$B,"&lt;="&amp;'Cash Flow'!AP$3)</f>
        <v>0</v>
      </c>
      <c r="AQ46" s="89">
        <f>SUMIFS('Wells Fargo'!$F:$F,'Wells Fargo'!$G:$G,'Cash Flow'!$A46,'Wells Fargo'!$A:$A,AQ$1,'Wells Fargo'!$B:$B,"&lt;="&amp;'Cash Flow'!AQ$3,'Wells Fargo'!$B:$B,"&gt;"&amp;'Cash Flow'!AP$3)</f>
        <v>0</v>
      </c>
      <c r="AR46" s="89">
        <f>SUMIFS('Wells Fargo'!$F:$F,'Wells Fargo'!$G:$G,'Cash Flow'!$A46,'Wells Fargo'!$A:$A,AR$1,'Wells Fargo'!$B:$B,"&lt;="&amp;'Cash Flow'!AR$3,'Wells Fargo'!$B:$B,"&gt;"&amp;'Cash Flow'!AQ$3)</f>
        <v>0</v>
      </c>
      <c r="AS46" s="89">
        <f>SUMIFS('Wells Fargo'!$F:$F,'Wells Fargo'!$G:$G,'Cash Flow'!$A46,'Wells Fargo'!$A:$A,AS$1,'Wells Fargo'!$B:$B,"&lt;="&amp;'Cash Flow'!AS$3,'Wells Fargo'!$B:$B,"&gt;"&amp;'Cash Flow'!AR$3)</f>
        <v>0</v>
      </c>
      <c r="AT46" s="89">
        <f>SUMIFS('Wells Fargo'!$F:$F,'Wells Fargo'!$G:$G,'Cash Flow'!$A46,'Wells Fargo'!$A:$A,AT$1,'Wells Fargo'!$B:$B,"&lt;="&amp;'Cash Flow'!AT$3,'Wells Fargo'!$B:$B,"&gt;"&amp;'Cash Flow'!AS$3)</f>
        <v>0</v>
      </c>
      <c r="AU46" s="90">
        <f>SUMIFS('Wells Fargo'!$F:$F,'Wells Fargo'!$G:$G,'Cash Flow'!$A46,'Wells Fargo'!$A:$A,AU$1,'Wells Fargo'!$B:$B,"&lt;="&amp;'Cash Flow'!AU$3)</f>
        <v>0</v>
      </c>
      <c r="AV46" s="89">
        <f>SUMIFS('Wells Fargo'!$F:$F,'Wells Fargo'!$G:$G,'Cash Flow'!$A46,'Wells Fargo'!$A:$A,AV$1,'Wells Fargo'!$B:$B,"&lt;="&amp;'Cash Flow'!AV$3,'Wells Fargo'!$B:$B,"&gt;"&amp;'Cash Flow'!AU$3)</f>
        <v>0</v>
      </c>
      <c r="AW46" s="89">
        <f>SUMIFS('Wells Fargo'!$F:$F,'Wells Fargo'!$G:$G,'Cash Flow'!$A46,'Wells Fargo'!$A:$A,AW$1,'Wells Fargo'!$B:$B,"&lt;="&amp;'Cash Flow'!AW$3,'Wells Fargo'!$B:$B,"&gt;"&amp;'Cash Flow'!AV$3)</f>
        <v>0</v>
      </c>
      <c r="AX46" s="89">
        <f>SUMIFS('Wells Fargo'!$F:$F,'Wells Fargo'!$G:$G,'Cash Flow'!$A46,'Wells Fargo'!$A:$A,AX$1,'Wells Fargo'!$B:$B,"&lt;="&amp;'Cash Flow'!AX$3,'Wells Fargo'!$B:$B,"&gt;"&amp;'Cash Flow'!AW$3)</f>
        <v>0</v>
      </c>
      <c r="AY46" s="89">
        <f>SUMIFS('Wells Fargo'!$F:$F,'Wells Fargo'!$G:$G,'Cash Flow'!$A46,'Wells Fargo'!$A:$A,AY$1,'Wells Fargo'!$B:$B,"&lt;="&amp;'Cash Flow'!AY$3,'Wells Fargo'!$B:$B,"&gt;"&amp;'Cash Flow'!AX$3)</f>
        <v>0</v>
      </c>
      <c r="AZ46" s="90">
        <f>SUMIFS('Wells Fargo'!$F:$F,'Wells Fargo'!$G:$G,'Cash Flow'!$A46,'Wells Fargo'!$A:$A,AZ$1,'Wells Fargo'!$B:$B,"&lt;="&amp;'Cash Flow'!AZ$3)</f>
        <v>0</v>
      </c>
      <c r="BA46" s="89">
        <f>SUMIFS('Wells Fargo'!$F:$F,'Wells Fargo'!$G:$G,'Cash Flow'!$A46,'Wells Fargo'!$A:$A,BA$1,'Wells Fargo'!$B:$B,"&lt;="&amp;'Cash Flow'!BA$3,'Wells Fargo'!$B:$B,"&gt;"&amp;'Cash Flow'!AZ$3)</f>
        <v>0</v>
      </c>
      <c r="BB46" s="89">
        <f>SUMIFS('Wells Fargo'!$F:$F,'Wells Fargo'!$G:$G,'Cash Flow'!$A46,'Wells Fargo'!$A:$A,BB$1,'Wells Fargo'!$B:$B,"&lt;="&amp;'Cash Flow'!BB$3,'Wells Fargo'!$B:$B,"&gt;"&amp;'Cash Flow'!BA$3)</f>
        <v>0</v>
      </c>
      <c r="BC46" s="89">
        <f>SUMIFS('Wells Fargo'!$F:$F,'Wells Fargo'!$G:$G,'Cash Flow'!$A46,'Wells Fargo'!$A:$A,BC$1,'Wells Fargo'!$B:$B,"&lt;="&amp;'Cash Flow'!BC$3,'Wells Fargo'!$B:$B,"&gt;"&amp;'Cash Flow'!BB$3)</f>
        <v>0</v>
      </c>
      <c r="BD46" s="89">
        <f>SUMIFS('Wells Fargo'!$F:$F,'Wells Fargo'!$G:$G,'Cash Flow'!$A46,'Wells Fargo'!$A:$A,BD$1,'Wells Fargo'!$B:$B,"&lt;="&amp;'Cash Flow'!BD$3,'Wells Fargo'!$B:$B,"&gt;"&amp;'Cash Flow'!BC$3)</f>
        <v>0</v>
      </c>
      <c r="BE46" s="90">
        <f>SUMIFS('Wells Fargo'!$F:$F,'Wells Fargo'!$G:$G,'Cash Flow'!$A46,'Wells Fargo'!$A:$A,BE$1,'Wells Fargo'!$B:$B,"&lt;="&amp;'Cash Flow'!BE$3)</f>
        <v>0</v>
      </c>
      <c r="BF46" s="89">
        <f>SUMIFS('Wells Fargo'!$F:$F,'Wells Fargo'!$G:$G,'Cash Flow'!$A46,'Wells Fargo'!$A:$A,BF$1,'Wells Fargo'!$B:$B,"&lt;="&amp;'Cash Flow'!BF$3,'Wells Fargo'!$B:$B,"&gt;"&amp;'Cash Flow'!BE$3)</f>
        <v>0</v>
      </c>
      <c r="BG46" s="89">
        <f>SUMIFS('Wells Fargo'!$F:$F,'Wells Fargo'!$G:$G,'Cash Flow'!$A46,'Wells Fargo'!$A:$A,BG$1,'Wells Fargo'!$B:$B,"&lt;="&amp;'Cash Flow'!BG$3,'Wells Fargo'!$B:$B,"&gt;"&amp;'Cash Flow'!BF$3)</f>
        <v>0</v>
      </c>
      <c r="BH46" s="89">
        <f>SUMIFS('Wells Fargo'!$F:$F,'Wells Fargo'!$G:$G,'Cash Flow'!$A46,'Wells Fargo'!$A:$A,BH$1,'Wells Fargo'!$B:$B,"&lt;="&amp;'Cash Flow'!BH$3,'Wells Fargo'!$B:$B,"&gt;"&amp;'Cash Flow'!BG$3)</f>
        <v>0</v>
      </c>
      <c r="BI46" s="89">
        <f>SUMIFS('Wells Fargo'!$F:$F,'Wells Fargo'!$G:$G,'Cash Flow'!$A46,'Wells Fargo'!$A:$A,BI$1,'Wells Fargo'!$B:$B,"&lt;="&amp;'Cash Flow'!BI$3,'Wells Fargo'!$B:$B,"&gt;"&amp;'Cash Flow'!BH$3)</f>
        <v>0</v>
      </c>
    </row>
    <row r="47" spans="1:61" ht="12.75" x14ac:dyDescent="0.2">
      <c r="A47" t="str">
        <v>Rent - Artisan Village</v>
      </c>
      <c r="B47" s="15">
        <f t="shared" ref="B47:B59" si="2">SUM(C47:BI47)</f>
        <v>-3768.89</v>
      </c>
      <c r="C47" s="90">
        <f>SUMIFS('Wells Fargo'!$F:$F,'Wells Fargo'!$G:$G,'Cash Flow'!$A47,'Wells Fargo'!$A:$A,C$1,'Wells Fargo'!$B:$B,"&lt;="&amp;'Cash Flow'!C$3)</f>
        <v>0</v>
      </c>
      <c r="D47" s="89">
        <f>SUMIFS('Wells Fargo'!$F:$F,'Wells Fargo'!$G:$G,'Cash Flow'!$A47,'Wells Fargo'!$A:$A,D$1,'Wells Fargo'!$B:$B,"&lt;="&amp;'Cash Flow'!D$3,'Wells Fargo'!$B:$B,"&gt;"&amp;'Cash Flow'!C$3)</f>
        <v>0</v>
      </c>
      <c r="E47" s="89">
        <f>SUMIFS('Wells Fargo'!$F:$F,'Wells Fargo'!$G:$G,'Cash Flow'!$A47,'Wells Fargo'!$A:$A,E$1,'Wells Fargo'!$B:$B,"&lt;="&amp;'Cash Flow'!E$3,'Wells Fargo'!$B:$B,"&gt;"&amp;'Cash Flow'!D$3)</f>
        <v>0</v>
      </c>
      <c r="F47" s="89">
        <f>SUMIFS('Wells Fargo'!$F:$F,'Wells Fargo'!$G:$G,'Cash Flow'!$A47,'Wells Fargo'!$A:$A,F$1,'Wells Fargo'!$B:$B,"&lt;="&amp;'Cash Flow'!F$3,'Wells Fargo'!$B:$B,"&gt;"&amp;'Cash Flow'!E$3)</f>
        <v>0</v>
      </c>
      <c r="G47" s="89">
        <f>SUMIFS('Wells Fargo'!$F:$F,'Wells Fargo'!$G:$G,'Cash Flow'!$A47,'Wells Fargo'!$A:$A,G$1,'Wells Fargo'!$B:$B,"&lt;="&amp;'Cash Flow'!G$3,'Wells Fargo'!$B:$B,"&gt;"&amp;'Cash Flow'!F$3)</f>
        <v>0</v>
      </c>
      <c r="H47" s="90">
        <f>SUMIFS('Wells Fargo'!$F:$F,'Wells Fargo'!$G:$G,'Cash Flow'!$A47,'Wells Fargo'!$A:$A,H$1,'Wells Fargo'!$B:$B,"&lt;="&amp;'Cash Flow'!H$3)</f>
        <v>0</v>
      </c>
      <c r="I47" s="89">
        <f>SUMIFS('Wells Fargo'!$F:$F,'Wells Fargo'!$G:$G,'Cash Flow'!$A47,'Wells Fargo'!$A:$A,I$1,'Wells Fargo'!$B:$B,"&lt;="&amp;'Cash Flow'!I$3,'Wells Fargo'!$B:$B,"&gt;"&amp;'Cash Flow'!H$3)</f>
        <v>0</v>
      </c>
      <c r="J47" s="89">
        <f>SUMIFS('Wells Fargo'!$F:$F,'Wells Fargo'!$G:$G,'Cash Flow'!$A47,'Wells Fargo'!$A:$A,J$1,'Wells Fargo'!$B:$B,"&lt;="&amp;'Cash Flow'!J$3,'Wells Fargo'!$B:$B,"&gt;"&amp;'Cash Flow'!I$3)</f>
        <v>0</v>
      </c>
      <c r="K47" s="89">
        <f>SUMIFS('Wells Fargo'!$F:$F,'Wells Fargo'!$G:$G,'Cash Flow'!$A47,'Wells Fargo'!$A:$A,K$1,'Wells Fargo'!$B:$B,"&lt;="&amp;'Cash Flow'!K$3,'Wells Fargo'!$B:$B,"&gt;"&amp;'Cash Flow'!J$3)</f>
        <v>0</v>
      </c>
      <c r="L47" s="90">
        <f>SUMIFS('Wells Fargo'!$F:$F,'Wells Fargo'!$G:$G,'Cash Flow'!$A47,'Wells Fargo'!$A:$A,L$1,'Wells Fargo'!$B:$B,"&lt;="&amp;'Cash Flow'!L$3)</f>
        <v>0</v>
      </c>
      <c r="M47" s="89">
        <f>SUMIFS('Wells Fargo'!$F:$F,'Wells Fargo'!$G:$G,'Cash Flow'!$A47,'Wells Fargo'!$A:$A,M$1,'Wells Fargo'!$B:$B,"&lt;="&amp;'Cash Flow'!M$3,'Wells Fargo'!$B:$B,"&gt;"&amp;'Cash Flow'!L$3)</f>
        <v>0</v>
      </c>
      <c r="N47" s="89">
        <f>SUMIFS('Wells Fargo'!$F:$F,'Wells Fargo'!$G:$G,'Cash Flow'!$A47,'Wells Fargo'!$A:$A,N$1,'Wells Fargo'!$B:$B,"&lt;="&amp;'Cash Flow'!N$3,'Wells Fargo'!$B:$B,"&gt;"&amp;'Cash Flow'!M$3)</f>
        <v>0</v>
      </c>
      <c r="O47" s="89">
        <f>SUMIFS('Wells Fargo'!$F:$F,'Wells Fargo'!$G:$G,'Cash Flow'!$A47,'Wells Fargo'!$A:$A,O$1,'Wells Fargo'!$B:$B,"&lt;="&amp;'Cash Flow'!O$3,'Wells Fargo'!$B:$B,"&gt;"&amp;'Cash Flow'!N$3)</f>
        <v>0</v>
      </c>
      <c r="P47" s="89">
        <f>SUMIFS('Wells Fargo'!$F:$F,'Wells Fargo'!$G:$G,'Cash Flow'!$A47,'Wells Fargo'!$A:$A,P$1,'Wells Fargo'!$B:$B,"&lt;="&amp;'Cash Flow'!P$3,'Wells Fargo'!$B:$B,"&gt;"&amp;'Cash Flow'!O$3)</f>
        <v>0</v>
      </c>
      <c r="Q47" s="90">
        <f>SUMIFS('Wells Fargo'!$F:$F,'Wells Fargo'!$G:$G,'Cash Flow'!$A47,'Wells Fargo'!$A:$A,Q$1,'Wells Fargo'!$B:$B,"&lt;="&amp;'Cash Flow'!Q$3)</f>
        <v>0</v>
      </c>
      <c r="R47" s="89">
        <f>SUMIFS('Wells Fargo'!$F:$F,'Wells Fargo'!$G:$G,'Cash Flow'!$A47,'Wells Fargo'!$A:$A,R$1,'Wells Fargo'!$B:$B,"&lt;="&amp;'Cash Flow'!R$3,'Wells Fargo'!$B:$B,"&gt;"&amp;'Cash Flow'!Q$3)</f>
        <v>0</v>
      </c>
      <c r="S47" s="89">
        <f>SUMIFS('Wells Fargo'!$F:$F,'Wells Fargo'!$G:$G,'Cash Flow'!$A47,'Wells Fargo'!$A:$A,S$1,'Wells Fargo'!$B:$B,"&lt;="&amp;'Cash Flow'!S$3,'Wells Fargo'!$B:$B,"&gt;"&amp;'Cash Flow'!R$3)</f>
        <v>0</v>
      </c>
      <c r="T47" s="89">
        <f>SUMIFS('Wells Fargo'!$F:$F,'Wells Fargo'!$G:$G,'Cash Flow'!$A47,'Wells Fargo'!$A:$A,T$1,'Wells Fargo'!$B:$B,"&lt;="&amp;'Cash Flow'!T$3,'Wells Fargo'!$B:$B,"&gt;"&amp;'Cash Flow'!S$3)</f>
        <v>0</v>
      </c>
      <c r="U47" s="89">
        <f>SUMIFS('Wells Fargo'!$F:$F,'Wells Fargo'!$G:$G,'Cash Flow'!$A47,'Wells Fargo'!$A:$A,U$1,'Wells Fargo'!$B:$B,"&lt;="&amp;'Cash Flow'!U$3,'Wells Fargo'!$B:$B,"&gt;"&amp;'Cash Flow'!T$3)</f>
        <v>0</v>
      </c>
      <c r="V47" s="90">
        <f>SUMIFS('Wells Fargo'!$F:$F,'Wells Fargo'!$G:$G,'Cash Flow'!$A47,'Wells Fargo'!$A:$A,V$1,'Wells Fargo'!$B:$B,"&lt;="&amp;'Cash Flow'!V$3)</f>
        <v>0</v>
      </c>
      <c r="W47" s="89">
        <f>SUMIFS('Wells Fargo'!$F:$F,'Wells Fargo'!$G:$G,'Cash Flow'!$A47,'Wells Fargo'!$A:$A,W$1,'Wells Fargo'!$B:$B,"&lt;="&amp;'Cash Flow'!W$3,'Wells Fargo'!$B:$B,"&gt;"&amp;'Cash Flow'!V$3)</f>
        <v>0</v>
      </c>
      <c r="X47" s="89">
        <f>SUMIFS('Wells Fargo'!$F:$F,'Wells Fargo'!$G:$G,'Cash Flow'!$A47,'Wells Fargo'!$A:$A,X$1,'Wells Fargo'!$B:$B,"&lt;="&amp;'Cash Flow'!X$3,'Wells Fargo'!$B:$B,"&gt;"&amp;'Cash Flow'!W$3)</f>
        <v>0</v>
      </c>
      <c r="Y47" s="89">
        <f>SUMIFS('Wells Fargo'!$F:$F,'Wells Fargo'!$G:$G,'Cash Flow'!$A47,'Wells Fargo'!$A:$A,Y$1,'Wells Fargo'!$B:$B,"&lt;="&amp;'Cash Flow'!Y$3,'Wells Fargo'!$B:$B,"&gt;"&amp;'Cash Flow'!X$3)</f>
        <v>0</v>
      </c>
      <c r="Z47" s="89">
        <f>SUMIFS('Wells Fargo'!$F:$F,'Wells Fargo'!$G:$G,'Cash Flow'!$A47,'Wells Fargo'!$A:$A,Z$1,'Wells Fargo'!$B:$B,"&lt;="&amp;'Cash Flow'!Z$3,'Wells Fargo'!$B:$B,"&gt;"&amp;'Cash Flow'!Y$3)</f>
        <v>0</v>
      </c>
      <c r="AA47" s="90">
        <f>SUMIFS('Wells Fargo'!$F:$F,'Wells Fargo'!$G:$G,'Cash Flow'!$A47,'Wells Fargo'!$A:$A,AA$1,'Wells Fargo'!$B:$B,"&lt;="&amp;'Cash Flow'!AA$3)</f>
        <v>0</v>
      </c>
      <c r="AB47" s="89">
        <f>SUMIFS('Wells Fargo'!$F:$F,'Wells Fargo'!$G:$G,'Cash Flow'!$A47,'Wells Fargo'!$A:$A,AB$1,'Wells Fargo'!$B:$B,"&lt;="&amp;'Cash Flow'!AB$3,'Wells Fargo'!$B:$B,"&gt;"&amp;'Cash Flow'!AA$3)</f>
        <v>0</v>
      </c>
      <c r="AC47" s="89">
        <f>SUMIFS('Wells Fargo'!$F:$F,'Wells Fargo'!$G:$G,'Cash Flow'!$A47,'Wells Fargo'!$A:$A,AC$1,'Wells Fargo'!$B:$B,"&lt;="&amp;'Cash Flow'!AC$3,'Wells Fargo'!$B:$B,"&gt;"&amp;'Cash Flow'!AB$3)</f>
        <v>0</v>
      </c>
      <c r="AD47" s="89">
        <f>SUMIFS('Wells Fargo'!$F:$F,'Wells Fargo'!$G:$G,'Cash Flow'!$A47,'Wells Fargo'!$A:$A,AD$1,'Wells Fargo'!$B:$B,"&lt;="&amp;'Cash Flow'!AD$3,'Wells Fargo'!$B:$B,"&gt;"&amp;'Cash Flow'!AC$3)</f>
        <v>0</v>
      </c>
      <c r="AE47" s="89">
        <f>SUMIFS('Wells Fargo'!$F:$F,'Wells Fargo'!$G:$G,'Cash Flow'!$A47,'Wells Fargo'!$A:$A,AE$1,'Wells Fargo'!$B:$B,"&lt;="&amp;'Cash Flow'!AE$3,'Wells Fargo'!$B:$B,"&gt;"&amp;'Cash Flow'!AD$3)</f>
        <v>0</v>
      </c>
      <c r="AF47" s="90">
        <f>SUMIFS('Wells Fargo'!$F:$F,'Wells Fargo'!$G:$G,'Cash Flow'!$A47,'Wells Fargo'!$A:$A,AF$1,'Wells Fargo'!$B:$B,"&lt;="&amp;'Cash Flow'!AF$3)</f>
        <v>0</v>
      </c>
      <c r="AG47" s="89">
        <f>SUMIFS('Wells Fargo'!$F:$F,'Wells Fargo'!$G:$G,'Cash Flow'!$A47,'Wells Fargo'!$A:$A,AG$1,'Wells Fargo'!$B:$B,"&lt;="&amp;'Cash Flow'!AG$3,'Wells Fargo'!$B:$B,"&gt;"&amp;'Cash Flow'!AF$3)</f>
        <v>0</v>
      </c>
      <c r="AH47" s="89">
        <f>SUMIFS('Wells Fargo'!$F:$F,'Wells Fargo'!$G:$G,'Cash Flow'!$A47,'Wells Fargo'!$A:$A,AH$1,'Wells Fargo'!$B:$B,"&lt;="&amp;'Cash Flow'!AH$3,'Wells Fargo'!$B:$B,"&gt;"&amp;'Cash Flow'!AG$3)</f>
        <v>0</v>
      </c>
      <c r="AI47" s="89">
        <f>SUMIFS('Wells Fargo'!$F:$F,'Wells Fargo'!$G:$G,'Cash Flow'!$A47,'Wells Fargo'!$A:$A,AI$1,'Wells Fargo'!$B:$B,"&lt;="&amp;'Cash Flow'!AI$3,'Wells Fargo'!$B:$B,"&gt;"&amp;'Cash Flow'!AH$3)</f>
        <v>0</v>
      </c>
      <c r="AJ47" s="89">
        <f>SUMIFS('Wells Fargo'!$F:$F,'Wells Fargo'!$G:$G,'Cash Flow'!$A47,'Wells Fargo'!$A:$A,AJ$1,'Wells Fargo'!$B:$B,"&lt;="&amp;'Cash Flow'!AJ$3,'Wells Fargo'!$B:$B,"&gt;"&amp;'Cash Flow'!AI$3)</f>
        <v>0</v>
      </c>
      <c r="AK47" s="90">
        <f>SUMIFS('Wells Fargo'!$F:$F,'Wells Fargo'!$G:$G,'Cash Flow'!$A47,'Wells Fargo'!$A:$A,AK$1,'Wells Fargo'!$B:$B,"&lt;="&amp;'Cash Flow'!AK$3)</f>
        <v>0</v>
      </c>
      <c r="AL47" s="89">
        <f>SUMIFS('Wells Fargo'!$F:$F,'Wells Fargo'!$G:$G,'Cash Flow'!$A47,'Wells Fargo'!$A:$A,AL$1,'Wells Fargo'!$B:$B,"&lt;="&amp;'Cash Flow'!AL$3,'Wells Fargo'!$B:$B,"&gt;"&amp;'Cash Flow'!AK$3)</f>
        <v>0</v>
      </c>
      <c r="AM47" s="89">
        <f>SUMIFS('Wells Fargo'!$F:$F,'Wells Fargo'!$G:$G,'Cash Flow'!$A47,'Wells Fargo'!$A:$A,AM$1,'Wells Fargo'!$B:$B,"&lt;="&amp;'Cash Flow'!AM$3,'Wells Fargo'!$B:$B,"&gt;"&amp;'Cash Flow'!AL$3)</f>
        <v>0</v>
      </c>
      <c r="AN47" s="89">
        <f>SUMIFS('Wells Fargo'!$F:$F,'Wells Fargo'!$G:$G,'Cash Flow'!$A47,'Wells Fargo'!$A:$A,AN$1,'Wells Fargo'!$B:$B,"&lt;="&amp;'Cash Flow'!AN$3,'Wells Fargo'!$B:$B,"&gt;"&amp;'Cash Flow'!AM$3)</f>
        <v>0</v>
      </c>
      <c r="AO47" s="89">
        <f>SUMIFS('Wells Fargo'!$F:$F,'Wells Fargo'!$G:$G,'Cash Flow'!$A47,'Wells Fargo'!$A:$A,AO$1,'Wells Fargo'!$B:$B,"&lt;="&amp;'Cash Flow'!AO$3,'Wells Fargo'!$B:$B,"&gt;"&amp;'Cash Flow'!AN$3)</f>
        <v>0</v>
      </c>
      <c r="AP47" s="90">
        <f>SUMIFS('Wells Fargo'!$F:$F,'Wells Fargo'!$G:$G,'Cash Flow'!$A47,'Wells Fargo'!$A:$A,AP$1,'Wells Fargo'!$B:$B,"&lt;="&amp;'Cash Flow'!AP$3)</f>
        <v>0</v>
      </c>
      <c r="AQ47" s="89">
        <f>SUMIFS('Wells Fargo'!$F:$F,'Wells Fargo'!$G:$G,'Cash Flow'!$A47,'Wells Fargo'!$A:$A,AQ$1,'Wells Fargo'!$B:$B,"&lt;="&amp;'Cash Flow'!AQ$3,'Wells Fargo'!$B:$B,"&gt;"&amp;'Cash Flow'!AP$3)</f>
        <v>0</v>
      </c>
      <c r="AR47" s="89">
        <f>SUMIFS('Wells Fargo'!$F:$F,'Wells Fargo'!$G:$G,'Cash Flow'!$A47,'Wells Fargo'!$A:$A,AR$1,'Wells Fargo'!$B:$B,"&lt;="&amp;'Cash Flow'!AR$3,'Wells Fargo'!$B:$B,"&gt;"&amp;'Cash Flow'!AQ$3)</f>
        <v>0</v>
      </c>
      <c r="AS47" s="89">
        <f>SUMIFS('Wells Fargo'!$F:$F,'Wells Fargo'!$G:$G,'Cash Flow'!$A47,'Wells Fargo'!$A:$A,AS$1,'Wells Fargo'!$B:$B,"&lt;="&amp;'Cash Flow'!AS$3,'Wells Fargo'!$B:$B,"&gt;"&amp;'Cash Flow'!AR$3)</f>
        <v>-250</v>
      </c>
      <c r="AT47" s="89">
        <f>SUMIFS('Wells Fargo'!$F:$F,'Wells Fargo'!$G:$G,'Cash Flow'!$A47,'Wells Fargo'!$A:$A,AT$1,'Wells Fargo'!$B:$B,"&lt;="&amp;'Cash Flow'!AT$3,'Wells Fargo'!$B:$B,"&gt;"&amp;'Cash Flow'!AS$3)</f>
        <v>-1652.2199999999998</v>
      </c>
      <c r="AU47" s="90">
        <f>SUMIFS('Wells Fargo'!$F:$F,'Wells Fargo'!$G:$G,'Cash Flow'!$A47,'Wells Fargo'!$A:$A,AU$1,'Wells Fargo'!$B:$B,"&lt;="&amp;'Cash Flow'!AU$3)</f>
        <v>-1866.67</v>
      </c>
      <c r="AV47" s="89">
        <f>SUMIFS('Wells Fargo'!$F:$F,'Wells Fargo'!$G:$G,'Cash Flow'!$A47,'Wells Fargo'!$A:$A,AV$1,'Wells Fargo'!$B:$B,"&lt;="&amp;'Cash Flow'!AV$3,'Wells Fargo'!$B:$B,"&gt;"&amp;'Cash Flow'!AU$3)</f>
        <v>0</v>
      </c>
      <c r="AW47" s="89">
        <f>SUMIFS('Wells Fargo'!$F:$F,'Wells Fargo'!$G:$G,'Cash Flow'!$A47,'Wells Fargo'!$A:$A,AW$1,'Wells Fargo'!$B:$B,"&lt;="&amp;'Cash Flow'!AW$3,'Wells Fargo'!$B:$B,"&gt;"&amp;'Cash Flow'!AV$3)</f>
        <v>0</v>
      </c>
      <c r="AX47" s="89">
        <f>SUMIFS('Wells Fargo'!$F:$F,'Wells Fargo'!$G:$G,'Cash Flow'!$A47,'Wells Fargo'!$A:$A,AX$1,'Wells Fargo'!$B:$B,"&lt;="&amp;'Cash Flow'!AX$3,'Wells Fargo'!$B:$B,"&gt;"&amp;'Cash Flow'!AW$3)</f>
        <v>0</v>
      </c>
      <c r="AY47" s="89">
        <f>SUMIFS('Wells Fargo'!$F:$F,'Wells Fargo'!$G:$G,'Cash Flow'!$A47,'Wells Fargo'!$A:$A,AY$1,'Wells Fargo'!$B:$B,"&lt;="&amp;'Cash Flow'!AY$3,'Wells Fargo'!$B:$B,"&gt;"&amp;'Cash Flow'!AX$3)</f>
        <v>0</v>
      </c>
      <c r="AZ47" s="90">
        <f>SUMIFS('Wells Fargo'!$F:$F,'Wells Fargo'!$G:$G,'Cash Flow'!$A47,'Wells Fargo'!$A:$A,AZ$1,'Wells Fargo'!$B:$B,"&lt;="&amp;'Cash Flow'!AZ$3)</f>
        <v>0</v>
      </c>
      <c r="BA47" s="89">
        <f>SUMIFS('Wells Fargo'!$F:$F,'Wells Fargo'!$G:$G,'Cash Flow'!$A47,'Wells Fargo'!$A:$A,BA$1,'Wells Fargo'!$B:$B,"&lt;="&amp;'Cash Flow'!BA$3,'Wells Fargo'!$B:$B,"&gt;"&amp;'Cash Flow'!AZ$3)</f>
        <v>0</v>
      </c>
      <c r="BB47" s="89">
        <f>SUMIFS('Wells Fargo'!$F:$F,'Wells Fargo'!$G:$G,'Cash Flow'!$A47,'Wells Fargo'!$A:$A,BB$1,'Wells Fargo'!$B:$B,"&lt;="&amp;'Cash Flow'!BB$3,'Wells Fargo'!$B:$B,"&gt;"&amp;'Cash Flow'!BA$3)</f>
        <v>0</v>
      </c>
      <c r="BC47" s="89">
        <f>SUMIFS('Wells Fargo'!$F:$F,'Wells Fargo'!$G:$G,'Cash Flow'!$A47,'Wells Fargo'!$A:$A,BC$1,'Wells Fargo'!$B:$B,"&lt;="&amp;'Cash Flow'!BC$3,'Wells Fargo'!$B:$B,"&gt;"&amp;'Cash Flow'!BB$3)</f>
        <v>0</v>
      </c>
      <c r="BD47" s="89">
        <f>SUMIFS('Wells Fargo'!$F:$F,'Wells Fargo'!$G:$G,'Cash Flow'!$A47,'Wells Fargo'!$A:$A,BD$1,'Wells Fargo'!$B:$B,"&lt;="&amp;'Cash Flow'!BD$3,'Wells Fargo'!$B:$B,"&gt;"&amp;'Cash Flow'!BC$3)</f>
        <v>0</v>
      </c>
      <c r="BE47" s="90">
        <f>SUMIFS('Wells Fargo'!$F:$F,'Wells Fargo'!$G:$G,'Cash Flow'!$A47,'Wells Fargo'!$A:$A,BE$1,'Wells Fargo'!$B:$B,"&lt;="&amp;'Cash Flow'!BE$3)</f>
        <v>0</v>
      </c>
      <c r="BF47" s="89">
        <f>SUMIFS('Wells Fargo'!$F:$F,'Wells Fargo'!$G:$G,'Cash Flow'!$A47,'Wells Fargo'!$A:$A,BF$1,'Wells Fargo'!$B:$B,"&lt;="&amp;'Cash Flow'!BF$3,'Wells Fargo'!$B:$B,"&gt;"&amp;'Cash Flow'!BE$3)</f>
        <v>0</v>
      </c>
      <c r="BG47" s="89">
        <f>SUMIFS('Wells Fargo'!$F:$F,'Wells Fargo'!$G:$G,'Cash Flow'!$A47,'Wells Fargo'!$A:$A,BG$1,'Wells Fargo'!$B:$B,"&lt;="&amp;'Cash Flow'!BG$3,'Wells Fargo'!$B:$B,"&gt;"&amp;'Cash Flow'!BF$3)</f>
        <v>0</v>
      </c>
      <c r="BH47" s="89">
        <f>SUMIFS('Wells Fargo'!$F:$F,'Wells Fargo'!$G:$G,'Cash Flow'!$A47,'Wells Fargo'!$A:$A,BH$1,'Wells Fargo'!$B:$B,"&lt;="&amp;'Cash Flow'!BH$3,'Wells Fargo'!$B:$B,"&gt;"&amp;'Cash Flow'!BG$3)</f>
        <v>0</v>
      </c>
      <c r="BI47" s="89">
        <f>SUMIFS('Wells Fargo'!$F:$F,'Wells Fargo'!$G:$G,'Cash Flow'!$A47,'Wells Fargo'!$A:$A,BI$1,'Wells Fargo'!$B:$B,"&lt;="&amp;'Cash Flow'!BI$3,'Wells Fargo'!$B:$B,"&gt;"&amp;'Cash Flow'!BH$3)</f>
        <v>0</v>
      </c>
    </row>
    <row r="48" spans="1:61" ht="12.75" x14ac:dyDescent="0.2">
      <c r="A48" t="str">
        <v>Resteraunt</v>
      </c>
      <c r="B48" s="15">
        <f t="shared" si="2"/>
        <v>-88.57</v>
      </c>
      <c r="C48" s="90">
        <f>SUMIFS('Wells Fargo'!$F:$F,'Wells Fargo'!$G:$G,'Cash Flow'!$A48,'Wells Fargo'!$A:$A,C$1,'Wells Fargo'!$B:$B,"&lt;="&amp;'Cash Flow'!C$3)</f>
        <v>0</v>
      </c>
      <c r="D48" s="89">
        <f>SUMIFS('Wells Fargo'!$F:$F,'Wells Fargo'!$G:$G,'Cash Flow'!$A48,'Wells Fargo'!$A:$A,D$1,'Wells Fargo'!$B:$B,"&lt;="&amp;'Cash Flow'!D$3,'Wells Fargo'!$B:$B,"&gt;"&amp;'Cash Flow'!C$3)</f>
        <v>0</v>
      </c>
      <c r="E48" s="89">
        <f>SUMIFS('Wells Fargo'!$F:$F,'Wells Fargo'!$G:$G,'Cash Flow'!$A48,'Wells Fargo'!$A:$A,E$1,'Wells Fargo'!$B:$B,"&lt;="&amp;'Cash Flow'!E$3,'Wells Fargo'!$B:$B,"&gt;"&amp;'Cash Flow'!D$3)</f>
        <v>0</v>
      </c>
      <c r="F48" s="89">
        <f>SUMIFS('Wells Fargo'!$F:$F,'Wells Fargo'!$G:$G,'Cash Flow'!$A48,'Wells Fargo'!$A:$A,F$1,'Wells Fargo'!$B:$B,"&lt;="&amp;'Cash Flow'!F$3,'Wells Fargo'!$B:$B,"&gt;"&amp;'Cash Flow'!E$3)</f>
        <v>0</v>
      </c>
      <c r="G48" s="89">
        <f>SUMIFS('Wells Fargo'!$F:$F,'Wells Fargo'!$G:$G,'Cash Flow'!$A48,'Wells Fargo'!$A:$A,G$1,'Wells Fargo'!$B:$B,"&lt;="&amp;'Cash Flow'!G$3,'Wells Fargo'!$B:$B,"&gt;"&amp;'Cash Flow'!F$3)</f>
        <v>0</v>
      </c>
      <c r="H48" s="90">
        <f>SUMIFS('Wells Fargo'!$F:$F,'Wells Fargo'!$G:$G,'Cash Flow'!$A48,'Wells Fargo'!$A:$A,H$1,'Wells Fargo'!$B:$B,"&lt;="&amp;'Cash Flow'!H$3)</f>
        <v>0</v>
      </c>
      <c r="I48" s="89">
        <f>SUMIFS('Wells Fargo'!$F:$F,'Wells Fargo'!$G:$G,'Cash Flow'!$A48,'Wells Fargo'!$A:$A,I$1,'Wells Fargo'!$B:$B,"&lt;="&amp;'Cash Flow'!I$3,'Wells Fargo'!$B:$B,"&gt;"&amp;'Cash Flow'!H$3)</f>
        <v>0</v>
      </c>
      <c r="J48" s="89">
        <f>SUMIFS('Wells Fargo'!$F:$F,'Wells Fargo'!$G:$G,'Cash Flow'!$A48,'Wells Fargo'!$A:$A,J$1,'Wells Fargo'!$B:$B,"&lt;="&amp;'Cash Flow'!J$3,'Wells Fargo'!$B:$B,"&gt;"&amp;'Cash Flow'!I$3)</f>
        <v>0</v>
      </c>
      <c r="K48" s="89">
        <f>SUMIFS('Wells Fargo'!$F:$F,'Wells Fargo'!$G:$G,'Cash Flow'!$A48,'Wells Fargo'!$A:$A,K$1,'Wells Fargo'!$B:$B,"&lt;="&amp;'Cash Flow'!K$3,'Wells Fargo'!$B:$B,"&gt;"&amp;'Cash Flow'!J$3)</f>
        <v>0</v>
      </c>
      <c r="L48" s="90">
        <f>SUMIFS('Wells Fargo'!$F:$F,'Wells Fargo'!$G:$G,'Cash Flow'!$A48,'Wells Fargo'!$A:$A,L$1,'Wells Fargo'!$B:$B,"&lt;="&amp;'Cash Flow'!L$3)</f>
        <v>0</v>
      </c>
      <c r="M48" s="89">
        <f>SUMIFS('Wells Fargo'!$F:$F,'Wells Fargo'!$G:$G,'Cash Flow'!$A48,'Wells Fargo'!$A:$A,M$1,'Wells Fargo'!$B:$B,"&lt;="&amp;'Cash Flow'!M$3,'Wells Fargo'!$B:$B,"&gt;"&amp;'Cash Flow'!L$3)</f>
        <v>0</v>
      </c>
      <c r="N48" s="89">
        <f>SUMIFS('Wells Fargo'!$F:$F,'Wells Fargo'!$G:$G,'Cash Flow'!$A48,'Wells Fargo'!$A:$A,N$1,'Wells Fargo'!$B:$B,"&lt;="&amp;'Cash Flow'!N$3,'Wells Fargo'!$B:$B,"&gt;"&amp;'Cash Flow'!M$3)</f>
        <v>0</v>
      </c>
      <c r="O48" s="89">
        <f>SUMIFS('Wells Fargo'!$F:$F,'Wells Fargo'!$G:$G,'Cash Flow'!$A48,'Wells Fargo'!$A:$A,O$1,'Wells Fargo'!$B:$B,"&lt;="&amp;'Cash Flow'!O$3,'Wells Fargo'!$B:$B,"&gt;"&amp;'Cash Flow'!N$3)</f>
        <v>0</v>
      </c>
      <c r="P48" s="89">
        <f>SUMIFS('Wells Fargo'!$F:$F,'Wells Fargo'!$G:$G,'Cash Flow'!$A48,'Wells Fargo'!$A:$A,P$1,'Wells Fargo'!$B:$B,"&lt;="&amp;'Cash Flow'!P$3,'Wells Fargo'!$B:$B,"&gt;"&amp;'Cash Flow'!O$3)</f>
        <v>0</v>
      </c>
      <c r="Q48" s="90">
        <f>SUMIFS('Wells Fargo'!$F:$F,'Wells Fargo'!$G:$G,'Cash Flow'!$A48,'Wells Fargo'!$A:$A,Q$1,'Wells Fargo'!$B:$B,"&lt;="&amp;'Cash Flow'!Q$3)</f>
        <v>0</v>
      </c>
      <c r="R48" s="89">
        <f>SUMIFS('Wells Fargo'!$F:$F,'Wells Fargo'!$G:$G,'Cash Flow'!$A48,'Wells Fargo'!$A:$A,R$1,'Wells Fargo'!$B:$B,"&lt;="&amp;'Cash Flow'!R$3,'Wells Fargo'!$B:$B,"&gt;"&amp;'Cash Flow'!Q$3)</f>
        <v>0</v>
      </c>
      <c r="S48" s="89">
        <f>SUMIFS('Wells Fargo'!$F:$F,'Wells Fargo'!$G:$G,'Cash Flow'!$A48,'Wells Fargo'!$A:$A,S$1,'Wells Fargo'!$B:$B,"&lt;="&amp;'Cash Flow'!S$3,'Wells Fargo'!$B:$B,"&gt;"&amp;'Cash Flow'!R$3)</f>
        <v>0</v>
      </c>
      <c r="T48" s="89">
        <f>SUMIFS('Wells Fargo'!$F:$F,'Wells Fargo'!$G:$G,'Cash Flow'!$A48,'Wells Fargo'!$A:$A,T$1,'Wells Fargo'!$B:$B,"&lt;="&amp;'Cash Flow'!T$3,'Wells Fargo'!$B:$B,"&gt;"&amp;'Cash Flow'!S$3)</f>
        <v>0</v>
      </c>
      <c r="U48" s="89">
        <f>SUMIFS('Wells Fargo'!$F:$F,'Wells Fargo'!$G:$G,'Cash Flow'!$A48,'Wells Fargo'!$A:$A,U$1,'Wells Fargo'!$B:$B,"&lt;="&amp;'Cash Flow'!U$3,'Wells Fargo'!$B:$B,"&gt;"&amp;'Cash Flow'!T$3)</f>
        <v>0</v>
      </c>
      <c r="V48" s="90">
        <f>SUMIFS('Wells Fargo'!$F:$F,'Wells Fargo'!$G:$G,'Cash Flow'!$A48,'Wells Fargo'!$A:$A,V$1,'Wells Fargo'!$B:$B,"&lt;="&amp;'Cash Flow'!V$3)</f>
        <v>0</v>
      </c>
      <c r="W48" s="89">
        <f>SUMIFS('Wells Fargo'!$F:$F,'Wells Fargo'!$G:$G,'Cash Flow'!$A48,'Wells Fargo'!$A:$A,W$1,'Wells Fargo'!$B:$B,"&lt;="&amp;'Cash Flow'!W$3,'Wells Fargo'!$B:$B,"&gt;"&amp;'Cash Flow'!V$3)</f>
        <v>0</v>
      </c>
      <c r="X48" s="89">
        <f>SUMIFS('Wells Fargo'!$F:$F,'Wells Fargo'!$G:$G,'Cash Flow'!$A48,'Wells Fargo'!$A:$A,X$1,'Wells Fargo'!$B:$B,"&lt;="&amp;'Cash Flow'!X$3,'Wells Fargo'!$B:$B,"&gt;"&amp;'Cash Flow'!W$3)</f>
        <v>0</v>
      </c>
      <c r="Y48" s="89">
        <f>SUMIFS('Wells Fargo'!$F:$F,'Wells Fargo'!$G:$G,'Cash Flow'!$A48,'Wells Fargo'!$A:$A,Y$1,'Wells Fargo'!$B:$B,"&lt;="&amp;'Cash Flow'!Y$3,'Wells Fargo'!$B:$B,"&gt;"&amp;'Cash Flow'!X$3)</f>
        <v>0</v>
      </c>
      <c r="Z48" s="89">
        <f>SUMIFS('Wells Fargo'!$F:$F,'Wells Fargo'!$G:$G,'Cash Flow'!$A48,'Wells Fargo'!$A:$A,Z$1,'Wells Fargo'!$B:$B,"&lt;="&amp;'Cash Flow'!Z$3,'Wells Fargo'!$B:$B,"&gt;"&amp;'Cash Flow'!Y$3)</f>
        <v>0</v>
      </c>
      <c r="AA48" s="90">
        <f>SUMIFS('Wells Fargo'!$F:$F,'Wells Fargo'!$G:$G,'Cash Flow'!$A48,'Wells Fargo'!$A:$A,AA$1,'Wells Fargo'!$B:$B,"&lt;="&amp;'Cash Flow'!AA$3)</f>
        <v>0</v>
      </c>
      <c r="AB48" s="89">
        <f>SUMIFS('Wells Fargo'!$F:$F,'Wells Fargo'!$G:$G,'Cash Flow'!$A48,'Wells Fargo'!$A:$A,AB$1,'Wells Fargo'!$B:$B,"&lt;="&amp;'Cash Flow'!AB$3,'Wells Fargo'!$B:$B,"&gt;"&amp;'Cash Flow'!AA$3)</f>
        <v>0</v>
      </c>
      <c r="AC48" s="89">
        <f>SUMIFS('Wells Fargo'!$F:$F,'Wells Fargo'!$G:$G,'Cash Flow'!$A48,'Wells Fargo'!$A:$A,AC$1,'Wells Fargo'!$B:$B,"&lt;="&amp;'Cash Flow'!AC$3,'Wells Fargo'!$B:$B,"&gt;"&amp;'Cash Flow'!AB$3)</f>
        <v>0</v>
      </c>
      <c r="AD48" s="89">
        <f>SUMIFS('Wells Fargo'!$F:$F,'Wells Fargo'!$G:$G,'Cash Flow'!$A48,'Wells Fargo'!$A:$A,AD$1,'Wells Fargo'!$B:$B,"&lt;="&amp;'Cash Flow'!AD$3,'Wells Fargo'!$B:$B,"&gt;"&amp;'Cash Flow'!AC$3)</f>
        <v>-58.57</v>
      </c>
      <c r="AE48" s="89">
        <f>SUMIFS('Wells Fargo'!$F:$F,'Wells Fargo'!$G:$G,'Cash Flow'!$A48,'Wells Fargo'!$A:$A,AE$1,'Wells Fargo'!$B:$B,"&lt;="&amp;'Cash Flow'!AE$3,'Wells Fargo'!$B:$B,"&gt;"&amp;'Cash Flow'!AD$3)</f>
        <v>0</v>
      </c>
      <c r="AF48" s="90">
        <f>SUMIFS('Wells Fargo'!$F:$F,'Wells Fargo'!$G:$G,'Cash Flow'!$A48,'Wells Fargo'!$A:$A,AF$1,'Wells Fargo'!$B:$B,"&lt;="&amp;'Cash Flow'!AF$3)</f>
        <v>0</v>
      </c>
      <c r="AG48" s="89">
        <f>SUMIFS('Wells Fargo'!$F:$F,'Wells Fargo'!$G:$G,'Cash Flow'!$A48,'Wells Fargo'!$A:$A,AG$1,'Wells Fargo'!$B:$B,"&lt;="&amp;'Cash Flow'!AG$3,'Wells Fargo'!$B:$B,"&gt;"&amp;'Cash Flow'!AF$3)</f>
        <v>-30</v>
      </c>
      <c r="AH48" s="89">
        <f>SUMIFS('Wells Fargo'!$F:$F,'Wells Fargo'!$G:$G,'Cash Flow'!$A48,'Wells Fargo'!$A:$A,AH$1,'Wells Fargo'!$B:$B,"&lt;="&amp;'Cash Flow'!AH$3,'Wells Fargo'!$B:$B,"&gt;"&amp;'Cash Flow'!AG$3)</f>
        <v>0</v>
      </c>
      <c r="AI48" s="89">
        <f>SUMIFS('Wells Fargo'!$F:$F,'Wells Fargo'!$G:$G,'Cash Flow'!$A48,'Wells Fargo'!$A:$A,AI$1,'Wells Fargo'!$B:$B,"&lt;="&amp;'Cash Flow'!AI$3,'Wells Fargo'!$B:$B,"&gt;"&amp;'Cash Flow'!AH$3)</f>
        <v>0</v>
      </c>
      <c r="AJ48" s="89">
        <f>SUMIFS('Wells Fargo'!$F:$F,'Wells Fargo'!$G:$G,'Cash Flow'!$A48,'Wells Fargo'!$A:$A,AJ$1,'Wells Fargo'!$B:$B,"&lt;="&amp;'Cash Flow'!AJ$3,'Wells Fargo'!$B:$B,"&gt;"&amp;'Cash Flow'!AI$3)</f>
        <v>0</v>
      </c>
      <c r="AK48" s="90">
        <f>SUMIFS('Wells Fargo'!$F:$F,'Wells Fargo'!$G:$G,'Cash Flow'!$A48,'Wells Fargo'!$A:$A,AK$1,'Wells Fargo'!$B:$B,"&lt;="&amp;'Cash Flow'!AK$3)</f>
        <v>0</v>
      </c>
      <c r="AL48" s="89">
        <f>SUMIFS('Wells Fargo'!$F:$F,'Wells Fargo'!$G:$G,'Cash Flow'!$A48,'Wells Fargo'!$A:$A,AL$1,'Wells Fargo'!$B:$B,"&lt;="&amp;'Cash Flow'!AL$3,'Wells Fargo'!$B:$B,"&gt;"&amp;'Cash Flow'!AK$3)</f>
        <v>0</v>
      </c>
      <c r="AM48" s="89">
        <f>SUMIFS('Wells Fargo'!$F:$F,'Wells Fargo'!$G:$G,'Cash Flow'!$A48,'Wells Fargo'!$A:$A,AM$1,'Wells Fargo'!$B:$B,"&lt;="&amp;'Cash Flow'!AM$3,'Wells Fargo'!$B:$B,"&gt;"&amp;'Cash Flow'!AL$3)</f>
        <v>0</v>
      </c>
      <c r="AN48" s="89">
        <f>SUMIFS('Wells Fargo'!$F:$F,'Wells Fargo'!$G:$G,'Cash Flow'!$A48,'Wells Fargo'!$A:$A,AN$1,'Wells Fargo'!$B:$B,"&lt;="&amp;'Cash Flow'!AN$3,'Wells Fargo'!$B:$B,"&gt;"&amp;'Cash Flow'!AM$3)</f>
        <v>0</v>
      </c>
      <c r="AO48" s="89">
        <f>SUMIFS('Wells Fargo'!$F:$F,'Wells Fargo'!$G:$G,'Cash Flow'!$A48,'Wells Fargo'!$A:$A,AO$1,'Wells Fargo'!$B:$B,"&lt;="&amp;'Cash Flow'!AO$3,'Wells Fargo'!$B:$B,"&gt;"&amp;'Cash Flow'!AN$3)</f>
        <v>0</v>
      </c>
      <c r="AP48" s="90">
        <f>SUMIFS('Wells Fargo'!$F:$F,'Wells Fargo'!$G:$G,'Cash Flow'!$A48,'Wells Fargo'!$A:$A,AP$1,'Wells Fargo'!$B:$B,"&lt;="&amp;'Cash Flow'!AP$3)</f>
        <v>0</v>
      </c>
      <c r="AQ48" s="89">
        <f>SUMIFS('Wells Fargo'!$F:$F,'Wells Fargo'!$G:$G,'Cash Flow'!$A48,'Wells Fargo'!$A:$A,AQ$1,'Wells Fargo'!$B:$B,"&lt;="&amp;'Cash Flow'!AQ$3,'Wells Fargo'!$B:$B,"&gt;"&amp;'Cash Flow'!AP$3)</f>
        <v>0</v>
      </c>
      <c r="AR48" s="89">
        <f>SUMIFS('Wells Fargo'!$F:$F,'Wells Fargo'!$G:$G,'Cash Flow'!$A48,'Wells Fargo'!$A:$A,AR$1,'Wells Fargo'!$B:$B,"&lt;="&amp;'Cash Flow'!AR$3,'Wells Fargo'!$B:$B,"&gt;"&amp;'Cash Flow'!AQ$3)</f>
        <v>0</v>
      </c>
      <c r="AS48" s="89">
        <f>SUMIFS('Wells Fargo'!$F:$F,'Wells Fargo'!$G:$G,'Cash Flow'!$A48,'Wells Fargo'!$A:$A,AS$1,'Wells Fargo'!$B:$B,"&lt;="&amp;'Cash Flow'!AS$3,'Wells Fargo'!$B:$B,"&gt;"&amp;'Cash Flow'!AR$3)</f>
        <v>0</v>
      </c>
      <c r="AT48" s="89">
        <f>SUMIFS('Wells Fargo'!$F:$F,'Wells Fargo'!$G:$G,'Cash Flow'!$A48,'Wells Fargo'!$A:$A,AT$1,'Wells Fargo'!$B:$B,"&lt;="&amp;'Cash Flow'!AT$3,'Wells Fargo'!$B:$B,"&gt;"&amp;'Cash Flow'!AS$3)</f>
        <v>0</v>
      </c>
      <c r="AU48" s="90">
        <f>SUMIFS('Wells Fargo'!$F:$F,'Wells Fargo'!$G:$G,'Cash Flow'!$A48,'Wells Fargo'!$A:$A,AU$1,'Wells Fargo'!$B:$B,"&lt;="&amp;'Cash Flow'!AU$3)</f>
        <v>0</v>
      </c>
      <c r="AV48" s="89">
        <f>SUMIFS('Wells Fargo'!$F:$F,'Wells Fargo'!$G:$G,'Cash Flow'!$A48,'Wells Fargo'!$A:$A,AV$1,'Wells Fargo'!$B:$B,"&lt;="&amp;'Cash Flow'!AV$3,'Wells Fargo'!$B:$B,"&gt;"&amp;'Cash Flow'!AU$3)</f>
        <v>0</v>
      </c>
      <c r="AW48" s="89">
        <f>SUMIFS('Wells Fargo'!$F:$F,'Wells Fargo'!$G:$G,'Cash Flow'!$A48,'Wells Fargo'!$A:$A,AW$1,'Wells Fargo'!$B:$B,"&lt;="&amp;'Cash Flow'!AW$3,'Wells Fargo'!$B:$B,"&gt;"&amp;'Cash Flow'!AV$3)</f>
        <v>0</v>
      </c>
      <c r="AX48" s="89">
        <f>SUMIFS('Wells Fargo'!$F:$F,'Wells Fargo'!$G:$G,'Cash Flow'!$A48,'Wells Fargo'!$A:$A,AX$1,'Wells Fargo'!$B:$B,"&lt;="&amp;'Cash Flow'!AX$3,'Wells Fargo'!$B:$B,"&gt;"&amp;'Cash Flow'!AW$3)</f>
        <v>0</v>
      </c>
      <c r="AY48" s="89">
        <f>SUMIFS('Wells Fargo'!$F:$F,'Wells Fargo'!$G:$G,'Cash Flow'!$A48,'Wells Fargo'!$A:$A,AY$1,'Wells Fargo'!$B:$B,"&lt;="&amp;'Cash Flow'!AY$3,'Wells Fargo'!$B:$B,"&gt;"&amp;'Cash Flow'!AX$3)</f>
        <v>0</v>
      </c>
      <c r="AZ48" s="90">
        <f>SUMIFS('Wells Fargo'!$F:$F,'Wells Fargo'!$G:$G,'Cash Flow'!$A48,'Wells Fargo'!$A:$A,AZ$1,'Wells Fargo'!$B:$B,"&lt;="&amp;'Cash Flow'!AZ$3)</f>
        <v>0</v>
      </c>
      <c r="BA48" s="89">
        <f>SUMIFS('Wells Fargo'!$F:$F,'Wells Fargo'!$G:$G,'Cash Flow'!$A48,'Wells Fargo'!$A:$A,BA$1,'Wells Fargo'!$B:$B,"&lt;="&amp;'Cash Flow'!BA$3,'Wells Fargo'!$B:$B,"&gt;"&amp;'Cash Flow'!AZ$3)</f>
        <v>0</v>
      </c>
      <c r="BB48" s="89">
        <f>SUMIFS('Wells Fargo'!$F:$F,'Wells Fargo'!$G:$G,'Cash Flow'!$A48,'Wells Fargo'!$A:$A,BB$1,'Wells Fargo'!$B:$B,"&lt;="&amp;'Cash Flow'!BB$3,'Wells Fargo'!$B:$B,"&gt;"&amp;'Cash Flow'!BA$3)</f>
        <v>0</v>
      </c>
      <c r="BC48" s="89">
        <f>SUMIFS('Wells Fargo'!$F:$F,'Wells Fargo'!$G:$G,'Cash Flow'!$A48,'Wells Fargo'!$A:$A,BC$1,'Wells Fargo'!$B:$B,"&lt;="&amp;'Cash Flow'!BC$3,'Wells Fargo'!$B:$B,"&gt;"&amp;'Cash Flow'!BB$3)</f>
        <v>0</v>
      </c>
      <c r="BD48" s="89">
        <f>SUMIFS('Wells Fargo'!$F:$F,'Wells Fargo'!$G:$G,'Cash Flow'!$A48,'Wells Fargo'!$A:$A,BD$1,'Wells Fargo'!$B:$B,"&lt;="&amp;'Cash Flow'!BD$3,'Wells Fargo'!$B:$B,"&gt;"&amp;'Cash Flow'!BC$3)</f>
        <v>0</v>
      </c>
      <c r="BE48" s="90">
        <f>SUMIFS('Wells Fargo'!$F:$F,'Wells Fargo'!$G:$G,'Cash Flow'!$A48,'Wells Fargo'!$A:$A,BE$1,'Wells Fargo'!$B:$B,"&lt;="&amp;'Cash Flow'!BE$3)</f>
        <v>0</v>
      </c>
      <c r="BF48" s="89">
        <f>SUMIFS('Wells Fargo'!$F:$F,'Wells Fargo'!$G:$G,'Cash Flow'!$A48,'Wells Fargo'!$A:$A,BF$1,'Wells Fargo'!$B:$B,"&lt;="&amp;'Cash Flow'!BF$3,'Wells Fargo'!$B:$B,"&gt;"&amp;'Cash Flow'!BE$3)</f>
        <v>0</v>
      </c>
      <c r="BG48" s="89">
        <f>SUMIFS('Wells Fargo'!$F:$F,'Wells Fargo'!$G:$G,'Cash Flow'!$A48,'Wells Fargo'!$A:$A,BG$1,'Wells Fargo'!$B:$B,"&lt;="&amp;'Cash Flow'!BG$3,'Wells Fargo'!$B:$B,"&gt;"&amp;'Cash Flow'!BF$3)</f>
        <v>0</v>
      </c>
      <c r="BH48" s="89">
        <f>SUMIFS('Wells Fargo'!$F:$F,'Wells Fargo'!$G:$G,'Cash Flow'!$A48,'Wells Fargo'!$A:$A,BH$1,'Wells Fargo'!$B:$B,"&lt;="&amp;'Cash Flow'!BH$3,'Wells Fargo'!$B:$B,"&gt;"&amp;'Cash Flow'!BG$3)</f>
        <v>0</v>
      </c>
      <c r="BI48" s="89">
        <f>SUMIFS('Wells Fargo'!$F:$F,'Wells Fargo'!$G:$G,'Cash Flow'!$A48,'Wells Fargo'!$A:$A,BI$1,'Wells Fargo'!$B:$B,"&lt;="&amp;'Cash Flow'!BI$3,'Wells Fargo'!$B:$B,"&gt;"&amp;'Cash Flow'!BH$3)</f>
        <v>0</v>
      </c>
    </row>
    <row r="49" spans="1:61" ht="12.75" x14ac:dyDescent="0.2">
      <c r="A49" t="str">
        <v>Shelley</v>
      </c>
      <c r="B49" s="15">
        <f t="shared" si="2"/>
        <v>-48.33</v>
      </c>
      <c r="C49" s="90">
        <f>SUMIFS('Wells Fargo'!$F:$F,'Wells Fargo'!$G:$G,'Cash Flow'!$A49,'Wells Fargo'!$A:$A,C$1,'Wells Fargo'!$B:$B,"&lt;="&amp;'Cash Flow'!C$3)</f>
        <v>0</v>
      </c>
      <c r="D49" s="89">
        <f>SUMIFS('Wells Fargo'!$F:$F,'Wells Fargo'!$G:$G,'Cash Flow'!$A49,'Wells Fargo'!$A:$A,D$1,'Wells Fargo'!$B:$B,"&lt;="&amp;'Cash Flow'!D$3,'Wells Fargo'!$B:$B,"&gt;"&amp;'Cash Flow'!C$3)</f>
        <v>0</v>
      </c>
      <c r="E49" s="89">
        <f>SUMIFS('Wells Fargo'!$F:$F,'Wells Fargo'!$G:$G,'Cash Flow'!$A49,'Wells Fargo'!$A:$A,E$1,'Wells Fargo'!$B:$B,"&lt;="&amp;'Cash Flow'!E$3,'Wells Fargo'!$B:$B,"&gt;"&amp;'Cash Flow'!D$3)</f>
        <v>0</v>
      </c>
      <c r="F49" s="89">
        <f>SUMIFS('Wells Fargo'!$F:$F,'Wells Fargo'!$G:$G,'Cash Flow'!$A49,'Wells Fargo'!$A:$A,F$1,'Wells Fargo'!$B:$B,"&lt;="&amp;'Cash Flow'!F$3,'Wells Fargo'!$B:$B,"&gt;"&amp;'Cash Flow'!E$3)</f>
        <v>0</v>
      </c>
      <c r="G49" s="89">
        <f>SUMIFS('Wells Fargo'!$F:$F,'Wells Fargo'!$G:$G,'Cash Flow'!$A49,'Wells Fargo'!$A:$A,G$1,'Wells Fargo'!$B:$B,"&lt;="&amp;'Cash Flow'!G$3,'Wells Fargo'!$B:$B,"&gt;"&amp;'Cash Flow'!F$3)</f>
        <v>0</v>
      </c>
      <c r="H49" s="90">
        <f>SUMIFS('Wells Fargo'!$F:$F,'Wells Fargo'!$G:$G,'Cash Flow'!$A49,'Wells Fargo'!$A:$A,H$1,'Wells Fargo'!$B:$B,"&lt;="&amp;'Cash Flow'!H$3)</f>
        <v>0</v>
      </c>
      <c r="I49" s="89">
        <f>SUMIFS('Wells Fargo'!$F:$F,'Wells Fargo'!$G:$G,'Cash Flow'!$A49,'Wells Fargo'!$A:$A,I$1,'Wells Fargo'!$B:$B,"&lt;="&amp;'Cash Flow'!I$3,'Wells Fargo'!$B:$B,"&gt;"&amp;'Cash Flow'!H$3)</f>
        <v>0</v>
      </c>
      <c r="J49" s="89">
        <f>SUMIFS('Wells Fargo'!$F:$F,'Wells Fargo'!$G:$G,'Cash Flow'!$A49,'Wells Fargo'!$A:$A,J$1,'Wells Fargo'!$B:$B,"&lt;="&amp;'Cash Flow'!J$3,'Wells Fargo'!$B:$B,"&gt;"&amp;'Cash Flow'!I$3)</f>
        <v>0</v>
      </c>
      <c r="K49" s="89">
        <f>SUMIFS('Wells Fargo'!$F:$F,'Wells Fargo'!$G:$G,'Cash Flow'!$A49,'Wells Fargo'!$A:$A,K$1,'Wells Fargo'!$B:$B,"&lt;="&amp;'Cash Flow'!K$3,'Wells Fargo'!$B:$B,"&gt;"&amp;'Cash Flow'!J$3)</f>
        <v>0</v>
      </c>
      <c r="L49" s="90">
        <f>SUMIFS('Wells Fargo'!$F:$F,'Wells Fargo'!$G:$G,'Cash Flow'!$A49,'Wells Fargo'!$A:$A,L$1,'Wells Fargo'!$B:$B,"&lt;="&amp;'Cash Flow'!L$3)</f>
        <v>0</v>
      </c>
      <c r="M49" s="89">
        <f>SUMIFS('Wells Fargo'!$F:$F,'Wells Fargo'!$G:$G,'Cash Flow'!$A49,'Wells Fargo'!$A:$A,M$1,'Wells Fargo'!$B:$B,"&lt;="&amp;'Cash Flow'!M$3,'Wells Fargo'!$B:$B,"&gt;"&amp;'Cash Flow'!L$3)</f>
        <v>0</v>
      </c>
      <c r="N49" s="89">
        <f>SUMIFS('Wells Fargo'!$F:$F,'Wells Fargo'!$G:$G,'Cash Flow'!$A49,'Wells Fargo'!$A:$A,N$1,'Wells Fargo'!$B:$B,"&lt;="&amp;'Cash Flow'!N$3,'Wells Fargo'!$B:$B,"&gt;"&amp;'Cash Flow'!M$3)</f>
        <v>0</v>
      </c>
      <c r="O49" s="89">
        <f>SUMIFS('Wells Fargo'!$F:$F,'Wells Fargo'!$G:$G,'Cash Flow'!$A49,'Wells Fargo'!$A:$A,O$1,'Wells Fargo'!$B:$B,"&lt;="&amp;'Cash Flow'!O$3,'Wells Fargo'!$B:$B,"&gt;"&amp;'Cash Flow'!N$3)</f>
        <v>-48.33</v>
      </c>
      <c r="P49" s="89">
        <f>SUMIFS('Wells Fargo'!$F:$F,'Wells Fargo'!$G:$G,'Cash Flow'!$A49,'Wells Fargo'!$A:$A,P$1,'Wells Fargo'!$B:$B,"&lt;="&amp;'Cash Flow'!P$3,'Wells Fargo'!$B:$B,"&gt;"&amp;'Cash Flow'!O$3)</f>
        <v>0</v>
      </c>
      <c r="Q49" s="90">
        <f>SUMIFS('Wells Fargo'!$F:$F,'Wells Fargo'!$G:$G,'Cash Flow'!$A49,'Wells Fargo'!$A:$A,Q$1,'Wells Fargo'!$B:$B,"&lt;="&amp;'Cash Flow'!Q$3)</f>
        <v>0</v>
      </c>
      <c r="R49" s="89">
        <f>SUMIFS('Wells Fargo'!$F:$F,'Wells Fargo'!$G:$G,'Cash Flow'!$A49,'Wells Fargo'!$A:$A,R$1,'Wells Fargo'!$B:$B,"&lt;="&amp;'Cash Flow'!R$3,'Wells Fargo'!$B:$B,"&gt;"&amp;'Cash Flow'!Q$3)</f>
        <v>0</v>
      </c>
      <c r="S49" s="89">
        <f>SUMIFS('Wells Fargo'!$F:$F,'Wells Fargo'!$G:$G,'Cash Flow'!$A49,'Wells Fargo'!$A:$A,S$1,'Wells Fargo'!$B:$B,"&lt;="&amp;'Cash Flow'!S$3,'Wells Fargo'!$B:$B,"&gt;"&amp;'Cash Flow'!R$3)</f>
        <v>0</v>
      </c>
      <c r="T49" s="89">
        <f>SUMIFS('Wells Fargo'!$F:$F,'Wells Fargo'!$G:$G,'Cash Flow'!$A49,'Wells Fargo'!$A:$A,T$1,'Wells Fargo'!$B:$B,"&lt;="&amp;'Cash Flow'!T$3,'Wells Fargo'!$B:$B,"&gt;"&amp;'Cash Flow'!S$3)</f>
        <v>0</v>
      </c>
      <c r="U49" s="89">
        <f>SUMIFS('Wells Fargo'!$F:$F,'Wells Fargo'!$G:$G,'Cash Flow'!$A49,'Wells Fargo'!$A:$A,U$1,'Wells Fargo'!$B:$B,"&lt;="&amp;'Cash Flow'!U$3,'Wells Fargo'!$B:$B,"&gt;"&amp;'Cash Flow'!T$3)</f>
        <v>0</v>
      </c>
      <c r="V49" s="90">
        <f>SUMIFS('Wells Fargo'!$F:$F,'Wells Fargo'!$G:$G,'Cash Flow'!$A49,'Wells Fargo'!$A:$A,V$1,'Wells Fargo'!$B:$B,"&lt;="&amp;'Cash Flow'!V$3)</f>
        <v>0</v>
      </c>
      <c r="W49" s="89">
        <f>SUMIFS('Wells Fargo'!$F:$F,'Wells Fargo'!$G:$G,'Cash Flow'!$A49,'Wells Fargo'!$A:$A,W$1,'Wells Fargo'!$B:$B,"&lt;="&amp;'Cash Flow'!W$3,'Wells Fargo'!$B:$B,"&gt;"&amp;'Cash Flow'!V$3)</f>
        <v>0</v>
      </c>
      <c r="X49" s="89">
        <f>SUMIFS('Wells Fargo'!$F:$F,'Wells Fargo'!$G:$G,'Cash Flow'!$A49,'Wells Fargo'!$A:$A,X$1,'Wells Fargo'!$B:$B,"&lt;="&amp;'Cash Flow'!X$3,'Wells Fargo'!$B:$B,"&gt;"&amp;'Cash Flow'!W$3)</f>
        <v>0</v>
      </c>
      <c r="Y49" s="89">
        <f>SUMIFS('Wells Fargo'!$F:$F,'Wells Fargo'!$G:$G,'Cash Flow'!$A49,'Wells Fargo'!$A:$A,Y$1,'Wells Fargo'!$B:$B,"&lt;="&amp;'Cash Flow'!Y$3,'Wells Fargo'!$B:$B,"&gt;"&amp;'Cash Flow'!X$3)</f>
        <v>0</v>
      </c>
      <c r="Z49" s="89">
        <f>SUMIFS('Wells Fargo'!$F:$F,'Wells Fargo'!$G:$G,'Cash Flow'!$A49,'Wells Fargo'!$A:$A,Z$1,'Wells Fargo'!$B:$B,"&lt;="&amp;'Cash Flow'!Z$3,'Wells Fargo'!$B:$B,"&gt;"&amp;'Cash Flow'!Y$3)</f>
        <v>0</v>
      </c>
      <c r="AA49" s="90">
        <f>SUMIFS('Wells Fargo'!$F:$F,'Wells Fargo'!$G:$G,'Cash Flow'!$A49,'Wells Fargo'!$A:$A,AA$1,'Wells Fargo'!$B:$B,"&lt;="&amp;'Cash Flow'!AA$3)</f>
        <v>0</v>
      </c>
      <c r="AB49" s="89">
        <f>SUMIFS('Wells Fargo'!$F:$F,'Wells Fargo'!$G:$G,'Cash Flow'!$A49,'Wells Fargo'!$A:$A,AB$1,'Wells Fargo'!$B:$B,"&lt;="&amp;'Cash Flow'!AB$3,'Wells Fargo'!$B:$B,"&gt;"&amp;'Cash Flow'!AA$3)</f>
        <v>0</v>
      </c>
      <c r="AC49" s="89">
        <f>SUMIFS('Wells Fargo'!$F:$F,'Wells Fargo'!$G:$G,'Cash Flow'!$A49,'Wells Fargo'!$A:$A,AC$1,'Wells Fargo'!$B:$B,"&lt;="&amp;'Cash Flow'!AC$3,'Wells Fargo'!$B:$B,"&gt;"&amp;'Cash Flow'!AB$3)</f>
        <v>0</v>
      </c>
      <c r="AD49" s="89">
        <f>SUMIFS('Wells Fargo'!$F:$F,'Wells Fargo'!$G:$G,'Cash Flow'!$A49,'Wells Fargo'!$A:$A,AD$1,'Wells Fargo'!$B:$B,"&lt;="&amp;'Cash Flow'!AD$3,'Wells Fargo'!$B:$B,"&gt;"&amp;'Cash Flow'!AC$3)</f>
        <v>0</v>
      </c>
      <c r="AE49" s="89">
        <f>SUMIFS('Wells Fargo'!$F:$F,'Wells Fargo'!$G:$G,'Cash Flow'!$A49,'Wells Fargo'!$A:$A,AE$1,'Wells Fargo'!$B:$B,"&lt;="&amp;'Cash Flow'!AE$3,'Wells Fargo'!$B:$B,"&gt;"&amp;'Cash Flow'!AD$3)</f>
        <v>0</v>
      </c>
      <c r="AF49" s="90">
        <f>SUMIFS('Wells Fargo'!$F:$F,'Wells Fargo'!$G:$G,'Cash Flow'!$A49,'Wells Fargo'!$A:$A,AF$1,'Wells Fargo'!$B:$B,"&lt;="&amp;'Cash Flow'!AF$3)</f>
        <v>0</v>
      </c>
      <c r="AG49" s="89">
        <f>SUMIFS('Wells Fargo'!$F:$F,'Wells Fargo'!$G:$G,'Cash Flow'!$A49,'Wells Fargo'!$A:$A,AG$1,'Wells Fargo'!$B:$B,"&lt;="&amp;'Cash Flow'!AG$3,'Wells Fargo'!$B:$B,"&gt;"&amp;'Cash Flow'!AF$3)</f>
        <v>0</v>
      </c>
      <c r="AH49" s="89">
        <f>SUMIFS('Wells Fargo'!$F:$F,'Wells Fargo'!$G:$G,'Cash Flow'!$A49,'Wells Fargo'!$A:$A,AH$1,'Wells Fargo'!$B:$B,"&lt;="&amp;'Cash Flow'!AH$3,'Wells Fargo'!$B:$B,"&gt;"&amp;'Cash Flow'!AG$3)</f>
        <v>0</v>
      </c>
      <c r="AI49" s="89">
        <f>SUMIFS('Wells Fargo'!$F:$F,'Wells Fargo'!$G:$G,'Cash Flow'!$A49,'Wells Fargo'!$A:$A,AI$1,'Wells Fargo'!$B:$B,"&lt;="&amp;'Cash Flow'!AI$3,'Wells Fargo'!$B:$B,"&gt;"&amp;'Cash Flow'!AH$3)</f>
        <v>0</v>
      </c>
      <c r="AJ49" s="89">
        <f>SUMIFS('Wells Fargo'!$F:$F,'Wells Fargo'!$G:$G,'Cash Flow'!$A49,'Wells Fargo'!$A:$A,AJ$1,'Wells Fargo'!$B:$B,"&lt;="&amp;'Cash Flow'!AJ$3,'Wells Fargo'!$B:$B,"&gt;"&amp;'Cash Flow'!AI$3)</f>
        <v>0</v>
      </c>
      <c r="AK49" s="90">
        <f>SUMIFS('Wells Fargo'!$F:$F,'Wells Fargo'!$G:$G,'Cash Flow'!$A49,'Wells Fargo'!$A:$A,AK$1,'Wells Fargo'!$B:$B,"&lt;="&amp;'Cash Flow'!AK$3)</f>
        <v>0</v>
      </c>
      <c r="AL49" s="89">
        <f>SUMIFS('Wells Fargo'!$F:$F,'Wells Fargo'!$G:$G,'Cash Flow'!$A49,'Wells Fargo'!$A:$A,AL$1,'Wells Fargo'!$B:$B,"&lt;="&amp;'Cash Flow'!AL$3,'Wells Fargo'!$B:$B,"&gt;"&amp;'Cash Flow'!AK$3)</f>
        <v>0</v>
      </c>
      <c r="AM49" s="89">
        <f>SUMIFS('Wells Fargo'!$F:$F,'Wells Fargo'!$G:$G,'Cash Flow'!$A49,'Wells Fargo'!$A:$A,AM$1,'Wells Fargo'!$B:$B,"&lt;="&amp;'Cash Flow'!AM$3,'Wells Fargo'!$B:$B,"&gt;"&amp;'Cash Flow'!AL$3)</f>
        <v>0</v>
      </c>
      <c r="AN49" s="89">
        <f>SUMIFS('Wells Fargo'!$F:$F,'Wells Fargo'!$G:$G,'Cash Flow'!$A49,'Wells Fargo'!$A:$A,AN$1,'Wells Fargo'!$B:$B,"&lt;="&amp;'Cash Flow'!AN$3,'Wells Fargo'!$B:$B,"&gt;"&amp;'Cash Flow'!AM$3)</f>
        <v>0</v>
      </c>
      <c r="AO49" s="89">
        <f>SUMIFS('Wells Fargo'!$F:$F,'Wells Fargo'!$G:$G,'Cash Flow'!$A49,'Wells Fargo'!$A:$A,AO$1,'Wells Fargo'!$B:$B,"&lt;="&amp;'Cash Flow'!AO$3,'Wells Fargo'!$B:$B,"&gt;"&amp;'Cash Flow'!AN$3)</f>
        <v>0</v>
      </c>
      <c r="AP49" s="90">
        <f>SUMIFS('Wells Fargo'!$F:$F,'Wells Fargo'!$G:$G,'Cash Flow'!$A49,'Wells Fargo'!$A:$A,AP$1,'Wells Fargo'!$B:$B,"&lt;="&amp;'Cash Flow'!AP$3)</f>
        <v>0</v>
      </c>
      <c r="AQ49" s="89">
        <f>SUMIFS('Wells Fargo'!$F:$F,'Wells Fargo'!$G:$G,'Cash Flow'!$A49,'Wells Fargo'!$A:$A,AQ$1,'Wells Fargo'!$B:$B,"&lt;="&amp;'Cash Flow'!AQ$3,'Wells Fargo'!$B:$B,"&gt;"&amp;'Cash Flow'!AP$3)</f>
        <v>0</v>
      </c>
      <c r="AR49" s="89">
        <f>SUMIFS('Wells Fargo'!$F:$F,'Wells Fargo'!$G:$G,'Cash Flow'!$A49,'Wells Fargo'!$A:$A,AR$1,'Wells Fargo'!$B:$B,"&lt;="&amp;'Cash Flow'!AR$3,'Wells Fargo'!$B:$B,"&gt;"&amp;'Cash Flow'!AQ$3)</f>
        <v>0</v>
      </c>
      <c r="AS49" s="89">
        <f>SUMIFS('Wells Fargo'!$F:$F,'Wells Fargo'!$G:$G,'Cash Flow'!$A49,'Wells Fargo'!$A:$A,AS$1,'Wells Fargo'!$B:$B,"&lt;="&amp;'Cash Flow'!AS$3,'Wells Fargo'!$B:$B,"&gt;"&amp;'Cash Flow'!AR$3)</f>
        <v>0</v>
      </c>
      <c r="AT49" s="89">
        <f>SUMIFS('Wells Fargo'!$F:$F,'Wells Fargo'!$G:$G,'Cash Flow'!$A49,'Wells Fargo'!$A:$A,AT$1,'Wells Fargo'!$B:$B,"&lt;="&amp;'Cash Flow'!AT$3,'Wells Fargo'!$B:$B,"&gt;"&amp;'Cash Flow'!AS$3)</f>
        <v>0</v>
      </c>
      <c r="AU49" s="90">
        <f>SUMIFS('Wells Fargo'!$F:$F,'Wells Fargo'!$G:$G,'Cash Flow'!$A49,'Wells Fargo'!$A:$A,AU$1,'Wells Fargo'!$B:$B,"&lt;="&amp;'Cash Flow'!AU$3)</f>
        <v>0</v>
      </c>
      <c r="AV49" s="89">
        <f>SUMIFS('Wells Fargo'!$F:$F,'Wells Fargo'!$G:$G,'Cash Flow'!$A49,'Wells Fargo'!$A:$A,AV$1,'Wells Fargo'!$B:$B,"&lt;="&amp;'Cash Flow'!AV$3,'Wells Fargo'!$B:$B,"&gt;"&amp;'Cash Flow'!AU$3)</f>
        <v>0</v>
      </c>
      <c r="AW49" s="89">
        <f>SUMIFS('Wells Fargo'!$F:$F,'Wells Fargo'!$G:$G,'Cash Flow'!$A49,'Wells Fargo'!$A:$A,AW$1,'Wells Fargo'!$B:$B,"&lt;="&amp;'Cash Flow'!AW$3,'Wells Fargo'!$B:$B,"&gt;"&amp;'Cash Flow'!AV$3)</f>
        <v>0</v>
      </c>
      <c r="AX49" s="89">
        <f>SUMIFS('Wells Fargo'!$F:$F,'Wells Fargo'!$G:$G,'Cash Flow'!$A49,'Wells Fargo'!$A:$A,AX$1,'Wells Fargo'!$B:$B,"&lt;="&amp;'Cash Flow'!AX$3,'Wells Fargo'!$B:$B,"&gt;"&amp;'Cash Flow'!AW$3)</f>
        <v>0</v>
      </c>
      <c r="AY49" s="89">
        <f>SUMIFS('Wells Fargo'!$F:$F,'Wells Fargo'!$G:$G,'Cash Flow'!$A49,'Wells Fargo'!$A:$A,AY$1,'Wells Fargo'!$B:$B,"&lt;="&amp;'Cash Flow'!AY$3,'Wells Fargo'!$B:$B,"&gt;"&amp;'Cash Flow'!AX$3)</f>
        <v>0</v>
      </c>
      <c r="AZ49" s="90">
        <f>SUMIFS('Wells Fargo'!$F:$F,'Wells Fargo'!$G:$G,'Cash Flow'!$A49,'Wells Fargo'!$A:$A,AZ$1,'Wells Fargo'!$B:$B,"&lt;="&amp;'Cash Flow'!AZ$3)</f>
        <v>0</v>
      </c>
      <c r="BA49" s="89">
        <f>SUMIFS('Wells Fargo'!$F:$F,'Wells Fargo'!$G:$G,'Cash Flow'!$A49,'Wells Fargo'!$A:$A,BA$1,'Wells Fargo'!$B:$B,"&lt;="&amp;'Cash Flow'!BA$3,'Wells Fargo'!$B:$B,"&gt;"&amp;'Cash Flow'!AZ$3)</f>
        <v>0</v>
      </c>
      <c r="BB49" s="89">
        <f>SUMIFS('Wells Fargo'!$F:$F,'Wells Fargo'!$G:$G,'Cash Flow'!$A49,'Wells Fargo'!$A:$A,BB$1,'Wells Fargo'!$B:$B,"&lt;="&amp;'Cash Flow'!BB$3,'Wells Fargo'!$B:$B,"&gt;"&amp;'Cash Flow'!BA$3)</f>
        <v>0</v>
      </c>
      <c r="BC49" s="89">
        <f>SUMIFS('Wells Fargo'!$F:$F,'Wells Fargo'!$G:$G,'Cash Flow'!$A49,'Wells Fargo'!$A:$A,BC$1,'Wells Fargo'!$B:$B,"&lt;="&amp;'Cash Flow'!BC$3,'Wells Fargo'!$B:$B,"&gt;"&amp;'Cash Flow'!BB$3)</f>
        <v>0</v>
      </c>
      <c r="BD49" s="89">
        <f>SUMIFS('Wells Fargo'!$F:$F,'Wells Fargo'!$G:$G,'Cash Flow'!$A49,'Wells Fargo'!$A:$A,BD$1,'Wells Fargo'!$B:$B,"&lt;="&amp;'Cash Flow'!BD$3,'Wells Fargo'!$B:$B,"&gt;"&amp;'Cash Flow'!BC$3)</f>
        <v>0</v>
      </c>
      <c r="BE49" s="90">
        <f>SUMIFS('Wells Fargo'!$F:$F,'Wells Fargo'!$G:$G,'Cash Flow'!$A49,'Wells Fargo'!$A:$A,BE$1,'Wells Fargo'!$B:$B,"&lt;="&amp;'Cash Flow'!BE$3)</f>
        <v>0</v>
      </c>
      <c r="BF49" s="89">
        <f>SUMIFS('Wells Fargo'!$F:$F,'Wells Fargo'!$G:$G,'Cash Flow'!$A49,'Wells Fargo'!$A:$A,BF$1,'Wells Fargo'!$B:$B,"&lt;="&amp;'Cash Flow'!BF$3,'Wells Fargo'!$B:$B,"&gt;"&amp;'Cash Flow'!BE$3)</f>
        <v>0</v>
      </c>
      <c r="BG49" s="89">
        <f>SUMIFS('Wells Fargo'!$F:$F,'Wells Fargo'!$G:$G,'Cash Flow'!$A49,'Wells Fargo'!$A:$A,BG$1,'Wells Fargo'!$B:$B,"&lt;="&amp;'Cash Flow'!BG$3,'Wells Fargo'!$B:$B,"&gt;"&amp;'Cash Flow'!BF$3)</f>
        <v>0</v>
      </c>
      <c r="BH49" s="89">
        <f>SUMIFS('Wells Fargo'!$F:$F,'Wells Fargo'!$G:$G,'Cash Flow'!$A49,'Wells Fargo'!$A:$A,BH$1,'Wells Fargo'!$B:$B,"&lt;="&amp;'Cash Flow'!BH$3,'Wells Fargo'!$B:$B,"&gt;"&amp;'Cash Flow'!BG$3)</f>
        <v>0</v>
      </c>
      <c r="BI49" s="89">
        <f>SUMIFS('Wells Fargo'!$F:$F,'Wells Fargo'!$G:$G,'Cash Flow'!$A49,'Wells Fargo'!$A:$A,BI$1,'Wells Fargo'!$B:$B,"&lt;="&amp;'Cash Flow'!BI$3,'Wells Fargo'!$B:$B,"&gt;"&amp;'Cash Flow'!BH$3)</f>
        <v>0</v>
      </c>
    </row>
    <row r="50" spans="1:61" ht="12.75" x14ac:dyDescent="0.2">
      <c r="A50" t="str">
        <v>Shevon</v>
      </c>
      <c r="B50" s="15">
        <f t="shared" si="2"/>
        <v>-1131.95</v>
      </c>
      <c r="C50" s="90">
        <f>SUMIFS('Wells Fargo'!$F:$F,'Wells Fargo'!$G:$G,'Cash Flow'!$A50,'Wells Fargo'!$A:$A,C$1,'Wells Fargo'!$B:$B,"&lt;="&amp;'Cash Flow'!C$3)</f>
        <v>0</v>
      </c>
      <c r="D50" s="89">
        <f>SUMIFS('Wells Fargo'!$F:$F,'Wells Fargo'!$G:$G,'Cash Flow'!$A50,'Wells Fargo'!$A:$A,D$1,'Wells Fargo'!$B:$B,"&lt;="&amp;'Cash Flow'!D$3,'Wells Fargo'!$B:$B,"&gt;"&amp;'Cash Flow'!C$3)</f>
        <v>0</v>
      </c>
      <c r="E50" s="89">
        <f>SUMIFS('Wells Fargo'!$F:$F,'Wells Fargo'!$G:$G,'Cash Flow'!$A50,'Wells Fargo'!$A:$A,E$1,'Wells Fargo'!$B:$B,"&lt;="&amp;'Cash Flow'!E$3,'Wells Fargo'!$B:$B,"&gt;"&amp;'Cash Flow'!D$3)</f>
        <v>0</v>
      </c>
      <c r="F50" s="89">
        <f>SUMIFS('Wells Fargo'!$F:$F,'Wells Fargo'!$G:$G,'Cash Flow'!$A50,'Wells Fargo'!$A:$A,F$1,'Wells Fargo'!$B:$B,"&lt;="&amp;'Cash Flow'!F$3,'Wells Fargo'!$B:$B,"&gt;"&amp;'Cash Flow'!E$3)</f>
        <v>0</v>
      </c>
      <c r="G50" s="89">
        <f>SUMIFS('Wells Fargo'!$F:$F,'Wells Fargo'!$G:$G,'Cash Flow'!$A50,'Wells Fargo'!$A:$A,G$1,'Wells Fargo'!$B:$B,"&lt;="&amp;'Cash Flow'!G$3,'Wells Fargo'!$B:$B,"&gt;"&amp;'Cash Flow'!F$3)</f>
        <v>0</v>
      </c>
      <c r="H50" s="90">
        <f>SUMIFS('Wells Fargo'!$F:$F,'Wells Fargo'!$G:$G,'Cash Flow'!$A50,'Wells Fargo'!$A:$A,H$1,'Wells Fargo'!$B:$B,"&lt;="&amp;'Cash Flow'!H$3)</f>
        <v>0</v>
      </c>
      <c r="I50" s="89">
        <f>SUMIFS('Wells Fargo'!$F:$F,'Wells Fargo'!$G:$G,'Cash Flow'!$A50,'Wells Fargo'!$A:$A,I$1,'Wells Fargo'!$B:$B,"&lt;="&amp;'Cash Flow'!I$3,'Wells Fargo'!$B:$B,"&gt;"&amp;'Cash Flow'!H$3)</f>
        <v>0</v>
      </c>
      <c r="J50" s="89">
        <f>SUMIFS('Wells Fargo'!$F:$F,'Wells Fargo'!$G:$G,'Cash Flow'!$A50,'Wells Fargo'!$A:$A,J$1,'Wells Fargo'!$B:$B,"&lt;="&amp;'Cash Flow'!J$3,'Wells Fargo'!$B:$B,"&gt;"&amp;'Cash Flow'!I$3)</f>
        <v>0</v>
      </c>
      <c r="K50" s="89">
        <f>SUMIFS('Wells Fargo'!$F:$F,'Wells Fargo'!$G:$G,'Cash Flow'!$A50,'Wells Fargo'!$A:$A,K$1,'Wells Fargo'!$B:$B,"&lt;="&amp;'Cash Flow'!K$3,'Wells Fargo'!$B:$B,"&gt;"&amp;'Cash Flow'!J$3)</f>
        <v>0</v>
      </c>
      <c r="L50" s="90">
        <f>SUMIFS('Wells Fargo'!$F:$F,'Wells Fargo'!$G:$G,'Cash Flow'!$A50,'Wells Fargo'!$A:$A,L$1,'Wells Fargo'!$B:$B,"&lt;="&amp;'Cash Flow'!L$3)</f>
        <v>0</v>
      </c>
      <c r="M50" s="89">
        <f>SUMIFS('Wells Fargo'!$F:$F,'Wells Fargo'!$G:$G,'Cash Flow'!$A50,'Wells Fargo'!$A:$A,M$1,'Wells Fargo'!$B:$B,"&lt;="&amp;'Cash Flow'!M$3,'Wells Fargo'!$B:$B,"&gt;"&amp;'Cash Flow'!L$3)</f>
        <v>0</v>
      </c>
      <c r="N50" s="89">
        <f>SUMIFS('Wells Fargo'!$F:$F,'Wells Fargo'!$G:$G,'Cash Flow'!$A50,'Wells Fargo'!$A:$A,N$1,'Wells Fargo'!$B:$B,"&lt;="&amp;'Cash Flow'!N$3,'Wells Fargo'!$B:$B,"&gt;"&amp;'Cash Flow'!M$3)</f>
        <v>0</v>
      </c>
      <c r="O50" s="89">
        <f>SUMIFS('Wells Fargo'!$F:$F,'Wells Fargo'!$G:$G,'Cash Flow'!$A50,'Wells Fargo'!$A:$A,O$1,'Wells Fargo'!$B:$B,"&lt;="&amp;'Cash Flow'!O$3,'Wells Fargo'!$B:$B,"&gt;"&amp;'Cash Flow'!N$3)</f>
        <v>0</v>
      </c>
      <c r="P50" s="89">
        <f>SUMIFS('Wells Fargo'!$F:$F,'Wells Fargo'!$G:$G,'Cash Flow'!$A50,'Wells Fargo'!$A:$A,P$1,'Wells Fargo'!$B:$B,"&lt;="&amp;'Cash Flow'!P$3,'Wells Fargo'!$B:$B,"&gt;"&amp;'Cash Flow'!O$3)</f>
        <v>0</v>
      </c>
      <c r="Q50" s="90">
        <f>SUMIFS('Wells Fargo'!$F:$F,'Wells Fargo'!$G:$G,'Cash Flow'!$A50,'Wells Fargo'!$A:$A,Q$1,'Wells Fargo'!$B:$B,"&lt;="&amp;'Cash Flow'!Q$3)</f>
        <v>-400</v>
      </c>
      <c r="R50" s="89">
        <f>SUMIFS('Wells Fargo'!$F:$F,'Wells Fargo'!$G:$G,'Cash Flow'!$A50,'Wells Fargo'!$A:$A,R$1,'Wells Fargo'!$B:$B,"&lt;="&amp;'Cash Flow'!R$3,'Wells Fargo'!$B:$B,"&gt;"&amp;'Cash Flow'!Q$3)</f>
        <v>0</v>
      </c>
      <c r="S50" s="89">
        <f>SUMIFS('Wells Fargo'!$F:$F,'Wells Fargo'!$G:$G,'Cash Flow'!$A50,'Wells Fargo'!$A:$A,S$1,'Wells Fargo'!$B:$B,"&lt;="&amp;'Cash Flow'!S$3,'Wells Fargo'!$B:$B,"&gt;"&amp;'Cash Flow'!R$3)</f>
        <v>0</v>
      </c>
      <c r="T50" s="89">
        <f>SUMIFS('Wells Fargo'!$F:$F,'Wells Fargo'!$G:$G,'Cash Flow'!$A50,'Wells Fargo'!$A:$A,T$1,'Wells Fargo'!$B:$B,"&lt;="&amp;'Cash Flow'!T$3,'Wells Fargo'!$B:$B,"&gt;"&amp;'Cash Flow'!S$3)</f>
        <v>0</v>
      </c>
      <c r="U50" s="89">
        <f>SUMIFS('Wells Fargo'!$F:$F,'Wells Fargo'!$G:$G,'Cash Flow'!$A50,'Wells Fargo'!$A:$A,U$1,'Wells Fargo'!$B:$B,"&lt;="&amp;'Cash Flow'!U$3,'Wells Fargo'!$B:$B,"&gt;"&amp;'Cash Flow'!T$3)</f>
        <v>0</v>
      </c>
      <c r="V50" s="90">
        <f>SUMIFS('Wells Fargo'!$F:$F,'Wells Fargo'!$G:$G,'Cash Flow'!$A50,'Wells Fargo'!$A:$A,V$1,'Wells Fargo'!$B:$B,"&lt;="&amp;'Cash Flow'!V$3)</f>
        <v>0</v>
      </c>
      <c r="W50" s="89">
        <f>SUMIFS('Wells Fargo'!$F:$F,'Wells Fargo'!$G:$G,'Cash Flow'!$A50,'Wells Fargo'!$A:$A,W$1,'Wells Fargo'!$B:$B,"&lt;="&amp;'Cash Flow'!W$3,'Wells Fargo'!$B:$B,"&gt;"&amp;'Cash Flow'!V$3)</f>
        <v>0</v>
      </c>
      <c r="X50" s="89">
        <f>SUMIFS('Wells Fargo'!$F:$F,'Wells Fargo'!$G:$G,'Cash Flow'!$A50,'Wells Fargo'!$A:$A,X$1,'Wells Fargo'!$B:$B,"&lt;="&amp;'Cash Flow'!X$3,'Wells Fargo'!$B:$B,"&gt;"&amp;'Cash Flow'!W$3)</f>
        <v>0</v>
      </c>
      <c r="Y50" s="89">
        <f>SUMIFS('Wells Fargo'!$F:$F,'Wells Fargo'!$G:$G,'Cash Flow'!$A50,'Wells Fargo'!$A:$A,Y$1,'Wells Fargo'!$B:$B,"&lt;="&amp;'Cash Flow'!Y$3,'Wells Fargo'!$B:$B,"&gt;"&amp;'Cash Flow'!X$3)</f>
        <v>-140</v>
      </c>
      <c r="Z50" s="89">
        <f>SUMIFS('Wells Fargo'!$F:$F,'Wells Fargo'!$G:$G,'Cash Flow'!$A50,'Wells Fargo'!$A:$A,Z$1,'Wells Fargo'!$B:$B,"&lt;="&amp;'Cash Flow'!Z$3,'Wells Fargo'!$B:$B,"&gt;"&amp;'Cash Flow'!Y$3)</f>
        <v>0</v>
      </c>
      <c r="AA50" s="90">
        <f>SUMIFS('Wells Fargo'!$F:$F,'Wells Fargo'!$G:$G,'Cash Flow'!$A50,'Wells Fargo'!$A:$A,AA$1,'Wells Fargo'!$B:$B,"&lt;="&amp;'Cash Flow'!AA$3)</f>
        <v>0</v>
      </c>
      <c r="AB50" s="89">
        <f>SUMIFS('Wells Fargo'!$F:$F,'Wells Fargo'!$G:$G,'Cash Flow'!$A50,'Wells Fargo'!$A:$A,AB$1,'Wells Fargo'!$B:$B,"&lt;="&amp;'Cash Flow'!AB$3,'Wells Fargo'!$B:$B,"&gt;"&amp;'Cash Flow'!AA$3)</f>
        <v>128.05000000000001</v>
      </c>
      <c r="AC50" s="89">
        <f>SUMIFS('Wells Fargo'!$F:$F,'Wells Fargo'!$G:$G,'Cash Flow'!$A50,'Wells Fargo'!$A:$A,AC$1,'Wells Fargo'!$B:$B,"&lt;="&amp;'Cash Flow'!AC$3,'Wells Fargo'!$B:$B,"&gt;"&amp;'Cash Flow'!AB$3)</f>
        <v>0</v>
      </c>
      <c r="AD50" s="89">
        <f>SUMIFS('Wells Fargo'!$F:$F,'Wells Fargo'!$G:$G,'Cash Flow'!$A50,'Wells Fargo'!$A:$A,AD$1,'Wells Fargo'!$B:$B,"&lt;="&amp;'Cash Flow'!AD$3,'Wells Fargo'!$B:$B,"&gt;"&amp;'Cash Flow'!AC$3)</f>
        <v>0</v>
      </c>
      <c r="AE50" s="89">
        <f>SUMIFS('Wells Fargo'!$F:$F,'Wells Fargo'!$G:$G,'Cash Flow'!$A50,'Wells Fargo'!$A:$A,AE$1,'Wells Fargo'!$B:$B,"&lt;="&amp;'Cash Flow'!AE$3,'Wells Fargo'!$B:$B,"&gt;"&amp;'Cash Flow'!AD$3)</f>
        <v>0</v>
      </c>
      <c r="AF50" s="90">
        <f>SUMIFS('Wells Fargo'!$F:$F,'Wells Fargo'!$G:$G,'Cash Flow'!$A50,'Wells Fargo'!$A:$A,AF$1,'Wells Fargo'!$B:$B,"&lt;="&amp;'Cash Flow'!AF$3)</f>
        <v>0</v>
      </c>
      <c r="AG50" s="89">
        <f>SUMIFS('Wells Fargo'!$F:$F,'Wells Fargo'!$G:$G,'Cash Flow'!$A50,'Wells Fargo'!$A:$A,AG$1,'Wells Fargo'!$B:$B,"&lt;="&amp;'Cash Flow'!AG$3,'Wells Fargo'!$B:$B,"&gt;"&amp;'Cash Flow'!AF$3)</f>
        <v>0</v>
      </c>
      <c r="AH50" s="89">
        <f>SUMIFS('Wells Fargo'!$F:$F,'Wells Fargo'!$G:$G,'Cash Flow'!$A50,'Wells Fargo'!$A:$A,AH$1,'Wells Fargo'!$B:$B,"&lt;="&amp;'Cash Flow'!AH$3,'Wells Fargo'!$B:$B,"&gt;"&amp;'Cash Flow'!AG$3)</f>
        <v>-200</v>
      </c>
      <c r="AI50" s="89">
        <f>SUMIFS('Wells Fargo'!$F:$F,'Wells Fargo'!$G:$G,'Cash Flow'!$A50,'Wells Fargo'!$A:$A,AI$1,'Wells Fargo'!$B:$B,"&lt;="&amp;'Cash Flow'!AI$3,'Wells Fargo'!$B:$B,"&gt;"&amp;'Cash Flow'!AH$3)</f>
        <v>0</v>
      </c>
      <c r="AJ50" s="89">
        <f>SUMIFS('Wells Fargo'!$F:$F,'Wells Fargo'!$G:$G,'Cash Flow'!$A50,'Wells Fargo'!$A:$A,AJ$1,'Wells Fargo'!$B:$B,"&lt;="&amp;'Cash Flow'!AJ$3,'Wells Fargo'!$B:$B,"&gt;"&amp;'Cash Flow'!AI$3)</f>
        <v>0</v>
      </c>
      <c r="AK50" s="90">
        <f>SUMIFS('Wells Fargo'!$F:$F,'Wells Fargo'!$G:$G,'Cash Flow'!$A50,'Wells Fargo'!$A:$A,AK$1,'Wells Fargo'!$B:$B,"&lt;="&amp;'Cash Flow'!AK$3)</f>
        <v>-230</v>
      </c>
      <c r="AL50" s="89">
        <f>SUMIFS('Wells Fargo'!$F:$F,'Wells Fargo'!$G:$G,'Cash Flow'!$A50,'Wells Fargo'!$A:$A,AL$1,'Wells Fargo'!$B:$B,"&lt;="&amp;'Cash Flow'!AL$3,'Wells Fargo'!$B:$B,"&gt;"&amp;'Cash Flow'!AK$3)</f>
        <v>0</v>
      </c>
      <c r="AM50" s="89">
        <f>SUMIFS('Wells Fargo'!$F:$F,'Wells Fargo'!$G:$G,'Cash Flow'!$A50,'Wells Fargo'!$A:$A,AM$1,'Wells Fargo'!$B:$B,"&lt;="&amp;'Cash Flow'!AM$3,'Wells Fargo'!$B:$B,"&gt;"&amp;'Cash Flow'!AL$3)</f>
        <v>0</v>
      </c>
      <c r="AN50" s="89">
        <f>SUMIFS('Wells Fargo'!$F:$F,'Wells Fargo'!$G:$G,'Cash Flow'!$A50,'Wells Fargo'!$A:$A,AN$1,'Wells Fargo'!$B:$B,"&lt;="&amp;'Cash Flow'!AN$3,'Wells Fargo'!$B:$B,"&gt;"&amp;'Cash Flow'!AM$3)</f>
        <v>-230</v>
      </c>
      <c r="AO50" s="89">
        <f>SUMIFS('Wells Fargo'!$F:$F,'Wells Fargo'!$G:$G,'Cash Flow'!$A50,'Wells Fargo'!$A:$A,AO$1,'Wells Fargo'!$B:$B,"&lt;="&amp;'Cash Flow'!AO$3,'Wells Fargo'!$B:$B,"&gt;"&amp;'Cash Flow'!AN$3)</f>
        <v>0</v>
      </c>
      <c r="AP50" s="90">
        <f>SUMIFS('Wells Fargo'!$F:$F,'Wells Fargo'!$G:$G,'Cash Flow'!$A50,'Wells Fargo'!$A:$A,AP$1,'Wells Fargo'!$B:$B,"&lt;="&amp;'Cash Flow'!AP$3)</f>
        <v>0</v>
      </c>
      <c r="AQ50" s="89">
        <f>SUMIFS('Wells Fargo'!$F:$F,'Wells Fargo'!$G:$G,'Cash Flow'!$A50,'Wells Fargo'!$A:$A,AQ$1,'Wells Fargo'!$B:$B,"&lt;="&amp;'Cash Flow'!AQ$3,'Wells Fargo'!$B:$B,"&gt;"&amp;'Cash Flow'!AP$3)</f>
        <v>0</v>
      </c>
      <c r="AR50" s="89">
        <f>SUMIFS('Wells Fargo'!$F:$F,'Wells Fargo'!$G:$G,'Cash Flow'!$A50,'Wells Fargo'!$A:$A,AR$1,'Wells Fargo'!$B:$B,"&lt;="&amp;'Cash Flow'!AR$3,'Wells Fargo'!$B:$B,"&gt;"&amp;'Cash Flow'!AQ$3)</f>
        <v>0</v>
      </c>
      <c r="AS50" s="89">
        <f>SUMIFS('Wells Fargo'!$F:$F,'Wells Fargo'!$G:$G,'Cash Flow'!$A50,'Wells Fargo'!$A:$A,AS$1,'Wells Fargo'!$B:$B,"&lt;="&amp;'Cash Flow'!AS$3,'Wells Fargo'!$B:$B,"&gt;"&amp;'Cash Flow'!AR$3)</f>
        <v>-60</v>
      </c>
      <c r="AT50" s="89">
        <f>SUMIFS('Wells Fargo'!$F:$F,'Wells Fargo'!$G:$G,'Cash Flow'!$A50,'Wells Fargo'!$A:$A,AT$1,'Wells Fargo'!$B:$B,"&lt;="&amp;'Cash Flow'!AT$3,'Wells Fargo'!$B:$B,"&gt;"&amp;'Cash Flow'!AS$3)</f>
        <v>0</v>
      </c>
      <c r="AU50" s="90">
        <f>SUMIFS('Wells Fargo'!$F:$F,'Wells Fargo'!$G:$G,'Cash Flow'!$A50,'Wells Fargo'!$A:$A,AU$1,'Wells Fargo'!$B:$B,"&lt;="&amp;'Cash Flow'!AU$3)</f>
        <v>0</v>
      </c>
      <c r="AV50" s="89">
        <f>SUMIFS('Wells Fargo'!$F:$F,'Wells Fargo'!$G:$G,'Cash Flow'!$A50,'Wells Fargo'!$A:$A,AV$1,'Wells Fargo'!$B:$B,"&lt;="&amp;'Cash Flow'!AV$3,'Wells Fargo'!$B:$B,"&gt;"&amp;'Cash Flow'!AU$3)</f>
        <v>0</v>
      </c>
      <c r="AW50" s="89">
        <f>SUMIFS('Wells Fargo'!$F:$F,'Wells Fargo'!$G:$G,'Cash Flow'!$A50,'Wells Fargo'!$A:$A,AW$1,'Wells Fargo'!$B:$B,"&lt;="&amp;'Cash Flow'!AW$3,'Wells Fargo'!$B:$B,"&gt;"&amp;'Cash Flow'!AV$3)</f>
        <v>0</v>
      </c>
      <c r="AX50" s="89">
        <f>SUMIFS('Wells Fargo'!$F:$F,'Wells Fargo'!$G:$G,'Cash Flow'!$A50,'Wells Fargo'!$A:$A,AX$1,'Wells Fargo'!$B:$B,"&lt;="&amp;'Cash Flow'!AX$3,'Wells Fargo'!$B:$B,"&gt;"&amp;'Cash Flow'!AW$3)</f>
        <v>0</v>
      </c>
      <c r="AY50" s="89">
        <f>SUMIFS('Wells Fargo'!$F:$F,'Wells Fargo'!$G:$G,'Cash Flow'!$A50,'Wells Fargo'!$A:$A,AY$1,'Wells Fargo'!$B:$B,"&lt;="&amp;'Cash Flow'!AY$3,'Wells Fargo'!$B:$B,"&gt;"&amp;'Cash Flow'!AX$3)</f>
        <v>0</v>
      </c>
      <c r="AZ50" s="90">
        <f>SUMIFS('Wells Fargo'!$F:$F,'Wells Fargo'!$G:$G,'Cash Flow'!$A50,'Wells Fargo'!$A:$A,AZ$1,'Wells Fargo'!$B:$B,"&lt;="&amp;'Cash Flow'!AZ$3)</f>
        <v>0</v>
      </c>
      <c r="BA50" s="89">
        <f>SUMIFS('Wells Fargo'!$F:$F,'Wells Fargo'!$G:$G,'Cash Flow'!$A50,'Wells Fargo'!$A:$A,BA$1,'Wells Fargo'!$B:$B,"&lt;="&amp;'Cash Flow'!BA$3,'Wells Fargo'!$B:$B,"&gt;"&amp;'Cash Flow'!AZ$3)</f>
        <v>0</v>
      </c>
      <c r="BB50" s="89">
        <f>SUMIFS('Wells Fargo'!$F:$F,'Wells Fargo'!$G:$G,'Cash Flow'!$A50,'Wells Fargo'!$A:$A,BB$1,'Wells Fargo'!$B:$B,"&lt;="&amp;'Cash Flow'!BB$3,'Wells Fargo'!$B:$B,"&gt;"&amp;'Cash Flow'!BA$3)</f>
        <v>0</v>
      </c>
      <c r="BC50" s="89">
        <f>SUMIFS('Wells Fargo'!$F:$F,'Wells Fargo'!$G:$G,'Cash Flow'!$A50,'Wells Fargo'!$A:$A,BC$1,'Wells Fargo'!$B:$B,"&lt;="&amp;'Cash Flow'!BC$3,'Wells Fargo'!$B:$B,"&gt;"&amp;'Cash Flow'!BB$3)</f>
        <v>0</v>
      </c>
      <c r="BD50" s="89">
        <f>SUMIFS('Wells Fargo'!$F:$F,'Wells Fargo'!$G:$G,'Cash Flow'!$A50,'Wells Fargo'!$A:$A,BD$1,'Wells Fargo'!$B:$B,"&lt;="&amp;'Cash Flow'!BD$3,'Wells Fargo'!$B:$B,"&gt;"&amp;'Cash Flow'!BC$3)</f>
        <v>0</v>
      </c>
      <c r="BE50" s="90">
        <f>SUMIFS('Wells Fargo'!$F:$F,'Wells Fargo'!$G:$G,'Cash Flow'!$A50,'Wells Fargo'!$A:$A,BE$1,'Wells Fargo'!$B:$B,"&lt;="&amp;'Cash Flow'!BE$3)</f>
        <v>0</v>
      </c>
      <c r="BF50" s="89">
        <f>SUMIFS('Wells Fargo'!$F:$F,'Wells Fargo'!$G:$G,'Cash Flow'!$A50,'Wells Fargo'!$A:$A,BF$1,'Wells Fargo'!$B:$B,"&lt;="&amp;'Cash Flow'!BF$3,'Wells Fargo'!$B:$B,"&gt;"&amp;'Cash Flow'!BE$3)</f>
        <v>0</v>
      </c>
      <c r="BG50" s="89">
        <f>SUMIFS('Wells Fargo'!$F:$F,'Wells Fargo'!$G:$G,'Cash Flow'!$A50,'Wells Fargo'!$A:$A,BG$1,'Wells Fargo'!$B:$B,"&lt;="&amp;'Cash Flow'!BG$3,'Wells Fargo'!$B:$B,"&gt;"&amp;'Cash Flow'!BF$3)</f>
        <v>0</v>
      </c>
      <c r="BH50" s="89">
        <f>SUMIFS('Wells Fargo'!$F:$F,'Wells Fargo'!$G:$G,'Cash Flow'!$A50,'Wells Fargo'!$A:$A,BH$1,'Wells Fargo'!$B:$B,"&lt;="&amp;'Cash Flow'!BH$3,'Wells Fargo'!$B:$B,"&gt;"&amp;'Cash Flow'!BG$3)</f>
        <v>0</v>
      </c>
      <c r="BI50" s="89">
        <f>SUMIFS('Wells Fargo'!$F:$F,'Wells Fargo'!$G:$G,'Cash Flow'!$A50,'Wells Fargo'!$A:$A,BI$1,'Wells Fargo'!$B:$B,"&lt;="&amp;'Cash Flow'!BI$3,'Wells Fargo'!$B:$B,"&gt;"&amp;'Cash Flow'!BH$3)</f>
        <v>0</v>
      </c>
    </row>
    <row r="51" spans="1:61" ht="12.75" x14ac:dyDescent="0.2">
      <c r="A51" t="str">
        <v>SOA</v>
      </c>
      <c r="B51" s="15">
        <f t="shared" si="2"/>
        <v>-75</v>
      </c>
      <c r="C51" s="90">
        <f>SUMIFS('Wells Fargo'!$F:$F,'Wells Fargo'!$G:$G,'Cash Flow'!$A51,'Wells Fargo'!$A:$A,C$1,'Wells Fargo'!$B:$B,"&lt;="&amp;'Cash Flow'!C$3)</f>
        <v>0</v>
      </c>
      <c r="D51" s="89">
        <f>SUMIFS('Wells Fargo'!$F:$F,'Wells Fargo'!$G:$G,'Cash Flow'!$A51,'Wells Fargo'!$A:$A,D$1,'Wells Fargo'!$B:$B,"&lt;="&amp;'Cash Flow'!D$3,'Wells Fargo'!$B:$B,"&gt;"&amp;'Cash Flow'!C$3)</f>
        <v>0</v>
      </c>
      <c r="E51" s="89">
        <f>SUMIFS('Wells Fargo'!$F:$F,'Wells Fargo'!$G:$G,'Cash Flow'!$A51,'Wells Fargo'!$A:$A,E$1,'Wells Fargo'!$B:$B,"&lt;="&amp;'Cash Flow'!E$3,'Wells Fargo'!$B:$B,"&gt;"&amp;'Cash Flow'!D$3)</f>
        <v>0</v>
      </c>
      <c r="F51" s="89">
        <f>SUMIFS('Wells Fargo'!$F:$F,'Wells Fargo'!$G:$G,'Cash Flow'!$A51,'Wells Fargo'!$A:$A,F$1,'Wells Fargo'!$B:$B,"&lt;="&amp;'Cash Flow'!F$3,'Wells Fargo'!$B:$B,"&gt;"&amp;'Cash Flow'!E$3)</f>
        <v>-75</v>
      </c>
      <c r="G51" s="89">
        <f>SUMIFS('Wells Fargo'!$F:$F,'Wells Fargo'!$G:$G,'Cash Flow'!$A51,'Wells Fargo'!$A:$A,G$1,'Wells Fargo'!$B:$B,"&lt;="&amp;'Cash Flow'!G$3,'Wells Fargo'!$B:$B,"&gt;"&amp;'Cash Flow'!F$3)</f>
        <v>0</v>
      </c>
      <c r="H51" s="90">
        <f>SUMIFS('Wells Fargo'!$F:$F,'Wells Fargo'!$G:$G,'Cash Flow'!$A51,'Wells Fargo'!$A:$A,H$1,'Wells Fargo'!$B:$B,"&lt;="&amp;'Cash Flow'!H$3)</f>
        <v>0</v>
      </c>
      <c r="I51" s="89">
        <f>SUMIFS('Wells Fargo'!$F:$F,'Wells Fargo'!$G:$G,'Cash Flow'!$A51,'Wells Fargo'!$A:$A,I$1,'Wells Fargo'!$B:$B,"&lt;="&amp;'Cash Flow'!I$3,'Wells Fargo'!$B:$B,"&gt;"&amp;'Cash Flow'!H$3)</f>
        <v>0</v>
      </c>
      <c r="J51" s="89">
        <f>SUMIFS('Wells Fargo'!$F:$F,'Wells Fargo'!$G:$G,'Cash Flow'!$A51,'Wells Fargo'!$A:$A,J$1,'Wells Fargo'!$B:$B,"&lt;="&amp;'Cash Flow'!J$3,'Wells Fargo'!$B:$B,"&gt;"&amp;'Cash Flow'!I$3)</f>
        <v>0</v>
      </c>
      <c r="K51" s="89">
        <f>SUMIFS('Wells Fargo'!$F:$F,'Wells Fargo'!$G:$G,'Cash Flow'!$A51,'Wells Fargo'!$A:$A,K$1,'Wells Fargo'!$B:$B,"&lt;="&amp;'Cash Flow'!K$3,'Wells Fargo'!$B:$B,"&gt;"&amp;'Cash Flow'!J$3)</f>
        <v>0</v>
      </c>
      <c r="L51" s="90">
        <f>SUMIFS('Wells Fargo'!$F:$F,'Wells Fargo'!$G:$G,'Cash Flow'!$A51,'Wells Fargo'!$A:$A,L$1,'Wells Fargo'!$B:$B,"&lt;="&amp;'Cash Flow'!L$3)</f>
        <v>0</v>
      </c>
      <c r="M51" s="89">
        <f>SUMIFS('Wells Fargo'!$F:$F,'Wells Fargo'!$G:$G,'Cash Flow'!$A51,'Wells Fargo'!$A:$A,M$1,'Wells Fargo'!$B:$B,"&lt;="&amp;'Cash Flow'!M$3,'Wells Fargo'!$B:$B,"&gt;"&amp;'Cash Flow'!L$3)</f>
        <v>0</v>
      </c>
      <c r="N51" s="89">
        <f>SUMIFS('Wells Fargo'!$F:$F,'Wells Fargo'!$G:$G,'Cash Flow'!$A51,'Wells Fargo'!$A:$A,N$1,'Wells Fargo'!$B:$B,"&lt;="&amp;'Cash Flow'!N$3,'Wells Fargo'!$B:$B,"&gt;"&amp;'Cash Flow'!M$3)</f>
        <v>0</v>
      </c>
      <c r="O51" s="89">
        <f>SUMIFS('Wells Fargo'!$F:$F,'Wells Fargo'!$G:$G,'Cash Flow'!$A51,'Wells Fargo'!$A:$A,O$1,'Wells Fargo'!$B:$B,"&lt;="&amp;'Cash Flow'!O$3,'Wells Fargo'!$B:$B,"&gt;"&amp;'Cash Flow'!N$3)</f>
        <v>0</v>
      </c>
      <c r="P51" s="89">
        <f>SUMIFS('Wells Fargo'!$F:$F,'Wells Fargo'!$G:$G,'Cash Flow'!$A51,'Wells Fargo'!$A:$A,P$1,'Wells Fargo'!$B:$B,"&lt;="&amp;'Cash Flow'!P$3,'Wells Fargo'!$B:$B,"&gt;"&amp;'Cash Flow'!O$3)</f>
        <v>0</v>
      </c>
      <c r="Q51" s="90">
        <f>SUMIFS('Wells Fargo'!$F:$F,'Wells Fargo'!$G:$G,'Cash Flow'!$A51,'Wells Fargo'!$A:$A,Q$1,'Wells Fargo'!$B:$B,"&lt;="&amp;'Cash Flow'!Q$3)</f>
        <v>0</v>
      </c>
      <c r="R51" s="89">
        <f>SUMIFS('Wells Fargo'!$F:$F,'Wells Fargo'!$G:$G,'Cash Flow'!$A51,'Wells Fargo'!$A:$A,R$1,'Wells Fargo'!$B:$B,"&lt;="&amp;'Cash Flow'!R$3,'Wells Fargo'!$B:$B,"&gt;"&amp;'Cash Flow'!Q$3)</f>
        <v>0</v>
      </c>
      <c r="S51" s="89">
        <f>SUMIFS('Wells Fargo'!$F:$F,'Wells Fargo'!$G:$G,'Cash Flow'!$A51,'Wells Fargo'!$A:$A,S$1,'Wells Fargo'!$B:$B,"&lt;="&amp;'Cash Flow'!S$3,'Wells Fargo'!$B:$B,"&gt;"&amp;'Cash Flow'!R$3)</f>
        <v>0</v>
      </c>
      <c r="T51" s="89">
        <f>SUMIFS('Wells Fargo'!$F:$F,'Wells Fargo'!$G:$G,'Cash Flow'!$A51,'Wells Fargo'!$A:$A,T$1,'Wells Fargo'!$B:$B,"&lt;="&amp;'Cash Flow'!T$3,'Wells Fargo'!$B:$B,"&gt;"&amp;'Cash Flow'!S$3)</f>
        <v>0</v>
      </c>
      <c r="U51" s="89">
        <f>SUMIFS('Wells Fargo'!$F:$F,'Wells Fargo'!$G:$G,'Cash Flow'!$A51,'Wells Fargo'!$A:$A,U$1,'Wells Fargo'!$B:$B,"&lt;="&amp;'Cash Flow'!U$3,'Wells Fargo'!$B:$B,"&gt;"&amp;'Cash Flow'!T$3)</f>
        <v>0</v>
      </c>
      <c r="V51" s="90">
        <f>SUMIFS('Wells Fargo'!$F:$F,'Wells Fargo'!$G:$G,'Cash Flow'!$A51,'Wells Fargo'!$A:$A,V$1,'Wells Fargo'!$B:$B,"&lt;="&amp;'Cash Flow'!V$3)</f>
        <v>0</v>
      </c>
      <c r="W51" s="89">
        <f>SUMIFS('Wells Fargo'!$F:$F,'Wells Fargo'!$G:$G,'Cash Flow'!$A51,'Wells Fargo'!$A:$A,W$1,'Wells Fargo'!$B:$B,"&lt;="&amp;'Cash Flow'!W$3,'Wells Fargo'!$B:$B,"&gt;"&amp;'Cash Flow'!V$3)</f>
        <v>0</v>
      </c>
      <c r="X51" s="89">
        <f>SUMIFS('Wells Fargo'!$F:$F,'Wells Fargo'!$G:$G,'Cash Flow'!$A51,'Wells Fargo'!$A:$A,X$1,'Wells Fargo'!$B:$B,"&lt;="&amp;'Cash Flow'!X$3,'Wells Fargo'!$B:$B,"&gt;"&amp;'Cash Flow'!W$3)</f>
        <v>0</v>
      </c>
      <c r="Y51" s="89">
        <f>SUMIFS('Wells Fargo'!$F:$F,'Wells Fargo'!$G:$G,'Cash Flow'!$A51,'Wells Fargo'!$A:$A,Y$1,'Wells Fargo'!$B:$B,"&lt;="&amp;'Cash Flow'!Y$3,'Wells Fargo'!$B:$B,"&gt;"&amp;'Cash Flow'!X$3)</f>
        <v>0</v>
      </c>
      <c r="Z51" s="89">
        <f>SUMIFS('Wells Fargo'!$F:$F,'Wells Fargo'!$G:$G,'Cash Flow'!$A51,'Wells Fargo'!$A:$A,Z$1,'Wells Fargo'!$B:$B,"&lt;="&amp;'Cash Flow'!Z$3,'Wells Fargo'!$B:$B,"&gt;"&amp;'Cash Flow'!Y$3)</f>
        <v>0</v>
      </c>
      <c r="AA51" s="90">
        <f>SUMIFS('Wells Fargo'!$F:$F,'Wells Fargo'!$G:$G,'Cash Flow'!$A51,'Wells Fargo'!$A:$A,AA$1,'Wells Fargo'!$B:$B,"&lt;="&amp;'Cash Flow'!AA$3)</f>
        <v>0</v>
      </c>
      <c r="AB51" s="89">
        <f>SUMIFS('Wells Fargo'!$F:$F,'Wells Fargo'!$G:$G,'Cash Flow'!$A51,'Wells Fargo'!$A:$A,AB$1,'Wells Fargo'!$B:$B,"&lt;="&amp;'Cash Flow'!AB$3,'Wells Fargo'!$B:$B,"&gt;"&amp;'Cash Flow'!AA$3)</f>
        <v>0</v>
      </c>
      <c r="AC51" s="89">
        <f>SUMIFS('Wells Fargo'!$F:$F,'Wells Fargo'!$G:$G,'Cash Flow'!$A51,'Wells Fargo'!$A:$A,AC$1,'Wells Fargo'!$B:$B,"&lt;="&amp;'Cash Flow'!AC$3,'Wells Fargo'!$B:$B,"&gt;"&amp;'Cash Flow'!AB$3)</f>
        <v>0</v>
      </c>
      <c r="AD51" s="89">
        <f>SUMIFS('Wells Fargo'!$F:$F,'Wells Fargo'!$G:$G,'Cash Flow'!$A51,'Wells Fargo'!$A:$A,AD$1,'Wells Fargo'!$B:$B,"&lt;="&amp;'Cash Flow'!AD$3,'Wells Fargo'!$B:$B,"&gt;"&amp;'Cash Flow'!AC$3)</f>
        <v>0</v>
      </c>
      <c r="AE51" s="89">
        <f>SUMIFS('Wells Fargo'!$F:$F,'Wells Fargo'!$G:$G,'Cash Flow'!$A51,'Wells Fargo'!$A:$A,AE$1,'Wells Fargo'!$B:$B,"&lt;="&amp;'Cash Flow'!AE$3,'Wells Fargo'!$B:$B,"&gt;"&amp;'Cash Flow'!AD$3)</f>
        <v>0</v>
      </c>
      <c r="AF51" s="90">
        <f>SUMIFS('Wells Fargo'!$F:$F,'Wells Fargo'!$G:$G,'Cash Flow'!$A51,'Wells Fargo'!$A:$A,AF$1,'Wells Fargo'!$B:$B,"&lt;="&amp;'Cash Flow'!AF$3)</f>
        <v>0</v>
      </c>
      <c r="AG51" s="89">
        <f>SUMIFS('Wells Fargo'!$F:$F,'Wells Fargo'!$G:$G,'Cash Flow'!$A51,'Wells Fargo'!$A:$A,AG$1,'Wells Fargo'!$B:$B,"&lt;="&amp;'Cash Flow'!AG$3,'Wells Fargo'!$B:$B,"&gt;"&amp;'Cash Flow'!AF$3)</f>
        <v>0</v>
      </c>
      <c r="AH51" s="89">
        <f>SUMIFS('Wells Fargo'!$F:$F,'Wells Fargo'!$G:$G,'Cash Flow'!$A51,'Wells Fargo'!$A:$A,AH$1,'Wells Fargo'!$B:$B,"&lt;="&amp;'Cash Flow'!AH$3,'Wells Fargo'!$B:$B,"&gt;"&amp;'Cash Flow'!AG$3)</f>
        <v>0</v>
      </c>
      <c r="AI51" s="89">
        <f>SUMIFS('Wells Fargo'!$F:$F,'Wells Fargo'!$G:$G,'Cash Flow'!$A51,'Wells Fargo'!$A:$A,AI$1,'Wells Fargo'!$B:$B,"&lt;="&amp;'Cash Flow'!AI$3,'Wells Fargo'!$B:$B,"&gt;"&amp;'Cash Flow'!AH$3)</f>
        <v>0</v>
      </c>
      <c r="AJ51" s="89">
        <f>SUMIFS('Wells Fargo'!$F:$F,'Wells Fargo'!$G:$G,'Cash Flow'!$A51,'Wells Fargo'!$A:$A,AJ$1,'Wells Fargo'!$B:$B,"&lt;="&amp;'Cash Flow'!AJ$3,'Wells Fargo'!$B:$B,"&gt;"&amp;'Cash Flow'!AI$3)</f>
        <v>0</v>
      </c>
      <c r="AK51" s="90">
        <f>SUMIFS('Wells Fargo'!$F:$F,'Wells Fargo'!$G:$G,'Cash Flow'!$A51,'Wells Fargo'!$A:$A,AK$1,'Wells Fargo'!$B:$B,"&lt;="&amp;'Cash Flow'!AK$3)</f>
        <v>0</v>
      </c>
      <c r="AL51" s="89">
        <f>SUMIFS('Wells Fargo'!$F:$F,'Wells Fargo'!$G:$G,'Cash Flow'!$A51,'Wells Fargo'!$A:$A,AL$1,'Wells Fargo'!$B:$B,"&lt;="&amp;'Cash Flow'!AL$3,'Wells Fargo'!$B:$B,"&gt;"&amp;'Cash Flow'!AK$3)</f>
        <v>0</v>
      </c>
      <c r="AM51" s="89">
        <f>SUMIFS('Wells Fargo'!$F:$F,'Wells Fargo'!$G:$G,'Cash Flow'!$A51,'Wells Fargo'!$A:$A,AM$1,'Wells Fargo'!$B:$B,"&lt;="&amp;'Cash Flow'!AM$3,'Wells Fargo'!$B:$B,"&gt;"&amp;'Cash Flow'!AL$3)</f>
        <v>0</v>
      </c>
      <c r="AN51" s="89">
        <f>SUMIFS('Wells Fargo'!$F:$F,'Wells Fargo'!$G:$G,'Cash Flow'!$A51,'Wells Fargo'!$A:$A,AN$1,'Wells Fargo'!$B:$B,"&lt;="&amp;'Cash Flow'!AN$3,'Wells Fargo'!$B:$B,"&gt;"&amp;'Cash Flow'!AM$3)</f>
        <v>0</v>
      </c>
      <c r="AO51" s="89">
        <f>SUMIFS('Wells Fargo'!$F:$F,'Wells Fargo'!$G:$G,'Cash Flow'!$A51,'Wells Fargo'!$A:$A,AO$1,'Wells Fargo'!$B:$B,"&lt;="&amp;'Cash Flow'!AO$3,'Wells Fargo'!$B:$B,"&gt;"&amp;'Cash Flow'!AN$3)</f>
        <v>0</v>
      </c>
      <c r="AP51" s="90">
        <f>SUMIFS('Wells Fargo'!$F:$F,'Wells Fargo'!$G:$G,'Cash Flow'!$A51,'Wells Fargo'!$A:$A,AP$1,'Wells Fargo'!$B:$B,"&lt;="&amp;'Cash Flow'!AP$3)</f>
        <v>0</v>
      </c>
      <c r="AQ51" s="89">
        <f>SUMIFS('Wells Fargo'!$F:$F,'Wells Fargo'!$G:$G,'Cash Flow'!$A51,'Wells Fargo'!$A:$A,AQ$1,'Wells Fargo'!$B:$B,"&lt;="&amp;'Cash Flow'!AQ$3,'Wells Fargo'!$B:$B,"&gt;"&amp;'Cash Flow'!AP$3)</f>
        <v>0</v>
      </c>
      <c r="AR51" s="89">
        <f>SUMIFS('Wells Fargo'!$F:$F,'Wells Fargo'!$G:$G,'Cash Flow'!$A51,'Wells Fargo'!$A:$A,AR$1,'Wells Fargo'!$B:$B,"&lt;="&amp;'Cash Flow'!AR$3,'Wells Fargo'!$B:$B,"&gt;"&amp;'Cash Flow'!AQ$3)</f>
        <v>0</v>
      </c>
      <c r="AS51" s="89">
        <f>SUMIFS('Wells Fargo'!$F:$F,'Wells Fargo'!$G:$G,'Cash Flow'!$A51,'Wells Fargo'!$A:$A,AS$1,'Wells Fargo'!$B:$B,"&lt;="&amp;'Cash Flow'!AS$3,'Wells Fargo'!$B:$B,"&gt;"&amp;'Cash Flow'!AR$3)</f>
        <v>0</v>
      </c>
      <c r="AT51" s="89">
        <f>SUMIFS('Wells Fargo'!$F:$F,'Wells Fargo'!$G:$G,'Cash Flow'!$A51,'Wells Fargo'!$A:$A,AT$1,'Wells Fargo'!$B:$B,"&lt;="&amp;'Cash Flow'!AT$3,'Wells Fargo'!$B:$B,"&gt;"&amp;'Cash Flow'!AS$3)</f>
        <v>0</v>
      </c>
      <c r="AU51" s="90">
        <f>SUMIFS('Wells Fargo'!$F:$F,'Wells Fargo'!$G:$G,'Cash Flow'!$A51,'Wells Fargo'!$A:$A,AU$1,'Wells Fargo'!$B:$B,"&lt;="&amp;'Cash Flow'!AU$3)</f>
        <v>0</v>
      </c>
      <c r="AV51" s="89">
        <f>SUMIFS('Wells Fargo'!$F:$F,'Wells Fargo'!$G:$G,'Cash Flow'!$A51,'Wells Fargo'!$A:$A,AV$1,'Wells Fargo'!$B:$B,"&lt;="&amp;'Cash Flow'!AV$3,'Wells Fargo'!$B:$B,"&gt;"&amp;'Cash Flow'!AU$3)</f>
        <v>0</v>
      </c>
      <c r="AW51" s="89">
        <f>SUMIFS('Wells Fargo'!$F:$F,'Wells Fargo'!$G:$G,'Cash Flow'!$A51,'Wells Fargo'!$A:$A,AW$1,'Wells Fargo'!$B:$B,"&lt;="&amp;'Cash Flow'!AW$3,'Wells Fargo'!$B:$B,"&gt;"&amp;'Cash Flow'!AV$3)</f>
        <v>0</v>
      </c>
      <c r="AX51" s="89">
        <f>SUMIFS('Wells Fargo'!$F:$F,'Wells Fargo'!$G:$G,'Cash Flow'!$A51,'Wells Fargo'!$A:$A,AX$1,'Wells Fargo'!$B:$B,"&lt;="&amp;'Cash Flow'!AX$3,'Wells Fargo'!$B:$B,"&gt;"&amp;'Cash Flow'!AW$3)</f>
        <v>0</v>
      </c>
      <c r="AY51" s="89">
        <f>SUMIFS('Wells Fargo'!$F:$F,'Wells Fargo'!$G:$G,'Cash Flow'!$A51,'Wells Fargo'!$A:$A,AY$1,'Wells Fargo'!$B:$B,"&lt;="&amp;'Cash Flow'!AY$3,'Wells Fargo'!$B:$B,"&gt;"&amp;'Cash Flow'!AX$3)</f>
        <v>0</v>
      </c>
      <c r="AZ51" s="90">
        <f>SUMIFS('Wells Fargo'!$F:$F,'Wells Fargo'!$G:$G,'Cash Flow'!$A51,'Wells Fargo'!$A:$A,AZ$1,'Wells Fargo'!$B:$B,"&lt;="&amp;'Cash Flow'!AZ$3)</f>
        <v>0</v>
      </c>
      <c r="BA51" s="89">
        <f>SUMIFS('Wells Fargo'!$F:$F,'Wells Fargo'!$G:$G,'Cash Flow'!$A51,'Wells Fargo'!$A:$A,BA$1,'Wells Fargo'!$B:$B,"&lt;="&amp;'Cash Flow'!BA$3,'Wells Fargo'!$B:$B,"&gt;"&amp;'Cash Flow'!AZ$3)</f>
        <v>0</v>
      </c>
      <c r="BB51" s="89">
        <f>SUMIFS('Wells Fargo'!$F:$F,'Wells Fargo'!$G:$G,'Cash Flow'!$A51,'Wells Fargo'!$A:$A,BB$1,'Wells Fargo'!$B:$B,"&lt;="&amp;'Cash Flow'!BB$3,'Wells Fargo'!$B:$B,"&gt;"&amp;'Cash Flow'!BA$3)</f>
        <v>0</v>
      </c>
      <c r="BC51" s="89">
        <f>SUMIFS('Wells Fargo'!$F:$F,'Wells Fargo'!$G:$G,'Cash Flow'!$A51,'Wells Fargo'!$A:$A,BC$1,'Wells Fargo'!$B:$B,"&lt;="&amp;'Cash Flow'!BC$3,'Wells Fargo'!$B:$B,"&gt;"&amp;'Cash Flow'!BB$3)</f>
        <v>0</v>
      </c>
      <c r="BD51" s="89">
        <f>SUMIFS('Wells Fargo'!$F:$F,'Wells Fargo'!$G:$G,'Cash Flow'!$A51,'Wells Fargo'!$A:$A,BD$1,'Wells Fargo'!$B:$B,"&lt;="&amp;'Cash Flow'!BD$3,'Wells Fargo'!$B:$B,"&gt;"&amp;'Cash Flow'!BC$3)</f>
        <v>0</v>
      </c>
      <c r="BE51" s="90">
        <f>SUMIFS('Wells Fargo'!$F:$F,'Wells Fargo'!$G:$G,'Cash Flow'!$A51,'Wells Fargo'!$A:$A,BE$1,'Wells Fargo'!$B:$B,"&lt;="&amp;'Cash Flow'!BE$3)</f>
        <v>0</v>
      </c>
      <c r="BF51" s="89">
        <f>SUMIFS('Wells Fargo'!$F:$F,'Wells Fargo'!$G:$G,'Cash Flow'!$A51,'Wells Fargo'!$A:$A,BF$1,'Wells Fargo'!$B:$B,"&lt;="&amp;'Cash Flow'!BF$3,'Wells Fargo'!$B:$B,"&gt;"&amp;'Cash Flow'!BE$3)</f>
        <v>0</v>
      </c>
      <c r="BG51" s="89">
        <f>SUMIFS('Wells Fargo'!$F:$F,'Wells Fargo'!$G:$G,'Cash Flow'!$A51,'Wells Fargo'!$A:$A,BG$1,'Wells Fargo'!$B:$B,"&lt;="&amp;'Cash Flow'!BG$3,'Wells Fargo'!$B:$B,"&gt;"&amp;'Cash Flow'!BF$3)</f>
        <v>0</v>
      </c>
      <c r="BH51" s="89">
        <f>SUMIFS('Wells Fargo'!$F:$F,'Wells Fargo'!$G:$G,'Cash Flow'!$A51,'Wells Fargo'!$A:$A,BH$1,'Wells Fargo'!$B:$B,"&lt;="&amp;'Cash Flow'!BH$3,'Wells Fargo'!$B:$B,"&gt;"&amp;'Cash Flow'!BG$3)</f>
        <v>0</v>
      </c>
      <c r="BI51" s="89">
        <f>SUMIFS('Wells Fargo'!$F:$F,'Wells Fargo'!$G:$G,'Cash Flow'!$A51,'Wells Fargo'!$A:$A,BI$1,'Wells Fargo'!$B:$B,"&lt;="&amp;'Cash Flow'!BI$3,'Wells Fargo'!$B:$B,"&gt;"&amp;'Cash Flow'!BH$3)</f>
        <v>0</v>
      </c>
    </row>
    <row r="52" spans="1:61" ht="12.75" x14ac:dyDescent="0.2">
      <c r="A52" t="str">
        <v>Stimulus 1</v>
      </c>
      <c r="B52" s="15">
        <f t="shared" si="2"/>
        <v>600</v>
      </c>
      <c r="C52" s="90">
        <f>SUMIFS('Wells Fargo'!$F:$F,'Wells Fargo'!$G:$G,'Cash Flow'!$A52,'Wells Fargo'!$A:$A,C$1,'Wells Fargo'!$B:$B,"&lt;="&amp;'Cash Flow'!C$3)</f>
        <v>0</v>
      </c>
      <c r="D52" s="89">
        <f>SUMIFS('Wells Fargo'!$F:$F,'Wells Fargo'!$G:$G,'Cash Flow'!$A52,'Wells Fargo'!$A:$A,D$1,'Wells Fargo'!$B:$B,"&lt;="&amp;'Cash Flow'!D$3,'Wells Fargo'!$B:$B,"&gt;"&amp;'Cash Flow'!C$3)</f>
        <v>600</v>
      </c>
      <c r="E52" s="89">
        <f>SUMIFS('Wells Fargo'!$F:$F,'Wells Fargo'!$G:$G,'Cash Flow'!$A52,'Wells Fargo'!$A:$A,E$1,'Wells Fargo'!$B:$B,"&lt;="&amp;'Cash Flow'!E$3,'Wells Fargo'!$B:$B,"&gt;"&amp;'Cash Flow'!D$3)</f>
        <v>0</v>
      </c>
      <c r="F52" s="89">
        <f>SUMIFS('Wells Fargo'!$F:$F,'Wells Fargo'!$G:$G,'Cash Flow'!$A52,'Wells Fargo'!$A:$A,F$1,'Wells Fargo'!$B:$B,"&lt;="&amp;'Cash Flow'!F$3,'Wells Fargo'!$B:$B,"&gt;"&amp;'Cash Flow'!E$3)</f>
        <v>0</v>
      </c>
      <c r="G52" s="89">
        <f>SUMIFS('Wells Fargo'!$F:$F,'Wells Fargo'!$G:$G,'Cash Flow'!$A52,'Wells Fargo'!$A:$A,G$1,'Wells Fargo'!$B:$B,"&lt;="&amp;'Cash Flow'!G$3,'Wells Fargo'!$B:$B,"&gt;"&amp;'Cash Flow'!F$3)</f>
        <v>0</v>
      </c>
      <c r="H52" s="90">
        <f>SUMIFS('Wells Fargo'!$F:$F,'Wells Fargo'!$G:$G,'Cash Flow'!$A52,'Wells Fargo'!$A:$A,H$1,'Wells Fargo'!$B:$B,"&lt;="&amp;'Cash Flow'!H$3)</f>
        <v>0</v>
      </c>
      <c r="I52" s="89">
        <f>SUMIFS('Wells Fargo'!$F:$F,'Wells Fargo'!$G:$G,'Cash Flow'!$A52,'Wells Fargo'!$A:$A,I$1,'Wells Fargo'!$B:$B,"&lt;="&amp;'Cash Flow'!I$3,'Wells Fargo'!$B:$B,"&gt;"&amp;'Cash Flow'!H$3)</f>
        <v>0</v>
      </c>
      <c r="J52" s="89">
        <f>SUMIFS('Wells Fargo'!$F:$F,'Wells Fargo'!$G:$G,'Cash Flow'!$A52,'Wells Fargo'!$A:$A,J$1,'Wells Fargo'!$B:$B,"&lt;="&amp;'Cash Flow'!J$3,'Wells Fargo'!$B:$B,"&gt;"&amp;'Cash Flow'!I$3)</f>
        <v>0</v>
      </c>
      <c r="K52" s="89">
        <f>SUMIFS('Wells Fargo'!$F:$F,'Wells Fargo'!$G:$G,'Cash Flow'!$A52,'Wells Fargo'!$A:$A,K$1,'Wells Fargo'!$B:$B,"&lt;="&amp;'Cash Flow'!K$3,'Wells Fargo'!$B:$B,"&gt;"&amp;'Cash Flow'!J$3)</f>
        <v>0</v>
      </c>
      <c r="L52" s="90">
        <f>SUMIFS('Wells Fargo'!$F:$F,'Wells Fargo'!$G:$G,'Cash Flow'!$A52,'Wells Fargo'!$A:$A,L$1,'Wells Fargo'!$B:$B,"&lt;="&amp;'Cash Flow'!L$3)</f>
        <v>0</v>
      </c>
      <c r="M52" s="89">
        <f>SUMIFS('Wells Fargo'!$F:$F,'Wells Fargo'!$G:$G,'Cash Flow'!$A52,'Wells Fargo'!$A:$A,M$1,'Wells Fargo'!$B:$B,"&lt;="&amp;'Cash Flow'!M$3,'Wells Fargo'!$B:$B,"&gt;"&amp;'Cash Flow'!L$3)</f>
        <v>0</v>
      </c>
      <c r="N52" s="89">
        <f>SUMIFS('Wells Fargo'!$F:$F,'Wells Fargo'!$G:$G,'Cash Flow'!$A52,'Wells Fargo'!$A:$A,N$1,'Wells Fargo'!$B:$B,"&lt;="&amp;'Cash Flow'!N$3,'Wells Fargo'!$B:$B,"&gt;"&amp;'Cash Flow'!M$3)</f>
        <v>0</v>
      </c>
      <c r="O52" s="89">
        <f>SUMIFS('Wells Fargo'!$F:$F,'Wells Fargo'!$G:$G,'Cash Flow'!$A52,'Wells Fargo'!$A:$A,O$1,'Wells Fargo'!$B:$B,"&lt;="&amp;'Cash Flow'!O$3,'Wells Fargo'!$B:$B,"&gt;"&amp;'Cash Flow'!N$3)</f>
        <v>0</v>
      </c>
      <c r="P52" s="89">
        <f>SUMIFS('Wells Fargo'!$F:$F,'Wells Fargo'!$G:$G,'Cash Flow'!$A52,'Wells Fargo'!$A:$A,P$1,'Wells Fargo'!$B:$B,"&lt;="&amp;'Cash Flow'!P$3,'Wells Fargo'!$B:$B,"&gt;"&amp;'Cash Flow'!O$3)</f>
        <v>0</v>
      </c>
      <c r="Q52" s="90">
        <f>SUMIFS('Wells Fargo'!$F:$F,'Wells Fargo'!$G:$G,'Cash Flow'!$A52,'Wells Fargo'!$A:$A,Q$1,'Wells Fargo'!$B:$B,"&lt;="&amp;'Cash Flow'!Q$3)</f>
        <v>0</v>
      </c>
      <c r="R52" s="89">
        <f>SUMIFS('Wells Fargo'!$F:$F,'Wells Fargo'!$G:$G,'Cash Flow'!$A52,'Wells Fargo'!$A:$A,R$1,'Wells Fargo'!$B:$B,"&lt;="&amp;'Cash Flow'!R$3,'Wells Fargo'!$B:$B,"&gt;"&amp;'Cash Flow'!Q$3)</f>
        <v>0</v>
      </c>
      <c r="S52" s="89">
        <f>SUMIFS('Wells Fargo'!$F:$F,'Wells Fargo'!$G:$G,'Cash Flow'!$A52,'Wells Fargo'!$A:$A,S$1,'Wells Fargo'!$B:$B,"&lt;="&amp;'Cash Flow'!S$3,'Wells Fargo'!$B:$B,"&gt;"&amp;'Cash Flow'!R$3)</f>
        <v>0</v>
      </c>
      <c r="T52" s="89">
        <f>SUMIFS('Wells Fargo'!$F:$F,'Wells Fargo'!$G:$G,'Cash Flow'!$A52,'Wells Fargo'!$A:$A,T$1,'Wells Fargo'!$B:$B,"&lt;="&amp;'Cash Flow'!T$3,'Wells Fargo'!$B:$B,"&gt;"&amp;'Cash Flow'!S$3)</f>
        <v>0</v>
      </c>
      <c r="U52" s="89">
        <f>SUMIFS('Wells Fargo'!$F:$F,'Wells Fargo'!$G:$G,'Cash Flow'!$A52,'Wells Fargo'!$A:$A,U$1,'Wells Fargo'!$B:$B,"&lt;="&amp;'Cash Flow'!U$3,'Wells Fargo'!$B:$B,"&gt;"&amp;'Cash Flow'!T$3)</f>
        <v>0</v>
      </c>
      <c r="V52" s="90">
        <f>SUMIFS('Wells Fargo'!$F:$F,'Wells Fargo'!$G:$G,'Cash Flow'!$A52,'Wells Fargo'!$A:$A,V$1,'Wells Fargo'!$B:$B,"&lt;="&amp;'Cash Flow'!V$3)</f>
        <v>0</v>
      </c>
      <c r="W52" s="89">
        <f>SUMIFS('Wells Fargo'!$F:$F,'Wells Fargo'!$G:$G,'Cash Flow'!$A52,'Wells Fargo'!$A:$A,W$1,'Wells Fargo'!$B:$B,"&lt;="&amp;'Cash Flow'!W$3,'Wells Fargo'!$B:$B,"&gt;"&amp;'Cash Flow'!V$3)</f>
        <v>0</v>
      </c>
      <c r="X52" s="89">
        <f>SUMIFS('Wells Fargo'!$F:$F,'Wells Fargo'!$G:$G,'Cash Flow'!$A52,'Wells Fargo'!$A:$A,X$1,'Wells Fargo'!$B:$B,"&lt;="&amp;'Cash Flow'!X$3,'Wells Fargo'!$B:$B,"&gt;"&amp;'Cash Flow'!W$3)</f>
        <v>0</v>
      </c>
      <c r="Y52" s="89">
        <f>SUMIFS('Wells Fargo'!$F:$F,'Wells Fargo'!$G:$G,'Cash Flow'!$A52,'Wells Fargo'!$A:$A,Y$1,'Wells Fargo'!$B:$B,"&lt;="&amp;'Cash Flow'!Y$3,'Wells Fargo'!$B:$B,"&gt;"&amp;'Cash Flow'!X$3)</f>
        <v>0</v>
      </c>
      <c r="Z52" s="89">
        <f>SUMIFS('Wells Fargo'!$F:$F,'Wells Fargo'!$G:$G,'Cash Flow'!$A52,'Wells Fargo'!$A:$A,Z$1,'Wells Fargo'!$B:$B,"&lt;="&amp;'Cash Flow'!Z$3,'Wells Fargo'!$B:$B,"&gt;"&amp;'Cash Flow'!Y$3)</f>
        <v>0</v>
      </c>
      <c r="AA52" s="90">
        <f>SUMIFS('Wells Fargo'!$F:$F,'Wells Fargo'!$G:$G,'Cash Flow'!$A52,'Wells Fargo'!$A:$A,AA$1,'Wells Fargo'!$B:$B,"&lt;="&amp;'Cash Flow'!AA$3)</f>
        <v>0</v>
      </c>
      <c r="AB52" s="89">
        <f>SUMIFS('Wells Fargo'!$F:$F,'Wells Fargo'!$G:$G,'Cash Flow'!$A52,'Wells Fargo'!$A:$A,AB$1,'Wells Fargo'!$B:$B,"&lt;="&amp;'Cash Flow'!AB$3,'Wells Fargo'!$B:$B,"&gt;"&amp;'Cash Flow'!AA$3)</f>
        <v>0</v>
      </c>
      <c r="AC52" s="89">
        <f>SUMIFS('Wells Fargo'!$F:$F,'Wells Fargo'!$G:$G,'Cash Flow'!$A52,'Wells Fargo'!$A:$A,AC$1,'Wells Fargo'!$B:$B,"&lt;="&amp;'Cash Flow'!AC$3,'Wells Fargo'!$B:$B,"&gt;"&amp;'Cash Flow'!AB$3)</f>
        <v>0</v>
      </c>
      <c r="AD52" s="89">
        <f>SUMIFS('Wells Fargo'!$F:$F,'Wells Fargo'!$G:$G,'Cash Flow'!$A52,'Wells Fargo'!$A:$A,AD$1,'Wells Fargo'!$B:$B,"&lt;="&amp;'Cash Flow'!AD$3,'Wells Fargo'!$B:$B,"&gt;"&amp;'Cash Flow'!AC$3)</f>
        <v>0</v>
      </c>
      <c r="AE52" s="89">
        <f>SUMIFS('Wells Fargo'!$F:$F,'Wells Fargo'!$G:$G,'Cash Flow'!$A52,'Wells Fargo'!$A:$A,AE$1,'Wells Fargo'!$B:$B,"&lt;="&amp;'Cash Flow'!AE$3,'Wells Fargo'!$B:$B,"&gt;"&amp;'Cash Flow'!AD$3)</f>
        <v>0</v>
      </c>
      <c r="AF52" s="90">
        <f>SUMIFS('Wells Fargo'!$F:$F,'Wells Fargo'!$G:$G,'Cash Flow'!$A52,'Wells Fargo'!$A:$A,AF$1,'Wells Fargo'!$B:$B,"&lt;="&amp;'Cash Flow'!AF$3)</f>
        <v>0</v>
      </c>
      <c r="AG52" s="89">
        <f>SUMIFS('Wells Fargo'!$F:$F,'Wells Fargo'!$G:$G,'Cash Flow'!$A52,'Wells Fargo'!$A:$A,AG$1,'Wells Fargo'!$B:$B,"&lt;="&amp;'Cash Flow'!AG$3,'Wells Fargo'!$B:$B,"&gt;"&amp;'Cash Flow'!AF$3)</f>
        <v>0</v>
      </c>
      <c r="AH52" s="89">
        <f>SUMIFS('Wells Fargo'!$F:$F,'Wells Fargo'!$G:$G,'Cash Flow'!$A52,'Wells Fargo'!$A:$A,AH$1,'Wells Fargo'!$B:$B,"&lt;="&amp;'Cash Flow'!AH$3,'Wells Fargo'!$B:$B,"&gt;"&amp;'Cash Flow'!AG$3)</f>
        <v>0</v>
      </c>
      <c r="AI52" s="89">
        <f>SUMIFS('Wells Fargo'!$F:$F,'Wells Fargo'!$G:$G,'Cash Flow'!$A52,'Wells Fargo'!$A:$A,AI$1,'Wells Fargo'!$B:$B,"&lt;="&amp;'Cash Flow'!AI$3,'Wells Fargo'!$B:$B,"&gt;"&amp;'Cash Flow'!AH$3)</f>
        <v>0</v>
      </c>
      <c r="AJ52" s="89">
        <f>SUMIFS('Wells Fargo'!$F:$F,'Wells Fargo'!$G:$G,'Cash Flow'!$A52,'Wells Fargo'!$A:$A,AJ$1,'Wells Fargo'!$B:$B,"&lt;="&amp;'Cash Flow'!AJ$3,'Wells Fargo'!$B:$B,"&gt;"&amp;'Cash Flow'!AI$3)</f>
        <v>0</v>
      </c>
      <c r="AK52" s="90">
        <f>SUMIFS('Wells Fargo'!$F:$F,'Wells Fargo'!$G:$G,'Cash Flow'!$A52,'Wells Fargo'!$A:$A,AK$1,'Wells Fargo'!$B:$B,"&lt;="&amp;'Cash Flow'!AK$3)</f>
        <v>0</v>
      </c>
      <c r="AL52" s="89">
        <f>SUMIFS('Wells Fargo'!$F:$F,'Wells Fargo'!$G:$G,'Cash Flow'!$A52,'Wells Fargo'!$A:$A,AL$1,'Wells Fargo'!$B:$B,"&lt;="&amp;'Cash Flow'!AL$3,'Wells Fargo'!$B:$B,"&gt;"&amp;'Cash Flow'!AK$3)</f>
        <v>0</v>
      </c>
      <c r="AM52" s="89">
        <f>SUMIFS('Wells Fargo'!$F:$F,'Wells Fargo'!$G:$G,'Cash Flow'!$A52,'Wells Fargo'!$A:$A,AM$1,'Wells Fargo'!$B:$B,"&lt;="&amp;'Cash Flow'!AM$3,'Wells Fargo'!$B:$B,"&gt;"&amp;'Cash Flow'!AL$3)</f>
        <v>0</v>
      </c>
      <c r="AN52" s="89">
        <f>SUMIFS('Wells Fargo'!$F:$F,'Wells Fargo'!$G:$G,'Cash Flow'!$A52,'Wells Fargo'!$A:$A,AN$1,'Wells Fargo'!$B:$B,"&lt;="&amp;'Cash Flow'!AN$3,'Wells Fargo'!$B:$B,"&gt;"&amp;'Cash Flow'!AM$3)</f>
        <v>0</v>
      </c>
      <c r="AO52" s="89">
        <f>SUMIFS('Wells Fargo'!$F:$F,'Wells Fargo'!$G:$G,'Cash Flow'!$A52,'Wells Fargo'!$A:$A,AO$1,'Wells Fargo'!$B:$B,"&lt;="&amp;'Cash Flow'!AO$3,'Wells Fargo'!$B:$B,"&gt;"&amp;'Cash Flow'!AN$3)</f>
        <v>0</v>
      </c>
      <c r="AP52" s="90">
        <f>SUMIFS('Wells Fargo'!$F:$F,'Wells Fargo'!$G:$G,'Cash Flow'!$A52,'Wells Fargo'!$A:$A,AP$1,'Wells Fargo'!$B:$B,"&lt;="&amp;'Cash Flow'!AP$3)</f>
        <v>0</v>
      </c>
      <c r="AQ52" s="89">
        <f>SUMIFS('Wells Fargo'!$F:$F,'Wells Fargo'!$G:$G,'Cash Flow'!$A52,'Wells Fargo'!$A:$A,AQ$1,'Wells Fargo'!$B:$B,"&lt;="&amp;'Cash Flow'!AQ$3,'Wells Fargo'!$B:$B,"&gt;"&amp;'Cash Flow'!AP$3)</f>
        <v>0</v>
      </c>
      <c r="AR52" s="89">
        <f>SUMIFS('Wells Fargo'!$F:$F,'Wells Fargo'!$G:$G,'Cash Flow'!$A52,'Wells Fargo'!$A:$A,AR$1,'Wells Fargo'!$B:$B,"&lt;="&amp;'Cash Flow'!AR$3,'Wells Fargo'!$B:$B,"&gt;"&amp;'Cash Flow'!AQ$3)</f>
        <v>0</v>
      </c>
      <c r="AS52" s="89">
        <f>SUMIFS('Wells Fargo'!$F:$F,'Wells Fargo'!$G:$G,'Cash Flow'!$A52,'Wells Fargo'!$A:$A,AS$1,'Wells Fargo'!$B:$B,"&lt;="&amp;'Cash Flow'!AS$3,'Wells Fargo'!$B:$B,"&gt;"&amp;'Cash Flow'!AR$3)</f>
        <v>0</v>
      </c>
      <c r="AT52" s="89">
        <f>SUMIFS('Wells Fargo'!$F:$F,'Wells Fargo'!$G:$G,'Cash Flow'!$A52,'Wells Fargo'!$A:$A,AT$1,'Wells Fargo'!$B:$B,"&lt;="&amp;'Cash Flow'!AT$3,'Wells Fargo'!$B:$B,"&gt;"&amp;'Cash Flow'!AS$3)</f>
        <v>0</v>
      </c>
      <c r="AU52" s="90">
        <f>SUMIFS('Wells Fargo'!$F:$F,'Wells Fargo'!$G:$G,'Cash Flow'!$A52,'Wells Fargo'!$A:$A,AU$1,'Wells Fargo'!$B:$B,"&lt;="&amp;'Cash Flow'!AU$3)</f>
        <v>0</v>
      </c>
      <c r="AV52" s="89">
        <f>SUMIFS('Wells Fargo'!$F:$F,'Wells Fargo'!$G:$G,'Cash Flow'!$A52,'Wells Fargo'!$A:$A,AV$1,'Wells Fargo'!$B:$B,"&lt;="&amp;'Cash Flow'!AV$3,'Wells Fargo'!$B:$B,"&gt;"&amp;'Cash Flow'!AU$3)</f>
        <v>0</v>
      </c>
      <c r="AW52" s="89">
        <f>SUMIFS('Wells Fargo'!$F:$F,'Wells Fargo'!$G:$G,'Cash Flow'!$A52,'Wells Fargo'!$A:$A,AW$1,'Wells Fargo'!$B:$B,"&lt;="&amp;'Cash Flow'!AW$3,'Wells Fargo'!$B:$B,"&gt;"&amp;'Cash Flow'!AV$3)</f>
        <v>0</v>
      </c>
      <c r="AX52" s="89">
        <f>SUMIFS('Wells Fargo'!$F:$F,'Wells Fargo'!$G:$G,'Cash Flow'!$A52,'Wells Fargo'!$A:$A,AX$1,'Wells Fargo'!$B:$B,"&lt;="&amp;'Cash Flow'!AX$3,'Wells Fargo'!$B:$B,"&gt;"&amp;'Cash Flow'!AW$3)</f>
        <v>0</v>
      </c>
      <c r="AY52" s="89">
        <f>SUMIFS('Wells Fargo'!$F:$F,'Wells Fargo'!$G:$G,'Cash Flow'!$A52,'Wells Fargo'!$A:$A,AY$1,'Wells Fargo'!$B:$B,"&lt;="&amp;'Cash Flow'!AY$3,'Wells Fargo'!$B:$B,"&gt;"&amp;'Cash Flow'!AX$3)</f>
        <v>0</v>
      </c>
      <c r="AZ52" s="90">
        <f>SUMIFS('Wells Fargo'!$F:$F,'Wells Fargo'!$G:$G,'Cash Flow'!$A52,'Wells Fargo'!$A:$A,AZ$1,'Wells Fargo'!$B:$B,"&lt;="&amp;'Cash Flow'!AZ$3)</f>
        <v>0</v>
      </c>
      <c r="BA52" s="89">
        <f>SUMIFS('Wells Fargo'!$F:$F,'Wells Fargo'!$G:$G,'Cash Flow'!$A52,'Wells Fargo'!$A:$A,BA$1,'Wells Fargo'!$B:$B,"&lt;="&amp;'Cash Flow'!BA$3,'Wells Fargo'!$B:$B,"&gt;"&amp;'Cash Flow'!AZ$3)</f>
        <v>0</v>
      </c>
      <c r="BB52" s="89">
        <f>SUMIFS('Wells Fargo'!$F:$F,'Wells Fargo'!$G:$G,'Cash Flow'!$A52,'Wells Fargo'!$A:$A,BB$1,'Wells Fargo'!$B:$B,"&lt;="&amp;'Cash Flow'!BB$3,'Wells Fargo'!$B:$B,"&gt;"&amp;'Cash Flow'!BA$3)</f>
        <v>0</v>
      </c>
      <c r="BC52" s="89">
        <f>SUMIFS('Wells Fargo'!$F:$F,'Wells Fargo'!$G:$G,'Cash Flow'!$A52,'Wells Fargo'!$A:$A,BC$1,'Wells Fargo'!$B:$B,"&lt;="&amp;'Cash Flow'!BC$3,'Wells Fargo'!$B:$B,"&gt;"&amp;'Cash Flow'!BB$3)</f>
        <v>0</v>
      </c>
      <c r="BD52" s="89">
        <f>SUMIFS('Wells Fargo'!$F:$F,'Wells Fargo'!$G:$G,'Cash Flow'!$A52,'Wells Fargo'!$A:$A,BD$1,'Wells Fargo'!$B:$B,"&lt;="&amp;'Cash Flow'!BD$3,'Wells Fargo'!$B:$B,"&gt;"&amp;'Cash Flow'!BC$3)</f>
        <v>0</v>
      </c>
      <c r="BE52" s="90">
        <f>SUMIFS('Wells Fargo'!$F:$F,'Wells Fargo'!$G:$G,'Cash Flow'!$A52,'Wells Fargo'!$A:$A,BE$1,'Wells Fargo'!$B:$B,"&lt;="&amp;'Cash Flow'!BE$3)</f>
        <v>0</v>
      </c>
      <c r="BF52" s="89">
        <f>SUMIFS('Wells Fargo'!$F:$F,'Wells Fargo'!$G:$G,'Cash Flow'!$A52,'Wells Fargo'!$A:$A,BF$1,'Wells Fargo'!$B:$B,"&lt;="&amp;'Cash Flow'!BF$3,'Wells Fargo'!$B:$B,"&gt;"&amp;'Cash Flow'!BE$3)</f>
        <v>0</v>
      </c>
      <c r="BG52" s="89">
        <f>SUMIFS('Wells Fargo'!$F:$F,'Wells Fargo'!$G:$G,'Cash Flow'!$A52,'Wells Fargo'!$A:$A,BG$1,'Wells Fargo'!$B:$B,"&lt;="&amp;'Cash Flow'!BG$3,'Wells Fargo'!$B:$B,"&gt;"&amp;'Cash Flow'!BF$3)</f>
        <v>0</v>
      </c>
      <c r="BH52" s="89">
        <f>SUMIFS('Wells Fargo'!$F:$F,'Wells Fargo'!$G:$G,'Cash Flow'!$A52,'Wells Fargo'!$A:$A,BH$1,'Wells Fargo'!$B:$B,"&lt;="&amp;'Cash Flow'!BH$3,'Wells Fargo'!$B:$B,"&gt;"&amp;'Cash Flow'!BG$3)</f>
        <v>0</v>
      </c>
      <c r="BI52" s="89">
        <f>SUMIFS('Wells Fargo'!$F:$F,'Wells Fargo'!$G:$G,'Cash Flow'!$A52,'Wells Fargo'!$A:$A,BI$1,'Wells Fargo'!$B:$B,"&lt;="&amp;'Cash Flow'!BI$3,'Wells Fargo'!$B:$B,"&gt;"&amp;'Cash Flow'!BH$3)</f>
        <v>0</v>
      </c>
    </row>
    <row r="53" spans="1:61" ht="12.75" x14ac:dyDescent="0.2">
      <c r="A53" t="str">
        <v>Stimulus 2</v>
      </c>
      <c r="B53" s="15">
        <f t="shared" si="2"/>
        <v>2800</v>
      </c>
      <c r="C53" s="90">
        <f>SUMIFS('Wells Fargo'!$F:$F,'Wells Fargo'!$G:$G,'Cash Flow'!$A53,'Wells Fargo'!$A:$A,C$1,'Wells Fargo'!$B:$B,"&lt;="&amp;'Cash Flow'!C$3)</f>
        <v>0</v>
      </c>
      <c r="D53" s="89">
        <f>SUMIFS('Wells Fargo'!$F:$F,'Wells Fargo'!$G:$G,'Cash Flow'!$A53,'Wells Fargo'!$A:$A,D$1,'Wells Fargo'!$B:$B,"&lt;="&amp;'Cash Flow'!D$3,'Wells Fargo'!$B:$B,"&gt;"&amp;'Cash Flow'!C$3)</f>
        <v>0</v>
      </c>
      <c r="E53" s="89">
        <f>SUMIFS('Wells Fargo'!$F:$F,'Wells Fargo'!$G:$G,'Cash Flow'!$A53,'Wells Fargo'!$A:$A,E$1,'Wells Fargo'!$B:$B,"&lt;="&amp;'Cash Flow'!E$3,'Wells Fargo'!$B:$B,"&gt;"&amp;'Cash Flow'!D$3)</f>
        <v>0</v>
      </c>
      <c r="F53" s="89">
        <f>SUMIFS('Wells Fargo'!$F:$F,'Wells Fargo'!$G:$G,'Cash Flow'!$A53,'Wells Fargo'!$A:$A,F$1,'Wells Fargo'!$B:$B,"&lt;="&amp;'Cash Flow'!F$3,'Wells Fargo'!$B:$B,"&gt;"&amp;'Cash Flow'!E$3)</f>
        <v>0</v>
      </c>
      <c r="G53" s="89">
        <f>SUMIFS('Wells Fargo'!$F:$F,'Wells Fargo'!$G:$G,'Cash Flow'!$A53,'Wells Fargo'!$A:$A,G$1,'Wells Fargo'!$B:$B,"&lt;="&amp;'Cash Flow'!G$3,'Wells Fargo'!$B:$B,"&gt;"&amp;'Cash Flow'!F$3)</f>
        <v>0</v>
      </c>
      <c r="H53" s="90">
        <f>SUMIFS('Wells Fargo'!$F:$F,'Wells Fargo'!$G:$G,'Cash Flow'!$A53,'Wells Fargo'!$A:$A,H$1,'Wells Fargo'!$B:$B,"&lt;="&amp;'Cash Flow'!H$3)</f>
        <v>0</v>
      </c>
      <c r="I53" s="89">
        <f>SUMIFS('Wells Fargo'!$F:$F,'Wells Fargo'!$G:$G,'Cash Flow'!$A53,'Wells Fargo'!$A:$A,I$1,'Wells Fargo'!$B:$B,"&lt;="&amp;'Cash Flow'!I$3,'Wells Fargo'!$B:$B,"&gt;"&amp;'Cash Flow'!H$3)</f>
        <v>0</v>
      </c>
      <c r="J53" s="89">
        <f>SUMIFS('Wells Fargo'!$F:$F,'Wells Fargo'!$G:$G,'Cash Flow'!$A53,'Wells Fargo'!$A:$A,J$1,'Wells Fargo'!$B:$B,"&lt;="&amp;'Cash Flow'!J$3,'Wells Fargo'!$B:$B,"&gt;"&amp;'Cash Flow'!I$3)</f>
        <v>0</v>
      </c>
      <c r="K53" s="89">
        <f>SUMIFS('Wells Fargo'!$F:$F,'Wells Fargo'!$G:$G,'Cash Flow'!$A53,'Wells Fargo'!$A:$A,K$1,'Wells Fargo'!$B:$B,"&lt;="&amp;'Cash Flow'!K$3,'Wells Fargo'!$B:$B,"&gt;"&amp;'Cash Flow'!J$3)</f>
        <v>0</v>
      </c>
      <c r="L53" s="90">
        <f>SUMIFS('Wells Fargo'!$F:$F,'Wells Fargo'!$G:$G,'Cash Flow'!$A53,'Wells Fargo'!$A:$A,L$1,'Wells Fargo'!$B:$B,"&lt;="&amp;'Cash Flow'!L$3)</f>
        <v>0</v>
      </c>
      <c r="M53" s="89">
        <f>SUMIFS('Wells Fargo'!$F:$F,'Wells Fargo'!$G:$G,'Cash Flow'!$A53,'Wells Fargo'!$A:$A,M$1,'Wells Fargo'!$B:$B,"&lt;="&amp;'Cash Flow'!M$3,'Wells Fargo'!$B:$B,"&gt;"&amp;'Cash Flow'!L$3)</f>
        <v>0</v>
      </c>
      <c r="N53" s="89">
        <f>SUMIFS('Wells Fargo'!$F:$F,'Wells Fargo'!$G:$G,'Cash Flow'!$A53,'Wells Fargo'!$A:$A,N$1,'Wells Fargo'!$B:$B,"&lt;="&amp;'Cash Flow'!N$3,'Wells Fargo'!$B:$B,"&gt;"&amp;'Cash Flow'!M$3)</f>
        <v>2800</v>
      </c>
      <c r="O53" s="89">
        <f>SUMIFS('Wells Fargo'!$F:$F,'Wells Fargo'!$G:$G,'Cash Flow'!$A53,'Wells Fargo'!$A:$A,O$1,'Wells Fargo'!$B:$B,"&lt;="&amp;'Cash Flow'!O$3,'Wells Fargo'!$B:$B,"&gt;"&amp;'Cash Flow'!N$3)</f>
        <v>0</v>
      </c>
      <c r="P53" s="89">
        <f>SUMIFS('Wells Fargo'!$F:$F,'Wells Fargo'!$G:$G,'Cash Flow'!$A53,'Wells Fargo'!$A:$A,P$1,'Wells Fargo'!$B:$B,"&lt;="&amp;'Cash Flow'!P$3,'Wells Fargo'!$B:$B,"&gt;"&amp;'Cash Flow'!O$3)</f>
        <v>0</v>
      </c>
      <c r="Q53" s="90">
        <f>SUMIFS('Wells Fargo'!$F:$F,'Wells Fargo'!$G:$G,'Cash Flow'!$A53,'Wells Fargo'!$A:$A,Q$1,'Wells Fargo'!$B:$B,"&lt;="&amp;'Cash Flow'!Q$3)</f>
        <v>0</v>
      </c>
      <c r="R53" s="89">
        <f>SUMIFS('Wells Fargo'!$F:$F,'Wells Fargo'!$G:$G,'Cash Flow'!$A53,'Wells Fargo'!$A:$A,R$1,'Wells Fargo'!$B:$B,"&lt;="&amp;'Cash Flow'!R$3,'Wells Fargo'!$B:$B,"&gt;"&amp;'Cash Flow'!Q$3)</f>
        <v>0</v>
      </c>
      <c r="S53" s="89">
        <f>SUMIFS('Wells Fargo'!$F:$F,'Wells Fargo'!$G:$G,'Cash Flow'!$A53,'Wells Fargo'!$A:$A,S$1,'Wells Fargo'!$B:$B,"&lt;="&amp;'Cash Flow'!S$3,'Wells Fargo'!$B:$B,"&gt;"&amp;'Cash Flow'!R$3)</f>
        <v>0</v>
      </c>
      <c r="T53" s="89">
        <f>SUMIFS('Wells Fargo'!$F:$F,'Wells Fargo'!$G:$G,'Cash Flow'!$A53,'Wells Fargo'!$A:$A,T$1,'Wells Fargo'!$B:$B,"&lt;="&amp;'Cash Flow'!T$3,'Wells Fargo'!$B:$B,"&gt;"&amp;'Cash Flow'!S$3)</f>
        <v>0</v>
      </c>
      <c r="U53" s="89">
        <f>SUMIFS('Wells Fargo'!$F:$F,'Wells Fargo'!$G:$G,'Cash Flow'!$A53,'Wells Fargo'!$A:$A,U$1,'Wells Fargo'!$B:$B,"&lt;="&amp;'Cash Flow'!U$3,'Wells Fargo'!$B:$B,"&gt;"&amp;'Cash Flow'!T$3)</f>
        <v>0</v>
      </c>
      <c r="V53" s="90">
        <f>SUMIFS('Wells Fargo'!$F:$F,'Wells Fargo'!$G:$G,'Cash Flow'!$A53,'Wells Fargo'!$A:$A,V$1,'Wells Fargo'!$B:$B,"&lt;="&amp;'Cash Flow'!V$3)</f>
        <v>0</v>
      </c>
      <c r="W53" s="89">
        <f>SUMIFS('Wells Fargo'!$F:$F,'Wells Fargo'!$G:$G,'Cash Flow'!$A53,'Wells Fargo'!$A:$A,W$1,'Wells Fargo'!$B:$B,"&lt;="&amp;'Cash Flow'!W$3,'Wells Fargo'!$B:$B,"&gt;"&amp;'Cash Flow'!V$3)</f>
        <v>0</v>
      </c>
      <c r="X53" s="89">
        <f>SUMIFS('Wells Fargo'!$F:$F,'Wells Fargo'!$G:$G,'Cash Flow'!$A53,'Wells Fargo'!$A:$A,X$1,'Wells Fargo'!$B:$B,"&lt;="&amp;'Cash Flow'!X$3,'Wells Fargo'!$B:$B,"&gt;"&amp;'Cash Flow'!W$3)</f>
        <v>0</v>
      </c>
      <c r="Y53" s="89">
        <f>SUMIFS('Wells Fargo'!$F:$F,'Wells Fargo'!$G:$G,'Cash Flow'!$A53,'Wells Fargo'!$A:$A,Y$1,'Wells Fargo'!$B:$B,"&lt;="&amp;'Cash Flow'!Y$3,'Wells Fargo'!$B:$B,"&gt;"&amp;'Cash Flow'!X$3)</f>
        <v>0</v>
      </c>
      <c r="Z53" s="89">
        <f>SUMIFS('Wells Fargo'!$F:$F,'Wells Fargo'!$G:$G,'Cash Flow'!$A53,'Wells Fargo'!$A:$A,Z$1,'Wells Fargo'!$B:$B,"&lt;="&amp;'Cash Flow'!Z$3,'Wells Fargo'!$B:$B,"&gt;"&amp;'Cash Flow'!Y$3)</f>
        <v>0</v>
      </c>
      <c r="AA53" s="90">
        <f>SUMIFS('Wells Fargo'!$F:$F,'Wells Fargo'!$G:$G,'Cash Flow'!$A53,'Wells Fargo'!$A:$A,AA$1,'Wells Fargo'!$B:$B,"&lt;="&amp;'Cash Flow'!AA$3)</f>
        <v>0</v>
      </c>
      <c r="AB53" s="89">
        <f>SUMIFS('Wells Fargo'!$F:$F,'Wells Fargo'!$G:$G,'Cash Flow'!$A53,'Wells Fargo'!$A:$A,AB$1,'Wells Fargo'!$B:$B,"&lt;="&amp;'Cash Flow'!AB$3,'Wells Fargo'!$B:$B,"&gt;"&amp;'Cash Flow'!AA$3)</f>
        <v>0</v>
      </c>
      <c r="AC53" s="89">
        <f>SUMIFS('Wells Fargo'!$F:$F,'Wells Fargo'!$G:$G,'Cash Flow'!$A53,'Wells Fargo'!$A:$A,AC$1,'Wells Fargo'!$B:$B,"&lt;="&amp;'Cash Flow'!AC$3,'Wells Fargo'!$B:$B,"&gt;"&amp;'Cash Flow'!AB$3)</f>
        <v>0</v>
      </c>
      <c r="AD53" s="89">
        <f>SUMIFS('Wells Fargo'!$F:$F,'Wells Fargo'!$G:$G,'Cash Flow'!$A53,'Wells Fargo'!$A:$A,AD$1,'Wells Fargo'!$B:$B,"&lt;="&amp;'Cash Flow'!AD$3,'Wells Fargo'!$B:$B,"&gt;"&amp;'Cash Flow'!AC$3)</f>
        <v>0</v>
      </c>
      <c r="AE53" s="89">
        <f>SUMIFS('Wells Fargo'!$F:$F,'Wells Fargo'!$G:$G,'Cash Flow'!$A53,'Wells Fargo'!$A:$A,AE$1,'Wells Fargo'!$B:$B,"&lt;="&amp;'Cash Flow'!AE$3,'Wells Fargo'!$B:$B,"&gt;"&amp;'Cash Flow'!AD$3)</f>
        <v>0</v>
      </c>
      <c r="AF53" s="90">
        <f>SUMIFS('Wells Fargo'!$F:$F,'Wells Fargo'!$G:$G,'Cash Flow'!$A53,'Wells Fargo'!$A:$A,AF$1,'Wells Fargo'!$B:$B,"&lt;="&amp;'Cash Flow'!AF$3)</f>
        <v>0</v>
      </c>
      <c r="AG53" s="89">
        <f>SUMIFS('Wells Fargo'!$F:$F,'Wells Fargo'!$G:$G,'Cash Flow'!$A53,'Wells Fargo'!$A:$A,AG$1,'Wells Fargo'!$B:$B,"&lt;="&amp;'Cash Flow'!AG$3,'Wells Fargo'!$B:$B,"&gt;"&amp;'Cash Flow'!AF$3)</f>
        <v>0</v>
      </c>
      <c r="AH53" s="89">
        <f>SUMIFS('Wells Fargo'!$F:$F,'Wells Fargo'!$G:$G,'Cash Flow'!$A53,'Wells Fargo'!$A:$A,AH$1,'Wells Fargo'!$B:$B,"&lt;="&amp;'Cash Flow'!AH$3,'Wells Fargo'!$B:$B,"&gt;"&amp;'Cash Flow'!AG$3)</f>
        <v>0</v>
      </c>
      <c r="AI53" s="89">
        <f>SUMIFS('Wells Fargo'!$F:$F,'Wells Fargo'!$G:$G,'Cash Flow'!$A53,'Wells Fargo'!$A:$A,AI$1,'Wells Fargo'!$B:$B,"&lt;="&amp;'Cash Flow'!AI$3,'Wells Fargo'!$B:$B,"&gt;"&amp;'Cash Flow'!AH$3)</f>
        <v>0</v>
      </c>
      <c r="AJ53" s="89">
        <f>SUMIFS('Wells Fargo'!$F:$F,'Wells Fargo'!$G:$G,'Cash Flow'!$A53,'Wells Fargo'!$A:$A,AJ$1,'Wells Fargo'!$B:$B,"&lt;="&amp;'Cash Flow'!AJ$3,'Wells Fargo'!$B:$B,"&gt;"&amp;'Cash Flow'!AI$3)</f>
        <v>0</v>
      </c>
      <c r="AK53" s="90">
        <f>SUMIFS('Wells Fargo'!$F:$F,'Wells Fargo'!$G:$G,'Cash Flow'!$A53,'Wells Fargo'!$A:$A,AK$1,'Wells Fargo'!$B:$B,"&lt;="&amp;'Cash Flow'!AK$3)</f>
        <v>0</v>
      </c>
      <c r="AL53" s="89">
        <f>SUMIFS('Wells Fargo'!$F:$F,'Wells Fargo'!$G:$G,'Cash Flow'!$A53,'Wells Fargo'!$A:$A,AL$1,'Wells Fargo'!$B:$B,"&lt;="&amp;'Cash Flow'!AL$3,'Wells Fargo'!$B:$B,"&gt;"&amp;'Cash Flow'!AK$3)</f>
        <v>0</v>
      </c>
      <c r="AM53" s="89">
        <f>SUMIFS('Wells Fargo'!$F:$F,'Wells Fargo'!$G:$G,'Cash Flow'!$A53,'Wells Fargo'!$A:$A,AM$1,'Wells Fargo'!$B:$B,"&lt;="&amp;'Cash Flow'!AM$3,'Wells Fargo'!$B:$B,"&gt;"&amp;'Cash Flow'!AL$3)</f>
        <v>0</v>
      </c>
      <c r="AN53" s="89">
        <f>SUMIFS('Wells Fargo'!$F:$F,'Wells Fargo'!$G:$G,'Cash Flow'!$A53,'Wells Fargo'!$A:$A,AN$1,'Wells Fargo'!$B:$B,"&lt;="&amp;'Cash Flow'!AN$3,'Wells Fargo'!$B:$B,"&gt;"&amp;'Cash Flow'!AM$3)</f>
        <v>0</v>
      </c>
      <c r="AO53" s="89">
        <f>SUMIFS('Wells Fargo'!$F:$F,'Wells Fargo'!$G:$G,'Cash Flow'!$A53,'Wells Fargo'!$A:$A,AO$1,'Wells Fargo'!$B:$B,"&lt;="&amp;'Cash Flow'!AO$3,'Wells Fargo'!$B:$B,"&gt;"&amp;'Cash Flow'!AN$3)</f>
        <v>0</v>
      </c>
      <c r="AP53" s="90">
        <f>SUMIFS('Wells Fargo'!$F:$F,'Wells Fargo'!$G:$G,'Cash Flow'!$A53,'Wells Fargo'!$A:$A,AP$1,'Wells Fargo'!$B:$B,"&lt;="&amp;'Cash Flow'!AP$3)</f>
        <v>0</v>
      </c>
      <c r="AQ53" s="89">
        <f>SUMIFS('Wells Fargo'!$F:$F,'Wells Fargo'!$G:$G,'Cash Flow'!$A53,'Wells Fargo'!$A:$A,AQ$1,'Wells Fargo'!$B:$B,"&lt;="&amp;'Cash Flow'!AQ$3,'Wells Fargo'!$B:$B,"&gt;"&amp;'Cash Flow'!AP$3)</f>
        <v>0</v>
      </c>
      <c r="AR53" s="89">
        <f>SUMIFS('Wells Fargo'!$F:$F,'Wells Fargo'!$G:$G,'Cash Flow'!$A53,'Wells Fargo'!$A:$A,AR$1,'Wells Fargo'!$B:$B,"&lt;="&amp;'Cash Flow'!AR$3,'Wells Fargo'!$B:$B,"&gt;"&amp;'Cash Flow'!AQ$3)</f>
        <v>0</v>
      </c>
      <c r="AS53" s="89">
        <f>SUMIFS('Wells Fargo'!$F:$F,'Wells Fargo'!$G:$G,'Cash Flow'!$A53,'Wells Fargo'!$A:$A,AS$1,'Wells Fargo'!$B:$B,"&lt;="&amp;'Cash Flow'!AS$3,'Wells Fargo'!$B:$B,"&gt;"&amp;'Cash Flow'!AR$3)</f>
        <v>0</v>
      </c>
      <c r="AT53" s="89">
        <f>SUMIFS('Wells Fargo'!$F:$F,'Wells Fargo'!$G:$G,'Cash Flow'!$A53,'Wells Fargo'!$A:$A,AT$1,'Wells Fargo'!$B:$B,"&lt;="&amp;'Cash Flow'!AT$3,'Wells Fargo'!$B:$B,"&gt;"&amp;'Cash Flow'!AS$3)</f>
        <v>0</v>
      </c>
      <c r="AU53" s="90">
        <f>SUMIFS('Wells Fargo'!$F:$F,'Wells Fargo'!$G:$G,'Cash Flow'!$A53,'Wells Fargo'!$A:$A,AU$1,'Wells Fargo'!$B:$B,"&lt;="&amp;'Cash Flow'!AU$3)</f>
        <v>0</v>
      </c>
      <c r="AV53" s="89">
        <f>SUMIFS('Wells Fargo'!$F:$F,'Wells Fargo'!$G:$G,'Cash Flow'!$A53,'Wells Fargo'!$A:$A,AV$1,'Wells Fargo'!$B:$B,"&lt;="&amp;'Cash Flow'!AV$3,'Wells Fargo'!$B:$B,"&gt;"&amp;'Cash Flow'!AU$3)</f>
        <v>0</v>
      </c>
      <c r="AW53" s="89">
        <f>SUMIFS('Wells Fargo'!$F:$F,'Wells Fargo'!$G:$G,'Cash Flow'!$A53,'Wells Fargo'!$A:$A,AW$1,'Wells Fargo'!$B:$B,"&lt;="&amp;'Cash Flow'!AW$3,'Wells Fargo'!$B:$B,"&gt;"&amp;'Cash Flow'!AV$3)</f>
        <v>0</v>
      </c>
      <c r="AX53" s="89">
        <f>SUMIFS('Wells Fargo'!$F:$F,'Wells Fargo'!$G:$G,'Cash Flow'!$A53,'Wells Fargo'!$A:$A,AX$1,'Wells Fargo'!$B:$B,"&lt;="&amp;'Cash Flow'!AX$3,'Wells Fargo'!$B:$B,"&gt;"&amp;'Cash Flow'!AW$3)</f>
        <v>0</v>
      </c>
      <c r="AY53" s="89">
        <f>SUMIFS('Wells Fargo'!$F:$F,'Wells Fargo'!$G:$G,'Cash Flow'!$A53,'Wells Fargo'!$A:$A,AY$1,'Wells Fargo'!$B:$B,"&lt;="&amp;'Cash Flow'!AY$3,'Wells Fargo'!$B:$B,"&gt;"&amp;'Cash Flow'!AX$3)</f>
        <v>0</v>
      </c>
      <c r="AZ53" s="90">
        <f>SUMIFS('Wells Fargo'!$F:$F,'Wells Fargo'!$G:$G,'Cash Flow'!$A53,'Wells Fargo'!$A:$A,AZ$1,'Wells Fargo'!$B:$B,"&lt;="&amp;'Cash Flow'!AZ$3)</f>
        <v>0</v>
      </c>
      <c r="BA53" s="89">
        <f>SUMIFS('Wells Fargo'!$F:$F,'Wells Fargo'!$G:$G,'Cash Flow'!$A53,'Wells Fargo'!$A:$A,BA$1,'Wells Fargo'!$B:$B,"&lt;="&amp;'Cash Flow'!BA$3,'Wells Fargo'!$B:$B,"&gt;"&amp;'Cash Flow'!AZ$3)</f>
        <v>0</v>
      </c>
      <c r="BB53" s="89">
        <f>SUMIFS('Wells Fargo'!$F:$F,'Wells Fargo'!$G:$G,'Cash Flow'!$A53,'Wells Fargo'!$A:$A,BB$1,'Wells Fargo'!$B:$B,"&lt;="&amp;'Cash Flow'!BB$3,'Wells Fargo'!$B:$B,"&gt;"&amp;'Cash Flow'!BA$3)</f>
        <v>0</v>
      </c>
      <c r="BC53" s="89">
        <f>SUMIFS('Wells Fargo'!$F:$F,'Wells Fargo'!$G:$G,'Cash Flow'!$A53,'Wells Fargo'!$A:$A,BC$1,'Wells Fargo'!$B:$B,"&lt;="&amp;'Cash Flow'!BC$3,'Wells Fargo'!$B:$B,"&gt;"&amp;'Cash Flow'!BB$3)</f>
        <v>0</v>
      </c>
      <c r="BD53" s="89">
        <f>SUMIFS('Wells Fargo'!$F:$F,'Wells Fargo'!$G:$G,'Cash Flow'!$A53,'Wells Fargo'!$A:$A,BD$1,'Wells Fargo'!$B:$B,"&lt;="&amp;'Cash Flow'!BD$3,'Wells Fargo'!$B:$B,"&gt;"&amp;'Cash Flow'!BC$3)</f>
        <v>0</v>
      </c>
      <c r="BE53" s="90">
        <f>SUMIFS('Wells Fargo'!$F:$F,'Wells Fargo'!$G:$G,'Cash Flow'!$A53,'Wells Fargo'!$A:$A,BE$1,'Wells Fargo'!$B:$B,"&lt;="&amp;'Cash Flow'!BE$3)</f>
        <v>0</v>
      </c>
      <c r="BF53" s="89">
        <f>SUMIFS('Wells Fargo'!$F:$F,'Wells Fargo'!$G:$G,'Cash Flow'!$A53,'Wells Fargo'!$A:$A,BF$1,'Wells Fargo'!$B:$B,"&lt;="&amp;'Cash Flow'!BF$3,'Wells Fargo'!$B:$B,"&gt;"&amp;'Cash Flow'!BE$3)</f>
        <v>0</v>
      </c>
      <c r="BG53" s="89">
        <f>SUMIFS('Wells Fargo'!$F:$F,'Wells Fargo'!$G:$G,'Cash Flow'!$A53,'Wells Fargo'!$A:$A,BG$1,'Wells Fargo'!$B:$B,"&lt;="&amp;'Cash Flow'!BG$3,'Wells Fargo'!$B:$B,"&gt;"&amp;'Cash Flow'!BF$3)</f>
        <v>0</v>
      </c>
      <c r="BH53" s="89">
        <f>SUMIFS('Wells Fargo'!$F:$F,'Wells Fargo'!$G:$G,'Cash Flow'!$A53,'Wells Fargo'!$A:$A,BH$1,'Wells Fargo'!$B:$B,"&lt;="&amp;'Cash Flow'!BH$3,'Wells Fargo'!$B:$B,"&gt;"&amp;'Cash Flow'!BG$3)</f>
        <v>0</v>
      </c>
      <c r="BI53" s="89">
        <f>SUMIFS('Wells Fargo'!$F:$F,'Wells Fargo'!$G:$G,'Cash Flow'!$A53,'Wells Fargo'!$A:$A,BI$1,'Wells Fargo'!$B:$B,"&lt;="&amp;'Cash Flow'!BI$3,'Wells Fargo'!$B:$B,"&gt;"&amp;'Cash Flow'!BH$3)</f>
        <v>0</v>
      </c>
    </row>
    <row r="54" spans="1:61" ht="12.75" x14ac:dyDescent="0.2">
      <c r="A54" t="str">
        <v>Stranger</v>
      </c>
      <c r="B54" s="15">
        <f t="shared" si="2"/>
        <v>-50</v>
      </c>
      <c r="C54" s="90">
        <f>SUMIFS('Wells Fargo'!$F:$F,'Wells Fargo'!$G:$G,'Cash Flow'!$A54,'Wells Fargo'!$A:$A,C$1,'Wells Fargo'!$B:$B,"&lt;="&amp;'Cash Flow'!C$3)</f>
        <v>0</v>
      </c>
      <c r="D54" s="89">
        <f>SUMIFS('Wells Fargo'!$F:$F,'Wells Fargo'!$G:$G,'Cash Flow'!$A54,'Wells Fargo'!$A:$A,D$1,'Wells Fargo'!$B:$B,"&lt;="&amp;'Cash Flow'!D$3,'Wells Fargo'!$B:$B,"&gt;"&amp;'Cash Flow'!C$3)</f>
        <v>0</v>
      </c>
      <c r="E54" s="89">
        <f>SUMIFS('Wells Fargo'!$F:$F,'Wells Fargo'!$G:$G,'Cash Flow'!$A54,'Wells Fargo'!$A:$A,E$1,'Wells Fargo'!$B:$B,"&lt;="&amp;'Cash Flow'!E$3,'Wells Fargo'!$B:$B,"&gt;"&amp;'Cash Flow'!D$3)</f>
        <v>0</v>
      </c>
      <c r="F54" s="89">
        <f>SUMIFS('Wells Fargo'!$F:$F,'Wells Fargo'!$G:$G,'Cash Flow'!$A54,'Wells Fargo'!$A:$A,F$1,'Wells Fargo'!$B:$B,"&lt;="&amp;'Cash Flow'!F$3,'Wells Fargo'!$B:$B,"&gt;"&amp;'Cash Flow'!E$3)</f>
        <v>0</v>
      </c>
      <c r="G54" s="89">
        <f>SUMIFS('Wells Fargo'!$F:$F,'Wells Fargo'!$G:$G,'Cash Flow'!$A54,'Wells Fargo'!$A:$A,G$1,'Wells Fargo'!$B:$B,"&lt;="&amp;'Cash Flow'!G$3,'Wells Fargo'!$B:$B,"&gt;"&amp;'Cash Flow'!F$3)</f>
        <v>0</v>
      </c>
      <c r="H54" s="90">
        <f>SUMIFS('Wells Fargo'!$F:$F,'Wells Fargo'!$G:$G,'Cash Flow'!$A54,'Wells Fargo'!$A:$A,H$1,'Wells Fargo'!$B:$B,"&lt;="&amp;'Cash Flow'!H$3)</f>
        <v>0</v>
      </c>
      <c r="I54" s="89">
        <f>SUMIFS('Wells Fargo'!$F:$F,'Wells Fargo'!$G:$G,'Cash Flow'!$A54,'Wells Fargo'!$A:$A,I$1,'Wells Fargo'!$B:$B,"&lt;="&amp;'Cash Flow'!I$3,'Wells Fargo'!$B:$B,"&gt;"&amp;'Cash Flow'!H$3)</f>
        <v>0</v>
      </c>
      <c r="J54" s="89">
        <f>SUMIFS('Wells Fargo'!$F:$F,'Wells Fargo'!$G:$G,'Cash Flow'!$A54,'Wells Fargo'!$A:$A,J$1,'Wells Fargo'!$B:$B,"&lt;="&amp;'Cash Flow'!J$3,'Wells Fargo'!$B:$B,"&gt;"&amp;'Cash Flow'!I$3)</f>
        <v>0</v>
      </c>
      <c r="K54" s="89">
        <f>SUMIFS('Wells Fargo'!$F:$F,'Wells Fargo'!$G:$G,'Cash Flow'!$A54,'Wells Fargo'!$A:$A,K$1,'Wells Fargo'!$B:$B,"&lt;="&amp;'Cash Flow'!K$3,'Wells Fargo'!$B:$B,"&gt;"&amp;'Cash Flow'!J$3)</f>
        <v>0</v>
      </c>
      <c r="L54" s="90">
        <f>SUMIFS('Wells Fargo'!$F:$F,'Wells Fargo'!$G:$G,'Cash Flow'!$A54,'Wells Fargo'!$A:$A,L$1,'Wells Fargo'!$B:$B,"&lt;="&amp;'Cash Flow'!L$3)</f>
        <v>0</v>
      </c>
      <c r="M54" s="89">
        <f>SUMIFS('Wells Fargo'!$F:$F,'Wells Fargo'!$G:$G,'Cash Flow'!$A54,'Wells Fargo'!$A:$A,M$1,'Wells Fargo'!$B:$B,"&lt;="&amp;'Cash Flow'!M$3,'Wells Fargo'!$B:$B,"&gt;"&amp;'Cash Flow'!L$3)</f>
        <v>0</v>
      </c>
      <c r="N54" s="89">
        <f>SUMIFS('Wells Fargo'!$F:$F,'Wells Fargo'!$G:$G,'Cash Flow'!$A54,'Wells Fargo'!$A:$A,N$1,'Wells Fargo'!$B:$B,"&lt;="&amp;'Cash Flow'!N$3,'Wells Fargo'!$B:$B,"&gt;"&amp;'Cash Flow'!M$3)</f>
        <v>0</v>
      </c>
      <c r="O54" s="89">
        <f>SUMIFS('Wells Fargo'!$F:$F,'Wells Fargo'!$G:$G,'Cash Flow'!$A54,'Wells Fargo'!$A:$A,O$1,'Wells Fargo'!$B:$B,"&lt;="&amp;'Cash Flow'!O$3,'Wells Fargo'!$B:$B,"&gt;"&amp;'Cash Flow'!N$3)</f>
        <v>0</v>
      </c>
      <c r="P54" s="89">
        <f>SUMIFS('Wells Fargo'!$F:$F,'Wells Fargo'!$G:$G,'Cash Flow'!$A54,'Wells Fargo'!$A:$A,P$1,'Wells Fargo'!$B:$B,"&lt;="&amp;'Cash Flow'!P$3,'Wells Fargo'!$B:$B,"&gt;"&amp;'Cash Flow'!O$3)</f>
        <v>0</v>
      </c>
      <c r="Q54" s="90">
        <f>SUMIFS('Wells Fargo'!$F:$F,'Wells Fargo'!$G:$G,'Cash Flow'!$A54,'Wells Fargo'!$A:$A,Q$1,'Wells Fargo'!$B:$B,"&lt;="&amp;'Cash Flow'!Q$3)</f>
        <v>0</v>
      </c>
      <c r="R54" s="89">
        <f>SUMIFS('Wells Fargo'!$F:$F,'Wells Fargo'!$G:$G,'Cash Flow'!$A54,'Wells Fargo'!$A:$A,R$1,'Wells Fargo'!$B:$B,"&lt;="&amp;'Cash Flow'!R$3,'Wells Fargo'!$B:$B,"&gt;"&amp;'Cash Flow'!Q$3)</f>
        <v>0</v>
      </c>
      <c r="S54" s="89">
        <f>SUMIFS('Wells Fargo'!$F:$F,'Wells Fargo'!$G:$G,'Cash Flow'!$A54,'Wells Fargo'!$A:$A,S$1,'Wells Fargo'!$B:$B,"&lt;="&amp;'Cash Flow'!S$3,'Wells Fargo'!$B:$B,"&gt;"&amp;'Cash Flow'!R$3)</f>
        <v>0</v>
      </c>
      <c r="T54" s="89">
        <f>SUMIFS('Wells Fargo'!$F:$F,'Wells Fargo'!$G:$G,'Cash Flow'!$A54,'Wells Fargo'!$A:$A,T$1,'Wells Fargo'!$B:$B,"&lt;="&amp;'Cash Flow'!T$3,'Wells Fargo'!$B:$B,"&gt;"&amp;'Cash Flow'!S$3)</f>
        <v>0</v>
      </c>
      <c r="U54" s="89">
        <f>SUMIFS('Wells Fargo'!$F:$F,'Wells Fargo'!$G:$G,'Cash Flow'!$A54,'Wells Fargo'!$A:$A,U$1,'Wells Fargo'!$B:$B,"&lt;="&amp;'Cash Flow'!U$3,'Wells Fargo'!$B:$B,"&gt;"&amp;'Cash Flow'!T$3)</f>
        <v>0</v>
      </c>
      <c r="V54" s="90">
        <f>SUMIFS('Wells Fargo'!$F:$F,'Wells Fargo'!$G:$G,'Cash Flow'!$A54,'Wells Fargo'!$A:$A,V$1,'Wells Fargo'!$B:$B,"&lt;="&amp;'Cash Flow'!V$3)</f>
        <v>0</v>
      </c>
      <c r="W54" s="89">
        <f>SUMIFS('Wells Fargo'!$F:$F,'Wells Fargo'!$G:$G,'Cash Flow'!$A54,'Wells Fargo'!$A:$A,W$1,'Wells Fargo'!$B:$B,"&lt;="&amp;'Cash Flow'!W$3,'Wells Fargo'!$B:$B,"&gt;"&amp;'Cash Flow'!V$3)</f>
        <v>0</v>
      </c>
      <c r="X54" s="89">
        <f>SUMIFS('Wells Fargo'!$F:$F,'Wells Fargo'!$G:$G,'Cash Flow'!$A54,'Wells Fargo'!$A:$A,X$1,'Wells Fargo'!$B:$B,"&lt;="&amp;'Cash Flow'!X$3,'Wells Fargo'!$B:$B,"&gt;"&amp;'Cash Flow'!W$3)</f>
        <v>0</v>
      </c>
      <c r="Y54" s="89">
        <f>SUMIFS('Wells Fargo'!$F:$F,'Wells Fargo'!$G:$G,'Cash Flow'!$A54,'Wells Fargo'!$A:$A,Y$1,'Wells Fargo'!$B:$B,"&lt;="&amp;'Cash Flow'!Y$3,'Wells Fargo'!$B:$B,"&gt;"&amp;'Cash Flow'!X$3)</f>
        <v>-50</v>
      </c>
      <c r="Z54" s="89">
        <f>SUMIFS('Wells Fargo'!$F:$F,'Wells Fargo'!$G:$G,'Cash Flow'!$A54,'Wells Fargo'!$A:$A,Z$1,'Wells Fargo'!$B:$B,"&lt;="&amp;'Cash Flow'!Z$3,'Wells Fargo'!$B:$B,"&gt;"&amp;'Cash Flow'!Y$3)</f>
        <v>0</v>
      </c>
      <c r="AA54" s="90">
        <f>SUMIFS('Wells Fargo'!$F:$F,'Wells Fargo'!$G:$G,'Cash Flow'!$A54,'Wells Fargo'!$A:$A,AA$1,'Wells Fargo'!$B:$B,"&lt;="&amp;'Cash Flow'!AA$3)</f>
        <v>0</v>
      </c>
      <c r="AB54" s="89">
        <f>SUMIFS('Wells Fargo'!$F:$F,'Wells Fargo'!$G:$G,'Cash Flow'!$A54,'Wells Fargo'!$A:$A,AB$1,'Wells Fargo'!$B:$B,"&lt;="&amp;'Cash Flow'!AB$3,'Wells Fargo'!$B:$B,"&gt;"&amp;'Cash Flow'!AA$3)</f>
        <v>0</v>
      </c>
      <c r="AC54" s="89">
        <f>SUMIFS('Wells Fargo'!$F:$F,'Wells Fargo'!$G:$G,'Cash Flow'!$A54,'Wells Fargo'!$A:$A,AC$1,'Wells Fargo'!$B:$B,"&lt;="&amp;'Cash Flow'!AC$3,'Wells Fargo'!$B:$B,"&gt;"&amp;'Cash Flow'!AB$3)</f>
        <v>0</v>
      </c>
      <c r="AD54" s="89">
        <f>SUMIFS('Wells Fargo'!$F:$F,'Wells Fargo'!$G:$G,'Cash Flow'!$A54,'Wells Fargo'!$A:$A,AD$1,'Wells Fargo'!$B:$B,"&lt;="&amp;'Cash Flow'!AD$3,'Wells Fargo'!$B:$B,"&gt;"&amp;'Cash Flow'!AC$3)</f>
        <v>0</v>
      </c>
      <c r="AE54" s="89">
        <f>SUMIFS('Wells Fargo'!$F:$F,'Wells Fargo'!$G:$G,'Cash Flow'!$A54,'Wells Fargo'!$A:$A,AE$1,'Wells Fargo'!$B:$B,"&lt;="&amp;'Cash Flow'!AE$3,'Wells Fargo'!$B:$B,"&gt;"&amp;'Cash Flow'!AD$3)</f>
        <v>0</v>
      </c>
      <c r="AF54" s="90">
        <f>SUMIFS('Wells Fargo'!$F:$F,'Wells Fargo'!$G:$G,'Cash Flow'!$A54,'Wells Fargo'!$A:$A,AF$1,'Wells Fargo'!$B:$B,"&lt;="&amp;'Cash Flow'!AF$3)</f>
        <v>0</v>
      </c>
      <c r="AG54" s="89">
        <f>SUMIFS('Wells Fargo'!$F:$F,'Wells Fargo'!$G:$G,'Cash Flow'!$A54,'Wells Fargo'!$A:$A,AG$1,'Wells Fargo'!$B:$B,"&lt;="&amp;'Cash Flow'!AG$3,'Wells Fargo'!$B:$B,"&gt;"&amp;'Cash Flow'!AF$3)</f>
        <v>0</v>
      </c>
      <c r="AH54" s="89">
        <f>SUMIFS('Wells Fargo'!$F:$F,'Wells Fargo'!$G:$G,'Cash Flow'!$A54,'Wells Fargo'!$A:$A,AH$1,'Wells Fargo'!$B:$B,"&lt;="&amp;'Cash Flow'!AH$3,'Wells Fargo'!$B:$B,"&gt;"&amp;'Cash Flow'!AG$3)</f>
        <v>0</v>
      </c>
      <c r="AI54" s="89">
        <f>SUMIFS('Wells Fargo'!$F:$F,'Wells Fargo'!$G:$G,'Cash Flow'!$A54,'Wells Fargo'!$A:$A,AI$1,'Wells Fargo'!$B:$B,"&lt;="&amp;'Cash Flow'!AI$3,'Wells Fargo'!$B:$B,"&gt;"&amp;'Cash Flow'!AH$3)</f>
        <v>0</v>
      </c>
      <c r="AJ54" s="89">
        <f>SUMIFS('Wells Fargo'!$F:$F,'Wells Fargo'!$G:$G,'Cash Flow'!$A54,'Wells Fargo'!$A:$A,AJ$1,'Wells Fargo'!$B:$B,"&lt;="&amp;'Cash Flow'!AJ$3,'Wells Fargo'!$B:$B,"&gt;"&amp;'Cash Flow'!AI$3)</f>
        <v>0</v>
      </c>
      <c r="AK54" s="90">
        <f>SUMIFS('Wells Fargo'!$F:$F,'Wells Fargo'!$G:$G,'Cash Flow'!$A54,'Wells Fargo'!$A:$A,AK$1,'Wells Fargo'!$B:$B,"&lt;="&amp;'Cash Flow'!AK$3)</f>
        <v>0</v>
      </c>
      <c r="AL54" s="89">
        <f>SUMIFS('Wells Fargo'!$F:$F,'Wells Fargo'!$G:$G,'Cash Flow'!$A54,'Wells Fargo'!$A:$A,AL$1,'Wells Fargo'!$B:$B,"&lt;="&amp;'Cash Flow'!AL$3,'Wells Fargo'!$B:$B,"&gt;"&amp;'Cash Flow'!AK$3)</f>
        <v>0</v>
      </c>
      <c r="AM54" s="89">
        <f>SUMIFS('Wells Fargo'!$F:$F,'Wells Fargo'!$G:$G,'Cash Flow'!$A54,'Wells Fargo'!$A:$A,AM$1,'Wells Fargo'!$B:$B,"&lt;="&amp;'Cash Flow'!AM$3,'Wells Fargo'!$B:$B,"&gt;"&amp;'Cash Flow'!AL$3)</f>
        <v>0</v>
      </c>
      <c r="AN54" s="89">
        <f>SUMIFS('Wells Fargo'!$F:$F,'Wells Fargo'!$G:$G,'Cash Flow'!$A54,'Wells Fargo'!$A:$A,AN$1,'Wells Fargo'!$B:$B,"&lt;="&amp;'Cash Flow'!AN$3,'Wells Fargo'!$B:$B,"&gt;"&amp;'Cash Flow'!AM$3)</f>
        <v>0</v>
      </c>
      <c r="AO54" s="89">
        <f>SUMIFS('Wells Fargo'!$F:$F,'Wells Fargo'!$G:$G,'Cash Flow'!$A54,'Wells Fargo'!$A:$A,AO$1,'Wells Fargo'!$B:$B,"&lt;="&amp;'Cash Flow'!AO$3,'Wells Fargo'!$B:$B,"&gt;"&amp;'Cash Flow'!AN$3)</f>
        <v>0</v>
      </c>
      <c r="AP54" s="90">
        <f>SUMIFS('Wells Fargo'!$F:$F,'Wells Fargo'!$G:$G,'Cash Flow'!$A54,'Wells Fargo'!$A:$A,AP$1,'Wells Fargo'!$B:$B,"&lt;="&amp;'Cash Flow'!AP$3)</f>
        <v>0</v>
      </c>
      <c r="AQ54" s="89">
        <f>SUMIFS('Wells Fargo'!$F:$F,'Wells Fargo'!$G:$G,'Cash Flow'!$A54,'Wells Fargo'!$A:$A,AQ$1,'Wells Fargo'!$B:$B,"&lt;="&amp;'Cash Flow'!AQ$3,'Wells Fargo'!$B:$B,"&gt;"&amp;'Cash Flow'!AP$3)</f>
        <v>0</v>
      </c>
      <c r="AR54" s="89">
        <f>SUMIFS('Wells Fargo'!$F:$F,'Wells Fargo'!$G:$G,'Cash Flow'!$A54,'Wells Fargo'!$A:$A,AR$1,'Wells Fargo'!$B:$B,"&lt;="&amp;'Cash Flow'!AR$3,'Wells Fargo'!$B:$B,"&gt;"&amp;'Cash Flow'!AQ$3)</f>
        <v>0</v>
      </c>
      <c r="AS54" s="89">
        <f>SUMIFS('Wells Fargo'!$F:$F,'Wells Fargo'!$G:$G,'Cash Flow'!$A54,'Wells Fargo'!$A:$A,AS$1,'Wells Fargo'!$B:$B,"&lt;="&amp;'Cash Flow'!AS$3,'Wells Fargo'!$B:$B,"&gt;"&amp;'Cash Flow'!AR$3)</f>
        <v>0</v>
      </c>
      <c r="AT54" s="89">
        <f>SUMIFS('Wells Fargo'!$F:$F,'Wells Fargo'!$G:$G,'Cash Flow'!$A54,'Wells Fargo'!$A:$A,AT$1,'Wells Fargo'!$B:$B,"&lt;="&amp;'Cash Flow'!AT$3,'Wells Fargo'!$B:$B,"&gt;"&amp;'Cash Flow'!AS$3)</f>
        <v>0</v>
      </c>
      <c r="AU54" s="90">
        <f>SUMIFS('Wells Fargo'!$F:$F,'Wells Fargo'!$G:$G,'Cash Flow'!$A54,'Wells Fargo'!$A:$A,AU$1,'Wells Fargo'!$B:$B,"&lt;="&amp;'Cash Flow'!AU$3)</f>
        <v>0</v>
      </c>
      <c r="AV54" s="89">
        <f>SUMIFS('Wells Fargo'!$F:$F,'Wells Fargo'!$G:$G,'Cash Flow'!$A54,'Wells Fargo'!$A:$A,AV$1,'Wells Fargo'!$B:$B,"&lt;="&amp;'Cash Flow'!AV$3,'Wells Fargo'!$B:$B,"&gt;"&amp;'Cash Flow'!AU$3)</f>
        <v>0</v>
      </c>
      <c r="AW54" s="89">
        <f>SUMIFS('Wells Fargo'!$F:$F,'Wells Fargo'!$G:$G,'Cash Flow'!$A54,'Wells Fargo'!$A:$A,AW$1,'Wells Fargo'!$B:$B,"&lt;="&amp;'Cash Flow'!AW$3,'Wells Fargo'!$B:$B,"&gt;"&amp;'Cash Flow'!AV$3)</f>
        <v>0</v>
      </c>
      <c r="AX54" s="89">
        <f>SUMIFS('Wells Fargo'!$F:$F,'Wells Fargo'!$G:$G,'Cash Flow'!$A54,'Wells Fargo'!$A:$A,AX$1,'Wells Fargo'!$B:$B,"&lt;="&amp;'Cash Flow'!AX$3,'Wells Fargo'!$B:$B,"&gt;"&amp;'Cash Flow'!AW$3)</f>
        <v>0</v>
      </c>
      <c r="AY54" s="89">
        <f>SUMIFS('Wells Fargo'!$F:$F,'Wells Fargo'!$G:$G,'Cash Flow'!$A54,'Wells Fargo'!$A:$A,AY$1,'Wells Fargo'!$B:$B,"&lt;="&amp;'Cash Flow'!AY$3,'Wells Fargo'!$B:$B,"&gt;"&amp;'Cash Flow'!AX$3)</f>
        <v>0</v>
      </c>
      <c r="AZ54" s="90">
        <f>SUMIFS('Wells Fargo'!$F:$F,'Wells Fargo'!$G:$G,'Cash Flow'!$A54,'Wells Fargo'!$A:$A,AZ$1,'Wells Fargo'!$B:$B,"&lt;="&amp;'Cash Flow'!AZ$3)</f>
        <v>0</v>
      </c>
      <c r="BA54" s="89">
        <f>SUMIFS('Wells Fargo'!$F:$F,'Wells Fargo'!$G:$G,'Cash Flow'!$A54,'Wells Fargo'!$A:$A,BA$1,'Wells Fargo'!$B:$B,"&lt;="&amp;'Cash Flow'!BA$3,'Wells Fargo'!$B:$B,"&gt;"&amp;'Cash Flow'!AZ$3)</f>
        <v>0</v>
      </c>
      <c r="BB54" s="89">
        <f>SUMIFS('Wells Fargo'!$F:$F,'Wells Fargo'!$G:$G,'Cash Flow'!$A54,'Wells Fargo'!$A:$A,BB$1,'Wells Fargo'!$B:$B,"&lt;="&amp;'Cash Flow'!BB$3,'Wells Fargo'!$B:$B,"&gt;"&amp;'Cash Flow'!BA$3)</f>
        <v>0</v>
      </c>
      <c r="BC54" s="89">
        <f>SUMIFS('Wells Fargo'!$F:$F,'Wells Fargo'!$G:$G,'Cash Flow'!$A54,'Wells Fargo'!$A:$A,BC$1,'Wells Fargo'!$B:$B,"&lt;="&amp;'Cash Flow'!BC$3,'Wells Fargo'!$B:$B,"&gt;"&amp;'Cash Flow'!BB$3)</f>
        <v>0</v>
      </c>
      <c r="BD54" s="89">
        <f>SUMIFS('Wells Fargo'!$F:$F,'Wells Fargo'!$G:$G,'Cash Flow'!$A54,'Wells Fargo'!$A:$A,BD$1,'Wells Fargo'!$B:$B,"&lt;="&amp;'Cash Flow'!BD$3,'Wells Fargo'!$B:$B,"&gt;"&amp;'Cash Flow'!BC$3)</f>
        <v>0</v>
      </c>
      <c r="BE54" s="90">
        <f>SUMIFS('Wells Fargo'!$F:$F,'Wells Fargo'!$G:$G,'Cash Flow'!$A54,'Wells Fargo'!$A:$A,BE$1,'Wells Fargo'!$B:$B,"&lt;="&amp;'Cash Flow'!BE$3)</f>
        <v>0</v>
      </c>
      <c r="BF54" s="89">
        <f>SUMIFS('Wells Fargo'!$F:$F,'Wells Fargo'!$G:$G,'Cash Flow'!$A54,'Wells Fargo'!$A:$A,BF$1,'Wells Fargo'!$B:$B,"&lt;="&amp;'Cash Flow'!BF$3,'Wells Fargo'!$B:$B,"&gt;"&amp;'Cash Flow'!BE$3)</f>
        <v>0</v>
      </c>
      <c r="BG54" s="89">
        <f>SUMIFS('Wells Fargo'!$F:$F,'Wells Fargo'!$G:$G,'Cash Flow'!$A54,'Wells Fargo'!$A:$A,BG$1,'Wells Fargo'!$B:$B,"&lt;="&amp;'Cash Flow'!BG$3,'Wells Fargo'!$B:$B,"&gt;"&amp;'Cash Flow'!BF$3)</f>
        <v>0</v>
      </c>
      <c r="BH54" s="89">
        <f>SUMIFS('Wells Fargo'!$F:$F,'Wells Fargo'!$G:$G,'Cash Flow'!$A54,'Wells Fargo'!$A:$A,BH$1,'Wells Fargo'!$B:$B,"&lt;="&amp;'Cash Flow'!BH$3,'Wells Fargo'!$B:$B,"&gt;"&amp;'Cash Flow'!BG$3)</f>
        <v>0</v>
      </c>
      <c r="BI54" s="89">
        <f>SUMIFS('Wells Fargo'!$F:$F,'Wells Fargo'!$G:$G,'Cash Flow'!$A54,'Wells Fargo'!$A:$A,BI$1,'Wells Fargo'!$B:$B,"&lt;="&amp;'Cash Flow'!BI$3,'Wells Fargo'!$B:$B,"&gt;"&amp;'Cash Flow'!BH$3)</f>
        <v>0</v>
      </c>
    </row>
    <row r="55" spans="1:61" ht="12.75" x14ac:dyDescent="0.2">
      <c r="A55" t="str">
        <v>Tax Return</v>
      </c>
      <c r="B55" s="15">
        <f t="shared" si="2"/>
        <v>2475</v>
      </c>
      <c r="C55" s="90">
        <f>SUMIFS('Wells Fargo'!$F:$F,'Wells Fargo'!$G:$G,'Cash Flow'!$A55,'Wells Fargo'!$A:$A,C$1,'Wells Fargo'!$B:$B,"&lt;="&amp;'Cash Flow'!C$3)</f>
        <v>0</v>
      </c>
      <c r="D55" s="89">
        <f>SUMIFS('Wells Fargo'!$F:$F,'Wells Fargo'!$G:$G,'Cash Flow'!$A55,'Wells Fargo'!$A:$A,D$1,'Wells Fargo'!$B:$B,"&lt;="&amp;'Cash Flow'!D$3,'Wells Fargo'!$B:$B,"&gt;"&amp;'Cash Flow'!C$3)</f>
        <v>0</v>
      </c>
      <c r="E55" s="89">
        <f>SUMIFS('Wells Fargo'!$F:$F,'Wells Fargo'!$G:$G,'Cash Flow'!$A55,'Wells Fargo'!$A:$A,E$1,'Wells Fargo'!$B:$B,"&lt;="&amp;'Cash Flow'!E$3,'Wells Fargo'!$B:$B,"&gt;"&amp;'Cash Flow'!D$3)</f>
        <v>0</v>
      </c>
      <c r="F55" s="89">
        <f>SUMIFS('Wells Fargo'!$F:$F,'Wells Fargo'!$G:$G,'Cash Flow'!$A55,'Wells Fargo'!$A:$A,F$1,'Wells Fargo'!$B:$B,"&lt;="&amp;'Cash Flow'!F$3,'Wells Fargo'!$B:$B,"&gt;"&amp;'Cash Flow'!E$3)</f>
        <v>0</v>
      </c>
      <c r="G55" s="89">
        <f>SUMIFS('Wells Fargo'!$F:$F,'Wells Fargo'!$G:$G,'Cash Flow'!$A55,'Wells Fargo'!$A:$A,G$1,'Wells Fargo'!$B:$B,"&lt;="&amp;'Cash Flow'!G$3,'Wells Fargo'!$B:$B,"&gt;"&amp;'Cash Flow'!F$3)</f>
        <v>0</v>
      </c>
      <c r="H55" s="90">
        <f>SUMIFS('Wells Fargo'!$F:$F,'Wells Fargo'!$G:$G,'Cash Flow'!$A55,'Wells Fargo'!$A:$A,H$1,'Wells Fargo'!$B:$B,"&lt;="&amp;'Cash Flow'!H$3)</f>
        <v>0</v>
      </c>
      <c r="I55" s="89">
        <f>SUMIFS('Wells Fargo'!$F:$F,'Wells Fargo'!$G:$G,'Cash Flow'!$A55,'Wells Fargo'!$A:$A,I$1,'Wells Fargo'!$B:$B,"&lt;="&amp;'Cash Flow'!I$3,'Wells Fargo'!$B:$B,"&gt;"&amp;'Cash Flow'!H$3)</f>
        <v>0</v>
      </c>
      <c r="J55" s="89">
        <f>SUMIFS('Wells Fargo'!$F:$F,'Wells Fargo'!$G:$G,'Cash Flow'!$A55,'Wells Fargo'!$A:$A,J$1,'Wells Fargo'!$B:$B,"&lt;="&amp;'Cash Flow'!J$3,'Wells Fargo'!$B:$B,"&gt;"&amp;'Cash Flow'!I$3)</f>
        <v>0</v>
      </c>
      <c r="K55" s="89">
        <f>SUMIFS('Wells Fargo'!$F:$F,'Wells Fargo'!$G:$G,'Cash Flow'!$A55,'Wells Fargo'!$A:$A,K$1,'Wells Fargo'!$B:$B,"&lt;="&amp;'Cash Flow'!K$3,'Wells Fargo'!$B:$B,"&gt;"&amp;'Cash Flow'!J$3)</f>
        <v>2420</v>
      </c>
      <c r="L55" s="90">
        <f>SUMIFS('Wells Fargo'!$F:$F,'Wells Fargo'!$G:$G,'Cash Flow'!$A55,'Wells Fargo'!$A:$A,L$1,'Wells Fargo'!$B:$B,"&lt;="&amp;'Cash Flow'!L$3)</f>
        <v>0</v>
      </c>
      <c r="M55" s="89">
        <f>SUMIFS('Wells Fargo'!$F:$F,'Wells Fargo'!$G:$G,'Cash Flow'!$A55,'Wells Fargo'!$A:$A,M$1,'Wells Fargo'!$B:$B,"&lt;="&amp;'Cash Flow'!M$3,'Wells Fargo'!$B:$B,"&gt;"&amp;'Cash Flow'!L$3)</f>
        <v>55</v>
      </c>
      <c r="N55" s="89">
        <f>SUMIFS('Wells Fargo'!$F:$F,'Wells Fargo'!$G:$G,'Cash Flow'!$A55,'Wells Fargo'!$A:$A,N$1,'Wells Fargo'!$B:$B,"&lt;="&amp;'Cash Flow'!N$3,'Wells Fargo'!$B:$B,"&gt;"&amp;'Cash Flow'!M$3)</f>
        <v>0</v>
      </c>
      <c r="O55" s="89">
        <f>SUMIFS('Wells Fargo'!$F:$F,'Wells Fargo'!$G:$G,'Cash Flow'!$A55,'Wells Fargo'!$A:$A,O$1,'Wells Fargo'!$B:$B,"&lt;="&amp;'Cash Flow'!O$3,'Wells Fargo'!$B:$B,"&gt;"&amp;'Cash Flow'!N$3)</f>
        <v>0</v>
      </c>
      <c r="P55" s="89">
        <f>SUMIFS('Wells Fargo'!$F:$F,'Wells Fargo'!$G:$G,'Cash Flow'!$A55,'Wells Fargo'!$A:$A,P$1,'Wells Fargo'!$B:$B,"&lt;="&amp;'Cash Flow'!P$3,'Wells Fargo'!$B:$B,"&gt;"&amp;'Cash Flow'!O$3)</f>
        <v>0</v>
      </c>
      <c r="Q55" s="90">
        <f>SUMIFS('Wells Fargo'!$F:$F,'Wells Fargo'!$G:$G,'Cash Flow'!$A55,'Wells Fargo'!$A:$A,Q$1,'Wells Fargo'!$B:$B,"&lt;="&amp;'Cash Flow'!Q$3)</f>
        <v>0</v>
      </c>
      <c r="R55" s="89">
        <f>SUMIFS('Wells Fargo'!$F:$F,'Wells Fargo'!$G:$G,'Cash Flow'!$A55,'Wells Fargo'!$A:$A,R$1,'Wells Fargo'!$B:$B,"&lt;="&amp;'Cash Flow'!R$3,'Wells Fargo'!$B:$B,"&gt;"&amp;'Cash Flow'!Q$3)</f>
        <v>0</v>
      </c>
      <c r="S55" s="89">
        <f>SUMIFS('Wells Fargo'!$F:$F,'Wells Fargo'!$G:$G,'Cash Flow'!$A55,'Wells Fargo'!$A:$A,S$1,'Wells Fargo'!$B:$B,"&lt;="&amp;'Cash Flow'!S$3,'Wells Fargo'!$B:$B,"&gt;"&amp;'Cash Flow'!R$3)</f>
        <v>0</v>
      </c>
      <c r="T55" s="89">
        <f>SUMIFS('Wells Fargo'!$F:$F,'Wells Fargo'!$G:$G,'Cash Flow'!$A55,'Wells Fargo'!$A:$A,T$1,'Wells Fargo'!$B:$B,"&lt;="&amp;'Cash Flow'!T$3,'Wells Fargo'!$B:$B,"&gt;"&amp;'Cash Flow'!S$3)</f>
        <v>0</v>
      </c>
      <c r="U55" s="89">
        <f>SUMIFS('Wells Fargo'!$F:$F,'Wells Fargo'!$G:$G,'Cash Flow'!$A55,'Wells Fargo'!$A:$A,U$1,'Wells Fargo'!$B:$B,"&lt;="&amp;'Cash Flow'!U$3,'Wells Fargo'!$B:$B,"&gt;"&amp;'Cash Flow'!T$3)</f>
        <v>0</v>
      </c>
      <c r="V55" s="90">
        <f>SUMIFS('Wells Fargo'!$F:$F,'Wells Fargo'!$G:$G,'Cash Flow'!$A55,'Wells Fargo'!$A:$A,V$1,'Wells Fargo'!$B:$B,"&lt;="&amp;'Cash Flow'!V$3)</f>
        <v>0</v>
      </c>
      <c r="W55" s="89">
        <f>SUMIFS('Wells Fargo'!$F:$F,'Wells Fargo'!$G:$G,'Cash Flow'!$A55,'Wells Fargo'!$A:$A,W$1,'Wells Fargo'!$B:$B,"&lt;="&amp;'Cash Flow'!W$3,'Wells Fargo'!$B:$B,"&gt;"&amp;'Cash Flow'!V$3)</f>
        <v>0</v>
      </c>
      <c r="X55" s="89">
        <f>SUMIFS('Wells Fargo'!$F:$F,'Wells Fargo'!$G:$G,'Cash Flow'!$A55,'Wells Fargo'!$A:$A,X$1,'Wells Fargo'!$B:$B,"&lt;="&amp;'Cash Flow'!X$3,'Wells Fargo'!$B:$B,"&gt;"&amp;'Cash Flow'!W$3)</f>
        <v>0</v>
      </c>
      <c r="Y55" s="89">
        <f>SUMIFS('Wells Fargo'!$F:$F,'Wells Fargo'!$G:$G,'Cash Flow'!$A55,'Wells Fargo'!$A:$A,Y$1,'Wells Fargo'!$B:$B,"&lt;="&amp;'Cash Flow'!Y$3,'Wells Fargo'!$B:$B,"&gt;"&amp;'Cash Flow'!X$3)</f>
        <v>0</v>
      </c>
      <c r="Z55" s="89">
        <f>SUMIFS('Wells Fargo'!$F:$F,'Wells Fargo'!$G:$G,'Cash Flow'!$A55,'Wells Fargo'!$A:$A,Z$1,'Wells Fargo'!$B:$B,"&lt;="&amp;'Cash Flow'!Z$3,'Wells Fargo'!$B:$B,"&gt;"&amp;'Cash Flow'!Y$3)</f>
        <v>0</v>
      </c>
      <c r="AA55" s="90">
        <f>SUMIFS('Wells Fargo'!$F:$F,'Wells Fargo'!$G:$G,'Cash Flow'!$A55,'Wells Fargo'!$A:$A,AA$1,'Wells Fargo'!$B:$B,"&lt;="&amp;'Cash Flow'!AA$3)</f>
        <v>0</v>
      </c>
      <c r="AB55" s="89">
        <f>SUMIFS('Wells Fargo'!$F:$F,'Wells Fargo'!$G:$G,'Cash Flow'!$A55,'Wells Fargo'!$A:$A,AB$1,'Wells Fargo'!$B:$B,"&lt;="&amp;'Cash Flow'!AB$3,'Wells Fargo'!$B:$B,"&gt;"&amp;'Cash Flow'!AA$3)</f>
        <v>0</v>
      </c>
      <c r="AC55" s="89">
        <f>SUMIFS('Wells Fargo'!$F:$F,'Wells Fargo'!$G:$G,'Cash Flow'!$A55,'Wells Fargo'!$A:$A,AC$1,'Wells Fargo'!$B:$B,"&lt;="&amp;'Cash Flow'!AC$3,'Wells Fargo'!$B:$B,"&gt;"&amp;'Cash Flow'!AB$3)</f>
        <v>0</v>
      </c>
      <c r="AD55" s="89">
        <f>SUMIFS('Wells Fargo'!$F:$F,'Wells Fargo'!$G:$G,'Cash Flow'!$A55,'Wells Fargo'!$A:$A,AD$1,'Wells Fargo'!$B:$B,"&lt;="&amp;'Cash Flow'!AD$3,'Wells Fargo'!$B:$B,"&gt;"&amp;'Cash Flow'!AC$3)</f>
        <v>0</v>
      </c>
      <c r="AE55" s="89">
        <f>SUMIFS('Wells Fargo'!$F:$F,'Wells Fargo'!$G:$G,'Cash Flow'!$A55,'Wells Fargo'!$A:$A,AE$1,'Wells Fargo'!$B:$B,"&lt;="&amp;'Cash Flow'!AE$3,'Wells Fargo'!$B:$B,"&gt;"&amp;'Cash Flow'!AD$3)</f>
        <v>0</v>
      </c>
      <c r="AF55" s="90">
        <f>SUMIFS('Wells Fargo'!$F:$F,'Wells Fargo'!$G:$G,'Cash Flow'!$A55,'Wells Fargo'!$A:$A,AF$1,'Wells Fargo'!$B:$B,"&lt;="&amp;'Cash Flow'!AF$3)</f>
        <v>0</v>
      </c>
      <c r="AG55" s="89">
        <f>SUMIFS('Wells Fargo'!$F:$F,'Wells Fargo'!$G:$G,'Cash Flow'!$A55,'Wells Fargo'!$A:$A,AG$1,'Wells Fargo'!$B:$B,"&lt;="&amp;'Cash Flow'!AG$3,'Wells Fargo'!$B:$B,"&gt;"&amp;'Cash Flow'!AF$3)</f>
        <v>0</v>
      </c>
      <c r="AH55" s="89">
        <f>SUMIFS('Wells Fargo'!$F:$F,'Wells Fargo'!$G:$G,'Cash Flow'!$A55,'Wells Fargo'!$A:$A,AH$1,'Wells Fargo'!$B:$B,"&lt;="&amp;'Cash Flow'!AH$3,'Wells Fargo'!$B:$B,"&gt;"&amp;'Cash Flow'!AG$3)</f>
        <v>0</v>
      </c>
      <c r="AI55" s="89">
        <f>SUMIFS('Wells Fargo'!$F:$F,'Wells Fargo'!$G:$G,'Cash Flow'!$A55,'Wells Fargo'!$A:$A,AI$1,'Wells Fargo'!$B:$B,"&lt;="&amp;'Cash Flow'!AI$3,'Wells Fargo'!$B:$B,"&gt;"&amp;'Cash Flow'!AH$3)</f>
        <v>0</v>
      </c>
      <c r="AJ55" s="89">
        <f>SUMIFS('Wells Fargo'!$F:$F,'Wells Fargo'!$G:$G,'Cash Flow'!$A55,'Wells Fargo'!$A:$A,AJ$1,'Wells Fargo'!$B:$B,"&lt;="&amp;'Cash Flow'!AJ$3,'Wells Fargo'!$B:$B,"&gt;"&amp;'Cash Flow'!AI$3)</f>
        <v>0</v>
      </c>
      <c r="AK55" s="90">
        <f>SUMIFS('Wells Fargo'!$F:$F,'Wells Fargo'!$G:$G,'Cash Flow'!$A55,'Wells Fargo'!$A:$A,AK$1,'Wells Fargo'!$B:$B,"&lt;="&amp;'Cash Flow'!AK$3)</f>
        <v>0</v>
      </c>
      <c r="AL55" s="89">
        <f>SUMIFS('Wells Fargo'!$F:$F,'Wells Fargo'!$G:$G,'Cash Flow'!$A55,'Wells Fargo'!$A:$A,AL$1,'Wells Fargo'!$B:$B,"&lt;="&amp;'Cash Flow'!AL$3,'Wells Fargo'!$B:$B,"&gt;"&amp;'Cash Flow'!AK$3)</f>
        <v>0</v>
      </c>
      <c r="AM55" s="89">
        <f>SUMIFS('Wells Fargo'!$F:$F,'Wells Fargo'!$G:$G,'Cash Flow'!$A55,'Wells Fargo'!$A:$A,AM$1,'Wells Fargo'!$B:$B,"&lt;="&amp;'Cash Flow'!AM$3,'Wells Fargo'!$B:$B,"&gt;"&amp;'Cash Flow'!AL$3)</f>
        <v>0</v>
      </c>
      <c r="AN55" s="89">
        <f>SUMIFS('Wells Fargo'!$F:$F,'Wells Fargo'!$G:$G,'Cash Flow'!$A55,'Wells Fargo'!$A:$A,AN$1,'Wells Fargo'!$B:$B,"&lt;="&amp;'Cash Flow'!AN$3,'Wells Fargo'!$B:$B,"&gt;"&amp;'Cash Flow'!AM$3)</f>
        <v>0</v>
      </c>
      <c r="AO55" s="89">
        <f>SUMIFS('Wells Fargo'!$F:$F,'Wells Fargo'!$G:$G,'Cash Flow'!$A55,'Wells Fargo'!$A:$A,AO$1,'Wells Fargo'!$B:$B,"&lt;="&amp;'Cash Flow'!AO$3,'Wells Fargo'!$B:$B,"&gt;"&amp;'Cash Flow'!AN$3)</f>
        <v>0</v>
      </c>
      <c r="AP55" s="90">
        <f>SUMIFS('Wells Fargo'!$F:$F,'Wells Fargo'!$G:$G,'Cash Flow'!$A55,'Wells Fargo'!$A:$A,AP$1,'Wells Fargo'!$B:$B,"&lt;="&amp;'Cash Flow'!AP$3)</f>
        <v>0</v>
      </c>
      <c r="AQ55" s="89">
        <f>SUMIFS('Wells Fargo'!$F:$F,'Wells Fargo'!$G:$G,'Cash Flow'!$A55,'Wells Fargo'!$A:$A,AQ$1,'Wells Fargo'!$B:$B,"&lt;="&amp;'Cash Flow'!AQ$3,'Wells Fargo'!$B:$B,"&gt;"&amp;'Cash Flow'!AP$3)</f>
        <v>0</v>
      </c>
      <c r="AR55" s="89">
        <f>SUMIFS('Wells Fargo'!$F:$F,'Wells Fargo'!$G:$G,'Cash Flow'!$A55,'Wells Fargo'!$A:$A,AR$1,'Wells Fargo'!$B:$B,"&lt;="&amp;'Cash Flow'!AR$3,'Wells Fargo'!$B:$B,"&gt;"&amp;'Cash Flow'!AQ$3)</f>
        <v>0</v>
      </c>
      <c r="AS55" s="89">
        <f>SUMIFS('Wells Fargo'!$F:$F,'Wells Fargo'!$G:$G,'Cash Flow'!$A55,'Wells Fargo'!$A:$A,AS$1,'Wells Fargo'!$B:$B,"&lt;="&amp;'Cash Flow'!AS$3,'Wells Fargo'!$B:$B,"&gt;"&amp;'Cash Flow'!AR$3)</f>
        <v>0</v>
      </c>
      <c r="AT55" s="89">
        <f>SUMIFS('Wells Fargo'!$F:$F,'Wells Fargo'!$G:$G,'Cash Flow'!$A55,'Wells Fargo'!$A:$A,AT$1,'Wells Fargo'!$B:$B,"&lt;="&amp;'Cash Flow'!AT$3,'Wells Fargo'!$B:$B,"&gt;"&amp;'Cash Flow'!AS$3)</f>
        <v>0</v>
      </c>
      <c r="AU55" s="90">
        <f>SUMIFS('Wells Fargo'!$F:$F,'Wells Fargo'!$G:$G,'Cash Flow'!$A55,'Wells Fargo'!$A:$A,AU$1,'Wells Fargo'!$B:$B,"&lt;="&amp;'Cash Flow'!AU$3)</f>
        <v>0</v>
      </c>
      <c r="AV55" s="89">
        <f>SUMIFS('Wells Fargo'!$F:$F,'Wells Fargo'!$G:$G,'Cash Flow'!$A55,'Wells Fargo'!$A:$A,AV$1,'Wells Fargo'!$B:$B,"&lt;="&amp;'Cash Flow'!AV$3,'Wells Fargo'!$B:$B,"&gt;"&amp;'Cash Flow'!AU$3)</f>
        <v>0</v>
      </c>
      <c r="AW55" s="89">
        <f>SUMIFS('Wells Fargo'!$F:$F,'Wells Fargo'!$G:$G,'Cash Flow'!$A55,'Wells Fargo'!$A:$A,AW$1,'Wells Fargo'!$B:$B,"&lt;="&amp;'Cash Flow'!AW$3,'Wells Fargo'!$B:$B,"&gt;"&amp;'Cash Flow'!AV$3)</f>
        <v>0</v>
      </c>
      <c r="AX55" s="89">
        <f>SUMIFS('Wells Fargo'!$F:$F,'Wells Fargo'!$G:$G,'Cash Flow'!$A55,'Wells Fargo'!$A:$A,AX$1,'Wells Fargo'!$B:$B,"&lt;="&amp;'Cash Flow'!AX$3,'Wells Fargo'!$B:$B,"&gt;"&amp;'Cash Flow'!AW$3)</f>
        <v>0</v>
      </c>
      <c r="AY55" s="89">
        <f>SUMIFS('Wells Fargo'!$F:$F,'Wells Fargo'!$G:$G,'Cash Flow'!$A55,'Wells Fargo'!$A:$A,AY$1,'Wells Fargo'!$B:$B,"&lt;="&amp;'Cash Flow'!AY$3,'Wells Fargo'!$B:$B,"&gt;"&amp;'Cash Flow'!AX$3)</f>
        <v>0</v>
      </c>
      <c r="AZ55" s="90">
        <f>SUMIFS('Wells Fargo'!$F:$F,'Wells Fargo'!$G:$G,'Cash Flow'!$A55,'Wells Fargo'!$A:$A,AZ$1,'Wells Fargo'!$B:$B,"&lt;="&amp;'Cash Flow'!AZ$3)</f>
        <v>0</v>
      </c>
      <c r="BA55" s="89">
        <f>SUMIFS('Wells Fargo'!$F:$F,'Wells Fargo'!$G:$G,'Cash Flow'!$A55,'Wells Fargo'!$A:$A,BA$1,'Wells Fargo'!$B:$B,"&lt;="&amp;'Cash Flow'!BA$3,'Wells Fargo'!$B:$B,"&gt;"&amp;'Cash Flow'!AZ$3)</f>
        <v>0</v>
      </c>
      <c r="BB55" s="89">
        <f>SUMIFS('Wells Fargo'!$F:$F,'Wells Fargo'!$G:$G,'Cash Flow'!$A55,'Wells Fargo'!$A:$A,BB$1,'Wells Fargo'!$B:$B,"&lt;="&amp;'Cash Flow'!BB$3,'Wells Fargo'!$B:$B,"&gt;"&amp;'Cash Flow'!BA$3)</f>
        <v>0</v>
      </c>
      <c r="BC55" s="89">
        <f>SUMIFS('Wells Fargo'!$F:$F,'Wells Fargo'!$G:$G,'Cash Flow'!$A55,'Wells Fargo'!$A:$A,BC$1,'Wells Fargo'!$B:$B,"&lt;="&amp;'Cash Flow'!BC$3,'Wells Fargo'!$B:$B,"&gt;"&amp;'Cash Flow'!BB$3)</f>
        <v>0</v>
      </c>
      <c r="BD55" s="89">
        <f>SUMIFS('Wells Fargo'!$F:$F,'Wells Fargo'!$G:$G,'Cash Flow'!$A55,'Wells Fargo'!$A:$A,BD$1,'Wells Fargo'!$B:$B,"&lt;="&amp;'Cash Flow'!BD$3,'Wells Fargo'!$B:$B,"&gt;"&amp;'Cash Flow'!BC$3)</f>
        <v>0</v>
      </c>
      <c r="BE55" s="90">
        <f>SUMIFS('Wells Fargo'!$F:$F,'Wells Fargo'!$G:$G,'Cash Flow'!$A55,'Wells Fargo'!$A:$A,BE$1,'Wells Fargo'!$B:$B,"&lt;="&amp;'Cash Flow'!BE$3)</f>
        <v>0</v>
      </c>
      <c r="BF55" s="89">
        <f>SUMIFS('Wells Fargo'!$F:$F,'Wells Fargo'!$G:$G,'Cash Flow'!$A55,'Wells Fargo'!$A:$A,BF$1,'Wells Fargo'!$B:$B,"&lt;="&amp;'Cash Flow'!BF$3,'Wells Fargo'!$B:$B,"&gt;"&amp;'Cash Flow'!BE$3)</f>
        <v>0</v>
      </c>
      <c r="BG55" s="89">
        <f>SUMIFS('Wells Fargo'!$F:$F,'Wells Fargo'!$G:$G,'Cash Flow'!$A55,'Wells Fargo'!$A:$A,BG$1,'Wells Fargo'!$B:$B,"&lt;="&amp;'Cash Flow'!BG$3,'Wells Fargo'!$B:$B,"&gt;"&amp;'Cash Flow'!BF$3)</f>
        <v>0</v>
      </c>
      <c r="BH55" s="89">
        <f>SUMIFS('Wells Fargo'!$F:$F,'Wells Fargo'!$G:$G,'Cash Flow'!$A55,'Wells Fargo'!$A:$A,BH$1,'Wells Fargo'!$B:$B,"&lt;="&amp;'Cash Flow'!BH$3,'Wells Fargo'!$B:$B,"&gt;"&amp;'Cash Flow'!BG$3)</f>
        <v>0</v>
      </c>
      <c r="BI55" s="89">
        <f>SUMIFS('Wells Fargo'!$F:$F,'Wells Fargo'!$G:$G,'Cash Flow'!$A55,'Wells Fargo'!$A:$A,BI$1,'Wells Fargo'!$B:$B,"&lt;="&amp;'Cash Flow'!BI$3,'Wells Fargo'!$B:$B,"&gt;"&amp;'Cash Flow'!BH$3)</f>
        <v>0</v>
      </c>
    </row>
    <row r="56" spans="1:61" ht="12.75" x14ac:dyDescent="0.2">
      <c r="A56" t="str">
        <v>Utility</v>
      </c>
      <c r="B56" s="15">
        <f t="shared" si="2"/>
        <v>-173.07000000000002</v>
      </c>
      <c r="C56" s="90">
        <f>SUMIFS('Wells Fargo'!$F:$F,'Wells Fargo'!$G:$G,'Cash Flow'!$A56,'Wells Fargo'!$A:$A,C$1,'Wells Fargo'!$B:$B,"&lt;="&amp;'Cash Flow'!C$3)</f>
        <v>0</v>
      </c>
      <c r="D56" s="89">
        <f>SUMIFS('Wells Fargo'!$F:$F,'Wells Fargo'!$G:$G,'Cash Flow'!$A56,'Wells Fargo'!$A:$A,D$1,'Wells Fargo'!$B:$B,"&lt;="&amp;'Cash Flow'!D$3,'Wells Fargo'!$B:$B,"&gt;"&amp;'Cash Flow'!C$3)</f>
        <v>0</v>
      </c>
      <c r="E56" s="89">
        <f>SUMIFS('Wells Fargo'!$F:$F,'Wells Fargo'!$G:$G,'Cash Flow'!$A56,'Wells Fargo'!$A:$A,E$1,'Wells Fargo'!$B:$B,"&lt;="&amp;'Cash Flow'!E$3,'Wells Fargo'!$B:$B,"&gt;"&amp;'Cash Flow'!D$3)</f>
        <v>0</v>
      </c>
      <c r="F56" s="89">
        <f>SUMIFS('Wells Fargo'!$F:$F,'Wells Fargo'!$G:$G,'Cash Flow'!$A56,'Wells Fargo'!$A:$A,F$1,'Wells Fargo'!$B:$B,"&lt;="&amp;'Cash Flow'!F$3,'Wells Fargo'!$B:$B,"&gt;"&amp;'Cash Flow'!E$3)</f>
        <v>0</v>
      </c>
      <c r="G56" s="89">
        <f>SUMIFS('Wells Fargo'!$F:$F,'Wells Fargo'!$G:$G,'Cash Flow'!$A56,'Wells Fargo'!$A:$A,G$1,'Wells Fargo'!$B:$B,"&lt;="&amp;'Cash Flow'!G$3,'Wells Fargo'!$B:$B,"&gt;"&amp;'Cash Flow'!F$3)</f>
        <v>0</v>
      </c>
      <c r="H56" s="90">
        <f>SUMIFS('Wells Fargo'!$F:$F,'Wells Fargo'!$G:$G,'Cash Flow'!$A56,'Wells Fargo'!$A:$A,H$1,'Wells Fargo'!$B:$B,"&lt;="&amp;'Cash Flow'!H$3)</f>
        <v>0</v>
      </c>
      <c r="I56" s="89">
        <f>SUMIFS('Wells Fargo'!$F:$F,'Wells Fargo'!$G:$G,'Cash Flow'!$A56,'Wells Fargo'!$A:$A,I$1,'Wells Fargo'!$B:$B,"&lt;="&amp;'Cash Flow'!I$3,'Wells Fargo'!$B:$B,"&gt;"&amp;'Cash Flow'!H$3)</f>
        <v>0</v>
      </c>
      <c r="J56" s="89">
        <f>SUMIFS('Wells Fargo'!$F:$F,'Wells Fargo'!$G:$G,'Cash Flow'!$A56,'Wells Fargo'!$A:$A,J$1,'Wells Fargo'!$B:$B,"&lt;="&amp;'Cash Flow'!J$3,'Wells Fargo'!$B:$B,"&gt;"&amp;'Cash Flow'!I$3)</f>
        <v>0</v>
      </c>
      <c r="K56" s="89">
        <f>SUMIFS('Wells Fargo'!$F:$F,'Wells Fargo'!$G:$G,'Cash Flow'!$A56,'Wells Fargo'!$A:$A,K$1,'Wells Fargo'!$B:$B,"&lt;="&amp;'Cash Flow'!K$3,'Wells Fargo'!$B:$B,"&gt;"&amp;'Cash Flow'!J$3)</f>
        <v>0</v>
      </c>
      <c r="L56" s="90">
        <f>SUMIFS('Wells Fargo'!$F:$F,'Wells Fargo'!$G:$G,'Cash Flow'!$A56,'Wells Fargo'!$A:$A,L$1,'Wells Fargo'!$B:$B,"&lt;="&amp;'Cash Flow'!L$3)</f>
        <v>0</v>
      </c>
      <c r="M56" s="89">
        <f>SUMIFS('Wells Fargo'!$F:$F,'Wells Fargo'!$G:$G,'Cash Flow'!$A56,'Wells Fargo'!$A:$A,M$1,'Wells Fargo'!$B:$B,"&lt;="&amp;'Cash Flow'!M$3,'Wells Fargo'!$B:$B,"&gt;"&amp;'Cash Flow'!L$3)</f>
        <v>0</v>
      </c>
      <c r="N56" s="89">
        <f>SUMIFS('Wells Fargo'!$F:$F,'Wells Fargo'!$G:$G,'Cash Flow'!$A56,'Wells Fargo'!$A:$A,N$1,'Wells Fargo'!$B:$B,"&lt;="&amp;'Cash Flow'!N$3,'Wells Fargo'!$B:$B,"&gt;"&amp;'Cash Flow'!M$3)</f>
        <v>0</v>
      </c>
      <c r="O56" s="89">
        <f>SUMIFS('Wells Fargo'!$F:$F,'Wells Fargo'!$G:$G,'Cash Flow'!$A56,'Wells Fargo'!$A:$A,O$1,'Wells Fargo'!$B:$B,"&lt;="&amp;'Cash Flow'!O$3,'Wells Fargo'!$B:$B,"&gt;"&amp;'Cash Flow'!N$3)</f>
        <v>0</v>
      </c>
      <c r="P56" s="89">
        <f>SUMIFS('Wells Fargo'!$F:$F,'Wells Fargo'!$G:$G,'Cash Flow'!$A56,'Wells Fargo'!$A:$A,P$1,'Wells Fargo'!$B:$B,"&lt;="&amp;'Cash Flow'!P$3,'Wells Fargo'!$B:$B,"&gt;"&amp;'Cash Flow'!O$3)</f>
        <v>0</v>
      </c>
      <c r="Q56" s="90">
        <f>SUMIFS('Wells Fargo'!$F:$F,'Wells Fargo'!$G:$G,'Cash Flow'!$A56,'Wells Fargo'!$A:$A,Q$1,'Wells Fargo'!$B:$B,"&lt;="&amp;'Cash Flow'!Q$3)</f>
        <v>0</v>
      </c>
      <c r="R56" s="89">
        <f>SUMIFS('Wells Fargo'!$F:$F,'Wells Fargo'!$G:$G,'Cash Flow'!$A56,'Wells Fargo'!$A:$A,R$1,'Wells Fargo'!$B:$B,"&lt;="&amp;'Cash Flow'!R$3,'Wells Fargo'!$B:$B,"&gt;"&amp;'Cash Flow'!Q$3)</f>
        <v>0</v>
      </c>
      <c r="S56" s="89">
        <f>SUMIFS('Wells Fargo'!$F:$F,'Wells Fargo'!$G:$G,'Cash Flow'!$A56,'Wells Fargo'!$A:$A,S$1,'Wells Fargo'!$B:$B,"&lt;="&amp;'Cash Flow'!S$3,'Wells Fargo'!$B:$B,"&gt;"&amp;'Cash Flow'!R$3)</f>
        <v>0</v>
      </c>
      <c r="T56" s="89">
        <f>SUMIFS('Wells Fargo'!$F:$F,'Wells Fargo'!$G:$G,'Cash Flow'!$A56,'Wells Fargo'!$A:$A,T$1,'Wells Fargo'!$B:$B,"&lt;="&amp;'Cash Flow'!T$3,'Wells Fargo'!$B:$B,"&gt;"&amp;'Cash Flow'!S$3)</f>
        <v>0</v>
      </c>
      <c r="U56" s="89">
        <f>SUMIFS('Wells Fargo'!$F:$F,'Wells Fargo'!$G:$G,'Cash Flow'!$A56,'Wells Fargo'!$A:$A,U$1,'Wells Fargo'!$B:$B,"&lt;="&amp;'Cash Flow'!U$3,'Wells Fargo'!$B:$B,"&gt;"&amp;'Cash Flow'!T$3)</f>
        <v>0</v>
      </c>
      <c r="V56" s="90">
        <f>SUMIFS('Wells Fargo'!$F:$F,'Wells Fargo'!$G:$G,'Cash Flow'!$A56,'Wells Fargo'!$A:$A,V$1,'Wells Fargo'!$B:$B,"&lt;="&amp;'Cash Flow'!V$3)</f>
        <v>0</v>
      </c>
      <c r="W56" s="89">
        <f>SUMIFS('Wells Fargo'!$F:$F,'Wells Fargo'!$G:$G,'Cash Flow'!$A56,'Wells Fargo'!$A:$A,W$1,'Wells Fargo'!$B:$B,"&lt;="&amp;'Cash Flow'!W$3,'Wells Fargo'!$B:$B,"&gt;"&amp;'Cash Flow'!V$3)</f>
        <v>0</v>
      </c>
      <c r="X56" s="89">
        <f>SUMIFS('Wells Fargo'!$F:$F,'Wells Fargo'!$G:$G,'Cash Flow'!$A56,'Wells Fargo'!$A:$A,X$1,'Wells Fargo'!$B:$B,"&lt;="&amp;'Cash Flow'!X$3,'Wells Fargo'!$B:$B,"&gt;"&amp;'Cash Flow'!W$3)</f>
        <v>0</v>
      </c>
      <c r="Y56" s="89">
        <f>SUMIFS('Wells Fargo'!$F:$F,'Wells Fargo'!$G:$G,'Cash Flow'!$A56,'Wells Fargo'!$A:$A,Y$1,'Wells Fargo'!$B:$B,"&lt;="&amp;'Cash Flow'!Y$3,'Wells Fargo'!$B:$B,"&gt;"&amp;'Cash Flow'!X$3)</f>
        <v>0</v>
      </c>
      <c r="Z56" s="89">
        <f>SUMIFS('Wells Fargo'!$F:$F,'Wells Fargo'!$G:$G,'Cash Flow'!$A56,'Wells Fargo'!$A:$A,Z$1,'Wells Fargo'!$B:$B,"&lt;="&amp;'Cash Flow'!Z$3,'Wells Fargo'!$B:$B,"&gt;"&amp;'Cash Flow'!Y$3)</f>
        <v>0</v>
      </c>
      <c r="AA56" s="90">
        <f>SUMIFS('Wells Fargo'!$F:$F,'Wells Fargo'!$G:$G,'Cash Flow'!$A56,'Wells Fargo'!$A:$A,AA$1,'Wells Fargo'!$B:$B,"&lt;="&amp;'Cash Flow'!AA$3)</f>
        <v>0</v>
      </c>
      <c r="AB56" s="89">
        <f>SUMIFS('Wells Fargo'!$F:$F,'Wells Fargo'!$G:$G,'Cash Flow'!$A56,'Wells Fargo'!$A:$A,AB$1,'Wells Fargo'!$B:$B,"&lt;="&amp;'Cash Flow'!AB$3,'Wells Fargo'!$B:$B,"&gt;"&amp;'Cash Flow'!AA$3)</f>
        <v>0</v>
      </c>
      <c r="AC56" s="89">
        <f>SUMIFS('Wells Fargo'!$F:$F,'Wells Fargo'!$G:$G,'Cash Flow'!$A56,'Wells Fargo'!$A:$A,AC$1,'Wells Fargo'!$B:$B,"&lt;="&amp;'Cash Flow'!AC$3,'Wells Fargo'!$B:$B,"&gt;"&amp;'Cash Flow'!AB$3)</f>
        <v>-33.61</v>
      </c>
      <c r="AD56" s="89">
        <f>SUMIFS('Wells Fargo'!$F:$F,'Wells Fargo'!$G:$G,'Cash Flow'!$A56,'Wells Fargo'!$A:$A,AD$1,'Wells Fargo'!$B:$B,"&lt;="&amp;'Cash Flow'!AD$3,'Wells Fargo'!$B:$B,"&gt;"&amp;'Cash Flow'!AC$3)</f>
        <v>0</v>
      </c>
      <c r="AE56" s="89">
        <f>SUMIFS('Wells Fargo'!$F:$F,'Wells Fargo'!$G:$G,'Cash Flow'!$A56,'Wells Fargo'!$A:$A,AE$1,'Wells Fargo'!$B:$B,"&lt;="&amp;'Cash Flow'!AE$3,'Wells Fargo'!$B:$B,"&gt;"&amp;'Cash Flow'!AD$3)</f>
        <v>0</v>
      </c>
      <c r="AF56" s="90">
        <f>SUMIFS('Wells Fargo'!$F:$F,'Wells Fargo'!$G:$G,'Cash Flow'!$A56,'Wells Fargo'!$A:$A,AF$1,'Wells Fargo'!$B:$B,"&lt;="&amp;'Cash Flow'!AF$3)</f>
        <v>0</v>
      </c>
      <c r="AG56" s="89">
        <f>SUMIFS('Wells Fargo'!$F:$F,'Wells Fargo'!$G:$G,'Cash Flow'!$A56,'Wells Fargo'!$A:$A,AG$1,'Wells Fargo'!$B:$B,"&lt;="&amp;'Cash Flow'!AG$3,'Wells Fargo'!$B:$B,"&gt;"&amp;'Cash Flow'!AF$3)</f>
        <v>0</v>
      </c>
      <c r="AH56" s="89">
        <f>SUMIFS('Wells Fargo'!$F:$F,'Wells Fargo'!$G:$G,'Cash Flow'!$A56,'Wells Fargo'!$A:$A,AH$1,'Wells Fargo'!$B:$B,"&lt;="&amp;'Cash Flow'!AH$3,'Wells Fargo'!$B:$B,"&gt;"&amp;'Cash Flow'!AG$3)</f>
        <v>0</v>
      </c>
      <c r="AI56" s="89">
        <f>SUMIFS('Wells Fargo'!$F:$F,'Wells Fargo'!$G:$G,'Cash Flow'!$A56,'Wells Fargo'!$A:$A,AI$1,'Wells Fargo'!$B:$B,"&lt;="&amp;'Cash Flow'!AI$3,'Wells Fargo'!$B:$B,"&gt;"&amp;'Cash Flow'!AH$3)</f>
        <v>-120.94</v>
      </c>
      <c r="AJ56" s="89">
        <f>SUMIFS('Wells Fargo'!$F:$F,'Wells Fargo'!$G:$G,'Cash Flow'!$A56,'Wells Fargo'!$A:$A,AJ$1,'Wells Fargo'!$B:$B,"&lt;="&amp;'Cash Flow'!AJ$3,'Wells Fargo'!$B:$B,"&gt;"&amp;'Cash Flow'!AI$3)</f>
        <v>0</v>
      </c>
      <c r="AK56" s="90">
        <f>SUMIFS('Wells Fargo'!$F:$F,'Wells Fargo'!$G:$G,'Cash Flow'!$A56,'Wells Fargo'!$A:$A,AK$1,'Wells Fargo'!$B:$B,"&lt;="&amp;'Cash Flow'!AK$3)</f>
        <v>0</v>
      </c>
      <c r="AL56" s="89">
        <f>SUMIFS('Wells Fargo'!$F:$F,'Wells Fargo'!$G:$G,'Cash Flow'!$A56,'Wells Fargo'!$A:$A,AL$1,'Wells Fargo'!$B:$B,"&lt;="&amp;'Cash Flow'!AL$3,'Wells Fargo'!$B:$B,"&gt;"&amp;'Cash Flow'!AK$3)</f>
        <v>0</v>
      </c>
      <c r="AM56" s="89">
        <f>SUMIFS('Wells Fargo'!$F:$F,'Wells Fargo'!$G:$G,'Cash Flow'!$A56,'Wells Fargo'!$A:$A,AM$1,'Wells Fargo'!$B:$B,"&lt;="&amp;'Cash Flow'!AM$3,'Wells Fargo'!$B:$B,"&gt;"&amp;'Cash Flow'!AL$3)</f>
        <v>-86.17</v>
      </c>
      <c r="AN56" s="89">
        <f>SUMIFS('Wells Fargo'!$F:$F,'Wells Fargo'!$G:$G,'Cash Flow'!$A56,'Wells Fargo'!$A:$A,AN$1,'Wells Fargo'!$B:$B,"&lt;="&amp;'Cash Flow'!AN$3,'Wells Fargo'!$B:$B,"&gt;"&amp;'Cash Flow'!AM$3)</f>
        <v>0</v>
      </c>
      <c r="AO56" s="89">
        <f>SUMIFS('Wells Fargo'!$F:$F,'Wells Fargo'!$G:$G,'Cash Flow'!$A56,'Wells Fargo'!$A:$A,AO$1,'Wells Fargo'!$B:$B,"&lt;="&amp;'Cash Flow'!AO$3,'Wells Fargo'!$B:$B,"&gt;"&amp;'Cash Flow'!AN$3)</f>
        <v>0</v>
      </c>
      <c r="AP56" s="90">
        <f>SUMIFS('Wells Fargo'!$F:$F,'Wells Fargo'!$G:$G,'Cash Flow'!$A56,'Wells Fargo'!$A:$A,AP$1,'Wells Fargo'!$B:$B,"&lt;="&amp;'Cash Flow'!AP$3)</f>
        <v>0</v>
      </c>
      <c r="AQ56" s="89">
        <f>SUMIFS('Wells Fargo'!$F:$F,'Wells Fargo'!$G:$G,'Cash Flow'!$A56,'Wells Fargo'!$A:$A,AQ$1,'Wells Fargo'!$B:$B,"&lt;="&amp;'Cash Flow'!AQ$3,'Wells Fargo'!$B:$B,"&gt;"&amp;'Cash Flow'!AP$3)</f>
        <v>0</v>
      </c>
      <c r="AR56" s="89">
        <f>SUMIFS('Wells Fargo'!$F:$F,'Wells Fargo'!$G:$G,'Cash Flow'!$A56,'Wells Fargo'!$A:$A,AR$1,'Wells Fargo'!$B:$B,"&lt;="&amp;'Cash Flow'!AR$3,'Wells Fargo'!$B:$B,"&gt;"&amp;'Cash Flow'!AQ$3)</f>
        <v>0</v>
      </c>
      <c r="AS56" s="89">
        <f>SUMIFS('Wells Fargo'!$F:$F,'Wells Fargo'!$G:$G,'Cash Flow'!$A56,'Wells Fargo'!$A:$A,AS$1,'Wells Fargo'!$B:$B,"&lt;="&amp;'Cash Flow'!AS$3,'Wells Fargo'!$B:$B,"&gt;"&amp;'Cash Flow'!AR$3)</f>
        <v>-120.69</v>
      </c>
      <c r="AT56" s="89">
        <f>SUMIFS('Wells Fargo'!$F:$F,'Wells Fargo'!$G:$G,'Cash Flow'!$A56,'Wells Fargo'!$A:$A,AT$1,'Wells Fargo'!$B:$B,"&lt;="&amp;'Cash Flow'!AT$3,'Wells Fargo'!$B:$B,"&gt;"&amp;'Cash Flow'!AS$3)</f>
        <v>188.34</v>
      </c>
      <c r="AU56" s="90">
        <f>SUMIFS('Wells Fargo'!$F:$F,'Wells Fargo'!$G:$G,'Cash Flow'!$A56,'Wells Fargo'!$A:$A,AU$1,'Wells Fargo'!$B:$B,"&lt;="&amp;'Cash Flow'!AU$3)</f>
        <v>0</v>
      </c>
      <c r="AV56" s="89">
        <f>SUMIFS('Wells Fargo'!$F:$F,'Wells Fargo'!$G:$G,'Cash Flow'!$A56,'Wells Fargo'!$A:$A,AV$1,'Wells Fargo'!$B:$B,"&lt;="&amp;'Cash Flow'!AV$3,'Wells Fargo'!$B:$B,"&gt;"&amp;'Cash Flow'!AU$3)</f>
        <v>0</v>
      </c>
      <c r="AW56" s="89">
        <f>SUMIFS('Wells Fargo'!$F:$F,'Wells Fargo'!$G:$G,'Cash Flow'!$A56,'Wells Fargo'!$A:$A,AW$1,'Wells Fargo'!$B:$B,"&lt;="&amp;'Cash Flow'!AW$3,'Wells Fargo'!$B:$B,"&gt;"&amp;'Cash Flow'!AV$3)</f>
        <v>0</v>
      </c>
      <c r="AX56" s="89">
        <f>SUMIFS('Wells Fargo'!$F:$F,'Wells Fargo'!$G:$G,'Cash Flow'!$A56,'Wells Fargo'!$A:$A,AX$1,'Wells Fargo'!$B:$B,"&lt;="&amp;'Cash Flow'!AX$3,'Wells Fargo'!$B:$B,"&gt;"&amp;'Cash Flow'!AW$3)</f>
        <v>0</v>
      </c>
      <c r="AY56" s="89">
        <f>SUMIFS('Wells Fargo'!$F:$F,'Wells Fargo'!$G:$G,'Cash Flow'!$A56,'Wells Fargo'!$A:$A,AY$1,'Wells Fargo'!$B:$B,"&lt;="&amp;'Cash Flow'!AY$3,'Wells Fargo'!$B:$B,"&gt;"&amp;'Cash Flow'!AX$3)</f>
        <v>0</v>
      </c>
      <c r="AZ56" s="90">
        <f>SUMIFS('Wells Fargo'!$F:$F,'Wells Fargo'!$G:$G,'Cash Flow'!$A56,'Wells Fargo'!$A:$A,AZ$1,'Wells Fargo'!$B:$B,"&lt;="&amp;'Cash Flow'!AZ$3)</f>
        <v>0</v>
      </c>
      <c r="BA56" s="89">
        <f>SUMIFS('Wells Fargo'!$F:$F,'Wells Fargo'!$G:$G,'Cash Flow'!$A56,'Wells Fargo'!$A:$A,BA$1,'Wells Fargo'!$B:$B,"&lt;="&amp;'Cash Flow'!BA$3,'Wells Fargo'!$B:$B,"&gt;"&amp;'Cash Flow'!AZ$3)</f>
        <v>0</v>
      </c>
      <c r="BB56" s="89">
        <f>SUMIFS('Wells Fargo'!$F:$F,'Wells Fargo'!$G:$G,'Cash Flow'!$A56,'Wells Fargo'!$A:$A,BB$1,'Wells Fargo'!$B:$B,"&lt;="&amp;'Cash Flow'!BB$3,'Wells Fargo'!$B:$B,"&gt;"&amp;'Cash Flow'!BA$3)</f>
        <v>0</v>
      </c>
      <c r="BC56" s="89">
        <f>SUMIFS('Wells Fargo'!$F:$F,'Wells Fargo'!$G:$G,'Cash Flow'!$A56,'Wells Fargo'!$A:$A,BC$1,'Wells Fargo'!$B:$B,"&lt;="&amp;'Cash Flow'!BC$3,'Wells Fargo'!$B:$B,"&gt;"&amp;'Cash Flow'!BB$3)</f>
        <v>0</v>
      </c>
      <c r="BD56" s="89">
        <f>SUMIFS('Wells Fargo'!$F:$F,'Wells Fargo'!$G:$G,'Cash Flow'!$A56,'Wells Fargo'!$A:$A,BD$1,'Wells Fargo'!$B:$B,"&lt;="&amp;'Cash Flow'!BD$3,'Wells Fargo'!$B:$B,"&gt;"&amp;'Cash Flow'!BC$3)</f>
        <v>0</v>
      </c>
      <c r="BE56" s="90">
        <f>SUMIFS('Wells Fargo'!$F:$F,'Wells Fargo'!$G:$G,'Cash Flow'!$A56,'Wells Fargo'!$A:$A,BE$1,'Wells Fargo'!$B:$B,"&lt;="&amp;'Cash Flow'!BE$3)</f>
        <v>0</v>
      </c>
      <c r="BF56" s="89">
        <f>SUMIFS('Wells Fargo'!$F:$F,'Wells Fargo'!$G:$G,'Cash Flow'!$A56,'Wells Fargo'!$A:$A,BF$1,'Wells Fargo'!$B:$B,"&lt;="&amp;'Cash Flow'!BF$3,'Wells Fargo'!$B:$B,"&gt;"&amp;'Cash Flow'!BE$3)</f>
        <v>0</v>
      </c>
      <c r="BG56" s="89">
        <f>SUMIFS('Wells Fargo'!$F:$F,'Wells Fargo'!$G:$G,'Cash Flow'!$A56,'Wells Fargo'!$A:$A,BG$1,'Wells Fargo'!$B:$B,"&lt;="&amp;'Cash Flow'!BG$3,'Wells Fargo'!$B:$B,"&gt;"&amp;'Cash Flow'!BF$3)</f>
        <v>0</v>
      </c>
      <c r="BH56" s="89">
        <f>SUMIFS('Wells Fargo'!$F:$F,'Wells Fargo'!$G:$G,'Cash Flow'!$A56,'Wells Fargo'!$A:$A,BH$1,'Wells Fargo'!$B:$B,"&lt;="&amp;'Cash Flow'!BH$3,'Wells Fargo'!$B:$B,"&gt;"&amp;'Cash Flow'!BG$3)</f>
        <v>0</v>
      </c>
      <c r="BI56" s="89">
        <f>SUMIFS('Wells Fargo'!$F:$F,'Wells Fargo'!$G:$G,'Cash Flow'!$A56,'Wells Fargo'!$A:$A,BI$1,'Wells Fargo'!$B:$B,"&lt;="&amp;'Cash Flow'!BI$3,'Wells Fargo'!$B:$B,"&gt;"&amp;'Cash Flow'!BH$3)</f>
        <v>0</v>
      </c>
    </row>
    <row r="57" spans="1:61" ht="12.75" x14ac:dyDescent="0.2">
      <c r="A57" t="str">
        <v>Venmo Cash Out</v>
      </c>
      <c r="B57" s="15">
        <f t="shared" si="2"/>
        <v>350</v>
      </c>
      <c r="C57" s="90">
        <f>SUMIFS('Wells Fargo'!$F:$F,'Wells Fargo'!$G:$G,'Cash Flow'!$A57,'Wells Fargo'!$A:$A,C$1,'Wells Fargo'!$B:$B,"&lt;="&amp;'Cash Flow'!C$3)</f>
        <v>0</v>
      </c>
      <c r="D57" s="89">
        <f>SUMIFS('Wells Fargo'!$F:$F,'Wells Fargo'!$G:$G,'Cash Flow'!$A57,'Wells Fargo'!$A:$A,D$1,'Wells Fargo'!$B:$B,"&lt;="&amp;'Cash Flow'!D$3,'Wells Fargo'!$B:$B,"&gt;"&amp;'Cash Flow'!C$3)</f>
        <v>0</v>
      </c>
      <c r="E57" s="89">
        <f>SUMIFS('Wells Fargo'!$F:$F,'Wells Fargo'!$G:$G,'Cash Flow'!$A57,'Wells Fargo'!$A:$A,E$1,'Wells Fargo'!$B:$B,"&lt;="&amp;'Cash Flow'!E$3,'Wells Fargo'!$B:$B,"&gt;"&amp;'Cash Flow'!D$3)</f>
        <v>0</v>
      </c>
      <c r="F57" s="89">
        <f>SUMIFS('Wells Fargo'!$F:$F,'Wells Fargo'!$G:$G,'Cash Flow'!$A57,'Wells Fargo'!$A:$A,F$1,'Wells Fargo'!$B:$B,"&lt;="&amp;'Cash Flow'!F$3,'Wells Fargo'!$B:$B,"&gt;"&amp;'Cash Flow'!E$3)</f>
        <v>150</v>
      </c>
      <c r="G57" s="89">
        <f>SUMIFS('Wells Fargo'!$F:$F,'Wells Fargo'!$G:$G,'Cash Flow'!$A57,'Wells Fargo'!$A:$A,G$1,'Wells Fargo'!$B:$B,"&lt;="&amp;'Cash Flow'!G$3,'Wells Fargo'!$B:$B,"&gt;"&amp;'Cash Flow'!F$3)</f>
        <v>0</v>
      </c>
      <c r="H57" s="90">
        <f>SUMIFS('Wells Fargo'!$F:$F,'Wells Fargo'!$G:$G,'Cash Flow'!$A57,'Wells Fargo'!$A:$A,H$1,'Wells Fargo'!$B:$B,"&lt;="&amp;'Cash Flow'!H$3)</f>
        <v>0</v>
      </c>
      <c r="I57" s="89">
        <f>SUMIFS('Wells Fargo'!$F:$F,'Wells Fargo'!$G:$G,'Cash Flow'!$A57,'Wells Fargo'!$A:$A,I$1,'Wells Fargo'!$B:$B,"&lt;="&amp;'Cash Flow'!I$3,'Wells Fargo'!$B:$B,"&gt;"&amp;'Cash Flow'!H$3)</f>
        <v>0</v>
      </c>
      <c r="J57" s="89">
        <f>SUMIFS('Wells Fargo'!$F:$F,'Wells Fargo'!$G:$G,'Cash Flow'!$A57,'Wells Fargo'!$A:$A,J$1,'Wells Fargo'!$B:$B,"&lt;="&amp;'Cash Flow'!J$3,'Wells Fargo'!$B:$B,"&gt;"&amp;'Cash Flow'!I$3)</f>
        <v>0</v>
      </c>
      <c r="K57" s="89">
        <f>SUMIFS('Wells Fargo'!$F:$F,'Wells Fargo'!$G:$G,'Cash Flow'!$A57,'Wells Fargo'!$A:$A,K$1,'Wells Fargo'!$B:$B,"&lt;="&amp;'Cash Flow'!K$3,'Wells Fargo'!$B:$B,"&gt;"&amp;'Cash Flow'!J$3)</f>
        <v>0</v>
      </c>
      <c r="L57" s="90">
        <f>SUMIFS('Wells Fargo'!$F:$F,'Wells Fargo'!$G:$G,'Cash Flow'!$A57,'Wells Fargo'!$A:$A,L$1,'Wells Fargo'!$B:$B,"&lt;="&amp;'Cash Flow'!L$3)</f>
        <v>0</v>
      </c>
      <c r="M57" s="89">
        <f>SUMIFS('Wells Fargo'!$F:$F,'Wells Fargo'!$G:$G,'Cash Flow'!$A57,'Wells Fargo'!$A:$A,M$1,'Wells Fargo'!$B:$B,"&lt;="&amp;'Cash Flow'!M$3,'Wells Fargo'!$B:$B,"&gt;"&amp;'Cash Flow'!L$3)</f>
        <v>0</v>
      </c>
      <c r="N57" s="89">
        <f>SUMIFS('Wells Fargo'!$F:$F,'Wells Fargo'!$G:$G,'Cash Flow'!$A57,'Wells Fargo'!$A:$A,N$1,'Wells Fargo'!$B:$B,"&lt;="&amp;'Cash Flow'!N$3,'Wells Fargo'!$B:$B,"&gt;"&amp;'Cash Flow'!M$3)</f>
        <v>0</v>
      </c>
      <c r="O57" s="89">
        <f>SUMIFS('Wells Fargo'!$F:$F,'Wells Fargo'!$G:$G,'Cash Flow'!$A57,'Wells Fargo'!$A:$A,O$1,'Wells Fargo'!$B:$B,"&lt;="&amp;'Cash Flow'!O$3,'Wells Fargo'!$B:$B,"&gt;"&amp;'Cash Flow'!N$3)</f>
        <v>0</v>
      </c>
      <c r="P57" s="89">
        <f>SUMIFS('Wells Fargo'!$F:$F,'Wells Fargo'!$G:$G,'Cash Flow'!$A57,'Wells Fargo'!$A:$A,P$1,'Wells Fargo'!$B:$B,"&lt;="&amp;'Cash Flow'!P$3,'Wells Fargo'!$B:$B,"&gt;"&amp;'Cash Flow'!O$3)</f>
        <v>0</v>
      </c>
      <c r="Q57" s="90">
        <f>SUMIFS('Wells Fargo'!$F:$F,'Wells Fargo'!$G:$G,'Cash Flow'!$A57,'Wells Fargo'!$A:$A,Q$1,'Wells Fargo'!$B:$B,"&lt;="&amp;'Cash Flow'!Q$3)</f>
        <v>0</v>
      </c>
      <c r="R57" s="89">
        <f>SUMIFS('Wells Fargo'!$F:$F,'Wells Fargo'!$G:$G,'Cash Flow'!$A57,'Wells Fargo'!$A:$A,R$1,'Wells Fargo'!$B:$B,"&lt;="&amp;'Cash Flow'!R$3,'Wells Fargo'!$B:$B,"&gt;"&amp;'Cash Flow'!Q$3)</f>
        <v>0</v>
      </c>
      <c r="S57" s="89">
        <f>SUMIFS('Wells Fargo'!$F:$F,'Wells Fargo'!$G:$G,'Cash Flow'!$A57,'Wells Fargo'!$A:$A,S$1,'Wells Fargo'!$B:$B,"&lt;="&amp;'Cash Flow'!S$3,'Wells Fargo'!$B:$B,"&gt;"&amp;'Cash Flow'!R$3)</f>
        <v>0</v>
      </c>
      <c r="T57" s="89">
        <f>SUMIFS('Wells Fargo'!$F:$F,'Wells Fargo'!$G:$G,'Cash Flow'!$A57,'Wells Fargo'!$A:$A,T$1,'Wells Fargo'!$B:$B,"&lt;="&amp;'Cash Flow'!T$3,'Wells Fargo'!$B:$B,"&gt;"&amp;'Cash Flow'!S$3)</f>
        <v>50</v>
      </c>
      <c r="U57" s="89">
        <f>SUMIFS('Wells Fargo'!$F:$F,'Wells Fargo'!$G:$G,'Cash Flow'!$A57,'Wells Fargo'!$A:$A,U$1,'Wells Fargo'!$B:$B,"&lt;="&amp;'Cash Flow'!U$3,'Wells Fargo'!$B:$B,"&gt;"&amp;'Cash Flow'!T$3)</f>
        <v>0</v>
      </c>
      <c r="V57" s="90">
        <f>SUMIFS('Wells Fargo'!$F:$F,'Wells Fargo'!$G:$G,'Cash Flow'!$A57,'Wells Fargo'!$A:$A,V$1,'Wells Fargo'!$B:$B,"&lt;="&amp;'Cash Flow'!V$3)</f>
        <v>0</v>
      </c>
      <c r="W57" s="89">
        <f>SUMIFS('Wells Fargo'!$F:$F,'Wells Fargo'!$G:$G,'Cash Flow'!$A57,'Wells Fargo'!$A:$A,W$1,'Wells Fargo'!$B:$B,"&lt;="&amp;'Cash Flow'!W$3,'Wells Fargo'!$B:$B,"&gt;"&amp;'Cash Flow'!V$3)</f>
        <v>150</v>
      </c>
      <c r="X57" s="89">
        <f>SUMIFS('Wells Fargo'!$F:$F,'Wells Fargo'!$G:$G,'Cash Flow'!$A57,'Wells Fargo'!$A:$A,X$1,'Wells Fargo'!$B:$B,"&lt;="&amp;'Cash Flow'!X$3,'Wells Fargo'!$B:$B,"&gt;"&amp;'Cash Flow'!W$3)</f>
        <v>0</v>
      </c>
      <c r="Y57" s="89">
        <f>SUMIFS('Wells Fargo'!$F:$F,'Wells Fargo'!$G:$G,'Cash Flow'!$A57,'Wells Fargo'!$A:$A,Y$1,'Wells Fargo'!$B:$B,"&lt;="&amp;'Cash Flow'!Y$3,'Wells Fargo'!$B:$B,"&gt;"&amp;'Cash Flow'!X$3)</f>
        <v>0</v>
      </c>
      <c r="Z57" s="89">
        <f>SUMIFS('Wells Fargo'!$F:$F,'Wells Fargo'!$G:$G,'Cash Flow'!$A57,'Wells Fargo'!$A:$A,Z$1,'Wells Fargo'!$B:$B,"&lt;="&amp;'Cash Flow'!Z$3,'Wells Fargo'!$B:$B,"&gt;"&amp;'Cash Flow'!Y$3)</f>
        <v>0</v>
      </c>
      <c r="AA57" s="90">
        <f>SUMIFS('Wells Fargo'!$F:$F,'Wells Fargo'!$G:$G,'Cash Flow'!$A57,'Wells Fargo'!$A:$A,AA$1,'Wells Fargo'!$B:$B,"&lt;="&amp;'Cash Flow'!AA$3)</f>
        <v>0</v>
      </c>
      <c r="AB57" s="89">
        <f>SUMIFS('Wells Fargo'!$F:$F,'Wells Fargo'!$G:$G,'Cash Flow'!$A57,'Wells Fargo'!$A:$A,AB$1,'Wells Fargo'!$B:$B,"&lt;="&amp;'Cash Flow'!AB$3,'Wells Fargo'!$B:$B,"&gt;"&amp;'Cash Flow'!AA$3)</f>
        <v>0</v>
      </c>
      <c r="AC57" s="89">
        <f>SUMIFS('Wells Fargo'!$F:$F,'Wells Fargo'!$G:$G,'Cash Flow'!$A57,'Wells Fargo'!$A:$A,AC$1,'Wells Fargo'!$B:$B,"&lt;="&amp;'Cash Flow'!AC$3,'Wells Fargo'!$B:$B,"&gt;"&amp;'Cash Flow'!AB$3)</f>
        <v>0</v>
      </c>
      <c r="AD57" s="89">
        <f>SUMIFS('Wells Fargo'!$F:$F,'Wells Fargo'!$G:$G,'Cash Flow'!$A57,'Wells Fargo'!$A:$A,AD$1,'Wells Fargo'!$B:$B,"&lt;="&amp;'Cash Flow'!AD$3,'Wells Fargo'!$B:$B,"&gt;"&amp;'Cash Flow'!AC$3)</f>
        <v>0</v>
      </c>
      <c r="AE57" s="89">
        <f>SUMIFS('Wells Fargo'!$F:$F,'Wells Fargo'!$G:$G,'Cash Flow'!$A57,'Wells Fargo'!$A:$A,AE$1,'Wells Fargo'!$B:$B,"&lt;="&amp;'Cash Flow'!AE$3,'Wells Fargo'!$B:$B,"&gt;"&amp;'Cash Flow'!AD$3)</f>
        <v>0</v>
      </c>
      <c r="AF57" s="90">
        <f>SUMIFS('Wells Fargo'!$F:$F,'Wells Fargo'!$G:$G,'Cash Flow'!$A57,'Wells Fargo'!$A:$A,AF$1,'Wells Fargo'!$B:$B,"&lt;="&amp;'Cash Flow'!AF$3)</f>
        <v>0</v>
      </c>
      <c r="AG57" s="89">
        <f>SUMIFS('Wells Fargo'!$F:$F,'Wells Fargo'!$G:$G,'Cash Flow'!$A57,'Wells Fargo'!$A:$A,AG$1,'Wells Fargo'!$B:$B,"&lt;="&amp;'Cash Flow'!AG$3,'Wells Fargo'!$B:$B,"&gt;"&amp;'Cash Flow'!AF$3)</f>
        <v>0</v>
      </c>
      <c r="AH57" s="89">
        <f>SUMIFS('Wells Fargo'!$F:$F,'Wells Fargo'!$G:$G,'Cash Flow'!$A57,'Wells Fargo'!$A:$A,AH$1,'Wells Fargo'!$B:$B,"&lt;="&amp;'Cash Flow'!AH$3,'Wells Fargo'!$B:$B,"&gt;"&amp;'Cash Flow'!AG$3)</f>
        <v>0</v>
      </c>
      <c r="AI57" s="89">
        <f>SUMIFS('Wells Fargo'!$F:$F,'Wells Fargo'!$G:$G,'Cash Flow'!$A57,'Wells Fargo'!$A:$A,AI$1,'Wells Fargo'!$B:$B,"&lt;="&amp;'Cash Flow'!AI$3,'Wells Fargo'!$B:$B,"&gt;"&amp;'Cash Flow'!AH$3)</f>
        <v>0</v>
      </c>
      <c r="AJ57" s="89">
        <f>SUMIFS('Wells Fargo'!$F:$F,'Wells Fargo'!$G:$G,'Cash Flow'!$A57,'Wells Fargo'!$A:$A,AJ$1,'Wells Fargo'!$B:$B,"&lt;="&amp;'Cash Flow'!AJ$3,'Wells Fargo'!$B:$B,"&gt;"&amp;'Cash Flow'!AI$3)</f>
        <v>0</v>
      </c>
      <c r="AK57" s="90">
        <f>SUMIFS('Wells Fargo'!$F:$F,'Wells Fargo'!$G:$G,'Cash Flow'!$A57,'Wells Fargo'!$A:$A,AK$1,'Wells Fargo'!$B:$B,"&lt;="&amp;'Cash Flow'!AK$3)</f>
        <v>0</v>
      </c>
      <c r="AL57" s="89">
        <f>SUMIFS('Wells Fargo'!$F:$F,'Wells Fargo'!$G:$G,'Cash Flow'!$A57,'Wells Fargo'!$A:$A,AL$1,'Wells Fargo'!$B:$B,"&lt;="&amp;'Cash Flow'!AL$3,'Wells Fargo'!$B:$B,"&gt;"&amp;'Cash Flow'!AK$3)</f>
        <v>0</v>
      </c>
      <c r="AM57" s="89">
        <f>SUMIFS('Wells Fargo'!$F:$F,'Wells Fargo'!$G:$G,'Cash Flow'!$A57,'Wells Fargo'!$A:$A,AM$1,'Wells Fargo'!$B:$B,"&lt;="&amp;'Cash Flow'!AM$3,'Wells Fargo'!$B:$B,"&gt;"&amp;'Cash Flow'!AL$3)</f>
        <v>0</v>
      </c>
      <c r="AN57" s="89">
        <f>SUMIFS('Wells Fargo'!$F:$F,'Wells Fargo'!$G:$G,'Cash Flow'!$A57,'Wells Fargo'!$A:$A,AN$1,'Wells Fargo'!$B:$B,"&lt;="&amp;'Cash Flow'!AN$3,'Wells Fargo'!$B:$B,"&gt;"&amp;'Cash Flow'!AM$3)</f>
        <v>0</v>
      </c>
      <c r="AO57" s="89">
        <f>SUMIFS('Wells Fargo'!$F:$F,'Wells Fargo'!$G:$G,'Cash Flow'!$A57,'Wells Fargo'!$A:$A,AO$1,'Wells Fargo'!$B:$B,"&lt;="&amp;'Cash Flow'!AO$3,'Wells Fargo'!$B:$B,"&gt;"&amp;'Cash Flow'!AN$3)</f>
        <v>0</v>
      </c>
      <c r="AP57" s="90">
        <f>SUMIFS('Wells Fargo'!$F:$F,'Wells Fargo'!$G:$G,'Cash Flow'!$A57,'Wells Fargo'!$A:$A,AP$1,'Wells Fargo'!$B:$B,"&lt;="&amp;'Cash Flow'!AP$3)</f>
        <v>0</v>
      </c>
      <c r="AQ57" s="89">
        <f>SUMIFS('Wells Fargo'!$F:$F,'Wells Fargo'!$G:$G,'Cash Flow'!$A57,'Wells Fargo'!$A:$A,AQ$1,'Wells Fargo'!$B:$B,"&lt;="&amp;'Cash Flow'!AQ$3,'Wells Fargo'!$B:$B,"&gt;"&amp;'Cash Flow'!AP$3)</f>
        <v>0</v>
      </c>
      <c r="AR57" s="89">
        <f>SUMIFS('Wells Fargo'!$F:$F,'Wells Fargo'!$G:$G,'Cash Flow'!$A57,'Wells Fargo'!$A:$A,AR$1,'Wells Fargo'!$B:$B,"&lt;="&amp;'Cash Flow'!AR$3,'Wells Fargo'!$B:$B,"&gt;"&amp;'Cash Flow'!AQ$3)</f>
        <v>0</v>
      </c>
      <c r="AS57" s="89">
        <f>SUMIFS('Wells Fargo'!$F:$F,'Wells Fargo'!$G:$G,'Cash Flow'!$A57,'Wells Fargo'!$A:$A,AS$1,'Wells Fargo'!$B:$B,"&lt;="&amp;'Cash Flow'!AS$3,'Wells Fargo'!$B:$B,"&gt;"&amp;'Cash Flow'!AR$3)</f>
        <v>0</v>
      </c>
      <c r="AT57" s="89">
        <f>SUMIFS('Wells Fargo'!$F:$F,'Wells Fargo'!$G:$G,'Cash Flow'!$A57,'Wells Fargo'!$A:$A,AT$1,'Wells Fargo'!$B:$B,"&lt;="&amp;'Cash Flow'!AT$3,'Wells Fargo'!$B:$B,"&gt;"&amp;'Cash Flow'!AS$3)</f>
        <v>0</v>
      </c>
      <c r="AU57" s="90">
        <f>SUMIFS('Wells Fargo'!$F:$F,'Wells Fargo'!$G:$G,'Cash Flow'!$A57,'Wells Fargo'!$A:$A,AU$1,'Wells Fargo'!$B:$B,"&lt;="&amp;'Cash Flow'!AU$3)</f>
        <v>0</v>
      </c>
      <c r="AV57" s="89">
        <f>SUMIFS('Wells Fargo'!$F:$F,'Wells Fargo'!$G:$G,'Cash Flow'!$A57,'Wells Fargo'!$A:$A,AV$1,'Wells Fargo'!$B:$B,"&lt;="&amp;'Cash Flow'!AV$3,'Wells Fargo'!$B:$B,"&gt;"&amp;'Cash Flow'!AU$3)</f>
        <v>0</v>
      </c>
      <c r="AW57" s="89">
        <f>SUMIFS('Wells Fargo'!$F:$F,'Wells Fargo'!$G:$G,'Cash Flow'!$A57,'Wells Fargo'!$A:$A,AW$1,'Wells Fargo'!$B:$B,"&lt;="&amp;'Cash Flow'!AW$3,'Wells Fargo'!$B:$B,"&gt;"&amp;'Cash Flow'!AV$3)</f>
        <v>0</v>
      </c>
      <c r="AX57" s="89">
        <f>SUMIFS('Wells Fargo'!$F:$F,'Wells Fargo'!$G:$G,'Cash Flow'!$A57,'Wells Fargo'!$A:$A,AX$1,'Wells Fargo'!$B:$B,"&lt;="&amp;'Cash Flow'!AX$3,'Wells Fargo'!$B:$B,"&gt;"&amp;'Cash Flow'!AW$3)</f>
        <v>0</v>
      </c>
      <c r="AY57" s="89">
        <f>SUMIFS('Wells Fargo'!$F:$F,'Wells Fargo'!$G:$G,'Cash Flow'!$A57,'Wells Fargo'!$A:$A,AY$1,'Wells Fargo'!$B:$B,"&lt;="&amp;'Cash Flow'!AY$3,'Wells Fargo'!$B:$B,"&gt;"&amp;'Cash Flow'!AX$3)</f>
        <v>0</v>
      </c>
      <c r="AZ57" s="90">
        <f>SUMIFS('Wells Fargo'!$F:$F,'Wells Fargo'!$G:$G,'Cash Flow'!$A57,'Wells Fargo'!$A:$A,AZ$1,'Wells Fargo'!$B:$B,"&lt;="&amp;'Cash Flow'!AZ$3)</f>
        <v>0</v>
      </c>
      <c r="BA57" s="89">
        <f>SUMIFS('Wells Fargo'!$F:$F,'Wells Fargo'!$G:$G,'Cash Flow'!$A57,'Wells Fargo'!$A:$A,BA$1,'Wells Fargo'!$B:$B,"&lt;="&amp;'Cash Flow'!BA$3,'Wells Fargo'!$B:$B,"&gt;"&amp;'Cash Flow'!AZ$3)</f>
        <v>0</v>
      </c>
      <c r="BB57" s="89">
        <f>SUMIFS('Wells Fargo'!$F:$F,'Wells Fargo'!$G:$G,'Cash Flow'!$A57,'Wells Fargo'!$A:$A,BB$1,'Wells Fargo'!$B:$B,"&lt;="&amp;'Cash Flow'!BB$3,'Wells Fargo'!$B:$B,"&gt;"&amp;'Cash Flow'!BA$3)</f>
        <v>0</v>
      </c>
      <c r="BC57" s="89">
        <f>SUMIFS('Wells Fargo'!$F:$F,'Wells Fargo'!$G:$G,'Cash Flow'!$A57,'Wells Fargo'!$A:$A,BC$1,'Wells Fargo'!$B:$B,"&lt;="&amp;'Cash Flow'!BC$3,'Wells Fargo'!$B:$B,"&gt;"&amp;'Cash Flow'!BB$3)</f>
        <v>0</v>
      </c>
      <c r="BD57" s="89">
        <f>SUMIFS('Wells Fargo'!$F:$F,'Wells Fargo'!$G:$G,'Cash Flow'!$A57,'Wells Fargo'!$A:$A,BD$1,'Wells Fargo'!$B:$B,"&lt;="&amp;'Cash Flow'!BD$3,'Wells Fargo'!$B:$B,"&gt;"&amp;'Cash Flow'!BC$3)</f>
        <v>0</v>
      </c>
      <c r="BE57" s="90">
        <f>SUMIFS('Wells Fargo'!$F:$F,'Wells Fargo'!$G:$G,'Cash Flow'!$A57,'Wells Fargo'!$A:$A,BE$1,'Wells Fargo'!$B:$B,"&lt;="&amp;'Cash Flow'!BE$3)</f>
        <v>0</v>
      </c>
      <c r="BF57" s="89">
        <f>SUMIFS('Wells Fargo'!$F:$F,'Wells Fargo'!$G:$G,'Cash Flow'!$A57,'Wells Fargo'!$A:$A,BF$1,'Wells Fargo'!$B:$B,"&lt;="&amp;'Cash Flow'!BF$3,'Wells Fargo'!$B:$B,"&gt;"&amp;'Cash Flow'!BE$3)</f>
        <v>0</v>
      </c>
      <c r="BG57" s="89">
        <f>SUMIFS('Wells Fargo'!$F:$F,'Wells Fargo'!$G:$G,'Cash Flow'!$A57,'Wells Fargo'!$A:$A,BG$1,'Wells Fargo'!$B:$B,"&lt;="&amp;'Cash Flow'!BG$3,'Wells Fargo'!$B:$B,"&gt;"&amp;'Cash Flow'!BF$3)</f>
        <v>0</v>
      </c>
      <c r="BH57" s="89">
        <f>SUMIFS('Wells Fargo'!$F:$F,'Wells Fargo'!$G:$G,'Cash Flow'!$A57,'Wells Fargo'!$A:$A,BH$1,'Wells Fargo'!$B:$B,"&lt;="&amp;'Cash Flow'!BH$3,'Wells Fargo'!$B:$B,"&gt;"&amp;'Cash Flow'!BG$3)</f>
        <v>0</v>
      </c>
      <c r="BI57" s="89">
        <f>SUMIFS('Wells Fargo'!$F:$F,'Wells Fargo'!$G:$G,'Cash Flow'!$A57,'Wells Fargo'!$A:$A,BI$1,'Wells Fargo'!$B:$B,"&lt;="&amp;'Cash Flow'!BI$3,'Wells Fargo'!$B:$B,"&gt;"&amp;'Cash Flow'!BH$3)</f>
        <v>0</v>
      </c>
    </row>
    <row r="58" spans="1:61" ht="12.75" x14ac:dyDescent="0.2">
      <c r="A58" t="str">
        <v>Vincent</v>
      </c>
      <c r="B58" s="15">
        <f t="shared" si="2"/>
        <v>3756.0000000000005</v>
      </c>
      <c r="C58" s="90">
        <f>SUMIFS('Wells Fargo'!$F:$F,'Wells Fargo'!$G:$G,'Cash Flow'!$A58,'Wells Fargo'!$A:$A,C$1,'Wells Fargo'!$B:$B,"&lt;="&amp;'Cash Flow'!C$3)</f>
        <v>0</v>
      </c>
      <c r="D58" s="89">
        <f>SUMIFS('Wells Fargo'!$F:$F,'Wells Fargo'!$G:$G,'Cash Flow'!$A58,'Wells Fargo'!$A:$A,D$1,'Wells Fargo'!$B:$B,"&lt;="&amp;'Cash Flow'!D$3,'Wells Fargo'!$B:$B,"&gt;"&amp;'Cash Flow'!C$3)</f>
        <v>0</v>
      </c>
      <c r="E58" s="89">
        <f>SUMIFS('Wells Fargo'!$F:$F,'Wells Fargo'!$G:$G,'Cash Flow'!$A58,'Wells Fargo'!$A:$A,E$1,'Wells Fargo'!$B:$B,"&lt;="&amp;'Cash Flow'!E$3,'Wells Fargo'!$B:$B,"&gt;"&amp;'Cash Flow'!D$3)</f>
        <v>0</v>
      </c>
      <c r="F58" s="89">
        <f>SUMIFS('Wells Fargo'!$F:$F,'Wells Fargo'!$G:$G,'Cash Flow'!$A58,'Wells Fargo'!$A:$A,F$1,'Wells Fargo'!$B:$B,"&lt;="&amp;'Cash Flow'!F$3,'Wells Fargo'!$B:$B,"&gt;"&amp;'Cash Flow'!E$3)</f>
        <v>-569.12</v>
      </c>
      <c r="G58" s="89">
        <f>SUMIFS('Wells Fargo'!$F:$F,'Wells Fargo'!$G:$G,'Cash Flow'!$A58,'Wells Fargo'!$A:$A,G$1,'Wells Fargo'!$B:$B,"&lt;="&amp;'Cash Flow'!G$3,'Wells Fargo'!$B:$B,"&gt;"&amp;'Cash Flow'!F$3)</f>
        <v>-728.15</v>
      </c>
      <c r="H58" s="90">
        <f>SUMIFS('Wells Fargo'!$F:$F,'Wells Fargo'!$G:$G,'Cash Flow'!$A58,'Wells Fargo'!$A:$A,H$1,'Wells Fargo'!$B:$B,"&lt;="&amp;'Cash Flow'!H$3)</f>
        <v>495</v>
      </c>
      <c r="I58" s="89">
        <f>SUMIFS('Wells Fargo'!$F:$F,'Wells Fargo'!$G:$G,'Cash Flow'!$A58,'Wells Fargo'!$A:$A,I$1,'Wells Fargo'!$B:$B,"&lt;="&amp;'Cash Flow'!I$3,'Wells Fargo'!$B:$B,"&gt;"&amp;'Cash Flow'!H$3)</f>
        <v>-350</v>
      </c>
      <c r="J58" s="89">
        <f>SUMIFS('Wells Fargo'!$F:$F,'Wells Fargo'!$G:$G,'Cash Flow'!$A58,'Wells Fargo'!$A:$A,J$1,'Wells Fargo'!$B:$B,"&lt;="&amp;'Cash Flow'!J$3,'Wells Fargo'!$B:$B,"&gt;"&amp;'Cash Flow'!I$3)</f>
        <v>-500</v>
      </c>
      <c r="K58" s="89">
        <f>SUMIFS('Wells Fargo'!$F:$F,'Wells Fargo'!$G:$G,'Cash Flow'!$A58,'Wells Fargo'!$A:$A,K$1,'Wells Fargo'!$B:$B,"&lt;="&amp;'Cash Flow'!K$3,'Wells Fargo'!$B:$B,"&gt;"&amp;'Cash Flow'!J$3)</f>
        <v>0</v>
      </c>
      <c r="L58" s="90">
        <f>SUMIFS('Wells Fargo'!$F:$F,'Wells Fargo'!$G:$G,'Cash Flow'!$A58,'Wells Fargo'!$A:$A,L$1,'Wells Fargo'!$B:$B,"&lt;="&amp;'Cash Flow'!L$3)</f>
        <v>0</v>
      </c>
      <c r="M58" s="89">
        <f>SUMIFS('Wells Fargo'!$F:$F,'Wells Fargo'!$G:$G,'Cash Flow'!$A58,'Wells Fargo'!$A:$A,M$1,'Wells Fargo'!$B:$B,"&lt;="&amp;'Cash Flow'!M$3,'Wells Fargo'!$B:$B,"&gt;"&amp;'Cash Flow'!L$3)</f>
        <v>0</v>
      </c>
      <c r="N58" s="89">
        <f>SUMIFS('Wells Fargo'!$F:$F,'Wells Fargo'!$G:$G,'Cash Flow'!$A58,'Wells Fargo'!$A:$A,N$1,'Wells Fargo'!$B:$B,"&lt;="&amp;'Cash Flow'!N$3,'Wells Fargo'!$B:$B,"&gt;"&amp;'Cash Flow'!M$3)</f>
        <v>0</v>
      </c>
      <c r="O58" s="89">
        <f>SUMIFS('Wells Fargo'!$F:$F,'Wells Fargo'!$G:$G,'Cash Flow'!$A58,'Wells Fargo'!$A:$A,O$1,'Wells Fargo'!$B:$B,"&lt;="&amp;'Cash Flow'!O$3,'Wells Fargo'!$B:$B,"&gt;"&amp;'Cash Flow'!N$3)</f>
        <v>-59</v>
      </c>
      <c r="P58" s="89">
        <f>SUMIFS('Wells Fargo'!$F:$F,'Wells Fargo'!$G:$G,'Cash Flow'!$A58,'Wells Fargo'!$A:$A,P$1,'Wells Fargo'!$B:$B,"&lt;="&amp;'Cash Flow'!P$3,'Wells Fargo'!$B:$B,"&gt;"&amp;'Cash Flow'!O$3)</f>
        <v>0</v>
      </c>
      <c r="Q58" s="90">
        <f>SUMIFS('Wells Fargo'!$F:$F,'Wells Fargo'!$G:$G,'Cash Flow'!$A58,'Wells Fargo'!$A:$A,Q$1,'Wells Fargo'!$B:$B,"&lt;="&amp;'Cash Flow'!Q$3)</f>
        <v>0</v>
      </c>
      <c r="R58" s="89">
        <f>SUMIFS('Wells Fargo'!$F:$F,'Wells Fargo'!$G:$G,'Cash Flow'!$A58,'Wells Fargo'!$A:$A,R$1,'Wells Fargo'!$B:$B,"&lt;="&amp;'Cash Flow'!R$3,'Wells Fargo'!$B:$B,"&gt;"&amp;'Cash Flow'!Q$3)</f>
        <v>0</v>
      </c>
      <c r="S58" s="89">
        <f>SUMIFS('Wells Fargo'!$F:$F,'Wells Fargo'!$G:$G,'Cash Flow'!$A58,'Wells Fargo'!$A:$A,S$1,'Wells Fargo'!$B:$B,"&lt;="&amp;'Cash Flow'!S$3,'Wells Fargo'!$B:$B,"&gt;"&amp;'Cash Flow'!R$3)</f>
        <v>0</v>
      </c>
      <c r="T58" s="89">
        <f>SUMIFS('Wells Fargo'!$F:$F,'Wells Fargo'!$G:$G,'Cash Flow'!$A58,'Wells Fargo'!$A:$A,T$1,'Wells Fargo'!$B:$B,"&lt;="&amp;'Cash Flow'!T$3,'Wells Fargo'!$B:$B,"&gt;"&amp;'Cash Flow'!S$3)</f>
        <v>0</v>
      </c>
      <c r="U58" s="89">
        <f>SUMIFS('Wells Fargo'!$F:$F,'Wells Fargo'!$G:$G,'Cash Flow'!$A58,'Wells Fargo'!$A:$A,U$1,'Wells Fargo'!$B:$B,"&lt;="&amp;'Cash Flow'!U$3,'Wells Fargo'!$B:$B,"&gt;"&amp;'Cash Flow'!T$3)</f>
        <v>0</v>
      </c>
      <c r="V58" s="90">
        <f>SUMIFS('Wells Fargo'!$F:$F,'Wells Fargo'!$G:$G,'Cash Flow'!$A58,'Wells Fargo'!$A:$A,V$1,'Wells Fargo'!$B:$B,"&lt;="&amp;'Cash Flow'!V$3)</f>
        <v>0</v>
      </c>
      <c r="W58" s="89">
        <f>SUMIFS('Wells Fargo'!$F:$F,'Wells Fargo'!$G:$G,'Cash Flow'!$A58,'Wells Fargo'!$A:$A,W$1,'Wells Fargo'!$B:$B,"&lt;="&amp;'Cash Flow'!W$3,'Wells Fargo'!$B:$B,"&gt;"&amp;'Cash Flow'!V$3)</f>
        <v>0</v>
      </c>
      <c r="X58" s="89">
        <f>SUMIFS('Wells Fargo'!$F:$F,'Wells Fargo'!$G:$G,'Cash Flow'!$A58,'Wells Fargo'!$A:$A,X$1,'Wells Fargo'!$B:$B,"&lt;="&amp;'Cash Flow'!X$3,'Wells Fargo'!$B:$B,"&gt;"&amp;'Cash Flow'!W$3)</f>
        <v>-305</v>
      </c>
      <c r="Y58" s="89">
        <f>SUMIFS('Wells Fargo'!$F:$F,'Wells Fargo'!$G:$G,'Cash Flow'!$A58,'Wells Fargo'!$A:$A,Y$1,'Wells Fargo'!$B:$B,"&lt;="&amp;'Cash Flow'!Y$3,'Wells Fargo'!$B:$B,"&gt;"&amp;'Cash Flow'!X$3)</f>
        <v>600.36</v>
      </c>
      <c r="Z58" s="89">
        <f>SUMIFS('Wells Fargo'!$F:$F,'Wells Fargo'!$G:$G,'Cash Flow'!$A58,'Wells Fargo'!$A:$A,Z$1,'Wells Fargo'!$B:$B,"&lt;="&amp;'Cash Flow'!Z$3,'Wells Fargo'!$B:$B,"&gt;"&amp;'Cash Flow'!Y$3)</f>
        <v>0</v>
      </c>
      <c r="AA58" s="90">
        <f>SUMIFS('Wells Fargo'!$F:$F,'Wells Fargo'!$G:$G,'Cash Flow'!$A58,'Wells Fargo'!$A:$A,AA$1,'Wells Fargo'!$B:$B,"&lt;="&amp;'Cash Flow'!AA$3)</f>
        <v>0</v>
      </c>
      <c r="AB58" s="89">
        <f>SUMIFS('Wells Fargo'!$F:$F,'Wells Fargo'!$G:$G,'Cash Flow'!$A58,'Wells Fargo'!$A:$A,AB$1,'Wells Fargo'!$B:$B,"&lt;="&amp;'Cash Flow'!AB$3,'Wells Fargo'!$B:$B,"&gt;"&amp;'Cash Flow'!AA$3)</f>
        <v>0</v>
      </c>
      <c r="AC58" s="89">
        <f>SUMIFS('Wells Fargo'!$F:$F,'Wells Fargo'!$G:$G,'Cash Flow'!$A58,'Wells Fargo'!$A:$A,AC$1,'Wells Fargo'!$B:$B,"&lt;="&amp;'Cash Flow'!AC$3,'Wells Fargo'!$B:$B,"&gt;"&amp;'Cash Flow'!AB$3)</f>
        <v>0</v>
      </c>
      <c r="AD58" s="89">
        <f>SUMIFS('Wells Fargo'!$F:$F,'Wells Fargo'!$G:$G,'Cash Flow'!$A58,'Wells Fargo'!$A:$A,AD$1,'Wells Fargo'!$B:$B,"&lt;="&amp;'Cash Flow'!AD$3,'Wells Fargo'!$B:$B,"&gt;"&amp;'Cash Flow'!AC$3)</f>
        <v>0</v>
      </c>
      <c r="AE58" s="89">
        <f>SUMIFS('Wells Fargo'!$F:$F,'Wells Fargo'!$G:$G,'Cash Flow'!$A58,'Wells Fargo'!$A:$A,AE$1,'Wells Fargo'!$B:$B,"&lt;="&amp;'Cash Flow'!AE$3,'Wells Fargo'!$B:$B,"&gt;"&amp;'Cash Flow'!AD$3)</f>
        <v>0</v>
      </c>
      <c r="AF58" s="90">
        <f>SUMIFS('Wells Fargo'!$F:$F,'Wells Fargo'!$G:$G,'Cash Flow'!$A58,'Wells Fargo'!$A:$A,AF$1,'Wells Fargo'!$B:$B,"&lt;="&amp;'Cash Flow'!AF$3)</f>
        <v>0</v>
      </c>
      <c r="AG58" s="89">
        <f>SUMIFS('Wells Fargo'!$F:$F,'Wells Fargo'!$G:$G,'Cash Flow'!$A58,'Wells Fargo'!$A:$A,AG$1,'Wells Fargo'!$B:$B,"&lt;="&amp;'Cash Flow'!AG$3,'Wells Fargo'!$B:$B,"&gt;"&amp;'Cash Flow'!AF$3)</f>
        <v>1076.8800000000001</v>
      </c>
      <c r="AH58" s="89">
        <f>SUMIFS('Wells Fargo'!$F:$F,'Wells Fargo'!$G:$G,'Cash Flow'!$A58,'Wells Fargo'!$A:$A,AH$1,'Wells Fargo'!$B:$B,"&lt;="&amp;'Cash Flow'!AH$3,'Wells Fargo'!$B:$B,"&gt;"&amp;'Cash Flow'!AG$3)</f>
        <v>156.77000000000001</v>
      </c>
      <c r="AI58" s="89">
        <f>SUMIFS('Wells Fargo'!$F:$F,'Wells Fargo'!$G:$G,'Cash Flow'!$A58,'Wells Fargo'!$A:$A,AI$1,'Wells Fargo'!$B:$B,"&lt;="&amp;'Cash Flow'!AI$3,'Wells Fargo'!$B:$B,"&gt;"&amp;'Cash Flow'!AH$3)</f>
        <v>937.5</v>
      </c>
      <c r="AJ58" s="89">
        <f>SUMIFS('Wells Fargo'!$F:$F,'Wells Fargo'!$G:$G,'Cash Flow'!$A58,'Wells Fargo'!$A:$A,AJ$1,'Wells Fargo'!$B:$B,"&lt;="&amp;'Cash Flow'!AJ$3,'Wells Fargo'!$B:$B,"&gt;"&amp;'Cash Flow'!AI$3)</f>
        <v>162.02000000000001</v>
      </c>
      <c r="AK58" s="90">
        <f>SUMIFS('Wells Fargo'!$F:$F,'Wells Fargo'!$G:$G,'Cash Flow'!$A58,'Wells Fargo'!$A:$A,AK$1,'Wells Fargo'!$B:$B,"&lt;="&amp;'Cash Flow'!AK$3)</f>
        <v>0</v>
      </c>
      <c r="AL58" s="89">
        <f>SUMIFS('Wells Fargo'!$F:$F,'Wells Fargo'!$G:$G,'Cash Flow'!$A58,'Wells Fargo'!$A:$A,AL$1,'Wells Fargo'!$B:$B,"&lt;="&amp;'Cash Flow'!AL$3,'Wells Fargo'!$B:$B,"&gt;"&amp;'Cash Flow'!AK$3)</f>
        <v>0</v>
      </c>
      <c r="AM58" s="89">
        <f>SUMIFS('Wells Fargo'!$F:$F,'Wells Fargo'!$G:$G,'Cash Flow'!$A58,'Wells Fargo'!$A:$A,AM$1,'Wells Fargo'!$B:$B,"&lt;="&amp;'Cash Flow'!AM$3,'Wells Fargo'!$B:$B,"&gt;"&amp;'Cash Flow'!AL$3)</f>
        <v>0</v>
      </c>
      <c r="AN58" s="89">
        <f>SUMIFS('Wells Fargo'!$F:$F,'Wells Fargo'!$G:$G,'Cash Flow'!$A58,'Wells Fargo'!$A:$A,AN$1,'Wells Fargo'!$B:$B,"&lt;="&amp;'Cash Flow'!AN$3,'Wells Fargo'!$B:$B,"&gt;"&amp;'Cash Flow'!AM$3)</f>
        <v>0</v>
      </c>
      <c r="AO58" s="89">
        <f>SUMIFS('Wells Fargo'!$F:$F,'Wells Fargo'!$G:$G,'Cash Flow'!$A58,'Wells Fargo'!$A:$A,AO$1,'Wells Fargo'!$B:$B,"&lt;="&amp;'Cash Flow'!AO$3,'Wells Fargo'!$B:$B,"&gt;"&amp;'Cash Flow'!AN$3)</f>
        <v>0</v>
      </c>
      <c r="AP58" s="90">
        <f>SUMIFS('Wells Fargo'!$F:$F,'Wells Fargo'!$G:$G,'Cash Flow'!$A58,'Wells Fargo'!$A:$A,AP$1,'Wells Fargo'!$B:$B,"&lt;="&amp;'Cash Flow'!AP$3)</f>
        <v>0</v>
      </c>
      <c r="AQ58" s="89">
        <f>SUMIFS('Wells Fargo'!$F:$F,'Wells Fargo'!$G:$G,'Cash Flow'!$A58,'Wells Fargo'!$A:$A,AQ$1,'Wells Fargo'!$B:$B,"&lt;="&amp;'Cash Flow'!AQ$3,'Wells Fargo'!$B:$B,"&gt;"&amp;'Cash Flow'!AP$3)</f>
        <v>972.07</v>
      </c>
      <c r="AR58" s="89">
        <f>SUMIFS('Wells Fargo'!$F:$F,'Wells Fargo'!$G:$G,'Cash Flow'!$A58,'Wells Fargo'!$A:$A,AR$1,'Wells Fargo'!$B:$B,"&lt;="&amp;'Cash Flow'!AR$3,'Wells Fargo'!$B:$B,"&gt;"&amp;'Cash Flow'!AQ$3)</f>
        <v>0</v>
      </c>
      <c r="AS58" s="89">
        <f>SUMIFS('Wells Fargo'!$F:$F,'Wells Fargo'!$G:$G,'Cash Flow'!$A58,'Wells Fargo'!$A:$A,AS$1,'Wells Fargo'!$B:$B,"&lt;="&amp;'Cash Flow'!AS$3,'Wells Fargo'!$B:$B,"&gt;"&amp;'Cash Flow'!AR$3)</f>
        <v>0</v>
      </c>
      <c r="AT58" s="89">
        <f>SUMIFS('Wells Fargo'!$F:$F,'Wells Fargo'!$G:$G,'Cash Flow'!$A58,'Wells Fargo'!$A:$A,AT$1,'Wells Fargo'!$B:$B,"&lt;="&amp;'Cash Flow'!AT$3,'Wells Fargo'!$B:$B,"&gt;"&amp;'Cash Flow'!AS$3)</f>
        <v>1866.67</v>
      </c>
      <c r="AU58" s="90">
        <f>SUMIFS('Wells Fargo'!$F:$F,'Wells Fargo'!$G:$G,'Cash Flow'!$A58,'Wells Fargo'!$A:$A,AU$1,'Wells Fargo'!$B:$B,"&lt;="&amp;'Cash Flow'!AU$3)</f>
        <v>0</v>
      </c>
      <c r="AV58" s="89">
        <f>SUMIFS('Wells Fargo'!$F:$F,'Wells Fargo'!$G:$G,'Cash Flow'!$A58,'Wells Fargo'!$A:$A,AV$1,'Wells Fargo'!$B:$B,"&lt;="&amp;'Cash Flow'!AV$3,'Wells Fargo'!$B:$B,"&gt;"&amp;'Cash Flow'!AU$3)</f>
        <v>0</v>
      </c>
      <c r="AW58" s="89">
        <f>SUMIFS('Wells Fargo'!$F:$F,'Wells Fargo'!$G:$G,'Cash Flow'!$A58,'Wells Fargo'!$A:$A,AW$1,'Wells Fargo'!$B:$B,"&lt;="&amp;'Cash Flow'!AW$3,'Wells Fargo'!$B:$B,"&gt;"&amp;'Cash Flow'!AV$3)</f>
        <v>0</v>
      </c>
      <c r="AX58" s="89">
        <f>SUMIFS('Wells Fargo'!$F:$F,'Wells Fargo'!$G:$G,'Cash Flow'!$A58,'Wells Fargo'!$A:$A,AX$1,'Wells Fargo'!$B:$B,"&lt;="&amp;'Cash Flow'!AX$3,'Wells Fargo'!$B:$B,"&gt;"&amp;'Cash Flow'!AW$3)</f>
        <v>0</v>
      </c>
      <c r="AY58" s="89">
        <f>SUMIFS('Wells Fargo'!$F:$F,'Wells Fargo'!$G:$G,'Cash Flow'!$A58,'Wells Fargo'!$A:$A,AY$1,'Wells Fargo'!$B:$B,"&lt;="&amp;'Cash Flow'!AY$3,'Wells Fargo'!$B:$B,"&gt;"&amp;'Cash Flow'!AX$3)</f>
        <v>0</v>
      </c>
      <c r="AZ58" s="90">
        <f>SUMIFS('Wells Fargo'!$F:$F,'Wells Fargo'!$G:$G,'Cash Flow'!$A58,'Wells Fargo'!$A:$A,AZ$1,'Wells Fargo'!$B:$B,"&lt;="&amp;'Cash Flow'!AZ$3)</f>
        <v>0</v>
      </c>
      <c r="BA58" s="89">
        <f>SUMIFS('Wells Fargo'!$F:$F,'Wells Fargo'!$G:$G,'Cash Flow'!$A58,'Wells Fargo'!$A:$A,BA$1,'Wells Fargo'!$B:$B,"&lt;="&amp;'Cash Flow'!BA$3,'Wells Fargo'!$B:$B,"&gt;"&amp;'Cash Flow'!AZ$3)</f>
        <v>0</v>
      </c>
      <c r="BB58" s="89">
        <f>SUMIFS('Wells Fargo'!$F:$F,'Wells Fargo'!$G:$G,'Cash Flow'!$A58,'Wells Fargo'!$A:$A,BB$1,'Wells Fargo'!$B:$B,"&lt;="&amp;'Cash Flow'!BB$3,'Wells Fargo'!$B:$B,"&gt;"&amp;'Cash Flow'!BA$3)</f>
        <v>0</v>
      </c>
      <c r="BC58" s="89">
        <f>SUMIFS('Wells Fargo'!$F:$F,'Wells Fargo'!$G:$G,'Cash Flow'!$A58,'Wells Fargo'!$A:$A,BC$1,'Wells Fargo'!$B:$B,"&lt;="&amp;'Cash Flow'!BC$3,'Wells Fargo'!$B:$B,"&gt;"&amp;'Cash Flow'!BB$3)</f>
        <v>0</v>
      </c>
      <c r="BD58" s="89">
        <f>SUMIFS('Wells Fargo'!$F:$F,'Wells Fargo'!$G:$G,'Cash Flow'!$A58,'Wells Fargo'!$A:$A,BD$1,'Wells Fargo'!$B:$B,"&lt;="&amp;'Cash Flow'!BD$3,'Wells Fargo'!$B:$B,"&gt;"&amp;'Cash Flow'!BC$3)</f>
        <v>0</v>
      </c>
      <c r="BE58" s="90">
        <f>SUMIFS('Wells Fargo'!$F:$F,'Wells Fargo'!$G:$G,'Cash Flow'!$A58,'Wells Fargo'!$A:$A,BE$1,'Wells Fargo'!$B:$B,"&lt;="&amp;'Cash Flow'!BE$3)</f>
        <v>0</v>
      </c>
      <c r="BF58" s="89">
        <f>SUMIFS('Wells Fargo'!$F:$F,'Wells Fargo'!$G:$G,'Cash Flow'!$A58,'Wells Fargo'!$A:$A,BF$1,'Wells Fargo'!$B:$B,"&lt;="&amp;'Cash Flow'!BF$3,'Wells Fargo'!$B:$B,"&gt;"&amp;'Cash Flow'!BE$3)</f>
        <v>0</v>
      </c>
      <c r="BG58" s="89">
        <f>SUMIFS('Wells Fargo'!$F:$F,'Wells Fargo'!$G:$G,'Cash Flow'!$A58,'Wells Fargo'!$A:$A,BG$1,'Wells Fargo'!$B:$B,"&lt;="&amp;'Cash Flow'!BG$3,'Wells Fargo'!$B:$B,"&gt;"&amp;'Cash Flow'!BF$3)</f>
        <v>0</v>
      </c>
      <c r="BH58" s="89">
        <f>SUMIFS('Wells Fargo'!$F:$F,'Wells Fargo'!$G:$G,'Cash Flow'!$A58,'Wells Fargo'!$A:$A,BH$1,'Wells Fargo'!$B:$B,"&lt;="&amp;'Cash Flow'!BH$3,'Wells Fargo'!$B:$B,"&gt;"&amp;'Cash Flow'!BG$3)</f>
        <v>0</v>
      </c>
      <c r="BI58" s="89">
        <f>SUMIFS('Wells Fargo'!$F:$F,'Wells Fargo'!$G:$G,'Cash Flow'!$A58,'Wells Fargo'!$A:$A,BI$1,'Wells Fargo'!$B:$B,"&lt;="&amp;'Cash Flow'!BI$3,'Wells Fargo'!$B:$B,"&gt;"&amp;'Cash Flow'!BH$3)</f>
        <v>0</v>
      </c>
    </row>
    <row r="59" spans="1:61" ht="12.75" x14ac:dyDescent="0.2">
      <c r="A59" t="str">
        <v>Window Tint</v>
      </c>
      <c r="B59" s="15">
        <f t="shared" si="2"/>
        <v>-411.99</v>
      </c>
      <c r="C59" s="90">
        <f>SUMIFS('Wells Fargo'!$F:$F,'Wells Fargo'!$G:$G,'Cash Flow'!$A59,'Wells Fargo'!$A:$A,C$1,'Wells Fargo'!$B:$B,"&lt;="&amp;'Cash Flow'!C$3)</f>
        <v>0</v>
      </c>
      <c r="D59" s="89">
        <f>SUMIFS('Wells Fargo'!$F:$F,'Wells Fargo'!$G:$G,'Cash Flow'!$A59,'Wells Fargo'!$A:$A,D$1,'Wells Fargo'!$B:$B,"&lt;="&amp;'Cash Flow'!D$3,'Wells Fargo'!$B:$B,"&gt;"&amp;'Cash Flow'!C$3)</f>
        <v>0</v>
      </c>
      <c r="E59" s="89">
        <f>SUMIFS('Wells Fargo'!$F:$F,'Wells Fargo'!$G:$G,'Cash Flow'!$A59,'Wells Fargo'!$A:$A,E$1,'Wells Fargo'!$B:$B,"&lt;="&amp;'Cash Flow'!E$3,'Wells Fargo'!$B:$B,"&gt;"&amp;'Cash Flow'!D$3)</f>
        <v>0</v>
      </c>
      <c r="F59" s="89">
        <f>SUMIFS('Wells Fargo'!$F:$F,'Wells Fargo'!$G:$G,'Cash Flow'!$A59,'Wells Fargo'!$A:$A,F$1,'Wells Fargo'!$B:$B,"&lt;="&amp;'Cash Flow'!F$3,'Wells Fargo'!$B:$B,"&gt;"&amp;'Cash Flow'!E$3)</f>
        <v>0</v>
      </c>
      <c r="G59" s="89">
        <f>SUMIFS('Wells Fargo'!$F:$F,'Wells Fargo'!$G:$G,'Cash Flow'!$A59,'Wells Fargo'!$A:$A,G$1,'Wells Fargo'!$B:$B,"&lt;="&amp;'Cash Flow'!G$3,'Wells Fargo'!$B:$B,"&gt;"&amp;'Cash Flow'!F$3)</f>
        <v>0</v>
      </c>
      <c r="H59" s="90">
        <f>SUMIFS('Wells Fargo'!$F:$F,'Wells Fargo'!$G:$G,'Cash Flow'!$A59,'Wells Fargo'!$A:$A,H$1,'Wells Fargo'!$B:$B,"&lt;="&amp;'Cash Flow'!H$3)</f>
        <v>0</v>
      </c>
      <c r="I59" s="89">
        <f>SUMIFS('Wells Fargo'!$F:$F,'Wells Fargo'!$G:$G,'Cash Flow'!$A59,'Wells Fargo'!$A:$A,I$1,'Wells Fargo'!$B:$B,"&lt;="&amp;'Cash Flow'!I$3,'Wells Fargo'!$B:$B,"&gt;"&amp;'Cash Flow'!H$3)</f>
        <v>0</v>
      </c>
      <c r="J59" s="89">
        <f>SUMIFS('Wells Fargo'!$F:$F,'Wells Fargo'!$G:$G,'Cash Flow'!$A59,'Wells Fargo'!$A:$A,J$1,'Wells Fargo'!$B:$B,"&lt;="&amp;'Cash Flow'!J$3,'Wells Fargo'!$B:$B,"&gt;"&amp;'Cash Flow'!I$3)</f>
        <v>0</v>
      </c>
      <c r="K59" s="89">
        <f>SUMIFS('Wells Fargo'!$F:$F,'Wells Fargo'!$G:$G,'Cash Flow'!$A59,'Wells Fargo'!$A:$A,K$1,'Wells Fargo'!$B:$B,"&lt;="&amp;'Cash Flow'!K$3,'Wells Fargo'!$B:$B,"&gt;"&amp;'Cash Flow'!J$3)</f>
        <v>0</v>
      </c>
      <c r="L59" s="90">
        <f>SUMIFS('Wells Fargo'!$F:$F,'Wells Fargo'!$G:$G,'Cash Flow'!$A59,'Wells Fargo'!$A:$A,L$1,'Wells Fargo'!$B:$B,"&lt;="&amp;'Cash Flow'!L$3)</f>
        <v>0</v>
      </c>
      <c r="M59" s="89">
        <f>SUMIFS('Wells Fargo'!$F:$F,'Wells Fargo'!$G:$G,'Cash Flow'!$A59,'Wells Fargo'!$A:$A,M$1,'Wells Fargo'!$B:$B,"&lt;="&amp;'Cash Flow'!M$3,'Wells Fargo'!$B:$B,"&gt;"&amp;'Cash Flow'!L$3)</f>
        <v>0</v>
      </c>
      <c r="N59" s="89">
        <f>SUMIFS('Wells Fargo'!$F:$F,'Wells Fargo'!$G:$G,'Cash Flow'!$A59,'Wells Fargo'!$A:$A,N$1,'Wells Fargo'!$B:$B,"&lt;="&amp;'Cash Flow'!N$3,'Wells Fargo'!$B:$B,"&gt;"&amp;'Cash Flow'!M$3)</f>
        <v>0</v>
      </c>
      <c r="O59" s="89">
        <f>SUMIFS('Wells Fargo'!$F:$F,'Wells Fargo'!$G:$G,'Cash Flow'!$A59,'Wells Fargo'!$A:$A,O$1,'Wells Fargo'!$B:$B,"&lt;="&amp;'Cash Flow'!O$3,'Wells Fargo'!$B:$B,"&gt;"&amp;'Cash Flow'!N$3)</f>
        <v>0</v>
      </c>
      <c r="P59" s="89">
        <f>SUMIFS('Wells Fargo'!$F:$F,'Wells Fargo'!$G:$G,'Cash Flow'!$A59,'Wells Fargo'!$A:$A,P$1,'Wells Fargo'!$B:$B,"&lt;="&amp;'Cash Flow'!P$3,'Wells Fargo'!$B:$B,"&gt;"&amp;'Cash Flow'!O$3)</f>
        <v>0</v>
      </c>
      <c r="Q59" s="90">
        <f>SUMIFS('Wells Fargo'!$F:$F,'Wells Fargo'!$G:$G,'Cash Flow'!$A59,'Wells Fargo'!$A:$A,Q$1,'Wells Fargo'!$B:$B,"&lt;="&amp;'Cash Flow'!Q$3)</f>
        <v>0</v>
      </c>
      <c r="R59" s="89">
        <f>SUMIFS('Wells Fargo'!$F:$F,'Wells Fargo'!$G:$G,'Cash Flow'!$A59,'Wells Fargo'!$A:$A,R$1,'Wells Fargo'!$B:$B,"&lt;="&amp;'Cash Flow'!R$3,'Wells Fargo'!$B:$B,"&gt;"&amp;'Cash Flow'!Q$3)</f>
        <v>0</v>
      </c>
      <c r="S59" s="89">
        <f>SUMIFS('Wells Fargo'!$F:$F,'Wells Fargo'!$G:$G,'Cash Flow'!$A59,'Wells Fargo'!$A:$A,S$1,'Wells Fargo'!$B:$B,"&lt;="&amp;'Cash Flow'!S$3,'Wells Fargo'!$B:$B,"&gt;"&amp;'Cash Flow'!R$3)</f>
        <v>0</v>
      </c>
      <c r="T59" s="89">
        <f>SUMIFS('Wells Fargo'!$F:$F,'Wells Fargo'!$G:$G,'Cash Flow'!$A59,'Wells Fargo'!$A:$A,T$1,'Wells Fargo'!$B:$B,"&lt;="&amp;'Cash Flow'!T$3,'Wells Fargo'!$B:$B,"&gt;"&amp;'Cash Flow'!S$3)</f>
        <v>0</v>
      </c>
      <c r="U59" s="89">
        <f>SUMIFS('Wells Fargo'!$F:$F,'Wells Fargo'!$G:$G,'Cash Flow'!$A59,'Wells Fargo'!$A:$A,U$1,'Wells Fargo'!$B:$B,"&lt;="&amp;'Cash Flow'!U$3,'Wells Fargo'!$B:$B,"&gt;"&amp;'Cash Flow'!T$3)</f>
        <v>0</v>
      </c>
      <c r="V59" s="90">
        <f>SUMIFS('Wells Fargo'!$F:$F,'Wells Fargo'!$G:$G,'Cash Flow'!$A59,'Wells Fargo'!$A:$A,V$1,'Wells Fargo'!$B:$B,"&lt;="&amp;'Cash Flow'!V$3)</f>
        <v>0</v>
      </c>
      <c r="W59" s="89">
        <f>SUMIFS('Wells Fargo'!$F:$F,'Wells Fargo'!$G:$G,'Cash Flow'!$A59,'Wells Fargo'!$A:$A,W$1,'Wells Fargo'!$B:$B,"&lt;="&amp;'Cash Flow'!W$3,'Wells Fargo'!$B:$B,"&gt;"&amp;'Cash Flow'!V$3)</f>
        <v>0</v>
      </c>
      <c r="X59" s="89">
        <f>SUMIFS('Wells Fargo'!$F:$F,'Wells Fargo'!$G:$G,'Cash Flow'!$A59,'Wells Fargo'!$A:$A,X$1,'Wells Fargo'!$B:$B,"&lt;="&amp;'Cash Flow'!X$3,'Wells Fargo'!$B:$B,"&gt;"&amp;'Cash Flow'!W$3)</f>
        <v>0</v>
      </c>
      <c r="Y59" s="89">
        <f>SUMIFS('Wells Fargo'!$F:$F,'Wells Fargo'!$G:$G,'Cash Flow'!$A59,'Wells Fargo'!$A:$A,Y$1,'Wells Fargo'!$B:$B,"&lt;="&amp;'Cash Flow'!Y$3,'Wells Fargo'!$B:$B,"&gt;"&amp;'Cash Flow'!X$3)</f>
        <v>0</v>
      </c>
      <c r="Z59" s="89">
        <f>SUMIFS('Wells Fargo'!$F:$F,'Wells Fargo'!$G:$G,'Cash Flow'!$A59,'Wells Fargo'!$A:$A,Z$1,'Wells Fargo'!$B:$B,"&lt;="&amp;'Cash Flow'!Z$3,'Wells Fargo'!$B:$B,"&gt;"&amp;'Cash Flow'!Y$3)</f>
        <v>0</v>
      </c>
      <c r="AA59" s="90">
        <f>SUMIFS('Wells Fargo'!$F:$F,'Wells Fargo'!$G:$G,'Cash Flow'!$A59,'Wells Fargo'!$A:$A,AA$1,'Wells Fargo'!$B:$B,"&lt;="&amp;'Cash Flow'!AA$3)</f>
        <v>0</v>
      </c>
      <c r="AB59" s="89">
        <f>SUMIFS('Wells Fargo'!$F:$F,'Wells Fargo'!$G:$G,'Cash Flow'!$A59,'Wells Fargo'!$A:$A,AB$1,'Wells Fargo'!$B:$B,"&lt;="&amp;'Cash Flow'!AB$3,'Wells Fargo'!$B:$B,"&gt;"&amp;'Cash Flow'!AA$3)</f>
        <v>0</v>
      </c>
      <c r="AC59" s="89">
        <f>SUMIFS('Wells Fargo'!$F:$F,'Wells Fargo'!$G:$G,'Cash Flow'!$A59,'Wells Fargo'!$A:$A,AC$1,'Wells Fargo'!$B:$B,"&lt;="&amp;'Cash Flow'!AC$3,'Wells Fargo'!$B:$B,"&gt;"&amp;'Cash Flow'!AB$3)</f>
        <v>0</v>
      </c>
      <c r="AD59" s="89">
        <f>SUMIFS('Wells Fargo'!$F:$F,'Wells Fargo'!$G:$G,'Cash Flow'!$A59,'Wells Fargo'!$A:$A,AD$1,'Wells Fargo'!$B:$B,"&lt;="&amp;'Cash Flow'!AD$3,'Wells Fargo'!$B:$B,"&gt;"&amp;'Cash Flow'!AC$3)</f>
        <v>0</v>
      </c>
      <c r="AE59" s="89">
        <f>SUMIFS('Wells Fargo'!$F:$F,'Wells Fargo'!$G:$G,'Cash Flow'!$A59,'Wells Fargo'!$A:$A,AE$1,'Wells Fargo'!$B:$B,"&lt;="&amp;'Cash Flow'!AE$3,'Wells Fargo'!$B:$B,"&gt;"&amp;'Cash Flow'!AD$3)</f>
        <v>0</v>
      </c>
      <c r="AF59" s="90">
        <f>SUMIFS('Wells Fargo'!$F:$F,'Wells Fargo'!$G:$G,'Cash Flow'!$A59,'Wells Fargo'!$A:$A,AF$1,'Wells Fargo'!$B:$B,"&lt;="&amp;'Cash Flow'!AF$3)</f>
        <v>0</v>
      </c>
      <c r="AG59" s="89">
        <f>SUMIFS('Wells Fargo'!$F:$F,'Wells Fargo'!$G:$G,'Cash Flow'!$A59,'Wells Fargo'!$A:$A,AG$1,'Wells Fargo'!$B:$B,"&lt;="&amp;'Cash Flow'!AG$3,'Wells Fargo'!$B:$B,"&gt;"&amp;'Cash Flow'!AF$3)</f>
        <v>0</v>
      </c>
      <c r="AH59" s="89">
        <f>SUMIFS('Wells Fargo'!$F:$F,'Wells Fargo'!$G:$G,'Cash Flow'!$A59,'Wells Fargo'!$A:$A,AH$1,'Wells Fargo'!$B:$B,"&lt;="&amp;'Cash Flow'!AH$3,'Wells Fargo'!$B:$B,"&gt;"&amp;'Cash Flow'!AG$3)</f>
        <v>-411.99</v>
      </c>
      <c r="AI59" s="89">
        <f>SUMIFS('Wells Fargo'!$F:$F,'Wells Fargo'!$G:$G,'Cash Flow'!$A59,'Wells Fargo'!$A:$A,AI$1,'Wells Fargo'!$B:$B,"&lt;="&amp;'Cash Flow'!AI$3,'Wells Fargo'!$B:$B,"&gt;"&amp;'Cash Flow'!AH$3)</f>
        <v>0</v>
      </c>
      <c r="AJ59" s="89">
        <f>SUMIFS('Wells Fargo'!$F:$F,'Wells Fargo'!$G:$G,'Cash Flow'!$A59,'Wells Fargo'!$A:$A,AJ$1,'Wells Fargo'!$B:$B,"&lt;="&amp;'Cash Flow'!AJ$3,'Wells Fargo'!$B:$B,"&gt;"&amp;'Cash Flow'!AI$3)</f>
        <v>0</v>
      </c>
      <c r="AK59" s="90">
        <f>SUMIFS('Wells Fargo'!$F:$F,'Wells Fargo'!$G:$G,'Cash Flow'!$A59,'Wells Fargo'!$A:$A,AK$1,'Wells Fargo'!$B:$B,"&lt;="&amp;'Cash Flow'!AK$3)</f>
        <v>0</v>
      </c>
      <c r="AL59" s="89">
        <f>SUMIFS('Wells Fargo'!$F:$F,'Wells Fargo'!$G:$G,'Cash Flow'!$A59,'Wells Fargo'!$A:$A,AL$1,'Wells Fargo'!$B:$B,"&lt;="&amp;'Cash Flow'!AL$3,'Wells Fargo'!$B:$B,"&gt;"&amp;'Cash Flow'!AK$3)</f>
        <v>0</v>
      </c>
      <c r="AM59" s="89">
        <f>SUMIFS('Wells Fargo'!$F:$F,'Wells Fargo'!$G:$G,'Cash Flow'!$A59,'Wells Fargo'!$A:$A,AM$1,'Wells Fargo'!$B:$B,"&lt;="&amp;'Cash Flow'!AM$3,'Wells Fargo'!$B:$B,"&gt;"&amp;'Cash Flow'!AL$3)</f>
        <v>0</v>
      </c>
      <c r="AN59" s="89">
        <f>SUMIFS('Wells Fargo'!$F:$F,'Wells Fargo'!$G:$G,'Cash Flow'!$A59,'Wells Fargo'!$A:$A,AN$1,'Wells Fargo'!$B:$B,"&lt;="&amp;'Cash Flow'!AN$3,'Wells Fargo'!$B:$B,"&gt;"&amp;'Cash Flow'!AM$3)</f>
        <v>0</v>
      </c>
      <c r="AO59" s="89">
        <f>SUMIFS('Wells Fargo'!$F:$F,'Wells Fargo'!$G:$G,'Cash Flow'!$A59,'Wells Fargo'!$A:$A,AO$1,'Wells Fargo'!$B:$B,"&lt;="&amp;'Cash Flow'!AO$3,'Wells Fargo'!$B:$B,"&gt;"&amp;'Cash Flow'!AN$3)</f>
        <v>0</v>
      </c>
      <c r="AP59" s="90">
        <f>SUMIFS('Wells Fargo'!$F:$F,'Wells Fargo'!$G:$G,'Cash Flow'!$A59,'Wells Fargo'!$A:$A,AP$1,'Wells Fargo'!$B:$B,"&lt;="&amp;'Cash Flow'!AP$3)</f>
        <v>0</v>
      </c>
      <c r="AQ59" s="89">
        <f>SUMIFS('Wells Fargo'!$F:$F,'Wells Fargo'!$G:$G,'Cash Flow'!$A59,'Wells Fargo'!$A:$A,AQ$1,'Wells Fargo'!$B:$B,"&lt;="&amp;'Cash Flow'!AQ$3,'Wells Fargo'!$B:$B,"&gt;"&amp;'Cash Flow'!AP$3)</f>
        <v>0</v>
      </c>
      <c r="AR59" s="89">
        <f>SUMIFS('Wells Fargo'!$F:$F,'Wells Fargo'!$G:$G,'Cash Flow'!$A59,'Wells Fargo'!$A:$A,AR$1,'Wells Fargo'!$B:$B,"&lt;="&amp;'Cash Flow'!AR$3,'Wells Fargo'!$B:$B,"&gt;"&amp;'Cash Flow'!AQ$3)</f>
        <v>0</v>
      </c>
      <c r="AS59" s="89">
        <f>SUMIFS('Wells Fargo'!$F:$F,'Wells Fargo'!$G:$G,'Cash Flow'!$A59,'Wells Fargo'!$A:$A,AS$1,'Wells Fargo'!$B:$B,"&lt;="&amp;'Cash Flow'!AS$3,'Wells Fargo'!$B:$B,"&gt;"&amp;'Cash Flow'!AR$3)</f>
        <v>0</v>
      </c>
      <c r="AT59" s="89">
        <f>SUMIFS('Wells Fargo'!$F:$F,'Wells Fargo'!$G:$G,'Cash Flow'!$A59,'Wells Fargo'!$A:$A,AT$1,'Wells Fargo'!$B:$B,"&lt;="&amp;'Cash Flow'!AT$3,'Wells Fargo'!$B:$B,"&gt;"&amp;'Cash Flow'!AS$3)</f>
        <v>0</v>
      </c>
      <c r="AU59" s="90">
        <f>SUMIFS('Wells Fargo'!$F:$F,'Wells Fargo'!$G:$G,'Cash Flow'!$A59,'Wells Fargo'!$A:$A,AU$1,'Wells Fargo'!$B:$B,"&lt;="&amp;'Cash Flow'!AU$3)</f>
        <v>0</v>
      </c>
      <c r="AV59" s="89">
        <f>SUMIFS('Wells Fargo'!$F:$F,'Wells Fargo'!$G:$G,'Cash Flow'!$A59,'Wells Fargo'!$A:$A,AV$1,'Wells Fargo'!$B:$B,"&lt;="&amp;'Cash Flow'!AV$3,'Wells Fargo'!$B:$B,"&gt;"&amp;'Cash Flow'!AU$3)</f>
        <v>0</v>
      </c>
      <c r="AW59" s="89">
        <f>SUMIFS('Wells Fargo'!$F:$F,'Wells Fargo'!$G:$G,'Cash Flow'!$A59,'Wells Fargo'!$A:$A,AW$1,'Wells Fargo'!$B:$B,"&lt;="&amp;'Cash Flow'!AW$3,'Wells Fargo'!$B:$B,"&gt;"&amp;'Cash Flow'!AV$3)</f>
        <v>0</v>
      </c>
      <c r="AX59" s="89">
        <f>SUMIFS('Wells Fargo'!$F:$F,'Wells Fargo'!$G:$G,'Cash Flow'!$A59,'Wells Fargo'!$A:$A,AX$1,'Wells Fargo'!$B:$B,"&lt;="&amp;'Cash Flow'!AX$3,'Wells Fargo'!$B:$B,"&gt;"&amp;'Cash Flow'!AW$3)</f>
        <v>0</v>
      </c>
      <c r="AY59" s="89">
        <f>SUMIFS('Wells Fargo'!$F:$F,'Wells Fargo'!$G:$G,'Cash Flow'!$A59,'Wells Fargo'!$A:$A,AY$1,'Wells Fargo'!$B:$B,"&lt;="&amp;'Cash Flow'!AY$3,'Wells Fargo'!$B:$B,"&gt;"&amp;'Cash Flow'!AX$3)</f>
        <v>0</v>
      </c>
      <c r="AZ59" s="90">
        <f>SUMIFS('Wells Fargo'!$F:$F,'Wells Fargo'!$G:$G,'Cash Flow'!$A59,'Wells Fargo'!$A:$A,AZ$1,'Wells Fargo'!$B:$B,"&lt;="&amp;'Cash Flow'!AZ$3)</f>
        <v>0</v>
      </c>
      <c r="BA59" s="89">
        <f>SUMIFS('Wells Fargo'!$F:$F,'Wells Fargo'!$G:$G,'Cash Flow'!$A59,'Wells Fargo'!$A:$A,BA$1,'Wells Fargo'!$B:$B,"&lt;="&amp;'Cash Flow'!BA$3,'Wells Fargo'!$B:$B,"&gt;"&amp;'Cash Flow'!AZ$3)</f>
        <v>0</v>
      </c>
      <c r="BB59" s="89">
        <f>SUMIFS('Wells Fargo'!$F:$F,'Wells Fargo'!$G:$G,'Cash Flow'!$A59,'Wells Fargo'!$A:$A,BB$1,'Wells Fargo'!$B:$B,"&lt;="&amp;'Cash Flow'!BB$3,'Wells Fargo'!$B:$B,"&gt;"&amp;'Cash Flow'!BA$3)</f>
        <v>0</v>
      </c>
      <c r="BC59" s="89">
        <f>SUMIFS('Wells Fargo'!$F:$F,'Wells Fargo'!$G:$G,'Cash Flow'!$A59,'Wells Fargo'!$A:$A,BC$1,'Wells Fargo'!$B:$B,"&lt;="&amp;'Cash Flow'!BC$3,'Wells Fargo'!$B:$B,"&gt;"&amp;'Cash Flow'!BB$3)</f>
        <v>0</v>
      </c>
      <c r="BD59" s="89">
        <f>SUMIFS('Wells Fargo'!$F:$F,'Wells Fargo'!$G:$G,'Cash Flow'!$A59,'Wells Fargo'!$A:$A,BD$1,'Wells Fargo'!$B:$B,"&lt;="&amp;'Cash Flow'!BD$3,'Wells Fargo'!$B:$B,"&gt;"&amp;'Cash Flow'!BC$3)</f>
        <v>0</v>
      </c>
      <c r="BE59" s="90">
        <f>SUMIFS('Wells Fargo'!$F:$F,'Wells Fargo'!$G:$G,'Cash Flow'!$A59,'Wells Fargo'!$A:$A,BE$1,'Wells Fargo'!$B:$B,"&lt;="&amp;'Cash Flow'!BE$3)</f>
        <v>0</v>
      </c>
      <c r="BF59" s="89">
        <f>SUMIFS('Wells Fargo'!$F:$F,'Wells Fargo'!$G:$G,'Cash Flow'!$A59,'Wells Fargo'!$A:$A,BF$1,'Wells Fargo'!$B:$B,"&lt;="&amp;'Cash Flow'!BF$3,'Wells Fargo'!$B:$B,"&gt;"&amp;'Cash Flow'!BE$3)</f>
        <v>0</v>
      </c>
      <c r="BG59" s="89">
        <f>SUMIFS('Wells Fargo'!$F:$F,'Wells Fargo'!$G:$G,'Cash Flow'!$A59,'Wells Fargo'!$A:$A,BG$1,'Wells Fargo'!$B:$B,"&lt;="&amp;'Cash Flow'!BG$3,'Wells Fargo'!$B:$B,"&gt;"&amp;'Cash Flow'!BF$3)</f>
        <v>0</v>
      </c>
      <c r="BH59" s="89">
        <f>SUMIFS('Wells Fargo'!$F:$F,'Wells Fargo'!$G:$G,'Cash Flow'!$A59,'Wells Fargo'!$A:$A,BH$1,'Wells Fargo'!$B:$B,"&lt;="&amp;'Cash Flow'!BH$3,'Wells Fargo'!$B:$B,"&gt;"&amp;'Cash Flow'!BG$3)</f>
        <v>0</v>
      </c>
      <c r="BI59" s="89">
        <f>SUMIFS('Wells Fargo'!$F:$F,'Wells Fargo'!$G:$G,'Cash Flow'!$A59,'Wells Fargo'!$A:$A,BI$1,'Wells Fargo'!$B:$B,"&lt;="&amp;'Cash Flow'!BI$3,'Wells Fargo'!$B:$B,"&gt;"&amp;'Cash Flow'!BH$3)</f>
        <v>0</v>
      </c>
    </row>
    <row r="61" spans="1:61" x14ac:dyDescent="0.2">
      <c r="C61" s="15">
        <f t="shared" ref="C61:AH61" si="3">SUM(C4:C60)</f>
        <v>0</v>
      </c>
      <c r="D61" s="15">
        <f t="shared" si="3"/>
        <v>-100</v>
      </c>
      <c r="E61" s="15">
        <f t="shared" si="3"/>
        <v>730.42000000000007</v>
      </c>
      <c r="F61" s="15">
        <f t="shared" si="3"/>
        <v>-727.98</v>
      </c>
      <c r="G61" s="15">
        <f t="shared" si="3"/>
        <v>424.96000000000015</v>
      </c>
      <c r="H61" s="15">
        <f t="shared" si="3"/>
        <v>-350.31000000000006</v>
      </c>
      <c r="I61" s="15">
        <f t="shared" si="3"/>
        <v>732.76000000000022</v>
      </c>
      <c r="J61" s="15">
        <f t="shared" si="3"/>
        <v>-612.29</v>
      </c>
      <c r="K61" s="15">
        <f t="shared" si="3"/>
        <v>2327.7800000000002</v>
      </c>
      <c r="L61" s="15">
        <f t="shared" si="3"/>
        <v>-2261.5299999999997</v>
      </c>
      <c r="M61" s="15">
        <f t="shared" si="3"/>
        <v>231.60999999999999</v>
      </c>
      <c r="N61" s="15">
        <f t="shared" si="3"/>
        <v>1513.1200000000001</v>
      </c>
      <c r="O61" s="15">
        <f t="shared" si="3"/>
        <v>1085.8899999999999</v>
      </c>
      <c r="P61" s="15">
        <f t="shared" si="3"/>
        <v>-485.03</v>
      </c>
      <c r="Q61" s="15">
        <f t="shared" si="3"/>
        <v>-400</v>
      </c>
      <c r="R61" s="15">
        <f t="shared" si="3"/>
        <v>792.8</v>
      </c>
      <c r="S61" s="15">
        <f t="shared" si="3"/>
        <v>-488.52</v>
      </c>
      <c r="T61" s="15">
        <f t="shared" si="3"/>
        <v>732.91</v>
      </c>
      <c r="U61" s="15">
        <f t="shared" si="3"/>
        <v>-50</v>
      </c>
      <c r="V61" s="15">
        <f t="shared" si="3"/>
        <v>124.33000000000004</v>
      </c>
      <c r="W61" s="15">
        <f t="shared" si="3"/>
        <v>-50.319999999999993</v>
      </c>
      <c r="X61" s="15">
        <f t="shared" si="3"/>
        <v>697.98</v>
      </c>
      <c r="Y61" s="15">
        <f t="shared" si="3"/>
        <v>-1171.96</v>
      </c>
      <c r="Z61" s="15">
        <f t="shared" si="3"/>
        <v>0</v>
      </c>
      <c r="AA61" s="15">
        <f t="shared" si="3"/>
        <v>514.85000000000014</v>
      </c>
      <c r="AB61" s="15">
        <f t="shared" si="3"/>
        <v>-592.83999999999992</v>
      </c>
      <c r="AC61" s="15">
        <f t="shared" si="3"/>
        <v>8850.08</v>
      </c>
      <c r="AD61" s="15">
        <f t="shared" si="3"/>
        <v>-5102.6099999999997</v>
      </c>
      <c r="AE61" s="15">
        <f t="shared" si="3"/>
        <v>-1804.34</v>
      </c>
      <c r="AF61" s="15">
        <f t="shared" si="3"/>
        <v>711.65999999999985</v>
      </c>
      <c r="AG61" s="15">
        <f t="shared" si="3"/>
        <v>-1587.35</v>
      </c>
      <c r="AH61" s="15">
        <f t="shared" si="3"/>
        <v>-14.850000000000136</v>
      </c>
      <c r="AI61" s="15">
        <f t="shared" ref="AI61:BN61" si="4">SUM(AI4:AI60)</f>
        <v>-2356.8200000000002</v>
      </c>
      <c r="AJ61" s="15">
        <f t="shared" si="4"/>
        <v>1925.68</v>
      </c>
      <c r="AK61" s="15">
        <f t="shared" si="4"/>
        <v>-1403.17</v>
      </c>
      <c r="AL61" s="15">
        <f t="shared" si="4"/>
        <v>1958.65</v>
      </c>
      <c r="AM61" s="15">
        <f t="shared" si="4"/>
        <v>-356.17</v>
      </c>
      <c r="AN61" s="15">
        <f t="shared" si="4"/>
        <v>-576.47</v>
      </c>
      <c r="AO61" s="15">
        <f t="shared" si="4"/>
        <v>0</v>
      </c>
      <c r="AP61" s="15">
        <f t="shared" si="4"/>
        <v>-200</v>
      </c>
      <c r="AQ61" s="15">
        <f t="shared" si="4"/>
        <v>311.3000000000003</v>
      </c>
      <c r="AR61" s="15">
        <f t="shared" si="4"/>
        <v>-336.22999999999996</v>
      </c>
      <c r="AS61" s="15">
        <f t="shared" si="4"/>
        <v>748.86000000000013</v>
      </c>
      <c r="AT61" s="15">
        <f t="shared" si="4"/>
        <v>-662.20999999999958</v>
      </c>
      <c r="AU61" s="15">
        <f t="shared" si="4"/>
        <v>-1866.67</v>
      </c>
      <c r="AV61" s="15">
        <f t="shared" si="4"/>
        <v>0</v>
      </c>
      <c r="AW61" s="15">
        <f t="shared" si="4"/>
        <v>0</v>
      </c>
      <c r="AX61" s="15">
        <f t="shared" si="4"/>
        <v>0</v>
      </c>
      <c r="AY61" s="15">
        <f t="shared" si="4"/>
        <v>0</v>
      </c>
      <c r="AZ61" s="15">
        <f t="shared" si="4"/>
        <v>0</v>
      </c>
      <c r="BA61" s="15">
        <f t="shared" si="4"/>
        <v>0</v>
      </c>
      <c r="BB61" s="15">
        <f t="shared" si="4"/>
        <v>0</v>
      </c>
      <c r="BC61" s="15">
        <f t="shared" si="4"/>
        <v>0</v>
      </c>
      <c r="BD61" s="15">
        <f t="shared" si="4"/>
        <v>0</v>
      </c>
      <c r="BE61" s="15">
        <f t="shared" si="4"/>
        <v>0</v>
      </c>
      <c r="BF61" s="15">
        <f t="shared" si="4"/>
        <v>0</v>
      </c>
      <c r="BG61" s="15">
        <f t="shared" si="4"/>
        <v>0</v>
      </c>
      <c r="BH61" s="15">
        <f t="shared" si="4"/>
        <v>0</v>
      </c>
      <c r="BI61" s="15">
        <f t="shared" si="4"/>
        <v>0</v>
      </c>
    </row>
    <row r="62" spans="1:61" x14ac:dyDescent="0.2">
      <c r="C62">
        <f>B2</f>
        <v>167.58</v>
      </c>
      <c r="D62" s="15">
        <f>$B$2+D61</f>
        <v>67.580000000000013</v>
      </c>
      <c r="E62" s="15">
        <f t="shared" ref="E62" si="5">D62+E61</f>
        <v>798.00000000000011</v>
      </c>
      <c r="F62" s="15">
        <f t="shared" ref="F62" si="6">E62+F61</f>
        <v>70.020000000000095</v>
      </c>
      <c r="G62" s="15">
        <f t="shared" ref="G62" si="7">F62+G61</f>
        <v>494.98000000000025</v>
      </c>
      <c r="H62" s="15">
        <f t="shared" ref="H62" si="8">G62+H61</f>
        <v>144.67000000000019</v>
      </c>
      <c r="I62" s="15">
        <f t="shared" ref="I62" si="9">H62+I61</f>
        <v>877.4300000000004</v>
      </c>
      <c r="J62" s="15">
        <f t="shared" ref="J62" si="10">I62+J61</f>
        <v>265.14000000000044</v>
      </c>
      <c r="K62" s="15">
        <f t="shared" ref="K62" si="11">J62+K61</f>
        <v>2592.9200000000005</v>
      </c>
      <c r="L62" s="15">
        <f t="shared" ref="L62" si="12">K62+L61</f>
        <v>331.39000000000078</v>
      </c>
      <c r="M62" s="15">
        <f t="shared" ref="M62" si="13">L62+M61</f>
        <v>563.0000000000008</v>
      </c>
      <c r="N62" s="15">
        <f t="shared" ref="N62" si="14">M62+N61</f>
        <v>2076.1200000000008</v>
      </c>
      <c r="O62" s="15">
        <f t="shared" ref="O62" si="15">N62+O61</f>
        <v>3162.0100000000007</v>
      </c>
      <c r="P62" s="15">
        <f t="shared" ref="P62" si="16">O62+P61</f>
        <v>2676.9800000000005</v>
      </c>
      <c r="Q62" s="15">
        <f t="shared" ref="Q62" si="17">P62+Q61</f>
        <v>2276.9800000000005</v>
      </c>
      <c r="R62" s="15">
        <f t="shared" ref="R62" si="18">Q62+R61</f>
        <v>3069.7800000000007</v>
      </c>
      <c r="S62" s="15">
        <f t="shared" ref="S62" si="19">R62+S61</f>
        <v>2581.2600000000007</v>
      </c>
      <c r="T62" s="15">
        <f t="shared" ref="T62" si="20">S62+T61</f>
        <v>3314.1700000000005</v>
      </c>
      <c r="U62" s="15">
        <f t="shared" ref="U62" si="21">T62+U61</f>
        <v>3264.1700000000005</v>
      </c>
      <c r="V62" s="15">
        <f t="shared" ref="V62" si="22">U62+V61</f>
        <v>3388.5000000000005</v>
      </c>
      <c r="W62" s="15">
        <f t="shared" ref="W62" si="23">V62+W61</f>
        <v>3338.1800000000003</v>
      </c>
      <c r="X62" s="15">
        <f t="shared" ref="X62" si="24">W62+X61</f>
        <v>4036.1600000000003</v>
      </c>
      <c r="Y62" s="15">
        <f t="shared" ref="Y62" si="25">X62+Y61</f>
        <v>2864.2000000000003</v>
      </c>
      <c r="Z62" s="15">
        <f t="shared" ref="Z62" si="26">Y62+Z61</f>
        <v>2864.2000000000003</v>
      </c>
      <c r="AA62" s="15">
        <f t="shared" ref="AA62" si="27">Z62+AA61</f>
        <v>3379.05</v>
      </c>
      <c r="AB62" s="15">
        <f>AA62+AB61</f>
        <v>2786.21</v>
      </c>
      <c r="AC62" s="15">
        <f t="shared" ref="AC62" si="28">AB62+AC61</f>
        <v>11636.29</v>
      </c>
      <c r="AD62" s="15">
        <f t="shared" ref="AD62" si="29">AC62+AD61</f>
        <v>6533.6800000000012</v>
      </c>
      <c r="AE62" s="15">
        <f t="shared" ref="AE62" si="30">AD62+AE61</f>
        <v>4729.3400000000011</v>
      </c>
      <c r="AF62" s="15">
        <f t="shared" ref="AF62" si="31">AE62+AF61</f>
        <v>5441.0000000000009</v>
      </c>
      <c r="AG62" s="15">
        <f t="shared" ref="AG62" si="32">AF62+AG61</f>
        <v>3853.650000000001</v>
      </c>
      <c r="AH62" s="15">
        <f t="shared" ref="AH62" si="33">AG62+AH61</f>
        <v>3838.8000000000011</v>
      </c>
      <c r="AI62" s="15">
        <f t="shared" ref="AI62" si="34">AH62+AI61</f>
        <v>1481.9800000000009</v>
      </c>
      <c r="AJ62" s="15">
        <f t="shared" ref="AJ62" si="35">AI62+AJ61</f>
        <v>3407.6600000000008</v>
      </c>
      <c r="AK62" s="15">
        <f t="shared" ref="AK62" si="36">AJ62+AK61</f>
        <v>2004.4900000000007</v>
      </c>
      <c r="AL62" s="15">
        <f t="shared" ref="AL62" si="37">AK62+AL61</f>
        <v>3963.1400000000008</v>
      </c>
      <c r="AM62" s="15">
        <f t="shared" ref="AM62" si="38">AL62+AM61</f>
        <v>3606.9700000000007</v>
      </c>
      <c r="AN62" s="15">
        <f t="shared" ref="AN62" si="39">AM62+AN61</f>
        <v>3030.5000000000009</v>
      </c>
      <c r="AO62" s="15">
        <f t="shared" ref="AO62" si="40">AN62+AO61</f>
        <v>3030.5000000000009</v>
      </c>
      <c r="AP62" s="15">
        <f t="shared" ref="AP62" si="41">AO62+AP61</f>
        <v>2830.5000000000009</v>
      </c>
      <c r="AQ62" s="15">
        <f t="shared" ref="AQ62" si="42">AP62+AQ61</f>
        <v>3141.8000000000011</v>
      </c>
      <c r="AR62" s="15">
        <f t="shared" ref="AR62" si="43">AQ62+AR61</f>
        <v>2805.5700000000011</v>
      </c>
      <c r="AS62" s="15">
        <f t="shared" ref="AS62" si="44">AR62+AS61</f>
        <v>3554.4300000000012</v>
      </c>
      <c r="AT62" s="15">
        <f t="shared" ref="AT62" si="45">AS62+AT61</f>
        <v>2892.2200000000016</v>
      </c>
      <c r="AU62" s="15">
        <f t="shared" ref="AU62" si="46">AT62+AU61</f>
        <v>1025.5500000000015</v>
      </c>
      <c r="AV62" s="15">
        <f t="shared" ref="AV62" si="47">AU62+AV61</f>
        <v>1025.5500000000015</v>
      </c>
      <c r="AW62" s="15">
        <f t="shared" ref="AW62" si="48">AV62+AW61</f>
        <v>1025.5500000000015</v>
      </c>
      <c r="AX62" s="15">
        <f t="shared" ref="AX62" si="49">AW62+AX61</f>
        <v>1025.5500000000015</v>
      </c>
      <c r="AY62" s="15">
        <f t="shared" ref="AY62" si="50">AX62+AY61</f>
        <v>1025.5500000000015</v>
      </c>
      <c r="AZ62" s="15">
        <f t="shared" ref="AZ62" si="51">AY62+AZ61</f>
        <v>1025.5500000000015</v>
      </c>
      <c r="BA62" s="15">
        <f t="shared" ref="BA62" si="52">AZ62+BA61</f>
        <v>1025.5500000000015</v>
      </c>
      <c r="BB62" s="15">
        <f t="shared" ref="BB62" si="53">BA62+BB61</f>
        <v>1025.5500000000015</v>
      </c>
      <c r="BC62" s="15">
        <f t="shared" ref="BC62" si="54">BB62+BC61</f>
        <v>1025.5500000000015</v>
      </c>
      <c r="BD62" s="15">
        <f t="shared" ref="BD62" si="55">BC62+BD61</f>
        <v>1025.5500000000015</v>
      </c>
      <c r="BE62" s="15">
        <f t="shared" ref="BE62" si="56">BD62+BE61</f>
        <v>1025.5500000000015</v>
      </c>
      <c r="BF62" s="15">
        <f t="shared" ref="BF62" si="57">BE62+BF61</f>
        <v>1025.5500000000015</v>
      </c>
      <c r="BG62" s="15">
        <f t="shared" ref="BG62" si="58">BF62+BG61</f>
        <v>1025.5500000000015</v>
      </c>
      <c r="BH62" s="15">
        <f t="shared" ref="BH62" si="59">BG62+BH61</f>
        <v>1025.5500000000015</v>
      </c>
      <c r="BI62" s="15">
        <f t="shared" ref="BI62" si="60">BH62+BI61</f>
        <v>1025.5500000000015</v>
      </c>
    </row>
    <row r="64" spans="1:61" x14ac:dyDescent="0.2">
      <c r="C64" s="15">
        <f>SUM(C61:G61)</f>
        <v>327.4000000000002</v>
      </c>
      <c r="H64" s="15">
        <f>SUM(H61:L61)</f>
        <v>-163.58999999999924</v>
      </c>
      <c r="L64" s="15">
        <f>SUM(L61:P61)</f>
        <v>84.060000000000173</v>
      </c>
      <c r="Q64" s="15">
        <f>SUM(Q61:U61)</f>
        <v>587.18999999999994</v>
      </c>
      <c r="V64" s="15">
        <f>SUM(V61:Z61)</f>
        <v>-399.97</v>
      </c>
      <c r="AA64" s="15">
        <f>SUM(AA61:AE61)</f>
        <v>1865.1400000000006</v>
      </c>
      <c r="AF64" s="15">
        <f>SUM(AF61:AJ61)</f>
        <v>-1321.6800000000005</v>
      </c>
      <c r="AK64" s="15">
        <f>SUM(AK61:AO61)</f>
        <v>-377.16</v>
      </c>
      <c r="AP64" s="15">
        <f>SUM(AP61:AT61)</f>
        <v>-138.27999999999906</v>
      </c>
      <c r="AU64" s="15">
        <f>SUM(AU61:AY61)</f>
        <v>-1866.67</v>
      </c>
      <c r="AV64" s="15">
        <v>1579.3500000000001</v>
      </c>
      <c r="AX64" s="15">
        <v>1579.3500000000001</v>
      </c>
      <c r="AZ64" s="15">
        <v>1579.3500000000001</v>
      </c>
      <c r="BB64" s="15">
        <v>1579.3500000000001</v>
      </c>
    </row>
    <row r="65" spans="40:54" x14ac:dyDescent="0.2">
      <c r="AV65" s="15">
        <f>AV64+AU62</f>
        <v>2604.9000000000015</v>
      </c>
      <c r="AX65" s="15">
        <f>AX64+AV66</f>
        <v>3250.9150000000018</v>
      </c>
      <c r="AZ65" s="15">
        <f>AX66+AZ64</f>
        <v>3147.9550000000017</v>
      </c>
      <c r="BB65" s="15">
        <f>BB64+AZ66</f>
        <v>2348.7850000000017</v>
      </c>
    </row>
    <row r="66" spans="40:54" x14ac:dyDescent="0.2">
      <c r="AQ66" s="266" t="s">
        <v>525</v>
      </c>
      <c r="AR66" s="266"/>
      <c r="AS66" s="266"/>
      <c r="AV66" s="15">
        <f>AV65-AT67</f>
        <v>1671.5650000000014</v>
      </c>
      <c r="AX66" s="15">
        <f>AX65-AT68</f>
        <v>1568.6050000000018</v>
      </c>
      <c r="AZ66" s="15">
        <f>AZ65-AT69</f>
        <v>769.43500000000176</v>
      </c>
    </row>
    <row r="67" spans="40:54" x14ac:dyDescent="0.2">
      <c r="AT67" s="198">
        <f>AT58/2</f>
        <v>933.33500000000004</v>
      </c>
    </row>
    <row r="68" spans="40:54" x14ac:dyDescent="0.2">
      <c r="AO68">
        <f>AS68-AP68</f>
        <v>26</v>
      </c>
      <c r="AP68" s="200">
        <v>44471</v>
      </c>
      <c r="AQ68" s="202"/>
      <c r="AR68" s="265" t="s">
        <v>1097</v>
      </c>
      <c r="AS68" s="200">
        <v>44497</v>
      </c>
      <c r="AT68" s="199">
        <v>1682.31</v>
      </c>
      <c r="AU68" t="s">
        <v>1095</v>
      </c>
    </row>
    <row r="69" spans="40:54" x14ac:dyDescent="0.2">
      <c r="AO69">
        <f>AS69-AP69</f>
        <v>26</v>
      </c>
      <c r="AP69" s="200">
        <v>44489</v>
      </c>
      <c r="AQ69" s="201"/>
      <c r="AR69" s="265" t="s">
        <v>1096</v>
      </c>
      <c r="AS69" s="200">
        <v>44515</v>
      </c>
      <c r="AT69" s="199">
        <v>2378.52</v>
      </c>
      <c r="AU69" t="s">
        <v>1095</v>
      </c>
    </row>
    <row r="70" spans="40:54" x14ac:dyDescent="0.2">
      <c r="AT70" s="15">
        <f>SUM(AT67:AT69)</f>
        <v>4994.165</v>
      </c>
    </row>
    <row r="71" spans="40:54" ht="12" x14ac:dyDescent="0.2">
      <c r="AN71" s="203" t="s">
        <v>1102</v>
      </c>
      <c r="AV71" s="15">
        <v>1819.3500000000001</v>
      </c>
      <c r="AX71" s="15">
        <v>1819.3500000000001</v>
      </c>
      <c r="AZ71" s="15">
        <v>1819.3500000000001</v>
      </c>
    </row>
    <row r="72" spans="40:54" ht="12" x14ac:dyDescent="0.2">
      <c r="AN72" s="203" t="s">
        <v>1103</v>
      </c>
      <c r="AV72" s="15">
        <f>AV71+AU62</f>
        <v>2844.9000000000015</v>
      </c>
      <c r="AX72" s="15">
        <f>AX71+AV73</f>
        <v>3730.9150000000018</v>
      </c>
      <c r="AZ72" s="15">
        <f>AZ71+AX72</f>
        <v>5550.2650000000021</v>
      </c>
    </row>
    <row r="73" spans="40:54" x14ac:dyDescent="0.2">
      <c r="AV73" s="15">
        <f>AV72-AT67</f>
        <v>1911.5650000000014</v>
      </c>
    </row>
  </sheetData>
  <mergeCells count="13">
    <mergeCell ref="AQ66:AS66"/>
    <mergeCell ref="C2:G2"/>
    <mergeCell ref="H2:K2"/>
    <mergeCell ref="L2:P2"/>
    <mergeCell ref="V2:Z2"/>
    <mergeCell ref="Q2:U2"/>
    <mergeCell ref="BE2:BI2"/>
    <mergeCell ref="AA2:AE2"/>
    <mergeCell ref="AF2:AJ2"/>
    <mergeCell ref="AK2:AO2"/>
    <mergeCell ref="AP2:AT2"/>
    <mergeCell ref="AU2:AY2"/>
    <mergeCell ref="AZ2:B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3939-21ED-4E9A-AC2A-CED62F4E19B6}">
  <sheetPr>
    <tabColor rgb="FF00CC99"/>
  </sheetPr>
  <dimension ref="A1:K60"/>
  <sheetViews>
    <sheetView zoomScale="70" zoomScaleNormal="70" workbookViewId="0">
      <selection activeCell="K52" sqref="K52"/>
    </sheetView>
  </sheetViews>
  <sheetFormatPr defaultRowHeight="11.25" x14ac:dyDescent="0.2"/>
  <cols>
    <col min="3" max="3" width="9.83203125" style="2" bestFit="1" customWidth="1"/>
    <col min="4" max="4" width="10.5" style="2" bestFit="1" customWidth="1"/>
    <col min="5" max="5" width="9.1640625" style="2"/>
    <col min="7" max="7" width="14.6640625" bestFit="1" customWidth="1"/>
  </cols>
  <sheetData>
    <row r="1" spans="1:11" x14ac:dyDescent="0.2">
      <c r="C1" s="2" t="s">
        <v>474</v>
      </c>
      <c r="D1" s="2" t="s">
        <v>5</v>
      </c>
      <c r="E1" s="2" t="s">
        <v>19</v>
      </c>
      <c r="H1" s="2" t="s">
        <v>525</v>
      </c>
      <c r="I1" s="2" t="s">
        <v>522</v>
      </c>
      <c r="J1" s="2" t="s">
        <v>523</v>
      </c>
      <c r="K1" s="2" t="s">
        <v>524</v>
      </c>
    </row>
    <row r="2" spans="1:11" x14ac:dyDescent="0.2">
      <c r="A2" s="2">
        <v>1</v>
      </c>
      <c r="B2" s="2">
        <v>1</v>
      </c>
      <c r="C2" s="22">
        <f>DATE(2021,A2,B2)</f>
        <v>44197</v>
      </c>
      <c r="D2" s="21">
        <f ca="1">OFFSET('Cash Flow'!$C$61,0, ROW()-2)</f>
        <v>0</v>
      </c>
      <c r="E2" s="21">
        <f ca="1">OFFSET('Cash Flow'!$C$61,1, ROW()-2)</f>
        <v>167.58</v>
      </c>
      <c r="G2" s="1" t="s">
        <v>526</v>
      </c>
      <c r="H2" s="23">
        <f ca="1">E2</f>
        <v>167.58</v>
      </c>
      <c r="I2" s="23"/>
      <c r="J2" s="23"/>
      <c r="K2" s="23"/>
    </row>
    <row r="3" spans="1:11" x14ac:dyDescent="0.2">
      <c r="A3" s="2">
        <v>1</v>
      </c>
      <c r="B3" s="2">
        <v>8</v>
      </c>
      <c r="C3" s="22">
        <f t="shared" ref="C3:C60" si="0">DATE(2021,A3,B3)</f>
        <v>44204</v>
      </c>
      <c r="D3" s="21">
        <f ca="1">OFFSET('Cash Flow'!$C$61,0, ROW()-2)</f>
        <v>-100</v>
      </c>
      <c r="E3" s="21">
        <f ca="1">OFFSET('Cash Flow'!$C$61,1, ROW()-2)</f>
        <v>67.580000000000013</v>
      </c>
      <c r="G3" s="1">
        <f>C3</f>
        <v>44204</v>
      </c>
      <c r="H3" s="23">
        <f ca="1">H2+J2-I3</f>
        <v>67.580000000000013</v>
      </c>
      <c r="I3" s="23">
        <f ca="1">MIN(K3,0)*-1</f>
        <v>100</v>
      </c>
      <c r="J3" s="23">
        <f t="shared" ref="J3:J31" ca="1" si="1">MAX(K3,0)</f>
        <v>0</v>
      </c>
      <c r="K3" s="23">
        <f t="shared" ref="K3:K31" ca="1" si="2">E3-E2</f>
        <v>-100</v>
      </c>
    </row>
    <row r="4" spans="1:11" x14ac:dyDescent="0.2">
      <c r="A4" s="2">
        <v>1</v>
      </c>
      <c r="B4" s="2">
        <v>15</v>
      </c>
      <c r="C4" s="22">
        <f t="shared" si="0"/>
        <v>44211</v>
      </c>
      <c r="D4" s="21">
        <f ca="1">OFFSET('Cash Flow'!$C$61,0, ROW()-2)</f>
        <v>730.42000000000007</v>
      </c>
      <c r="E4" s="21">
        <f ca="1">OFFSET('Cash Flow'!$C$61,1, ROW()-2)</f>
        <v>798.00000000000011</v>
      </c>
      <c r="G4" s="1">
        <f t="shared" ref="G4:G31" si="3">C4</f>
        <v>44211</v>
      </c>
      <c r="H4" s="23">
        <f t="shared" ref="H4:H31" ca="1" si="4">H3+J3-I4</f>
        <v>67.580000000000013</v>
      </c>
      <c r="I4" s="23">
        <f t="shared" ref="I4:I31" ca="1" si="5">MIN(K4,0)*-1</f>
        <v>0</v>
      </c>
      <c r="J4" s="23">
        <f t="shared" ca="1" si="1"/>
        <v>730.42000000000007</v>
      </c>
      <c r="K4" s="23">
        <f t="shared" ca="1" si="2"/>
        <v>730.42000000000007</v>
      </c>
    </row>
    <row r="5" spans="1:11" x14ac:dyDescent="0.2">
      <c r="A5" s="2">
        <v>1</v>
      </c>
      <c r="B5" s="2">
        <v>22</v>
      </c>
      <c r="C5" s="22">
        <f t="shared" si="0"/>
        <v>44218</v>
      </c>
      <c r="D5" s="21">
        <f ca="1">OFFSET('Cash Flow'!$C$61,0, ROW()-2)</f>
        <v>-727.98</v>
      </c>
      <c r="E5" s="21">
        <f ca="1">OFFSET('Cash Flow'!$C$61,1, ROW()-2)</f>
        <v>70.020000000000095</v>
      </c>
      <c r="G5" s="1">
        <f t="shared" si="3"/>
        <v>44218</v>
      </c>
      <c r="H5" s="23">
        <f t="shared" ca="1" si="4"/>
        <v>70.020000000000095</v>
      </c>
      <c r="I5" s="23">
        <f t="shared" ca="1" si="5"/>
        <v>727.98</v>
      </c>
      <c r="J5" s="23">
        <f t="shared" ca="1" si="1"/>
        <v>0</v>
      </c>
      <c r="K5" s="23">
        <f t="shared" ca="1" si="2"/>
        <v>-727.98</v>
      </c>
    </row>
    <row r="6" spans="1:11" x14ac:dyDescent="0.2">
      <c r="A6" s="2">
        <v>1</v>
      </c>
      <c r="B6" s="2">
        <v>31</v>
      </c>
      <c r="C6" s="22">
        <f t="shared" si="0"/>
        <v>44227</v>
      </c>
      <c r="D6" s="21">
        <f ca="1">OFFSET('Cash Flow'!$C$61,0, ROW()-2)</f>
        <v>424.96000000000015</v>
      </c>
      <c r="E6" s="21">
        <f ca="1">OFFSET('Cash Flow'!$C$61,1, ROW()-2)</f>
        <v>494.98000000000025</v>
      </c>
      <c r="G6" s="1">
        <f t="shared" si="3"/>
        <v>44227</v>
      </c>
      <c r="H6" s="23">
        <f t="shared" ca="1" si="4"/>
        <v>70.020000000000095</v>
      </c>
      <c r="I6" s="23">
        <f t="shared" ca="1" si="5"/>
        <v>0</v>
      </c>
      <c r="J6" s="23">
        <f t="shared" ca="1" si="1"/>
        <v>424.96000000000015</v>
      </c>
      <c r="K6" s="23">
        <f t="shared" ca="1" si="2"/>
        <v>424.96000000000015</v>
      </c>
    </row>
    <row r="7" spans="1:11" x14ac:dyDescent="0.2">
      <c r="A7" s="2">
        <v>2</v>
      </c>
      <c r="B7" s="2">
        <v>5</v>
      </c>
      <c r="C7" s="22">
        <f t="shared" si="0"/>
        <v>44232</v>
      </c>
      <c r="D7" s="21">
        <f ca="1">OFFSET('Cash Flow'!$C$61,0, ROW()-2)</f>
        <v>-350.31000000000006</v>
      </c>
      <c r="E7" s="21">
        <f ca="1">OFFSET('Cash Flow'!$C$61,1, ROW()-2)</f>
        <v>144.67000000000019</v>
      </c>
      <c r="G7" s="1">
        <f t="shared" si="3"/>
        <v>44232</v>
      </c>
      <c r="H7" s="23">
        <f t="shared" ca="1" si="4"/>
        <v>144.67000000000019</v>
      </c>
      <c r="I7" s="23">
        <f t="shared" ca="1" si="5"/>
        <v>350.31000000000006</v>
      </c>
      <c r="J7" s="23">
        <f t="shared" ca="1" si="1"/>
        <v>0</v>
      </c>
      <c r="K7" s="23">
        <f t="shared" ca="1" si="2"/>
        <v>-350.31000000000006</v>
      </c>
    </row>
    <row r="8" spans="1:11" x14ac:dyDescent="0.2">
      <c r="A8" s="2">
        <v>2</v>
      </c>
      <c r="B8" s="2">
        <v>12</v>
      </c>
      <c r="C8" s="22">
        <f t="shared" si="0"/>
        <v>44239</v>
      </c>
      <c r="D8" s="21">
        <f ca="1">OFFSET('Cash Flow'!$C$61,0, ROW()-2)</f>
        <v>732.76000000000022</v>
      </c>
      <c r="E8" s="21">
        <f ca="1">OFFSET('Cash Flow'!$C$61,1, ROW()-2)</f>
        <v>877.4300000000004</v>
      </c>
      <c r="G8" s="1">
        <f t="shared" si="3"/>
        <v>44239</v>
      </c>
      <c r="H8" s="23">
        <f t="shared" ca="1" si="4"/>
        <v>144.67000000000019</v>
      </c>
      <c r="I8" s="23">
        <f t="shared" ca="1" si="5"/>
        <v>0</v>
      </c>
      <c r="J8" s="23">
        <f t="shared" ca="1" si="1"/>
        <v>732.76000000000022</v>
      </c>
      <c r="K8" s="23">
        <f t="shared" ca="1" si="2"/>
        <v>732.76000000000022</v>
      </c>
    </row>
    <row r="9" spans="1:11" x14ac:dyDescent="0.2">
      <c r="A9" s="2">
        <v>2</v>
      </c>
      <c r="B9" s="2">
        <v>19</v>
      </c>
      <c r="C9" s="22">
        <f t="shared" si="0"/>
        <v>44246</v>
      </c>
      <c r="D9" s="21">
        <f ca="1">OFFSET('Cash Flow'!$C$61,0, ROW()-2)</f>
        <v>-612.29</v>
      </c>
      <c r="E9" s="21">
        <f ca="1">OFFSET('Cash Flow'!$C$61,1, ROW()-2)</f>
        <v>265.14000000000044</v>
      </c>
      <c r="G9" s="1">
        <f t="shared" si="3"/>
        <v>44246</v>
      </c>
      <c r="H9" s="23">
        <f t="shared" ca="1" si="4"/>
        <v>265.14000000000044</v>
      </c>
      <c r="I9" s="23">
        <f t="shared" ca="1" si="5"/>
        <v>612.29</v>
      </c>
      <c r="J9" s="23">
        <f t="shared" ca="1" si="1"/>
        <v>0</v>
      </c>
      <c r="K9" s="23">
        <f t="shared" ca="1" si="2"/>
        <v>-612.29</v>
      </c>
    </row>
    <row r="10" spans="1:11" x14ac:dyDescent="0.2">
      <c r="A10" s="2">
        <v>2</v>
      </c>
      <c r="B10" s="2">
        <v>28</v>
      </c>
      <c r="C10" s="22">
        <f t="shared" si="0"/>
        <v>44255</v>
      </c>
      <c r="D10" s="21">
        <f ca="1">OFFSET('Cash Flow'!$C$61,0, ROW()-2)</f>
        <v>2327.7800000000002</v>
      </c>
      <c r="E10" s="21">
        <f ca="1">OFFSET('Cash Flow'!$C$61,1, ROW()-2)</f>
        <v>2592.9200000000005</v>
      </c>
      <c r="G10" s="1">
        <f t="shared" si="3"/>
        <v>44255</v>
      </c>
      <c r="H10" s="23">
        <f t="shared" ca="1" si="4"/>
        <v>265.14000000000044</v>
      </c>
      <c r="I10" s="23">
        <f t="shared" ca="1" si="5"/>
        <v>0</v>
      </c>
      <c r="J10" s="23">
        <f t="shared" ca="1" si="1"/>
        <v>2327.7800000000002</v>
      </c>
      <c r="K10" s="23">
        <f t="shared" ca="1" si="2"/>
        <v>2327.7800000000002</v>
      </c>
    </row>
    <row r="11" spans="1:11" x14ac:dyDescent="0.2">
      <c r="A11" s="2">
        <v>3</v>
      </c>
      <c r="B11" s="2">
        <v>5</v>
      </c>
      <c r="C11" s="22">
        <f t="shared" si="0"/>
        <v>44260</v>
      </c>
      <c r="D11" s="21">
        <f ca="1">OFFSET('Cash Flow'!$C$61,0, ROW()-2)</f>
        <v>-2261.5299999999997</v>
      </c>
      <c r="E11" s="21">
        <f ca="1">OFFSET('Cash Flow'!$C$61,1, ROW()-2)</f>
        <v>331.39000000000078</v>
      </c>
      <c r="G11" s="1">
        <f t="shared" si="3"/>
        <v>44260</v>
      </c>
      <c r="H11" s="23">
        <f t="shared" ca="1" si="4"/>
        <v>331.39000000000078</v>
      </c>
      <c r="I11" s="23">
        <f t="shared" ca="1" si="5"/>
        <v>2261.5299999999997</v>
      </c>
      <c r="J11" s="23">
        <f t="shared" ca="1" si="1"/>
        <v>0</v>
      </c>
      <c r="K11" s="23">
        <f t="shared" ca="1" si="2"/>
        <v>-2261.5299999999997</v>
      </c>
    </row>
    <row r="12" spans="1:11" x14ac:dyDescent="0.2">
      <c r="A12" s="2">
        <v>3</v>
      </c>
      <c r="B12" s="2">
        <v>12</v>
      </c>
      <c r="C12" s="22">
        <f t="shared" si="0"/>
        <v>44267</v>
      </c>
      <c r="D12" s="21">
        <f ca="1">OFFSET('Cash Flow'!$C$61,0, ROW()-2)</f>
        <v>231.60999999999999</v>
      </c>
      <c r="E12" s="21">
        <f ca="1">OFFSET('Cash Flow'!$C$61,1, ROW()-2)</f>
        <v>563.0000000000008</v>
      </c>
      <c r="G12" s="1">
        <f t="shared" si="3"/>
        <v>44267</v>
      </c>
      <c r="H12" s="23">
        <f t="shared" ca="1" si="4"/>
        <v>331.39000000000078</v>
      </c>
      <c r="I12" s="23">
        <f t="shared" ca="1" si="5"/>
        <v>0</v>
      </c>
      <c r="J12" s="23">
        <f t="shared" ca="1" si="1"/>
        <v>231.61</v>
      </c>
      <c r="K12" s="23">
        <f t="shared" ca="1" si="2"/>
        <v>231.61</v>
      </c>
    </row>
    <row r="13" spans="1:11" x14ac:dyDescent="0.2">
      <c r="A13" s="2">
        <v>3</v>
      </c>
      <c r="B13" s="2">
        <v>19</v>
      </c>
      <c r="C13" s="22">
        <f t="shared" si="0"/>
        <v>44274</v>
      </c>
      <c r="D13" s="21">
        <f ca="1">OFFSET('Cash Flow'!$C$61,0, ROW()-2)</f>
        <v>1513.1200000000001</v>
      </c>
      <c r="E13" s="21">
        <f ca="1">OFFSET('Cash Flow'!$C$61,1, ROW()-2)</f>
        <v>2076.1200000000008</v>
      </c>
      <c r="G13" s="1">
        <f t="shared" si="3"/>
        <v>44274</v>
      </c>
      <c r="H13" s="23">
        <f t="shared" ca="1" si="4"/>
        <v>563.0000000000008</v>
      </c>
      <c r="I13" s="23">
        <f t="shared" ca="1" si="5"/>
        <v>0</v>
      </c>
      <c r="J13" s="23">
        <f t="shared" ca="1" si="1"/>
        <v>1513.12</v>
      </c>
      <c r="K13" s="23">
        <f t="shared" ca="1" si="2"/>
        <v>1513.12</v>
      </c>
    </row>
    <row r="14" spans="1:11" x14ac:dyDescent="0.2">
      <c r="A14" s="2">
        <v>3</v>
      </c>
      <c r="B14" s="2">
        <v>26</v>
      </c>
      <c r="C14" s="22">
        <f t="shared" si="0"/>
        <v>44281</v>
      </c>
      <c r="D14" s="21">
        <f ca="1">OFFSET('Cash Flow'!$C$61,0, ROW()-2)</f>
        <v>1085.8899999999999</v>
      </c>
      <c r="E14" s="21">
        <f ca="1">OFFSET('Cash Flow'!$C$61,1, ROW()-2)</f>
        <v>3162.0100000000007</v>
      </c>
      <c r="G14" s="1">
        <f t="shared" si="3"/>
        <v>44281</v>
      </c>
      <c r="H14" s="23">
        <f t="shared" ca="1" si="4"/>
        <v>2076.1200000000008</v>
      </c>
      <c r="I14" s="23">
        <f t="shared" ca="1" si="5"/>
        <v>0</v>
      </c>
      <c r="J14" s="23">
        <f t="shared" ca="1" si="1"/>
        <v>1085.8899999999999</v>
      </c>
      <c r="K14" s="23">
        <f t="shared" ca="1" si="2"/>
        <v>1085.8899999999999</v>
      </c>
    </row>
    <row r="15" spans="1:11" x14ac:dyDescent="0.2">
      <c r="A15" s="2">
        <v>3</v>
      </c>
      <c r="B15" s="2">
        <v>31</v>
      </c>
      <c r="C15" s="22">
        <f t="shared" si="0"/>
        <v>44286</v>
      </c>
      <c r="D15" s="21">
        <f ca="1">OFFSET('Cash Flow'!$C$61,0, ROW()-2)</f>
        <v>-485.03</v>
      </c>
      <c r="E15" s="21">
        <f ca="1">OFFSET('Cash Flow'!$C$61,1, ROW()-2)</f>
        <v>2676.9800000000005</v>
      </c>
      <c r="G15" s="1">
        <f t="shared" si="3"/>
        <v>44286</v>
      </c>
      <c r="H15" s="23">
        <f t="shared" ca="1" si="4"/>
        <v>2676.9800000000005</v>
      </c>
      <c r="I15" s="23">
        <f t="shared" ca="1" si="5"/>
        <v>485.0300000000002</v>
      </c>
      <c r="J15" s="23">
        <f t="shared" ca="1" si="1"/>
        <v>0</v>
      </c>
      <c r="K15" s="23">
        <f t="shared" ca="1" si="2"/>
        <v>-485.0300000000002</v>
      </c>
    </row>
    <row r="16" spans="1:11" x14ac:dyDescent="0.2">
      <c r="A16" s="2">
        <v>4</v>
      </c>
      <c r="B16" s="2">
        <v>2</v>
      </c>
      <c r="C16" s="22">
        <f t="shared" si="0"/>
        <v>44288</v>
      </c>
      <c r="D16" s="21">
        <f ca="1">OFFSET('Cash Flow'!$C$61,0, ROW()-2)</f>
        <v>-400</v>
      </c>
      <c r="E16" s="21">
        <f ca="1">OFFSET('Cash Flow'!$C$61,1, ROW()-2)</f>
        <v>2276.9800000000005</v>
      </c>
      <c r="G16" s="1">
        <f t="shared" si="3"/>
        <v>44288</v>
      </c>
      <c r="H16" s="23">
        <f t="shared" ca="1" si="4"/>
        <v>2276.9800000000005</v>
      </c>
      <c r="I16" s="23">
        <f t="shared" ca="1" si="5"/>
        <v>400</v>
      </c>
      <c r="J16" s="23">
        <f t="shared" ca="1" si="1"/>
        <v>0</v>
      </c>
      <c r="K16" s="23">
        <f t="shared" ca="1" si="2"/>
        <v>-400</v>
      </c>
    </row>
    <row r="17" spans="1:11" x14ac:dyDescent="0.2">
      <c r="A17" s="2">
        <v>4</v>
      </c>
      <c r="B17" s="2">
        <v>9</v>
      </c>
      <c r="C17" s="22">
        <f t="shared" si="0"/>
        <v>44295</v>
      </c>
      <c r="D17" s="21">
        <f ca="1">OFFSET('Cash Flow'!$C$61,0, ROW()-2)</f>
        <v>792.8</v>
      </c>
      <c r="E17" s="21">
        <f ca="1">OFFSET('Cash Flow'!$C$61,1, ROW()-2)</f>
        <v>3069.7800000000007</v>
      </c>
      <c r="G17" s="1">
        <f t="shared" si="3"/>
        <v>44295</v>
      </c>
      <c r="H17" s="23">
        <f t="shared" ca="1" si="4"/>
        <v>2276.9800000000005</v>
      </c>
      <c r="I17" s="23">
        <f t="shared" ca="1" si="5"/>
        <v>0</v>
      </c>
      <c r="J17" s="23">
        <f t="shared" ca="1" si="1"/>
        <v>792.80000000000018</v>
      </c>
      <c r="K17" s="23">
        <f t="shared" ca="1" si="2"/>
        <v>792.80000000000018</v>
      </c>
    </row>
    <row r="18" spans="1:11" x14ac:dyDescent="0.2">
      <c r="A18" s="2">
        <v>4</v>
      </c>
      <c r="B18" s="2">
        <v>16</v>
      </c>
      <c r="C18" s="22">
        <f t="shared" si="0"/>
        <v>44302</v>
      </c>
      <c r="D18" s="21">
        <f ca="1">OFFSET('Cash Flow'!$C$61,0, ROW()-2)</f>
        <v>-488.52</v>
      </c>
      <c r="E18" s="21">
        <f ca="1">OFFSET('Cash Flow'!$C$61,1, ROW()-2)</f>
        <v>2581.2600000000007</v>
      </c>
      <c r="G18" s="1">
        <f t="shared" si="3"/>
        <v>44302</v>
      </c>
      <c r="H18" s="23">
        <f t="shared" ca="1" si="4"/>
        <v>2581.2600000000007</v>
      </c>
      <c r="I18" s="23">
        <f t="shared" ca="1" si="5"/>
        <v>488.52</v>
      </c>
      <c r="J18" s="23">
        <f t="shared" ca="1" si="1"/>
        <v>0</v>
      </c>
      <c r="K18" s="23">
        <f t="shared" ca="1" si="2"/>
        <v>-488.52</v>
      </c>
    </row>
    <row r="19" spans="1:11" x14ac:dyDescent="0.2">
      <c r="A19" s="2">
        <v>4</v>
      </c>
      <c r="B19" s="2">
        <v>23</v>
      </c>
      <c r="C19" s="22">
        <f t="shared" si="0"/>
        <v>44309</v>
      </c>
      <c r="D19" s="21">
        <f ca="1">OFFSET('Cash Flow'!$C$61,0, ROW()-2)</f>
        <v>732.91</v>
      </c>
      <c r="E19" s="21">
        <f ca="1">OFFSET('Cash Flow'!$C$61,1, ROW()-2)</f>
        <v>3314.1700000000005</v>
      </c>
      <c r="G19" s="1">
        <f t="shared" si="3"/>
        <v>44309</v>
      </c>
      <c r="H19" s="23">
        <f t="shared" ca="1" si="4"/>
        <v>2581.2600000000007</v>
      </c>
      <c r="I19" s="23">
        <f t="shared" ca="1" si="5"/>
        <v>0</v>
      </c>
      <c r="J19" s="23">
        <f t="shared" ca="1" si="1"/>
        <v>732.90999999999985</v>
      </c>
      <c r="K19" s="23">
        <f t="shared" ca="1" si="2"/>
        <v>732.90999999999985</v>
      </c>
    </row>
    <row r="20" spans="1:11" x14ac:dyDescent="0.2">
      <c r="A20" s="2">
        <v>4</v>
      </c>
      <c r="B20" s="2">
        <v>30</v>
      </c>
      <c r="C20" s="22">
        <f t="shared" si="0"/>
        <v>44316</v>
      </c>
      <c r="D20" s="21">
        <f ca="1">OFFSET('Cash Flow'!$C$61,0, ROW()-2)</f>
        <v>-50</v>
      </c>
      <c r="E20" s="21">
        <f ca="1">OFFSET('Cash Flow'!$C$61,1, ROW()-2)</f>
        <v>3264.1700000000005</v>
      </c>
      <c r="G20" s="1">
        <f t="shared" si="3"/>
        <v>44316</v>
      </c>
      <c r="H20" s="23">
        <f t="shared" ca="1" si="4"/>
        <v>3264.1700000000005</v>
      </c>
      <c r="I20" s="23">
        <f t="shared" ca="1" si="5"/>
        <v>50</v>
      </c>
      <c r="J20" s="23">
        <f t="shared" ca="1" si="1"/>
        <v>0</v>
      </c>
      <c r="K20" s="23">
        <f t="shared" ca="1" si="2"/>
        <v>-50</v>
      </c>
    </row>
    <row r="21" spans="1:11" x14ac:dyDescent="0.2">
      <c r="A21" s="2">
        <v>5</v>
      </c>
      <c r="B21" s="2">
        <v>7</v>
      </c>
      <c r="C21" s="22">
        <f t="shared" si="0"/>
        <v>44323</v>
      </c>
      <c r="D21" s="21">
        <f ca="1">OFFSET('Cash Flow'!$C$61,0, ROW()-2)</f>
        <v>124.33000000000004</v>
      </c>
      <c r="E21" s="21">
        <f ca="1">OFFSET('Cash Flow'!$C$61,1, ROW()-2)</f>
        <v>3388.5000000000005</v>
      </c>
      <c r="G21" s="1">
        <f t="shared" si="3"/>
        <v>44323</v>
      </c>
      <c r="H21" s="23">
        <f t="shared" ca="1" si="4"/>
        <v>3264.1700000000005</v>
      </c>
      <c r="I21" s="23">
        <f t="shared" ca="1" si="5"/>
        <v>0</v>
      </c>
      <c r="J21" s="23">
        <f t="shared" ca="1" si="1"/>
        <v>124.32999999999993</v>
      </c>
      <c r="K21" s="23">
        <f t="shared" ca="1" si="2"/>
        <v>124.32999999999993</v>
      </c>
    </row>
    <row r="22" spans="1:11" x14ac:dyDescent="0.2">
      <c r="A22" s="2">
        <v>5</v>
      </c>
      <c r="B22" s="2">
        <v>14</v>
      </c>
      <c r="C22" s="22">
        <f t="shared" si="0"/>
        <v>44330</v>
      </c>
      <c r="D22" s="21">
        <f ca="1">OFFSET('Cash Flow'!$C$61,0, ROW()-2)</f>
        <v>-50.319999999999993</v>
      </c>
      <c r="E22" s="21">
        <f ca="1">OFFSET('Cash Flow'!$C$61,1, ROW()-2)</f>
        <v>3338.1800000000003</v>
      </c>
      <c r="G22" s="1">
        <f t="shared" si="3"/>
        <v>44330</v>
      </c>
      <c r="H22" s="23">
        <f t="shared" ca="1" si="4"/>
        <v>3338.1800000000003</v>
      </c>
      <c r="I22" s="23">
        <f t="shared" ca="1" si="5"/>
        <v>50.320000000000164</v>
      </c>
      <c r="J22" s="23">
        <f t="shared" ca="1" si="1"/>
        <v>0</v>
      </c>
      <c r="K22" s="23">
        <f t="shared" ca="1" si="2"/>
        <v>-50.320000000000164</v>
      </c>
    </row>
    <row r="23" spans="1:11" x14ac:dyDescent="0.2">
      <c r="A23" s="2">
        <v>5</v>
      </c>
      <c r="B23" s="2">
        <v>21</v>
      </c>
      <c r="C23" s="22">
        <f t="shared" si="0"/>
        <v>44337</v>
      </c>
      <c r="D23" s="21">
        <f ca="1">OFFSET('Cash Flow'!$C$61,0, ROW()-2)</f>
        <v>697.98</v>
      </c>
      <c r="E23" s="21">
        <f ca="1">OFFSET('Cash Flow'!$C$61,1, ROW()-2)</f>
        <v>4036.1600000000003</v>
      </c>
      <c r="G23" s="1">
        <f t="shared" si="3"/>
        <v>44337</v>
      </c>
      <c r="H23" s="23">
        <f t="shared" ca="1" si="4"/>
        <v>3338.1800000000003</v>
      </c>
      <c r="I23" s="23">
        <f t="shared" ca="1" si="5"/>
        <v>0</v>
      </c>
      <c r="J23" s="23">
        <f t="shared" ca="1" si="1"/>
        <v>697.98</v>
      </c>
      <c r="K23" s="23">
        <f t="shared" ca="1" si="2"/>
        <v>697.98</v>
      </c>
    </row>
    <row r="24" spans="1:11" x14ac:dyDescent="0.2">
      <c r="A24" s="2">
        <v>5</v>
      </c>
      <c r="B24" s="2">
        <v>28</v>
      </c>
      <c r="C24" s="22">
        <f t="shared" si="0"/>
        <v>44344</v>
      </c>
      <c r="D24" s="21">
        <f ca="1">OFFSET('Cash Flow'!$C$61,0, ROW()-2)</f>
        <v>-1171.96</v>
      </c>
      <c r="E24" s="21">
        <f ca="1">OFFSET('Cash Flow'!$C$61,1, ROW()-2)</f>
        <v>2864.2000000000003</v>
      </c>
      <c r="G24" s="1">
        <f t="shared" si="3"/>
        <v>44344</v>
      </c>
      <c r="H24" s="23">
        <f t="shared" ca="1" si="4"/>
        <v>2864.2000000000003</v>
      </c>
      <c r="I24" s="23">
        <f t="shared" ca="1" si="5"/>
        <v>1171.96</v>
      </c>
      <c r="J24" s="23">
        <f t="shared" ca="1" si="1"/>
        <v>0</v>
      </c>
      <c r="K24" s="23">
        <f t="shared" ca="1" si="2"/>
        <v>-1171.96</v>
      </c>
    </row>
    <row r="25" spans="1:11" x14ac:dyDescent="0.2">
      <c r="A25" s="2">
        <v>5</v>
      </c>
      <c r="B25" s="2">
        <v>31</v>
      </c>
      <c r="C25" s="22">
        <f t="shared" si="0"/>
        <v>44347</v>
      </c>
      <c r="D25" s="21">
        <f ca="1">OFFSET('Cash Flow'!$C$61,0, ROW()-2)</f>
        <v>0</v>
      </c>
      <c r="E25" s="21">
        <f ca="1">OFFSET('Cash Flow'!$C$61,1, ROW()-2)</f>
        <v>2864.2000000000003</v>
      </c>
      <c r="G25" s="1">
        <f t="shared" si="3"/>
        <v>44347</v>
      </c>
      <c r="H25" s="23">
        <f t="shared" ca="1" si="4"/>
        <v>2864.2000000000003</v>
      </c>
      <c r="I25" s="23">
        <f t="shared" ca="1" si="5"/>
        <v>0</v>
      </c>
      <c r="J25" s="23">
        <f t="shared" ca="1" si="1"/>
        <v>0</v>
      </c>
      <c r="K25" s="23">
        <f t="shared" ca="1" si="2"/>
        <v>0</v>
      </c>
    </row>
    <row r="26" spans="1:11" x14ac:dyDescent="0.2">
      <c r="A26" s="2">
        <v>6</v>
      </c>
      <c r="B26" s="2">
        <v>4</v>
      </c>
      <c r="C26" s="22">
        <f t="shared" si="0"/>
        <v>44351</v>
      </c>
      <c r="D26" s="21">
        <f ca="1">OFFSET('Cash Flow'!$C$61,0, ROW()-2)</f>
        <v>514.85000000000014</v>
      </c>
      <c r="E26" s="21">
        <f ca="1">OFFSET('Cash Flow'!$C$61,1, ROW()-2)</f>
        <v>3379.05</v>
      </c>
      <c r="G26" s="1">
        <f t="shared" si="3"/>
        <v>44351</v>
      </c>
      <c r="H26" s="23">
        <f t="shared" ca="1" si="4"/>
        <v>2864.2000000000003</v>
      </c>
      <c r="I26" s="23">
        <f t="shared" ca="1" si="5"/>
        <v>0</v>
      </c>
      <c r="J26" s="23">
        <f t="shared" ca="1" si="1"/>
        <v>514.84999999999991</v>
      </c>
      <c r="K26" s="23">
        <f t="shared" ca="1" si="2"/>
        <v>514.84999999999991</v>
      </c>
    </row>
    <row r="27" spans="1:11" x14ac:dyDescent="0.2">
      <c r="A27" s="2">
        <v>6</v>
      </c>
      <c r="B27" s="2">
        <v>11</v>
      </c>
      <c r="C27" s="22">
        <f t="shared" si="0"/>
        <v>44358</v>
      </c>
      <c r="D27" s="21">
        <f ca="1">OFFSET('Cash Flow'!$C$61,0, ROW()-2)</f>
        <v>-592.83999999999992</v>
      </c>
      <c r="E27" s="21">
        <f ca="1">OFFSET('Cash Flow'!$C$61,1, ROW()-2)</f>
        <v>2786.21</v>
      </c>
      <c r="G27" s="1">
        <f t="shared" si="3"/>
        <v>44358</v>
      </c>
      <c r="H27" s="23">
        <f t="shared" ca="1" si="4"/>
        <v>2786.21</v>
      </c>
      <c r="I27" s="23">
        <f t="shared" ca="1" si="5"/>
        <v>592.84000000000015</v>
      </c>
      <c r="J27" s="23">
        <f t="shared" ca="1" si="1"/>
        <v>0</v>
      </c>
      <c r="K27" s="23">
        <f t="shared" ca="1" si="2"/>
        <v>-592.84000000000015</v>
      </c>
    </row>
    <row r="28" spans="1:11" x14ac:dyDescent="0.2">
      <c r="A28" s="2">
        <v>6</v>
      </c>
      <c r="B28" s="2">
        <v>18</v>
      </c>
      <c r="C28" s="22">
        <f t="shared" si="0"/>
        <v>44365</v>
      </c>
      <c r="D28" s="21">
        <f ca="1">OFFSET('Cash Flow'!$C$61,0, ROW()-2)</f>
        <v>8850.08</v>
      </c>
      <c r="E28" s="21">
        <f ca="1">OFFSET('Cash Flow'!$C$61,1, ROW()-2)</f>
        <v>11636.29</v>
      </c>
      <c r="G28" s="1">
        <f t="shared" si="3"/>
        <v>44365</v>
      </c>
      <c r="H28" s="23">
        <f t="shared" ca="1" si="4"/>
        <v>2786.21</v>
      </c>
      <c r="I28" s="23">
        <f t="shared" ca="1" si="5"/>
        <v>0</v>
      </c>
      <c r="J28" s="23">
        <f t="shared" ca="1" si="1"/>
        <v>8850.0800000000017</v>
      </c>
      <c r="K28" s="23">
        <f t="shared" ca="1" si="2"/>
        <v>8850.0800000000017</v>
      </c>
    </row>
    <row r="29" spans="1:11" x14ac:dyDescent="0.2">
      <c r="A29" s="2">
        <v>6</v>
      </c>
      <c r="B29" s="2">
        <v>25</v>
      </c>
      <c r="C29" s="22">
        <f t="shared" si="0"/>
        <v>44372</v>
      </c>
      <c r="D29" s="21">
        <f ca="1">OFFSET('Cash Flow'!$C$61,0, ROW()-2)</f>
        <v>-5102.6099999999997</v>
      </c>
      <c r="E29" s="21">
        <f ca="1">OFFSET('Cash Flow'!$C$61,1, ROW()-2)</f>
        <v>6533.6800000000012</v>
      </c>
      <c r="G29" s="1">
        <f t="shared" si="3"/>
        <v>44372</v>
      </c>
      <c r="H29" s="23">
        <f t="shared" ca="1" si="4"/>
        <v>6533.6800000000012</v>
      </c>
      <c r="I29" s="23">
        <f t="shared" ca="1" si="5"/>
        <v>5102.6099999999997</v>
      </c>
      <c r="J29" s="23">
        <f t="shared" ca="1" si="1"/>
        <v>0</v>
      </c>
      <c r="K29" s="23">
        <f t="shared" ca="1" si="2"/>
        <v>-5102.6099999999997</v>
      </c>
    </row>
    <row r="30" spans="1:11" x14ac:dyDescent="0.2">
      <c r="A30" s="2">
        <v>6</v>
      </c>
      <c r="B30" s="2">
        <v>30</v>
      </c>
      <c r="C30" s="22">
        <f t="shared" si="0"/>
        <v>44377</v>
      </c>
      <c r="D30" s="21">
        <f ca="1">OFFSET('Cash Flow'!$C$61,0, ROW()-2)</f>
        <v>-1804.34</v>
      </c>
      <c r="E30" s="21">
        <f ca="1">OFFSET('Cash Flow'!$C$61,1, ROW()-2)</f>
        <v>4729.3400000000011</v>
      </c>
      <c r="G30" s="1">
        <f t="shared" si="3"/>
        <v>44377</v>
      </c>
      <c r="H30" s="23">
        <f t="shared" ca="1" si="4"/>
        <v>4729.3400000000011</v>
      </c>
      <c r="I30" s="23">
        <f t="shared" ca="1" si="5"/>
        <v>1804.3400000000001</v>
      </c>
      <c r="J30" s="23">
        <f t="shared" ca="1" si="1"/>
        <v>0</v>
      </c>
      <c r="K30" s="23">
        <f t="shared" ca="1" si="2"/>
        <v>-1804.3400000000001</v>
      </c>
    </row>
    <row r="31" spans="1:11" x14ac:dyDescent="0.2">
      <c r="A31" s="2">
        <v>7</v>
      </c>
      <c r="B31" s="2">
        <v>2</v>
      </c>
      <c r="C31" s="22">
        <f t="shared" si="0"/>
        <v>44379</v>
      </c>
      <c r="D31" s="21">
        <f ca="1">OFFSET('Cash Flow'!$C$61,0, ROW()-2)</f>
        <v>711.65999999999985</v>
      </c>
      <c r="E31" s="21">
        <f ca="1">OFFSET('Cash Flow'!$C$61,1, ROW()-2)</f>
        <v>5441.0000000000009</v>
      </c>
      <c r="G31" s="1">
        <f t="shared" si="3"/>
        <v>44379</v>
      </c>
      <c r="H31" s="23">
        <f t="shared" ca="1" si="4"/>
        <v>4729.3400000000011</v>
      </c>
      <c r="I31" s="23">
        <f t="shared" ca="1" si="5"/>
        <v>0</v>
      </c>
      <c r="J31" s="23">
        <f t="shared" ca="1" si="1"/>
        <v>711.65999999999985</v>
      </c>
      <c r="K31" s="23">
        <f t="shared" ca="1" si="2"/>
        <v>711.65999999999985</v>
      </c>
    </row>
    <row r="32" spans="1:11" x14ac:dyDescent="0.2">
      <c r="A32" s="2">
        <v>7</v>
      </c>
      <c r="B32" s="2">
        <v>9</v>
      </c>
      <c r="C32" s="22">
        <f t="shared" si="0"/>
        <v>44386</v>
      </c>
      <c r="D32" s="21">
        <f ca="1">OFFSET('Cash Flow'!$C$61,0, ROW()-2)</f>
        <v>-1587.35</v>
      </c>
      <c r="E32" s="21">
        <f ca="1">OFFSET('Cash Flow'!$C$61,1, ROW()-2)</f>
        <v>3853.650000000001</v>
      </c>
      <c r="G32" s="1">
        <f t="shared" ref="G32:G40" si="6">C32</f>
        <v>44386</v>
      </c>
      <c r="H32" s="23">
        <f t="shared" ref="H32:H34" ca="1" si="7">H31+J31-I32</f>
        <v>3853.650000000001</v>
      </c>
      <c r="I32" s="23">
        <f t="shared" ref="I32:I34" ca="1" si="8">MIN(K32,0)*-1</f>
        <v>1587.35</v>
      </c>
      <c r="J32" s="23">
        <f t="shared" ref="J32:J34" ca="1" si="9">MAX(K32,0)</f>
        <v>0</v>
      </c>
      <c r="K32" s="23">
        <f t="shared" ref="K32:K46" ca="1" si="10">E32-E31</f>
        <v>-1587.35</v>
      </c>
    </row>
    <row r="33" spans="1:11" x14ac:dyDescent="0.2">
      <c r="A33" s="2">
        <v>7</v>
      </c>
      <c r="B33" s="2">
        <v>16</v>
      </c>
      <c r="C33" s="22">
        <f t="shared" si="0"/>
        <v>44393</v>
      </c>
      <c r="D33" s="21">
        <f ca="1">OFFSET('Cash Flow'!$C$61,0, ROW()-2)</f>
        <v>-14.850000000000136</v>
      </c>
      <c r="E33" s="21">
        <f ca="1">OFFSET('Cash Flow'!$C$61,1, ROW()-2)</f>
        <v>3838.8000000000011</v>
      </c>
      <c r="G33" s="1">
        <f t="shared" si="6"/>
        <v>44393</v>
      </c>
      <c r="H33" s="23">
        <f t="shared" ca="1" si="7"/>
        <v>3838.8000000000011</v>
      </c>
      <c r="I33" s="23">
        <f t="shared" ca="1" si="8"/>
        <v>14.849999999999909</v>
      </c>
      <c r="J33" s="23">
        <f t="shared" ca="1" si="9"/>
        <v>0</v>
      </c>
      <c r="K33" s="23">
        <f t="shared" ca="1" si="10"/>
        <v>-14.849999999999909</v>
      </c>
    </row>
    <row r="34" spans="1:11" x14ac:dyDescent="0.2">
      <c r="A34" s="2">
        <v>7</v>
      </c>
      <c r="B34" s="2">
        <v>23</v>
      </c>
      <c r="C34" s="22">
        <f t="shared" si="0"/>
        <v>44400</v>
      </c>
      <c r="D34" s="21">
        <f ca="1">OFFSET('Cash Flow'!$C$61,0, ROW()-2)</f>
        <v>-2356.8200000000002</v>
      </c>
      <c r="E34" s="21">
        <f ca="1">OFFSET('Cash Flow'!$C$61,1, ROW()-2)</f>
        <v>1481.9800000000009</v>
      </c>
      <c r="G34" s="1">
        <f t="shared" si="6"/>
        <v>44400</v>
      </c>
      <c r="H34" s="23">
        <f t="shared" ca="1" si="7"/>
        <v>1481.9800000000009</v>
      </c>
      <c r="I34" s="23">
        <f t="shared" ca="1" si="8"/>
        <v>2356.8200000000002</v>
      </c>
      <c r="J34" s="23">
        <f t="shared" ca="1" si="9"/>
        <v>0</v>
      </c>
      <c r="K34" s="23">
        <f t="shared" ca="1" si="10"/>
        <v>-2356.8200000000002</v>
      </c>
    </row>
    <row r="35" spans="1:11" x14ac:dyDescent="0.2">
      <c r="A35" s="2">
        <v>7</v>
      </c>
      <c r="B35" s="2">
        <v>30</v>
      </c>
      <c r="C35" s="22">
        <f t="shared" si="0"/>
        <v>44407</v>
      </c>
      <c r="D35" s="21">
        <f ca="1">OFFSET('Cash Flow'!$C$61,0, ROW()-2)</f>
        <v>1925.68</v>
      </c>
      <c r="E35" s="21">
        <f ca="1">OFFSET('Cash Flow'!$C$61,1, ROW()-2)</f>
        <v>3407.6600000000008</v>
      </c>
      <c r="G35" s="1">
        <f t="shared" si="6"/>
        <v>44407</v>
      </c>
      <c r="H35" s="23">
        <f t="shared" ref="H35:H38" ca="1" si="11">H34+J34-I35</f>
        <v>1481.9800000000009</v>
      </c>
      <c r="I35" s="23">
        <f t="shared" ref="I35:I38" ca="1" si="12">MIN(K35,0)*-1</f>
        <v>0</v>
      </c>
      <c r="J35" s="23">
        <f t="shared" ref="J35:J38" ca="1" si="13">MAX(K35,0)</f>
        <v>1925.6799999999998</v>
      </c>
      <c r="K35" s="23">
        <f t="shared" ca="1" si="10"/>
        <v>1925.6799999999998</v>
      </c>
    </row>
    <row r="36" spans="1:11" x14ac:dyDescent="0.2">
      <c r="A36" s="2">
        <v>8</v>
      </c>
      <c r="B36" s="2">
        <v>6</v>
      </c>
      <c r="C36" s="22">
        <f t="shared" si="0"/>
        <v>44414</v>
      </c>
      <c r="D36" s="21">
        <f ca="1">OFFSET('Cash Flow'!$C$61,0, ROW()-2)</f>
        <v>-1403.17</v>
      </c>
      <c r="E36" s="21">
        <f ca="1">OFFSET('Cash Flow'!$C$61,1, ROW()-2)</f>
        <v>2004.4900000000007</v>
      </c>
      <c r="G36" s="1">
        <f t="shared" si="6"/>
        <v>44414</v>
      </c>
      <c r="H36" s="23">
        <f t="shared" ca="1" si="11"/>
        <v>2004.4900000000007</v>
      </c>
      <c r="I36" s="23">
        <f t="shared" ca="1" si="12"/>
        <v>1403.17</v>
      </c>
      <c r="J36" s="23">
        <f t="shared" ca="1" si="13"/>
        <v>0</v>
      </c>
      <c r="K36" s="23">
        <f t="shared" ca="1" si="10"/>
        <v>-1403.17</v>
      </c>
    </row>
    <row r="37" spans="1:11" x14ac:dyDescent="0.2">
      <c r="A37" s="2">
        <v>8</v>
      </c>
      <c r="B37" s="2">
        <v>13</v>
      </c>
      <c r="C37" s="22">
        <f t="shared" si="0"/>
        <v>44421</v>
      </c>
      <c r="D37" s="21">
        <f ca="1">OFFSET('Cash Flow'!$C$61,0, ROW()-2)</f>
        <v>1958.65</v>
      </c>
      <c r="E37" s="21">
        <f ca="1">OFFSET('Cash Flow'!$C$61,1, ROW()-2)</f>
        <v>3963.1400000000008</v>
      </c>
      <c r="G37" s="1">
        <f t="shared" si="6"/>
        <v>44421</v>
      </c>
      <c r="H37" s="23">
        <f t="shared" ca="1" si="11"/>
        <v>2004.4900000000007</v>
      </c>
      <c r="I37" s="23">
        <f t="shared" ca="1" si="12"/>
        <v>0</v>
      </c>
      <c r="J37" s="23">
        <f t="shared" ca="1" si="13"/>
        <v>1958.65</v>
      </c>
      <c r="K37" s="23">
        <f t="shared" ca="1" si="10"/>
        <v>1958.65</v>
      </c>
    </row>
    <row r="38" spans="1:11" x14ac:dyDescent="0.2">
      <c r="A38" s="2">
        <v>8</v>
      </c>
      <c r="B38" s="2">
        <v>20</v>
      </c>
      <c r="C38" s="22">
        <f t="shared" si="0"/>
        <v>44428</v>
      </c>
      <c r="D38" s="21">
        <f ca="1">OFFSET('Cash Flow'!$C$61,0, ROW()-2)</f>
        <v>-356.17</v>
      </c>
      <c r="E38" s="21">
        <f ca="1">OFFSET('Cash Flow'!$C$61,1, ROW()-2)</f>
        <v>3606.9700000000007</v>
      </c>
      <c r="G38" s="1">
        <f t="shared" si="6"/>
        <v>44428</v>
      </c>
      <c r="H38" s="23">
        <f t="shared" ca="1" si="11"/>
        <v>3606.9700000000007</v>
      </c>
      <c r="I38" s="23">
        <f t="shared" ca="1" si="12"/>
        <v>356.17000000000007</v>
      </c>
      <c r="J38" s="23">
        <f t="shared" ca="1" si="13"/>
        <v>0</v>
      </c>
      <c r="K38" s="23">
        <f t="shared" ca="1" si="10"/>
        <v>-356.17000000000007</v>
      </c>
    </row>
    <row r="39" spans="1:11" x14ac:dyDescent="0.2">
      <c r="A39" s="2">
        <v>8</v>
      </c>
      <c r="B39" s="2">
        <v>27</v>
      </c>
      <c r="C39" s="22">
        <f t="shared" si="0"/>
        <v>44435</v>
      </c>
      <c r="D39" s="21">
        <f ca="1">OFFSET('Cash Flow'!$C$61,0, ROW()-2)</f>
        <v>-576.47</v>
      </c>
      <c r="E39" s="21">
        <f ca="1">OFFSET('Cash Flow'!$C$61,1, ROW()-2)</f>
        <v>3030.5000000000009</v>
      </c>
      <c r="G39" s="1">
        <f t="shared" si="6"/>
        <v>44435</v>
      </c>
      <c r="H39" s="23">
        <f t="shared" ref="H39:H40" ca="1" si="14">H38+J38-I39</f>
        <v>3030.5000000000009</v>
      </c>
      <c r="I39" s="23">
        <f t="shared" ref="I39:I40" ca="1" si="15">MIN(K39,0)*-1</f>
        <v>576.4699999999998</v>
      </c>
      <c r="J39" s="23">
        <f t="shared" ref="J39:J40" ca="1" si="16">MAX(K39,0)</f>
        <v>0</v>
      </c>
      <c r="K39" s="23">
        <f t="shared" ca="1" si="10"/>
        <v>-576.4699999999998</v>
      </c>
    </row>
    <row r="40" spans="1:11" x14ac:dyDescent="0.2">
      <c r="A40" s="2">
        <v>8</v>
      </c>
      <c r="B40" s="2">
        <v>31</v>
      </c>
      <c r="C40" s="22">
        <f t="shared" si="0"/>
        <v>44439</v>
      </c>
      <c r="D40" s="21">
        <f ca="1">OFFSET('Cash Flow'!$C$61,0, ROW()-2)</f>
        <v>0</v>
      </c>
      <c r="E40" s="21">
        <f ca="1">OFFSET('Cash Flow'!$C$61,1, ROW()-2)</f>
        <v>3030.5000000000009</v>
      </c>
      <c r="G40" s="1">
        <f t="shared" si="6"/>
        <v>44439</v>
      </c>
      <c r="H40" s="23">
        <f t="shared" ca="1" si="14"/>
        <v>3030.5000000000009</v>
      </c>
      <c r="I40" s="23">
        <f t="shared" ca="1" si="15"/>
        <v>0</v>
      </c>
      <c r="J40" s="23">
        <f t="shared" ca="1" si="16"/>
        <v>0</v>
      </c>
      <c r="K40" s="23">
        <f t="shared" ca="1" si="10"/>
        <v>0</v>
      </c>
    </row>
    <row r="41" spans="1:11" x14ac:dyDescent="0.2">
      <c r="A41" s="2">
        <v>9</v>
      </c>
      <c r="B41" s="2">
        <v>3</v>
      </c>
      <c r="C41" s="22">
        <f t="shared" si="0"/>
        <v>44442</v>
      </c>
      <c r="D41" s="21">
        <f ca="1">OFFSET('Cash Flow'!$C$61,0, ROW()-2)</f>
        <v>-200</v>
      </c>
      <c r="E41" s="21">
        <f ca="1">OFFSET('Cash Flow'!$C$61,1, ROW()-2)</f>
        <v>2830.5000000000009</v>
      </c>
      <c r="G41" s="1">
        <f t="shared" ref="G41:G45" si="17">C41</f>
        <v>44442</v>
      </c>
      <c r="H41" s="23">
        <f t="shared" ref="H41:H46" ca="1" si="18">H40+J40-I41</f>
        <v>2830.5000000000009</v>
      </c>
      <c r="I41" s="23">
        <f t="shared" ref="I41:I46" ca="1" si="19">MIN(K41,0)*-1</f>
        <v>200</v>
      </c>
      <c r="J41" s="23">
        <f t="shared" ref="J41:J46" ca="1" si="20">MAX(K41,0)</f>
        <v>0</v>
      </c>
      <c r="K41" s="23">
        <f t="shared" ca="1" si="10"/>
        <v>-200</v>
      </c>
    </row>
    <row r="42" spans="1:11" x14ac:dyDescent="0.2">
      <c r="A42" s="2">
        <v>9</v>
      </c>
      <c r="B42" s="2">
        <v>10</v>
      </c>
      <c r="C42" s="22">
        <f t="shared" si="0"/>
        <v>44449</v>
      </c>
      <c r="D42" s="21">
        <f ca="1">OFFSET('Cash Flow'!$C$61,0, ROW()-2)</f>
        <v>311.3000000000003</v>
      </c>
      <c r="E42" s="21">
        <f ca="1">OFFSET('Cash Flow'!$C$61,1, ROW()-2)</f>
        <v>3141.8000000000011</v>
      </c>
      <c r="G42" s="1">
        <f t="shared" si="17"/>
        <v>44449</v>
      </c>
      <c r="H42" s="23">
        <f t="shared" ca="1" si="18"/>
        <v>2830.5000000000009</v>
      </c>
      <c r="I42" s="23">
        <f t="shared" ca="1" si="19"/>
        <v>0</v>
      </c>
      <c r="J42" s="23">
        <f t="shared" ca="1" si="20"/>
        <v>311.30000000000018</v>
      </c>
      <c r="K42" s="23">
        <f t="shared" ca="1" si="10"/>
        <v>311.30000000000018</v>
      </c>
    </row>
    <row r="43" spans="1:11" x14ac:dyDescent="0.2">
      <c r="A43" s="2">
        <v>9</v>
      </c>
      <c r="B43" s="2">
        <v>17</v>
      </c>
      <c r="C43" s="22">
        <f t="shared" si="0"/>
        <v>44456</v>
      </c>
      <c r="D43" s="21">
        <f ca="1">OFFSET('Cash Flow'!$C$61,0, ROW()-2)</f>
        <v>-336.22999999999996</v>
      </c>
      <c r="E43" s="21">
        <f ca="1">OFFSET('Cash Flow'!$C$61,1, ROW()-2)</f>
        <v>2805.5700000000011</v>
      </c>
      <c r="G43" s="1">
        <f t="shared" si="17"/>
        <v>44456</v>
      </c>
      <c r="H43" s="23">
        <f t="shared" ca="1" si="18"/>
        <v>2805.5700000000011</v>
      </c>
      <c r="I43" s="23">
        <f t="shared" ca="1" si="19"/>
        <v>336.23</v>
      </c>
      <c r="J43" s="23">
        <f t="shared" ca="1" si="20"/>
        <v>0</v>
      </c>
      <c r="K43" s="23">
        <f t="shared" ca="1" si="10"/>
        <v>-336.23</v>
      </c>
    </row>
    <row r="44" spans="1:11" x14ac:dyDescent="0.2">
      <c r="A44" s="2">
        <v>9</v>
      </c>
      <c r="B44" s="2">
        <v>24</v>
      </c>
      <c r="C44" s="22">
        <f t="shared" si="0"/>
        <v>44463</v>
      </c>
      <c r="D44" s="21">
        <f ca="1">OFFSET('Cash Flow'!$C$61,0, ROW()-2)</f>
        <v>748.86000000000013</v>
      </c>
      <c r="E44" s="21">
        <f ca="1">OFFSET('Cash Flow'!$C$61,1, ROW()-2)</f>
        <v>3554.4300000000012</v>
      </c>
      <c r="G44" s="1">
        <f t="shared" si="17"/>
        <v>44463</v>
      </c>
      <c r="H44" s="23">
        <f t="shared" ca="1" si="18"/>
        <v>2805.5700000000011</v>
      </c>
      <c r="I44" s="23">
        <f t="shared" ca="1" si="19"/>
        <v>0</v>
      </c>
      <c r="J44" s="23">
        <f t="shared" ca="1" si="20"/>
        <v>748.86000000000013</v>
      </c>
      <c r="K44" s="23">
        <f t="shared" ca="1" si="10"/>
        <v>748.86000000000013</v>
      </c>
    </row>
    <row r="45" spans="1:11" x14ac:dyDescent="0.2">
      <c r="A45" s="2">
        <v>9</v>
      </c>
      <c r="B45" s="2">
        <v>30</v>
      </c>
      <c r="C45" s="22">
        <f t="shared" si="0"/>
        <v>44469</v>
      </c>
      <c r="D45" s="21">
        <f ca="1">OFFSET('Cash Flow'!$C$61,0, ROW()-2)</f>
        <v>-662.20999999999958</v>
      </c>
      <c r="E45" s="21">
        <f ca="1">OFFSET('Cash Flow'!$C$61,1, ROW()-2)</f>
        <v>2892.2200000000016</v>
      </c>
      <c r="G45" s="1">
        <f t="shared" si="17"/>
        <v>44469</v>
      </c>
      <c r="H45" s="23">
        <f t="shared" ca="1" si="18"/>
        <v>2892.2200000000016</v>
      </c>
      <c r="I45" s="23">
        <f t="shared" ca="1" si="19"/>
        <v>662.20999999999958</v>
      </c>
      <c r="J45" s="23">
        <f t="shared" ca="1" si="20"/>
        <v>0</v>
      </c>
      <c r="K45" s="23">
        <f t="shared" ca="1" si="10"/>
        <v>-662.20999999999958</v>
      </c>
    </row>
    <row r="46" spans="1:11" x14ac:dyDescent="0.2">
      <c r="A46" s="2">
        <v>10</v>
      </c>
      <c r="B46" s="2">
        <v>1</v>
      </c>
      <c r="C46" s="22">
        <f t="shared" si="0"/>
        <v>44470</v>
      </c>
      <c r="D46" s="21">
        <f ca="1">OFFSET('Cash Flow'!$C$61,0, ROW()-2)</f>
        <v>-1866.67</v>
      </c>
      <c r="E46" s="21">
        <f ca="1">OFFSET('Cash Flow'!$C$61,1, ROW()-2)</f>
        <v>1025.5500000000015</v>
      </c>
      <c r="G46" t="s">
        <v>527</v>
      </c>
      <c r="H46" s="23">
        <f t="shared" ca="1" si="18"/>
        <v>1025.5500000000015</v>
      </c>
      <c r="I46" s="23">
        <f t="shared" ca="1" si="19"/>
        <v>1866.67</v>
      </c>
      <c r="J46" s="23">
        <f t="shared" ca="1" si="20"/>
        <v>0</v>
      </c>
      <c r="K46" s="23">
        <f t="shared" ca="1" si="10"/>
        <v>-1866.67</v>
      </c>
    </row>
    <row r="47" spans="1:11" x14ac:dyDescent="0.2">
      <c r="A47" s="2">
        <v>10</v>
      </c>
      <c r="B47" s="2">
        <v>8</v>
      </c>
      <c r="C47" s="22">
        <f t="shared" si="0"/>
        <v>44477</v>
      </c>
      <c r="D47" s="21">
        <f ca="1">OFFSET('Cash Flow'!$C$61,0, ROW()-2)</f>
        <v>0</v>
      </c>
      <c r="E47" s="21">
        <f ca="1">OFFSET('Cash Flow'!$C$61,1, ROW()-2)</f>
        <v>1025.5500000000015</v>
      </c>
    </row>
    <row r="48" spans="1:11" x14ac:dyDescent="0.2">
      <c r="A48" s="2">
        <v>10</v>
      </c>
      <c r="B48" s="2">
        <v>15</v>
      </c>
      <c r="C48" s="22">
        <f t="shared" si="0"/>
        <v>44484</v>
      </c>
      <c r="D48" s="21">
        <f ca="1">OFFSET('Cash Flow'!$C$61,0, ROW()-2)</f>
        <v>0</v>
      </c>
      <c r="E48" s="21">
        <f ca="1">OFFSET('Cash Flow'!$C$61,1, ROW()-2)</f>
        <v>1025.5500000000015</v>
      </c>
    </row>
    <row r="49" spans="1:5" x14ac:dyDescent="0.2">
      <c r="A49" s="2">
        <v>10</v>
      </c>
      <c r="B49" s="2">
        <v>22</v>
      </c>
      <c r="C49" s="22">
        <f t="shared" si="0"/>
        <v>44491</v>
      </c>
      <c r="D49" s="21">
        <f ca="1">OFFSET('Cash Flow'!$C$61,0, ROW()-2)</f>
        <v>0</v>
      </c>
      <c r="E49" s="21">
        <f ca="1">OFFSET('Cash Flow'!$C$61,1, ROW()-2)</f>
        <v>1025.5500000000015</v>
      </c>
    </row>
    <row r="50" spans="1:5" x14ac:dyDescent="0.2">
      <c r="A50" s="2">
        <v>10</v>
      </c>
      <c r="B50" s="2">
        <v>29</v>
      </c>
      <c r="C50" s="22">
        <f t="shared" si="0"/>
        <v>44498</v>
      </c>
      <c r="D50" s="21">
        <f ca="1">OFFSET('Cash Flow'!$C$61,0, ROW()-2)</f>
        <v>0</v>
      </c>
      <c r="E50" s="21">
        <f ca="1">OFFSET('Cash Flow'!$C$61,1, ROW()-2)</f>
        <v>1025.5500000000015</v>
      </c>
    </row>
    <row r="51" spans="1:5" x14ac:dyDescent="0.2">
      <c r="A51" s="2">
        <v>11</v>
      </c>
      <c r="B51" s="2">
        <v>5</v>
      </c>
      <c r="C51" s="22">
        <f t="shared" si="0"/>
        <v>44505</v>
      </c>
      <c r="D51" s="21">
        <f ca="1">OFFSET('Cash Flow'!$C$61,0, ROW()-2)</f>
        <v>0</v>
      </c>
      <c r="E51" s="21">
        <f ca="1">OFFSET('Cash Flow'!$C$61,1, ROW()-2)</f>
        <v>1025.5500000000015</v>
      </c>
    </row>
    <row r="52" spans="1:5" x14ac:dyDescent="0.2">
      <c r="A52" s="2">
        <v>11</v>
      </c>
      <c r="B52" s="2">
        <v>12</v>
      </c>
      <c r="C52" s="22">
        <f t="shared" si="0"/>
        <v>44512</v>
      </c>
      <c r="D52" s="21">
        <f ca="1">OFFSET('Cash Flow'!$C$61,0, ROW()-2)</f>
        <v>0</v>
      </c>
      <c r="E52" s="21">
        <f ca="1">OFFSET('Cash Flow'!$C$61,1, ROW()-2)</f>
        <v>1025.5500000000015</v>
      </c>
    </row>
    <row r="53" spans="1:5" x14ac:dyDescent="0.2">
      <c r="A53" s="2">
        <v>11</v>
      </c>
      <c r="B53" s="2">
        <v>19</v>
      </c>
      <c r="C53" s="22">
        <f t="shared" si="0"/>
        <v>44519</v>
      </c>
      <c r="D53" s="21">
        <f ca="1">OFFSET('Cash Flow'!$C$61,0, ROW()-2)</f>
        <v>0</v>
      </c>
      <c r="E53" s="21">
        <f ca="1">OFFSET('Cash Flow'!$C$61,1, ROW()-2)</f>
        <v>1025.5500000000015</v>
      </c>
    </row>
    <row r="54" spans="1:5" x14ac:dyDescent="0.2">
      <c r="A54" s="2">
        <v>11</v>
      </c>
      <c r="B54" s="2">
        <v>26</v>
      </c>
      <c r="C54" s="22">
        <f t="shared" si="0"/>
        <v>44526</v>
      </c>
      <c r="D54" s="21">
        <f ca="1">OFFSET('Cash Flow'!$C$61,0, ROW()-2)</f>
        <v>0</v>
      </c>
      <c r="E54" s="21">
        <f ca="1">OFFSET('Cash Flow'!$C$61,1, ROW()-2)</f>
        <v>1025.5500000000015</v>
      </c>
    </row>
    <row r="55" spans="1:5" x14ac:dyDescent="0.2">
      <c r="A55" s="2">
        <v>11</v>
      </c>
      <c r="B55" s="2">
        <v>30</v>
      </c>
      <c r="C55" s="22">
        <f t="shared" si="0"/>
        <v>44530</v>
      </c>
      <c r="D55" s="21">
        <f ca="1">OFFSET('Cash Flow'!$C$61,0, ROW()-2)</f>
        <v>0</v>
      </c>
      <c r="E55" s="21">
        <f ca="1">OFFSET('Cash Flow'!$C$61,1, ROW()-2)</f>
        <v>1025.5500000000015</v>
      </c>
    </row>
    <row r="56" spans="1:5" x14ac:dyDescent="0.2">
      <c r="A56" s="2">
        <v>12</v>
      </c>
      <c r="B56" s="2">
        <v>3</v>
      </c>
      <c r="C56" s="22">
        <f t="shared" si="0"/>
        <v>44533</v>
      </c>
      <c r="D56" s="21">
        <f ca="1">OFFSET('Cash Flow'!$C$61,0, ROW()-2)</f>
        <v>0</v>
      </c>
      <c r="E56" s="21">
        <f ca="1">OFFSET('Cash Flow'!$C$61,1, ROW()-2)</f>
        <v>1025.5500000000015</v>
      </c>
    </row>
    <row r="57" spans="1:5" x14ac:dyDescent="0.2">
      <c r="A57" s="2">
        <v>12</v>
      </c>
      <c r="B57" s="2">
        <v>10</v>
      </c>
      <c r="C57" s="22">
        <f t="shared" si="0"/>
        <v>44540</v>
      </c>
      <c r="D57" s="21">
        <f ca="1">OFFSET('Cash Flow'!$C$61,0, ROW()-2)</f>
        <v>0</v>
      </c>
      <c r="E57" s="21">
        <f ca="1">OFFSET('Cash Flow'!$C$61,1, ROW()-2)</f>
        <v>1025.5500000000015</v>
      </c>
    </row>
    <row r="58" spans="1:5" x14ac:dyDescent="0.2">
      <c r="A58" s="2">
        <v>12</v>
      </c>
      <c r="B58" s="2">
        <v>17</v>
      </c>
      <c r="C58" s="22">
        <f t="shared" si="0"/>
        <v>44547</v>
      </c>
      <c r="D58" s="21">
        <f ca="1">OFFSET('Cash Flow'!$C$61,0, ROW()-2)</f>
        <v>0</v>
      </c>
      <c r="E58" s="21">
        <f ca="1">OFFSET('Cash Flow'!$C$61,1, ROW()-2)</f>
        <v>1025.5500000000015</v>
      </c>
    </row>
    <row r="59" spans="1:5" x14ac:dyDescent="0.2">
      <c r="A59" s="2">
        <v>12</v>
      </c>
      <c r="B59" s="2">
        <v>24</v>
      </c>
      <c r="C59" s="22">
        <f t="shared" si="0"/>
        <v>44554</v>
      </c>
      <c r="D59" s="21">
        <f ca="1">OFFSET('Cash Flow'!$C$61,0, ROW()-2)</f>
        <v>0</v>
      </c>
      <c r="E59" s="21">
        <f ca="1">OFFSET('Cash Flow'!$C$61,1, ROW()-2)</f>
        <v>1025.5500000000015</v>
      </c>
    </row>
    <row r="60" spans="1:5" x14ac:dyDescent="0.2">
      <c r="A60" s="2">
        <v>12</v>
      </c>
      <c r="B60" s="2">
        <v>31</v>
      </c>
      <c r="C60" s="22">
        <f t="shared" si="0"/>
        <v>44561</v>
      </c>
      <c r="D60" s="21">
        <f ca="1">OFFSET('Cash Flow'!$C$61,0, ROW()-2)</f>
        <v>0</v>
      </c>
      <c r="E60" s="21">
        <f ca="1">OFFSET('Cash Flow'!$C$61,1, ROW()-2)</f>
        <v>1025.5500000000015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0CD8-7AFB-4E85-9DD5-D03AA1E374BB}">
  <dimension ref="A1:B1"/>
  <sheetViews>
    <sheetView workbookViewId="0">
      <selection activeCell="J25" sqref="J25"/>
    </sheetView>
  </sheetViews>
  <sheetFormatPr defaultRowHeight="11.25" x14ac:dyDescent="0.2"/>
  <sheetData>
    <row r="1" spans="1:2" x14ac:dyDescent="0.2">
      <c r="A1" t="s">
        <v>530</v>
      </c>
      <c r="B1" s="26">
        <v>9462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26CE-C662-40D8-9A3F-2CE0B3AD9869}">
  <dimension ref="A1"/>
  <sheetViews>
    <sheetView zoomScaleNormal="100" workbookViewId="0">
      <selection activeCell="H27" sqref="H27"/>
    </sheetView>
  </sheetViews>
  <sheetFormatPr defaultRowHeight="11.2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A1F7-24B2-48D8-95CE-A1C25BF456A1}">
  <dimension ref="A1:Y48"/>
  <sheetViews>
    <sheetView zoomScale="85" zoomScaleNormal="85" workbookViewId="0">
      <selection activeCell="O9" sqref="O9"/>
    </sheetView>
  </sheetViews>
  <sheetFormatPr defaultRowHeight="12.75" x14ac:dyDescent="0.2"/>
  <cols>
    <col min="1" max="1" width="9.33203125" style="105"/>
    <col min="2" max="2" width="15.5" style="105" bestFit="1" customWidth="1"/>
    <col min="3" max="3" width="14.83203125" style="105" bestFit="1" customWidth="1"/>
    <col min="4" max="4" width="15.83203125" style="105" bestFit="1" customWidth="1"/>
    <col min="5" max="5" width="11" style="105" bestFit="1" customWidth="1"/>
    <col min="6" max="6" width="17.6640625" style="105" bestFit="1" customWidth="1"/>
    <col min="7" max="9" width="24.1640625" style="105" customWidth="1"/>
    <col min="10" max="10" width="22.5" style="105" hidden="1" customWidth="1"/>
    <col min="11" max="12" width="24.1640625" style="105" hidden="1" customWidth="1"/>
    <col min="13" max="13" width="30.83203125" style="105" hidden="1" customWidth="1"/>
    <col min="14" max="14" width="24.1640625" style="105" hidden="1" customWidth="1"/>
    <col min="15" max="24" width="24.1640625" style="105" customWidth="1"/>
    <col min="25" max="26" width="16.33203125" style="105" bestFit="1" customWidth="1"/>
    <col min="27" max="30" width="13.5" style="105" bestFit="1" customWidth="1"/>
    <col min="31" max="33" width="12.33203125" style="105" bestFit="1" customWidth="1"/>
    <col min="34" max="35" width="13.5" style="105" bestFit="1" customWidth="1"/>
    <col min="36" max="16384" width="9.33203125" style="105"/>
  </cols>
  <sheetData>
    <row r="1" spans="1:25" x14ac:dyDescent="0.2">
      <c r="V1" s="105" t="s">
        <v>1051</v>
      </c>
      <c r="W1" s="106">
        <v>0.05</v>
      </c>
    </row>
    <row r="2" spans="1:25" x14ac:dyDescent="0.2">
      <c r="D2" s="107">
        <f>O2*13</f>
        <v>78000</v>
      </c>
      <c r="E2" s="107"/>
      <c r="F2" s="107"/>
      <c r="G2" s="107"/>
      <c r="H2" s="108">
        <f>19500/(H6+H6*0.04)</f>
        <v>3.125</v>
      </c>
      <c r="I2" s="107"/>
      <c r="J2" s="107"/>
      <c r="K2" s="107"/>
      <c r="L2" s="107"/>
      <c r="M2" s="107"/>
      <c r="N2" s="107"/>
      <c r="O2" s="107">
        <f>O6*2</f>
        <v>6000</v>
      </c>
      <c r="P2" s="106">
        <v>0.12</v>
      </c>
      <c r="Q2" s="109">
        <f>Q7*2</f>
        <v>756</v>
      </c>
      <c r="S2" s="107">
        <f>O2-Q2</f>
        <v>5244</v>
      </c>
      <c r="V2" s="105" t="s">
        <v>1052</v>
      </c>
      <c r="W2" s="110">
        <v>0</v>
      </c>
    </row>
    <row r="3" spans="1:25" ht="14.25" x14ac:dyDescent="0.2">
      <c r="D3" s="107">
        <f>O3*13</f>
        <v>49140</v>
      </c>
      <c r="E3" s="107"/>
      <c r="F3" s="107"/>
      <c r="G3" s="107"/>
      <c r="H3" s="107"/>
      <c r="I3" s="107"/>
      <c r="J3" s="107"/>
      <c r="K3" s="107"/>
      <c r="L3" s="107"/>
      <c r="M3" s="107"/>
      <c r="N3" s="107"/>
      <c r="O3" s="107">
        <f>O2*(0.63)</f>
        <v>3780</v>
      </c>
      <c r="Q3" s="109">
        <f>Q2</f>
        <v>756</v>
      </c>
      <c r="R3" s="106"/>
      <c r="S3" s="107">
        <f>O3-Q3</f>
        <v>3024</v>
      </c>
      <c r="U3" s="107"/>
      <c r="V3" s="107" t="s">
        <v>1053</v>
      </c>
      <c r="W3" s="111">
        <f>W1-W2</f>
        <v>0.05</v>
      </c>
    </row>
    <row r="4" spans="1:25" x14ac:dyDescent="0.2">
      <c r="A4" s="105">
        <f>COUNTA(A6:A42)</f>
        <v>37</v>
      </c>
      <c r="D4" s="105" t="s">
        <v>1054</v>
      </c>
      <c r="J4" s="105" t="s">
        <v>1055</v>
      </c>
    </row>
    <row r="5" spans="1:25" x14ac:dyDescent="0.2">
      <c r="A5" s="105" t="s">
        <v>1056</v>
      </c>
      <c r="B5" s="105" t="s">
        <v>13</v>
      </c>
      <c r="C5" s="105" t="s">
        <v>1057</v>
      </c>
      <c r="D5" s="105" t="s">
        <v>1058</v>
      </c>
      <c r="G5" s="105" t="s">
        <v>1059</v>
      </c>
      <c r="H5" s="105" t="s">
        <v>1060</v>
      </c>
      <c r="I5" s="105" t="s">
        <v>1061</v>
      </c>
      <c r="J5" s="105" t="s">
        <v>1062</v>
      </c>
      <c r="K5" s="105" t="s">
        <v>1063</v>
      </c>
      <c r="L5" s="105" t="s">
        <v>1064</v>
      </c>
      <c r="M5" s="105" t="s">
        <v>1065</v>
      </c>
      <c r="N5" s="105" t="s">
        <v>1066</v>
      </c>
      <c r="O5" s="105" t="s">
        <v>1067</v>
      </c>
      <c r="P5" s="105" t="s">
        <v>1068</v>
      </c>
      <c r="Q5" s="105" t="s">
        <v>1069</v>
      </c>
      <c r="R5" s="105" t="s">
        <v>1070</v>
      </c>
      <c r="S5" s="105" t="s">
        <v>1071</v>
      </c>
      <c r="T5" s="105" t="s">
        <v>1072</v>
      </c>
      <c r="V5" s="105" t="s">
        <v>1073</v>
      </c>
      <c r="W5" s="105" t="s">
        <v>19</v>
      </c>
      <c r="X5" s="105" t="s">
        <v>1074</v>
      </c>
    </row>
    <row r="6" spans="1:25" ht="14.25" x14ac:dyDescent="0.2">
      <c r="A6" s="112">
        <f>31</f>
        <v>31</v>
      </c>
      <c r="B6" s="112">
        <v>2021</v>
      </c>
      <c r="C6" s="113"/>
      <c r="D6" s="114">
        <f>O6*26</f>
        <v>78000</v>
      </c>
      <c r="E6" s="115"/>
      <c r="F6" s="114"/>
      <c r="G6" s="116">
        <f>D6*0.63</f>
        <v>49140</v>
      </c>
      <c r="H6" s="116">
        <f>O6*2</f>
        <v>6000</v>
      </c>
      <c r="I6" s="116">
        <f>G6/13</f>
        <v>3780</v>
      </c>
      <c r="J6" s="117"/>
      <c r="K6" s="117"/>
      <c r="L6" s="117"/>
      <c r="M6" s="117"/>
      <c r="N6" s="117"/>
      <c r="O6" s="118">
        <v>3000</v>
      </c>
      <c r="P6" s="119">
        <v>0.08</v>
      </c>
      <c r="Q6" s="119"/>
      <c r="R6" s="118">
        <v>3120</v>
      </c>
      <c r="S6" s="120"/>
      <c r="T6" s="120">
        <v>960</v>
      </c>
      <c r="U6" s="121"/>
      <c r="V6" s="121">
        <f>T6+R6</f>
        <v>4080</v>
      </c>
      <c r="W6" s="122">
        <f>FV(W3/12,12,-1*V6/12)</f>
        <v>4174.8108671494474</v>
      </c>
      <c r="X6" s="123"/>
      <c r="Y6" s="124">
        <f t="shared" ref="Y6:Y42" si="0">$Y$43/(1+0.04)^(67-A6)</f>
        <v>548254.62416961894</v>
      </c>
    </row>
    <row r="7" spans="1:25" ht="14.25" x14ac:dyDescent="0.2">
      <c r="A7" s="125">
        <f>A6+1</f>
        <v>32</v>
      </c>
      <c r="B7" s="125">
        <f>B6+1</f>
        <v>2022</v>
      </c>
      <c r="C7" s="126"/>
      <c r="D7" s="127">
        <f>D6*1.05+C7</f>
        <v>81900</v>
      </c>
      <c r="E7" s="128"/>
      <c r="F7" s="127"/>
      <c r="G7" s="129">
        <f t="shared" ref="G7:G43" si="1">D7*0.63</f>
        <v>51597</v>
      </c>
      <c r="H7" s="129">
        <f t="shared" ref="H7:H43" si="2">O7*2</f>
        <v>6300</v>
      </c>
      <c r="I7" s="129">
        <f t="shared" ref="I7:I43" si="3">G7/13</f>
        <v>3969</v>
      </c>
      <c r="J7" s="130">
        <f t="shared" ref="J7:J42" si="4">Q7*2</f>
        <v>756</v>
      </c>
      <c r="K7" s="130">
        <f>I7-J7</f>
        <v>3213</v>
      </c>
      <c r="L7" s="130">
        <f>K7*12</f>
        <v>38556</v>
      </c>
      <c r="M7" s="130">
        <f>G7*0.33</f>
        <v>17027.010000000002</v>
      </c>
      <c r="N7" s="130">
        <f>L7-M7</f>
        <v>21528.989999999998</v>
      </c>
      <c r="O7" s="131">
        <f t="shared" ref="O7:O43" si="5">D7/26</f>
        <v>3150</v>
      </c>
      <c r="P7" s="132">
        <f>$P$2</f>
        <v>0.12</v>
      </c>
      <c r="Q7" s="133">
        <f>P7*O7</f>
        <v>378</v>
      </c>
      <c r="R7" s="133">
        <f>Q7*26</f>
        <v>9828</v>
      </c>
      <c r="S7" s="134">
        <f t="shared" ref="S7:S42" si="6">MIN(Q7*0.5, O7*0.08*0.5)</f>
        <v>126</v>
      </c>
      <c r="T7" s="134">
        <f>S7*26</f>
        <v>3276</v>
      </c>
      <c r="U7" s="135"/>
      <c r="V7" s="135">
        <f t="shared" ref="V7:V24" si="7">MIN(T7+R7,19500)</f>
        <v>13104</v>
      </c>
      <c r="W7" s="136">
        <f>FV($W$3/12,12,-1*V7/12,-1*W6)</f>
        <v>17796.912311254793</v>
      </c>
      <c r="X7" s="137"/>
      <c r="Y7" s="107">
        <f t="shared" si="0"/>
        <v>570184.80913640361</v>
      </c>
    </row>
    <row r="8" spans="1:25" ht="14.25" x14ac:dyDescent="0.2">
      <c r="A8" s="125">
        <f t="shared" ref="A8:B23" si="8">A7+1</f>
        <v>33</v>
      </c>
      <c r="B8" s="125">
        <f t="shared" si="8"/>
        <v>2023</v>
      </c>
      <c r="C8" s="126"/>
      <c r="D8" s="127">
        <f t="shared" ref="D8:D42" si="9">D7*1.02+C8</f>
        <v>83538</v>
      </c>
      <c r="E8" s="128"/>
      <c r="F8" s="127"/>
      <c r="G8" s="129">
        <f t="shared" si="1"/>
        <v>52628.94</v>
      </c>
      <c r="H8" s="129">
        <f t="shared" si="2"/>
        <v>6426</v>
      </c>
      <c r="I8" s="129">
        <f t="shared" si="3"/>
        <v>4048.38</v>
      </c>
      <c r="J8" s="130">
        <f t="shared" si="4"/>
        <v>771.12</v>
      </c>
      <c r="K8" s="130">
        <f t="shared" ref="K8:K42" si="10">I8-J8</f>
        <v>3277.26</v>
      </c>
      <c r="L8" s="130">
        <f t="shared" ref="L8:L43" si="11">K8*12</f>
        <v>39327.120000000003</v>
      </c>
      <c r="M8" s="130">
        <f t="shared" ref="M8:M42" si="12">G8*0.33</f>
        <v>17367.550200000001</v>
      </c>
      <c r="N8" s="130">
        <f t="shared" ref="N8:N42" si="13">L8-M8</f>
        <v>21959.569800000001</v>
      </c>
      <c r="O8" s="131">
        <f t="shared" si="5"/>
        <v>3213</v>
      </c>
      <c r="P8" s="132">
        <f t="shared" ref="P8:P42" si="14">$P$2</f>
        <v>0.12</v>
      </c>
      <c r="Q8" s="133">
        <f t="shared" ref="Q8:Q42" si="15">P8*O8</f>
        <v>385.56</v>
      </c>
      <c r="R8" s="133">
        <f t="shared" ref="R8:R42" si="16">Q8*26</f>
        <v>10024.56</v>
      </c>
      <c r="S8" s="134">
        <f t="shared" si="6"/>
        <v>128.52000000000001</v>
      </c>
      <c r="T8" s="134">
        <f t="shared" ref="T8:T42" si="17">S8*26</f>
        <v>3341.5200000000004</v>
      </c>
      <c r="U8" s="135"/>
      <c r="V8" s="135">
        <f t="shared" si="7"/>
        <v>13366.08</v>
      </c>
      <c r="W8" s="136">
        <f t="shared" ref="W8:W42" si="18">FV($W$3/12,12,-1*V8/12,-1*W7)</f>
        <v>32384.116522314962</v>
      </c>
      <c r="X8" s="137"/>
      <c r="Y8" s="107">
        <f t="shared" si="0"/>
        <v>592992.20150185982</v>
      </c>
    </row>
    <row r="9" spans="1:25" ht="14.25" x14ac:dyDescent="0.2">
      <c r="A9" s="125">
        <f t="shared" si="8"/>
        <v>34</v>
      </c>
      <c r="B9" s="125">
        <f t="shared" si="8"/>
        <v>2024</v>
      </c>
      <c r="C9" s="126"/>
      <c r="D9" s="127">
        <f t="shared" si="9"/>
        <v>85208.76</v>
      </c>
      <c r="E9" s="128"/>
      <c r="F9" s="127"/>
      <c r="G9" s="129">
        <f t="shared" si="1"/>
        <v>53681.518799999998</v>
      </c>
      <c r="H9" s="129">
        <f t="shared" si="2"/>
        <v>6554.5199999999995</v>
      </c>
      <c r="I9" s="129">
        <f t="shared" si="3"/>
        <v>4129.3476000000001</v>
      </c>
      <c r="J9" s="130">
        <f t="shared" si="4"/>
        <v>786.54239999999993</v>
      </c>
      <c r="K9" s="130">
        <f t="shared" si="10"/>
        <v>3342.8052000000002</v>
      </c>
      <c r="L9" s="130">
        <f t="shared" si="11"/>
        <v>40113.662400000001</v>
      </c>
      <c r="M9" s="130">
        <f t="shared" si="12"/>
        <v>17714.901204000002</v>
      </c>
      <c r="N9" s="130">
        <f t="shared" si="13"/>
        <v>22398.761195999999</v>
      </c>
      <c r="O9" s="131">
        <f t="shared" si="5"/>
        <v>3277.2599999999998</v>
      </c>
      <c r="P9" s="132">
        <f t="shared" si="14"/>
        <v>0.12</v>
      </c>
      <c r="Q9" s="133">
        <f t="shared" si="15"/>
        <v>393.27119999999996</v>
      </c>
      <c r="R9" s="133">
        <f t="shared" si="16"/>
        <v>10225.0512</v>
      </c>
      <c r="S9" s="134">
        <f t="shared" si="6"/>
        <v>131.09039999999999</v>
      </c>
      <c r="T9" s="134">
        <f t="shared" si="17"/>
        <v>3408.3503999999998</v>
      </c>
      <c r="U9" s="135"/>
      <c r="V9" s="135">
        <f t="shared" si="7"/>
        <v>13633.401599999999</v>
      </c>
      <c r="W9" s="136">
        <f t="shared" si="18"/>
        <v>47991.163393617018</v>
      </c>
      <c r="X9" s="137"/>
      <c r="Y9" s="107">
        <f t="shared" si="0"/>
        <v>616711.88956193428</v>
      </c>
    </row>
    <row r="10" spans="1:25" ht="14.25" x14ac:dyDescent="0.2">
      <c r="A10" s="125">
        <f t="shared" si="8"/>
        <v>35</v>
      </c>
      <c r="B10" s="125">
        <f t="shared" si="8"/>
        <v>2025</v>
      </c>
      <c r="C10" s="126"/>
      <c r="D10" s="127">
        <f t="shared" si="9"/>
        <v>86912.935199999993</v>
      </c>
      <c r="E10" s="128">
        <v>2.1</v>
      </c>
      <c r="F10" s="127">
        <f>D10*2.1</f>
        <v>182517.16391999999</v>
      </c>
      <c r="G10" s="129">
        <f t="shared" si="1"/>
        <v>54755.149175999999</v>
      </c>
      <c r="H10" s="129">
        <f t="shared" si="2"/>
        <v>6685.6103999999996</v>
      </c>
      <c r="I10" s="129">
        <f t="shared" si="3"/>
        <v>4211.9345519999997</v>
      </c>
      <c r="J10" s="138">
        <f t="shared" si="4"/>
        <v>802.27324799999997</v>
      </c>
      <c r="K10" s="138">
        <f t="shared" si="10"/>
        <v>3409.6613039999997</v>
      </c>
      <c r="L10" s="138">
        <f t="shared" si="11"/>
        <v>40915.935647999999</v>
      </c>
      <c r="M10" s="138">
        <f t="shared" si="12"/>
        <v>18069.19922808</v>
      </c>
      <c r="N10" s="138">
        <f t="shared" si="13"/>
        <v>22846.736419919998</v>
      </c>
      <c r="O10" s="131">
        <f t="shared" si="5"/>
        <v>3342.8051999999998</v>
      </c>
      <c r="P10" s="132">
        <f t="shared" si="14"/>
        <v>0.12</v>
      </c>
      <c r="Q10" s="133">
        <f t="shared" si="15"/>
        <v>401.13662399999998</v>
      </c>
      <c r="R10" s="133">
        <f t="shared" si="16"/>
        <v>10429.552223999999</v>
      </c>
      <c r="S10" s="134">
        <f t="shared" si="6"/>
        <v>133.712208</v>
      </c>
      <c r="T10" s="134">
        <f t="shared" si="17"/>
        <v>3476.5174080000002</v>
      </c>
      <c r="U10" s="135"/>
      <c r="V10" s="135">
        <f t="shared" si="7"/>
        <v>13906.069631999999</v>
      </c>
      <c r="W10" s="136">
        <f t="shared" si="18"/>
        <v>64675.700683359995</v>
      </c>
      <c r="X10" s="139">
        <f>W10/F10-1</f>
        <v>-0.64564592559794365</v>
      </c>
      <c r="Y10" s="140">
        <f t="shared" si="0"/>
        <v>641380.36514441168</v>
      </c>
    </row>
    <row r="11" spans="1:25" ht="14.25" x14ac:dyDescent="0.2">
      <c r="A11" s="125">
        <f t="shared" si="8"/>
        <v>36</v>
      </c>
      <c r="B11" s="125">
        <f t="shared" si="8"/>
        <v>2026</v>
      </c>
      <c r="C11" s="126"/>
      <c r="D11" s="127">
        <f t="shared" si="9"/>
        <v>88651.193904</v>
      </c>
      <c r="E11" s="128"/>
      <c r="F11" s="127"/>
      <c r="G11" s="129">
        <f t="shared" si="1"/>
        <v>55850.252159520001</v>
      </c>
      <c r="H11" s="129">
        <f t="shared" si="2"/>
        <v>6819.3226080000004</v>
      </c>
      <c r="I11" s="129">
        <f t="shared" si="3"/>
        <v>4296.1732430399998</v>
      </c>
      <c r="J11" s="130">
        <f t="shared" si="4"/>
        <v>818.31871295999997</v>
      </c>
      <c r="K11" s="130">
        <f t="shared" si="10"/>
        <v>3477.8545300799997</v>
      </c>
      <c r="L11" s="130">
        <f t="shared" si="11"/>
        <v>41734.254360959996</v>
      </c>
      <c r="M11" s="130">
        <f t="shared" si="12"/>
        <v>18430.583212641603</v>
      </c>
      <c r="N11" s="130">
        <f t="shared" si="13"/>
        <v>23303.671148318394</v>
      </c>
      <c r="O11" s="131">
        <f t="shared" si="5"/>
        <v>3409.6613040000002</v>
      </c>
      <c r="P11" s="132">
        <f t="shared" si="14"/>
        <v>0.12</v>
      </c>
      <c r="Q11" s="133">
        <f t="shared" si="15"/>
        <v>409.15935647999999</v>
      </c>
      <c r="R11" s="133">
        <f t="shared" si="16"/>
        <v>10638.14326848</v>
      </c>
      <c r="S11" s="134">
        <f t="shared" si="6"/>
        <v>136.38645216</v>
      </c>
      <c r="T11" s="134">
        <f t="shared" si="17"/>
        <v>3546.0477561600001</v>
      </c>
      <c r="U11" s="135"/>
      <c r="V11" s="135">
        <f t="shared" si="7"/>
        <v>14184.19102464</v>
      </c>
      <c r="W11" s="136">
        <f t="shared" si="18"/>
        <v>82498.434931904238</v>
      </c>
      <c r="X11" s="137"/>
      <c r="Y11" s="107">
        <f t="shared" si="0"/>
        <v>667035.57975018816</v>
      </c>
    </row>
    <row r="12" spans="1:25" ht="14.25" x14ac:dyDescent="0.2">
      <c r="A12" s="125">
        <f t="shared" si="8"/>
        <v>37</v>
      </c>
      <c r="B12" s="125">
        <f t="shared" si="8"/>
        <v>2027</v>
      </c>
      <c r="C12" s="126"/>
      <c r="D12" s="127">
        <f t="shared" si="9"/>
        <v>90424.217782079999</v>
      </c>
      <c r="E12" s="128"/>
      <c r="F12" s="127"/>
      <c r="G12" s="129">
        <f t="shared" si="1"/>
        <v>56967.257202710396</v>
      </c>
      <c r="H12" s="129">
        <f t="shared" si="2"/>
        <v>6955.7090601600003</v>
      </c>
      <c r="I12" s="129">
        <f t="shared" si="3"/>
        <v>4382.0967079007996</v>
      </c>
      <c r="J12" s="130">
        <f t="shared" si="4"/>
        <v>834.6850872192</v>
      </c>
      <c r="K12" s="130">
        <f t="shared" si="10"/>
        <v>3547.4116206815997</v>
      </c>
      <c r="L12" s="130">
        <f t="shared" si="11"/>
        <v>42568.939448179197</v>
      </c>
      <c r="M12" s="130">
        <f t="shared" si="12"/>
        <v>18799.194876894431</v>
      </c>
      <c r="N12" s="130">
        <f t="shared" si="13"/>
        <v>23769.744571284766</v>
      </c>
      <c r="O12" s="131">
        <f t="shared" si="5"/>
        <v>3477.8545300800001</v>
      </c>
      <c r="P12" s="132">
        <f t="shared" si="14"/>
        <v>0.12</v>
      </c>
      <c r="Q12" s="133">
        <f t="shared" si="15"/>
        <v>417.3425436096</v>
      </c>
      <c r="R12" s="133">
        <f t="shared" si="16"/>
        <v>10850.906133849599</v>
      </c>
      <c r="S12" s="134">
        <f t="shared" si="6"/>
        <v>139.11418120320002</v>
      </c>
      <c r="T12" s="134">
        <f t="shared" si="17"/>
        <v>3616.9687112832007</v>
      </c>
      <c r="U12" s="135"/>
      <c r="V12" s="135">
        <f t="shared" si="7"/>
        <v>14467.874845132799</v>
      </c>
      <c r="W12" s="136">
        <f t="shared" si="18"/>
        <v>101523.29014314084</v>
      </c>
      <c r="X12" s="137"/>
      <c r="Y12" s="107">
        <f t="shared" si="0"/>
        <v>693717.00294019573</v>
      </c>
    </row>
    <row r="13" spans="1:25" ht="14.25" x14ac:dyDescent="0.2">
      <c r="A13" s="125">
        <f t="shared" si="8"/>
        <v>38</v>
      </c>
      <c r="B13" s="125">
        <f t="shared" si="8"/>
        <v>2028</v>
      </c>
      <c r="C13" s="126"/>
      <c r="D13" s="127">
        <f t="shared" si="9"/>
        <v>92232.702137721601</v>
      </c>
      <c r="E13" s="128"/>
      <c r="F13" s="127"/>
      <c r="G13" s="129">
        <f t="shared" si="1"/>
        <v>58106.602346764608</v>
      </c>
      <c r="H13" s="129">
        <f t="shared" si="2"/>
        <v>7094.8232413632004</v>
      </c>
      <c r="I13" s="129">
        <f t="shared" si="3"/>
        <v>4469.7386420588164</v>
      </c>
      <c r="J13" s="130">
        <f t="shared" si="4"/>
        <v>851.37878896358404</v>
      </c>
      <c r="K13" s="130">
        <f t="shared" si="10"/>
        <v>3618.3598530952322</v>
      </c>
      <c r="L13" s="130">
        <f t="shared" si="11"/>
        <v>43420.318237142783</v>
      </c>
      <c r="M13" s="130">
        <f t="shared" si="12"/>
        <v>19175.178774432323</v>
      </c>
      <c r="N13" s="130">
        <f t="shared" si="13"/>
        <v>24245.13946271046</v>
      </c>
      <c r="O13" s="131">
        <f t="shared" si="5"/>
        <v>3547.4116206816002</v>
      </c>
      <c r="P13" s="132">
        <f t="shared" si="14"/>
        <v>0.12</v>
      </c>
      <c r="Q13" s="133">
        <f t="shared" si="15"/>
        <v>425.68939448179202</v>
      </c>
      <c r="R13" s="133">
        <f t="shared" si="16"/>
        <v>11067.924256526592</v>
      </c>
      <c r="S13" s="134">
        <f t="shared" si="6"/>
        <v>141.896464827264</v>
      </c>
      <c r="T13" s="134">
        <f t="shared" si="17"/>
        <v>3689.3080855088638</v>
      </c>
      <c r="U13" s="135"/>
      <c r="V13" s="135">
        <f t="shared" si="7"/>
        <v>14757.232342035455</v>
      </c>
      <c r="W13" s="136">
        <f t="shared" si="18"/>
        <v>121817.57462806645</v>
      </c>
      <c r="X13" s="137"/>
      <c r="Y13" s="107">
        <f t="shared" si="0"/>
        <v>721465.68305780343</v>
      </c>
    </row>
    <row r="14" spans="1:25" ht="14.25" x14ac:dyDescent="0.2">
      <c r="A14" s="125">
        <f t="shared" si="8"/>
        <v>39</v>
      </c>
      <c r="B14" s="125">
        <f t="shared" si="8"/>
        <v>2029</v>
      </c>
      <c r="C14" s="126"/>
      <c r="D14" s="127">
        <f t="shared" si="9"/>
        <v>94077.356180476039</v>
      </c>
      <c r="E14" s="128"/>
      <c r="F14" s="127"/>
      <c r="G14" s="129">
        <f t="shared" si="1"/>
        <v>59268.734393699902</v>
      </c>
      <c r="H14" s="129">
        <f t="shared" si="2"/>
        <v>7236.7197061904644</v>
      </c>
      <c r="I14" s="129">
        <f t="shared" si="3"/>
        <v>4559.1334148999922</v>
      </c>
      <c r="J14" s="130">
        <f t="shared" si="4"/>
        <v>868.40636474285566</v>
      </c>
      <c r="K14" s="130">
        <f t="shared" si="10"/>
        <v>3690.7270501571365</v>
      </c>
      <c r="L14" s="130">
        <f t="shared" si="11"/>
        <v>44288.724601885639</v>
      </c>
      <c r="M14" s="130">
        <f t="shared" si="12"/>
        <v>19558.682349920968</v>
      </c>
      <c r="N14" s="130">
        <f t="shared" si="13"/>
        <v>24730.042251964671</v>
      </c>
      <c r="O14" s="131">
        <f t="shared" si="5"/>
        <v>3618.3598530952322</v>
      </c>
      <c r="P14" s="132">
        <f t="shared" si="14"/>
        <v>0.12</v>
      </c>
      <c r="Q14" s="133">
        <f t="shared" si="15"/>
        <v>434.20318237142783</v>
      </c>
      <c r="R14" s="133">
        <f t="shared" si="16"/>
        <v>11289.282741657124</v>
      </c>
      <c r="S14" s="134">
        <f t="shared" si="6"/>
        <v>144.7343941238093</v>
      </c>
      <c r="T14" s="134">
        <f t="shared" si="17"/>
        <v>3763.0942472190418</v>
      </c>
      <c r="U14" s="135"/>
      <c r="V14" s="135">
        <f t="shared" si="7"/>
        <v>15052.376988876165</v>
      </c>
      <c r="W14" s="136">
        <f t="shared" si="18"/>
        <v>143452.15642903274</v>
      </c>
      <c r="X14" s="137"/>
      <c r="Y14" s="107">
        <f t="shared" si="0"/>
        <v>750324.31038011564</v>
      </c>
    </row>
    <row r="15" spans="1:25" ht="14.25" x14ac:dyDescent="0.2">
      <c r="A15" s="125">
        <f t="shared" si="8"/>
        <v>40</v>
      </c>
      <c r="B15" s="125">
        <f t="shared" si="8"/>
        <v>2030</v>
      </c>
      <c r="C15" s="126"/>
      <c r="D15" s="127">
        <f t="shared" si="9"/>
        <v>95958.903304085557</v>
      </c>
      <c r="E15" s="128">
        <v>3</v>
      </c>
      <c r="F15" s="127">
        <f>E15*D15</f>
        <v>287876.70991225669</v>
      </c>
      <c r="G15" s="129">
        <f t="shared" si="1"/>
        <v>60454.109081573901</v>
      </c>
      <c r="H15" s="129">
        <f t="shared" si="2"/>
        <v>7381.454100314274</v>
      </c>
      <c r="I15" s="129">
        <f t="shared" si="3"/>
        <v>4650.3160831979922</v>
      </c>
      <c r="J15" s="138">
        <f t="shared" si="4"/>
        <v>885.77449203771289</v>
      </c>
      <c r="K15" s="138">
        <f t="shared" si="10"/>
        <v>3764.5415911602795</v>
      </c>
      <c r="L15" s="138">
        <f t="shared" si="11"/>
        <v>45174.499093923354</v>
      </c>
      <c r="M15" s="138">
        <f t="shared" si="12"/>
        <v>19949.855996919388</v>
      </c>
      <c r="N15" s="138">
        <f t="shared" si="13"/>
        <v>25224.643097003966</v>
      </c>
      <c r="O15" s="131">
        <f t="shared" si="5"/>
        <v>3690.727050157137</v>
      </c>
      <c r="P15" s="132">
        <f t="shared" si="14"/>
        <v>0.12</v>
      </c>
      <c r="Q15" s="133">
        <f t="shared" si="15"/>
        <v>442.88724601885644</v>
      </c>
      <c r="R15" s="133">
        <f t="shared" si="16"/>
        <v>11515.068396490267</v>
      </c>
      <c r="S15" s="134">
        <f t="shared" si="6"/>
        <v>147.62908200628547</v>
      </c>
      <c r="T15" s="134">
        <f t="shared" si="17"/>
        <v>3838.3561321634224</v>
      </c>
      <c r="U15" s="135"/>
      <c r="V15" s="135">
        <f t="shared" si="7"/>
        <v>15353.42452865369</v>
      </c>
      <c r="W15" s="136">
        <f t="shared" si="18"/>
        <v>166501.64776456699</v>
      </c>
      <c r="X15" s="139">
        <f>W15/F15-1</f>
        <v>-0.42162168028349423</v>
      </c>
      <c r="Y15" s="140">
        <f t="shared" si="0"/>
        <v>780337.28279532038</v>
      </c>
    </row>
    <row r="16" spans="1:25" ht="14.25" x14ac:dyDescent="0.2">
      <c r="A16" s="125">
        <f t="shared" si="8"/>
        <v>41</v>
      </c>
      <c r="B16" s="125">
        <f t="shared" si="8"/>
        <v>2031</v>
      </c>
      <c r="C16" s="126"/>
      <c r="D16" s="127">
        <f t="shared" si="9"/>
        <v>97878.081370167274</v>
      </c>
      <c r="E16" s="128"/>
      <c r="F16" s="127"/>
      <c r="G16" s="129">
        <f t="shared" si="1"/>
        <v>61663.191263205386</v>
      </c>
      <c r="H16" s="129">
        <f t="shared" si="2"/>
        <v>7529.0831823205599</v>
      </c>
      <c r="I16" s="129">
        <f t="shared" si="3"/>
        <v>4743.3224048619531</v>
      </c>
      <c r="J16" s="130">
        <f t="shared" si="4"/>
        <v>903.48998187846712</v>
      </c>
      <c r="K16" s="130">
        <f t="shared" si="10"/>
        <v>3839.8324229834861</v>
      </c>
      <c r="L16" s="130">
        <f t="shared" si="11"/>
        <v>46077.98907580183</v>
      </c>
      <c r="M16" s="130">
        <f t="shared" si="12"/>
        <v>20348.853116857779</v>
      </c>
      <c r="N16" s="130">
        <f t="shared" si="13"/>
        <v>25729.135958944051</v>
      </c>
      <c r="O16" s="131">
        <f t="shared" si="5"/>
        <v>3764.5415911602799</v>
      </c>
      <c r="P16" s="132">
        <f t="shared" si="14"/>
        <v>0.12</v>
      </c>
      <c r="Q16" s="133">
        <f t="shared" si="15"/>
        <v>451.74499093923356</v>
      </c>
      <c r="R16" s="133">
        <f t="shared" si="16"/>
        <v>11745.369764420073</v>
      </c>
      <c r="S16" s="134">
        <f t="shared" si="6"/>
        <v>150.58166364641122</v>
      </c>
      <c r="T16" s="134">
        <f t="shared" si="17"/>
        <v>3915.1232548066914</v>
      </c>
      <c r="U16" s="135"/>
      <c r="V16" s="135">
        <f t="shared" si="7"/>
        <v>15660.493019226764</v>
      </c>
      <c r="W16" s="136">
        <f t="shared" si="18"/>
        <v>191044.59895718368</v>
      </c>
      <c r="X16" s="137"/>
      <c r="Y16" s="107">
        <f t="shared" si="0"/>
        <v>811550.77410713327</v>
      </c>
    </row>
    <row r="17" spans="1:25" ht="14.25" x14ac:dyDescent="0.2">
      <c r="A17" s="125">
        <f t="shared" si="8"/>
        <v>42</v>
      </c>
      <c r="B17" s="125">
        <f t="shared" si="8"/>
        <v>2032</v>
      </c>
      <c r="C17" s="126"/>
      <c r="D17" s="127">
        <f t="shared" si="9"/>
        <v>99835.642997570627</v>
      </c>
      <c r="E17" s="128"/>
      <c r="F17" s="127"/>
      <c r="G17" s="129">
        <f t="shared" si="1"/>
        <v>62896.455088469498</v>
      </c>
      <c r="H17" s="129">
        <f t="shared" si="2"/>
        <v>7679.6648459669714</v>
      </c>
      <c r="I17" s="129">
        <f t="shared" si="3"/>
        <v>4838.1888529591924</v>
      </c>
      <c r="J17" s="130">
        <f t="shared" si="4"/>
        <v>921.55978151603654</v>
      </c>
      <c r="K17" s="130">
        <f t="shared" si="10"/>
        <v>3916.6290714431561</v>
      </c>
      <c r="L17" s="130">
        <f t="shared" si="11"/>
        <v>46999.548857317874</v>
      </c>
      <c r="M17" s="130">
        <f t="shared" si="12"/>
        <v>20755.830179194934</v>
      </c>
      <c r="N17" s="130">
        <f t="shared" si="13"/>
        <v>26243.718678122939</v>
      </c>
      <c r="O17" s="131">
        <f t="shared" si="5"/>
        <v>3839.8324229834857</v>
      </c>
      <c r="P17" s="132">
        <f t="shared" si="14"/>
        <v>0.12</v>
      </c>
      <c r="Q17" s="133">
        <f t="shared" si="15"/>
        <v>460.77989075801827</v>
      </c>
      <c r="R17" s="133">
        <f t="shared" si="16"/>
        <v>11980.277159708476</v>
      </c>
      <c r="S17" s="134">
        <f t="shared" si="6"/>
        <v>153.59329691933942</v>
      </c>
      <c r="T17" s="134">
        <f t="shared" si="17"/>
        <v>3993.4257199028252</v>
      </c>
      <c r="U17" s="135"/>
      <c r="V17" s="135">
        <f t="shared" si="7"/>
        <v>15973.702879611301</v>
      </c>
      <c r="W17" s="136">
        <f t="shared" si="18"/>
        <v>217163.70233028432</v>
      </c>
      <c r="X17" s="137"/>
      <c r="Y17" s="107">
        <f t="shared" si="0"/>
        <v>844012.80507141852</v>
      </c>
    </row>
    <row r="18" spans="1:25" ht="14.25" x14ac:dyDescent="0.2">
      <c r="A18" s="125">
        <f t="shared" si="8"/>
        <v>43</v>
      </c>
      <c r="B18" s="125">
        <f t="shared" si="8"/>
        <v>2033</v>
      </c>
      <c r="C18" s="126"/>
      <c r="D18" s="127">
        <f t="shared" si="9"/>
        <v>101832.35585752204</v>
      </c>
      <c r="E18" s="128"/>
      <c r="F18" s="127"/>
      <c r="G18" s="129">
        <f t="shared" si="1"/>
        <v>64154.384190238881</v>
      </c>
      <c r="H18" s="129">
        <f t="shared" si="2"/>
        <v>7833.2581428863105</v>
      </c>
      <c r="I18" s="129">
        <f t="shared" si="3"/>
        <v>4934.9526300183752</v>
      </c>
      <c r="J18" s="130">
        <f t="shared" si="4"/>
        <v>939.99097714635718</v>
      </c>
      <c r="K18" s="130">
        <f t="shared" si="10"/>
        <v>3994.961652872018</v>
      </c>
      <c r="L18" s="130">
        <f t="shared" si="11"/>
        <v>47939.539834464216</v>
      </c>
      <c r="M18" s="130">
        <f t="shared" si="12"/>
        <v>21170.946782778832</v>
      </c>
      <c r="N18" s="130">
        <f t="shared" si="13"/>
        <v>26768.593051685384</v>
      </c>
      <c r="O18" s="131">
        <f t="shared" si="5"/>
        <v>3916.6290714431552</v>
      </c>
      <c r="P18" s="132">
        <f t="shared" si="14"/>
        <v>0.12</v>
      </c>
      <c r="Q18" s="133">
        <f t="shared" si="15"/>
        <v>469.99548857317859</v>
      </c>
      <c r="R18" s="133">
        <f t="shared" si="16"/>
        <v>12219.882702902643</v>
      </c>
      <c r="S18" s="134">
        <f t="shared" si="6"/>
        <v>156.66516285772622</v>
      </c>
      <c r="T18" s="134">
        <f t="shared" si="17"/>
        <v>4073.2942343008817</v>
      </c>
      <c r="U18" s="135"/>
      <c r="V18" s="135">
        <f t="shared" si="7"/>
        <v>16293.176937203525</v>
      </c>
      <c r="W18" s="136">
        <f t="shared" si="18"/>
        <v>244946.00658512989</v>
      </c>
      <c r="X18" s="137"/>
      <c r="Y18" s="107">
        <f t="shared" si="0"/>
        <v>877773.31727427535</v>
      </c>
    </row>
    <row r="19" spans="1:25" ht="14.25" x14ac:dyDescent="0.2">
      <c r="A19" s="125">
        <f t="shared" si="8"/>
        <v>44</v>
      </c>
      <c r="B19" s="125">
        <f t="shared" si="8"/>
        <v>2034</v>
      </c>
      <c r="C19" s="126"/>
      <c r="D19" s="127">
        <f t="shared" si="9"/>
        <v>103869.00297467248</v>
      </c>
      <c r="E19" s="128"/>
      <c r="F19" s="127"/>
      <c r="G19" s="129">
        <f t="shared" si="1"/>
        <v>65437.471874043658</v>
      </c>
      <c r="H19" s="129">
        <f t="shared" si="2"/>
        <v>7989.923305744037</v>
      </c>
      <c r="I19" s="129">
        <f t="shared" si="3"/>
        <v>5033.6516826187426</v>
      </c>
      <c r="J19" s="130">
        <f t="shared" si="4"/>
        <v>958.79079668928443</v>
      </c>
      <c r="K19" s="130">
        <f t="shared" si="10"/>
        <v>4074.8608859294582</v>
      </c>
      <c r="L19" s="130">
        <f t="shared" si="11"/>
        <v>48898.330631153498</v>
      </c>
      <c r="M19" s="130">
        <f t="shared" si="12"/>
        <v>21594.365718434408</v>
      </c>
      <c r="N19" s="130">
        <f t="shared" si="13"/>
        <v>27303.96491271909</v>
      </c>
      <c r="O19" s="131">
        <f t="shared" si="5"/>
        <v>3994.9616528720185</v>
      </c>
      <c r="P19" s="132">
        <f t="shared" si="14"/>
        <v>0.12</v>
      </c>
      <c r="Q19" s="133">
        <f t="shared" si="15"/>
        <v>479.39539834464222</v>
      </c>
      <c r="R19" s="133">
        <f t="shared" si="16"/>
        <v>12464.280356960699</v>
      </c>
      <c r="S19" s="134">
        <f t="shared" si="6"/>
        <v>159.79846611488074</v>
      </c>
      <c r="T19" s="134">
        <f t="shared" si="17"/>
        <v>4154.7601189868992</v>
      </c>
      <c r="U19" s="135"/>
      <c r="V19" s="135">
        <f t="shared" si="7"/>
        <v>16619.040475947597</v>
      </c>
      <c r="W19" s="136">
        <f t="shared" si="18"/>
        <v>274483.1421950332</v>
      </c>
      <c r="X19" s="137"/>
      <c r="Y19" s="107">
        <f t="shared" si="0"/>
        <v>912884.24996524653</v>
      </c>
    </row>
    <row r="20" spans="1:25" ht="14.25" x14ac:dyDescent="0.2">
      <c r="A20" s="125">
        <f t="shared" si="8"/>
        <v>45</v>
      </c>
      <c r="B20" s="125">
        <f t="shared" si="8"/>
        <v>2035</v>
      </c>
      <c r="C20" s="126"/>
      <c r="D20" s="127">
        <f t="shared" si="9"/>
        <v>105946.38303416593</v>
      </c>
      <c r="E20" s="128">
        <v>3.8</v>
      </c>
      <c r="F20" s="127">
        <f>E20*D20</f>
        <v>402596.25552983052</v>
      </c>
      <c r="G20" s="129">
        <f t="shared" si="1"/>
        <v>66746.221311524539</v>
      </c>
      <c r="H20" s="129">
        <f t="shared" si="2"/>
        <v>8149.7217718589181</v>
      </c>
      <c r="I20" s="129">
        <f t="shared" si="3"/>
        <v>5134.3247162711186</v>
      </c>
      <c r="J20" s="138">
        <f t="shared" si="4"/>
        <v>977.96661262307009</v>
      </c>
      <c r="K20" s="138">
        <f t="shared" si="10"/>
        <v>4156.3581036480482</v>
      </c>
      <c r="L20" s="138">
        <f t="shared" si="11"/>
        <v>49876.297243776578</v>
      </c>
      <c r="M20" s="138">
        <f t="shared" si="12"/>
        <v>22026.253032803099</v>
      </c>
      <c r="N20" s="138">
        <f t="shared" si="13"/>
        <v>27850.044210973479</v>
      </c>
      <c r="O20" s="131">
        <f t="shared" si="5"/>
        <v>4074.8608859294591</v>
      </c>
      <c r="P20" s="132">
        <f t="shared" si="14"/>
        <v>0.12</v>
      </c>
      <c r="Q20" s="133">
        <f t="shared" si="15"/>
        <v>488.98330631153505</v>
      </c>
      <c r="R20" s="133">
        <f t="shared" si="16"/>
        <v>12713.565964099911</v>
      </c>
      <c r="S20" s="134">
        <f t="shared" si="6"/>
        <v>162.99443543717837</v>
      </c>
      <c r="T20" s="134">
        <f t="shared" si="17"/>
        <v>4237.8553213666373</v>
      </c>
      <c r="U20" s="135"/>
      <c r="V20" s="135">
        <f t="shared" si="7"/>
        <v>16951.421285466549</v>
      </c>
      <c r="W20" s="136">
        <f t="shared" si="18"/>
        <v>305871.55838141841</v>
      </c>
      <c r="X20" s="139">
        <f>W20/F20-1</f>
        <v>-0.24025235162984582</v>
      </c>
      <c r="Y20" s="140">
        <f t="shared" si="0"/>
        <v>949399.6199638563</v>
      </c>
    </row>
    <row r="21" spans="1:25" ht="14.25" x14ac:dyDescent="0.2">
      <c r="A21" s="125">
        <f t="shared" si="8"/>
        <v>46</v>
      </c>
      <c r="B21" s="125">
        <f t="shared" si="8"/>
        <v>2036</v>
      </c>
      <c r="C21" s="126"/>
      <c r="D21" s="127">
        <f t="shared" si="9"/>
        <v>108065.31069484925</v>
      </c>
      <c r="E21" s="128"/>
      <c r="F21" s="127"/>
      <c r="G21" s="129">
        <f t="shared" si="1"/>
        <v>68081.145737755025</v>
      </c>
      <c r="H21" s="129">
        <f t="shared" si="2"/>
        <v>8312.7162072960964</v>
      </c>
      <c r="I21" s="129">
        <f t="shared" si="3"/>
        <v>5237.01121059654</v>
      </c>
      <c r="J21" s="130">
        <f t="shared" si="4"/>
        <v>997.52594487553154</v>
      </c>
      <c r="K21" s="130">
        <f t="shared" si="10"/>
        <v>4239.4852657210085</v>
      </c>
      <c r="L21" s="130">
        <f t="shared" si="11"/>
        <v>50873.823188652103</v>
      </c>
      <c r="M21" s="130">
        <f t="shared" si="12"/>
        <v>22466.778093459161</v>
      </c>
      <c r="N21" s="130">
        <f t="shared" si="13"/>
        <v>28407.045095192942</v>
      </c>
      <c r="O21" s="131">
        <f t="shared" si="5"/>
        <v>4156.3581036480482</v>
      </c>
      <c r="P21" s="132">
        <f t="shared" si="14"/>
        <v>0.12</v>
      </c>
      <c r="Q21" s="133">
        <f t="shared" si="15"/>
        <v>498.76297243776577</v>
      </c>
      <c r="R21" s="133">
        <f t="shared" si="16"/>
        <v>12967.83728338191</v>
      </c>
      <c r="S21" s="134">
        <f t="shared" si="6"/>
        <v>166.25432414592194</v>
      </c>
      <c r="T21" s="134">
        <f t="shared" si="17"/>
        <v>4322.6124277939707</v>
      </c>
      <c r="U21" s="135"/>
      <c r="V21" s="135">
        <f t="shared" si="7"/>
        <v>17290.449711175883</v>
      </c>
      <c r="W21" s="136">
        <f t="shared" si="18"/>
        <v>339212.77226530371</v>
      </c>
      <c r="X21" s="137"/>
      <c r="Y21" s="107">
        <f t="shared" si="0"/>
        <v>987375.60476241051</v>
      </c>
    </row>
    <row r="22" spans="1:25" ht="14.25" x14ac:dyDescent="0.2">
      <c r="A22" s="125">
        <f t="shared" si="8"/>
        <v>47</v>
      </c>
      <c r="B22" s="125">
        <f t="shared" si="8"/>
        <v>2037</v>
      </c>
      <c r="C22" s="126"/>
      <c r="D22" s="127">
        <f t="shared" si="9"/>
        <v>110226.61690874623</v>
      </c>
      <c r="E22" s="128"/>
      <c r="F22" s="127"/>
      <c r="G22" s="129">
        <f t="shared" si="1"/>
        <v>69442.768652510131</v>
      </c>
      <c r="H22" s="129">
        <f t="shared" si="2"/>
        <v>8478.9705314420171</v>
      </c>
      <c r="I22" s="129">
        <f t="shared" si="3"/>
        <v>5341.7514348084715</v>
      </c>
      <c r="J22" s="130">
        <f t="shared" si="4"/>
        <v>1017.476463773042</v>
      </c>
      <c r="K22" s="130">
        <f t="shared" si="10"/>
        <v>4324.2749710354292</v>
      </c>
      <c r="L22" s="130">
        <f t="shared" si="11"/>
        <v>51891.29965242515</v>
      </c>
      <c r="M22" s="130">
        <f t="shared" si="12"/>
        <v>22916.113655328343</v>
      </c>
      <c r="N22" s="130">
        <f t="shared" si="13"/>
        <v>28975.185997096807</v>
      </c>
      <c r="O22" s="131">
        <f t="shared" si="5"/>
        <v>4239.4852657210085</v>
      </c>
      <c r="P22" s="132">
        <f t="shared" si="14"/>
        <v>0.12</v>
      </c>
      <c r="Q22" s="133">
        <f t="shared" si="15"/>
        <v>508.73823188652102</v>
      </c>
      <c r="R22" s="133">
        <f t="shared" si="16"/>
        <v>13227.194029049546</v>
      </c>
      <c r="S22" s="134">
        <f t="shared" si="6"/>
        <v>169.57941062884035</v>
      </c>
      <c r="T22" s="134">
        <f t="shared" si="17"/>
        <v>4409.0646763498489</v>
      </c>
      <c r="U22" s="135"/>
      <c r="V22" s="135">
        <f t="shared" si="7"/>
        <v>17636.258705399396</v>
      </c>
      <c r="W22" s="136">
        <f t="shared" si="18"/>
        <v>374613.63081815036</v>
      </c>
      <c r="X22" s="137"/>
      <c r="Y22" s="107">
        <f t="shared" si="0"/>
        <v>1026870.6289529072</v>
      </c>
    </row>
    <row r="23" spans="1:25" ht="14.25" x14ac:dyDescent="0.2">
      <c r="A23" s="125">
        <f t="shared" si="8"/>
        <v>48</v>
      </c>
      <c r="B23" s="125">
        <f t="shared" si="8"/>
        <v>2038</v>
      </c>
      <c r="C23" s="126"/>
      <c r="D23" s="127">
        <f t="shared" si="9"/>
        <v>112431.14924692117</v>
      </c>
      <c r="E23" s="128"/>
      <c r="F23" s="127"/>
      <c r="G23" s="129">
        <f t="shared" si="1"/>
        <v>70831.624025560333</v>
      </c>
      <c r="H23" s="129">
        <f t="shared" si="2"/>
        <v>8648.5499420708584</v>
      </c>
      <c r="I23" s="129">
        <f t="shared" si="3"/>
        <v>5448.586463504641</v>
      </c>
      <c r="J23" s="130">
        <f t="shared" si="4"/>
        <v>1037.8259930485031</v>
      </c>
      <c r="K23" s="130">
        <f t="shared" si="10"/>
        <v>4410.7604704561381</v>
      </c>
      <c r="L23" s="130">
        <f t="shared" si="11"/>
        <v>52929.125645473658</v>
      </c>
      <c r="M23" s="130">
        <f t="shared" si="12"/>
        <v>23374.435928434912</v>
      </c>
      <c r="N23" s="130">
        <f t="shared" si="13"/>
        <v>29554.689717038746</v>
      </c>
      <c r="O23" s="131">
        <f t="shared" si="5"/>
        <v>4324.2749710354292</v>
      </c>
      <c r="P23" s="132">
        <f t="shared" si="14"/>
        <v>0.12</v>
      </c>
      <c r="Q23" s="133">
        <f t="shared" si="15"/>
        <v>518.91299652425153</v>
      </c>
      <c r="R23" s="133">
        <f t="shared" si="16"/>
        <v>13491.737909630539</v>
      </c>
      <c r="S23" s="134">
        <f t="shared" si="6"/>
        <v>172.97099884141718</v>
      </c>
      <c r="T23" s="134">
        <f t="shared" si="17"/>
        <v>4497.2459698768471</v>
      </c>
      <c r="U23" s="135"/>
      <c r="V23" s="135">
        <f t="shared" si="7"/>
        <v>17988.983879507388</v>
      </c>
      <c r="W23" s="136">
        <f t="shared" si="18"/>
        <v>412186.58626796404</v>
      </c>
      <c r="X23" s="137"/>
      <c r="Y23" s="107">
        <f t="shared" si="0"/>
        <v>1067945.4541110233</v>
      </c>
    </row>
    <row r="24" spans="1:25" ht="15" thickBot="1" x14ac:dyDescent="0.25">
      <c r="A24" s="125">
        <f t="shared" ref="A24:B39" si="19">A23+1</f>
        <v>49</v>
      </c>
      <c r="B24" s="125">
        <f t="shared" si="19"/>
        <v>2039</v>
      </c>
      <c r="C24" s="126"/>
      <c r="D24" s="127">
        <f t="shared" si="9"/>
        <v>114679.77223185959</v>
      </c>
      <c r="E24" s="128"/>
      <c r="F24" s="127"/>
      <c r="G24" s="129">
        <f t="shared" si="1"/>
        <v>72248.256506071542</v>
      </c>
      <c r="H24" s="129">
        <f t="shared" si="2"/>
        <v>8821.5209409122763</v>
      </c>
      <c r="I24" s="129">
        <f t="shared" si="3"/>
        <v>5557.5581927747344</v>
      </c>
      <c r="J24" s="130">
        <f t="shared" si="4"/>
        <v>1058.5825129094731</v>
      </c>
      <c r="K24" s="130">
        <f t="shared" si="10"/>
        <v>4498.9756798652616</v>
      </c>
      <c r="L24" s="130">
        <f t="shared" si="11"/>
        <v>53987.708158383139</v>
      </c>
      <c r="M24" s="130">
        <f t="shared" si="12"/>
        <v>23841.924647003609</v>
      </c>
      <c r="N24" s="130">
        <f t="shared" si="13"/>
        <v>30145.78351137953</v>
      </c>
      <c r="O24" s="131">
        <f t="shared" si="5"/>
        <v>4410.7604704561381</v>
      </c>
      <c r="P24" s="132">
        <f t="shared" si="14"/>
        <v>0.12</v>
      </c>
      <c r="Q24" s="133">
        <f t="shared" si="15"/>
        <v>529.29125645473653</v>
      </c>
      <c r="R24" s="133">
        <f t="shared" si="16"/>
        <v>13761.572667823149</v>
      </c>
      <c r="S24" s="134">
        <f t="shared" si="6"/>
        <v>176.43041881824553</v>
      </c>
      <c r="T24" s="134">
        <f t="shared" si="17"/>
        <v>4587.1908892743841</v>
      </c>
      <c r="U24" s="135"/>
      <c r="V24" s="135">
        <f t="shared" si="7"/>
        <v>18348.763557097533</v>
      </c>
      <c r="W24" s="136">
        <f t="shared" si="18"/>
        <v>452049.9856501118</v>
      </c>
      <c r="X24" s="137"/>
      <c r="Y24" s="107">
        <f t="shared" si="0"/>
        <v>1110663.2722754644</v>
      </c>
    </row>
    <row r="25" spans="1:25" ht="14.25" x14ac:dyDescent="0.2">
      <c r="A25" s="125">
        <f t="shared" si="19"/>
        <v>50</v>
      </c>
      <c r="B25" s="125">
        <f t="shared" si="19"/>
        <v>2040</v>
      </c>
      <c r="C25" s="126"/>
      <c r="D25" s="127">
        <f t="shared" si="9"/>
        <v>116973.36767649678</v>
      </c>
      <c r="E25" s="128">
        <v>4.8</v>
      </c>
      <c r="F25" s="127">
        <f>E25*D25</f>
        <v>561472.16484718455</v>
      </c>
      <c r="G25" s="129">
        <f t="shared" si="1"/>
        <v>73693.221636192975</v>
      </c>
      <c r="H25" s="129">
        <f t="shared" si="2"/>
        <v>8997.9513597305213</v>
      </c>
      <c r="I25" s="129">
        <f t="shared" si="3"/>
        <v>5668.7093566302292</v>
      </c>
      <c r="J25" s="138">
        <f t="shared" si="4"/>
        <v>1079.7541631676625</v>
      </c>
      <c r="K25" s="138">
        <f t="shared" si="10"/>
        <v>4588.955193462567</v>
      </c>
      <c r="L25" s="138">
        <f t="shared" si="11"/>
        <v>55067.462321550804</v>
      </c>
      <c r="M25" s="138">
        <f t="shared" si="12"/>
        <v>24318.763139943683</v>
      </c>
      <c r="N25" s="138">
        <f t="shared" si="13"/>
        <v>30748.69918160712</v>
      </c>
      <c r="O25" s="131">
        <f t="shared" si="5"/>
        <v>4498.9756798652606</v>
      </c>
      <c r="P25" s="132">
        <f t="shared" si="14"/>
        <v>0.12</v>
      </c>
      <c r="Q25" s="133">
        <f t="shared" si="15"/>
        <v>539.87708158383123</v>
      </c>
      <c r="R25" s="133">
        <f t="shared" si="16"/>
        <v>14036.804121179612</v>
      </c>
      <c r="S25" s="141">
        <f t="shared" si="6"/>
        <v>179.95902719461043</v>
      </c>
      <c r="T25" s="142">
        <f t="shared" si="17"/>
        <v>4678.9347070598715</v>
      </c>
      <c r="U25" s="143"/>
      <c r="V25" s="144">
        <f t="shared" ref="V25:V42" si="20">MIN(T25+R25,26000)</f>
        <v>18715.738828239482</v>
      </c>
      <c r="W25" s="145">
        <f t="shared" si="18"/>
        <v>494328.37522761355</v>
      </c>
      <c r="X25" s="139">
        <f>W25/F25-1</f>
        <v>-0.11958525074496873</v>
      </c>
      <c r="Y25" s="140">
        <f t="shared" si="0"/>
        <v>1155089.8031664831</v>
      </c>
    </row>
    <row r="26" spans="1:25" ht="14.25" x14ac:dyDescent="0.2">
      <c r="A26" s="125">
        <f t="shared" si="19"/>
        <v>51</v>
      </c>
      <c r="B26" s="125">
        <f t="shared" si="19"/>
        <v>2041</v>
      </c>
      <c r="C26" s="126"/>
      <c r="D26" s="127">
        <f t="shared" si="9"/>
        <v>119312.83503002672</v>
      </c>
      <c r="E26" s="128"/>
      <c r="F26" s="127"/>
      <c r="G26" s="129">
        <f t="shared" si="1"/>
        <v>75167.086068916833</v>
      </c>
      <c r="H26" s="129">
        <f t="shared" si="2"/>
        <v>9177.9103869251321</v>
      </c>
      <c r="I26" s="129">
        <f t="shared" si="3"/>
        <v>5782.083543762833</v>
      </c>
      <c r="J26" s="130">
        <f t="shared" si="4"/>
        <v>1101.3492464310159</v>
      </c>
      <c r="K26" s="130">
        <f t="shared" si="10"/>
        <v>4680.7342973318173</v>
      </c>
      <c r="L26" s="130">
        <f t="shared" si="11"/>
        <v>56168.811567981807</v>
      </c>
      <c r="M26" s="130">
        <f t="shared" si="12"/>
        <v>24805.138402742556</v>
      </c>
      <c r="N26" s="130">
        <f t="shared" si="13"/>
        <v>31363.673165239252</v>
      </c>
      <c r="O26" s="131">
        <f t="shared" si="5"/>
        <v>4588.9551934625661</v>
      </c>
      <c r="P26" s="132">
        <f t="shared" si="14"/>
        <v>0.12</v>
      </c>
      <c r="Q26" s="133">
        <f t="shared" si="15"/>
        <v>550.67462321550795</v>
      </c>
      <c r="R26" s="133">
        <f t="shared" si="16"/>
        <v>14317.540203603206</v>
      </c>
      <c r="S26" s="146">
        <f t="shared" si="6"/>
        <v>183.55820773850266</v>
      </c>
      <c r="T26" s="134">
        <f t="shared" si="17"/>
        <v>4772.5134012010694</v>
      </c>
      <c r="U26" s="135"/>
      <c r="V26" s="147">
        <f t="shared" si="20"/>
        <v>19090.053604804278</v>
      </c>
      <c r="W26" s="145">
        <f t="shared" si="18"/>
        <v>539152.82054276811</v>
      </c>
      <c r="X26" s="137"/>
      <c r="Y26" s="107">
        <f t="shared" si="0"/>
        <v>1201293.3952931424</v>
      </c>
    </row>
    <row r="27" spans="1:25" ht="14.25" x14ac:dyDescent="0.2">
      <c r="A27" s="125">
        <f t="shared" si="19"/>
        <v>52</v>
      </c>
      <c r="B27" s="125">
        <f t="shared" si="19"/>
        <v>2042</v>
      </c>
      <c r="C27" s="126"/>
      <c r="D27" s="127">
        <f t="shared" si="9"/>
        <v>121699.09173062726</v>
      </c>
      <c r="E27" s="128"/>
      <c r="F27" s="127"/>
      <c r="G27" s="129">
        <f t="shared" si="1"/>
        <v>76670.427790295173</v>
      </c>
      <c r="H27" s="129">
        <f t="shared" si="2"/>
        <v>9361.4685946636346</v>
      </c>
      <c r="I27" s="129">
        <f t="shared" si="3"/>
        <v>5897.7252146380906</v>
      </c>
      <c r="J27" s="130">
        <f t="shared" si="4"/>
        <v>1123.376231359636</v>
      </c>
      <c r="K27" s="130">
        <f t="shared" si="10"/>
        <v>4774.3489832784544</v>
      </c>
      <c r="L27" s="130">
        <f t="shared" si="11"/>
        <v>57292.187799341453</v>
      </c>
      <c r="M27" s="130">
        <f t="shared" si="12"/>
        <v>25301.24117079741</v>
      </c>
      <c r="N27" s="130">
        <f t="shared" si="13"/>
        <v>31990.946628544043</v>
      </c>
      <c r="O27" s="131">
        <f t="shared" si="5"/>
        <v>4680.7342973318173</v>
      </c>
      <c r="P27" s="132">
        <f t="shared" si="14"/>
        <v>0.12</v>
      </c>
      <c r="Q27" s="133">
        <f t="shared" si="15"/>
        <v>561.688115679818</v>
      </c>
      <c r="R27" s="133">
        <f t="shared" si="16"/>
        <v>14603.891007675267</v>
      </c>
      <c r="S27" s="146">
        <f t="shared" si="6"/>
        <v>187.22937189327268</v>
      </c>
      <c r="T27" s="134">
        <f t="shared" si="17"/>
        <v>4867.9636692250897</v>
      </c>
      <c r="U27" s="135"/>
      <c r="V27" s="147">
        <f t="shared" si="20"/>
        <v>19471.854676900359</v>
      </c>
      <c r="W27" s="145">
        <f t="shared" si="18"/>
        <v>586661.24290097633</v>
      </c>
      <c r="X27" s="137"/>
      <c r="Y27" s="107">
        <f t="shared" si="0"/>
        <v>1249345.1311048684</v>
      </c>
    </row>
    <row r="28" spans="1:25" ht="14.25" x14ac:dyDescent="0.2">
      <c r="A28" s="125">
        <f t="shared" si="19"/>
        <v>53</v>
      </c>
      <c r="B28" s="125">
        <f t="shared" si="19"/>
        <v>2043</v>
      </c>
      <c r="C28" s="126"/>
      <c r="D28" s="127">
        <f t="shared" si="9"/>
        <v>124133.07356523981</v>
      </c>
      <c r="E28" s="128"/>
      <c r="F28" s="127"/>
      <c r="G28" s="129">
        <f t="shared" si="1"/>
        <v>78203.836346101089</v>
      </c>
      <c r="H28" s="129">
        <f t="shared" si="2"/>
        <v>9548.6979665569088</v>
      </c>
      <c r="I28" s="129">
        <f t="shared" si="3"/>
        <v>6015.6797189308527</v>
      </c>
      <c r="J28" s="130">
        <f t="shared" si="4"/>
        <v>1145.8437559868289</v>
      </c>
      <c r="K28" s="130">
        <f t="shared" si="10"/>
        <v>4869.8359629440238</v>
      </c>
      <c r="L28" s="130">
        <f t="shared" si="11"/>
        <v>58438.031555328285</v>
      </c>
      <c r="M28" s="130">
        <f t="shared" si="12"/>
        <v>25807.265994213361</v>
      </c>
      <c r="N28" s="130">
        <f t="shared" si="13"/>
        <v>32630.765561114924</v>
      </c>
      <c r="O28" s="131">
        <f t="shared" si="5"/>
        <v>4774.3489832784544</v>
      </c>
      <c r="P28" s="132">
        <f t="shared" si="14"/>
        <v>0.12</v>
      </c>
      <c r="Q28" s="133">
        <f t="shared" si="15"/>
        <v>572.92187799341445</v>
      </c>
      <c r="R28" s="133">
        <f t="shared" si="16"/>
        <v>14895.968827828776</v>
      </c>
      <c r="S28" s="146">
        <f t="shared" si="6"/>
        <v>190.97395933113819</v>
      </c>
      <c r="T28" s="134">
        <f t="shared" si="17"/>
        <v>4965.3229426095932</v>
      </c>
      <c r="U28" s="135"/>
      <c r="V28" s="147">
        <f t="shared" si="20"/>
        <v>19861.291770438369</v>
      </c>
      <c r="W28" s="145">
        <f t="shared" si="18"/>
        <v>636998.77312861639</v>
      </c>
      <c r="X28" s="137"/>
      <c r="Y28" s="107">
        <f t="shared" si="0"/>
        <v>1299318.9363490629</v>
      </c>
    </row>
    <row r="29" spans="1:25" ht="14.25" x14ac:dyDescent="0.2">
      <c r="A29" s="125">
        <f t="shared" si="19"/>
        <v>54</v>
      </c>
      <c r="B29" s="125">
        <f t="shared" si="19"/>
        <v>2044</v>
      </c>
      <c r="C29" s="126"/>
      <c r="D29" s="127">
        <f t="shared" si="9"/>
        <v>126615.73503654462</v>
      </c>
      <c r="E29" s="128"/>
      <c r="F29" s="127"/>
      <c r="G29" s="129">
        <f t="shared" si="1"/>
        <v>79767.913073023112</v>
      </c>
      <c r="H29" s="129">
        <f t="shared" si="2"/>
        <v>9739.6719258880476</v>
      </c>
      <c r="I29" s="129">
        <f t="shared" si="3"/>
        <v>6135.9933133094701</v>
      </c>
      <c r="J29" s="130">
        <f t="shared" si="4"/>
        <v>1168.7606311065656</v>
      </c>
      <c r="K29" s="130">
        <f t="shared" si="10"/>
        <v>4967.2326822029045</v>
      </c>
      <c r="L29" s="130">
        <f t="shared" si="11"/>
        <v>59606.792186434854</v>
      </c>
      <c r="M29" s="130">
        <f t="shared" si="12"/>
        <v>26323.41131409763</v>
      </c>
      <c r="N29" s="130">
        <f t="shared" si="13"/>
        <v>33283.38087233722</v>
      </c>
      <c r="O29" s="131">
        <f t="shared" si="5"/>
        <v>4869.8359629440238</v>
      </c>
      <c r="P29" s="132">
        <f t="shared" si="14"/>
        <v>0.12</v>
      </c>
      <c r="Q29" s="133">
        <f t="shared" si="15"/>
        <v>584.3803155532828</v>
      </c>
      <c r="R29" s="133">
        <f t="shared" si="16"/>
        <v>15193.888204385352</v>
      </c>
      <c r="S29" s="146">
        <f t="shared" si="6"/>
        <v>194.79343851776096</v>
      </c>
      <c r="T29" s="134">
        <f t="shared" si="17"/>
        <v>5064.6294014617852</v>
      </c>
      <c r="U29" s="135"/>
      <c r="V29" s="147">
        <f t="shared" si="20"/>
        <v>20258.517605847137</v>
      </c>
      <c r="W29" s="145">
        <f t="shared" si="18"/>
        <v>690318.12348992517</v>
      </c>
      <c r="X29" s="137"/>
      <c r="Y29" s="107">
        <f t="shared" si="0"/>
        <v>1351291.6938030254</v>
      </c>
    </row>
    <row r="30" spans="1:25" ht="14.25" x14ac:dyDescent="0.2">
      <c r="A30" s="125">
        <f t="shared" si="19"/>
        <v>55</v>
      </c>
      <c r="B30" s="125">
        <f t="shared" si="19"/>
        <v>2045</v>
      </c>
      <c r="C30" s="126"/>
      <c r="D30" s="127">
        <f t="shared" si="9"/>
        <v>129148.04973727552</v>
      </c>
      <c r="E30" s="128">
        <v>6.1</v>
      </c>
      <c r="F30" s="127">
        <f>E30*D30</f>
        <v>787803.10339738068</v>
      </c>
      <c r="G30" s="129">
        <f t="shared" si="1"/>
        <v>81363.271334483579</v>
      </c>
      <c r="H30" s="129">
        <f t="shared" si="2"/>
        <v>9934.4653644058089</v>
      </c>
      <c r="I30" s="129">
        <f t="shared" si="3"/>
        <v>6258.7131795756595</v>
      </c>
      <c r="J30" s="138">
        <f t="shared" si="4"/>
        <v>1192.135843728697</v>
      </c>
      <c r="K30" s="138">
        <f t="shared" si="10"/>
        <v>5066.5773358469623</v>
      </c>
      <c r="L30" s="138">
        <f t="shared" si="11"/>
        <v>60798.928030163544</v>
      </c>
      <c r="M30" s="138">
        <f t="shared" si="12"/>
        <v>26849.879540379581</v>
      </c>
      <c r="N30" s="138">
        <f t="shared" si="13"/>
        <v>33949.048489783963</v>
      </c>
      <c r="O30" s="131">
        <f t="shared" si="5"/>
        <v>4967.2326822029045</v>
      </c>
      <c r="P30" s="132">
        <f t="shared" si="14"/>
        <v>0.12</v>
      </c>
      <c r="Q30" s="133">
        <f t="shared" si="15"/>
        <v>596.06792186434848</v>
      </c>
      <c r="R30" s="133">
        <f t="shared" si="16"/>
        <v>15497.765968473061</v>
      </c>
      <c r="S30" s="146">
        <f t="shared" si="6"/>
        <v>198.6893072881162</v>
      </c>
      <c r="T30" s="134">
        <f t="shared" si="17"/>
        <v>5165.9219894910211</v>
      </c>
      <c r="U30" s="135"/>
      <c r="V30" s="147">
        <f t="shared" si="20"/>
        <v>20663.687957964081</v>
      </c>
      <c r="W30" s="145">
        <f t="shared" si="18"/>
        <v>746779.9786931338</v>
      </c>
      <c r="X30" s="139">
        <f>W30/F30-1</f>
        <v>-5.2072814295013203E-2</v>
      </c>
      <c r="Y30" s="140">
        <f t="shared" si="0"/>
        <v>1405343.3615551465</v>
      </c>
    </row>
    <row r="31" spans="1:25" ht="14.25" x14ac:dyDescent="0.2">
      <c r="A31" s="125">
        <f t="shared" si="19"/>
        <v>56</v>
      </c>
      <c r="B31" s="125">
        <f t="shared" si="19"/>
        <v>2046</v>
      </c>
      <c r="C31" s="126"/>
      <c r="D31" s="127">
        <f t="shared" si="9"/>
        <v>131731.01073202104</v>
      </c>
      <c r="E31" s="128"/>
      <c r="F31" s="127"/>
      <c r="G31" s="129">
        <f t="shared" si="1"/>
        <v>82990.536761173251</v>
      </c>
      <c r="H31" s="129">
        <f t="shared" si="2"/>
        <v>10133.154671693927</v>
      </c>
      <c r="I31" s="129">
        <f t="shared" si="3"/>
        <v>6383.8874431671729</v>
      </c>
      <c r="J31" s="130">
        <f t="shared" si="4"/>
        <v>1215.978560603271</v>
      </c>
      <c r="K31" s="130">
        <f t="shared" si="10"/>
        <v>5167.9088825639019</v>
      </c>
      <c r="L31" s="130">
        <f t="shared" si="11"/>
        <v>62014.906590766826</v>
      </c>
      <c r="M31" s="130">
        <f t="shared" si="12"/>
        <v>27386.877131187175</v>
      </c>
      <c r="N31" s="130">
        <f t="shared" si="13"/>
        <v>34628.029459579651</v>
      </c>
      <c r="O31" s="131">
        <f t="shared" si="5"/>
        <v>5066.5773358469633</v>
      </c>
      <c r="P31" s="132">
        <f t="shared" si="14"/>
        <v>0.12</v>
      </c>
      <c r="Q31" s="133">
        <f t="shared" si="15"/>
        <v>607.98928030163552</v>
      </c>
      <c r="R31" s="133">
        <f t="shared" si="16"/>
        <v>15807.721287842523</v>
      </c>
      <c r="S31" s="146">
        <f t="shared" si="6"/>
        <v>202.66309343387854</v>
      </c>
      <c r="T31" s="134">
        <f t="shared" si="17"/>
        <v>5269.2404292808424</v>
      </c>
      <c r="U31" s="135"/>
      <c r="V31" s="147">
        <f t="shared" si="20"/>
        <v>21076.961717123366</v>
      </c>
      <c r="W31" s="145">
        <f t="shared" si="18"/>
        <v>806553.40696372837</v>
      </c>
      <c r="X31" s="137"/>
      <c r="Y31" s="107">
        <f t="shared" si="0"/>
        <v>1461557.0960173528</v>
      </c>
    </row>
    <row r="32" spans="1:25" ht="14.25" x14ac:dyDescent="0.2">
      <c r="A32" s="125">
        <f t="shared" si="19"/>
        <v>57</v>
      </c>
      <c r="B32" s="125">
        <f t="shared" si="19"/>
        <v>2047</v>
      </c>
      <c r="C32" s="126"/>
      <c r="D32" s="127">
        <f t="shared" si="9"/>
        <v>134365.63094666146</v>
      </c>
      <c r="E32" s="128"/>
      <c r="F32" s="127"/>
      <c r="G32" s="129">
        <f t="shared" si="1"/>
        <v>84650.347496396716</v>
      </c>
      <c r="H32" s="129">
        <f t="shared" si="2"/>
        <v>10335.817765127806</v>
      </c>
      <c r="I32" s="129">
        <f t="shared" si="3"/>
        <v>6511.5651920305163</v>
      </c>
      <c r="J32" s="130">
        <f t="shared" si="4"/>
        <v>1240.2981318153365</v>
      </c>
      <c r="K32" s="130">
        <f t="shared" si="10"/>
        <v>5271.2670602151793</v>
      </c>
      <c r="L32" s="130">
        <f t="shared" si="11"/>
        <v>63255.204722582152</v>
      </c>
      <c r="M32" s="130">
        <f t="shared" si="12"/>
        <v>27934.614673810916</v>
      </c>
      <c r="N32" s="130">
        <f t="shared" si="13"/>
        <v>35320.590048771235</v>
      </c>
      <c r="O32" s="131">
        <f t="shared" si="5"/>
        <v>5167.9088825639028</v>
      </c>
      <c r="P32" s="132">
        <f t="shared" si="14"/>
        <v>0.12</v>
      </c>
      <c r="Q32" s="133">
        <f t="shared" si="15"/>
        <v>620.14906590766827</v>
      </c>
      <c r="R32" s="133">
        <f t="shared" si="16"/>
        <v>16123.875713599375</v>
      </c>
      <c r="S32" s="146">
        <f t="shared" si="6"/>
        <v>206.71635530255611</v>
      </c>
      <c r="T32" s="134">
        <f t="shared" si="17"/>
        <v>5374.6252378664585</v>
      </c>
      <c r="U32" s="135"/>
      <c r="V32" s="147">
        <f t="shared" si="20"/>
        <v>21498.500951465834</v>
      </c>
      <c r="W32" s="145">
        <f t="shared" si="18"/>
        <v>869816.29221275565</v>
      </c>
      <c r="X32" s="137"/>
      <c r="Y32" s="107">
        <f t="shared" si="0"/>
        <v>1520019.3798580468</v>
      </c>
    </row>
    <row r="33" spans="1:25" ht="14.25" x14ac:dyDescent="0.2">
      <c r="A33" s="125">
        <f t="shared" si="19"/>
        <v>58</v>
      </c>
      <c r="B33" s="125">
        <f t="shared" si="19"/>
        <v>2048</v>
      </c>
      <c r="C33" s="126"/>
      <c r="D33" s="127">
        <f t="shared" si="9"/>
        <v>137052.9435655947</v>
      </c>
      <c r="E33" s="128"/>
      <c r="F33" s="127"/>
      <c r="G33" s="129">
        <f t="shared" si="1"/>
        <v>86343.354446324665</v>
      </c>
      <c r="H33" s="129">
        <f t="shared" si="2"/>
        <v>10542.534120430362</v>
      </c>
      <c r="I33" s="129">
        <f t="shared" si="3"/>
        <v>6641.7964958711282</v>
      </c>
      <c r="J33" s="130">
        <f t="shared" si="4"/>
        <v>1265.1040944516435</v>
      </c>
      <c r="K33" s="130">
        <f t="shared" si="10"/>
        <v>5376.6924014194847</v>
      </c>
      <c r="L33" s="130">
        <f t="shared" si="11"/>
        <v>64520.308817033816</v>
      </c>
      <c r="M33" s="130">
        <f t="shared" si="12"/>
        <v>28493.306967287142</v>
      </c>
      <c r="N33" s="130">
        <f t="shared" si="13"/>
        <v>36027.001849746674</v>
      </c>
      <c r="O33" s="131">
        <f t="shared" si="5"/>
        <v>5271.2670602151811</v>
      </c>
      <c r="P33" s="132">
        <f t="shared" si="14"/>
        <v>0.12</v>
      </c>
      <c r="Q33" s="133">
        <f t="shared" si="15"/>
        <v>632.55204722582175</v>
      </c>
      <c r="R33" s="133">
        <f t="shared" si="16"/>
        <v>16446.353227871365</v>
      </c>
      <c r="S33" s="146">
        <f t="shared" si="6"/>
        <v>210.85068240860724</v>
      </c>
      <c r="T33" s="134">
        <f t="shared" si="17"/>
        <v>5482.1177426237882</v>
      </c>
      <c r="U33" s="135"/>
      <c r="V33" s="147">
        <f t="shared" si="20"/>
        <v>21928.470970495153</v>
      </c>
      <c r="W33" s="145">
        <f t="shared" si="18"/>
        <v>936755.7883807132</v>
      </c>
      <c r="X33" s="137"/>
      <c r="Y33" s="107">
        <f t="shared" si="0"/>
        <v>1580820.1550523685</v>
      </c>
    </row>
    <row r="34" spans="1:25" ht="14.25" x14ac:dyDescent="0.2">
      <c r="A34" s="125">
        <f t="shared" si="19"/>
        <v>59</v>
      </c>
      <c r="B34" s="125">
        <f t="shared" si="19"/>
        <v>2049</v>
      </c>
      <c r="C34" s="126"/>
      <c r="D34" s="127">
        <f t="shared" si="9"/>
        <v>139794.00243690659</v>
      </c>
      <c r="E34" s="128"/>
      <c r="F34" s="127"/>
      <c r="G34" s="129">
        <f t="shared" si="1"/>
        <v>88070.221535251156</v>
      </c>
      <c r="H34" s="129">
        <f t="shared" si="2"/>
        <v>10753.384802838969</v>
      </c>
      <c r="I34" s="129">
        <f t="shared" si="3"/>
        <v>6774.6324257885508</v>
      </c>
      <c r="J34" s="130">
        <f t="shared" si="4"/>
        <v>1290.4061763406762</v>
      </c>
      <c r="K34" s="130">
        <f t="shared" si="10"/>
        <v>5484.2262494478746</v>
      </c>
      <c r="L34" s="130">
        <f t="shared" si="11"/>
        <v>65810.714993374495</v>
      </c>
      <c r="M34" s="130">
        <f t="shared" si="12"/>
        <v>29063.173106632883</v>
      </c>
      <c r="N34" s="130">
        <f t="shared" si="13"/>
        <v>36747.541886741616</v>
      </c>
      <c r="O34" s="131">
        <f t="shared" si="5"/>
        <v>5376.6924014194847</v>
      </c>
      <c r="P34" s="132">
        <f t="shared" si="14"/>
        <v>0.12</v>
      </c>
      <c r="Q34" s="133">
        <f t="shared" si="15"/>
        <v>645.20308817033811</v>
      </c>
      <c r="R34" s="133">
        <f t="shared" si="16"/>
        <v>16775.28029242879</v>
      </c>
      <c r="S34" s="146">
        <f t="shared" si="6"/>
        <v>215.0676960567794</v>
      </c>
      <c r="T34" s="134">
        <f t="shared" si="17"/>
        <v>5591.7600974762645</v>
      </c>
      <c r="U34" s="135"/>
      <c r="V34" s="147">
        <f t="shared" si="20"/>
        <v>22367.040389905054</v>
      </c>
      <c r="W34" s="145">
        <f t="shared" si="18"/>
        <v>1007568.7970928685</v>
      </c>
      <c r="X34" s="137"/>
      <c r="Y34" s="107">
        <f t="shared" si="0"/>
        <v>1644052.9612544635</v>
      </c>
    </row>
    <row r="35" spans="1:25" ht="14.25" x14ac:dyDescent="0.2">
      <c r="A35" s="125">
        <f t="shared" si="19"/>
        <v>60</v>
      </c>
      <c r="B35" s="125">
        <f t="shared" si="19"/>
        <v>2050</v>
      </c>
      <c r="C35" s="126"/>
      <c r="D35" s="127">
        <f t="shared" si="9"/>
        <v>142589.88248564472</v>
      </c>
      <c r="E35" s="128">
        <v>8</v>
      </c>
      <c r="F35" s="127">
        <f>E35*D35</f>
        <v>1140719.0598851577</v>
      </c>
      <c r="G35" s="129">
        <f t="shared" si="1"/>
        <v>89831.625965956177</v>
      </c>
      <c r="H35" s="129">
        <f t="shared" si="2"/>
        <v>10968.452498895747</v>
      </c>
      <c r="I35" s="129">
        <f t="shared" si="3"/>
        <v>6910.1250743043211</v>
      </c>
      <c r="J35" s="138">
        <f t="shared" si="4"/>
        <v>1316.2142998674897</v>
      </c>
      <c r="K35" s="138">
        <f t="shared" si="10"/>
        <v>5593.9107744368312</v>
      </c>
      <c r="L35" s="138">
        <f t="shared" si="11"/>
        <v>67126.929293241978</v>
      </c>
      <c r="M35" s="138">
        <f t="shared" si="12"/>
        <v>29644.436568765541</v>
      </c>
      <c r="N35" s="138">
        <f t="shared" si="13"/>
        <v>37482.49272447644</v>
      </c>
      <c r="O35" s="131">
        <f t="shared" si="5"/>
        <v>5484.2262494478737</v>
      </c>
      <c r="P35" s="132">
        <f t="shared" si="14"/>
        <v>0.12</v>
      </c>
      <c r="Q35" s="133">
        <f t="shared" si="15"/>
        <v>658.10714993374484</v>
      </c>
      <c r="R35" s="133">
        <f t="shared" si="16"/>
        <v>17110.785898277365</v>
      </c>
      <c r="S35" s="146">
        <f t="shared" si="6"/>
        <v>219.36904997791495</v>
      </c>
      <c r="T35" s="134">
        <f t="shared" si="17"/>
        <v>5703.5952994257887</v>
      </c>
      <c r="U35" s="135"/>
      <c r="V35" s="147">
        <f t="shared" si="20"/>
        <v>22814.381197703155</v>
      </c>
      <c r="W35" s="145">
        <f t="shared" si="18"/>
        <v>1082462.4698199914</v>
      </c>
      <c r="X35" s="139">
        <f>W35/F35-1</f>
        <v>-5.1070059328219952E-2</v>
      </c>
      <c r="Y35" s="140">
        <f t="shared" si="0"/>
        <v>1709815.0797046423</v>
      </c>
    </row>
    <row r="36" spans="1:25" ht="14.25" x14ac:dyDescent="0.2">
      <c r="A36" s="125">
        <f t="shared" si="19"/>
        <v>61</v>
      </c>
      <c r="B36" s="125">
        <f t="shared" si="19"/>
        <v>2051</v>
      </c>
      <c r="C36" s="126"/>
      <c r="D36" s="127">
        <f t="shared" si="9"/>
        <v>145441.6801353576</v>
      </c>
      <c r="E36" s="128"/>
      <c r="F36" s="127"/>
      <c r="G36" s="129">
        <f t="shared" si="1"/>
        <v>91628.258485275292</v>
      </c>
      <c r="H36" s="129">
        <f t="shared" si="2"/>
        <v>11187.821548873662</v>
      </c>
      <c r="I36" s="129">
        <f t="shared" si="3"/>
        <v>7048.3275757904066</v>
      </c>
      <c r="J36" s="130">
        <f t="shared" si="4"/>
        <v>1342.5385858648394</v>
      </c>
      <c r="K36" s="130">
        <f t="shared" si="10"/>
        <v>5705.788989925567</v>
      </c>
      <c r="L36" s="130">
        <f t="shared" si="11"/>
        <v>68469.4678791068</v>
      </c>
      <c r="M36" s="130">
        <f t="shared" si="12"/>
        <v>30237.325300140848</v>
      </c>
      <c r="N36" s="130">
        <f t="shared" si="13"/>
        <v>38232.142578965955</v>
      </c>
      <c r="O36" s="131">
        <f t="shared" si="5"/>
        <v>5593.9107744368312</v>
      </c>
      <c r="P36" s="132">
        <f t="shared" si="14"/>
        <v>0.12</v>
      </c>
      <c r="Q36" s="133">
        <f t="shared" si="15"/>
        <v>671.26929293241972</v>
      </c>
      <c r="R36" s="133">
        <f t="shared" si="16"/>
        <v>17453.001616242913</v>
      </c>
      <c r="S36" s="146">
        <f t="shared" si="6"/>
        <v>223.75643097747326</v>
      </c>
      <c r="T36" s="134">
        <f t="shared" si="17"/>
        <v>5817.6672054143046</v>
      </c>
      <c r="U36" s="135"/>
      <c r="V36" s="147">
        <f t="shared" si="20"/>
        <v>23270.668821657218</v>
      </c>
      <c r="W36" s="145">
        <f t="shared" si="18"/>
        <v>1161654.7357995959</v>
      </c>
      <c r="X36" s="137"/>
      <c r="Y36" s="107">
        <f t="shared" si="0"/>
        <v>1778207.6828928278</v>
      </c>
    </row>
    <row r="37" spans="1:25" ht="14.25" x14ac:dyDescent="0.2">
      <c r="A37" s="125">
        <f t="shared" si="19"/>
        <v>62</v>
      </c>
      <c r="B37" s="125">
        <f t="shared" si="19"/>
        <v>2052</v>
      </c>
      <c r="C37" s="126"/>
      <c r="D37" s="127">
        <f t="shared" si="9"/>
        <v>148350.51373806476</v>
      </c>
      <c r="E37" s="128"/>
      <c r="F37" s="127"/>
      <c r="G37" s="129">
        <f t="shared" si="1"/>
        <v>93460.823654980806</v>
      </c>
      <c r="H37" s="129">
        <f t="shared" si="2"/>
        <v>11411.577979851136</v>
      </c>
      <c r="I37" s="129">
        <f t="shared" si="3"/>
        <v>7189.2941273062161</v>
      </c>
      <c r="J37" s="130">
        <f t="shared" si="4"/>
        <v>1369.3893575821362</v>
      </c>
      <c r="K37" s="130">
        <f t="shared" si="10"/>
        <v>5819.9047697240803</v>
      </c>
      <c r="L37" s="130">
        <f t="shared" si="11"/>
        <v>69838.857236688957</v>
      </c>
      <c r="M37" s="130">
        <f t="shared" si="12"/>
        <v>30842.071806143667</v>
      </c>
      <c r="N37" s="130">
        <f t="shared" si="13"/>
        <v>38996.785430545293</v>
      </c>
      <c r="O37" s="131">
        <f t="shared" si="5"/>
        <v>5705.7889899255679</v>
      </c>
      <c r="P37" s="132">
        <f t="shared" si="14"/>
        <v>0.12</v>
      </c>
      <c r="Q37" s="133">
        <f t="shared" si="15"/>
        <v>684.6946787910681</v>
      </c>
      <c r="R37" s="133">
        <f t="shared" si="16"/>
        <v>17802.061648567771</v>
      </c>
      <c r="S37" s="146">
        <f t="shared" si="6"/>
        <v>228.23155959702271</v>
      </c>
      <c r="T37" s="134">
        <f t="shared" si="17"/>
        <v>5934.02054952259</v>
      </c>
      <c r="U37" s="135"/>
      <c r="V37" s="147">
        <f t="shared" si="20"/>
        <v>23736.08219809036</v>
      </c>
      <c r="W37" s="145">
        <f t="shared" si="18"/>
        <v>1245374.8570370297</v>
      </c>
      <c r="X37" s="137"/>
      <c r="Y37" s="107">
        <f t="shared" si="0"/>
        <v>1849335.990208541</v>
      </c>
    </row>
    <row r="38" spans="1:25" ht="14.25" x14ac:dyDescent="0.2">
      <c r="A38" s="125">
        <f t="shared" si="19"/>
        <v>63</v>
      </c>
      <c r="B38" s="125">
        <f t="shared" si="19"/>
        <v>2053</v>
      </c>
      <c r="C38" s="126"/>
      <c r="D38" s="127">
        <f t="shared" si="9"/>
        <v>151317.52401282606</v>
      </c>
      <c r="E38" s="128"/>
      <c r="F38" s="127"/>
      <c r="G38" s="129">
        <f t="shared" si="1"/>
        <v>95330.040128080422</v>
      </c>
      <c r="H38" s="129">
        <f t="shared" si="2"/>
        <v>11639.809539448159</v>
      </c>
      <c r="I38" s="129">
        <f t="shared" si="3"/>
        <v>7333.0800098523405</v>
      </c>
      <c r="J38" s="130">
        <f t="shared" si="4"/>
        <v>1396.7771447337791</v>
      </c>
      <c r="K38" s="130">
        <f t="shared" si="10"/>
        <v>5936.3028651185614</v>
      </c>
      <c r="L38" s="130">
        <f t="shared" si="11"/>
        <v>71235.634381422744</v>
      </c>
      <c r="M38" s="130">
        <f t="shared" si="12"/>
        <v>31458.913242266539</v>
      </c>
      <c r="N38" s="130">
        <f t="shared" si="13"/>
        <v>39776.721139156201</v>
      </c>
      <c r="O38" s="131">
        <f t="shared" si="5"/>
        <v>5819.9047697240794</v>
      </c>
      <c r="P38" s="132">
        <f t="shared" si="14"/>
        <v>0.12</v>
      </c>
      <c r="Q38" s="133">
        <f t="shared" si="15"/>
        <v>698.38857236688955</v>
      </c>
      <c r="R38" s="133">
        <f t="shared" si="16"/>
        <v>18158.102881539129</v>
      </c>
      <c r="S38" s="146">
        <f t="shared" si="6"/>
        <v>232.79619078896317</v>
      </c>
      <c r="T38" s="134">
        <f t="shared" si="17"/>
        <v>6052.7009605130424</v>
      </c>
      <c r="U38" s="135"/>
      <c r="V38" s="147">
        <f t="shared" si="20"/>
        <v>24210.80384205217</v>
      </c>
      <c r="W38" s="145">
        <f t="shared" si="18"/>
        <v>1333864.0117732715</v>
      </c>
      <c r="X38" s="137"/>
      <c r="Y38" s="107">
        <f t="shared" si="0"/>
        <v>1923309.4298168828</v>
      </c>
    </row>
    <row r="39" spans="1:25" ht="14.25" x14ac:dyDescent="0.2">
      <c r="A39" s="125">
        <f t="shared" si="19"/>
        <v>64</v>
      </c>
      <c r="B39" s="125">
        <f t="shared" si="19"/>
        <v>2054</v>
      </c>
      <c r="C39" s="126"/>
      <c r="D39" s="127">
        <f t="shared" si="9"/>
        <v>154343.87449308258</v>
      </c>
      <c r="E39" s="128"/>
      <c r="F39" s="127"/>
      <c r="G39" s="129">
        <f t="shared" si="1"/>
        <v>97236.640930642025</v>
      </c>
      <c r="H39" s="129">
        <f t="shared" si="2"/>
        <v>11872.605730237121</v>
      </c>
      <c r="I39" s="129">
        <f t="shared" si="3"/>
        <v>7479.7416100493865</v>
      </c>
      <c r="J39" s="130">
        <f t="shared" si="4"/>
        <v>1424.7126876284544</v>
      </c>
      <c r="K39" s="130">
        <f t="shared" si="10"/>
        <v>6055.0289224209318</v>
      </c>
      <c r="L39" s="130">
        <f t="shared" si="11"/>
        <v>72660.347069051175</v>
      </c>
      <c r="M39" s="130">
        <f t="shared" si="12"/>
        <v>32088.091507111869</v>
      </c>
      <c r="N39" s="130">
        <f t="shared" si="13"/>
        <v>40572.25556193931</v>
      </c>
      <c r="O39" s="131">
        <f t="shared" si="5"/>
        <v>5936.3028651185605</v>
      </c>
      <c r="P39" s="132">
        <f t="shared" si="14"/>
        <v>0.12</v>
      </c>
      <c r="Q39" s="133">
        <f t="shared" si="15"/>
        <v>712.35634381422722</v>
      </c>
      <c r="R39" s="133">
        <f t="shared" si="16"/>
        <v>18521.264939169909</v>
      </c>
      <c r="S39" s="146">
        <f t="shared" si="6"/>
        <v>237.45211460474243</v>
      </c>
      <c r="T39" s="134">
        <f t="shared" si="17"/>
        <v>6173.7549797233032</v>
      </c>
      <c r="U39" s="135"/>
      <c r="V39" s="147">
        <f t="shared" si="20"/>
        <v>24695.019918893213</v>
      </c>
      <c r="W39" s="145">
        <f t="shared" si="18"/>
        <v>1427375.9078772906</v>
      </c>
      <c r="X39" s="137"/>
      <c r="Y39" s="107">
        <f t="shared" si="0"/>
        <v>2000241.8070095584</v>
      </c>
    </row>
    <row r="40" spans="1:25" ht="14.25" x14ac:dyDescent="0.2">
      <c r="A40" s="125">
        <f t="shared" ref="A40:B42" si="21">A39+1</f>
        <v>65</v>
      </c>
      <c r="B40" s="125">
        <f t="shared" si="21"/>
        <v>2055</v>
      </c>
      <c r="C40" s="126"/>
      <c r="D40" s="127">
        <f t="shared" si="9"/>
        <v>157430.75198294423</v>
      </c>
      <c r="E40" s="128">
        <v>10.4</v>
      </c>
      <c r="F40" s="127">
        <f>E40*D40</f>
        <v>1637279.8206226202</v>
      </c>
      <c r="G40" s="129">
        <f t="shared" si="1"/>
        <v>99181.373749254868</v>
      </c>
      <c r="H40" s="129">
        <f t="shared" si="2"/>
        <v>12110.057844841864</v>
      </c>
      <c r="I40" s="129">
        <f t="shared" si="3"/>
        <v>7629.3364422503746</v>
      </c>
      <c r="J40" s="138">
        <f t="shared" si="4"/>
        <v>1453.2069413810236</v>
      </c>
      <c r="K40" s="138">
        <f t="shared" si="10"/>
        <v>6176.1295008693505</v>
      </c>
      <c r="L40" s="138">
        <f t="shared" si="11"/>
        <v>74113.554010432214</v>
      </c>
      <c r="M40" s="138">
        <f t="shared" si="12"/>
        <v>32729.85333725411</v>
      </c>
      <c r="N40" s="138">
        <f t="shared" si="13"/>
        <v>41383.7006731781</v>
      </c>
      <c r="O40" s="131">
        <f t="shared" si="5"/>
        <v>6055.0289224209318</v>
      </c>
      <c r="P40" s="132">
        <f t="shared" si="14"/>
        <v>0.12</v>
      </c>
      <c r="Q40" s="133">
        <f t="shared" si="15"/>
        <v>726.60347069051181</v>
      </c>
      <c r="R40" s="133">
        <f t="shared" si="16"/>
        <v>18891.690237953306</v>
      </c>
      <c r="S40" s="146">
        <f t="shared" si="6"/>
        <v>242.20115689683729</v>
      </c>
      <c r="T40" s="134">
        <f t="shared" si="17"/>
        <v>6297.2300793177692</v>
      </c>
      <c r="U40" s="135"/>
      <c r="V40" s="147">
        <f t="shared" si="20"/>
        <v>25188.920317271077</v>
      </c>
      <c r="W40" s="145">
        <f t="shared" si="18"/>
        <v>1526177.427695422</v>
      </c>
      <c r="X40" s="139">
        <f>W40/F40-1</f>
        <v>-6.7857913795669078E-2</v>
      </c>
      <c r="Y40" s="140">
        <f t="shared" si="0"/>
        <v>2080251.4792899406</v>
      </c>
    </row>
    <row r="41" spans="1:25" ht="14.25" x14ac:dyDescent="0.2">
      <c r="A41" s="125">
        <f t="shared" si="21"/>
        <v>66</v>
      </c>
      <c r="B41" s="125">
        <f t="shared" si="21"/>
        <v>2056</v>
      </c>
      <c r="C41" s="126"/>
      <c r="D41" s="127">
        <f t="shared" si="9"/>
        <v>160579.36702260311</v>
      </c>
      <c r="E41" s="128"/>
      <c r="F41" s="127"/>
      <c r="G41" s="129">
        <f t="shared" si="1"/>
        <v>101165.00122423995</v>
      </c>
      <c r="H41" s="129">
        <f t="shared" si="2"/>
        <v>12352.259001738701</v>
      </c>
      <c r="I41" s="129">
        <f t="shared" si="3"/>
        <v>7781.9231710953809</v>
      </c>
      <c r="J41" s="130">
        <f t="shared" si="4"/>
        <v>1482.271080208644</v>
      </c>
      <c r="K41" s="130">
        <f t="shared" si="10"/>
        <v>6299.6520908867369</v>
      </c>
      <c r="L41" s="130">
        <f t="shared" si="11"/>
        <v>75595.825090640836</v>
      </c>
      <c r="M41" s="130">
        <f t="shared" si="12"/>
        <v>33384.450403999188</v>
      </c>
      <c r="N41" s="130">
        <f t="shared" si="13"/>
        <v>42211.374686641648</v>
      </c>
      <c r="O41" s="131">
        <f t="shared" si="5"/>
        <v>6176.1295008693505</v>
      </c>
      <c r="P41" s="132">
        <f t="shared" si="14"/>
        <v>0.12</v>
      </c>
      <c r="Q41" s="133">
        <f t="shared" si="15"/>
        <v>741.13554010432199</v>
      </c>
      <c r="R41" s="133">
        <f t="shared" si="16"/>
        <v>19269.524042712372</v>
      </c>
      <c r="S41" s="146">
        <f t="shared" si="6"/>
        <v>247.04518003477403</v>
      </c>
      <c r="T41" s="134">
        <f t="shared" si="17"/>
        <v>6423.1746809041251</v>
      </c>
      <c r="U41" s="135"/>
      <c r="V41" s="147">
        <f t="shared" si="20"/>
        <v>25692.698723616497</v>
      </c>
      <c r="W41" s="145">
        <f t="shared" si="18"/>
        <v>1630549.3059686581</v>
      </c>
      <c r="X41" s="137"/>
      <c r="Y41" s="107">
        <f t="shared" si="0"/>
        <v>2163461.5384615385</v>
      </c>
    </row>
    <row r="42" spans="1:25" ht="15" thickBot="1" x14ac:dyDescent="0.25">
      <c r="A42" s="148">
        <f t="shared" si="21"/>
        <v>67</v>
      </c>
      <c r="B42" s="148">
        <f t="shared" si="21"/>
        <v>2057</v>
      </c>
      <c r="C42" s="149"/>
      <c r="D42" s="150">
        <f t="shared" si="9"/>
        <v>163790.95436305518</v>
      </c>
      <c r="E42" s="151"/>
      <c r="F42" s="150"/>
      <c r="G42" s="152">
        <f t="shared" si="1"/>
        <v>103188.30124872476</v>
      </c>
      <c r="H42" s="152">
        <f t="shared" si="2"/>
        <v>12599.304181773476</v>
      </c>
      <c r="I42" s="152">
        <f t="shared" si="3"/>
        <v>7937.5616345172893</v>
      </c>
      <c r="J42" s="153">
        <f t="shared" si="4"/>
        <v>1511.9165018128169</v>
      </c>
      <c r="K42" s="153">
        <f t="shared" si="10"/>
        <v>6425.6451327044724</v>
      </c>
      <c r="L42" s="153">
        <f t="shared" si="11"/>
        <v>77107.741592453676</v>
      </c>
      <c r="M42" s="153">
        <f t="shared" si="12"/>
        <v>34052.139412079174</v>
      </c>
      <c r="N42" s="153">
        <f t="shared" si="13"/>
        <v>43055.602180374502</v>
      </c>
      <c r="O42" s="154">
        <f t="shared" si="5"/>
        <v>6299.6520908867378</v>
      </c>
      <c r="P42" s="155">
        <f t="shared" si="14"/>
        <v>0.12</v>
      </c>
      <c r="Q42" s="156">
        <f t="shared" si="15"/>
        <v>755.95825090640847</v>
      </c>
      <c r="R42" s="156">
        <f t="shared" si="16"/>
        <v>19654.914523566622</v>
      </c>
      <c r="S42" s="157">
        <f t="shared" si="6"/>
        <v>251.98608363546953</v>
      </c>
      <c r="T42" s="158">
        <f t="shared" si="17"/>
        <v>6551.6381745222079</v>
      </c>
      <c r="U42" s="159"/>
      <c r="V42" s="160">
        <f t="shared" si="20"/>
        <v>26000</v>
      </c>
      <c r="W42" s="161">
        <f t="shared" si="18"/>
        <v>1740575.4899502592</v>
      </c>
      <c r="X42" s="162"/>
      <c r="Y42" s="163">
        <f t="shared" si="0"/>
        <v>2250000</v>
      </c>
    </row>
    <row r="43" spans="1:25" x14ac:dyDescent="0.2">
      <c r="D43" s="130">
        <f>D42</f>
        <v>163790.95436305518</v>
      </c>
      <c r="F43" s="107">
        <f>D43*11</f>
        <v>1801700.4979936071</v>
      </c>
      <c r="G43" s="164">
        <f t="shared" si="1"/>
        <v>103188.30124872476</v>
      </c>
      <c r="H43" s="164">
        <f t="shared" si="2"/>
        <v>12599.304181773476</v>
      </c>
      <c r="I43" s="164">
        <f t="shared" si="3"/>
        <v>7937.5616345172893</v>
      </c>
      <c r="J43" s="130"/>
      <c r="K43" s="130">
        <f>SUM(K7:K42)</f>
        <v>167057.90176792795</v>
      </c>
      <c r="L43" s="130">
        <f t="shared" si="11"/>
        <v>2004694.8212151355</v>
      </c>
      <c r="M43" s="130"/>
      <c r="N43" s="130">
        <f>SUM(N7:N42)</f>
        <v>1119386.2111990987</v>
      </c>
      <c r="O43" s="107">
        <f t="shared" si="5"/>
        <v>6299.6520908867378</v>
      </c>
      <c r="U43" s="107"/>
      <c r="V43" s="107"/>
      <c r="W43" s="140">
        <f>W42</f>
        <v>1740575.4899502592</v>
      </c>
      <c r="X43" s="165">
        <f>W43/F43-1</f>
        <v>-3.3926286922503102E-2</v>
      </c>
      <c r="Y43" s="166">
        <v>2250000</v>
      </c>
    </row>
    <row r="44" spans="1:25" x14ac:dyDescent="0.2">
      <c r="J44" s="130"/>
      <c r="K44" s="130"/>
      <c r="L44" s="130"/>
      <c r="M44" s="130"/>
      <c r="N44" s="130"/>
      <c r="U44" s="167"/>
      <c r="V44" s="167"/>
      <c r="W44" s="107"/>
    </row>
    <row r="45" spans="1:25" x14ac:dyDescent="0.2">
      <c r="N45" s="107">
        <v>1087403.7480219814</v>
      </c>
      <c r="U45" s="107"/>
      <c r="V45" s="107"/>
    </row>
    <row r="47" spans="1:25" x14ac:dyDescent="0.2">
      <c r="K47" s="107"/>
      <c r="N47" s="107">
        <v>400079.80931964924</v>
      </c>
      <c r="U47" s="107"/>
      <c r="V47" s="107">
        <f>V45-V43</f>
        <v>0</v>
      </c>
    </row>
    <row r="48" spans="1:25" x14ac:dyDescent="0.2">
      <c r="A48" s="105">
        <v>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D26E-5C71-4339-A7CF-0D6415BAD1EA}">
  <dimension ref="A1:Y45"/>
  <sheetViews>
    <sheetView topLeftCell="G1" workbookViewId="0">
      <selection activeCell="K16" sqref="K16"/>
    </sheetView>
  </sheetViews>
  <sheetFormatPr defaultColWidth="9.33203125" defaultRowHeight="12.75" x14ac:dyDescent="0.2"/>
  <cols>
    <col min="1" max="1" width="34.1640625" style="105" customWidth="1"/>
    <col min="2" max="2" width="17.83203125" style="105" bestFit="1" customWidth="1"/>
    <col min="3" max="29" width="26.6640625" style="105" customWidth="1"/>
    <col min="30" max="16384" width="9.33203125" style="105"/>
  </cols>
  <sheetData>
    <row r="1" spans="1:25" x14ac:dyDescent="0.2">
      <c r="C1" s="105">
        <f>YEAR(C2)</f>
        <v>2021</v>
      </c>
      <c r="D1" s="105">
        <f t="shared" ref="D1:Q1" si="0">YEAR(D2)</f>
        <v>2021</v>
      </c>
      <c r="E1" s="105">
        <f t="shared" si="0"/>
        <v>2021</v>
      </c>
      <c r="F1" s="105">
        <f t="shared" si="0"/>
        <v>2021</v>
      </c>
      <c r="G1" s="105">
        <f t="shared" si="0"/>
        <v>2021</v>
      </c>
      <c r="H1" s="105">
        <f t="shared" si="0"/>
        <v>2021</v>
      </c>
      <c r="I1" s="105">
        <f t="shared" si="0"/>
        <v>2021</v>
      </c>
      <c r="J1" s="105">
        <f t="shared" si="0"/>
        <v>2021</v>
      </c>
      <c r="K1" s="105">
        <f t="shared" si="0"/>
        <v>2021</v>
      </c>
      <c r="L1" s="105">
        <f t="shared" si="0"/>
        <v>2021</v>
      </c>
      <c r="M1" s="105">
        <f t="shared" si="0"/>
        <v>2021</v>
      </c>
      <c r="N1" s="105">
        <f t="shared" si="0"/>
        <v>2021</v>
      </c>
      <c r="O1" s="105">
        <f t="shared" si="0"/>
        <v>2021</v>
      </c>
      <c r="P1" s="105">
        <f t="shared" si="0"/>
        <v>2021</v>
      </c>
      <c r="Q1" s="105">
        <f t="shared" si="0"/>
        <v>2021</v>
      </c>
    </row>
    <row r="2" spans="1:25" s="168" customFormat="1" ht="20.25" thickBot="1" x14ac:dyDescent="0.35">
      <c r="B2" s="169" t="str">
        <f>COUNTA(C2:ZZ2) &amp; "/" &amp; "26" &amp;  " Total"</f>
        <v>17/26 Total</v>
      </c>
      <c r="C2" s="170">
        <v>44360</v>
      </c>
      <c r="D2" s="170">
        <f t="shared" ref="D2:S2" si="1">C2+14</f>
        <v>44374</v>
      </c>
      <c r="E2" s="170">
        <f t="shared" si="1"/>
        <v>44388</v>
      </c>
      <c r="F2" s="170">
        <f t="shared" si="1"/>
        <v>44402</v>
      </c>
      <c r="G2" s="170">
        <f t="shared" si="1"/>
        <v>44416</v>
      </c>
      <c r="H2" s="170">
        <f t="shared" si="1"/>
        <v>44430</v>
      </c>
      <c r="I2" s="170">
        <f t="shared" si="1"/>
        <v>44444</v>
      </c>
      <c r="J2" s="170">
        <f t="shared" si="1"/>
        <v>44458</v>
      </c>
      <c r="K2" s="170">
        <f t="shared" si="1"/>
        <v>44472</v>
      </c>
      <c r="L2" s="170">
        <f t="shared" si="1"/>
        <v>44486</v>
      </c>
      <c r="M2" s="170">
        <f t="shared" si="1"/>
        <v>44500</v>
      </c>
      <c r="N2" s="170">
        <f t="shared" si="1"/>
        <v>44514</v>
      </c>
      <c r="O2" s="170">
        <f t="shared" si="1"/>
        <v>44528</v>
      </c>
      <c r="P2" s="170">
        <f t="shared" si="1"/>
        <v>44542</v>
      </c>
      <c r="Q2" s="170">
        <f t="shared" si="1"/>
        <v>44556</v>
      </c>
      <c r="R2" s="170">
        <f t="shared" si="1"/>
        <v>44570</v>
      </c>
      <c r="S2" s="170">
        <f t="shared" si="1"/>
        <v>44584</v>
      </c>
      <c r="T2" s="171"/>
      <c r="U2" s="171"/>
      <c r="V2" s="171"/>
      <c r="W2" s="171"/>
      <c r="X2" s="171"/>
      <c r="Y2" s="171"/>
    </row>
    <row r="3" spans="1:25" x14ac:dyDescent="0.2">
      <c r="A3" s="172" t="s">
        <v>1075</v>
      </c>
      <c r="B3" s="173"/>
      <c r="C3" s="174"/>
      <c r="D3" s="174"/>
      <c r="E3" s="174"/>
      <c r="F3" s="174"/>
      <c r="G3" s="174"/>
      <c r="H3" s="174"/>
      <c r="I3" s="174"/>
      <c r="J3" s="174"/>
      <c r="K3" s="174"/>
      <c r="L3" s="174"/>
      <c r="M3" s="174"/>
      <c r="N3" s="174"/>
      <c r="O3" s="174"/>
      <c r="P3" s="174"/>
      <c r="Q3" s="174"/>
      <c r="R3" s="174"/>
      <c r="S3" s="174"/>
      <c r="T3" s="174"/>
      <c r="U3" s="174"/>
      <c r="V3" s="174"/>
      <c r="W3" s="174"/>
      <c r="X3" s="174"/>
      <c r="Y3" s="174"/>
    </row>
    <row r="4" spans="1:25" x14ac:dyDescent="0.2">
      <c r="A4" s="175" t="s">
        <v>1076</v>
      </c>
      <c r="B4" s="176">
        <f>SUM(C4:XFD4)</f>
        <v>4098.37</v>
      </c>
      <c r="C4" s="177">
        <v>4098.37</v>
      </c>
      <c r="D4" s="177">
        <v>0</v>
      </c>
      <c r="E4" s="178"/>
      <c r="F4" s="178"/>
      <c r="G4" s="178"/>
      <c r="H4" s="178"/>
      <c r="I4" s="178"/>
      <c r="J4" s="178"/>
      <c r="K4" s="178"/>
      <c r="L4" s="178"/>
      <c r="M4" s="178"/>
      <c r="N4" s="178"/>
      <c r="O4" s="178"/>
      <c r="P4" s="178"/>
      <c r="Q4" s="178"/>
      <c r="R4" s="178"/>
      <c r="S4" s="178"/>
      <c r="T4" s="178"/>
      <c r="U4" s="178"/>
      <c r="V4" s="178"/>
      <c r="W4" s="178"/>
      <c r="X4" s="178"/>
      <c r="Y4" s="178"/>
    </row>
    <row r="5" spans="1:25" x14ac:dyDescent="0.2">
      <c r="A5" s="175" t="s">
        <v>1077</v>
      </c>
      <c r="B5" s="176">
        <f>SUM(C5:XFD5)</f>
        <v>38.880000000000003</v>
      </c>
      <c r="C5" s="177">
        <v>0</v>
      </c>
      <c r="D5" s="177">
        <v>4.8600000000000003</v>
      </c>
      <c r="E5" s="177">
        <v>4.8600000000000003</v>
      </c>
      <c r="F5" s="177">
        <v>4.8600000000000003</v>
      </c>
      <c r="G5" s="177">
        <v>4.8600000000000003</v>
      </c>
      <c r="H5" s="177">
        <v>4.8600000000000003</v>
      </c>
      <c r="I5" s="177">
        <v>4.8600000000000003</v>
      </c>
      <c r="J5" s="177">
        <v>4.8600000000000003</v>
      </c>
      <c r="K5" s="177">
        <v>4.8600000000000003</v>
      </c>
      <c r="L5" s="177"/>
      <c r="M5" s="177"/>
      <c r="N5" s="177"/>
      <c r="O5" s="177"/>
      <c r="P5" s="177"/>
      <c r="Q5" s="177"/>
      <c r="R5" s="177"/>
      <c r="S5" s="177"/>
      <c r="T5" s="177"/>
      <c r="U5" s="177"/>
      <c r="V5" s="177"/>
      <c r="W5" s="177"/>
      <c r="X5" s="177"/>
      <c r="Y5" s="177"/>
    </row>
    <row r="6" spans="1:25" x14ac:dyDescent="0.2">
      <c r="A6" s="175" t="s">
        <v>1078</v>
      </c>
      <c r="B6" s="176">
        <f>SUM(C6:XFD6)</f>
        <v>160</v>
      </c>
      <c r="C6" s="177">
        <v>0</v>
      </c>
      <c r="D6" s="177">
        <v>20</v>
      </c>
      <c r="E6" s="177">
        <v>20</v>
      </c>
      <c r="F6" s="177">
        <v>20</v>
      </c>
      <c r="G6" s="177">
        <v>20</v>
      </c>
      <c r="H6" s="177">
        <v>20</v>
      </c>
      <c r="I6" s="177">
        <v>20</v>
      </c>
      <c r="J6" s="177">
        <v>20</v>
      </c>
      <c r="K6" s="177">
        <v>20</v>
      </c>
      <c r="L6" s="177"/>
      <c r="M6" s="177"/>
      <c r="N6" s="177"/>
      <c r="O6" s="177"/>
      <c r="P6" s="177"/>
      <c r="Q6" s="177"/>
      <c r="R6" s="177"/>
      <c r="S6" s="177"/>
      <c r="T6" s="177"/>
      <c r="U6" s="177"/>
      <c r="V6" s="177"/>
      <c r="W6" s="177"/>
      <c r="X6" s="177"/>
      <c r="Y6" s="177"/>
    </row>
    <row r="7" spans="1:25" x14ac:dyDescent="0.2">
      <c r="A7" s="175" t="s">
        <v>1079</v>
      </c>
      <c r="B7" s="176">
        <f>SUM(C7:XFD7)</f>
        <v>47700</v>
      </c>
      <c r="C7" s="177">
        <v>2700</v>
      </c>
      <c r="D7" s="177">
        <v>3000</v>
      </c>
      <c r="E7" s="177">
        <v>3000</v>
      </c>
      <c r="F7" s="177">
        <v>3000</v>
      </c>
      <c r="G7" s="177">
        <v>3000</v>
      </c>
      <c r="H7" s="177">
        <v>3000</v>
      </c>
      <c r="I7" s="177">
        <v>3000</v>
      </c>
      <c r="J7" s="177">
        <v>3000</v>
      </c>
      <c r="K7" s="177">
        <v>3000</v>
      </c>
      <c r="L7" s="177">
        <v>3000</v>
      </c>
      <c r="M7" s="177">
        <v>3000</v>
      </c>
      <c r="N7" s="177">
        <v>3000</v>
      </c>
      <c r="O7" s="177">
        <v>3000</v>
      </c>
      <c r="P7" s="177">
        <v>3000</v>
      </c>
      <c r="Q7" s="177">
        <v>3000</v>
      </c>
      <c r="R7" s="177">
        <v>3000</v>
      </c>
      <c r="S7" s="177"/>
      <c r="T7" s="177"/>
      <c r="U7" s="177"/>
      <c r="V7" s="177"/>
      <c r="W7" s="177"/>
      <c r="X7" s="177"/>
      <c r="Y7" s="177"/>
    </row>
    <row r="8" spans="1:25" x14ac:dyDescent="0.2">
      <c r="A8" s="172" t="s">
        <v>1080</v>
      </c>
      <c r="B8" s="179"/>
      <c r="C8" s="180"/>
      <c r="D8" s="180"/>
      <c r="E8" s="180"/>
      <c r="F8" s="180"/>
      <c r="G8" s="180"/>
      <c r="H8" s="180"/>
      <c r="I8" s="180"/>
      <c r="J8" s="180"/>
      <c r="K8" s="180"/>
      <c r="L8" s="180"/>
      <c r="M8" s="180"/>
      <c r="N8" s="180"/>
      <c r="O8" s="180"/>
      <c r="P8" s="180"/>
      <c r="Q8" s="180"/>
      <c r="R8" s="180"/>
      <c r="S8" s="180"/>
      <c r="T8" s="180"/>
      <c r="U8" s="180"/>
      <c r="V8" s="180"/>
      <c r="W8" s="180"/>
      <c r="X8" s="180"/>
      <c r="Y8" s="180"/>
    </row>
    <row r="9" spans="1:25" x14ac:dyDescent="0.2">
      <c r="A9" s="175" t="s">
        <v>1081</v>
      </c>
      <c r="B9" s="176">
        <f t="shared" ref="B9:B20" si="2">SUM(C9:XFD9)</f>
        <v>4135.13</v>
      </c>
      <c r="C9" s="177">
        <v>1225.93</v>
      </c>
      <c r="D9" s="177">
        <v>363.68</v>
      </c>
      <c r="E9" s="177">
        <v>363.68</v>
      </c>
      <c r="F9" s="177">
        <v>363.64</v>
      </c>
      <c r="G9" s="177">
        <v>363.64</v>
      </c>
      <c r="H9" s="177">
        <v>363.64</v>
      </c>
      <c r="I9" s="177">
        <v>363.64</v>
      </c>
      <c r="J9" s="177">
        <v>363.64</v>
      </c>
      <c r="K9" s="177">
        <v>363.64</v>
      </c>
      <c r="L9" s="177"/>
      <c r="M9" s="177"/>
      <c r="N9" s="177"/>
      <c r="O9" s="177"/>
      <c r="P9" s="177"/>
      <c r="Q9" s="177"/>
      <c r="R9" s="177"/>
      <c r="S9" s="177"/>
      <c r="T9" s="177"/>
      <c r="U9" s="177"/>
      <c r="V9" s="177"/>
      <c r="W9" s="177"/>
      <c r="X9" s="177"/>
      <c r="Y9" s="177"/>
    </row>
    <row r="10" spans="1:25" x14ac:dyDescent="0.2">
      <c r="A10" s="175" t="s">
        <v>1082</v>
      </c>
      <c r="B10" s="176">
        <f t="shared" si="2"/>
        <v>438.15999999999997</v>
      </c>
      <c r="C10" s="177">
        <v>0</v>
      </c>
      <c r="D10" s="177">
        <v>54.77</v>
      </c>
      <c r="E10" s="177">
        <v>54.77</v>
      </c>
      <c r="F10" s="177">
        <v>54.77</v>
      </c>
      <c r="G10" s="177">
        <v>54.77</v>
      </c>
      <c r="H10" s="177">
        <v>54.77</v>
      </c>
      <c r="I10" s="177">
        <v>54.77</v>
      </c>
      <c r="J10" s="177">
        <v>54.77</v>
      </c>
      <c r="K10" s="177">
        <v>54.77</v>
      </c>
      <c r="L10" s="177"/>
      <c r="M10" s="177"/>
      <c r="N10" s="177"/>
      <c r="O10" s="177"/>
      <c r="P10" s="177"/>
      <c r="Q10" s="177"/>
      <c r="R10" s="177"/>
      <c r="S10" s="177"/>
      <c r="T10" s="177"/>
      <c r="U10" s="177"/>
      <c r="V10" s="177"/>
      <c r="W10" s="177"/>
      <c r="X10" s="177"/>
      <c r="Y10" s="177"/>
    </row>
    <row r="11" spans="1:25" x14ac:dyDescent="0.2">
      <c r="A11" s="175" t="s">
        <v>1083</v>
      </c>
      <c r="B11" s="176">
        <f t="shared" si="2"/>
        <v>9.0399999999999991</v>
      </c>
      <c r="C11" s="177">
        <v>0</v>
      </c>
      <c r="D11" s="177">
        <v>1.1299999999999999</v>
      </c>
      <c r="E11" s="177">
        <v>1.1299999999999999</v>
      </c>
      <c r="F11" s="177">
        <v>1.1299999999999999</v>
      </c>
      <c r="G11" s="177">
        <v>1.1299999999999999</v>
      </c>
      <c r="H11" s="177">
        <v>1.1299999999999999</v>
      </c>
      <c r="I11" s="177">
        <v>1.1299999999999999</v>
      </c>
      <c r="J11" s="177">
        <v>1.1299999999999999</v>
      </c>
      <c r="K11" s="177">
        <v>1.1299999999999999</v>
      </c>
      <c r="L11" s="177"/>
      <c r="M11" s="177"/>
      <c r="N11" s="177"/>
      <c r="O11" s="177"/>
      <c r="P11" s="177"/>
      <c r="Q11" s="177"/>
      <c r="R11" s="177"/>
      <c r="S11" s="177"/>
      <c r="T11" s="177"/>
      <c r="U11" s="177"/>
      <c r="V11" s="177"/>
      <c r="W11" s="177"/>
      <c r="X11" s="177"/>
      <c r="Y11" s="177"/>
    </row>
    <row r="12" spans="1:25" x14ac:dyDescent="0.2">
      <c r="A12" s="175" t="s">
        <v>1084</v>
      </c>
      <c r="B12" s="176">
        <f t="shared" si="2"/>
        <v>77.52</v>
      </c>
      <c r="C12" s="177">
        <v>0</v>
      </c>
      <c r="D12" s="177">
        <v>9.69</v>
      </c>
      <c r="E12" s="177">
        <v>9.69</v>
      </c>
      <c r="F12" s="177">
        <v>9.69</v>
      </c>
      <c r="G12" s="177">
        <v>9.69</v>
      </c>
      <c r="H12" s="177">
        <v>9.69</v>
      </c>
      <c r="I12" s="177">
        <v>9.69</v>
      </c>
      <c r="J12" s="177">
        <v>9.69</v>
      </c>
      <c r="K12" s="177">
        <v>9.69</v>
      </c>
      <c r="L12" s="177"/>
      <c r="M12" s="177"/>
      <c r="N12" s="177"/>
      <c r="O12" s="177"/>
      <c r="P12" s="177"/>
      <c r="Q12" s="177"/>
      <c r="R12" s="177"/>
      <c r="S12" s="177"/>
      <c r="T12" s="177"/>
      <c r="U12" s="177"/>
      <c r="V12" s="177"/>
      <c r="W12" s="177"/>
      <c r="X12" s="177"/>
      <c r="Y12" s="177"/>
    </row>
    <row r="13" spans="1:25" x14ac:dyDescent="0.2">
      <c r="A13" s="175" t="s">
        <v>1085</v>
      </c>
      <c r="B13" s="176">
        <f t="shared" si="2"/>
        <v>696</v>
      </c>
      <c r="C13" s="177">
        <v>0</v>
      </c>
      <c r="D13" s="177">
        <v>87</v>
      </c>
      <c r="E13" s="177">
        <v>87</v>
      </c>
      <c r="F13" s="177">
        <v>87</v>
      </c>
      <c r="G13" s="177">
        <v>87</v>
      </c>
      <c r="H13" s="177">
        <v>87</v>
      </c>
      <c r="I13" s="177">
        <v>87</v>
      </c>
      <c r="J13" s="177">
        <v>87</v>
      </c>
      <c r="K13" s="177">
        <v>87</v>
      </c>
      <c r="L13" s="177"/>
      <c r="M13" s="177"/>
      <c r="N13" s="177"/>
      <c r="O13" s="177"/>
      <c r="P13" s="177"/>
      <c r="Q13" s="177"/>
      <c r="R13" s="177"/>
      <c r="S13" s="177"/>
      <c r="T13" s="177"/>
      <c r="U13" s="177"/>
      <c r="V13" s="177"/>
      <c r="W13" s="177"/>
      <c r="X13" s="177"/>
      <c r="Y13" s="177"/>
    </row>
    <row r="14" spans="1:25" x14ac:dyDescent="0.2">
      <c r="A14" s="175" t="s">
        <v>1086</v>
      </c>
      <c r="B14" s="176">
        <f t="shared" si="2"/>
        <v>432.53000000000003</v>
      </c>
      <c r="C14" s="177">
        <v>98.58</v>
      </c>
      <c r="D14" s="177">
        <v>41.74</v>
      </c>
      <c r="E14" s="177">
        <v>41.75</v>
      </c>
      <c r="F14" s="177">
        <v>41.74</v>
      </c>
      <c r="G14" s="177">
        <v>41.75</v>
      </c>
      <c r="H14" s="177">
        <v>41.75</v>
      </c>
      <c r="I14" s="177">
        <v>41.74</v>
      </c>
      <c r="J14" s="177">
        <v>41.74</v>
      </c>
      <c r="K14" s="177">
        <v>41.74</v>
      </c>
      <c r="L14" s="177"/>
      <c r="M14" s="177"/>
      <c r="N14" s="177"/>
      <c r="O14" s="177"/>
      <c r="P14" s="177"/>
      <c r="Q14" s="177"/>
      <c r="R14" s="177"/>
      <c r="S14" s="177"/>
      <c r="T14" s="177"/>
      <c r="U14" s="177"/>
      <c r="V14" s="177"/>
      <c r="W14" s="177"/>
      <c r="X14" s="177"/>
      <c r="Y14" s="177"/>
    </row>
    <row r="15" spans="1:25" x14ac:dyDescent="0.2">
      <c r="A15" s="175" t="s">
        <v>1087</v>
      </c>
      <c r="B15" s="176">
        <f t="shared" si="2"/>
        <v>3120</v>
      </c>
      <c r="C15" s="177">
        <v>0</v>
      </c>
      <c r="D15" s="177">
        <v>450</v>
      </c>
      <c r="E15" s="177">
        <v>450</v>
      </c>
      <c r="F15" s="177">
        <v>300</v>
      </c>
      <c r="G15" s="177">
        <v>0</v>
      </c>
      <c r="H15" s="177">
        <v>0</v>
      </c>
      <c r="I15" s="177">
        <v>0</v>
      </c>
      <c r="J15" s="177">
        <v>0</v>
      </c>
      <c r="K15" s="177">
        <f>0.08*K7</f>
        <v>240</v>
      </c>
      <c r="L15" s="177">
        <f t="shared" ref="L15:R15" si="3">8%*L7</f>
        <v>240</v>
      </c>
      <c r="M15" s="177">
        <f t="shared" si="3"/>
        <v>240</v>
      </c>
      <c r="N15" s="177">
        <f t="shared" si="3"/>
        <v>240</v>
      </c>
      <c r="O15" s="177">
        <f t="shared" si="3"/>
        <v>240</v>
      </c>
      <c r="P15" s="177">
        <f t="shared" si="3"/>
        <v>240</v>
      </c>
      <c r="Q15" s="177">
        <f t="shared" si="3"/>
        <v>240</v>
      </c>
      <c r="R15" s="177">
        <f t="shared" si="3"/>
        <v>240</v>
      </c>
      <c r="S15" s="177"/>
      <c r="T15" s="177"/>
      <c r="U15" s="177"/>
      <c r="V15" s="177"/>
      <c r="W15" s="177"/>
      <c r="X15" s="177"/>
      <c r="Y15" s="177"/>
    </row>
    <row r="16" spans="1:25" x14ac:dyDescent="0.2">
      <c r="A16" s="175" t="s">
        <v>1088</v>
      </c>
      <c r="B16" s="176">
        <f t="shared" si="2"/>
        <v>1849.5</v>
      </c>
      <c r="C16" s="177">
        <v>421.5</v>
      </c>
      <c r="D16" s="177">
        <v>178.5</v>
      </c>
      <c r="E16" s="177">
        <v>178.5</v>
      </c>
      <c r="F16" s="177">
        <v>178.5</v>
      </c>
      <c r="G16" s="177">
        <v>178.5</v>
      </c>
      <c r="H16" s="177">
        <v>178.5</v>
      </c>
      <c r="I16" s="177">
        <v>178.5</v>
      </c>
      <c r="J16" s="177">
        <v>178.5</v>
      </c>
      <c r="K16" s="177">
        <v>178.5</v>
      </c>
      <c r="L16" s="177"/>
      <c r="M16" s="177"/>
      <c r="N16" s="177"/>
      <c r="O16" s="177"/>
      <c r="P16" s="177"/>
      <c r="Q16" s="177"/>
      <c r="R16" s="177"/>
      <c r="S16" s="177"/>
      <c r="T16" s="177"/>
      <c r="U16" s="177"/>
      <c r="V16" s="177"/>
      <c r="W16" s="177"/>
      <c r="X16" s="177"/>
      <c r="Y16" s="177"/>
    </row>
    <row r="17" spans="1:25" x14ac:dyDescent="0.2">
      <c r="A17" s="175" t="s">
        <v>1089</v>
      </c>
      <c r="B17" s="176">
        <f t="shared" si="2"/>
        <v>1245.1900000000003</v>
      </c>
      <c r="C17" s="177">
        <v>371.05</v>
      </c>
      <c r="D17" s="177">
        <v>145.69</v>
      </c>
      <c r="E17" s="177">
        <v>145.69</v>
      </c>
      <c r="F17" s="177">
        <v>145.69</v>
      </c>
      <c r="G17" s="177">
        <v>145.69</v>
      </c>
      <c r="H17" s="177">
        <v>145.69</v>
      </c>
      <c r="I17" s="177">
        <v>145.69</v>
      </c>
      <c r="J17" s="177">
        <v>0</v>
      </c>
      <c r="K17" s="177">
        <v>0</v>
      </c>
      <c r="L17" s="177"/>
      <c r="M17" s="177"/>
      <c r="N17" s="177"/>
      <c r="O17" s="177"/>
      <c r="P17" s="177"/>
      <c r="Q17" s="177"/>
      <c r="R17" s="177"/>
      <c r="S17" s="177"/>
      <c r="T17" s="177"/>
      <c r="U17" s="177"/>
      <c r="V17" s="177"/>
      <c r="W17" s="177"/>
      <c r="X17" s="177"/>
      <c r="Y17" s="177"/>
    </row>
    <row r="18" spans="1:25" x14ac:dyDescent="0.2">
      <c r="A18" s="175" t="s">
        <v>1090</v>
      </c>
      <c r="B18" s="176">
        <f t="shared" si="2"/>
        <v>1073.9399999999998</v>
      </c>
      <c r="C18" s="177">
        <v>244.74</v>
      </c>
      <c r="D18" s="177">
        <v>103.65</v>
      </c>
      <c r="E18" s="177">
        <v>103.65</v>
      </c>
      <c r="F18" s="177">
        <v>103.65</v>
      </c>
      <c r="G18" s="177">
        <v>103.65</v>
      </c>
      <c r="H18" s="177">
        <v>103.65</v>
      </c>
      <c r="I18" s="177">
        <v>103.65</v>
      </c>
      <c r="J18" s="177">
        <v>103.65</v>
      </c>
      <c r="K18" s="177">
        <v>103.65</v>
      </c>
      <c r="L18" s="177"/>
      <c r="M18" s="177"/>
      <c r="N18" s="177"/>
      <c r="O18" s="177"/>
      <c r="P18" s="177"/>
      <c r="Q18" s="177"/>
      <c r="R18" s="177"/>
      <c r="S18" s="177"/>
      <c r="T18" s="177"/>
      <c r="U18" s="177"/>
      <c r="V18" s="177"/>
      <c r="W18" s="177"/>
      <c r="X18" s="177"/>
      <c r="Y18" s="177"/>
    </row>
    <row r="19" spans="1:25" x14ac:dyDescent="0.2">
      <c r="A19" s="175" t="s">
        <v>1091</v>
      </c>
      <c r="B19" s="176">
        <f t="shared" si="2"/>
        <v>12.799999999999999</v>
      </c>
      <c r="C19" s="177">
        <v>0</v>
      </c>
      <c r="D19" s="177">
        <v>1.6</v>
      </c>
      <c r="E19" s="177">
        <v>1.6</v>
      </c>
      <c r="F19" s="177">
        <v>1.6</v>
      </c>
      <c r="G19" s="177">
        <v>1.6</v>
      </c>
      <c r="H19" s="177">
        <v>1.6</v>
      </c>
      <c r="I19" s="177">
        <v>1.6</v>
      </c>
      <c r="J19" s="177">
        <v>1.6</v>
      </c>
      <c r="K19" s="177">
        <v>1.6</v>
      </c>
      <c r="L19" s="177"/>
      <c r="M19" s="177"/>
      <c r="N19" s="177"/>
      <c r="O19" s="177"/>
      <c r="P19" s="177"/>
      <c r="Q19" s="177"/>
      <c r="R19" s="177"/>
      <c r="S19" s="177"/>
      <c r="T19" s="177"/>
      <c r="U19" s="177"/>
      <c r="V19" s="177"/>
      <c r="W19" s="177"/>
      <c r="X19" s="177"/>
      <c r="Y19" s="177"/>
    </row>
    <row r="20" spans="1:25" ht="13.5" thickBot="1" x14ac:dyDescent="0.25">
      <c r="A20" s="175" t="s">
        <v>1092</v>
      </c>
      <c r="B20" s="181">
        <f t="shared" si="2"/>
        <v>30.319999999999997</v>
      </c>
      <c r="C20" s="177">
        <v>0</v>
      </c>
      <c r="D20" s="177">
        <v>3.79</v>
      </c>
      <c r="E20" s="177">
        <v>3.79</v>
      </c>
      <c r="F20" s="177">
        <v>3.79</v>
      </c>
      <c r="G20" s="177">
        <v>3.79</v>
      </c>
      <c r="H20" s="177">
        <v>3.79</v>
      </c>
      <c r="I20" s="177">
        <v>3.79</v>
      </c>
      <c r="J20" s="177">
        <v>3.79</v>
      </c>
      <c r="K20" s="177">
        <v>3.79</v>
      </c>
      <c r="L20" s="177"/>
      <c r="M20" s="177"/>
      <c r="N20" s="177"/>
      <c r="O20" s="177"/>
      <c r="P20" s="177"/>
      <c r="Q20" s="177"/>
      <c r="R20" s="177"/>
      <c r="S20" s="177"/>
      <c r="T20" s="177"/>
      <c r="U20" s="177"/>
      <c r="V20" s="177"/>
      <c r="W20" s="177"/>
      <c r="X20" s="177"/>
      <c r="Y20" s="177"/>
    </row>
    <row r="21" spans="1:25" s="184" customFormat="1" ht="13.5" thickBot="1" x14ac:dyDescent="0.25">
      <c r="A21" s="182"/>
      <c r="B21" s="182"/>
      <c r="C21" s="183"/>
      <c r="D21" s="183"/>
      <c r="E21" s="183"/>
      <c r="F21" s="183"/>
      <c r="G21" s="183"/>
      <c r="H21" s="183"/>
      <c r="I21" s="183"/>
      <c r="J21" s="183"/>
      <c r="K21" s="183"/>
      <c r="L21" s="183"/>
      <c r="M21" s="183"/>
      <c r="N21" s="183"/>
      <c r="O21" s="183"/>
      <c r="P21" s="183"/>
      <c r="Q21" s="183"/>
      <c r="R21" s="183"/>
      <c r="S21" s="183"/>
      <c r="T21" s="183"/>
      <c r="U21" s="183"/>
      <c r="V21" s="183"/>
      <c r="W21" s="183"/>
      <c r="X21" s="183"/>
      <c r="Y21" s="183"/>
    </row>
    <row r="22" spans="1:25" x14ac:dyDescent="0.2">
      <c r="A22" s="185" t="s">
        <v>1093</v>
      </c>
      <c r="B22" s="176">
        <f>SUM(C22:XFD22)</f>
        <v>30997.250000000004</v>
      </c>
      <c r="C22" s="178">
        <f>SUM(C4:C7)</f>
        <v>6798.37</v>
      </c>
      <c r="D22" s="178">
        <f>SUM(D4:D7)</f>
        <v>3024.86</v>
      </c>
      <c r="E22" s="178">
        <f>SUM(E4:E7)</f>
        <v>3024.86</v>
      </c>
      <c r="F22" s="178">
        <f>SUM(F4:F7)</f>
        <v>3024.86</v>
      </c>
      <c r="G22" s="178">
        <f t="shared" ref="G22" si="4">SUM(G4:G7)</f>
        <v>3024.86</v>
      </c>
      <c r="H22" s="178">
        <f>SUM(H4:H7)</f>
        <v>3024.86</v>
      </c>
      <c r="I22" s="178">
        <f>SUM(I4:I7)</f>
        <v>3024.86</v>
      </c>
      <c r="J22" s="178">
        <f>SUM(J4:J7)</f>
        <v>3024.86</v>
      </c>
      <c r="K22" s="178">
        <f>SUM(K4:K7)</f>
        <v>3024.86</v>
      </c>
      <c r="L22" s="178"/>
      <c r="M22" s="178"/>
      <c r="N22" s="178"/>
      <c r="O22" s="178"/>
      <c r="P22" s="178"/>
      <c r="Q22" s="178"/>
      <c r="R22" s="178"/>
      <c r="S22" s="178"/>
      <c r="T22" s="178"/>
      <c r="U22" s="178"/>
      <c r="V22" s="178"/>
      <c r="W22" s="178"/>
      <c r="X22" s="178"/>
      <c r="Y22" s="178"/>
    </row>
    <row r="23" spans="1:25" s="184" customFormat="1" ht="13.5" thickBot="1" x14ac:dyDescent="0.25">
      <c r="A23" s="186" t="s">
        <v>1080</v>
      </c>
      <c r="B23" s="181">
        <f>SUM(C23:XFD23)</f>
        <v>11440.130000000001</v>
      </c>
      <c r="C23" s="187">
        <f>SUM(C9:C20)</f>
        <v>2361.8000000000002</v>
      </c>
      <c r="D23" s="187">
        <f>SUM(D9:D20)</f>
        <v>1441.24</v>
      </c>
      <c r="E23" s="187">
        <f>SUM(E9:E20)</f>
        <v>1441.25</v>
      </c>
      <c r="F23" s="187">
        <f>SUM(F9:F20)</f>
        <v>1291.2</v>
      </c>
      <c r="G23" s="187">
        <f t="shared" ref="G23" si="5">SUM(G9:G20)</f>
        <v>991.21</v>
      </c>
      <c r="H23" s="187">
        <f>SUM(H9:H20)</f>
        <v>991.21</v>
      </c>
      <c r="I23" s="187">
        <f>SUM(I9:I20)</f>
        <v>991.2</v>
      </c>
      <c r="J23" s="187">
        <f>SUM(J9:J20)</f>
        <v>845.51</v>
      </c>
      <c r="K23" s="187">
        <f>SUM(K9:K20)</f>
        <v>1085.51</v>
      </c>
      <c r="L23" s="187"/>
      <c r="M23" s="187"/>
      <c r="N23" s="187"/>
      <c r="O23" s="187"/>
      <c r="P23" s="187"/>
      <c r="Q23" s="187"/>
      <c r="R23" s="187"/>
      <c r="S23" s="187"/>
      <c r="T23" s="187"/>
      <c r="U23" s="187"/>
      <c r="V23" s="187"/>
      <c r="W23" s="187"/>
      <c r="X23" s="187"/>
      <c r="Y23" s="187"/>
    </row>
    <row r="24" spans="1:25" ht="13.5" thickBot="1" x14ac:dyDescent="0.25">
      <c r="A24" s="188"/>
      <c r="B24" s="188"/>
    </row>
    <row r="25" spans="1:25" ht="13.5" thickBot="1" x14ac:dyDescent="0.25">
      <c r="A25" s="185" t="s">
        <v>1094</v>
      </c>
      <c r="B25" s="189">
        <f>SUM(C25:XFD25)</f>
        <v>19557.119999999995</v>
      </c>
      <c r="C25" s="109">
        <f>C22-C23</f>
        <v>4436.57</v>
      </c>
      <c r="D25" s="109">
        <f t="shared" ref="D25:K25" si="6">D22-D23</f>
        <v>1583.6200000000001</v>
      </c>
      <c r="E25" s="109">
        <f t="shared" si="6"/>
        <v>1583.6100000000001</v>
      </c>
      <c r="F25" s="109">
        <f t="shared" si="6"/>
        <v>1733.66</v>
      </c>
      <c r="G25" s="109">
        <f t="shared" si="6"/>
        <v>2033.65</v>
      </c>
      <c r="H25" s="109">
        <f>H22-H23</f>
        <v>2033.65</v>
      </c>
      <c r="I25" s="109">
        <f t="shared" si="6"/>
        <v>2033.66</v>
      </c>
      <c r="J25" s="109">
        <f t="shared" si="6"/>
        <v>2179.3500000000004</v>
      </c>
      <c r="K25" s="109">
        <f t="shared" si="6"/>
        <v>1939.3500000000001</v>
      </c>
      <c r="L25" s="109"/>
      <c r="M25" s="109"/>
      <c r="N25" s="109"/>
      <c r="O25" s="109"/>
      <c r="P25" s="109"/>
      <c r="Q25" s="109"/>
      <c r="R25" s="109"/>
      <c r="S25" s="109"/>
      <c r="T25" s="109"/>
      <c r="U25" s="109"/>
      <c r="V25" s="109"/>
      <c r="W25" s="109"/>
      <c r="X25" s="109"/>
      <c r="Y25" s="109"/>
    </row>
    <row r="26" spans="1:25" ht="13.5" thickBot="1" x14ac:dyDescent="0.25"/>
    <row r="27" spans="1:25" x14ac:dyDescent="0.2">
      <c r="A27" s="190" t="s">
        <v>1081</v>
      </c>
      <c r="B27" s="191">
        <f t="shared" ref="B27:K32" si="7">B9/B$22</f>
        <v>0.13340312447071917</v>
      </c>
      <c r="C27" s="192">
        <f>C9/C$22</f>
        <v>0.18032704898380053</v>
      </c>
      <c r="D27" s="193">
        <f t="shared" si="7"/>
        <v>0.12023035776862399</v>
      </c>
      <c r="E27" s="193">
        <f t="shared" si="7"/>
        <v>0.12023035776862399</v>
      </c>
      <c r="F27" s="193">
        <f t="shared" si="7"/>
        <v>0.12021713401611975</v>
      </c>
      <c r="G27" s="193">
        <f t="shared" si="7"/>
        <v>0.12021713401611975</v>
      </c>
      <c r="H27" s="193">
        <f t="shared" si="7"/>
        <v>0.12021713401611975</v>
      </c>
      <c r="I27" s="193">
        <f t="shared" si="7"/>
        <v>0.12021713401611975</v>
      </c>
      <c r="J27" s="193">
        <f t="shared" si="7"/>
        <v>0.12021713401611975</v>
      </c>
      <c r="K27" s="193">
        <f t="shared" si="7"/>
        <v>0.12021713401611975</v>
      </c>
      <c r="L27" s="193"/>
      <c r="M27" s="193"/>
      <c r="N27" s="193"/>
      <c r="O27" s="193"/>
      <c r="P27" s="193"/>
      <c r="Q27" s="193"/>
      <c r="R27" s="193"/>
      <c r="S27" s="193"/>
      <c r="T27" s="193"/>
      <c r="U27" s="193"/>
      <c r="V27" s="193"/>
      <c r="W27" s="193"/>
      <c r="X27" s="193"/>
      <c r="Y27" s="193"/>
    </row>
    <row r="28" spans="1:25" x14ac:dyDescent="0.2">
      <c r="A28" s="190" t="s">
        <v>1082</v>
      </c>
      <c r="B28" s="194">
        <f t="shared" si="7"/>
        <v>1.4135447499374941E-2</v>
      </c>
      <c r="C28" s="192"/>
      <c r="D28" s="193">
        <f>D10/D$22</f>
        <v>1.8106623116441754E-2</v>
      </c>
      <c r="E28" s="193">
        <f t="shared" si="7"/>
        <v>1.8106623116441754E-2</v>
      </c>
      <c r="F28" s="193">
        <f t="shared" si="7"/>
        <v>1.8106623116441754E-2</v>
      </c>
      <c r="G28" s="193">
        <f t="shared" si="7"/>
        <v>1.8106623116441754E-2</v>
      </c>
      <c r="H28" s="193">
        <f t="shared" si="7"/>
        <v>1.8106623116441754E-2</v>
      </c>
      <c r="I28" s="193">
        <f t="shared" si="7"/>
        <v>1.8106623116441754E-2</v>
      </c>
      <c r="J28" s="193">
        <f t="shared" si="7"/>
        <v>1.8106623116441754E-2</v>
      </c>
      <c r="K28" s="193">
        <f t="shared" si="7"/>
        <v>1.8106623116441754E-2</v>
      </c>
      <c r="L28" s="193"/>
      <c r="M28" s="193"/>
      <c r="N28" s="193"/>
      <c r="O28" s="193"/>
      <c r="P28" s="193"/>
      <c r="Q28" s="193"/>
      <c r="R28" s="193"/>
      <c r="S28" s="193"/>
      <c r="T28" s="193"/>
      <c r="U28" s="193"/>
      <c r="V28" s="193"/>
      <c r="W28" s="193"/>
      <c r="X28" s="193"/>
      <c r="Y28" s="193"/>
    </row>
    <row r="29" spans="1:25" x14ac:dyDescent="0.2">
      <c r="A29" s="190" t="s">
        <v>1083</v>
      </c>
      <c r="B29" s="194">
        <f t="shared" si="7"/>
        <v>2.9163877440740706E-4</v>
      </c>
      <c r="C29" s="192"/>
      <c r="D29" s="193">
        <f>D11/D$22</f>
        <v>3.7357100824500966E-4</v>
      </c>
      <c r="E29" s="193">
        <f t="shared" si="7"/>
        <v>3.7357100824500966E-4</v>
      </c>
      <c r="F29" s="193">
        <f t="shared" si="7"/>
        <v>3.7357100824500966E-4</v>
      </c>
      <c r="G29" s="193">
        <f t="shared" si="7"/>
        <v>3.7357100824500966E-4</v>
      </c>
      <c r="H29" s="193">
        <f t="shared" si="7"/>
        <v>3.7357100824500966E-4</v>
      </c>
      <c r="I29" s="193">
        <f t="shared" si="7"/>
        <v>3.7357100824500966E-4</v>
      </c>
      <c r="J29" s="193">
        <f t="shared" si="7"/>
        <v>3.7357100824500966E-4</v>
      </c>
      <c r="K29" s="193">
        <f t="shared" si="7"/>
        <v>3.7357100824500966E-4</v>
      </c>
      <c r="L29" s="193"/>
      <c r="M29" s="193"/>
      <c r="N29" s="193"/>
      <c r="O29" s="193"/>
      <c r="P29" s="193"/>
      <c r="Q29" s="193"/>
      <c r="R29" s="193"/>
      <c r="S29" s="193"/>
      <c r="T29" s="193"/>
      <c r="U29" s="193"/>
      <c r="V29" s="193"/>
      <c r="W29" s="193"/>
      <c r="X29" s="193"/>
      <c r="Y29" s="193"/>
    </row>
    <row r="30" spans="1:25" x14ac:dyDescent="0.2">
      <c r="A30" s="190" t="s">
        <v>1084</v>
      </c>
      <c r="B30" s="194">
        <f t="shared" si="7"/>
        <v>2.5008670123962606E-3</v>
      </c>
      <c r="C30" s="192"/>
      <c r="D30" s="193">
        <f>D12/D$22</f>
        <v>3.2034540441541093E-3</v>
      </c>
      <c r="E30" s="193">
        <f t="shared" si="7"/>
        <v>3.2034540441541093E-3</v>
      </c>
      <c r="F30" s="193">
        <f t="shared" si="7"/>
        <v>3.2034540441541093E-3</v>
      </c>
      <c r="G30" s="193">
        <f t="shared" si="7"/>
        <v>3.2034540441541093E-3</v>
      </c>
      <c r="H30" s="193">
        <f t="shared" si="7"/>
        <v>3.2034540441541093E-3</v>
      </c>
      <c r="I30" s="193">
        <f t="shared" si="7"/>
        <v>3.2034540441541093E-3</v>
      </c>
      <c r="J30" s="193">
        <f t="shared" si="7"/>
        <v>3.2034540441541093E-3</v>
      </c>
      <c r="K30" s="193">
        <f t="shared" si="7"/>
        <v>3.2034540441541093E-3</v>
      </c>
      <c r="L30" s="193"/>
      <c r="M30" s="193"/>
      <c r="N30" s="193"/>
      <c r="O30" s="193"/>
      <c r="P30" s="193"/>
      <c r="Q30" s="193"/>
      <c r="R30" s="193"/>
      <c r="S30" s="193"/>
      <c r="T30" s="193"/>
      <c r="U30" s="193"/>
      <c r="V30" s="193"/>
      <c r="W30" s="193"/>
      <c r="X30" s="193"/>
      <c r="Y30" s="193"/>
    </row>
    <row r="31" spans="1:25" x14ac:dyDescent="0.2">
      <c r="A31" s="190" t="s">
        <v>1085</v>
      </c>
      <c r="B31" s="194">
        <f>B13/B$7</f>
        <v>1.459119496855346E-2</v>
      </c>
      <c r="C31" s="192"/>
      <c r="D31" s="193">
        <f>D13/D$7</f>
        <v>2.9000000000000001E-2</v>
      </c>
      <c r="E31" s="193">
        <f t="shared" si="7"/>
        <v>2.8761661696739684E-2</v>
      </c>
      <c r="F31" s="193">
        <f t="shared" si="7"/>
        <v>2.8761661696739684E-2</v>
      </c>
      <c r="G31" s="193">
        <f t="shared" si="7"/>
        <v>2.8761661696739684E-2</v>
      </c>
      <c r="H31" s="193">
        <f t="shared" si="7"/>
        <v>2.8761661696739684E-2</v>
      </c>
      <c r="I31" s="193">
        <f t="shared" si="7"/>
        <v>2.8761661696739684E-2</v>
      </c>
      <c r="J31" s="193">
        <f t="shared" si="7"/>
        <v>2.8761661696739684E-2</v>
      </c>
      <c r="K31" s="193">
        <f t="shared" si="7"/>
        <v>2.8761661696739684E-2</v>
      </c>
      <c r="L31" s="193"/>
      <c r="M31" s="193"/>
      <c r="N31" s="193"/>
      <c r="O31" s="193"/>
      <c r="P31" s="193"/>
      <c r="Q31" s="193"/>
      <c r="R31" s="193"/>
      <c r="S31" s="193"/>
      <c r="T31" s="193"/>
      <c r="U31" s="193"/>
      <c r="V31" s="193"/>
      <c r="W31" s="193"/>
      <c r="X31" s="193"/>
      <c r="Y31" s="193"/>
    </row>
    <row r="32" spans="1:25" x14ac:dyDescent="0.2">
      <c r="A32" s="190" t="s">
        <v>1086</v>
      </c>
      <c r="B32" s="194">
        <f t="shared" ref="B32" si="8">B14/B$22</f>
        <v>1.3953818483897764E-2</v>
      </c>
      <c r="C32" s="192">
        <f>C14/C$22</f>
        <v>1.4500534686991147E-2</v>
      </c>
      <c r="D32" s="193">
        <f>D14/D$22</f>
        <v>1.3798985738182924E-2</v>
      </c>
      <c r="E32" s="193">
        <f t="shared" si="7"/>
        <v>1.3802291676308986E-2</v>
      </c>
      <c r="F32" s="193">
        <f t="shared" si="7"/>
        <v>1.3798985738182924E-2</v>
      </c>
      <c r="G32" s="193">
        <f t="shared" si="7"/>
        <v>1.3802291676308986E-2</v>
      </c>
      <c r="H32" s="193">
        <f t="shared" si="7"/>
        <v>1.3802291676308986E-2</v>
      </c>
      <c r="I32" s="193">
        <f t="shared" si="7"/>
        <v>1.3798985738182924E-2</v>
      </c>
      <c r="J32" s="193">
        <f t="shared" si="7"/>
        <v>1.3798985738182924E-2</v>
      </c>
      <c r="K32" s="193">
        <f t="shared" si="7"/>
        <v>1.3798985738182924E-2</v>
      </c>
      <c r="L32" s="193"/>
      <c r="M32" s="193"/>
      <c r="N32" s="193"/>
      <c r="O32" s="193"/>
      <c r="P32" s="193"/>
      <c r="Q32" s="193"/>
      <c r="R32" s="193"/>
      <c r="S32" s="193"/>
      <c r="T32" s="193"/>
      <c r="U32" s="193"/>
      <c r="V32" s="193"/>
      <c r="W32" s="193"/>
      <c r="X32" s="193"/>
      <c r="Y32" s="193"/>
    </row>
    <row r="33" spans="1:25" x14ac:dyDescent="0.2">
      <c r="A33" s="190" t="s">
        <v>1087</v>
      </c>
      <c r="B33" s="194">
        <f>B15/(B$22 - SUM(B4:B6))</f>
        <v>0.11685393258426964</v>
      </c>
      <c r="C33" s="192"/>
      <c r="D33" s="193">
        <f t="shared" ref="D33:I33" si="9">D15/(D$22 - SUM(D4:D6))</f>
        <v>0.15</v>
      </c>
      <c r="E33" s="193">
        <f t="shared" si="9"/>
        <v>0.15</v>
      </c>
      <c r="F33" s="193">
        <f t="shared" si="9"/>
        <v>0.1</v>
      </c>
      <c r="G33" s="193">
        <f t="shared" si="9"/>
        <v>0</v>
      </c>
      <c r="H33" s="193">
        <f t="shared" si="9"/>
        <v>0</v>
      </c>
      <c r="I33" s="193">
        <f t="shared" si="9"/>
        <v>0</v>
      </c>
      <c r="J33" s="193">
        <f t="shared" ref="J33:K33" si="10">J15/(J$22 - SUM(J4:J6))</f>
        <v>0</v>
      </c>
      <c r="K33" s="193">
        <f t="shared" si="10"/>
        <v>0.08</v>
      </c>
      <c r="L33" s="193"/>
      <c r="M33" s="193"/>
      <c r="N33" s="193"/>
      <c r="O33" s="193"/>
      <c r="P33" s="193"/>
      <c r="Q33" s="193"/>
      <c r="R33" s="193"/>
      <c r="S33" s="193"/>
      <c r="T33" s="193"/>
      <c r="U33" s="193"/>
      <c r="V33" s="193"/>
      <c r="W33" s="193"/>
      <c r="X33" s="193"/>
      <c r="Y33" s="193"/>
    </row>
    <row r="34" spans="1:25" x14ac:dyDescent="0.2">
      <c r="A34" s="190" t="s">
        <v>1088</v>
      </c>
      <c r="B34" s="194">
        <f>B16/(B$22-SUM(B4:B6))</f>
        <v>6.9269662921348299E-2</v>
      </c>
      <c r="C34" s="192">
        <f>C16/(C$22-SUM(C5:C6))</f>
        <v>6.2000155919727816E-2</v>
      </c>
      <c r="D34" s="193">
        <f t="shared" ref="D34:K34" si="11">D16/(D$22-SUM(D4:D6))</f>
        <v>5.9499999999999997E-2</v>
      </c>
      <c r="E34" s="193">
        <f t="shared" si="11"/>
        <v>5.9499999999999997E-2</v>
      </c>
      <c r="F34" s="193">
        <f t="shared" si="11"/>
        <v>5.9499999999999997E-2</v>
      </c>
      <c r="G34" s="193">
        <f t="shared" si="11"/>
        <v>5.9499999999999997E-2</v>
      </c>
      <c r="H34" s="193">
        <f t="shared" si="11"/>
        <v>5.9499999999999997E-2</v>
      </c>
      <c r="I34" s="193">
        <f t="shared" si="11"/>
        <v>5.9499999999999997E-2</v>
      </c>
      <c r="J34" s="193">
        <f t="shared" si="11"/>
        <v>5.9499999999999997E-2</v>
      </c>
      <c r="K34" s="193">
        <f t="shared" si="11"/>
        <v>5.9499999999999997E-2</v>
      </c>
      <c r="L34" s="193"/>
      <c r="M34" s="193"/>
      <c r="N34" s="193"/>
      <c r="O34" s="193"/>
      <c r="P34" s="193"/>
      <c r="Q34" s="193"/>
      <c r="R34" s="193"/>
      <c r="S34" s="193"/>
      <c r="T34" s="193"/>
      <c r="U34" s="193"/>
      <c r="V34" s="193"/>
      <c r="W34" s="193"/>
      <c r="X34" s="193"/>
      <c r="Y34" s="193"/>
    </row>
    <row r="35" spans="1:25" x14ac:dyDescent="0.2">
      <c r="A35" s="190" t="s">
        <v>1089</v>
      </c>
      <c r="B35" s="194">
        <f t="shared" ref="B35:K38" si="12">B17/B$22</f>
        <v>4.0170982909774257E-2</v>
      </c>
      <c r="C35" s="192">
        <f t="shared" si="12"/>
        <v>5.4579259440130506E-2</v>
      </c>
      <c r="D35" s="193">
        <f t="shared" si="12"/>
        <v>4.8164212558597749E-2</v>
      </c>
      <c r="E35" s="193">
        <f t="shared" si="12"/>
        <v>4.8164212558597749E-2</v>
      </c>
      <c r="F35" s="193">
        <f t="shared" si="12"/>
        <v>4.8164212558597749E-2</v>
      </c>
      <c r="G35" s="193">
        <f t="shared" si="12"/>
        <v>4.8164212558597749E-2</v>
      </c>
      <c r="H35" s="193">
        <f t="shared" si="12"/>
        <v>4.8164212558597749E-2</v>
      </c>
      <c r="I35" s="193">
        <f t="shared" si="12"/>
        <v>4.8164212558597749E-2</v>
      </c>
      <c r="J35" s="193">
        <f t="shared" si="12"/>
        <v>0</v>
      </c>
      <c r="K35" s="193">
        <f t="shared" si="12"/>
        <v>0</v>
      </c>
      <c r="L35" s="193"/>
      <c r="M35" s="193"/>
      <c r="N35" s="193"/>
      <c r="O35" s="193"/>
      <c r="P35" s="193"/>
      <c r="Q35" s="193"/>
      <c r="R35" s="193"/>
      <c r="S35" s="193"/>
      <c r="T35" s="193"/>
      <c r="U35" s="193"/>
      <c r="V35" s="193"/>
      <c r="W35" s="193"/>
      <c r="X35" s="193"/>
      <c r="Y35" s="193"/>
    </row>
    <row r="36" spans="1:25" x14ac:dyDescent="0.2">
      <c r="A36" s="190" t="s">
        <v>1090</v>
      </c>
      <c r="B36" s="194">
        <f t="shared" si="12"/>
        <v>3.4646299268483484E-2</v>
      </c>
      <c r="C36" s="192">
        <f t="shared" si="12"/>
        <v>3.5999805835810646E-2</v>
      </c>
      <c r="D36" s="193">
        <f t="shared" si="12"/>
        <v>3.4266048676632965E-2</v>
      </c>
      <c r="E36" s="193">
        <f t="shared" si="12"/>
        <v>3.4266048676632965E-2</v>
      </c>
      <c r="F36" s="193">
        <f t="shared" si="12"/>
        <v>3.4266048676632965E-2</v>
      </c>
      <c r="G36" s="193">
        <f t="shared" si="12"/>
        <v>3.4266048676632965E-2</v>
      </c>
      <c r="H36" s="193">
        <f t="shared" si="12"/>
        <v>3.4266048676632965E-2</v>
      </c>
      <c r="I36" s="193">
        <f t="shared" si="12"/>
        <v>3.4266048676632965E-2</v>
      </c>
      <c r="J36" s="193">
        <f t="shared" si="12"/>
        <v>3.4266048676632965E-2</v>
      </c>
      <c r="K36" s="193">
        <f t="shared" si="12"/>
        <v>3.4266048676632965E-2</v>
      </c>
      <c r="L36" s="193"/>
      <c r="M36" s="193"/>
      <c r="N36" s="193"/>
      <c r="O36" s="193"/>
      <c r="P36" s="193"/>
      <c r="Q36" s="193"/>
      <c r="R36" s="193"/>
      <c r="S36" s="193"/>
      <c r="T36" s="193"/>
      <c r="U36" s="193"/>
      <c r="V36" s="193"/>
      <c r="W36" s="193"/>
      <c r="X36" s="193"/>
      <c r="Y36" s="193"/>
    </row>
    <row r="37" spans="1:25" x14ac:dyDescent="0.2">
      <c r="A37" s="190" t="s">
        <v>1091</v>
      </c>
      <c r="B37" s="194">
        <f t="shared" si="12"/>
        <v>4.1293985756800996E-4</v>
      </c>
      <c r="C37" s="195"/>
      <c r="D37" s="193">
        <f t="shared" si="12"/>
        <v>5.2895010016992523E-4</v>
      </c>
      <c r="E37" s="193">
        <f t="shared" si="12"/>
        <v>5.2895010016992523E-4</v>
      </c>
      <c r="F37" s="193">
        <f t="shared" si="12"/>
        <v>5.2895010016992523E-4</v>
      </c>
      <c r="G37" s="193">
        <f t="shared" si="12"/>
        <v>5.2895010016992523E-4</v>
      </c>
      <c r="H37" s="193">
        <f t="shared" si="12"/>
        <v>5.2895010016992523E-4</v>
      </c>
      <c r="I37" s="193">
        <f t="shared" si="12"/>
        <v>5.2895010016992523E-4</v>
      </c>
      <c r="J37" s="193">
        <f t="shared" si="12"/>
        <v>5.2895010016992523E-4</v>
      </c>
      <c r="K37" s="193">
        <f t="shared" si="12"/>
        <v>5.2895010016992523E-4</v>
      </c>
      <c r="L37" s="193"/>
      <c r="M37" s="193"/>
      <c r="N37" s="193"/>
      <c r="O37" s="193"/>
      <c r="P37" s="193"/>
      <c r="Q37" s="193"/>
      <c r="R37" s="193"/>
      <c r="S37" s="193"/>
      <c r="T37" s="193"/>
      <c r="U37" s="193"/>
      <c r="V37" s="193"/>
      <c r="W37" s="193"/>
      <c r="X37" s="193"/>
      <c r="Y37" s="193"/>
    </row>
    <row r="38" spans="1:25" ht="13.5" thickBot="1" x14ac:dyDescent="0.25">
      <c r="A38" s="190" t="s">
        <v>1092</v>
      </c>
      <c r="B38" s="196">
        <f t="shared" si="12"/>
        <v>9.7815128761422369E-4</v>
      </c>
      <c r="C38" s="195"/>
      <c r="D38" s="193">
        <f t="shared" si="12"/>
        <v>1.2529505497775103E-3</v>
      </c>
      <c r="E38" s="193">
        <f t="shared" si="12"/>
        <v>1.2529505497775103E-3</v>
      </c>
      <c r="F38" s="193">
        <f t="shared" si="12"/>
        <v>1.2529505497775103E-3</v>
      </c>
      <c r="G38" s="193">
        <f t="shared" si="12"/>
        <v>1.2529505497775103E-3</v>
      </c>
      <c r="H38" s="193">
        <f t="shared" si="12"/>
        <v>1.2529505497775103E-3</v>
      </c>
      <c r="I38" s="193">
        <f t="shared" si="12"/>
        <v>1.2529505497775103E-3</v>
      </c>
      <c r="J38" s="193">
        <f t="shared" si="12"/>
        <v>1.2529505497775103E-3</v>
      </c>
      <c r="K38" s="193">
        <f t="shared" si="12"/>
        <v>1.2529505497775103E-3</v>
      </c>
      <c r="L38" s="193"/>
      <c r="M38" s="193"/>
      <c r="N38" s="193"/>
      <c r="O38" s="193"/>
      <c r="P38" s="193"/>
      <c r="Q38" s="193"/>
      <c r="R38" s="193"/>
      <c r="S38" s="193"/>
      <c r="T38" s="193"/>
      <c r="U38" s="193"/>
      <c r="V38" s="193"/>
      <c r="W38" s="193"/>
      <c r="X38" s="193"/>
      <c r="Y38" s="193"/>
    </row>
    <row r="40" spans="1:25" x14ac:dyDescent="0.2">
      <c r="B40" s="109">
        <f>0.04*D7</f>
        <v>120</v>
      </c>
      <c r="K40" s="109"/>
      <c r="L40" s="109"/>
      <c r="M40" s="109"/>
      <c r="N40" s="109"/>
      <c r="O40" s="109"/>
      <c r="P40" s="109"/>
      <c r="Q40" s="109"/>
      <c r="R40" s="109"/>
    </row>
    <row r="41" spans="1:25" x14ac:dyDescent="0.2">
      <c r="B41" s="109">
        <f>B40*26</f>
        <v>3120</v>
      </c>
    </row>
    <row r="42" spans="1:25" x14ac:dyDescent="0.2">
      <c r="B42" s="197">
        <f>B15/B41</f>
        <v>1</v>
      </c>
    </row>
    <row r="45" spans="1:25" x14ac:dyDescent="0.2">
      <c r="B45" s="105">
        <f>B25/B22</f>
        <v>0.6309308083781624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82E6-E2BD-433A-864D-0745D8FDC452}">
  <dimension ref="A1:L12"/>
  <sheetViews>
    <sheetView zoomScale="85" zoomScaleNormal="85" workbookViewId="0">
      <selection activeCell="A20" sqref="A20"/>
    </sheetView>
  </sheetViews>
  <sheetFormatPr defaultRowHeight="11.25" x14ac:dyDescent="0.2"/>
  <cols>
    <col min="1" max="1" width="30.1640625" bestFit="1" customWidth="1"/>
    <col min="2" max="12" width="20.5" customWidth="1"/>
    <col min="13" max="13" width="15.5" customWidth="1"/>
  </cols>
  <sheetData>
    <row r="1" spans="1:12" x14ac:dyDescent="0.2">
      <c r="A1" s="91" t="s">
        <v>769</v>
      </c>
      <c r="B1" s="91" t="s">
        <v>770</v>
      </c>
      <c r="C1" s="91" t="s">
        <v>779</v>
      </c>
      <c r="D1" s="91" t="s">
        <v>771</v>
      </c>
      <c r="E1" s="91" t="s">
        <v>772</v>
      </c>
      <c r="F1" s="91" t="s">
        <v>773</v>
      </c>
      <c r="G1" s="91" t="s">
        <v>774</v>
      </c>
      <c r="H1" s="91" t="s">
        <v>775</v>
      </c>
      <c r="I1" s="91" t="s">
        <v>780</v>
      </c>
      <c r="J1" s="91" t="s">
        <v>776</v>
      </c>
      <c r="K1" s="91" t="s">
        <v>777</v>
      </c>
      <c r="L1" s="91" t="s">
        <v>778</v>
      </c>
    </row>
    <row r="2" spans="1:12" x14ac:dyDescent="0.2">
      <c r="A2" s="92" t="s">
        <v>668</v>
      </c>
    </row>
    <row r="3" spans="1:12" x14ac:dyDescent="0.2">
      <c r="A3" s="93" t="s">
        <v>670</v>
      </c>
    </row>
    <row r="4" spans="1:12" x14ac:dyDescent="0.2">
      <c r="A4" s="94" t="s">
        <v>628</v>
      </c>
    </row>
    <row r="5" spans="1:12" x14ac:dyDescent="0.2">
      <c r="A5" s="95" t="s">
        <v>627</v>
      </c>
    </row>
    <row r="6" spans="1:12" x14ac:dyDescent="0.2">
      <c r="A6" s="95" t="s">
        <v>671</v>
      </c>
    </row>
    <row r="7" spans="1:12" x14ac:dyDescent="0.2">
      <c r="A7" s="94" t="s">
        <v>677</v>
      </c>
    </row>
    <row r="8" spans="1:12" x14ac:dyDescent="0.2">
      <c r="A8" s="96" t="s">
        <v>682</v>
      </c>
    </row>
    <row r="9" spans="1:12" x14ac:dyDescent="0.2">
      <c r="A9" s="97" t="s">
        <v>781</v>
      </c>
    </row>
    <row r="10" spans="1:12" x14ac:dyDescent="0.2">
      <c r="A10" s="97" t="s">
        <v>688</v>
      </c>
    </row>
    <row r="11" spans="1:12" x14ac:dyDescent="0.2">
      <c r="A11" s="96" t="s">
        <v>692</v>
      </c>
    </row>
    <row r="12" spans="1:12" x14ac:dyDescent="0.2">
      <c r="A12" s="96" t="s">
        <v>697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266F-8EDE-4115-8B6F-07BDB3D1006F}">
  <sheetPr>
    <tabColor theme="4"/>
    <pageSetUpPr autoPageBreaks="0" fitToPage="1"/>
  </sheetPr>
  <dimension ref="A1:T109"/>
  <sheetViews>
    <sheetView showGridLines="0" topLeftCell="A3" zoomScale="70" zoomScaleNormal="70" workbookViewId="0">
      <selection activeCell="N11" sqref="N11"/>
    </sheetView>
  </sheetViews>
  <sheetFormatPr defaultColWidth="0" defaultRowHeight="0" customHeight="1" zeroHeight="1" x14ac:dyDescent="0.2"/>
  <cols>
    <col min="1" max="1" width="6.5" style="28" customWidth="1"/>
    <col min="2" max="2" width="14" style="29" customWidth="1"/>
    <col min="3" max="3" width="42.5" style="29" customWidth="1"/>
    <col min="4" max="16" width="17.1640625" style="30" customWidth="1"/>
    <col min="17" max="17" width="17.1640625" style="29" customWidth="1"/>
    <col min="18" max="18" width="3.6640625" style="29" customWidth="1"/>
    <col min="19" max="19" width="8.83203125" style="29" customWidth="1"/>
    <col min="20" max="20" width="0" style="29" hidden="1" customWidth="1"/>
    <col min="21" max="16384" width="8.83203125" style="29" hidden="1"/>
  </cols>
  <sheetData>
    <row r="1" spans="1:19" ht="12.75" customHeight="1" x14ac:dyDescent="0.2">
      <c r="A1" s="28" t="s">
        <v>632</v>
      </c>
    </row>
    <row r="2" spans="1:19" ht="35.25" customHeight="1" thickBot="1" x14ac:dyDescent="0.75">
      <c r="A2" s="31" t="s">
        <v>633</v>
      </c>
      <c r="B2" s="262" t="s">
        <v>634</v>
      </c>
      <c r="C2" s="262"/>
      <c r="D2" s="262"/>
      <c r="E2" s="263"/>
      <c r="F2" s="263"/>
      <c r="G2" s="263"/>
      <c r="H2" s="263"/>
      <c r="I2" s="263"/>
      <c r="J2" s="263"/>
      <c r="K2" s="263"/>
      <c r="L2" s="263"/>
      <c r="M2" s="263"/>
      <c r="N2" s="263"/>
      <c r="O2" s="263"/>
      <c r="P2" s="263"/>
      <c r="Q2" s="32">
        <f ca="1">YEAR(TODAY())</f>
        <v>2021</v>
      </c>
    </row>
    <row r="3" spans="1:19" ht="26.25" customHeight="1" x14ac:dyDescent="0.2">
      <c r="D3" s="30">
        <f>C3+1</f>
        <v>1</v>
      </c>
      <c r="E3" s="30">
        <f t="shared" ref="E3:O3" si="0">D3+1</f>
        <v>2</v>
      </c>
      <c r="F3" s="30">
        <f t="shared" si="0"/>
        <v>3</v>
      </c>
      <c r="G3" s="30">
        <f t="shared" si="0"/>
        <v>4</v>
      </c>
      <c r="H3" s="30">
        <f t="shared" si="0"/>
        <v>5</v>
      </c>
      <c r="I3" s="30">
        <f t="shared" si="0"/>
        <v>6</v>
      </c>
      <c r="J3" s="30">
        <f t="shared" si="0"/>
        <v>7</v>
      </c>
      <c r="K3" s="30">
        <f t="shared" si="0"/>
        <v>8</v>
      </c>
      <c r="L3" s="30">
        <f t="shared" si="0"/>
        <v>9</v>
      </c>
      <c r="M3" s="30">
        <f t="shared" si="0"/>
        <v>10</v>
      </c>
      <c r="N3" s="30">
        <f t="shared" si="0"/>
        <v>11</v>
      </c>
      <c r="O3" s="30">
        <f t="shared" si="0"/>
        <v>12</v>
      </c>
    </row>
    <row r="4" spans="1:19" ht="21" customHeight="1" x14ac:dyDescent="0.2">
      <c r="A4" s="28" t="s">
        <v>635</v>
      </c>
      <c r="B4" s="52"/>
      <c r="C4" s="34" t="s">
        <v>636</v>
      </c>
      <c r="D4" s="35" t="s">
        <v>637</v>
      </c>
      <c r="E4" s="35" t="s">
        <v>638</v>
      </c>
      <c r="F4" s="35" t="s">
        <v>639</v>
      </c>
      <c r="G4" s="35" t="s">
        <v>640</v>
      </c>
      <c r="H4" s="35" t="s">
        <v>641</v>
      </c>
      <c r="I4" s="35" t="s">
        <v>642</v>
      </c>
      <c r="J4" s="35" t="s">
        <v>643</v>
      </c>
      <c r="K4" s="35" t="s">
        <v>644</v>
      </c>
      <c r="L4" s="35" t="s">
        <v>645</v>
      </c>
      <c r="M4" s="35" t="s">
        <v>646</v>
      </c>
      <c r="N4" s="35" t="s">
        <v>647</v>
      </c>
      <c r="O4" s="35" t="s">
        <v>648</v>
      </c>
      <c r="P4" s="35" t="s">
        <v>649</v>
      </c>
      <c r="Q4" s="35"/>
    </row>
    <row r="5" spans="1:19" ht="15.95" customHeight="1" x14ac:dyDescent="0.2">
      <c r="A5" s="31" t="s">
        <v>650</v>
      </c>
      <c r="B5" s="52"/>
      <c r="C5" s="36" t="s">
        <v>651</v>
      </c>
      <c r="D5" s="37" t="s">
        <v>652</v>
      </c>
      <c r="E5" s="37" t="s">
        <v>653</v>
      </c>
      <c r="F5" s="37" t="s">
        <v>654</v>
      </c>
      <c r="G5" s="37" t="s">
        <v>655</v>
      </c>
      <c r="H5" s="37" t="s">
        <v>516</v>
      </c>
      <c r="I5" s="37" t="s">
        <v>278</v>
      </c>
      <c r="J5" s="37" t="s">
        <v>656</v>
      </c>
      <c r="K5" s="37" t="s">
        <v>657</v>
      </c>
      <c r="L5" s="37" t="s">
        <v>658</v>
      </c>
      <c r="M5" s="37" t="s">
        <v>659</v>
      </c>
      <c r="N5" s="37" t="s">
        <v>660</v>
      </c>
      <c r="O5" s="37" t="s">
        <v>661</v>
      </c>
      <c r="P5" s="37" t="s">
        <v>13</v>
      </c>
      <c r="Q5" s="37" t="s">
        <v>662</v>
      </c>
    </row>
    <row r="6" spans="1:19" ht="15.95" customHeight="1" x14ac:dyDescent="0.2">
      <c r="B6" s="52"/>
      <c r="C6" s="38" t="s">
        <v>663</v>
      </c>
      <c r="D6" s="39" cm="1">
        <f t="array" ref="D6">SUM(SUMIFS('Wells Fargo'!$F:$F,'Wells Fargo'!$G:$G,{"Nationwide";"Elephant"},'Wells Fargo'!$A:$A, D3))</f>
        <v>2919.29</v>
      </c>
      <c r="E6" s="39" cm="1">
        <f t="array" ref="E6">SUM(SUMIFS('Wells Fargo'!$F:$F,'Wells Fargo'!$G:$G,{"Nationwide";"Elephant"},'Wells Fargo'!$A:$A, E3))</f>
        <v>3269.3</v>
      </c>
      <c r="F6" s="39" cm="1">
        <f t="array" ref="F6">SUM(SUMIFS('Wells Fargo'!$F:$F,'Wells Fargo'!$G:$G,{"Nationwide";"Elephant"},'Wells Fargo'!$A:$A, F3))</f>
        <v>2917.46</v>
      </c>
      <c r="G6" s="39" cm="1">
        <f t="array" ref="G6">SUM(SUMIFS('Wells Fargo'!$F:$F,'Wells Fargo'!$G:$G,{"Nationwide";"Elephant"},'Wells Fargo'!$A:$A, G3))</f>
        <v>2417.33</v>
      </c>
      <c r="H6" s="39" cm="1">
        <f t="array" ref="H6">SUM(SUMIFS('Wells Fargo'!$F:$F,'Wells Fargo'!$G:$G,{"Nationwide";"Elephant"},'Wells Fargo'!$A:$A, H3))</f>
        <v>2517.5</v>
      </c>
      <c r="I6" s="39" cm="1">
        <f t="array" ref="I6">SUM(SUMIFS('Wells Fargo'!$F:$F,'Wells Fargo'!$G:$G,{"Nationwide";"Elephant"},'Wells Fargo'!$A:$A, I3))</f>
        <v>6291.0999999999995</v>
      </c>
      <c r="J6" s="39" cm="1">
        <f t="array" ref="J6">SUM(SUMIFS('Wells Fargo'!$F:$F,'Wells Fargo'!$G:$G,{"Nationwide";"Elephant"},'Wells Fargo'!$A:$A, J3))</f>
        <v>4900.8899999999994</v>
      </c>
      <c r="K6" s="39" cm="1">
        <f t="array" ref="K6">SUM(SUMIFS('Wells Fargo'!$F:$F,'Wells Fargo'!$G:$G,{"Nationwide";"Elephant"},'Wells Fargo'!$A:$A, K3))</f>
        <v>4067.3</v>
      </c>
      <c r="L6" s="39" cm="1">
        <f t="array" ref="L6">SUM(SUMIFS('Wells Fargo'!$F:$F,'Wells Fargo'!$G:$G,{"Nationwide";"Elephant"},'Wells Fargo'!$A:$A, L3))</f>
        <v>4213</v>
      </c>
      <c r="M6" s="39" cm="1">
        <f t="array" ref="M6">SUM(SUMIFS('Wells Fargo'!$F:$F,'Wells Fargo'!$G:$G,{"Nationwide";"Elephant"},'Wells Fargo'!$A:$A, M3))</f>
        <v>0</v>
      </c>
      <c r="N6" s="39" cm="1">
        <f t="array" ref="N6">SUM(SUMIFS('Wells Fargo'!$F:$F,'Wells Fargo'!$G:$G,{"Nationwide";"Elephant"},'Wells Fargo'!$A:$A, N3))</f>
        <v>0</v>
      </c>
      <c r="O6" s="39" cm="1">
        <f t="array" ref="O6">SUM(SUMIFS('Wells Fargo'!$F:$F,'Wells Fargo'!$G:$G,{"Nationwide";"Elephant"},'Wells Fargo'!$A:$A, O3))</f>
        <v>0</v>
      </c>
      <c r="P6" s="39">
        <f>SUM(Income14[[#This Row],[January]:[December]])</f>
        <v>33513.17</v>
      </c>
      <c r="Q6" s="39"/>
    </row>
    <row r="7" spans="1:19" ht="15.95" customHeight="1" x14ac:dyDescent="0.2">
      <c r="B7" s="52"/>
      <c r="C7" s="38" t="s">
        <v>704</v>
      </c>
      <c r="D7" s="39" cm="1">
        <f t="array" ref="D7">SUM(SUMIFS('Wells Fargo'!$F:$F,'Wells Fargo'!$G:$G, {"Stimulus 1";"Stimulus 2";"Tax Return"},'Wells Fargo'!$A:$A,'PERSONAL BUDGET - WIP'!D$3))</f>
        <v>600</v>
      </c>
      <c r="E7" s="39" cm="1">
        <f t="array" ref="E7">SUM(SUMIFS('Wells Fargo'!$F:$F,'Wells Fargo'!$G:$G, {"Stimulus 1";"Stimulus 2";"Tax Return"},'Wells Fargo'!$A:$A,'PERSONAL BUDGET - WIP'!E3))</f>
        <v>2420</v>
      </c>
      <c r="F7" s="39" cm="1">
        <f t="array" ref="F7">SUM(SUMIFS('Wells Fargo'!$F:$F,'Wells Fargo'!$G:$G, {"Stimulus 1";"Stimulus 2";"Tax Return"},'Wells Fargo'!$A:$A,'PERSONAL BUDGET - WIP'!F3))</f>
        <v>2855</v>
      </c>
      <c r="G7" s="39" cm="1">
        <f t="array" ref="G7">SUM(SUMIFS('Wells Fargo'!$F:$F,'Wells Fargo'!$G:$G, {"Stimulus 1";"Stimulus 2";"Tax Return"},'Wells Fargo'!$A:$A,'PERSONAL BUDGET - WIP'!G3))</f>
        <v>0</v>
      </c>
      <c r="H7" s="39" cm="1">
        <f t="array" ref="H7">SUM(SUMIFS('Wells Fargo'!$F:$F,'Wells Fargo'!$G:$G, {"Stimulus 1";"Stimulus 2";"Tax Return"},'Wells Fargo'!$A:$A,'PERSONAL BUDGET - WIP'!H3))</f>
        <v>0</v>
      </c>
      <c r="I7" s="39" cm="1">
        <f t="array" ref="I7">SUM(SUMIFS('Wells Fargo'!$F:$F,'Wells Fargo'!$G:$G, {"Stimulus 1";"Stimulus 2";"Tax Return"},'Wells Fargo'!$A:$A,'PERSONAL BUDGET - WIP'!I3))</f>
        <v>0</v>
      </c>
      <c r="J7" s="39" cm="1">
        <f t="array" ref="J7">SUM(SUMIFS('Wells Fargo'!$F:$F,'Wells Fargo'!$G:$G, {"Stimulus 1";"Stimulus 2";"Tax Return"},'Wells Fargo'!$A:$A,'PERSONAL BUDGET - WIP'!J3))</f>
        <v>0</v>
      </c>
      <c r="K7" s="39" cm="1">
        <f t="array" ref="K7">SUM(SUMIFS('Wells Fargo'!$F:$F,'Wells Fargo'!$G:$G, {"Stimulus 1";"Stimulus 2";"Tax Return"},'Wells Fargo'!$A:$A,'PERSONAL BUDGET - WIP'!K3))</f>
        <v>0</v>
      </c>
      <c r="L7" s="39" cm="1">
        <f t="array" ref="L7">SUM(SUMIFS('Wells Fargo'!$F:$F,'Wells Fargo'!$G:$G, {"Stimulus 1";"Stimulus 2";"Tax Return"},'Wells Fargo'!$A:$A,'PERSONAL BUDGET - WIP'!L3))</f>
        <v>0</v>
      </c>
      <c r="M7" s="39" cm="1">
        <f t="array" ref="M7">SUM(SUMIFS('Wells Fargo'!$F:$F,'Wells Fargo'!$G:$G, {"Stimulus 1";"Stimulus 2";"Tax Return"},'Wells Fargo'!$A:$A,'PERSONAL BUDGET - WIP'!M3))</f>
        <v>0</v>
      </c>
      <c r="N7" s="39" cm="1">
        <f t="array" ref="N7">SUM(SUMIFS('Wells Fargo'!$F:$F,'Wells Fargo'!$G:$G, {"Stimulus 1";"Stimulus 2";"Tax Return"},'Wells Fargo'!$A:$A,'PERSONAL BUDGET - WIP'!N3))</f>
        <v>0</v>
      </c>
      <c r="O7" s="39" cm="1">
        <f t="array" ref="O7">SUM(SUMIFS('Wells Fargo'!$F:$F,'Wells Fargo'!$G:$G, {"Stimulus 1";"Stimulus 2";"Tax Return"},'Wells Fargo'!$A:$A,'PERSONAL BUDGET - WIP'!O3))</f>
        <v>0</v>
      </c>
      <c r="P7" s="39">
        <f>SUM(Income14[[#This Row],[January]:[December]])</f>
        <v>5875</v>
      </c>
      <c r="Q7" s="40"/>
    </row>
    <row r="8" spans="1:19" ht="15.95" customHeight="1" x14ac:dyDescent="0.2">
      <c r="B8" s="52"/>
      <c r="C8" s="38" t="s">
        <v>707</v>
      </c>
      <c r="D8" s="39" cm="1">
        <f t="array" ref="D8">SUM(SUMIFS('Wells Fargo'!$F:$F,'Wells Fargo'!$G:$G, {"HSA"},'Wells Fargo'!$A:$A,'PERSONAL BUDGET - WIP'!D$3))</f>
        <v>388.47</v>
      </c>
      <c r="E8" s="39" cm="1">
        <f t="array" ref="E8">SUM(SUMIFS('Wells Fargo'!$F:$F,'Wells Fargo'!$G:$G, {"HSA"},'Wells Fargo'!$A:$A,'PERSONAL BUDGET - WIP'!E$3))</f>
        <v>276.95</v>
      </c>
      <c r="F8" s="39" cm="1">
        <f t="array" ref="F8">SUM(SUMIFS('Wells Fargo'!$F:$F,'Wells Fargo'!$G:$G, {"HSA"},'Wells Fargo'!$A:$A,'PERSONAL BUDGET - WIP'!F$3))</f>
        <v>138.47</v>
      </c>
      <c r="G8" s="39" cm="1">
        <f t="array" ref="G8">SUM(SUMIFS('Wells Fargo'!$F:$F,'Wells Fargo'!$G:$G, {"HSA"},'Wells Fargo'!$A:$A,'PERSONAL BUDGET - WIP'!G$3))</f>
        <v>0</v>
      </c>
      <c r="H8" s="39" cm="1">
        <f t="array" ref="H8">SUM(SUMIFS('Wells Fargo'!$F:$F,'Wells Fargo'!$G:$G, {"HSA"},'Wells Fargo'!$A:$A,'PERSONAL BUDGET - WIP'!H$3))</f>
        <v>803.91</v>
      </c>
      <c r="I8" s="39" cm="1">
        <f t="array" ref="I8">SUM(SUMIFS('Wells Fargo'!$F:$F,'Wells Fargo'!$G:$G, {"HSA"},'Wells Fargo'!$A:$A,'PERSONAL BUDGET - WIP'!I$3))</f>
        <v>415.42</v>
      </c>
      <c r="J8" s="39" cm="1">
        <f t="array" ref="J8">SUM(SUMIFS('Wells Fargo'!$F:$F,'Wells Fargo'!$G:$G, {"HSA"},'Wells Fargo'!$A:$A,'PERSONAL BUDGET - WIP'!J$3))</f>
        <v>200</v>
      </c>
      <c r="K8" s="39" cm="1">
        <f t="array" ref="K8">SUM(SUMIFS('Wells Fargo'!$F:$F,'Wells Fargo'!$G:$G, {"HSA"},'Wells Fargo'!$A:$A,'PERSONAL BUDGET - WIP'!K$3))</f>
        <v>0</v>
      </c>
      <c r="L8" s="39" cm="1">
        <f t="array" ref="L8">SUM(SUMIFS('Wells Fargo'!$F:$F,'Wells Fargo'!$G:$G, {"HSA"},'Wells Fargo'!$A:$A,'PERSONAL BUDGET - WIP'!L$3))</f>
        <v>419.93</v>
      </c>
      <c r="M8" s="39" cm="1">
        <f t="array" ref="M8">SUM(SUMIFS('Wells Fargo'!$F:$F,'Wells Fargo'!$G:$G, {"HSA"},'Wells Fargo'!$A:$A,'PERSONAL BUDGET - WIP'!M$3))</f>
        <v>0</v>
      </c>
      <c r="N8" s="39" cm="1">
        <f t="array" ref="N8">SUM(SUMIFS('Wells Fargo'!$F:$F,'Wells Fargo'!$G:$G, {"HSA"},'Wells Fargo'!$A:$A,'PERSONAL BUDGET - WIP'!N$3))</f>
        <v>0</v>
      </c>
      <c r="O8" s="39" cm="1">
        <f t="array" ref="O8">SUM(SUMIFS('Wells Fargo'!$F:$F,'Wells Fargo'!$G:$G, {"HSA"},'Wells Fargo'!$A:$A,'PERSONAL BUDGET - WIP'!O$3))</f>
        <v>0</v>
      </c>
      <c r="P8" s="39">
        <f>SUM(Income14[[#This Row],[January]:[December]])</f>
        <v>2643.15</v>
      </c>
      <c r="Q8" s="39"/>
    </row>
    <row r="9" spans="1:19" ht="21" customHeight="1" x14ac:dyDescent="0.2">
      <c r="B9" s="52"/>
      <c r="C9" s="38" t="s">
        <v>708</v>
      </c>
      <c r="D9" s="39" cm="1">
        <f t="array" ref="D9">SUM(SUMIFS('Wells Fargo'!$F:$F,'Wells Fargo'!$G:$G, {"Principal retirement"},'Wells Fargo'!$A:$A,'PERSONAL BUDGET - WIP'!D$3))</f>
        <v>0</v>
      </c>
      <c r="E9" s="39" cm="1">
        <f t="array" ref="E9">SUM(SUMIFS('Wells Fargo'!$F:$F,'Wells Fargo'!$G:$G, {"Principal retirement"},'Wells Fargo'!$A:$A,'PERSONAL BUDGET - WIP'!E$3))</f>
        <v>0</v>
      </c>
      <c r="F9" s="39" cm="1">
        <f t="array" ref="F9">SUM(SUMIFS('Wells Fargo'!$F:$F,'Wells Fargo'!$G:$G, {"Principal retirement"},'Wells Fargo'!$A:$A,'PERSONAL BUDGET - WIP'!F$3))</f>
        <v>0</v>
      </c>
      <c r="G9" s="39" cm="1">
        <f t="array" ref="G9">SUM(SUMIFS('Wells Fargo'!$F:$F,'Wells Fargo'!$G:$G, {"Principal retirement"},'Wells Fargo'!$A:$A,'PERSONAL BUDGET - WIP'!G$3))</f>
        <v>0</v>
      </c>
      <c r="H9" s="39" cm="1">
        <f t="array" ref="H9">SUM(SUMIFS('Wells Fargo'!$F:$F,'Wells Fargo'!$G:$G, {"Principal retirement"},'Wells Fargo'!$A:$A,'PERSONAL BUDGET - WIP'!H$3))</f>
        <v>0</v>
      </c>
      <c r="I9" s="39" cm="1">
        <f t="array" ref="I9">SUM(SUMIFS('Wells Fargo'!$F:$F,'Wells Fargo'!$G:$G, {"Principal retirement"},'Wells Fargo'!$A:$A,'PERSONAL BUDGET - WIP'!I$3))</f>
        <v>4165.5599999999995</v>
      </c>
      <c r="J9" s="39" cm="1">
        <f t="array" ref="J9">SUM(SUMIFS('Wells Fargo'!$F:$F,'Wells Fargo'!$G:$G, {"Principal retirement"},'Wells Fargo'!$A:$A,'PERSONAL BUDGET - WIP'!J$3))</f>
        <v>0</v>
      </c>
      <c r="K9" s="39" cm="1">
        <f t="array" ref="K9">SUM(SUMIFS('Wells Fargo'!$F:$F,'Wells Fargo'!$G:$G, {"Principal retirement"},'Wells Fargo'!$A:$A,'PERSONAL BUDGET - WIP'!K$3))</f>
        <v>0</v>
      </c>
      <c r="L9" s="39" cm="1">
        <f t="array" ref="L9">SUM(SUMIFS('Wells Fargo'!$F:$F,'Wells Fargo'!$G:$G, {"Principal retirement"},'Wells Fargo'!$A:$A,'PERSONAL BUDGET - WIP'!L$3))</f>
        <v>0</v>
      </c>
      <c r="M9" s="39" cm="1">
        <f t="array" ref="M9">SUM(SUMIFS('Wells Fargo'!$F:$F,'Wells Fargo'!$G:$G, {"Principal retirement"},'Wells Fargo'!$A:$A,'PERSONAL BUDGET - WIP'!M$3))</f>
        <v>0</v>
      </c>
      <c r="N9" s="39" cm="1">
        <f t="array" ref="N9">SUM(SUMIFS('Wells Fargo'!$F:$F,'Wells Fargo'!$G:$G, {"Principal retirement"},'Wells Fargo'!$A:$A,'PERSONAL BUDGET - WIP'!N$3))</f>
        <v>0</v>
      </c>
      <c r="O9" s="39" cm="1">
        <f t="array" ref="O9">SUM(SUMIFS('Wells Fargo'!$F:$F,'Wells Fargo'!$G:$G, {"Principal retirement"},'Wells Fargo'!$A:$A,'PERSONAL BUDGET - WIP'!O$3))</f>
        <v>0</v>
      </c>
      <c r="P9" s="39">
        <f>SUM(Income14[[#This Row],[January]:[December]])</f>
        <v>4165.5599999999995</v>
      </c>
      <c r="Q9" s="39"/>
    </row>
    <row r="10" spans="1:19" ht="24" customHeight="1" thickBot="1" x14ac:dyDescent="0.25">
      <c r="B10" s="52"/>
      <c r="C10" s="79" t="s">
        <v>664</v>
      </c>
      <c r="D10" s="80">
        <f>SUBTOTAL(109,Income14[January])</f>
        <v>3907.76</v>
      </c>
      <c r="E10" s="80">
        <f>SUBTOTAL(109,Income14[February])</f>
        <v>5966.25</v>
      </c>
      <c r="F10" s="80">
        <f>SUBTOTAL(109,Income14[March])</f>
        <v>5910.93</v>
      </c>
      <c r="G10" s="80">
        <f>SUBTOTAL(109,Income14[April])</f>
        <v>2417.33</v>
      </c>
      <c r="H10" s="80">
        <f>SUBTOTAL(109,Income14[May])</f>
        <v>3321.41</v>
      </c>
      <c r="I10" s="80">
        <f>SUBTOTAL(109,Income14[June])</f>
        <v>10872.079999999998</v>
      </c>
      <c r="J10" s="80">
        <f>SUBTOTAL(109,Income14[July])</f>
        <v>5100.8899999999994</v>
      </c>
      <c r="K10" s="80">
        <f>SUBTOTAL(109,Income14[August])</f>
        <v>4067.3</v>
      </c>
      <c r="L10" s="80">
        <f>SUBTOTAL(109,Income14[September])</f>
        <v>4632.93</v>
      </c>
      <c r="M10" s="80">
        <f>SUBTOTAL(109,Income14[October])</f>
        <v>0</v>
      </c>
      <c r="N10" s="80">
        <f>SUBTOTAL(109,Income14[November])</f>
        <v>0</v>
      </c>
      <c r="O10" s="80">
        <f>SUBTOTAL(109,Income14[December])</f>
        <v>0</v>
      </c>
      <c r="P10" s="80">
        <f>SUBTOTAL(109,Income14[Year])</f>
        <v>46196.88</v>
      </c>
      <c r="Q10" s="80"/>
    </row>
    <row r="11" spans="1:19" s="52" customFormat="1" ht="31.5" customHeight="1" thickTop="1" x14ac:dyDescent="0.2">
      <c r="A11" s="28" t="s">
        <v>665</v>
      </c>
      <c r="B11" s="28"/>
    </row>
    <row r="12" spans="1:19" ht="15.95" customHeight="1" x14ac:dyDescent="0.2">
      <c r="A12" s="28" t="s">
        <v>667</v>
      </c>
      <c r="B12" s="52"/>
      <c r="C12" s="34" t="s">
        <v>666</v>
      </c>
      <c r="D12" s="35" t="s">
        <v>637</v>
      </c>
      <c r="E12" s="35" t="s">
        <v>638</v>
      </c>
      <c r="F12" s="35" t="s">
        <v>639</v>
      </c>
      <c r="G12" s="35" t="s">
        <v>640</v>
      </c>
      <c r="H12" s="35" t="s">
        <v>641</v>
      </c>
      <c r="I12" s="35" t="s">
        <v>642</v>
      </c>
      <c r="J12" s="35" t="s">
        <v>643</v>
      </c>
      <c r="K12" s="35" t="s">
        <v>644</v>
      </c>
      <c r="L12" s="35" t="s">
        <v>645</v>
      </c>
      <c r="M12" s="35" t="s">
        <v>646</v>
      </c>
      <c r="N12" s="35" t="s">
        <v>647</v>
      </c>
      <c r="O12" s="35" t="s">
        <v>648</v>
      </c>
      <c r="P12" s="35" t="s">
        <v>649</v>
      </c>
      <c r="Q12" s="35"/>
    </row>
    <row r="13" spans="1:19" ht="15.95" customHeight="1" x14ac:dyDescent="0.2">
      <c r="B13" s="52"/>
      <c r="C13" s="41" t="s">
        <v>668</v>
      </c>
      <c r="D13" s="37" t="s">
        <v>652</v>
      </c>
      <c r="E13" s="37" t="s">
        <v>653</v>
      </c>
      <c r="F13" s="37" t="s">
        <v>654</v>
      </c>
      <c r="G13" s="37" t="s">
        <v>655</v>
      </c>
      <c r="H13" s="37" t="s">
        <v>516</v>
      </c>
      <c r="I13" s="37" t="s">
        <v>278</v>
      </c>
      <c r="J13" s="37" t="s">
        <v>656</v>
      </c>
      <c r="K13" s="37" t="s">
        <v>657</v>
      </c>
      <c r="L13" s="37" t="s">
        <v>658</v>
      </c>
      <c r="M13" s="37" t="s">
        <v>659</v>
      </c>
      <c r="N13" s="37" t="s">
        <v>660</v>
      </c>
      <c r="O13" s="37" t="s">
        <v>661</v>
      </c>
      <c r="P13" s="37" t="s">
        <v>13</v>
      </c>
      <c r="Q13" s="37" t="s">
        <v>662</v>
      </c>
    </row>
    <row r="14" spans="1:19" ht="21" customHeight="1" x14ac:dyDescent="0.2">
      <c r="A14" s="44"/>
      <c r="B14" s="52"/>
      <c r="C14" s="42" t="s">
        <v>705</v>
      </c>
      <c r="D14" s="43" cm="1">
        <f t="array" ref="D14">SUM(SUMIFS('Wells Fargo'!$F:$F,'Wells Fargo'!$G:$G,{"Amar - Rent";"New Manchester - Rent"},'Wells Fargo'!$A:$A,'PERSONAL BUDGET - WIP'!D3))*-1</f>
        <v>700</v>
      </c>
      <c r="E14" s="43" cm="1">
        <f t="array" ref="E14">SUM(SUMIFS('Wells Fargo'!$F:$F,'Wells Fargo'!$G:$G,{"Amar - Rent";"New Manchester - Rent"},'Wells Fargo'!$A:$A,'PERSONAL BUDGET - WIP'!E3))*-1</f>
        <v>700</v>
      </c>
      <c r="F14" s="43" cm="1">
        <f t="array" ref="F14">SUM(SUMIFS('Wells Fargo'!$F:$F,'Wells Fargo'!$G:$G,{"Amar - Rent";"New Manchester - Rent"},'Wells Fargo'!$A:$A,'PERSONAL BUDGET - WIP'!F3))*-1</f>
        <v>700</v>
      </c>
      <c r="G14" s="43" cm="1">
        <f t="array" ref="G14">SUM(SUMIFS('Wells Fargo'!$F:$F,'Wells Fargo'!$G:$G,{"Amar - Rent";"New Manchester - Rent"},'Wells Fargo'!$A:$A,'PERSONAL BUDGET - WIP'!G3))*-1</f>
        <v>700</v>
      </c>
      <c r="H14" s="43" cm="1">
        <f t="array" ref="H14">SUM(SUMIFS('Wells Fargo'!$F:$F,'Wells Fargo'!$G:$G,{"Amar - Rent";"New Manchester - Rent"},'Wells Fargo'!$A:$A,'PERSONAL BUDGET - WIP'!H3))*-1</f>
        <v>0</v>
      </c>
      <c r="I14" s="43" cm="1">
        <f t="array" ref="I14">SUM(SUMIFS('Wells Fargo'!$F:$F,'Wells Fargo'!$G:$G,{"Amar - Rent";"New Manchester - Rent"},'Wells Fargo'!$A:$A,'PERSONAL BUDGET - WIP'!I3))*-1-807-912.5</f>
        <v>2126.5</v>
      </c>
      <c r="J14" s="43" cm="1">
        <f t="array" ref="J14">SUM(SUMIFS('Wells Fargo'!$F:$F,'Wells Fargo'!$G:$G,{"Amar - Rent";"New Manchester - Rent"},'Wells Fargo'!$A:$A,'PERSONAL BUDGET - WIP'!J3))*-1</f>
        <v>1825</v>
      </c>
      <c r="K14" s="43" cm="1">
        <f t="array" ref="K14">SUM(SUMIFS('Wells Fargo'!$F:$F,'Wells Fargo'!$G:$G,{"Amar - Rent";"New Manchester - Rent"},'Wells Fargo'!$A:$A,'PERSONAL BUDGET - WIP'!K3))*-1 +1380.63</f>
        <v>1728.68</v>
      </c>
      <c r="L14" s="43" cm="1">
        <f t="array" ref="L14">SUM(SUMIFS('Wells Fargo'!$F:$F,'Wells Fargo'!$G:$G,{"Amar - Rent";"New Manchester - Rent"},'Wells Fargo'!$A:$A,'PERSONAL BUDGET - WIP'!L3))*-1</f>
        <v>-436.2</v>
      </c>
      <c r="M14" s="43" cm="1">
        <f t="array" ref="M14">SUM(SUMIFS('Wells Fargo'!$F:$F,'Wells Fargo'!$G:$G,{"Amar - Rent";"New Manchester - Rent"},'Wells Fargo'!$A:$A,'PERSONAL BUDGET - WIP'!M3))*-1</f>
        <v>0</v>
      </c>
      <c r="N14" s="43" cm="1">
        <f t="array" ref="N14">SUM(SUMIFS('Wells Fargo'!$F:$F,'Wells Fargo'!$G:$G,{"Amar - Rent";"New Manchester - Rent"},'Wells Fargo'!$A:$A,'PERSONAL BUDGET - WIP'!N3))*-1</f>
        <v>0</v>
      </c>
      <c r="O14" s="43" cm="1">
        <f t="array" ref="O14">SUM(SUMIFS('Wells Fargo'!$F:$F,'Wells Fargo'!$G:$G,{"Amar - Rent";"New Manchester - Rent"},'Wells Fargo'!$A:$A,'PERSONAL BUDGET - WIP'!O3))*-1</f>
        <v>0</v>
      </c>
      <c r="P14" s="43">
        <f>SUM(Home[[#This Row],[January]:[December]])</f>
        <v>8043.9800000000005</v>
      </c>
      <c r="Q14" s="43"/>
      <c r="S14" s="84">
        <f>P14/$P$6</f>
        <v>0.24002444412152002</v>
      </c>
    </row>
    <row r="15" spans="1:19" ht="24" customHeight="1" thickBot="1" x14ac:dyDescent="0.25">
      <c r="C15" s="81" t="s">
        <v>664</v>
      </c>
      <c r="D15" s="82">
        <f>SUBTOTAL(109,Home[January])</f>
        <v>700</v>
      </c>
      <c r="E15" s="82">
        <f>SUBTOTAL(109,Home[February])</f>
        <v>700</v>
      </c>
      <c r="F15" s="82">
        <f>SUBTOTAL(109,Home[March])</f>
        <v>700</v>
      </c>
      <c r="G15" s="82">
        <f>SUBTOTAL(109,Home[April])</f>
        <v>700</v>
      </c>
      <c r="H15" s="82">
        <f>SUBTOTAL(109,Home[May])</f>
        <v>0</v>
      </c>
      <c r="I15" s="82">
        <f>SUBTOTAL(109,Home[June])</f>
        <v>2126.5</v>
      </c>
      <c r="J15" s="82">
        <f>SUBTOTAL(109,Home[July])</f>
        <v>1825</v>
      </c>
      <c r="K15" s="82">
        <f>SUBTOTAL(109,Home[August])</f>
        <v>1728.68</v>
      </c>
      <c r="L15" s="82">
        <f>SUBTOTAL(109,Home[September])</f>
        <v>-436.2</v>
      </c>
      <c r="M15" s="82">
        <f>SUBTOTAL(109,Home[October])</f>
        <v>0</v>
      </c>
      <c r="N15" s="82">
        <f>SUBTOTAL(109,Home[November])</f>
        <v>0</v>
      </c>
      <c r="O15" s="82">
        <f>SUBTOTAL(109,Home[December])</f>
        <v>0</v>
      </c>
      <c r="P15" s="82">
        <f>SUBTOTAL(109,Home[Year])</f>
        <v>8043.9800000000005</v>
      </c>
      <c r="Q15" s="83"/>
    </row>
    <row r="16" spans="1:19" ht="31.5" customHeight="1" thickTop="1" x14ac:dyDescent="0.2">
      <c r="A16" s="28" t="s">
        <v>669</v>
      </c>
      <c r="B16" s="28" t="s">
        <v>669</v>
      </c>
      <c r="D16" s="29"/>
      <c r="E16" s="29"/>
      <c r="F16" s="29"/>
      <c r="G16" s="29"/>
      <c r="H16" s="29"/>
      <c r="I16" s="29"/>
      <c r="J16" s="29"/>
      <c r="K16" s="29"/>
      <c r="L16" s="29"/>
      <c r="M16" s="29"/>
      <c r="N16" s="29"/>
      <c r="O16" s="29"/>
      <c r="P16" s="29"/>
    </row>
    <row r="17" spans="1:19" ht="15.95" customHeight="1" x14ac:dyDescent="0.2">
      <c r="B17" s="45"/>
      <c r="C17" s="46" t="s">
        <v>670</v>
      </c>
      <c r="D17" s="47" t="s">
        <v>652</v>
      </c>
      <c r="E17" s="37" t="s">
        <v>653</v>
      </c>
      <c r="F17" s="47" t="s">
        <v>654</v>
      </c>
      <c r="G17" s="37" t="s">
        <v>655</v>
      </c>
      <c r="H17" s="47" t="s">
        <v>516</v>
      </c>
      <c r="I17" s="37" t="s">
        <v>278</v>
      </c>
      <c r="J17" s="47" t="s">
        <v>656</v>
      </c>
      <c r="K17" s="37" t="s">
        <v>657</v>
      </c>
      <c r="L17" s="47" t="s">
        <v>658</v>
      </c>
      <c r="M17" s="37" t="s">
        <v>659</v>
      </c>
      <c r="N17" s="47" t="s">
        <v>660</v>
      </c>
      <c r="O17" s="37" t="s">
        <v>661</v>
      </c>
      <c r="P17" s="47" t="s">
        <v>13</v>
      </c>
      <c r="Q17" s="37" t="s">
        <v>662</v>
      </c>
    </row>
    <row r="18" spans="1:19" ht="15.95" customHeight="1" x14ac:dyDescent="0.2">
      <c r="B18" s="45"/>
      <c r="C18" s="48" t="s">
        <v>89</v>
      </c>
      <c r="D18" s="49">
        <f>SUMIFS(Discover!$F:$F,Discover!$G:$G,"Supermarkets",Discover!$B:$B,'PERSONAL BUDGET - WIP'!D$3)</f>
        <v>145.55999999999997</v>
      </c>
      <c r="E18" s="50">
        <f>SUMIFS(Discover!$F:$F,Discover!$G:$G,"Supermarkets",Discover!$B:$B,'PERSONAL BUDGET - WIP'!E3)</f>
        <v>247.64999999999998</v>
      </c>
      <c r="F18" s="49">
        <f>SUMIFS(Discover!$F:$F,Discover!$G:$G,"Supermarkets",Discover!$B:$B,'PERSONAL BUDGET - WIP'!F3)</f>
        <v>132.85</v>
      </c>
      <c r="G18" s="50">
        <f>SUMIFS(Discover!$F:$F,Discover!$G:$G,"Supermarkets",Discover!$B:$B,'PERSONAL BUDGET - WIP'!G3)</f>
        <v>25.32</v>
      </c>
      <c r="H18" s="49">
        <f>SUMIFS(Discover!$F:$F,Discover!$G:$G,"Supermarkets",Discover!$B:$B,'PERSONAL BUDGET - WIP'!H3)</f>
        <v>247.18</v>
      </c>
      <c r="I18" s="50">
        <f>SUMIFS(Discover!$F:$F,Discover!$G:$G,"Supermarkets",Discover!$B:$B,'PERSONAL BUDGET - WIP'!I3)</f>
        <v>100.64000000000001</v>
      </c>
      <c r="J18" s="49">
        <f>SUMIFS(Discover!$F:$F,Discover!$G:$G,"Supermarkets",Discover!$B:$B,'PERSONAL BUDGET - WIP'!J3)</f>
        <v>328.94</v>
      </c>
      <c r="K18" s="50">
        <f>SUMIFS(Discover!$F:$F,Discover!$G:$G,"Supermarkets",Discover!$B:$B,'PERSONAL BUDGET - WIP'!K3)</f>
        <v>114.91</v>
      </c>
      <c r="L18" s="49">
        <f>SUMIFS(Discover!$F:$F,Discover!$G:$G,"Supermarkets",Discover!$B:$B,'PERSONAL BUDGET - WIP'!L3)</f>
        <v>187.81</v>
      </c>
      <c r="M18" s="50">
        <f>SUMIFS(Discover!$F:$F,Discover!$G:$G,"Supermarkets",Discover!$B:$B,'PERSONAL BUDGET - WIP'!M3)</f>
        <v>0</v>
      </c>
      <c r="N18" s="49">
        <f>SUMIFS(Discover!$F:$F,Discover!$G:$G,"Supermarkets",Discover!$B:$B,'PERSONAL BUDGET - WIP'!N3)</f>
        <v>0</v>
      </c>
      <c r="O18" s="50">
        <f>SUMIFS(Discover!$F:$F,Discover!$G:$G,"Supermarkets",Discover!$B:$B,'PERSONAL BUDGET - WIP'!O3)</f>
        <v>0</v>
      </c>
      <c r="P18" s="49">
        <f>SUM(Daily[[#This Row],[January]:[December]])</f>
        <v>1530.86</v>
      </c>
      <c r="Q18" s="51"/>
    </row>
    <row r="19" spans="1:19" ht="21" customHeight="1" x14ac:dyDescent="0.2">
      <c r="B19" s="45"/>
      <c r="C19" s="48" t="s">
        <v>706</v>
      </c>
      <c r="D19" s="49">
        <f>SUMIFS(Discover!$F:$F,Discover!$G:$G,"Restaurants",Discover!$B:$B,'PERSONAL BUDGET - WIP'!D$3)</f>
        <v>117.23</v>
      </c>
      <c r="E19" s="50">
        <f>SUMIFS(Discover!$F:$F,Discover!$G:$G,"Restaurants",Discover!$B:$B,'PERSONAL BUDGET - WIP'!E$3)</f>
        <v>69.550000000000011</v>
      </c>
      <c r="F19" s="49">
        <f>SUMIFS(Discover!$F:$F,Discover!$G:$G,"Restaurants",Discover!$B:$B,'PERSONAL BUDGET - WIP'!F$3)</f>
        <v>259.85000000000002</v>
      </c>
      <c r="G19" s="50">
        <f>SUMIFS(Discover!$F:$F,Discover!$G:$G,"Restaurants",Discover!$B:$B,'PERSONAL BUDGET - WIP'!G$3)</f>
        <v>461.62</v>
      </c>
      <c r="H19" s="49">
        <f>SUMIFS(Discover!$F:$F,Discover!$G:$G,"Restaurants",Discover!$B:$B,'PERSONAL BUDGET - WIP'!H$3)</f>
        <v>184.83</v>
      </c>
      <c r="I19" s="50">
        <f>SUMIFS(Discover!$F:$F,Discover!$G:$G,"Restaurants",Discover!$B:$B,'PERSONAL BUDGET - WIP'!I$3)</f>
        <v>472.59</v>
      </c>
      <c r="J19" s="49">
        <f>SUMIFS(Discover!$F:$F,Discover!$G:$G,"Restaurants",Discover!$B:$B,'PERSONAL BUDGET - WIP'!J$3)</f>
        <v>689.57999999999981</v>
      </c>
      <c r="K19" s="50">
        <f>SUMIFS(Discover!$F:$F,Discover!$G:$G,"Restaurants",Discover!$B:$B,'PERSONAL BUDGET - WIP'!K$3)</f>
        <v>1021.4699999999999</v>
      </c>
      <c r="L19" s="49">
        <f>SUMIFS(Discover!$F:$F,Discover!$G:$G,"Restaurants",Discover!$B:$B,'PERSONAL BUDGET - WIP'!L$3)</f>
        <v>1109.5400000000004</v>
      </c>
      <c r="M19" s="50">
        <f>SUMIFS(Discover!$F:$F,Discover!$G:$G,"Restaurants",Discover!$B:$B,'PERSONAL BUDGET - WIP'!M$3)</f>
        <v>0</v>
      </c>
      <c r="N19" s="49">
        <f>SUMIFS(Discover!$F:$F,Discover!$G:$G,"Restaurants",Discover!$B:$B,'PERSONAL BUDGET - WIP'!N$3)</f>
        <v>0</v>
      </c>
      <c r="O19" s="50">
        <f>SUMIFS(Discover!$F:$F,Discover!$G:$G,"Restaurants",Discover!$B:$B,'PERSONAL BUDGET - WIP'!O$3)</f>
        <v>0</v>
      </c>
      <c r="P19" s="49">
        <f>SUM(Daily[[#This Row],[January]:[December]])</f>
        <v>4386.26</v>
      </c>
      <c r="Q19" s="50"/>
    </row>
    <row r="20" spans="1:19" ht="20.25" customHeight="1" thickBot="1" x14ac:dyDescent="0.25">
      <c r="C20" s="85" t="s">
        <v>664</v>
      </c>
      <c r="D20" s="86">
        <f>SUBTOTAL(109,Daily[January])</f>
        <v>262.78999999999996</v>
      </c>
      <c r="E20" s="87">
        <f>SUBTOTAL(109,Daily[February])</f>
        <v>317.2</v>
      </c>
      <c r="F20" s="86">
        <f>SUBTOTAL(109,Daily[March])</f>
        <v>392.70000000000005</v>
      </c>
      <c r="G20" s="87">
        <f>SUBTOTAL(109,Daily[April])</f>
        <v>486.94</v>
      </c>
      <c r="H20" s="86">
        <f>SUBTOTAL(109,Daily[May])</f>
        <v>432.01</v>
      </c>
      <c r="I20" s="87">
        <f>SUBTOTAL(109,Daily[June])</f>
        <v>573.23</v>
      </c>
      <c r="J20" s="86">
        <f>SUBTOTAL(109,Daily[July])</f>
        <v>1018.5199999999998</v>
      </c>
      <c r="K20" s="87">
        <f>SUBTOTAL(109,Daily[August])</f>
        <v>1136.3799999999999</v>
      </c>
      <c r="L20" s="86">
        <f>SUBTOTAL(109,Daily[September])</f>
        <v>1297.3500000000004</v>
      </c>
      <c r="M20" s="87">
        <f>SUBTOTAL(109,Daily[October])</f>
        <v>0</v>
      </c>
      <c r="N20" s="86">
        <f>SUBTOTAL(109,Daily[November])</f>
        <v>0</v>
      </c>
      <c r="O20" s="87">
        <f>SUBTOTAL(109,Daily[December])</f>
        <v>0</v>
      </c>
      <c r="P20" s="86">
        <f>SUBTOTAL(109,Daily[Year])</f>
        <v>5917.12</v>
      </c>
      <c r="Q20" s="88"/>
      <c r="R20" s="84"/>
      <c r="S20" s="84">
        <f>P20/$P$6</f>
        <v>0.17656103555706607</v>
      </c>
    </row>
    <row r="21" spans="1:19" s="52" customFormat="1" ht="31.5" customHeight="1" thickTop="1" x14ac:dyDescent="0.2">
      <c r="A21" s="28"/>
      <c r="B21" s="28"/>
    </row>
    <row r="22" spans="1:19" ht="15.95" customHeight="1" x14ac:dyDescent="0.2">
      <c r="B22" s="45"/>
      <c r="C22" s="53" t="s">
        <v>628</v>
      </c>
      <c r="D22" s="54" t="s">
        <v>652</v>
      </c>
      <c r="E22" s="37" t="s">
        <v>653</v>
      </c>
      <c r="F22" s="54" t="s">
        <v>654</v>
      </c>
      <c r="G22" s="37" t="s">
        <v>655</v>
      </c>
      <c r="H22" s="54" t="s">
        <v>516</v>
      </c>
      <c r="I22" s="37" t="s">
        <v>278</v>
      </c>
      <c r="J22" s="54" t="s">
        <v>656</v>
      </c>
      <c r="K22" s="37" t="s">
        <v>657</v>
      </c>
      <c r="L22" s="54" t="s">
        <v>658</v>
      </c>
      <c r="M22" s="37" t="s">
        <v>659</v>
      </c>
      <c r="N22" s="54" t="s">
        <v>660</v>
      </c>
      <c r="O22" s="37" t="s">
        <v>661</v>
      </c>
      <c r="P22" s="54" t="s">
        <v>13</v>
      </c>
      <c r="Q22" s="37" t="s">
        <v>662</v>
      </c>
    </row>
    <row r="23" spans="1:19" ht="15.95" customHeight="1" x14ac:dyDescent="0.2">
      <c r="B23" s="45"/>
      <c r="C23" s="55"/>
      <c r="D23" s="49"/>
      <c r="E23" s="56"/>
      <c r="F23" s="49"/>
      <c r="G23" s="56"/>
      <c r="H23" s="49"/>
      <c r="I23" s="56"/>
      <c r="J23" s="49"/>
      <c r="K23" s="56"/>
      <c r="L23" s="49"/>
      <c r="M23" s="56"/>
      <c r="N23" s="49"/>
      <c r="O23" s="56"/>
      <c r="P23" s="49">
        <f>SUM(Transportation[[#This Row],[January]:[December]])</f>
        <v>0</v>
      </c>
      <c r="Q23" s="51"/>
    </row>
    <row r="24" spans="1:19" ht="15.95" customHeight="1" x14ac:dyDescent="0.2">
      <c r="B24" s="45"/>
      <c r="C24" s="55"/>
      <c r="D24" s="49"/>
      <c r="E24" s="56"/>
      <c r="F24" s="49"/>
      <c r="G24" s="56"/>
      <c r="H24" s="49"/>
      <c r="I24" s="56"/>
      <c r="J24" s="49"/>
      <c r="K24" s="56"/>
      <c r="L24" s="49"/>
      <c r="M24" s="56"/>
      <c r="N24" s="49"/>
      <c r="O24" s="56"/>
      <c r="P24" s="49">
        <f>SUM(Transportation[[#This Row],[January]:[December]])</f>
        <v>0</v>
      </c>
      <c r="Q24" s="56"/>
    </row>
    <row r="25" spans="1:19" ht="15.95" customHeight="1" x14ac:dyDescent="0.2">
      <c r="B25" s="45"/>
      <c r="C25" s="55"/>
      <c r="D25" s="49"/>
      <c r="E25" s="56"/>
      <c r="F25" s="49"/>
      <c r="G25" s="56"/>
      <c r="H25" s="49"/>
      <c r="I25" s="56"/>
      <c r="J25" s="49"/>
      <c r="K25" s="56"/>
      <c r="L25" s="49"/>
      <c r="M25" s="56"/>
      <c r="N25" s="49"/>
      <c r="O25" s="56"/>
      <c r="P25" s="49">
        <f>SUM(Transportation[[#This Row],[January]:[December]])</f>
        <v>0</v>
      </c>
      <c r="Q25" s="51"/>
    </row>
    <row r="26" spans="1:19" s="52" customFormat="1" ht="15.95" customHeight="1" x14ac:dyDescent="0.2">
      <c r="A26" s="28"/>
      <c r="B26" s="100"/>
      <c r="C26" s="55" t="s">
        <v>782</v>
      </c>
      <c r="D26" s="49">
        <f>SUMIFS(Discover!$F:$F,Discover!$K:$K,'PERSONAL BUDGET - WIP'!$C$22,Discover!$B:$B,'PERSONAL BUDGET - WIP'!D$3)</f>
        <v>163</v>
      </c>
      <c r="E26" s="56">
        <f>SUMIFS(Discover!$F:$F,Discover!$K:$K,'PERSONAL BUDGET - WIP'!$C$22,Discover!$B:$B,'PERSONAL BUDGET - WIP'!E$3)</f>
        <v>159.25</v>
      </c>
      <c r="F26" s="49">
        <f>SUMIFS(Discover!$F:$F,Discover!$K:$K,'PERSONAL BUDGET - WIP'!$C$22,Discover!$B:$B,'PERSONAL BUDGET - WIP'!F$3)</f>
        <v>337.05</v>
      </c>
      <c r="G26" s="56">
        <f>SUMIFS(Discover!$F:$F,Discover!$K:$K,'PERSONAL BUDGET - WIP'!$C$22,Discover!$B:$B,'PERSONAL BUDGET - WIP'!G$3)</f>
        <v>291.38</v>
      </c>
      <c r="H26" s="49">
        <f>SUMIFS(Discover!$F:$F,Discover!$K:$K,'PERSONAL BUDGET - WIP'!$C$22,Discover!$B:$B,'PERSONAL BUDGET - WIP'!H$3)</f>
        <v>762.71</v>
      </c>
      <c r="I26" s="56">
        <f>SUMIFS(Discover!$F:$F,Discover!$K:$K,'PERSONAL BUDGET - WIP'!$C$22,Discover!$B:$B,'PERSONAL BUDGET - WIP'!I$3)</f>
        <v>241.21</v>
      </c>
      <c r="J26" s="49">
        <f>SUMIFS(Discover!$F:$F,Discover!$K:$K,'PERSONAL BUDGET - WIP'!$C$22,Discover!$B:$B,'PERSONAL BUDGET - WIP'!J$3)</f>
        <v>933.6400000000001</v>
      </c>
      <c r="K26" s="56">
        <f>SUMIFS(Discover!$F:$F,Discover!$K:$K,'PERSONAL BUDGET - WIP'!$C$22,Discover!$B:$B,'PERSONAL BUDGET - WIP'!K$3)</f>
        <v>347.11999999999995</v>
      </c>
      <c r="L26" s="49">
        <f>SUMIFS(Discover!$F:$F,Discover!$K:$K,'PERSONAL BUDGET - WIP'!$C$22,Discover!$B:$B,'PERSONAL BUDGET - WIP'!L$3)</f>
        <v>68.52</v>
      </c>
      <c r="M26" s="56">
        <f>SUMIFS(Discover!$F:$F,Discover!$K:$K,'PERSONAL BUDGET - WIP'!$C$22,Discover!$B:$B,'PERSONAL BUDGET - WIP'!M$3)</f>
        <v>0</v>
      </c>
      <c r="N26" s="49">
        <f>SUMIFS(Discover!$F:$F,Discover!$K:$K,'PERSONAL BUDGET - WIP'!$C$22,Discover!$B:$B,'PERSONAL BUDGET - WIP'!N$3)</f>
        <v>0</v>
      </c>
      <c r="O26" s="56">
        <f>SUMIFS(Discover!$F:$F,Discover!$K:$K,'PERSONAL BUDGET - WIP'!$C$22,Discover!$B:$B,'PERSONAL BUDGET - WIP'!O$3)</f>
        <v>0</v>
      </c>
      <c r="P26" s="49">
        <f>SUM(Transportation[[#This Row],[January]:[December]])</f>
        <v>3303.8799999999997</v>
      </c>
      <c r="Q26" s="51"/>
    </row>
    <row r="27" spans="1:19" s="52" customFormat="1" ht="31.5" customHeight="1" thickBot="1" x14ac:dyDescent="0.25">
      <c r="A27" s="28"/>
      <c r="B27" s="28"/>
      <c r="C27" s="85" t="s">
        <v>664</v>
      </c>
      <c r="D27" s="86">
        <f>SUBTOTAL(109,Transportation[January])</f>
        <v>163</v>
      </c>
      <c r="E27" s="87">
        <f>SUBTOTAL(109,Transportation[February])</f>
        <v>159.25</v>
      </c>
      <c r="F27" s="86">
        <f>SUBTOTAL(109,Transportation[March])</f>
        <v>337.05</v>
      </c>
      <c r="G27" s="87">
        <f>SUBTOTAL(109,Transportation[April])</f>
        <v>291.38</v>
      </c>
      <c r="H27" s="86">
        <f>SUBTOTAL(109,Transportation[May])</f>
        <v>762.71</v>
      </c>
      <c r="I27" s="87">
        <f>SUBTOTAL(109,Transportation[June])</f>
        <v>241.21</v>
      </c>
      <c r="J27" s="86">
        <f>SUBTOTAL(109,Transportation[July])</f>
        <v>933.6400000000001</v>
      </c>
      <c r="K27" s="87">
        <f>SUBTOTAL(109,Transportation[August])</f>
        <v>347.11999999999995</v>
      </c>
      <c r="L27" s="86">
        <f>SUBTOTAL(109,Transportation[September])</f>
        <v>68.52</v>
      </c>
      <c r="M27" s="87">
        <f>SUBTOTAL(109,Transportation[October])</f>
        <v>0</v>
      </c>
      <c r="N27" s="86">
        <f>SUBTOTAL(109,Transportation[November])</f>
        <v>0</v>
      </c>
      <c r="O27" s="87">
        <f>SUBTOTAL(109,Transportation[December])</f>
        <v>0</v>
      </c>
      <c r="P27" s="86">
        <f>SUBTOTAL(109,Transportation[Year])</f>
        <v>3303.8799999999997</v>
      </c>
      <c r="Q27" s="88"/>
      <c r="S27" s="84">
        <f>P27/$P$6</f>
        <v>9.8584526620430116E-2</v>
      </c>
    </row>
    <row r="28" spans="1:19" ht="15.95" customHeight="1" thickTop="1" x14ac:dyDescent="0.2">
      <c r="B28" s="57"/>
      <c r="C28" s="52"/>
      <c r="D28" s="52"/>
      <c r="E28" s="52"/>
      <c r="F28" s="52"/>
      <c r="G28" s="52"/>
      <c r="H28" s="52"/>
      <c r="I28" s="52"/>
      <c r="J28" s="52"/>
      <c r="K28" s="52"/>
      <c r="L28" s="52"/>
      <c r="M28" s="52"/>
      <c r="N28" s="52"/>
      <c r="O28" s="52"/>
      <c r="P28" s="52"/>
      <c r="Q28" s="52"/>
    </row>
    <row r="29" spans="1:19" ht="15.95" customHeight="1" x14ac:dyDescent="0.2">
      <c r="A29" s="44"/>
      <c r="B29" s="57"/>
      <c r="C29" s="58" t="s">
        <v>627</v>
      </c>
      <c r="D29" s="59" t="s">
        <v>652</v>
      </c>
      <c r="E29" s="37" t="s">
        <v>653</v>
      </c>
      <c r="F29" s="59" t="s">
        <v>654</v>
      </c>
      <c r="G29" s="37" t="s">
        <v>655</v>
      </c>
      <c r="H29" s="59" t="s">
        <v>516</v>
      </c>
      <c r="I29" s="37" t="s">
        <v>278</v>
      </c>
      <c r="J29" s="59" t="s">
        <v>656</v>
      </c>
      <c r="K29" s="37" t="s">
        <v>657</v>
      </c>
      <c r="L29" s="59" t="s">
        <v>658</v>
      </c>
      <c r="M29" s="37" t="s">
        <v>659</v>
      </c>
      <c r="N29" s="59" t="s">
        <v>660</v>
      </c>
      <c r="O29" s="37" t="s">
        <v>661</v>
      </c>
      <c r="P29" s="59" t="s">
        <v>13</v>
      </c>
      <c r="Q29" s="37" t="s">
        <v>662</v>
      </c>
    </row>
    <row r="30" spans="1:19" ht="15.95" customHeight="1" x14ac:dyDescent="0.2">
      <c r="B30" s="57"/>
      <c r="C30" s="55"/>
      <c r="D30" s="60"/>
      <c r="E30" s="56"/>
      <c r="F30" s="60"/>
      <c r="G30" s="56"/>
      <c r="H30" s="60"/>
      <c r="I30" s="56"/>
      <c r="J30" s="60"/>
      <c r="K30" s="56"/>
      <c r="L30" s="60"/>
      <c r="M30" s="56"/>
      <c r="N30" s="60"/>
      <c r="O30" s="56"/>
      <c r="P30" s="60">
        <f>SUM(Entertainment[[#This Row],[January]:[December]])</f>
        <v>0</v>
      </c>
      <c r="Q30" s="51"/>
    </row>
    <row r="31" spans="1:19" ht="15.95" customHeight="1" x14ac:dyDescent="0.2">
      <c r="B31" s="57"/>
      <c r="C31" s="55"/>
      <c r="D31" s="60"/>
      <c r="E31" s="56"/>
      <c r="F31" s="60"/>
      <c r="G31" s="56"/>
      <c r="H31" s="60"/>
      <c r="I31" s="56"/>
      <c r="J31" s="60"/>
      <c r="K31" s="56"/>
      <c r="L31" s="60"/>
      <c r="M31" s="56"/>
      <c r="N31" s="60"/>
      <c r="O31" s="56"/>
      <c r="P31" s="60">
        <f>SUM(Entertainment[[#This Row],[January]:[December]])</f>
        <v>0</v>
      </c>
      <c r="Q31" s="56"/>
    </row>
    <row r="32" spans="1:19" ht="20.25" customHeight="1" x14ac:dyDescent="0.2">
      <c r="C32" s="55" t="s">
        <v>782</v>
      </c>
      <c r="D32" s="60">
        <f>SUMIFS(Discover!$F:$F,Discover!$K:$K,'PERSONAL BUDGET - WIP'!$C$29,Discover!$B:$B,'PERSONAL BUDGET - WIP'!D$3)</f>
        <v>19.989999999999998</v>
      </c>
      <c r="E32" s="56">
        <f>SUMIFS(Discover!$F:$F,Discover!$K:$K,'PERSONAL BUDGET - WIP'!$C$29,Discover!$B:$B,'PERSONAL BUDGET - WIP'!E$3)</f>
        <v>0</v>
      </c>
      <c r="F32" s="60">
        <f>SUMIFS(Discover!$F:$F,Discover!$K:$K,'PERSONAL BUDGET - WIP'!$C$29,Discover!$B:$B,'PERSONAL BUDGET - WIP'!F$3)</f>
        <v>0</v>
      </c>
      <c r="G32" s="56">
        <f>SUMIFS(Discover!$F:$F,Discover!$K:$K,'PERSONAL BUDGET - WIP'!$C$29,Discover!$B:$B,'PERSONAL BUDGET - WIP'!G$3)</f>
        <v>0</v>
      </c>
      <c r="H32" s="60">
        <f>SUMIFS(Discover!$F:$F,Discover!$K:$K,'PERSONAL BUDGET - WIP'!$C$29,Discover!$B:$B,'PERSONAL BUDGET - WIP'!H$3)</f>
        <v>108.96000000000001</v>
      </c>
      <c r="I32" s="56">
        <f>SUMIFS(Discover!$F:$F,Discover!$K:$K,'PERSONAL BUDGET - WIP'!$C$29,Discover!$B:$B,'PERSONAL BUDGET - WIP'!I$3)</f>
        <v>49.99</v>
      </c>
      <c r="J32" s="60">
        <f>SUMIFS(Discover!$F:$F,Discover!$K:$K,'PERSONAL BUDGET - WIP'!$C$29,Discover!$B:$B,'PERSONAL BUDGET - WIP'!J$3)</f>
        <v>121.8</v>
      </c>
      <c r="K32" s="56">
        <f>SUMIFS(Discover!$F:$F,Discover!$K:$K,'PERSONAL BUDGET - WIP'!$C$29,Discover!$B:$B,'PERSONAL BUDGET - WIP'!K$3)</f>
        <v>9.99</v>
      </c>
      <c r="L32" s="60">
        <f>SUMIFS(Discover!$F:$F,Discover!$K:$K,'PERSONAL BUDGET - WIP'!$C$29,Discover!$B:$B,'PERSONAL BUDGET - WIP'!L$3)</f>
        <v>25.58</v>
      </c>
      <c r="M32" s="56">
        <f>SUMIFS(Discover!$F:$F,Discover!$K:$K,'PERSONAL BUDGET - WIP'!$C$29,Discover!$B:$B,'PERSONAL BUDGET - WIP'!M$3)</f>
        <v>0</v>
      </c>
      <c r="N32" s="60">
        <f>SUMIFS(Discover!$F:$F,Discover!$K:$K,'PERSONAL BUDGET - WIP'!$C$29,Discover!$B:$B,'PERSONAL BUDGET - WIP'!N$3)</f>
        <v>0</v>
      </c>
      <c r="O32" s="56">
        <f>SUMIFS(Discover!$F:$F,Discover!$K:$K,'PERSONAL BUDGET - WIP'!$C$29,Discover!$B:$B,'PERSONAL BUDGET - WIP'!O$3)</f>
        <v>0</v>
      </c>
      <c r="P32" s="60">
        <f>SUM(Entertainment[[#This Row],[January]:[December]])</f>
        <v>336.31</v>
      </c>
      <c r="Q32" s="51"/>
    </row>
    <row r="33" spans="1:19" s="52" customFormat="1" ht="31.5" customHeight="1" thickBot="1" x14ac:dyDescent="0.25">
      <c r="A33" s="28"/>
      <c r="B33" s="28"/>
      <c r="C33" s="98" t="s">
        <v>664</v>
      </c>
      <c r="D33" s="99">
        <f>SUBTOTAL(109,Entertainment[January])</f>
        <v>19.989999999999998</v>
      </c>
      <c r="E33" s="87">
        <f>SUBTOTAL(109,Entertainment[February])</f>
        <v>0</v>
      </c>
      <c r="F33" s="99">
        <f>SUBTOTAL(109,Entertainment[March])</f>
        <v>0</v>
      </c>
      <c r="G33" s="87">
        <f>SUBTOTAL(109,Entertainment[April])</f>
        <v>0</v>
      </c>
      <c r="H33" s="99">
        <f>SUBTOTAL(109,Entertainment[May])</f>
        <v>108.96000000000001</v>
      </c>
      <c r="I33" s="87">
        <f>SUBTOTAL(109,Entertainment[June])</f>
        <v>49.99</v>
      </c>
      <c r="J33" s="99">
        <f>SUBTOTAL(109,Entertainment[July])</f>
        <v>121.8</v>
      </c>
      <c r="K33" s="87">
        <f>SUBTOTAL(109,Entertainment[August])</f>
        <v>9.99</v>
      </c>
      <c r="L33" s="99">
        <f>SUBTOTAL(109,Entertainment[September])</f>
        <v>25.58</v>
      </c>
      <c r="M33" s="87">
        <f>SUBTOTAL(109,Entertainment[October])</f>
        <v>0</v>
      </c>
      <c r="N33" s="99">
        <f>SUBTOTAL(109,Entertainment[November])</f>
        <v>0</v>
      </c>
      <c r="O33" s="87">
        <f>SUBTOTAL(109,Entertainment[December])</f>
        <v>0</v>
      </c>
      <c r="P33" s="99">
        <f>SUBTOTAL(109,Entertainment[Year])</f>
        <v>336.31</v>
      </c>
      <c r="Q33" s="88"/>
      <c r="S33" s="84">
        <f>P33/$P$6</f>
        <v>1.0035159311995851E-2</v>
      </c>
    </row>
    <row r="34" spans="1:19" ht="15.95" customHeight="1" thickTop="1" x14ac:dyDescent="0.2">
      <c r="B34" s="57"/>
      <c r="C34" s="52"/>
      <c r="D34" s="52"/>
      <c r="E34" s="52"/>
      <c r="F34" s="52"/>
      <c r="G34" s="52"/>
      <c r="H34" s="52"/>
      <c r="I34" s="52"/>
      <c r="J34" s="52"/>
      <c r="K34" s="52"/>
      <c r="L34" s="52"/>
      <c r="M34" s="52"/>
      <c r="N34" s="52"/>
      <c r="O34" s="52"/>
      <c r="P34" s="52"/>
      <c r="Q34" s="52"/>
    </row>
    <row r="35" spans="1:19" ht="15.95" customHeight="1" x14ac:dyDescent="0.2">
      <c r="B35" s="57"/>
      <c r="C35" s="58" t="s">
        <v>671</v>
      </c>
      <c r="D35" s="59" t="s">
        <v>652</v>
      </c>
      <c r="E35" s="37" t="s">
        <v>653</v>
      </c>
      <c r="F35" s="59" t="s">
        <v>654</v>
      </c>
      <c r="G35" s="37" t="s">
        <v>655</v>
      </c>
      <c r="H35" s="59" t="s">
        <v>516</v>
      </c>
      <c r="I35" s="37" t="s">
        <v>278</v>
      </c>
      <c r="J35" s="59" t="s">
        <v>656</v>
      </c>
      <c r="K35" s="37" t="s">
        <v>657</v>
      </c>
      <c r="L35" s="59" t="s">
        <v>658</v>
      </c>
      <c r="M35" s="37" t="s">
        <v>659</v>
      </c>
      <c r="N35" s="59" t="s">
        <v>660</v>
      </c>
      <c r="O35" s="37" t="s">
        <v>661</v>
      </c>
      <c r="P35" s="59" t="s">
        <v>13</v>
      </c>
      <c r="Q35" s="37" t="s">
        <v>662</v>
      </c>
    </row>
    <row r="36" spans="1:19" ht="15.95" customHeight="1" x14ac:dyDescent="0.2">
      <c r="B36" s="57"/>
      <c r="C36" s="55" t="s">
        <v>672</v>
      </c>
      <c r="D36" s="60"/>
      <c r="E36" s="56"/>
      <c r="F36" s="60"/>
      <c r="G36" s="56"/>
      <c r="H36" s="60"/>
      <c r="I36" s="56"/>
      <c r="J36" s="60"/>
      <c r="K36" s="56"/>
      <c r="L36" s="60"/>
      <c r="M36" s="56"/>
      <c r="N36" s="60"/>
      <c r="O36" s="56"/>
      <c r="P36" s="60">
        <f>SUM(Health[[#This Row],[January]:[December]])</f>
        <v>0</v>
      </c>
      <c r="Q36" s="56"/>
    </row>
    <row r="37" spans="1:19" s="52" customFormat="1" ht="15.95" customHeight="1" x14ac:dyDescent="0.2">
      <c r="A37" s="28"/>
      <c r="B37" s="57"/>
      <c r="C37" s="55" t="s">
        <v>629</v>
      </c>
      <c r="D37" s="60"/>
      <c r="E37" s="56"/>
      <c r="F37" s="60"/>
      <c r="G37" s="56"/>
      <c r="H37" s="60"/>
      <c r="I37" s="56"/>
      <c r="J37" s="60"/>
      <c r="K37" s="56"/>
      <c r="L37" s="60"/>
      <c r="M37" s="56"/>
      <c r="N37" s="60"/>
      <c r="O37" s="56"/>
      <c r="P37" s="60">
        <f>SUM(Health[[#This Row],[January]:[December]])</f>
        <v>0</v>
      </c>
      <c r="Q37" s="51"/>
    </row>
    <row r="38" spans="1:19" ht="15.95" customHeight="1" x14ac:dyDescent="0.2">
      <c r="B38" s="57"/>
      <c r="C38" s="55" t="s">
        <v>673</v>
      </c>
      <c r="D38" s="60"/>
      <c r="E38" s="56"/>
      <c r="F38" s="60"/>
      <c r="G38" s="56"/>
      <c r="H38" s="60"/>
      <c r="I38" s="56"/>
      <c r="J38" s="60"/>
      <c r="K38" s="56"/>
      <c r="L38" s="60"/>
      <c r="M38" s="56"/>
      <c r="N38" s="60"/>
      <c r="O38" s="56"/>
      <c r="P38" s="60">
        <f>SUM(Health[[#This Row],[January]:[December]])</f>
        <v>0</v>
      </c>
      <c r="Q38" s="51"/>
    </row>
    <row r="39" spans="1:19" ht="15.95" customHeight="1" x14ac:dyDescent="0.2">
      <c r="B39" s="57"/>
      <c r="C39" s="61" t="s">
        <v>674</v>
      </c>
      <c r="D39" s="60"/>
      <c r="E39" s="56"/>
      <c r="F39" s="60"/>
      <c r="G39" s="56"/>
      <c r="H39" s="60"/>
      <c r="I39" s="56"/>
      <c r="J39" s="60"/>
      <c r="K39" s="56"/>
      <c r="L39" s="60"/>
      <c r="M39" s="56"/>
      <c r="N39" s="60"/>
      <c r="O39" s="56"/>
      <c r="P39" s="60">
        <f>SUM(Health[[#This Row],[January]:[December]])</f>
        <v>0</v>
      </c>
      <c r="Q39" s="51"/>
    </row>
    <row r="40" spans="1:19" ht="15.95" customHeight="1" x14ac:dyDescent="0.2">
      <c r="B40" s="57"/>
      <c r="C40" s="61" t="s">
        <v>675</v>
      </c>
      <c r="D40" s="60"/>
      <c r="E40" s="56"/>
      <c r="F40" s="60"/>
      <c r="G40" s="56"/>
      <c r="H40" s="60"/>
      <c r="I40" s="56"/>
      <c r="J40" s="60"/>
      <c r="K40" s="56"/>
      <c r="L40" s="60"/>
      <c r="M40" s="56"/>
      <c r="N40" s="60"/>
      <c r="O40" s="56"/>
      <c r="P40" s="60">
        <f>SUM(Health[[#This Row],[January]:[December]])</f>
        <v>0</v>
      </c>
      <c r="Q40" s="56"/>
    </row>
    <row r="41" spans="1:19" ht="21" customHeight="1" x14ac:dyDescent="0.2">
      <c r="B41" s="57"/>
      <c r="C41" s="55" t="s">
        <v>676</v>
      </c>
      <c r="D41" s="60"/>
      <c r="E41" s="56"/>
      <c r="F41" s="60"/>
      <c r="G41" s="56"/>
      <c r="H41" s="60"/>
      <c r="I41" s="56"/>
      <c r="J41" s="60"/>
      <c r="K41" s="56"/>
      <c r="L41" s="60"/>
      <c r="M41" s="56"/>
      <c r="N41" s="60"/>
      <c r="O41" s="56"/>
      <c r="P41" s="60">
        <f>SUM(Health[[#This Row],[January]:[December]])</f>
        <v>0</v>
      </c>
      <c r="Q41" s="51"/>
    </row>
    <row r="42" spans="1:19" ht="20.25" customHeight="1" x14ac:dyDescent="0.2">
      <c r="C42" s="55" t="s">
        <v>782</v>
      </c>
      <c r="D42" s="60">
        <f>SUMIFS(Discover!$F:$F,Discover!$K:$K,'PERSONAL BUDGET - WIP'!$C$35,Discover!$B:$B,'PERSONAL BUDGET - WIP'!D$3)</f>
        <v>70.509999999999991</v>
      </c>
      <c r="E42" s="56">
        <f>SUMIFS(Discover!$F:$F,Discover!$K:$K,'PERSONAL BUDGET - WIP'!$C$35,Discover!$B:$B,'PERSONAL BUDGET - WIP'!E$3)</f>
        <v>10</v>
      </c>
      <c r="F42" s="60">
        <f>SUMIFS(Discover!$F:$F,Discover!$K:$K,'PERSONAL BUDGET - WIP'!$C$35,Discover!$B:$B,'PERSONAL BUDGET - WIP'!F$3)</f>
        <v>120</v>
      </c>
      <c r="G42" s="56">
        <f>SUMIFS(Discover!$F:$F,Discover!$K:$K,'PERSONAL BUDGET - WIP'!$C$35,Discover!$B:$B,'PERSONAL BUDGET - WIP'!G$3)</f>
        <v>0</v>
      </c>
      <c r="H42" s="60">
        <f>SUMIFS(Discover!$F:$F,Discover!$K:$K,'PERSONAL BUDGET - WIP'!$C$35,Discover!$B:$B,'PERSONAL BUDGET - WIP'!H$3)</f>
        <v>0</v>
      </c>
      <c r="I42" s="56">
        <f>SUMIFS(Discover!$F:$F,Discover!$K:$K,'PERSONAL BUDGET - WIP'!$C$35,Discover!$B:$B,'PERSONAL BUDGET - WIP'!I$3)</f>
        <v>0</v>
      </c>
      <c r="J42" s="60">
        <f>SUMIFS(Discover!$F:$F,Discover!$K:$K,'PERSONAL BUDGET - WIP'!$C$35,Discover!$B:$B,'PERSONAL BUDGET - WIP'!J$3)</f>
        <v>36.53</v>
      </c>
      <c r="K42" s="56">
        <f>SUMIFS(Discover!$F:$F,Discover!$K:$K,'PERSONAL BUDGET - WIP'!$C$35,Discover!$B:$B,'PERSONAL BUDGET - WIP'!K$3)</f>
        <v>0</v>
      </c>
      <c r="L42" s="60">
        <f>SUMIFS(Discover!$F:$F,Discover!$K:$K,'PERSONAL BUDGET - WIP'!$C$35,Discover!$B:$B,'PERSONAL BUDGET - WIP'!L$3)</f>
        <v>0</v>
      </c>
      <c r="M42" s="56">
        <f>SUMIFS(Discover!$F:$F,Discover!$K:$K,'PERSONAL BUDGET - WIP'!$C$35,Discover!$B:$B,'PERSONAL BUDGET - WIP'!M$3)</f>
        <v>0</v>
      </c>
      <c r="N42" s="60">
        <f>SUMIFS(Discover!$F:$F,Discover!$K:$K,'PERSONAL BUDGET - WIP'!$C$35,Discover!$B:$B,'PERSONAL BUDGET - WIP'!N$3)</f>
        <v>0</v>
      </c>
      <c r="O42" s="56">
        <f>SUMIFS(Discover!$F:$F,Discover!$K:$K,'PERSONAL BUDGET - WIP'!$C$35,Discover!$B:$B,'PERSONAL BUDGET - WIP'!O$3)</f>
        <v>0</v>
      </c>
      <c r="P42" s="60">
        <f>SUM(Health[[#This Row],[January]:[December]])</f>
        <v>237.04</v>
      </c>
      <c r="Q42" s="56"/>
    </row>
    <row r="43" spans="1:19" s="52" customFormat="1" ht="31.5" customHeight="1" thickBot="1" x14ac:dyDescent="0.25">
      <c r="A43" s="28"/>
      <c r="B43" s="28"/>
      <c r="C43" s="98" t="s">
        <v>664</v>
      </c>
      <c r="D43" s="99">
        <f>SUBTOTAL(109,Health[January])</f>
        <v>70.509999999999991</v>
      </c>
      <c r="E43" s="87">
        <f>SUBTOTAL(109,Health[February])</f>
        <v>10</v>
      </c>
      <c r="F43" s="99">
        <f>SUBTOTAL(109,Health[March])</f>
        <v>120</v>
      </c>
      <c r="G43" s="87">
        <f>SUBTOTAL(109,Health[April])</f>
        <v>0</v>
      </c>
      <c r="H43" s="99">
        <f>SUBTOTAL(109,Health[May])</f>
        <v>0</v>
      </c>
      <c r="I43" s="87">
        <f>SUBTOTAL(109,Health[June])</f>
        <v>0</v>
      </c>
      <c r="J43" s="99">
        <f>SUBTOTAL(109,Health[July])</f>
        <v>36.53</v>
      </c>
      <c r="K43" s="87">
        <f>SUBTOTAL(109,Health[August])</f>
        <v>0</v>
      </c>
      <c r="L43" s="99">
        <f>SUBTOTAL(109,Health[September])</f>
        <v>0</v>
      </c>
      <c r="M43" s="87">
        <f>SUBTOTAL(109,Health[October])</f>
        <v>0</v>
      </c>
      <c r="N43" s="99">
        <f>SUBTOTAL(109,Health[November])</f>
        <v>0</v>
      </c>
      <c r="O43" s="87">
        <f>SUBTOTAL(109,Health[December])</f>
        <v>0</v>
      </c>
      <c r="P43" s="99">
        <f>SUBTOTAL(109,Health[Year])</f>
        <v>237.04</v>
      </c>
      <c r="Q43" s="88"/>
      <c r="S43" s="84">
        <f>P43/$P$6</f>
        <v>7.0730402405979505E-3</v>
      </c>
    </row>
    <row r="44" spans="1:19" ht="15.95" customHeight="1" thickTop="1" x14ac:dyDescent="0.2">
      <c r="B44" s="45"/>
      <c r="C44" s="52"/>
      <c r="D44" s="52"/>
      <c r="E44" s="52"/>
      <c r="F44" s="52"/>
      <c r="G44" s="52"/>
      <c r="H44" s="52"/>
      <c r="I44" s="52"/>
      <c r="J44" s="52"/>
      <c r="K44" s="52"/>
      <c r="L44" s="52"/>
      <c r="M44" s="52"/>
      <c r="N44" s="52"/>
      <c r="O44" s="52"/>
      <c r="P44" s="52"/>
      <c r="Q44" s="52"/>
    </row>
    <row r="45" spans="1:19" s="52" customFormat="1" ht="15.95" customHeight="1" x14ac:dyDescent="0.2">
      <c r="A45" s="28"/>
      <c r="B45" s="45"/>
      <c r="C45" s="53" t="s">
        <v>677</v>
      </c>
      <c r="D45" s="62" t="s">
        <v>652</v>
      </c>
      <c r="E45" s="37" t="s">
        <v>653</v>
      </c>
      <c r="F45" s="62" t="s">
        <v>654</v>
      </c>
      <c r="G45" s="37" t="s">
        <v>655</v>
      </c>
      <c r="H45" s="62" t="s">
        <v>516</v>
      </c>
      <c r="I45" s="37" t="s">
        <v>278</v>
      </c>
      <c r="J45" s="62" t="s">
        <v>656</v>
      </c>
      <c r="K45" s="37" t="s">
        <v>657</v>
      </c>
      <c r="L45" s="62" t="s">
        <v>658</v>
      </c>
      <c r="M45" s="37" t="s">
        <v>659</v>
      </c>
      <c r="N45" s="62" t="s">
        <v>660</v>
      </c>
      <c r="O45" s="37" t="s">
        <v>661</v>
      </c>
      <c r="P45" s="62" t="s">
        <v>13</v>
      </c>
      <c r="Q45" s="37" t="s">
        <v>662</v>
      </c>
    </row>
    <row r="46" spans="1:19" ht="15.95" customHeight="1" x14ac:dyDescent="0.2">
      <c r="B46" s="45"/>
      <c r="C46" s="63" t="s">
        <v>678</v>
      </c>
      <c r="D46" s="49"/>
      <c r="E46" s="56"/>
      <c r="F46" s="49"/>
      <c r="G46" s="56"/>
      <c r="H46" s="49"/>
      <c r="I46" s="56"/>
      <c r="J46" s="49"/>
      <c r="K46" s="56"/>
      <c r="L46" s="49"/>
      <c r="M46" s="56"/>
      <c r="N46" s="49"/>
      <c r="O46" s="56"/>
      <c r="P46" s="49">
        <f>SUM(Vacations[[#This Row],[January]:[December]])</f>
        <v>0</v>
      </c>
      <c r="Q46" s="56"/>
    </row>
    <row r="47" spans="1:19" ht="15.95" customHeight="1" x14ac:dyDescent="0.2">
      <c r="B47" s="45"/>
      <c r="C47" s="63" t="s">
        <v>679</v>
      </c>
      <c r="D47" s="49"/>
      <c r="E47" s="56"/>
      <c r="F47" s="49"/>
      <c r="G47" s="56"/>
      <c r="H47" s="49"/>
      <c r="I47" s="56"/>
      <c r="J47" s="49"/>
      <c r="K47" s="56"/>
      <c r="L47" s="49"/>
      <c r="M47" s="56"/>
      <c r="N47" s="49"/>
      <c r="O47" s="56"/>
      <c r="P47" s="49">
        <f>SUM(Vacations[[#This Row],[January]:[December]])</f>
        <v>0</v>
      </c>
      <c r="Q47" s="56"/>
    </row>
    <row r="48" spans="1:19" ht="15.95" customHeight="1" x14ac:dyDescent="0.2">
      <c r="B48" s="45"/>
      <c r="C48" s="55" t="s">
        <v>630</v>
      </c>
      <c r="D48" s="49"/>
      <c r="E48" s="56"/>
      <c r="F48" s="49"/>
      <c r="G48" s="56"/>
      <c r="H48" s="49"/>
      <c r="I48" s="56"/>
      <c r="J48" s="49"/>
      <c r="K48" s="56"/>
      <c r="L48" s="49"/>
      <c r="M48" s="56"/>
      <c r="N48" s="49"/>
      <c r="O48" s="56"/>
      <c r="P48" s="49">
        <f>SUM(Vacations[[#This Row],[January]:[December]])</f>
        <v>0</v>
      </c>
      <c r="Q48" s="51"/>
    </row>
    <row r="49" spans="1:19" ht="15.95" customHeight="1" x14ac:dyDescent="0.2">
      <c r="B49" s="45"/>
      <c r="C49" s="55" t="s">
        <v>680</v>
      </c>
      <c r="D49" s="49"/>
      <c r="E49" s="56"/>
      <c r="F49" s="49"/>
      <c r="G49" s="56"/>
      <c r="H49" s="49"/>
      <c r="I49" s="56"/>
      <c r="J49" s="49"/>
      <c r="K49" s="56"/>
      <c r="L49" s="49"/>
      <c r="M49" s="56"/>
      <c r="N49" s="49"/>
      <c r="O49" s="56"/>
      <c r="P49" s="49">
        <f>SUM(Vacations[[#This Row],[January]:[December]])</f>
        <v>0</v>
      </c>
      <c r="Q49" s="56"/>
    </row>
    <row r="50" spans="1:19" ht="21" customHeight="1" x14ac:dyDescent="0.2">
      <c r="B50" s="45"/>
      <c r="C50" s="55" t="s">
        <v>681</v>
      </c>
      <c r="D50" s="49"/>
      <c r="E50" s="56"/>
      <c r="F50" s="49"/>
      <c r="G50" s="56"/>
      <c r="H50" s="49"/>
      <c r="I50" s="56"/>
      <c r="J50" s="49"/>
      <c r="K50" s="56"/>
      <c r="L50" s="49"/>
      <c r="M50" s="56"/>
      <c r="N50" s="49"/>
      <c r="O50" s="56"/>
      <c r="P50" s="49">
        <f>SUM(Vacations[[#This Row],[January]:[December]])</f>
        <v>0</v>
      </c>
      <c r="Q50" s="51"/>
    </row>
    <row r="51" spans="1:19" ht="20.25" customHeight="1" x14ac:dyDescent="0.2">
      <c r="C51" s="55" t="s">
        <v>782</v>
      </c>
      <c r="D51" s="49">
        <f>SUMIFS(Discover!$F:$F,Discover!$K:$K,'PERSONAL BUDGET - WIP'!$C$45,Discover!$B:$B,'PERSONAL BUDGET - WIP'!D$3)</f>
        <v>0</v>
      </c>
      <c r="E51" s="56">
        <f>SUMIFS(Discover!$F:$F,Discover!$K:$K,'PERSONAL BUDGET - WIP'!$C$45,Discover!$B:$B,'PERSONAL BUDGET - WIP'!E$3)</f>
        <v>0</v>
      </c>
      <c r="F51" s="49">
        <f>SUMIFS(Discover!$F:$F,Discover!$K:$K,'PERSONAL BUDGET - WIP'!$C$45,Discover!$B:$B,'PERSONAL BUDGET - WIP'!F$3)</f>
        <v>368.46000000000004</v>
      </c>
      <c r="G51" s="56">
        <f>SUMIFS(Discover!$F:$F,Discover!$K:$K,'PERSONAL BUDGET - WIP'!$C$45,Discover!$B:$B,'PERSONAL BUDGET - WIP'!G$3)</f>
        <v>0</v>
      </c>
      <c r="H51" s="49">
        <f>SUMIFS(Discover!$F:$F,Discover!$K:$K,'PERSONAL BUDGET - WIP'!$C$45,Discover!$B:$B,'PERSONAL BUDGET - WIP'!H$3)</f>
        <v>0</v>
      </c>
      <c r="I51" s="56">
        <f>SUMIFS(Discover!$F:$F,Discover!$K:$K,'PERSONAL BUDGET - WIP'!$C$45,Discover!$B:$B,'PERSONAL BUDGET - WIP'!I$3)</f>
        <v>215.24</v>
      </c>
      <c r="J51" s="49">
        <f>SUMIFS(Discover!$F:$F,Discover!$K:$K,'PERSONAL BUDGET - WIP'!$C$45,Discover!$B:$B,'PERSONAL BUDGET - WIP'!J$3)</f>
        <v>1089.7899999999997</v>
      </c>
      <c r="K51" s="56">
        <f>SUMIFS(Discover!$F:$F,Discover!$K:$K,'PERSONAL BUDGET - WIP'!$C$45,Discover!$B:$B,'PERSONAL BUDGET - WIP'!K$3)</f>
        <v>0</v>
      </c>
      <c r="L51" s="49">
        <f>SUMIFS(Discover!$F:$F,Discover!$K:$K,'PERSONAL BUDGET - WIP'!$C$45,Discover!$B:$B,'PERSONAL BUDGET - WIP'!L$3)</f>
        <v>0</v>
      </c>
      <c r="M51" s="56">
        <f>SUMIFS(Discover!$F:$F,Discover!$K:$K,'PERSONAL BUDGET - WIP'!$C$45,Discover!$B:$B,'PERSONAL BUDGET - WIP'!M$3)</f>
        <v>0</v>
      </c>
      <c r="N51" s="49">
        <f>SUMIFS(Discover!$F:$F,Discover!$K:$K,'PERSONAL BUDGET - WIP'!$C$45,Discover!$B:$B,'PERSONAL BUDGET - WIP'!N$3)</f>
        <v>0</v>
      </c>
      <c r="O51" s="56">
        <f>SUMIFS(Discover!$F:$F,Discover!$K:$K,'PERSONAL BUDGET - WIP'!$C$45,Discover!$B:$B,'PERSONAL BUDGET - WIP'!O$3)</f>
        <v>0</v>
      </c>
      <c r="P51" s="49">
        <f>SUM(Vacations[[#This Row],[January]:[December]])</f>
        <v>1673.4899999999998</v>
      </c>
      <c r="Q51" s="56"/>
    </row>
    <row r="52" spans="1:19" s="52" customFormat="1" ht="31.5" customHeight="1" thickBot="1" x14ac:dyDescent="0.25">
      <c r="A52" s="28"/>
      <c r="B52" s="28"/>
      <c r="C52" s="85" t="s">
        <v>664</v>
      </c>
      <c r="D52" s="86">
        <f>SUBTOTAL(109,Vacations[January])</f>
        <v>0</v>
      </c>
      <c r="E52" s="87">
        <f>SUBTOTAL(109,Vacations[February])</f>
        <v>0</v>
      </c>
      <c r="F52" s="86">
        <f>SUBTOTAL(109,Vacations[March])</f>
        <v>368.46000000000004</v>
      </c>
      <c r="G52" s="87">
        <f>SUBTOTAL(109,Vacations[April])</f>
        <v>0</v>
      </c>
      <c r="H52" s="86">
        <f>SUBTOTAL(109,Vacations[May])</f>
        <v>0</v>
      </c>
      <c r="I52" s="87">
        <f>SUBTOTAL(109,Vacations[June])</f>
        <v>215.24</v>
      </c>
      <c r="J52" s="86">
        <f>SUBTOTAL(109,Vacations[July])</f>
        <v>1089.7899999999997</v>
      </c>
      <c r="K52" s="87">
        <f>SUBTOTAL(109,Vacations[August])</f>
        <v>0</v>
      </c>
      <c r="L52" s="86">
        <f>SUBTOTAL(109,Vacations[September])</f>
        <v>0</v>
      </c>
      <c r="M52" s="87">
        <f>SUBTOTAL(109,Vacations[October])</f>
        <v>0</v>
      </c>
      <c r="N52" s="86">
        <f>SUBTOTAL(109,Vacations[November])</f>
        <v>0</v>
      </c>
      <c r="O52" s="87">
        <f>SUBTOTAL(109,Vacations[December])</f>
        <v>0</v>
      </c>
      <c r="P52" s="86">
        <f>SUBTOTAL(109,Vacations[Year])</f>
        <v>1673.4899999999998</v>
      </c>
      <c r="Q52" s="88"/>
      <c r="S52" s="84">
        <f>P52/$P$6</f>
        <v>4.9935294094828983E-2</v>
      </c>
    </row>
    <row r="53" spans="1:19" ht="15.95" customHeight="1" thickTop="1" x14ac:dyDescent="0.2">
      <c r="B53" s="45"/>
      <c r="C53" s="52"/>
      <c r="D53" s="52"/>
      <c r="E53" s="52"/>
      <c r="F53" s="52"/>
      <c r="G53" s="52"/>
      <c r="H53" s="52"/>
      <c r="I53" s="52"/>
      <c r="J53" s="52"/>
      <c r="K53" s="52"/>
      <c r="L53" s="52"/>
      <c r="M53" s="52"/>
      <c r="N53" s="52"/>
      <c r="O53" s="52"/>
      <c r="P53" s="52"/>
      <c r="Q53" s="52"/>
    </row>
    <row r="54" spans="1:19" ht="15.95" customHeight="1" x14ac:dyDescent="0.2">
      <c r="B54" s="45"/>
      <c r="C54" s="64" t="s">
        <v>682</v>
      </c>
      <c r="D54" s="65" t="s">
        <v>652</v>
      </c>
      <c r="E54" s="66" t="s">
        <v>653</v>
      </c>
      <c r="F54" s="65" t="s">
        <v>654</v>
      </c>
      <c r="G54" s="66" t="s">
        <v>655</v>
      </c>
      <c r="H54" s="65" t="s">
        <v>516</v>
      </c>
      <c r="I54" s="66" t="s">
        <v>278</v>
      </c>
      <c r="J54" s="65" t="s">
        <v>656</v>
      </c>
      <c r="K54" s="66" t="s">
        <v>657</v>
      </c>
      <c r="L54" s="65" t="s">
        <v>658</v>
      </c>
      <c r="M54" s="66" t="s">
        <v>659</v>
      </c>
      <c r="N54" s="65" t="s">
        <v>660</v>
      </c>
      <c r="O54" s="66" t="s">
        <v>661</v>
      </c>
      <c r="P54" s="65" t="s">
        <v>13</v>
      </c>
      <c r="Q54" s="66" t="s">
        <v>662</v>
      </c>
    </row>
    <row r="55" spans="1:19" ht="15.95" customHeight="1" x14ac:dyDescent="0.2">
      <c r="B55" s="45"/>
      <c r="C55" s="55" t="s">
        <v>683</v>
      </c>
      <c r="D55" s="49"/>
      <c r="E55" s="56"/>
      <c r="F55" s="49"/>
      <c r="G55" s="56"/>
      <c r="H55" s="49"/>
      <c r="I55" s="56"/>
      <c r="J55" s="49"/>
      <c r="K55" s="56"/>
      <c r="L55" s="49"/>
      <c r="M55" s="56"/>
      <c r="N55" s="49"/>
      <c r="O55" s="56"/>
      <c r="P55" s="49">
        <f>SUM(Recreation[[#This Row],[January]:[December]])</f>
        <v>0</v>
      </c>
      <c r="Q55" s="51"/>
    </row>
    <row r="56" spans="1:19" ht="15.95" customHeight="1" x14ac:dyDescent="0.2">
      <c r="B56" s="45"/>
      <c r="C56" s="55" t="s">
        <v>768</v>
      </c>
      <c r="D56" s="49"/>
      <c r="E56" s="56"/>
      <c r="F56" s="49"/>
      <c r="G56" s="56"/>
      <c r="H56" s="49"/>
      <c r="I56" s="56"/>
      <c r="J56" s="49"/>
      <c r="K56" s="56"/>
      <c r="L56" s="49"/>
      <c r="M56" s="56"/>
      <c r="N56" s="49"/>
      <c r="O56" s="56"/>
      <c r="P56" s="49">
        <f>SUM(Recreation[[#This Row],[January]:[December]])</f>
        <v>0</v>
      </c>
      <c r="Q56" s="56"/>
    </row>
    <row r="57" spans="1:19" ht="21" customHeight="1" x14ac:dyDescent="0.2">
      <c r="B57" s="45"/>
      <c r="C57" s="55" t="s">
        <v>684</v>
      </c>
      <c r="D57" s="49"/>
      <c r="E57" s="56"/>
      <c r="F57" s="49"/>
      <c r="G57" s="56"/>
      <c r="H57" s="49"/>
      <c r="I57" s="56"/>
      <c r="J57" s="49"/>
      <c r="K57" s="56"/>
      <c r="L57" s="49"/>
      <c r="M57" s="56"/>
      <c r="N57" s="49"/>
      <c r="O57" s="56"/>
      <c r="P57" s="49">
        <f>SUM(Recreation[[#This Row],[January]:[December]])</f>
        <v>0</v>
      </c>
      <c r="Q57" s="51"/>
    </row>
    <row r="58" spans="1:19" ht="20.25" customHeight="1" x14ac:dyDescent="0.2">
      <c r="C58" s="55" t="s">
        <v>782</v>
      </c>
      <c r="D58" s="49">
        <f>SUMIFS(Discover!$F:$F,Discover!$K:$K,'PERSONAL BUDGET - WIP'!$C$54,Discover!$B:$B,'PERSONAL BUDGET - WIP'!D$3)</f>
        <v>0</v>
      </c>
      <c r="E58" s="56">
        <f>SUMIFS(Discover!$F:$F,Discover!$K:$K,'PERSONAL BUDGET - WIP'!$C$54,Discover!$B:$B,'PERSONAL BUDGET - WIP'!E$3)</f>
        <v>0</v>
      </c>
      <c r="F58" s="49">
        <f>SUMIFS(Discover!$F:$F,Discover!$K:$K,'PERSONAL BUDGET - WIP'!$C$54,Discover!$B:$B,'PERSONAL BUDGET - WIP'!F$3)</f>
        <v>0</v>
      </c>
      <c r="G58" s="56">
        <f>SUMIFS(Discover!$F:$F,Discover!$K:$K,'PERSONAL BUDGET - WIP'!$C$54,Discover!$B:$B,'PERSONAL BUDGET - WIP'!G$3)</f>
        <v>113.21</v>
      </c>
      <c r="H58" s="49">
        <f>SUMIFS(Discover!$F:$F,Discover!$K:$K,'PERSONAL BUDGET - WIP'!$C$54,Discover!$B:$B,'PERSONAL BUDGET - WIP'!H$3)</f>
        <v>100.47</v>
      </c>
      <c r="I58" s="56">
        <f>SUMIFS(Discover!$F:$F,Discover!$K:$K,'PERSONAL BUDGET - WIP'!$C$54,Discover!$B:$B,'PERSONAL BUDGET - WIP'!I$3)</f>
        <v>143.94999999999999</v>
      </c>
      <c r="J58" s="49">
        <f>SUMIFS(Discover!$F:$F,Discover!$K:$K,'PERSONAL BUDGET - WIP'!$C$54,Discover!$B:$B,'PERSONAL BUDGET - WIP'!J$3)</f>
        <v>110.25</v>
      </c>
      <c r="K58" s="56">
        <f>SUMIFS(Discover!$F:$F,Discover!$K:$K,'PERSONAL BUDGET - WIP'!$C$54,Discover!$B:$B,'PERSONAL BUDGET - WIP'!K$3)</f>
        <v>109.95</v>
      </c>
      <c r="L58" s="49">
        <f>SUMIFS(Discover!$F:$F,Discover!$K:$K,'PERSONAL BUDGET - WIP'!$C$54,Discover!$B:$B,'PERSONAL BUDGET - WIP'!L$3)</f>
        <v>0</v>
      </c>
      <c r="M58" s="56">
        <f>SUMIFS(Discover!$F:$F,Discover!$K:$K,'PERSONAL BUDGET - WIP'!$C$54,Discover!$B:$B,'PERSONAL BUDGET - WIP'!M$3)</f>
        <v>0</v>
      </c>
      <c r="N58" s="49">
        <f>SUMIFS(Discover!$F:$F,Discover!$K:$K,'PERSONAL BUDGET - WIP'!$C$54,Discover!$B:$B,'PERSONAL BUDGET - WIP'!N$3)</f>
        <v>0</v>
      </c>
      <c r="O58" s="56">
        <f>SUMIFS(Discover!$F:$F,Discover!$K:$K,'PERSONAL BUDGET - WIP'!$C$54,Discover!$B:$B,'PERSONAL BUDGET - WIP'!O$3)</f>
        <v>0</v>
      </c>
      <c r="P58" s="49">
        <f>SUM(Recreation[[#This Row],[January]:[December]])</f>
        <v>577.83000000000004</v>
      </c>
      <c r="Q58" s="56"/>
    </row>
    <row r="59" spans="1:19" s="52" customFormat="1" ht="31.5" customHeight="1" thickBot="1" x14ac:dyDescent="0.25">
      <c r="A59" s="28"/>
      <c r="B59" s="28"/>
      <c r="C59" s="85" t="s">
        <v>664</v>
      </c>
      <c r="D59" s="86">
        <f>SUBTOTAL(109,Recreation[January])</f>
        <v>0</v>
      </c>
      <c r="E59" s="87">
        <f>SUBTOTAL(109,Recreation[February])</f>
        <v>0</v>
      </c>
      <c r="F59" s="86">
        <f>SUBTOTAL(109,Recreation[March])</f>
        <v>0</v>
      </c>
      <c r="G59" s="87">
        <f>SUBTOTAL(109,Recreation[April])</f>
        <v>113.21</v>
      </c>
      <c r="H59" s="86">
        <f>SUBTOTAL(109,Recreation[May])</f>
        <v>100.47</v>
      </c>
      <c r="I59" s="87">
        <f>SUBTOTAL(109,Recreation[June])</f>
        <v>143.94999999999999</v>
      </c>
      <c r="J59" s="86">
        <f>SUBTOTAL(109,Recreation[July])</f>
        <v>110.25</v>
      </c>
      <c r="K59" s="87">
        <f>SUBTOTAL(109,Recreation[August])</f>
        <v>109.95</v>
      </c>
      <c r="L59" s="86">
        <f>SUBTOTAL(109,Recreation[September])</f>
        <v>0</v>
      </c>
      <c r="M59" s="87">
        <f>SUBTOTAL(109,Recreation[October])</f>
        <v>0</v>
      </c>
      <c r="N59" s="86">
        <f>SUBTOTAL(109,Recreation[November])</f>
        <v>0</v>
      </c>
      <c r="O59" s="87">
        <f>SUBTOTAL(109,Recreation[December])</f>
        <v>0</v>
      </c>
      <c r="P59" s="86">
        <f>SUBTOTAL(109,Recreation[Year])</f>
        <v>577.83000000000004</v>
      </c>
      <c r="Q59" s="88"/>
      <c r="S59" s="84">
        <f>P59/$P$6</f>
        <v>1.7241878342156236E-2</v>
      </c>
    </row>
    <row r="60" spans="1:19" ht="15.95" customHeight="1" thickTop="1" x14ac:dyDescent="0.2">
      <c r="C60" s="52"/>
      <c r="D60" s="52"/>
      <c r="E60" s="52"/>
      <c r="F60" s="52"/>
      <c r="G60" s="52"/>
      <c r="H60" s="52"/>
      <c r="I60" s="52"/>
      <c r="J60" s="52"/>
      <c r="K60" s="52"/>
      <c r="L60" s="52"/>
      <c r="M60" s="52"/>
      <c r="N60" s="52"/>
      <c r="O60" s="52"/>
      <c r="P60" s="52"/>
      <c r="Q60" s="52"/>
    </row>
    <row r="61" spans="1:19" ht="15.95" customHeight="1" x14ac:dyDescent="0.2">
      <c r="B61" s="57"/>
      <c r="C61" s="67" t="s">
        <v>781</v>
      </c>
      <c r="D61" s="68" t="s">
        <v>652</v>
      </c>
      <c r="E61" s="66" t="s">
        <v>653</v>
      </c>
      <c r="F61" s="68" t="s">
        <v>654</v>
      </c>
      <c r="G61" s="66" t="s">
        <v>655</v>
      </c>
      <c r="H61" s="68" t="s">
        <v>516</v>
      </c>
      <c r="I61" s="66" t="s">
        <v>278</v>
      </c>
      <c r="J61" s="68" t="s">
        <v>656</v>
      </c>
      <c r="K61" s="66" t="s">
        <v>657</v>
      </c>
      <c r="L61" s="68" t="s">
        <v>658</v>
      </c>
      <c r="M61" s="66" t="s">
        <v>659</v>
      </c>
      <c r="N61" s="68" t="s">
        <v>660</v>
      </c>
      <c r="O61" s="66" t="s">
        <v>661</v>
      </c>
      <c r="P61" s="68" t="s">
        <v>13</v>
      </c>
      <c r="Q61" s="66" t="s">
        <v>662</v>
      </c>
    </row>
    <row r="62" spans="1:19" ht="15.95" customHeight="1" x14ac:dyDescent="0.2">
      <c r="B62" s="57"/>
      <c r="C62" s="61" t="s">
        <v>765</v>
      </c>
      <c r="D62" s="60"/>
      <c r="E62" s="56"/>
      <c r="F62" s="60"/>
      <c r="G62" s="56"/>
      <c r="H62" s="60"/>
      <c r="I62" s="56"/>
      <c r="J62" s="60"/>
      <c r="K62" s="56"/>
      <c r="L62" s="60"/>
      <c r="M62" s="56"/>
      <c r="N62" s="60"/>
      <c r="O62" s="56"/>
      <c r="P62" s="60">
        <f>SUM(DuesAndSubscription[[#This Row],[January]:[December]])</f>
        <v>0</v>
      </c>
      <c r="Q62" s="56"/>
    </row>
    <row r="63" spans="1:19" ht="15.95" customHeight="1" x14ac:dyDescent="0.2">
      <c r="B63" s="57"/>
      <c r="C63" s="55" t="s">
        <v>766</v>
      </c>
      <c r="D63" s="60"/>
      <c r="E63" s="56"/>
      <c r="F63" s="60"/>
      <c r="G63" s="56"/>
      <c r="H63" s="60"/>
      <c r="I63" s="56"/>
      <c r="J63" s="60"/>
      <c r="K63" s="56"/>
      <c r="L63" s="60"/>
      <c r="M63" s="56"/>
      <c r="N63" s="60"/>
      <c r="O63" s="56"/>
      <c r="P63" s="60">
        <f>SUM(DuesAndSubscription[[#This Row],[January]:[December]])</f>
        <v>0</v>
      </c>
      <c r="Q63" s="51"/>
    </row>
    <row r="64" spans="1:19" ht="15.95" customHeight="1" x14ac:dyDescent="0.2">
      <c r="B64" s="57"/>
      <c r="C64" s="55" t="s">
        <v>767</v>
      </c>
      <c r="D64" s="60"/>
      <c r="E64" s="56"/>
      <c r="F64" s="60"/>
      <c r="G64" s="56"/>
      <c r="H64" s="60"/>
      <c r="I64" s="56"/>
      <c r="J64" s="60"/>
      <c r="K64" s="56"/>
      <c r="L64" s="60"/>
      <c r="M64" s="56"/>
      <c r="N64" s="60"/>
      <c r="O64" s="56"/>
      <c r="P64" s="60">
        <f>SUM(DuesAndSubscription[[#This Row],[January]:[December]])</f>
        <v>0</v>
      </c>
      <c r="Q64" s="56"/>
    </row>
    <row r="65" spans="1:19" ht="15.95" customHeight="1" x14ac:dyDescent="0.2">
      <c r="B65" s="57"/>
      <c r="C65" s="55" t="s">
        <v>685</v>
      </c>
      <c r="D65" s="60"/>
      <c r="E65" s="56"/>
      <c r="F65" s="60"/>
      <c r="G65" s="56"/>
      <c r="H65" s="60"/>
      <c r="I65" s="56"/>
      <c r="J65" s="60"/>
      <c r="K65" s="56"/>
      <c r="L65" s="60"/>
      <c r="M65" s="56"/>
      <c r="N65" s="60"/>
      <c r="O65" s="56"/>
      <c r="P65" s="60">
        <f>SUM(DuesAndSubscription[[#This Row],[January]:[December]])</f>
        <v>0</v>
      </c>
      <c r="Q65" s="51"/>
    </row>
    <row r="66" spans="1:19" ht="15.95" customHeight="1" x14ac:dyDescent="0.2">
      <c r="B66" s="57"/>
      <c r="C66" s="55" t="s">
        <v>686</v>
      </c>
      <c r="D66" s="60"/>
      <c r="E66" s="56"/>
      <c r="F66" s="60"/>
      <c r="G66" s="56"/>
      <c r="H66" s="60"/>
      <c r="I66" s="56"/>
      <c r="J66" s="60"/>
      <c r="K66" s="56"/>
      <c r="L66" s="60"/>
      <c r="M66" s="56"/>
      <c r="N66" s="60"/>
      <c r="O66" s="56"/>
      <c r="P66" s="60">
        <f>SUM(DuesAndSubscription[[#This Row],[January]:[December]])</f>
        <v>0</v>
      </c>
      <c r="Q66" s="56"/>
    </row>
    <row r="67" spans="1:19" ht="21" customHeight="1" x14ac:dyDescent="0.2">
      <c r="B67" s="57"/>
      <c r="C67" s="55" t="s">
        <v>687</v>
      </c>
      <c r="D67" s="60"/>
      <c r="E67" s="56"/>
      <c r="F67" s="60"/>
      <c r="G67" s="56"/>
      <c r="H67" s="60"/>
      <c r="I67" s="56"/>
      <c r="J67" s="60"/>
      <c r="K67" s="56"/>
      <c r="L67" s="60"/>
      <c r="M67" s="56"/>
      <c r="N67" s="60"/>
      <c r="O67" s="56"/>
      <c r="P67" s="60">
        <f>SUM(DuesAndSubscription[[#This Row],[January]:[December]])</f>
        <v>0</v>
      </c>
      <c r="Q67" s="51"/>
    </row>
    <row r="68" spans="1:19" ht="20.25" customHeight="1" x14ac:dyDescent="0.2">
      <c r="C68" s="55" t="s">
        <v>782</v>
      </c>
      <c r="D68" s="60">
        <f>SUMIFS(Discover!$F:$F,Discover!$K:$K,'PERSONAL BUDGET - WIP'!$C$61,Discover!$B:$B,'PERSONAL BUDGET - WIP'!D$3)</f>
        <v>98.85</v>
      </c>
      <c r="E68" s="56">
        <f>SUMIFS(Discover!$F:$F,Discover!$K:$K,'PERSONAL BUDGET - WIP'!$C$61,Discover!$B:$B,'PERSONAL BUDGET - WIP'!E$3)</f>
        <v>159.12000000000003</v>
      </c>
      <c r="F68" s="60">
        <f>SUMIFS(Discover!$F:$F,Discover!$K:$K,'PERSONAL BUDGET - WIP'!$C$61,Discover!$B:$B,'PERSONAL BUDGET - WIP'!F$3)</f>
        <v>393.09000000000003</v>
      </c>
      <c r="G68" s="56">
        <f>SUMIFS(Discover!$F:$F,Discover!$K:$K,'PERSONAL BUDGET - WIP'!$C$61,Discover!$B:$B,'PERSONAL BUDGET - WIP'!G$3)</f>
        <v>124.70999999999998</v>
      </c>
      <c r="H68" s="60">
        <f>SUMIFS(Discover!$F:$F,Discover!$K:$K,'PERSONAL BUDGET - WIP'!$C$61,Discover!$B:$B,'PERSONAL BUDGET - WIP'!H$3)</f>
        <v>405.62</v>
      </c>
      <c r="I68" s="56">
        <f>SUMIFS(Discover!$F:$F,Discover!$K:$K,'PERSONAL BUDGET - WIP'!$C$61,Discover!$B:$B,'PERSONAL BUDGET - WIP'!I$3)</f>
        <v>377.25</v>
      </c>
      <c r="J68" s="60">
        <f>SUMIFS(Discover!$F:$F,Discover!$K:$K,'PERSONAL BUDGET - WIP'!$C$61,Discover!$B:$B,'PERSONAL BUDGET - WIP'!J$3)</f>
        <v>218.92000000000002</v>
      </c>
      <c r="K68" s="56">
        <f>SUMIFS(Discover!$F:$F,Discover!$K:$K,'PERSONAL BUDGET - WIP'!$C$61,Discover!$B:$B,'PERSONAL BUDGET - WIP'!K$3)</f>
        <v>295.3</v>
      </c>
      <c r="L68" s="60">
        <f>SUMIFS(Discover!$F:$F,Discover!$K:$K,'PERSONAL BUDGET - WIP'!$C$61,Discover!$B:$B,'PERSONAL BUDGET - WIP'!L$3)</f>
        <v>57.850000000000009</v>
      </c>
      <c r="M68" s="56">
        <f>SUMIFS(Discover!$F:$F,Discover!$K:$K,'PERSONAL BUDGET - WIP'!$C$61,Discover!$B:$B,'PERSONAL BUDGET - WIP'!M$3)</f>
        <v>0</v>
      </c>
      <c r="N68" s="60">
        <f>SUMIFS(Discover!$F:$F,Discover!$K:$K,'PERSONAL BUDGET - WIP'!$C$61,Discover!$B:$B,'PERSONAL BUDGET - WIP'!N$3)</f>
        <v>0</v>
      </c>
      <c r="O68" s="56">
        <f>SUMIFS(Discover!$F:$F,Discover!$K:$K,'PERSONAL BUDGET - WIP'!$C$61,Discover!$B:$B,'PERSONAL BUDGET - WIP'!O$3)</f>
        <v>0</v>
      </c>
      <c r="P68" s="60">
        <f>SUM(DuesAndSubscription[[#This Row],[January]:[December]])</f>
        <v>2130.71</v>
      </c>
      <c r="Q68" s="56"/>
    </row>
    <row r="69" spans="1:19" s="52" customFormat="1" ht="31.5" customHeight="1" thickBot="1" x14ac:dyDescent="0.25">
      <c r="A69" s="28"/>
      <c r="B69" s="28"/>
      <c r="C69" s="98" t="s">
        <v>664</v>
      </c>
      <c r="D69" s="99">
        <f>SUBTOTAL(109,DuesAndSubscription[January])</f>
        <v>98.85</v>
      </c>
      <c r="E69" s="87">
        <f>SUBTOTAL(109,DuesAndSubscription[February])</f>
        <v>159.12000000000003</v>
      </c>
      <c r="F69" s="99">
        <f>SUBTOTAL(109,DuesAndSubscription[March])</f>
        <v>393.09000000000003</v>
      </c>
      <c r="G69" s="87">
        <f>SUBTOTAL(109,DuesAndSubscription[April])</f>
        <v>124.70999999999998</v>
      </c>
      <c r="H69" s="99">
        <f>SUBTOTAL(109,DuesAndSubscription[May])</f>
        <v>405.62</v>
      </c>
      <c r="I69" s="87">
        <f>SUBTOTAL(109,DuesAndSubscription[June])</f>
        <v>377.25</v>
      </c>
      <c r="J69" s="99">
        <f>SUBTOTAL(109,DuesAndSubscription[July])</f>
        <v>218.92000000000002</v>
      </c>
      <c r="K69" s="87">
        <f>SUBTOTAL(109,DuesAndSubscription[August])</f>
        <v>295.3</v>
      </c>
      <c r="L69" s="99">
        <f>SUBTOTAL(109,DuesAndSubscription[September])</f>
        <v>57.850000000000009</v>
      </c>
      <c r="M69" s="87">
        <f>SUBTOTAL(109,DuesAndSubscription[October])</f>
        <v>0</v>
      </c>
      <c r="N69" s="99">
        <f>SUBTOTAL(109,DuesAndSubscription[November])</f>
        <v>0</v>
      </c>
      <c r="O69" s="87">
        <f>SUBTOTAL(109,DuesAndSubscription[December])</f>
        <v>0</v>
      </c>
      <c r="P69" s="99">
        <f>SUBTOTAL(109,DuesAndSubscription[Year])</f>
        <v>2130.71</v>
      </c>
      <c r="Q69" s="88"/>
      <c r="S69" s="84">
        <f>P69/$P$6</f>
        <v>6.3578288774234132E-2</v>
      </c>
    </row>
    <row r="70" spans="1:19" ht="15.95" customHeight="1" thickTop="1" x14ac:dyDescent="0.2">
      <c r="B70" s="57"/>
      <c r="C70" s="52"/>
      <c r="D70" s="52"/>
      <c r="E70" s="52"/>
      <c r="F70" s="52"/>
      <c r="G70" s="52"/>
      <c r="H70" s="52"/>
      <c r="I70" s="52"/>
      <c r="J70" s="52"/>
      <c r="K70" s="52"/>
      <c r="L70" s="52"/>
      <c r="M70" s="52"/>
      <c r="N70" s="52"/>
      <c r="O70" s="52"/>
      <c r="P70" s="52"/>
      <c r="Q70" s="52"/>
    </row>
    <row r="71" spans="1:19" ht="15.95" customHeight="1" x14ac:dyDescent="0.2">
      <c r="B71" s="57"/>
      <c r="C71" s="67" t="s">
        <v>688</v>
      </c>
      <c r="D71" s="65" t="s">
        <v>652</v>
      </c>
      <c r="E71" s="66" t="s">
        <v>653</v>
      </c>
      <c r="F71" s="65" t="s">
        <v>654</v>
      </c>
      <c r="G71" s="66" t="s">
        <v>655</v>
      </c>
      <c r="H71" s="65" t="s">
        <v>516</v>
      </c>
      <c r="I71" s="66" t="s">
        <v>278</v>
      </c>
      <c r="J71" s="65" t="s">
        <v>656</v>
      </c>
      <c r="K71" s="66" t="s">
        <v>657</v>
      </c>
      <c r="L71" s="65" t="s">
        <v>658</v>
      </c>
      <c r="M71" s="66" t="s">
        <v>659</v>
      </c>
      <c r="N71" s="65" t="s">
        <v>660</v>
      </c>
      <c r="O71" s="66" t="s">
        <v>661</v>
      </c>
      <c r="P71" s="65" t="s">
        <v>13</v>
      </c>
      <c r="Q71" s="66" t="s">
        <v>662</v>
      </c>
    </row>
    <row r="72" spans="1:19" ht="15.95" customHeight="1" x14ac:dyDescent="0.2">
      <c r="B72" s="57"/>
      <c r="C72" s="55" t="s">
        <v>631</v>
      </c>
      <c r="D72" s="60"/>
      <c r="E72" s="56"/>
      <c r="F72" s="60"/>
      <c r="G72" s="56"/>
      <c r="H72" s="60"/>
      <c r="I72" s="56"/>
      <c r="J72" s="60"/>
      <c r="K72" s="56"/>
      <c r="L72" s="60"/>
      <c r="M72" s="56"/>
      <c r="N72" s="60"/>
      <c r="O72" s="56"/>
      <c r="P72" s="60">
        <f>SUM(Personal[[#This Row],[January]:[December]])</f>
        <v>0</v>
      </c>
      <c r="Q72" s="56"/>
    </row>
    <row r="73" spans="1:19" ht="15.95" customHeight="1" x14ac:dyDescent="0.2">
      <c r="B73" s="57"/>
      <c r="C73" s="55" t="s">
        <v>689</v>
      </c>
      <c r="D73" s="60"/>
      <c r="E73" s="56"/>
      <c r="F73" s="60"/>
      <c r="G73" s="56"/>
      <c r="H73" s="60"/>
      <c r="I73" s="56"/>
      <c r="J73" s="60"/>
      <c r="K73" s="56"/>
      <c r="L73" s="60"/>
      <c r="M73" s="56"/>
      <c r="N73" s="60"/>
      <c r="O73" s="56"/>
      <c r="P73" s="60">
        <f>SUM(Personal[[#This Row],[January]:[December]])</f>
        <v>0</v>
      </c>
      <c r="Q73" s="51"/>
    </row>
    <row r="74" spans="1:19" ht="15.95" customHeight="1" x14ac:dyDescent="0.2">
      <c r="B74" s="57"/>
      <c r="C74" s="55" t="s">
        <v>690</v>
      </c>
      <c r="D74" s="60"/>
      <c r="E74" s="56"/>
      <c r="F74" s="60"/>
      <c r="G74" s="56"/>
      <c r="H74" s="60"/>
      <c r="I74" s="56"/>
      <c r="J74" s="60"/>
      <c r="K74" s="56"/>
      <c r="L74" s="60"/>
      <c r="M74" s="56"/>
      <c r="N74" s="60"/>
      <c r="O74" s="56"/>
      <c r="P74" s="60">
        <f>SUM(Personal[[#This Row],[January]:[December]])</f>
        <v>0</v>
      </c>
      <c r="Q74" s="56"/>
    </row>
    <row r="75" spans="1:19" ht="21" customHeight="1" x14ac:dyDescent="0.2">
      <c r="B75" s="57"/>
      <c r="C75" s="55" t="s">
        <v>691</v>
      </c>
      <c r="D75" s="60"/>
      <c r="E75" s="56"/>
      <c r="F75" s="60"/>
      <c r="G75" s="56"/>
      <c r="H75" s="60"/>
      <c r="I75" s="56"/>
      <c r="J75" s="60"/>
      <c r="K75" s="56"/>
      <c r="L75" s="60"/>
      <c r="M75" s="56"/>
      <c r="N75" s="60"/>
      <c r="O75" s="56"/>
      <c r="P75" s="60">
        <f>SUM(Personal[[#This Row],[January]:[December]])</f>
        <v>0</v>
      </c>
      <c r="Q75" s="51"/>
    </row>
    <row r="76" spans="1:19" ht="20.25" customHeight="1" x14ac:dyDescent="0.2">
      <c r="C76" s="55" t="s">
        <v>782</v>
      </c>
      <c r="D76" s="60">
        <f>SUMIFS(Discover!$F:$F,Discover!$K:$K,'PERSONAL BUDGET - WIP'!$C$71,Discover!$B:$B,'PERSONAL BUDGET - WIP'!D$3)</f>
        <v>357.47</v>
      </c>
      <c r="E76" s="56">
        <f>SUMIFS(Discover!$F:$F,Discover!$K:$K,'PERSONAL BUDGET - WIP'!$C$71,Discover!$B:$B,'PERSONAL BUDGET - WIP'!E$3)</f>
        <v>430.62</v>
      </c>
      <c r="F76" s="60">
        <f>SUMIFS(Discover!$F:$F,Discover!$K:$K,'PERSONAL BUDGET - WIP'!$C$71,Discover!$B:$B,'PERSONAL BUDGET - WIP'!F$3)</f>
        <v>643.39</v>
      </c>
      <c r="G76" s="56">
        <f>SUMIFS(Discover!$F:$F,Discover!$K:$K,'PERSONAL BUDGET - WIP'!$C$71,Discover!$B:$B,'PERSONAL BUDGET - WIP'!G$3)</f>
        <v>439.91</v>
      </c>
      <c r="H76" s="60">
        <f>SUMIFS(Discover!$F:$F,Discover!$K:$K,'PERSONAL BUDGET - WIP'!$C$71,Discover!$B:$B,'PERSONAL BUDGET - WIP'!H$3)</f>
        <v>619.29999999999984</v>
      </c>
      <c r="I76" s="56">
        <f>SUMIFS(Discover!$F:$F,Discover!$K:$K,'PERSONAL BUDGET - WIP'!$C$71,Discover!$B:$B,'PERSONAL BUDGET - WIP'!I$3)</f>
        <v>1491.7799999999997</v>
      </c>
      <c r="J76" s="60">
        <f>SUMIFS(Discover!$F:$F,Discover!$K:$K,'PERSONAL BUDGET - WIP'!$C$71,Discover!$B:$B,'PERSONAL BUDGET - WIP'!J$3)</f>
        <v>969.89</v>
      </c>
      <c r="K76" s="56">
        <f>SUMIFS(Discover!$F:$F,Discover!$K:$K,'PERSONAL BUDGET - WIP'!$C$71,Discover!$B:$B,'PERSONAL BUDGET - WIP'!K$3)</f>
        <v>706.83999999999992</v>
      </c>
      <c r="L76" s="60">
        <f>SUMIFS(Discover!$F:$F,Discover!$K:$K,'PERSONAL BUDGET - WIP'!$C$71,Discover!$B:$B,'PERSONAL BUDGET - WIP'!L$3)</f>
        <v>1153.3899999999996</v>
      </c>
      <c r="M76" s="56">
        <f>SUMIFS(Discover!$F:$F,Discover!$K:$K,'PERSONAL BUDGET - WIP'!$C$71,Discover!$B:$B,'PERSONAL BUDGET - WIP'!M$3)</f>
        <v>0</v>
      </c>
      <c r="N76" s="60">
        <f>SUMIFS(Discover!$F:$F,Discover!$K:$K,'PERSONAL BUDGET - WIP'!$C$71,Discover!$B:$B,'PERSONAL BUDGET - WIP'!N$3)</f>
        <v>0</v>
      </c>
      <c r="O76" s="56">
        <f>SUMIFS(Discover!$F:$F,Discover!$K:$K,'PERSONAL BUDGET - WIP'!$C$71,Discover!$B:$B,'PERSONAL BUDGET - WIP'!O$3)</f>
        <v>0</v>
      </c>
      <c r="P76" s="60">
        <f>SUM(Personal[[#This Row],[January]:[December]])</f>
        <v>6812.5899999999992</v>
      </c>
      <c r="Q76" s="56"/>
    </row>
    <row r="77" spans="1:19" s="52" customFormat="1" ht="31.5" customHeight="1" thickBot="1" x14ac:dyDescent="0.25">
      <c r="A77" s="28"/>
      <c r="B77" s="28"/>
      <c r="C77" s="98" t="s">
        <v>664</v>
      </c>
      <c r="D77" s="99">
        <f>SUBTOTAL(109,Personal[January])</f>
        <v>357.47</v>
      </c>
      <c r="E77" s="87">
        <f>SUBTOTAL(109,Personal[February])</f>
        <v>430.62</v>
      </c>
      <c r="F77" s="99">
        <f>SUBTOTAL(109,Personal[March])</f>
        <v>643.39</v>
      </c>
      <c r="G77" s="87">
        <f>SUBTOTAL(109,Personal[April])</f>
        <v>439.91</v>
      </c>
      <c r="H77" s="99">
        <f>SUBTOTAL(109,Personal[May])</f>
        <v>619.29999999999984</v>
      </c>
      <c r="I77" s="87">
        <f>SUBTOTAL(109,Personal[June])</f>
        <v>1491.7799999999997</v>
      </c>
      <c r="J77" s="99">
        <f>SUBTOTAL(109,Personal[July])</f>
        <v>969.89</v>
      </c>
      <c r="K77" s="87">
        <f>SUBTOTAL(109,Personal[August])</f>
        <v>706.83999999999992</v>
      </c>
      <c r="L77" s="99">
        <f>SUBTOTAL(109,Personal[September])</f>
        <v>1153.3899999999996</v>
      </c>
      <c r="M77" s="87">
        <f>SUBTOTAL(109,Personal[October])</f>
        <v>0</v>
      </c>
      <c r="N77" s="99">
        <f>SUBTOTAL(109,Personal[November])</f>
        <v>0</v>
      </c>
      <c r="O77" s="87">
        <f>SUBTOTAL(109,Personal[December])</f>
        <v>0</v>
      </c>
      <c r="P77" s="99">
        <f>SUBTOTAL(109,Personal[Year])</f>
        <v>6812.5899999999992</v>
      </c>
      <c r="Q77" s="88"/>
      <c r="S77" s="84">
        <f>P77/$P$6</f>
        <v>0.20328097879132292</v>
      </c>
    </row>
    <row r="78" spans="1:19" ht="15.95" customHeight="1" thickTop="1" x14ac:dyDescent="0.2">
      <c r="B78" s="45"/>
      <c r="C78" s="52"/>
      <c r="D78" s="52"/>
      <c r="E78" s="52"/>
      <c r="F78" s="52"/>
      <c r="G78" s="52"/>
      <c r="H78" s="52"/>
      <c r="I78" s="52"/>
      <c r="J78" s="52"/>
      <c r="K78" s="52"/>
      <c r="L78" s="52"/>
      <c r="M78" s="52"/>
      <c r="N78" s="52"/>
      <c r="O78" s="52"/>
      <c r="P78" s="52"/>
      <c r="Q78" s="52"/>
    </row>
    <row r="79" spans="1:19" ht="15.95" customHeight="1" x14ac:dyDescent="0.2">
      <c r="B79" s="45"/>
      <c r="C79" s="64" t="s">
        <v>692</v>
      </c>
      <c r="D79" s="65" t="s">
        <v>652</v>
      </c>
      <c r="E79" s="66" t="s">
        <v>653</v>
      </c>
      <c r="F79" s="65" t="s">
        <v>654</v>
      </c>
      <c r="G79" s="66" t="s">
        <v>655</v>
      </c>
      <c r="H79" s="65" t="s">
        <v>516</v>
      </c>
      <c r="I79" s="66" t="s">
        <v>278</v>
      </c>
      <c r="J79" s="65" t="s">
        <v>656</v>
      </c>
      <c r="K79" s="66" t="s">
        <v>657</v>
      </c>
      <c r="L79" s="65" t="s">
        <v>658</v>
      </c>
      <c r="M79" s="66" t="s">
        <v>659</v>
      </c>
      <c r="N79" s="65" t="s">
        <v>660</v>
      </c>
      <c r="O79" s="66" t="s">
        <v>661</v>
      </c>
      <c r="P79" s="65" t="s">
        <v>13</v>
      </c>
      <c r="Q79" s="66" t="s">
        <v>662</v>
      </c>
    </row>
    <row r="80" spans="1:19" ht="15.95" customHeight="1" x14ac:dyDescent="0.2">
      <c r="B80" s="45"/>
      <c r="C80" s="55" t="s">
        <v>693</v>
      </c>
      <c r="D80" s="49"/>
      <c r="E80" s="56"/>
      <c r="F80" s="49"/>
      <c r="G80" s="56"/>
      <c r="H80" s="49"/>
      <c r="I80" s="56"/>
      <c r="J80" s="49"/>
      <c r="K80" s="56"/>
      <c r="L80" s="49"/>
      <c r="M80" s="56"/>
      <c r="N80" s="49"/>
      <c r="O80" s="56"/>
      <c r="P80" s="49">
        <f>SUM(Financial[[#This Row],[January]:[December]])</f>
        <v>0</v>
      </c>
      <c r="Q80" s="56"/>
    </row>
    <row r="81" spans="1:19" ht="15.95" customHeight="1" x14ac:dyDescent="0.2">
      <c r="B81" s="45"/>
      <c r="C81" s="55" t="s">
        <v>694</v>
      </c>
      <c r="D81" s="49"/>
      <c r="E81" s="56"/>
      <c r="F81" s="49"/>
      <c r="G81" s="56"/>
      <c r="H81" s="49"/>
      <c r="I81" s="56"/>
      <c r="J81" s="49"/>
      <c r="K81" s="56"/>
      <c r="L81" s="49"/>
      <c r="M81" s="56"/>
      <c r="N81" s="49"/>
      <c r="O81" s="56"/>
      <c r="P81" s="49">
        <f>SUM(Financial[[#This Row],[January]:[December]])</f>
        <v>0</v>
      </c>
      <c r="Q81" s="51"/>
    </row>
    <row r="82" spans="1:19" ht="15.95" customHeight="1" x14ac:dyDescent="0.2">
      <c r="B82" s="45"/>
      <c r="C82" s="55" t="s">
        <v>695</v>
      </c>
      <c r="D82" s="49"/>
      <c r="E82" s="56"/>
      <c r="F82" s="49"/>
      <c r="G82" s="56"/>
      <c r="H82" s="49"/>
      <c r="I82" s="56"/>
      <c r="J82" s="49"/>
      <c r="K82" s="56"/>
      <c r="L82" s="49"/>
      <c r="M82" s="56"/>
      <c r="N82" s="49"/>
      <c r="O82" s="56"/>
      <c r="P82" s="49">
        <f>SUM(Financial[[#This Row],[January]:[December]])</f>
        <v>0</v>
      </c>
      <c r="Q82" s="56"/>
    </row>
    <row r="83" spans="1:19" ht="21" customHeight="1" x14ac:dyDescent="0.2">
      <c r="B83" s="45"/>
      <c r="C83" s="55" t="s">
        <v>696</v>
      </c>
      <c r="D83" s="49"/>
      <c r="E83" s="56"/>
      <c r="F83" s="49"/>
      <c r="G83" s="56"/>
      <c r="H83" s="49"/>
      <c r="I83" s="56"/>
      <c r="J83" s="49"/>
      <c r="K83" s="56"/>
      <c r="L83" s="49"/>
      <c r="M83" s="56"/>
      <c r="N83" s="49"/>
      <c r="O83" s="56"/>
      <c r="P83" s="49">
        <f>SUM(Financial[[#This Row],[January]:[December]])</f>
        <v>0</v>
      </c>
      <c r="Q83" s="51"/>
    </row>
    <row r="84" spans="1:19" ht="20.25" customHeight="1" x14ac:dyDescent="0.2">
      <c r="C84" s="55" t="s">
        <v>782</v>
      </c>
      <c r="D84" s="49">
        <f>SUMIFS(Discover!$F:$F,Discover!$K:$K,'PERSONAL BUDGET - WIP'!$C$79,Discover!$B:$B,'PERSONAL BUDGET - WIP'!D$3)</f>
        <v>0</v>
      </c>
      <c r="E84" s="56">
        <f>SUMIFS(Discover!$F:$F,Discover!$K:$K,'PERSONAL BUDGET - WIP'!$C$79,Discover!$B:$B,'PERSONAL BUDGET - WIP'!E$3)</f>
        <v>40.15</v>
      </c>
      <c r="F84" s="49">
        <f>SUMIFS(Discover!$F:$F,Discover!$K:$K,'PERSONAL BUDGET - WIP'!$C$79,Discover!$B:$B,'PERSONAL BUDGET - WIP'!F$3)</f>
        <v>0</v>
      </c>
      <c r="G84" s="56">
        <f>SUMIFS(Discover!$F:$F,Discover!$K:$K,'PERSONAL BUDGET - WIP'!$C$79,Discover!$B:$B,'PERSONAL BUDGET - WIP'!G$3)</f>
        <v>0</v>
      </c>
      <c r="H84" s="49">
        <f>SUMIFS(Discover!$F:$F,Discover!$K:$K,'PERSONAL BUDGET - WIP'!$C$79,Discover!$B:$B,'PERSONAL BUDGET - WIP'!H$3)</f>
        <v>26.35</v>
      </c>
      <c r="I84" s="56">
        <f>SUMIFS(Discover!$F:$F,Discover!$K:$K,'PERSONAL BUDGET - WIP'!$C$79,Discover!$B:$B,'PERSONAL BUDGET - WIP'!I$3)</f>
        <v>194</v>
      </c>
      <c r="J84" s="49">
        <f>SUMIFS(Discover!$F:$F,Discover!$K:$K,'PERSONAL BUDGET - WIP'!$C$79,Discover!$B:$B,'PERSONAL BUDGET - WIP'!J$3)</f>
        <v>0</v>
      </c>
      <c r="K84" s="56">
        <f>SUMIFS(Discover!$F:$F,Discover!$K:$K,'PERSONAL BUDGET - WIP'!$C$79,Discover!$B:$B,'PERSONAL BUDGET - WIP'!K$3)</f>
        <v>-47</v>
      </c>
      <c r="L84" s="49">
        <f>SUMIFS(Discover!$F:$F,Discover!$K:$K,'PERSONAL BUDGET - WIP'!$C$79,Discover!$B:$B,'PERSONAL BUDGET - WIP'!L$3)</f>
        <v>0</v>
      </c>
      <c r="M84" s="56">
        <f>SUMIFS(Discover!$F:$F,Discover!$K:$K,'PERSONAL BUDGET - WIP'!$C$79,Discover!$B:$B,'PERSONAL BUDGET - WIP'!M$3)</f>
        <v>0</v>
      </c>
      <c r="N84" s="49">
        <f>SUMIFS(Discover!$F:$F,Discover!$K:$K,'PERSONAL BUDGET - WIP'!$C$79,Discover!$B:$B,'PERSONAL BUDGET - WIP'!N$3)</f>
        <v>0</v>
      </c>
      <c r="O84" s="56">
        <f>SUMIFS(Discover!$F:$F,Discover!$K:$K,'PERSONAL BUDGET - WIP'!$C$79,Discover!$B:$B,'PERSONAL BUDGET - WIP'!O$3)</f>
        <v>0</v>
      </c>
      <c r="P84" s="49">
        <f>SUM(Financial[[#This Row],[January]:[December]])</f>
        <v>213.5</v>
      </c>
      <c r="Q84" s="56"/>
    </row>
    <row r="85" spans="1:19" s="52" customFormat="1" ht="31.5" customHeight="1" thickBot="1" x14ac:dyDescent="0.25">
      <c r="A85" s="28"/>
      <c r="B85" s="28"/>
      <c r="C85" s="85" t="s">
        <v>664</v>
      </c>
      <c r="D85" s="86">
        <f>SUBTOTAL(109,Financial[January])</f>
        <v>0</v>
      </c>
      <c r="E85" s="87">
        <f>SUBTOTAL(109,Financial[February])</f>
        <v>40.15</v>
      </c>
      <c r="F85" s="86">
        <f>SUBTOTAL(109,Financial[March])</f>
        <v>0</v>
      </c>
      <c r="G85" s="87">
        <f>SUBTOTAL(109,Financial[April])</f>
        <v>0</v>
      </c>
      <c r="H85" s="86">
        <f>SUBTOTAL(109,Financial[May])</f>
        <v>26.35</v>
      </c>
      <c r="I85" s="87">
        <f>SUBTOTAL(109,Financial[June])</f>
        <v>194</v>
      </c>
      <c r="J85" s="86">
        <f>SUBTOTAL(109,Financial[July])</f>
        <v>0</v>
      </c>
      <c r="K85" s="87">
        <f>SUBTOTAL(109,Financial[August])</f>
        <v>-47</v>
      </c>
      <c r="L85" s="86">
        <f>SUBTOTAL(109,Financial[September])</f>
        <v>0</v>
      </c>
      <c r="M85" s="87">
        <f>SUBTOTAL(109,Financial[October])</f>
        <v>0</v>
      </c>
      <c r="N85" s="86">
        <f>SUBTOTAL(109,Financial[November])</f>
        <v>0</v>
      </c>
      <c r="O85" s="87">
        <f>SUBTOTAL(109,Financial[December])</f>
        <v>0</v>
      </c>
      <c r="P85" s="86">
        <f>SUBTOTAL(109,Financial[Year])</f>
        <v>213.5</v>
      </c>
      <c r="Q85" s="88"/>
      <c r="S85" s="84">
        <f>P85/$P$6</f>
        <v>6.370629815084637E-3</v>
      </c>
    </row>
    <row r="86" spans="1:19" ht="15.95" customHeight="1" thickTop="1" x14ac:dyDescent="0.2">
      <c r="B86" s="45"/>
      <c r="C86" s="52"/>
      <c r="D86" s="52"/>
      <c r="E86" s="52"/>
      <c r="F86" s="52"/>
      <c r="G86" s="52"/>
      <c r="H86" s="52"/>
      <c r="I86" s="52"/>
      <c r="J86" s="52"/>
      <c r="K86" s="52"/>
      <c r="L86" s="52"/>
      <c r="M86" s="52"/>
      <c r="N86" s="52"/>
      <c r="O86" s="52"/>
      <c r="P86" s="52"/>
      <c r="Q86" s="52"/>
    </row>
    <row r="87" spans="1:19" ht="15.95" customHeight="1" x14ac:dyDescent="0.2">
      <c r="B87" s="45"/>
      <c r="C87" s="64" t="s">
        <v>697</v>
      </c>
      <c r="D87" s="65" t="s">
        <v>652</v>
      </c>
      <c r="E87" s="37" t="s">
        <v>653</v>
      </c>
      <c r="F87" s="65" t="s">
        <v>654</v>
      </c>
      <c r="G87" s="37" t="s">
        <v>655</v>
      </c>
      <c r="H87" s="65" t="s">
        <v>516</v>
      </c>
      <c r="I87" s="66" t="s">
        <v>278</v>
      </c>
      <c r="J87" s="65" t="s">
        <v>656</v>
      </c>
      <c r="K87" s="66" t="s">
        <v>657</v>
      </c>
      <c r="L87" s="65" t="s">
        <v>658</v>
      </c>
      <c r="M87" s="66" t="s">
        <v>659</v>
      </c>
      <c r="N87" s="65" t="s">
        <v>660</v>
      </c>
      <c r="O87" s="66" t="s">
        <v>661</v>
      </c>
      <c r="P87" s="65" t="s">
        <v>13</v>
      </c>
      <c r="Q87" s="66" t="s">
        <v>662</v>
      </c>
    </row>
    <row r="88" spans="1:19" ht="15.95" customHeight="1" x14ac:dyDescent="0.2">
      <c r="B88" s="45"/>
      <c r="C88" s="69" t="s">
        <v>698</v>
      </c>
      <c r="D88" s="49"/>
      <c r="E88" s="56"/>
      <c r="F88" s="49"/>
      <c r="G88" s="56"/>
      <c r="H88" s="49"/>
      <c r="I88" s="56"/>
      <c r="J88" s="49"/>
      <c r="K88" s="56"/>
      <c r="L88" s="49"/>
      <c r="M88" s="56"/>
      <c r="N88" s="49"/>
      <c r="O88" s="56"/>
      <c r="P88" s="49">
        <f>SUM(Misc[[#This Row],[January]:[December]])</f>
        <v>0</v>
      </c>
      <c r="Q88" s="56"/>
    </row>
    <row r="89" spans="1:19" ht="15.95" customHeight="1" x14ac:dyDescent="0.2">
      <c r="B89" s="45"/>
      <c r="C89" s="69" t="s">
        <v>698</v>
      </c>
      <c r="D89" s="49"/>
      <c r="E89" s="56"/>
      <c r="F89" s="49"/>
      <c r="G89" s="56"/>
      <c r="H89" s="49"/>
      <c r="I89" s="56"/>
      <c r="J89" s="49"/>
      <c r="K89" s="56"/>
      <c r="L89" s="49"/>
      <c r="M89" s="56"/>
      <c r="N89" s="49"/>
      <c r="O89" s="56"/>
      <c r="P89" s="49">
        <f>SUM(Misc[[#This Row],[January]:[December]])</f>
        <v>0</v>
      </c>
      <c r="Q89" s="51"/>
    </row>
    <row r="90" spans="1:19" ht="15.95" customHeight="1" x14ac:dyDescent="0.2">
      <c r="B90" s="45"/>
      <c r="C90" s="69" t="s">
        <v>698</v>
      </c>
      <c r="D90" s="49"/>
      <c r="E90" s="56"/>
      <c r="F90" s="49"/>
      <c r="G90" s="56"/>
      <c r="H90" s="49"/>
      <c r="I90" s="56"/>
      <c r="J90" s="49"/>
      <c r="K90" s="56"/>
      <c r="L90" s="49"/>
      <c r="M90" s="56"/>
      <c r="N90" s="49"/>
      <c r="O90" s="56"/>
      <c r="P90" s="49">
        <f>SUM(Misc[[#This Row],[January]:[December]])</f>
        <v>0</v>
      </c>
      <c r="Q90" s="56"/>
    </row>
    <row r="91" spans="1:19" ht="20.25" customHeight="1" x14ac:dyDescent="0.2">
      <c r="C91" s="55" t="s">
        <v>782</v>
      </c>
      <c r="D91" s="49">
        <f>SUMIFS(Discover!$F:$F,Discover!$K:$K,'PERSONAL BUDGET - WIP'!$C$87,Discover!$B:$B,'PERSONAL BUDGET - WIP'!D$3)</f>
        <v>212.53000000000003</v>
      </c>
      <c r="E91" s="56">
        <f>SUMIFS(Discover!$F:$F,Discover!$K:$K,'PERSONAL BUDGET - WIP'!$C$87,Discover!$B:$B,'PERSONAL BUDGET - WIP'!E$3)</f>
        <v>90.68</v>
      </c>
      <c r="F91" s="49">
        <f>SUMIFS(Discover!$F:$F,Discover!$K:$K,'PERSONAL BUDGET - WIP'!$C$87,Discover!$B:$B,'PERSONAL BUDGET - WIP'!F$3)</f>
        <v>84.95</v>
      </c>
      <c r="G91" s="56">
        <f>SUMIFS(Discover!$F:$F,Discover!$K:$K,'PERSONAL BUDGET - WIP'!$C$87,Discover!$B:$B,'PERSONAL BUDGET - WIP'!G$3)</f>
        <v>61.86</v>
      </c>
      <c r="H91" s="49">
        <f>SUMIFS(Discover!$F:$F,Discover!$K:$K,'PERSONAL BUDGET - WIP'!$C$87,Discover!$B:$B,'PERSONAL BUDGET - WIP'!H$3)</f>
        <v>363.17999999999995</v>
      </c>
      <c r="I91" s="56">
        <f>SUMIFS(Discover!$F:$F,Discover!$K:$K,'PERSONAL BUDGET - WIP'!$C$87,Discover!$B:$B,'PERSONAL BUDGET - WIP'!I$3)</f>
        <v>0</v>
      </c>
      <c r="J91" s="49">
        <f>SUMIFS(Discover!$F:$F,Discover!$K:$K,'PERSONAL BUDGET - WIP'!$C$87,Discover!$B:$B,'PERSONAL BUDGET - WIP'!J$3)</f>
        <v>0</v>
      </c>
      <c r="K91" s="56">
        <f>SUMIFS(Discover!$F:$F,Discover!$K:$K,'PERSONAL BUDGET - WIP'!$C$87,Discover!$B:$B,'PERSONAL BUDGET - WIP'!K$3)</f>
        <v>65.77</v>
      </c>
      <c r="L91" s="49">
        <f>SUMIFS(Discover!$F:$F,Discover!$K:$K,'PERSONAL BUDGET - WIP'!$C$87,Discover!$B:$B,'PERSONAL BUDGET - WIP'!L$3)</f>
        <v>0</v>
      </c>
      <c r="M91" s="56">
        <f>SUMIFS(Discover!$F:$F,Discover!$K:$K,'PERSONAL BUDGET - WIP'!$C$87,Discover!$B:$B,'PERSONAL BUDGET - WIP'!M$3)</f>
        <v>0</v>
      </c>
      <c r="N91" s="49">
        <f>SUMIFS(Discover!$F:$F,Discover!$K:$K,'PERSONAL BUDGET - WIP'!$C$87,Discover!$B:$B,'PERSONAL BUDGET - WIP'!N$3)</f>
        <v>0</v>
      </c>
      <c r="O91" s="56">
        <f>SUMIFS(Discover!$F:$F,Discover!$K:$K,'PERSONAL BUDGET - WIP'!$C$87,Discover!$B:$B,'PERSONAL BUDGET - WIP'!O$3)</f>
        <v>0</v>
      </c>
      <c r="P91" s="49">
        <f>SUM(Misc[[#This Row],[January]:[December]])</f>
        <v>878.97</v>
      </c>
      <c r="Q91" s="51"/>
    </row>
    <row r="92" spans="1:19" ht="21" customHeight="1" thickBot="1" x14ac:dyDescent="0.25">
      <c r="A92" s="28" t="s">
        <v>699</v>
      </c>
      <c r="C92" s="85" t="s">
        <v>664</v>
      </c>
      <c r="D92" s="86">
        <f>SUBTOTAL(109,Misc[January])</f>
        <v>212.53000000000003</v>
      </c>
      <c r="E92" s="87">
        <f>SUBTOTAL(109,Misc[February])</f>
        <v>90.68</v>
      </c>
      <c r="F92" s="86">
        <f>SUBTOTAL(109,Misc[March])</f>
        <v>84.95</v>
      </c>
      <c r="G92" s="87">
        <f>SUBTOTAL(109,Misc[April])</f>
        <v>61.86</v>
      </c>
      <c r="H92" s="86">
        <f>SUBTOTAL(109,Misc[May])</f>
        <v>363.17999999999995</v>
      </c>
      <c r="I92" s="87">
        <f>SUBTOTAL(109,Misc[June])</f>
        <v>0</v>
      </c>
      <c r="J92" s="86">
        <f>SUBTOTAL(109,Misc[July])</f>
        <v>0</v>
      </c>
      <c r="K92" s="87">
        <f>SUBTOTAL(109,Misc[August])</f>
        <v>65.77</v>
      </c>
      <c r="L92" s="86">
        <f>SUBTOTAL(109,Misc[September])</f>
        <v>0</v>
      </c>
      <c r="M92" s="87">
        <f>SUBTOTAL(109,Misc[October])</f>
        <v>0</v>
      </c>
      <c r="N92" s="86">
        <f>SUBTOTAL(109,Misc[November])</f>
        <v>0</v>
      </c>
      <c r="O92" s="87">
        <f>SUBTOTAL(109,Misc[December])</f>
        <v>0</v>
      </c>
      <c r="P92" s="86">
        <f>SUBTOTAL(109,Misc[Year])</f>
        <v>878.97</v>
      </c>
      <c r="Q92" s="88"/>
      <c r="S92" s="84">
        <f>P92/$P$6</f>
        <v>2.6227599478055943E-2</v>
      </c>
    </row>
    <row r="93" spans="1:19" ht="15.95" customHeight="1" thickTop="1" x14ac:dyDescent="0.2">
      <c r="B93" s="33"/>
      <c r="C93" s="261"/>
      <c r="D93" s="261"/>
      <c r="E93" s="261"/>
      <c r="F93" s="261"/>
      <c r="G93" s="261"/>
      <c r="H93" s="261"/>
      <c r="I93" s="261"/>
      <c r="J93" s="261"/>
      <c r="K93" s="261"/>
      <c r="L93" s="261"/>
      <c r="M93" s="261"/>
      <c r="N93" s="261"/>
      <c r="O93" s="261"/>
      <c r="P93" s="261"/>
      <c r="Q93" s="261"/>
    </row>
    <row r="94" spans="1:19" ht="15.95" customHeight="1" x14ac:dyDescent="0.2">
      <c r="B94" s="33"/>
      <c r="C94" s="70" t="s">
        <v>700</v>
      </c>
      <c r="D94" s="71" t="s">
        <v>637</v>
      </c>
      <c r="E94" s="72" t="s">
        <v>638</v>
      </c>
      <c r="F94" s="71" t="s">
        <v>639</v>
      </c>
      <c r="G94" s="72" t="s">
        <v>640</v>
      </c>
      <c r="H94" s="71" t="s">
        <v>641</v>
      </c>
      <c r="I94" s="72" t="s">
        <v>642</v>
      </c>
      <c r="J94" s="71" t="s">
        <v>643</v>
      </c>
      <c r="K94" s="72" t="s">
        <v>644</v>
      </c>
      <c r="L94" s="71" t="s">
        <v>645</v>
      </c>
      <c r="M94" s="72" t="s">
        <v>646</v>
      </c>
      <c r="N94" s="71" t="s">
        <v>647</v>
      </c>
      <c r="O94" s="72" t="s">
        <v>648</v>
      </c>
      <c r="P94" s="71" t="s">
        <v>649</v>
      </c>
      <c r="Q94" s="73" t="s">
        <v>701</v>
      </c>
    </row>
    <row r="95" spans="1:19" ht="12.75" x14ac:dyDescent="0.2">
      <c r="B95" s="33"/>
      <c r="C95" s="74" t="s">
        <v>702</v>
      </c>
      <c r="D95" s="75">
        <f>SUM(Misc[[#Totals],[January]],Financial[[#Totals],[January]],Personal[[#Totals],[January]],DuesAndSubscription[[#Totals],[January]],Recreation[[#Totals],[January]],Vacations[[#Totals],[January]],Health[[#Totals],[January]],Entertainment[[#Totals],[January]],Transportation[[#Totals],[January]],Daily[[#Totals],[January]],Home[[#Totals],[January]])</f>
        <v>1885.1399999999999</v>
      </c>
      <c r="E95" s="76">
        <f>SUM(Misc[[#Totals],[February]],Financial[[#Totals],[February]],Personal[[#Totals],[February]],DuesAndSubscription[[#Totals],[February]],Recreation[[#Totals],[February]],Vacations[[#Totals],[February]],Health[[#Totals],[February]],Entertainment[[#Totals],[February]],Transportation[[#Totals],[February]],Daily[[#Totals],[February]],Home[[#Totals],[February]])</f>
        <v>1907.02</v>
      </c>
      <c r="F95" s="75">
        <f>SUM(Misc[[#Totals],[March]],Financial[[#Totals],[March]],Personal[[#Totals],[March]],DuesAndSubscription[[#Totals],[March]],Recreation[[#Totals],[March]],Vacations[[#Totals],[March]],Health[[#Totals],[March]],Entertainment[[#Totals],[March]],Transportation[[#Totals],[March]],Daily[[#Totals],[March]],Home[[#Totals],[March]])</f>
        <v>3039.6400000000003</v>
      </c>
      <c r="G95" s="76">
        <f>SUM(Misc[[#Totals],[April]],Financial[[#Totals],[April]],Personal[[#Totals],[April]],DuesAndSubscription[[#Totals],[April]],Recreation[[#Totals],[April]],Vacations[[#Totals],[April]],Health[[#Totals],[April]],Entertainment[[#Totals],[April]],Transportation[[#Totals],[April]],Daily[[#Totals],[April]],Home[[#Totals],[April]])</f>
        <v>2218.0100000000002</v>
      </c>
      <c r="H95" s="75">
        <f>SUM(Misc[[#Totals],[May]],Financial[[#Totals],[May]],Personal[[#Totals],[May]],DuesAndSubscription[[#Totals],[May]],Recreation[[#Totals],[May]],Vacations[[#Totals],[May]],Health[[#Totals],[May]],Entertainment[[#Totals],[May]],Transportation[[#Totals],[May]],Daily[[#Totals],[May]],Home[[#Totals],[May]])</f>
        <v>2818.6000000000004</v>
      </c>
      <c r="I95" s="76">
        <f>SUM(Misc[[#Totals],[June]],Financial[[#Totals],[June]],Personal[[#Totals],[June]],DuesAndSubscription[[#Totals],[June]],Recreation[[#Totals],[June]],Vacations[[#Totals],[June]],Health[[#Totals],[June]],Entertainment[[#Totals],[June]],Transportation[[#Totals],[June]],Daily[[#Totals],[June]],Home[[#Totals],[June]])</f>
        <v>5413.15</v>
      </c>
      <c r="J95" s="75">
        <f>SUM(Misc[[#Totals],[July]],Financial[[#Totals],[July]],Personal[[#Totals],[July]],DuesAndSubscription[[#Totals],[July]],Recreation[[#Totals],[July]],Vacations[[#Totals],[July]],Health[[#Totals],[July]],Entertainment[[#Totals],[July]],Transportation[[#Totals],[July]],Daily[[#Totals],[July]],Home[[#Totals],[July]])</f>
        <v>6324.3399999999992</v>
      </c>
      <c r="K95" s="76">
        <f>SUM(Misc[[#Totals],[August]],Financial[[#Totals],[August]],Personal[[#Totals],[August]],DuesAndSubscription[[#Totals],[August]],Recreation[[#Totals],[August]],Vacations[[#Totals],[August]],Health[[#Totals],[August]],Entertainment[[#Totals],[August]],Transportation[[#Totals],[August]],Daily[[#Totals],[August]],Home[[#Totals],[August]])</f>
        <v>4353.03</v>
      </c>
      <c r="L95" s="75">
        <f>SUM(Misc[[#Totals],[September]],Financial[[#Totals],[September]],Personal[[#Totals],[September]],DuesAndSubscription[[#Totals],[September]],Recreation[[#Totals],[September]],Vacations[[#Totals],[September]],Health[[#Totals],[September]],Entertainment[[#Totals],[September]],Transportation[[#Totals],[September]],Daily[[#Totals],[September]],Home[[#Totals],[September]])</f>
        <v>2166.4899999999998</v>
      </c>
      <c r="M95" s="76">
        <f>SUM(Misc[[#Totals],[October]],Financial[[#Totals],[October]],Personal[[#Totals],[October]],DuesAndSubscription[[#Totals],[October]],Recreation[[#Totals],[October]],Vacations[[#Totals],[October]],Health[[#Totals],[October]],Entertainment[[#Totals],[October]],Transportation[[#Totals],[October]],Daily[[#Totals],[October]],Home[[#Totals],[October]])</f>
        <v>0</v>
      </c>
      <c r="N95" s="75">
        <f>SUM(Misc[[#Totals],[November]],Financial[[#Totals],[November]],Personal[[#Totals],[November]],DuesAndSubscription[[#Totals],[November]],Recreation[[#Totals],[November]],Vacations[[#Totals],[November]],Health[[#Totals],[November]],Entertainment[[#Totals],[November]],Transportation[[#Totals],[November]],Daily[[#Totals],[November]],Home[[#Totals],[November]])</f>
        <v>0</v>
      </c>
      <c r="O95" s="76">
        <f>SUM(Misc[[#Totals],[December]],Financial[[#Totals],[December]],Personal[[#Totals],[December]],DuesAndSubscription[[#Totals],[December]],Recreation[[#Totals],[December]],Vacations[[#Totals],[December]],Health[[#Totals],[December]],Entertainment[[#Totals],[December]],Transportation[[#Totals],[December]],Daily[[#Totals],[December]],Home[[#Totals],[December]])</f>
        <v>0</v>
      </c>
      <c r="P95" s="75">
        <f>SUM(Misc[[#Totals],[Year]],Financial[[#Totals],[Year]],Personal[[#Totals],[Year]],DuesAndSubscription[[#Totals],[Year]],Recreation[[#Totals],[Year]],Vacations[[#Totals],[Year]],Health[[#Totals],[Year]],Entertainment[[#Totals],[Year]],Transportation[[#Totals],[Year]],Daily[[#Totals],[Year]],Home[[#Totals],[Year]])</f>
        <v>30125.42</v>
      </c>
      <c r="Q95" s="76"/>
    </row>
    <row r="96" spans="1:19" ht="12.75" x14ac:dyDescent="0.2">
      <c r="B96" s="33"/>
      <c r="C96" s="74" t="s">
        <v>703</v>
      </c>
      <c r="D96" s="75">
        <f>Income14[[#Totals],[January]]-D95</f>
        <v>2022.6200000000003</v>
      </c>
      <c r="E96" s="76">
        <f>Income14[[#Totals],[February]]-E95</f>
        <v>4059.23</v>
      </c>
      <c r="F96" s="75">
        <f>Income14[[#Totals],[March]]-F95</f>
        <v>2871.29</v>
      </c>
      <c r="G96" s="76">
        <f>Income14[[#Totals],[April]]-G95</f>
        <v>199.31999999999971</v>
      </c>
      <c r="H96" s="75">
        <f>Income14[[#Totals],[May]]-H95</f>
        <v>502.80999999999949</v>
      </c>
      <c r="I96" s="76">
        <f>Income14[[#Totals],[June]]-I95</f>
        <v>5458.9299999999985</v>
      </c>
      <c r="J96" s="75">
        <f>Income14[[#Totals],[July]]-J95</f>
        <v>-1223.4499999999998</v>
      </c>
      <c r="K96" s="76">
        <f>Income14[[#Totals],[August]]-K95</f>
        <v>-285.72999999999956</v>
      </c>
      <c r="L96" s="75">
        <f>Income14[[#Totals],[September]]-L95</f>
        <v>2466.4400000000005</v>
      </c>
      <c r="M96" s="76">
        <f>Income14[[#Totals],[October]]-M95</f>
        <v>0</v>
      </c>
      <c r="N96" s="75">
        <f>Income14[[#Totals],[November]]-N95</f>
        <v>0</v>
      </c>
      <c r="O96" s="76">
        <f>Income14[[#Totals],[December]]-O95</f>
        <v>0</v>
      </c>
      <c r="P96" s="75">
        <f>Income14[[#Totals],[Year]]-P95</f>
        <v>16071.46</v>
      </c>
      <c r="Q96" s="76"/>
    </row>
    <row r="97" spans="3:17" ht="30" customHeight="1" x14ac:dyDescent="0.2">
      <c r="C97" s="77"/>
      <c r="D97" s="78"/>
      <c r="E97" s="77"/>
      <c r="F97" s="78"/>
      <c r="G97" s="77"/>
      <c r="H97" s="78"/>
      <c r="I97" s="77"/>
      <c r="J97" s="78"/>
      <c r="K97" s="77"/>
      <c r="L97" s="78"/>
      <c r="M97" s="77"/>
      <c r="N97" s="78"/>
      <c r="O97" s="77"/>
      <c r="P97" s="78"/>
      <c r="Q97" s="77"/>
    </row>
    <row r="98" spans="3:17" ht="30" customHeight="1" x14ac:dyDescent="0.2"/>
    <row r="99" spans="3:17" ht="30" customHeight="1" x14ac:dyDescent="0.2"/>
    <row r="100" spans="3:17" ht="30" customHeight="1" x14ac:dyDescent="0.2"/>
    <row r="101" spans="3:17" ht="30" customHeight="1" x14ac:dyDescent="0.2"/>
    <row r="102" spans="3:17" ht="30" customHeight="1" x14ac:dyDescent="0.2"/>
    <row r="103" spans="3:17" ht="30" customHeight="1" x14ac:dyDescent="0.2"/>
    <row r="104" spans="3:17" ht="30" customHeight="1" x14ac:dyDescent="0.2"/>
    <row r="105" spans="3:17" ht="30" customHeight="1" x14ac:dyDescent="0.2"/>
    <row r="106" spans="3:17" ht="30" customHeight="1" x14ac:dyDescent="0.2"/>
    <row r="107" spans="3:17" ht="30" customHeight="1" x14ac:dyDescent="0.2"/>
    <row r="108" spans="3:17" ht="30" customHeight="1" x14ac:dyDescent="0.2"/>
    <row r="109" spans="3:17" ht="30" hidden="1" customHeight="1" x14ac:dyDescent="0.2"/>
  </sheetData>
  <mergeCells count="3">
    <mergeCell ref="C93:Q93"/>
    <mergeCell ref="B2:D2"/>
    <mergeCell ref="E2:P2"/>
  </mergeCells>
  <conditionalFormatting sqref="D96:P96">
    <cfRule type="cellIs" dxfId="311" priority="1" operator="lessThan">
      <formula>0</formula>
    </cfRule>
  </conditionalFormatting>
  <printOptions horizontalCentered="1"/>
  <pageMargins left="0.4" right="0.4" top="0.4" bottom="0.4" header="0.3" footer="0.3"/>
  <pageSetup scale="72" fitToHeight="0" orientation="landscape" r:id="rId1"/>
  <headerFooter differentFirst="1">
    <oddFooter>Page &amp;P of &amp;N</oddFooter>
  </headerFooter>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05C60535-1F16-4fd2-B633-F4F36F0B64E0}">
      <x14:sparklineGroups xmlns:xm="http://schemas.microsoft.com/office/excel/2006/main">
        <x14:sparklineGroup manualMax="0" manualMin="0" displayEmptyCellsAs="gap" high="1" low="1" xr2:uid="{859FD40D-AF8C-4C29-8E5E-1EDEA2AA839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WIP'!D15:O15</xm:f>
              <xm:sqref>Q15</xm:sqref>
            </x14:sparkline>
          </x14:sparklines>
        </x14:sparklineGroup>
        <x14:sparklineGroup manualMax="0" manualMin="0" displayEmptyCellsAs="gap" high="1" low="1" xr2:uid="{27B95DAC-6B55-4688-A29A-D5B5A9927A49}">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WIP'!D18:O18</xm:f>
              <xm:sqref>Q18</xm:sqref>
            </x14:sparkline>
            <x14:sparkline>
              <xm:f>'PERSONAL BUDGET - WIP'!D19:O19</xm:f>
              <xm:sqref>Q19</xm:sqref>
            </x14:sparkline>
            <x14:sparkline>
              <xm:f>'PERSONAL BUDGET - WIP'!D20:O20</xm:f>
              <xm:sqref>Q20</xm:sqref>
            </x14:sparkline>
            <x14:sparkline>
              <xm:f>'PERSONAL BUDGET - WIP'!D21:O21</xm:f>
              <xm:sqref>Q21</xm:sqref>
            </x14:sparkline>
          </x14:sparklines>
        </x14:sparklineGroup>
        <x14:sparklineGroup manualMax="0" manualMin="0" displayEmptyCellsAs="gap" high="1" low="1" xr2:uid="{B6CF4F40-32A6-47E8-925A-23BAAA56E6E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WIP'!D30:O30</xm:f>
              <xm:sqref>Q30</xm:sqref>
            </x14:sparkline>
            <x14:sparkline>
              <xm:f>'PERSONAL BUDGET - WIP'!D31:O31</xm:f>
              <xm:sqref>Q31</xm:sqref>
            </x14:sparkline>
            <x14:sparkline>
              <xm:f>'PERSONAL BUDGET - WIP'!D32:O32</xm:f>
              <xm:sqref>Q32</xm:sqref>
            </x14:sparkline>
            <x14:sparkline>
              <xm:f>'PERSONAL BUDGET - WIP'!D33:O33</xm:f>
              <xm:sqref>Q33</xm:sqref>
            </x14:sparkline>
            <x14:sparkline>
              <xm:f>'PERSONAL BUDGET - WIP'!D34:O34</xm:f>
              <xm:sqref>Q34</xm:sqref>
            </x14:sparkline>
          </x14:sparklines>
        </x14:sparklineGroup>
        <x14:sparklineGroup manualMax="0" manualMin="0" displayEmptyCellsAs="gap" high="1" low="1" xr2:uid="{791639B3-69DB-49CA-8524-0123249BCA59}">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WIP'!D36:O36</xm:f>
              <xm:sqref>Q36</xm:sqref>
            </x14:sparkline>
            <x14:sparkline>
              <xm:f>'PERSONAL BUDGET - WIP'!D37:O37</xm:f>
              <xm:sqref>Q37</xm:sqref>
            </x14:sparkline>
            <x14:sparkline>
              <xm:f>'PERSONAL BUDGET - WIP'!D38:O38</xm:f>
              <xm:sqref>Q38</xm:sqref>
            </x14:sparkline>
            <x14:sparkline>
              <xm:f>'PERSONAL BUDGET - WIP'!D39:O39</xm:f>
              <xm:sqref>Q39</xm:sqref>
            </x14:sparkline>
            <x14:sparkline>
              <xm:f>'PERSONAL BUDGET - WIP'!D40:O40</xm:f>
              <xm:sqref>Q40</xm:sqref>
            </x14:sparkline>
            <x14:sparkline>
              <xm:f>'PERSONAL BUDGET - WIP'!D41:O41</xm:f>
              <xm:sqref>Q41</xm:sqref>
            </x14:sparkline>
            <x14:sparkline>
              <xm:f>'PERSONAL BUDGET - WIP'!D42:O42</xm:f>
              <xm:sqref>Q42</xm:sqref>
            </x14:sparkline>
            <x14:sparkline>
              <xm:f>'PERSONAL BUDGET - WIP'!D43:O43</xm:f>
              <xm:sqref>Q43</xm:sqref>
            </x14:sparkline>
            <x14:sparkline>
              <xm:f>'PERSONAL BUDGET - WIP'!D44:O44</xm:f>
              <xm:sqref>Q44</xm:sqref>
            </x14:sparkline>
          </x14:sparklines>
        </x14:sparklineGroup>
        <x14:sparklineGroup manualMax="0" manualMin="0" displayEmptyCellsAs="gap" high="1" low="1" xr2:uid="{2A610772-CBE0-42B2-88ED-89EDEA1620BB}">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WIP'!D46:O46</xm:f>
              <xm:sqref>Q46</xm:sqref>
            </x14:sparkline>
            <x14:sparkline>
              <xm:f>'PERSONAL BUDGET - WIP'!D47:O47</xm:f>
              <xm:sqref>Q47</xm:sqref>
            </x14:sparkline>
            <x14:sparkline>
              <xm:f>'PERSONAL BUDGET - WIP'!D48:O48</xm:f>
              <xm:sqref>Q48</xm:sqref>
            </x14:sparkline>
            <x14:sparkline>
              <xm:f>'PERSONAL BUDGET - WIP'!D49:O49</xm:f>
              <xm:sqref>Q49</xm:sqref>
            </x14:sparkline>
            <x14:sparkline>
              <xm:f>'PERSONAL BUDGET - WIP'!D50:O50</xm:f>
              <xm:sqref>Q50</xm:sqref>
            </x14:sparkline>
            <x14:sparkline>
              <xm:f>'PERSONAL BUDGET - WIP'!D51:O51</xm:f>
              <xm:sqref>Q51</xm:sqref>
            </x14:sparkline>
            <x14:sparkline>
              <xm:f>'PERSONAL BUDGET - WIP'!D52:O52</xm:f>
              <xm:sqref>Q52</xm:sqref>
            </x14:sparkline>
            <x14:sparkline>
              <xm:f>'PERSONAL BUDGET - WIP'!D53:O53</xm:f>
              <xm:sqref>Q53</xm:sqref>
            </x14:sparkline>
          </x14:sparklines>
        </x14:sparklineGroup>
        <x14:sparklineGroup manualMax="0" manualMin="0" displayEmptyCellsAs="gap" high="1" low="1" xr2:uid="{7E09E36C-5D90-4810-9338-A6E07175E1F7}">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WIP'!D55:O55</xm:f>
              <xm:sqref>Q55</xm:sqref>
            </x14:sparkline>
            <x14:sparkline>
              <xm:f>'PERSONAL BUDGET - WIP'!D56:O56</xm:f>
              <xm:sqref>Q56</xm:sqref>
            </x14:sparkline>
            <x14:sparkline>
              <xm:f>'PERSONAL BUDGET - WIP'!D57:O57</xm:f>
              <xm:sqref>Q57</xm:sqref>
            </x14:sparkline>
            <x14:sparkline>
              <xm:f>'PERSONAL BUDGET - WIP'!D58:O58</xm:f>
              <xm:sqref>Q58</xm:sqref>
            </x14:sparkline>
            <x14:sparkline>
              <xm:f>'PERSONAL BUDGET - WIP'!D59:O59</xm:f>
              <xm:sqref>Q59</xm:sqref>
            </x14:sparkline>
            <x14:sparkline>
              <xm:f>'PERSONAL BUDGET - WIP'!D60:O60</xm:f>
              <xm:sqref>Q60</xm:sqref>
            </x14:sparkline>
          </x14:sparklines>
        </x14:sparklineGroup>
        <x14:sparklineGroup manualMax="0" manualMin="0" displayEmptyCellsAs="gap" high="1" low="1" xr2:uid="{456E1131-A136-4685-8F78-498BAF99592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WIP'!D62:O62</xm:f>
              <xm:sqref>Q62</xm:sqref>
            </x14:sparkline>
            <x14:sparkline>
              <xm:f>'PERSONAL BUDGET - WIP'!D63:O63</xm:f>
              <xm:sqref>Q63</xm:sqref>
            </x14:sparkline>
            <x14:sparkline>
              <xm:f>'PERSONAL BUDGET - WIP'!D64:O64</xm:f>
              <xm:sqref>Q64</xm:sqref>
            </x14:sparkline>
            <x14:sparkline>
              <xm:f>'PERSONAL BUDGET - WIP'!D65:O65</xm:f>
              <xm:sqref>Q65</xm:sqref>
            </x14:sparkline>
            <x14:sparkline>
              <xm:f>'PERSONAL BUDGET - WIP'!D66:O66</xm:f>
              <xm:sqref>Q66</xm:sqref>
            </x14:sparkline>
            <x14:sparkline>
              <xm:f>'PERSONAL BUDGET - WIP'!D67:O67</xm:f>
              <xm:sqref>Q67</xm:sqref>
            </x14:sparkline>
            <x14:sparkline>
              <xm:f>'PERSONAL BUDGET - WIP'!D68:O68</xm:f>
              <xm:sqref>Q68</xm:sqref>
            </x14:sparkline>
            <x14:sparkline>
              <xm:f>'PERSONAL BUDGET - WIP'!D69:O69</xm:f>
              <xm:sqref>Q69</xm:sqref>
            </x14:sparkline>
            <x14:sparkline>
              <xm:f>'PERSONAL BUDGET - WIP'!D70:O70</xm:f>
              <xm:sqref>Q70</xm:sqref>
            </x14:sparkline>
          </x14:sparklines>
        </x14:sparklineGroup>
        <x14:sparklineGroup manualMax="0" manualMin="0" displayEmptyCellsAs="gap" high="1" low="1" xr2:uid="{2913BF34-7CAE-4599-BD61-384604BA7FCC}">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WIP'!D72:O72</xm:f>
              <xm:sqref>Q72</xm:sqref>
            </x14:sparkline>
            <x14:sparkline>
              <xm:f>'PERSONAL BUDGET - WIP'!D73:O73</xm:f>
              <xm:sqref>Q73</xm:sqref>
            </x14:sparkline>
            <x14:sparkline>
              <xm:f>'PERSONAL BUDGET - WIP'!D74:O74</xm:f>
              <xm:sqref>Q74</xm:sqref>
            </x14:sparkline>
            <x14:sparkline>
              <xm:f>'PERSONAL BUDGET - WIP'!D75:O75</xm:f>
              <xm:sqref>Q75</xm:sqref>
            </x14:sparkline>
            <x14:sparkline>
              <xm:f>'PERSONAL BUDGET - WIP'!D76:O76</xm:f>
              <xm:sqref>Q76</xm:sqref>
            </x14:sparkline>
            <x14:sparkline>
              <xm:f>'PERSONAL BUDGET - WIP'!D77:O77</xm:f>
              <xm:sqref>Q77</xm:sqref>
            </x14:sparkline>
            <x14:sparkline>
              <xm:f>'PERSONAL BUDGET - WIP'!D78:O78</xm:f>
              <xm:sqref>Q78</xm:sqref>
            </x14:sparkline>
          </x14:sparklines>
        </x14:sparklineGroup>
        <x14:sparklineGroup manualMax="0" manualMin="0" displayEmptyCellsAs="gap" high="1" low="1" xr2:uid="{C05307E6-67DB-4801-8CBE-CA5564EAB55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WIP'!D80:O80</xm:f>
              <xm:sqref>Q80</xm:sqref>
            </x14:sparkline>
            <x14:sparkline>
              <xm:f>'PERSONAL BUDGET - WIP'!D81:O81</xm:f>
              <xm:sqref>Q81</xm:sqref>
            </x14:sparkline>
            <x14:sparkline>
              <xm:f>'PERSONAL BUDGET - WIP'!D82:O82</xm:f>
              <xm:sqref>Q82</xm:sqref>
            </x14:sparkline>
            <x14:sparkline>
              <xm:f>'PERSONAL BUDGET - WIP'!D83:O83</xm:f>
              <xm:sqref>Q83</xm:sqref>
            </x14:sparkline>
            <x14:sparkline>
              <xm:f>'PERSONAL BUDGET - WIP'!D84:O84</xm:f>
              <xm:sqref>Q84</xm:sqref>
            </x14:sparkline>
            <x14:sparkline>
              <xm:f>'PERSONAL BUDGET - WIP'!D85:O85</xm:f>
              <xm:sqref>Q85</xm:sqref>
            </x14:sparkline>
            <x14:sparkline>
              <xm:f>'PERSONAL BUDGET - WIP'!D86:O86</xm:f>
              <xm:sqref>Q86</xm:sqref>
            </x14:sparkline>
          </x14:sparklines>
        </x14:sparklineGroup>
        <x14:sparklineGroup manualMax="0" manualMin="0" displayEmptyCellsAs="gap" high="1" low="1" xr2:uid="{9C576876-6D19-4CAF-9623-EEA60C8B1A01}">
          <x14:colorSeries theme="0"/>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WIP'!D95:O95</xm:f>
              <xm:sqref>Q95</xm:sqref>
            </x14:sparkline>
            <x14:sparkline>
              <xm:f>'PERSONAL BUDGET - WIP'!D96:O96</xm:f>
              <xm:sqref>Q96</xm:sqref>
            </x14:sparkline>
          </x14:sparklines>
        </x14:sparklineGroup>
        <x14:sparklineGroup manualMax="0" manualMin="0" displayEmptyCellsAs="gap" high="1" low="1" xr2:uid="{D7F06E2B-13A9-4D04-BE9F-7B5F222D6018}">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WIP'!D88:O88</xm:f>
              <xm:sqref>Q88</xm:sqref>
            </x14:sparkline>
            <x14:sparkline>
              <xm:f>'PERSONAL BUDGET - WIP'!D89:O89</xm:f>
              <xm:sqref>Q89</xm:sqref>
            </x14:sparkline>
            <x14:sparkline>
              <xm:f>'PERSONAL BUDGET - WIP'!D90:O90</xm:f>
              <xm:sqref>Q90</xm:sqref>
            </x14:sparkline>
            <x14:sparkline>
              <xm:f>'PERSONAL BUDGET - WIP'!D91:O91</xm:f>
              <xm:sqref>Q91</xm:sqref>
            </x14:sparkline>
            <x14:sparkline>
              <xm:f>'PERSONAL BUDGET - WIP'!D92:O92</xm:f>
              <xm:sqref>Q92</xm:sqref>
            </x14:sparkline>
          </x14:sparklines>
        </x14:sparklineGroup>
        <x14:sparklineGroup manualMax="0" manualMin="0" displayEmptyCellsAs="gap" high="1" low="1" xr2:uid="{712F9051-687A-4502-B55D-A773C397DEB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WIP'!D14:O14</xm:f>
              <xm:sqref>Q14</xm:sqref>
            </x14:sparkline>
          </x14:sparklines>
        </x14:sparklineGroup>
        <x14:sparklineGroup manualMax="0" manualMin="0" displayEmptyCellsAs="gap" high="1" low="1" xr2:uid="{69FBE952-5B7A-4A89-8C86-096DA982716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WIP'!D6:O6</xm:f>
              <xm:sqref>Q6</xm:sqref>
            </x14:sparkline>
            <x14:sparkline>
              <xm:f>'PERSONAL BUDGET - WIP'!D7:O7</xm:f>
              <xm:sqref>Q7</xm:sqref>
            </x14:sparkline>
            <x14:sparkline>
              <xm:f>'PERSONAL BUDGET - WIP'!D8:O8</xm:f>
              <xm:sqref>Q8</xm:sqref>
            </x14:sparkline>
            <x14:sparkline>
              <xm:f>'PERSONAL BUDGET - WIP'!D9:O9</xm:f>
              <xm:sqref>Q9</xm:sqref>
            </x14:sparkline>
            <x14:sparkline>
              <xm:f>'PERSONAL BUDGET - WIP'!D10:O10</xm:f>
              <xm:sqref>Q10</xm:sqref>
            </x14:sparkline>
          </x14:sparklines>
        </x14:sparklineGroup>
        <x14:sparklineGroup manualMax="0" manualMin="0" displayEmptyCellsAs="gap" high="1" low="1" xr2:uid="{9CC4A2BC-CFB1-4357-8525-3EDA6C50395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WIP'!D23:O23</xm:f>
              <xm:sqref>Q23</xm:sqref>
            </x14:sparkline>
            <x14:sparkline>
              <xm:f>'PERSONAL BUDGET - WIP'!D24:O24</xm:f>
              <xm:sqref>Q24</xm:sqref>
            </x14:sparkline>
            <x14:sparkline>
              <xm:f>'PERSONAL BUDGET - WIP'!D25:O25</xm:f>
              <xm:sqref>Q25</xm:sqref>
            </x14:sparkline>
            <x14:sparkline>
              <xm:f>'PERSONAL BUDGET - WIP'!D26:O26</xm:f>
              <xm:sqref>Q26</xm:sqref>
            </x14:sparkline>
            <x14:sparkline>
              <xm:f>'PERSONAL BUDGET - WIP'!D27:O27</xm:f>
              <xm:sqref>Q27</xm:sqref>
            </x14:sparkline>
            <x14:sparkline>
              <xm:f>'PERSONAL BUDGET - WIP'!D28:O28</xm:f>
              <xm:sqref>Q28</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A573-1E02-49C9-8D4A-3E6B5CE7EEEA}">
  <sheetPr>
    <pageSetUpPr fitToPage="1"/>
  </sheetPr>
  <dimension ref="A1:I383"/>
  <sheetViews>
    <sheetView showGridLines="0" workbookViewId="0">
      <selection activeCell="F10" sqref="F10"/>
    </sheetView>
  </sheetViews>
  <sheetFormatPr defaultColWidth="10.6640625" defaultRowHeight="12.75" x14ac:dyDescent="0.2"/>
  <cols>
    <col min="1" max="1" width="6.83203125" style="207" customWidth="1"/>
    <col min="2" max="2" width="11.6640625" style="232" customWidth="1"/>
    <col min="3" max="3" width="12.1640625" style="207" customWidth="1"/>
    <col min="4" max="4" width="15" style="207" customWidth="1"/>
    <col min="5" max="5" width="15.6640625" style="207" customWidth="1"/>
    <col min="6" max="7" width="14.1640625" style="207" customWidth="1"/>
    <col min="8" max="8" width="16.83203125" style="207" customWidth="1"/>
    <col min="9" max="9" width="21.5" style="207" customWidth="1"/>
    <col min="10" max="16384" width="10.6640625" style="207"/>
  </cols>
  <sheetData>
    <row r="1" spans="1:9" ht="30" customHeight="1" x14ac:dyDescent="0.2">
      <c r="A1" s="204" t="s">
        <v>1104</v>
      </c>
      <c r="B1" s="205"/>
      <c r="C1" s="206"/>
      <c r="D1" s="206"/>
      <c r="E1" s="206"/>
      <c r="F1" s="206"/>
      <c r="G1" s="206"/>
      <c r="H1" s="206"/>
      <c r="I1" s="206"/>
    </row>
    <row r="2" spans="1:9" x14ac:dyDescent="0.2">
      <c r="A2" s="264" t="s">
        <v>1105</v>
      </c>
      <c r="B2" s="264"/>
      <c r="C2" s="264"/>
      <c r="D2" s="264"/>
      <c r="E2" s="264"/>
      <c r="F2" s="264"/>
      <c r="G2" s="208"/>
      <c r="H2" s="208"/>
      <c r="I2" s="209" t="str">
        <f ca="1">"© 2010-" &amp; YEAR(TODAY()) &amp; " Vertex42 LLC"</f>
        <v>© 2010-2021 Vertex42 LLC</v>
      </c>
    </row>
    <row r="4" spans="1:9" ht="17.25" customHeight="1" x14ac:dyDescent="0.2">
      <c r="A4" s="210" t="s">
        <v>1106</v>
      </c>
      <c r="B4" s="211"/>
      <c r="C4" s="210"/>
      <c r="D4" s="210"/>
      <c r="E4" s="210"/>
      <c r="F4" s="210"/>
    </row>
    <row r="5" spans="1:9" ht="15" x14ac:dyDescent="0.2">
      <c r="A5" s="212"/>
      <c r="B5" s="213"/>
      <c r="C5" s="214"/>
      <c r="D5" s="214" t="s">
        <v>1107</v>
      </c>
      <c r="E5" s="215">
        <v>1682.31</v>
      </c>
      <c r="F5" s="212"/>
    </row>
    <row r="6" spans="1:9" ht="15" x14ac:dyDescent="0.2">
      <c r="A6" s="212"/>
      <c r="B6" s="213"/>
      <c r="C6" s="214"/>
      <c r="D6" s="214" t="s">
        <v>1108</v>
      </c>
      <c r="E6" s="216">
        <v>0.18990000000000001</v>
      </c>
      <c r="F6" s="212"/>
    </row>
    <row r="7" spans="1:9" ht="15.75" x14ac:dyDescent="0.25">
      <c r="A7" s="217"/>
      <c r="B7" s="218"/>
      <c r="C7" s="217"/>
      <c r="D7" s="214" t="s">
        <v>1109</v>
      </c>
      <c r="E7" s="219">
        <v>0.02</v>
      </c>
      <c r="F7" s="249">
        <f>E7*E5</f>
        <v>33.6462</v>
      </c>
    </row>
    <row r="8" spans="1:9" ht="15.75" x14ac:dyDescent="0.25">
      <c r="A8" s="217"/>
      <c r="B8" s="218"/>
      <c r="C8" s="217"/>
      <c r="D8" s="214" t="s">
        <v>1110</v>
      </c>
      <c r="E8" s="220" t="s">
        <v>314</v>
      </c>
      <c r="F8" s="221" t="b">
        <f>IF(E8="Yes",TRUE,FALSE)</f>
        <v>1</v>
      </c>
    </row>
    <row r="9" spans="1:9" ht="15.75" x14ac:dyDescent="0.25">
      <c r="A9" s="217"/>
      <c r="B9" s="218"/>
      <c r="C9" s="217"/>
      <c r="D9" s="214" t="s">
        <v>1111</v>
      </c>
      <c r="E9" s="222">
        <v>35</v>
      </c>
      <c r="F9" s="212"/>
    </row>
    <row r="10" spans="1:9" ht="15" x14ac:dyDescent="0.2">
      <c r="A10" s="212"/>
      <c r="B10" s="223"/>
      <c r="C10" s="212"/>
      <c r="D10" s="214" t="s">
        <v>1112</v>
      </c>
      <c r="E10" s="224">
        <v>200</v>
      </c>
      <c r="F10" s="225" t="s">
        <v>1113</v>
      </c>
    </row>
    <row r="11" spans="1:9" ht="15.75" x14ac:dyDescent="0.25">
      <c r="A11" s="217"/>
      <c r="B11" s="218"/>
      <c r="C11" s="217"/>
      <c r="D11" s="214" t="s">
        <v>1114</v>
      </c>
      <c r="E11" s="226">
        <v>0</v>
      </c>
      <c r="F11" s="212" t="s">
        <v>1115</v>
      </c>
    </row>
    <row r="12" spans="1:9" ht="15.75" x14ac:dyDescent="0.25">
      <c r="A12" s="217"/>
      <c r="B12" s="218"/>
      <c r="C12" s="217"/>
      <c r="D12" s="217"/>
      <c r="E12" s="217"/>
      <c r="F12" s="212"/>
    </row>
    <row r="13" spans="1:9" ht="17.25" customHeight="1" x14ac:dyDescent="0.2">
      <c r="A13" s="210" t="s">
        <v>1116</v>
      </c>
      <c r="B13" s="211"/>
      <c r="C13" s="210"/>
      <c r="D13" s="210"/>
      <c r="E13" s="210"/>
      <c r="F13" s="210"/>
    </row>
    <row r="14" spans="1:9" ht="15.75" x14ac:dyDescent="0.25">
      <c r="A14" s="217"/>
      <c r="B14" s="218"/>
      <c r="C14" s="217"/>
      <c r="D14" s="214" t="s">
        <v>1117</v>
      </c>
      <c r="E14" s="227">
        <f>E23</f>
        <v>200</v>
      </c>
      <c r="F14" s="212"/>
    </row>
    <row r="15" spans="1:9" ht="15.75" x14ac:dyDescent="0.25">
      <c r="A15" s="217"/>
      <c r="B15" s="218"/>
      <c r="C15" s="217"/>
      <c r="D15" s="214" t="s">
        <v>1118</v>
      </c>
      <c r="E15" s="227">
        <f>MAX(E21:E383)</f>
        <v>200</v>
      </c>
      <c r="F15" s="212"/>
    </row>
    <row r="16" spans="1:9" ht="15.75" x14ac:dyDescent="0.25">
      <c r="A16" s="217"/>
      <c r="B16" s="218"/>
      <c r="C16" s="217"/>
      <c r="D16" s="214" t="s">
        <v>1119</v>
      </c>
      <c r="E16" s="228">
        <f>MAX(A22:A383,1)</f>
        <v>10</v>
      </c>
      <c r="F16" s="229" t="str">
        <f>"("&amp;ROUND(E16/12,2)&amp;" years)"</f>
        <v>(0.83 years)</v>
      </c>
    </row>
    <row r="17" spans="1:9" ht="15.75" x14ac:dyDescent="0.25">
      <c r="A17" s="212"/>
      <c r="B17" s="223"/>
      <c r="C17" s="212"/>
      <c r="D17" s="214" t="s">
        <v>1120</v>
      </c>
      <c r="E17" s="227">
        <f>SUM(F23:F382)</f>
        <v>137.40179356858576</v>
      </c>
      <c r="F17" s="212"/>
      <c r="I17" s="230" t="s">
        <v>1121</v>
      </c>
    </row>
    <row r="18" spans="1:9" x14ac:dyDescent="0.2">
      <c r="A18" s="212"/>
      <c r="B18" s="223"/>
      <c r="C18" s="212"/>
      <c r="D18" s="212"/>
      <c r="E18" s="212"/>
      <c r="F18" s="212"/>
    </row>
    <row r="19" spans="1:9" x14ac:dyDescent="0.2">
      <c r="A19" s="231" t="str">
        <f ca="1">IF(AND(OFFSET(H383,-1,0)&lt;&gt;"",OFFSET(H383,-1,0)&gt;0),"Error: Not Enough Rows in Table",".")</f>
        <v>.</v>
      </c>
      <c r="C19" s="233"/>
      <c r="D19" s="233"/>
      <c r="E19" s="233"/>
    </row>
    <row r="20" spans="1:9" ht="15.75" x14ac:dyDescent="0.25">
      <c r="A20" s="234" t="s">
        <v>1122</v>
      </c>
      <c r="B20" s="235"/>
      <c r="C20" s="236"/>
      <c r="D20" s="236"/>
      <c r="E20" s="236"/>
      <c r="F20" s="237"/>
    </row>
    <row r="21" spans="1:9" ht="25.5" x14ac:dyDescent="0.2">
      <c r="A21" s="238" t="s">
        <v>1123</v>
      </c>
      <c r="B21" s="238" t="s">
        <v>1124</v>
      </c>
      <c r="C21" s="239" t="s">
        <v>31</v>
      </c>
      <c r="D21" s="239" t="s">
        <v>1125</v>
      </c>
      <c r="E21" s="239" t="s">
        <v>1126</v>
      </c>
      <c r="F21" s="240" t="s">
        <v>1127</v>
      </c>
      <c r="G21" s="240" t="s">
        <v>1128</v>
      </c>
      <c r="H21" s="241" t="s">
        <v>525</v>
      </c>
    </row>
    <row r="22" spans="1:9" x14ac:dyDescent="0.2">
      <c r="A22" s="242">
        <v>0</v>
      </c>
      <c r="B22" s="242"/>
      <c r="C22" s="243"/>
      <c r="D22" s="243"/>
      <c r="E22" s="243"/>
      <c r="F22" s="243"/>
      <c r="G22" s="243"/>
      <c r="H22" s="243">
        <f>E5</f>
        <v>1682.31</v>
      </c>
    </row>
    <row r="23" spans="1:9" x14ac:dyDescent="0.2">
      <c r="A23" s="232">
        <f t="shared" ref="A23:A86" si="0">IF(A22="","",IF(H22&gt;0,A22+1,""))</f>
        <v>1</v>
      </c>
      <c r="B23" s="244">
        <f>IF(A23="","",IF(A23&lt;=$E$11,0,$E$6))</f>
        <v>0.18990000000000001</v>
      </c>
      <c r="C23" s="245">
        <f>IF(A23="","",IF(ISBLANK($E$10),MIN(MAX($E$7*H22+IF(plusinterest,F23,0),$E$9),F23+H22),MIN($E$10,H22+F23)))</f>
        <v>200</v>
      </c>
      <c r="D23" s="246"/>
      <c r="E23" s="245">
        <f>IF(A23="","",C23+D23)</f>
        <v>200</v>
      </c>
      <c r="F23" s="245">
        <f t="shared" ref="F23:F86" si="1">IF(A23="","",B23/12*H22)</f>
        <v>26.622555750000004</v>
      </c>
      <c r="G23" s="245">
        <f>IF(A23="","",C23+D23-F23)</f>
        <v>173.37744425</v>
      </c>
      <c r="H23" s="245">
        <f t="shared" ref="H23:H86" si="2">IF(A23="","",H22-G23)</f>
        <v>1508.9325557499999</v>
      </c>
    </row>
    <row r="24" spans="1:9" x14ac:dyDescent="0.2">
      <c r="A24" s="232">
        <f t="shared" si="0"/>
        <v>2</v>
      </c>
      <c r="B24" s="244">
        <f t="shared" ref="B24:B87" si="3">IF(A24="","",IF(A24&lt;=$E$11,0,$E$6))</f>
        <v>0.18990000000000001</v>
      </c>
      <c r="C24" s="245">
        <f t="shared" ref="C24:C86" si="4">IF(A24="","",IF(ISBLANK($E$10),MIN(MAX($E$7*H23+IF(plusinterest,F24,0),$E$9),F24+H23),MIN($E$10,H23+F24)))</f>
        <v>200</v>
      </c>
      <c r="D24" s="246"/>
      <c r="E24" s="245">
        <f t="shared" ref="E24:E87" si="5">IF(A24="","",C24+D24)</f>
        <v>200</v>
      </c>
      <c r="F24" s="245">
        <f t="shared" si="1"/>
        <v>23.878857694743751</v>
      </c>
      <c r="G24" s="245">
        <f t="shared" ref="G24:G86" si="6">IF(A24="","",C24+D24-F24)</f>
        <v>176.12114230525626</v>
      </c>
      <c r="H24" s="245">
        <f t="shared" si="2"/>
        <v>1332.8114134447437</v>
      </c>
    </row>
    <row r="25" spans="1:9" x14ac:dyDescent="0.2">
      <c r="A25" s="232">
        <f t="shared" si="0"/>
        <v>3</v>
      </c>
      <c r="B25" s="244">
        <f t="shared" si="3"/>
        <v>0.18990000000000001</v>
      </c>
      <c r="C25" s="245">
        <f t="shared" si="4"/>
        <v>200</v>
      </c>
      <c r="D25" s="246"/>
      <c r="E25" s="245">
        <f t="shared" si="5"/>
        <v>200</v>
      </c>
      <c r="F25" s="245">
        <f t="shared" si="1"/>
        <v>21.091740617763072</v>
      </c>
      <c r="G25" s="245">
        <f t="shared" si="6"/>
        <v>178.90825938223693</v>
      </c>
      <c r="H25" s="245">
        <f t="shared" si="2"/>
        <v>1153.9031540625067</v>
      </c>
    </row>
    <row r="26" spans="1:9" x14ac:dyDescent="0.2">
      <c r="A26" s="232">
        <f t="shared" si="0"/>
        <v>4</v>
      </c>
      <c r="B26" s="244">
        <f t="shared" si="3"/>
        <v>0.18990000000000001</v>
      </c>
      <c r="C26" s="245">
        <f t="shared" si="4"/>
        <v>200</v>
      </c>
      <c r="D26" s="246"/>
      <c r="E26" s="245">
        <f t="shared" si="5"/>
        <v>200</v>
      </c>
      <c r="F26" s="245">
        <f t="shared" si="1"/>
        <v>18.260517413039171</v>
      </c>
      <c r="G26" s="245">
        <f t="shared" si="6"/>
        <v>181.73948258696083</v>
      </c>
      <c r="H26" s="245">
        <f t="shared" si="2"/>
        <v>972.16367147554593</v>
      </c>
    </row>
    <row r="27" spans="1:9" x14ac:dyDescent="0.2">
      <c r="A27" s="232">
        <f t="shared" si="0"/>
        <v>5</v>
      </c>
      <c r="B27" s="244">
        <f t="shared" si="3"/>
        <v>0.18990000000000001</v>
      </c>
      <c r="C27" s="245">
        <f t="shared" si="4"/>
        <v>200</v>
      </c>
      <c r="D27" s="246"/>
      <c r="E27" s="245">
        <f t="shared" si="5"/>
        <v>200</v>
      </c>
      <c r="F27" s="245">
        <f t="shared" si="1"/>
        <v>15.384490101100516</v>
      </c>
      <c r="G27" s="245">
        <f t="shared" si="6"/>
        <v>184.61550989889949</v>
      </c>
      <c r="H27" s="245">
        <f t="shared" si="2"/>
        <v>787.54816157664641</v>
      </c>
    </row>
    <row r="28" spans="1:9" x14ac:dyDescent="0.2">
      <c r="A28" s="232">
        <f t="shared" si="0"/>
        <v>6</v>
      </c>
      <c r="B28" s="244">
        <f t="shared" si="3"/>
        <v>0.18990000000000001</v>
      </c>
      <c r="C28" s="245">
        <f t="shared" si="4"/>
        <v>200</v>
      </c>
      <c r="D28" s="246"/>
      <c r="E28" s="245">
        <f t="shared" si="5"/>
        <v>200</v>
      </c>
      <c r="F28" s="245">
        <f t="shared" si="1"/>
        <v>12.462949656950432</v>
      </c>
      <c r="G28" s="245">
        <f t="shared" si="6"/>
        <v>187.53705034304957</v>
      </c>
      <c r="H28" s="245">
        <f t="shared" si="2"/>
        <v>600.01111123359681</v>
      </c>
    </row>
    <row r="29" spans="1:9" x14ac:dyDescent="0.2">
      <c r="A29" s="232">
        <f t="shared" si="0"/>
        <v>7</v>
      </c>
      <c r="B29" s="244">
        <f t="shared" si="3"/>
        <v>0.18990000000000001</v>
      </c>
      <c r="C29" s="245">
        <f t="shared" si="4"/>
        <v>200</v>
      </c>
      <c r="D29" s="246"/>
      <c r="E29" s="245">
        <f t="shared" si="5"/>
        <v>200</v>
      </c>
      <c r="F29" s="245">
        <f t="shared" si="1"/>
        <v>9.4951758352716702</v>
      </c>
      <c r="G29" s="245">
        <f t="shared" si="6"/>
        <v>190.50482416472832</v>
      </c>
      <c r="H29" s="245">
        <f t="shared" si="2"/>
        <v>409.50628706886846</v>
      </c>
    </row>
    <row r="30" spans="1:9" x14ac:dyDescent="0.2">
      <c r="A30" s="232">
        <f t="shared" si="0"/>
        <v>8</v>
      </c>
      <c r="B30" s="244">
        <f t="shared" si="3"/>
        <v>0.18990000000000001</v>
      </c>
      <c r="C30" s="245">
        <f t="shared" si="4"/>
        <v>200</v>
      </c>
      <c r="D30" s="246"/>
      <c r="E30" s="245">
        <f t="shared" si="5"/>
        <v>200</v>
      </c>
      <c r="F30" s="245">
        <f t="shared" si="1"/>
        <v>6.4804369928648446</v>
      </c>
      <c r="G30" s="245">
        <f t="shared" si="6"/>
        <v>193.51956300713516</v>
      </c>
      <c r="H30" s="245">
        <f t="shared" si="2"/>
        <v>215.9867240617333</v>
      </c>
    </row>
    <row r="31" spans="1:9" x14ac:dyDescent="0.2">
      <c r="A31" s="232">
        <f t="shared" si="0"/>
        <v>9</v>
      </c>
      <c r="B31" s="244">
        <f t="shared" si="3"/>
        <v>0.18990000000000001</v>
      </c>
      <c r="C31" s="245">
        <f t="shared" si="4"/>
        <v>200</v>
      </c>
      <c r="D31" s="246"/>
      <c r="E31" s="245">
        <f t="shared" si="5"/>
        <v>200</v>
      </c>
      <c r="F31" s="245">
        <f t="shared" si="1"/>
        <v>3.4179899082769301</v>
      </c>
      <c r="G31" s="245">
        <f t="shared" si="6"/>
        <v>196.58201009172308</v>
      </c>
      <c r="H31" s="245">
        <f t="shared" si="2"/>
        <v>19.404713970010221</v>
      </c>
    </row>
    <row r="32" spans="1:9" x14ac:dyDescent="0.2">
      <c r="A32" s="232">
        <f t="shared" si="0"/>
        <v>10</v>
      </c>
      <c r="B32" s="244">
        <f t="shared" si="3"/>
        <v>0.18990000000000001</v>
      </c>
      <c r="C32" s="245">
        <f t="shared" si="4"/>
        <v>19.711793568585634</v>
      </c>
      <c r="D32" s="246"/>
      <c r="E32" s="245">
        <f t="shared" si="5"/>
        <v>19.711793568585634</v>
      </c>
      <c r="F32" s="245">
        <f t="shared" si="1"/>
        <v>0.30707959857541178</v>
      </c>
      <c r="G32" s="245">
        <f t="shared" si="6"/>
        <v>19.404713970010221</v>
      </c>
      <c r="H32" s="245">
        <f t="shared" si="2"/>
        <v>0</v>
      </c>
    </row>
    <row r="33" spans="1:8" x14ac:dyDescent="0.2">
      <c r="A33" s="232" t="str">
        <f t="shared" si="0"/>
        <v/>
      </c>
      <c r="B33" s="244" t="str">
        <f t="shared" si="3"/>
        <v/>
      </c>
      <c r="C33" s="245" t="str">
        <f t="shared" si="4"/>
        <v/>
      </c>
      <c r="D33" s="246"/>
      <c r="E33" s="245" t="str">
        <f t="shared" si="5"/>
        <v/>
      </c>
      <c r="F33" s="245" t="str">
        <f t="shared" si="1"/>
        <v/>
      </c>
      <c r="G33" s="245" t="str">
        <f t="shared" si="6"/>
        <v/>
      </c>
      <c r="H33" s="245" t="str">
        <f t="shared" si="2"/>
        <v/>
      </c>
    </row>
    <row r="34" spans="1:8" x14ac:dyDescent="0.2">
      <c r="A34" s="232" t="str">
        <f t="shared" si="0"/>
        <v/>
      </c>
      <c r="B34" s="244" t="str">
        <f t="shared" si="3"/>
        <v/>
      </c>
      <c r="C34" s="245" t="str">
        <f t="shared" si="4"/>
        <v/>
      </c>
      <c r="D34" s="246"/>
      <c r="E34" s="245" t="str">
        <f t="shared" si="5"/>
        <v/>
      </c>
      <c r="F34" s="245" t="str">
        <f t="shared" si="1"/>
        <v/>
      </c>
      <c r="G34" s="245" t="str">
        <f t="shared" si="6"/>
        <v/>
      </c>
      <c r="H34" s="245" t="str">
        <f t="shared" si="2"/>
        <v/>
      </c>
    </row>
    <row r="35" spans="1:8" x14ac:dyDescent="0.2">
      <c r="A35" s="232" t="str">
        <f t="shared" si="0"/>
        <v/>
      </c>
      <c r="B35" s="244" t="str">
        <f t="shared" si="3"/>
        <v/>
      </c>
      <c r="C35" s="245" t="str">
        <f t="shared" si="4"/>
        <v/>
      </c>
      <c r="D35" s="246"/>
      <c r="E35" s="245" t="str">
        <f t="shared" si="5"/>
        <v/>
      </c>
      <c r="F35" s="245" t="str">
        <f t="shared" si="1"/>
        <v/>
      </c>
      <c r="G35" s="245" t="str">
        <f t="shared" si="6"/>
        <v/>
      </c>
      <c r="H35" s="245" t="str">
        <f t="shared" si="2"/>
        <v/>
      </c>
    </row>
    <row r="36" spans="1:8" x14ac:dyDescent="0.2">
      <c r="A36" s="232" t="str">
        <f t="shared" si="0"/>
        <v/>
      </c>
      <c r="B36" s="244" t="str">
        <f t="shared" si="3"/>
        <v/>
      </c>
      <c r="C36" s="245" t="str">
        <f t="shared" si="4"/>
        <v/>
      </c>
      <c r="D36" s="246"/>
      <c r="E36" s="245" t="str">
        <f t="shared" si="5"/>
        <v/>
      </c>
      <c r="F36" s="245" t="str">
        <f t="shared" si="1"/>
        <v/>
      </c>
      <c r="G36" s="245" t="str">
        <f t="shared" si="6"/>
        <v/>
      </c>
      <c r="H36" s="245" t="str">
        <f t="shared" si="2"/>
        <v/>
      </c>
    </row>
    <row r="37" spans="1:8" x14ac:dyDescent="0.2">
      <c r="A37" s="232" t="str">
        <f t="shared" si="0"/>
        <v/>
      </c>
      <c r="B37" s="244" t="str">
        <f t="shared" si="3"/>
        <v/>
      </c>
      <c r="C37" s="245" t="str">
        <f t="shared" si="4"/>
        <v/>
      </c>
      <c r="D37" s="246"/>
      <c r="E37" s="245" t="str">
        <f t="shared" si="5"/>
        <v/>
      </c>
      <c r="F37" s="245" t="str">
        <f t="shared" si="1"/>
        <v/>
      </c>
      <c r="G37" s="245" t="str">
        <f t="shared" si="6"/>
        <v/>
      </c>
      <c r="H37" s="245" t="str">
        <f t="shared" si="2"/>
        <v/>
      </c>
    </row>
    <row r="38" spans="1:8" x14ac:dyDescent="0.2">
      <c r="A38" s="232" t="str">
        <f t="shared" si="0"/>
        <v/>
      </c>
      <c r="B38" s="244" t="str">
        <f t="shared" si="3"/>
        <v/>
      </c>
      <c r="C38" s="245" t="str">
        <f t="shared" si="4"/>
        <v/>
      </c>
      <c r="D38" s="246"/>
      <c r="E38" s="245" t="str">
        <f t="shared" si="5"/>
        <v/>
      </c>
      <c r="F38" s="245" t="str">
        <f t="shared" si="1"/>
        <v/>
      </c>
      <c r="G38" s="245" t="str">
        <f t="shared" si="6"/>
        <v/>
      </c>
      <c r="H38" s="245" t="str">
        <f t="shared" si="2"/>
        <v/>
      </c>
    </row>
    <row r="39" spans="1:8" x14ac:dyDescent="0.2">
      <c r="A39" s="232" t="str">
        <f t="shared" si="0"/>
        <v/>
      </c>
      <c r="B39" s="244" t="str">
        <f t="shared" si="3"/>
        <v/>
      </c>
      <c r="C39" s="245" t="str">
        <f t="shared" si="4"/>
        <v/>
      </c>
      <c r="D39" s="246"/>
      <c r="E39" s="245" t="str">
        <f t="shared" si="5"/>
        <v/>
      </c>
      <c r="F39" s="245" t="str">
        <f t="shared" si="1"/>
        <v/>
      </c>
      <c r="G39" s="245" t="str">
        <f t="shared" si="6"/>
        <v/>
      </c>
      <c r="H39" s="245" t="str">
        <f t="shared" si="2"/>
        <v/>
      </c>
    </row>
    <row r="40" spans="1:8" x14ac:dyDescent="0.2">
      <c r="A40" s="232" t="str">
        <f t="shared" si="0"/>
        <v/>
      </c>
      <c r="B40" s="244" t="str">
        <f t="shared" si="3"/>
        <v/>
      </c>
      <c r="C40" s="245" t="str">
        <f t="shared" si="4"/>
        <v/>
      </c>
      <c r="D40" s="246"/>
      <c r="E40" s="245" t="str">
        <f t="shared" si="5"/>
        <v/>
      </c>
      <c r="F40" s="245" t="str">
        <f t="shared" si="1"/>
        <v/>
      </c>
      <c r="G40" s="245" t="str">
        <f t="shared" si="6"/>
        <v/>
      </c>
      <c r="H40" s="245" t="str">
        <f t="shared" si="2"/>
        <v/>
      </c>
    </row>
    <row r="41" spans="1:8" x14ac:dyDescent="0.2">
      <c r="A41" s="232" t="str">
        <f t="shared" si="0"/>
        <v/>
      </c>
      <c r="B41" s="244" t="str">
        <f t="shared" si="3"/>
        <v/>
      </c>
      <c r="C41" s="245" t="str">
        <f t="shared" si="4"/>
        <v/>
      </c>
      <c r="D41" s="246"/>
      <c r="E41" s="245" t="str">
        <f t="shared" si="5"/>
        <v/>
      </c>
      <c r="F41" s="245" t="str">
        <f t="shared" si="1"/>
        <v/>
      </c>
      <c r="G41" s="245" t="str">
        <f t="shared" si="6"/>
        <v/>
      </c>
      <c r="H41" s="245" t="str">
        <f t="shared" si="2"/>
        <v/>
      </c>
    </row>
    <row r="42" spans="1:8" x14ac:dyDescent="0.2">
      <c r="A42" s="232" t="str">
        <f t="shared" si="0"/>
        <v/>
      </c>
      <c r="B42" s="244" t="str">
        <f t="shared" si="3"/>
        <v/>
      </c>
      <c r="C42" s="245" t="str">
        <f t="shared" si="4"/>
        <v/>
      </c>
      <c r="D42" s="246"/>
      <c r="E42" s="245" t="str">
        <f t="shared" si="5"/>
        <v/>
      </c>
      <c r="F42" s="245" t="str">
        <f t="shared" si="1"/>
        <v/>
      </c>
      <c r="G42" s="245" t="str">
        <f t="shared" si="6"/>
        <v/>
      </c>
      <c r="H42" s="245" t="str">
        <f t="shared" si="2"/>
        <v/>
      </c>
    </row>
    <row r="43" spans="1:8" x14ac:dyDescent="0.2">
      <c r="A43" s="232" t="str">
        <f t="shared" si="0"/>
        <v/>
      </c>
      <c r="B43" s="244" t="str">
        <f t="shared" si="3"/>
        <v/>
      </c>
      <c r="C43" s="245" t="str">
        <f t="shared" si="4"/>
        <v/>
      </c>
      <c r="D43" s="246"/>
      <c r="E43" s="245" t="str">
        <f t="shared" si="5"/>
        <v/>
      </c>
      <c r="F43" s="245" t="str">
        <f t="shared" si="1"/>
        <v/>
      </c>
      <c r="G43" s="245" t="str">
        <f t="shared" si="6"/>
        <v/>
      </c>
      <c r="H43" s="245" t="str">
        <f t="shared" si="2"/>
        <v/>
      </c>
    </row>
    <row r="44" spans="1:8" x14ac:dyDescent="0.2">
      <c r="A44" s="232" t="str">
        <f t="shared" si="0"/>
        <v/>
      </c>
      <c r="B44" s="244" t="str">
        <f t="shared" si="3"/>
        <v/>
      </c>
      <c r="C44" s="245" t="str">
        <f t="shared" si="4"/>
        <v/>
      </c>
      <c r="D44" s="246"/>
      <c r="E44" s="245" t="str">
        <f t="shared" si="5"/>
        <v/>
      </c>
      <c r="F44" s="245" t="str">
        <f t="shared" si="1"/>
        <v/>
      </c>
      <c r="G44" s="245" t="str">
        <f t="shared" si="6"/>
        <v/>
      </c>
      <c r="H44" s="245" t="str">
        <f t="shared" si="2"/>
        <v/>
      </c>
    </row>
    <row r="45" spans="1:8" x14ac:dyDescent="0.2">
      <c r="A45" s="232" t="str">
        <f t="shared" si="0"/>
        <v/>
      </c>
      <c r="B45" s="244" t="str">
        <f t="shared" si="3"/>
        <v/>
      </c>
      <c r="C45" s="245" t="str">
        <f t="shared" si="4"/>
        <v/>
      </c>
      <c r="D45" s="246"/>
      <c r="E45" s="245" t="str">
        <f t="shared" si="5"/>
        <v/>
      </c>
      <c r="F45" s="245" t="str">
        <f t="shared" si="1"/>
        <v/>
      </c>
      <c r="G45" s="245" t="str">
        <f t="shared" si="6"/>
        <v/>
      </c>
      <c r="H45" s="245" t="str">
        <f t="shared" si="2"/>
        <v/>
      </c>
    </row>
    <row r="46" spans="1:8" x14ac:dyDescent="0.2">
      <c r="A46" s="232" t="str">
        <f t="shared" si="0"/>
        <v/>
      </c>
      <c r="B46" s="244" t="str">
        <f t="shared" si="3"/>
        <v/>
      </c>
      <c r="C46" s="245" t="str">
        <f t="shared" si="4"/>
        <v/>
      </c>
      <c r="D46" s="246"/>
      <c r="E46" s="245" t="str">
        <f t="shared" si="5"/>
        <v/>
      </c>
      <c r="F46" s="245" t="str">
        <f t="shared" si="1"/>
        <v/>
      </c>
      <c r="G46" s="245" t="str">
        <f t="shared" si="6"/>
        <v/>
      </c>
      <c r="H46" s="245" t="str">
        <f t="shared" si="2"/>
        <v/>
      </c>
    </row>
    <row r="47" spans="1:8" x14ac:dyDescent="0.2">
      <c r="A47" s="232" t="str">
        <f t="shared" si="0"/>
        <v/>
      </c>
      <c r="B47" s="244" t="str">
        <f t="shared" si="3"/>
        <v/>
      </c>
      <c r="C47" s="245" t="str">
        <f t="shared" si="4"/>
        <v/>
      </c>
      <c r="D47" s="246"/>
      <c r="E47" s="245" t="str">
        <f t="shared" si="5"/>
        <v/>
      </c>
      <c r="F47" s="245" t="str">
        <f t="shared" si="1"/>
        <v/>
      </c>
      <c r="G47" s="245" t="str">
        <f t="shared" si="6"/>
        <v/>
      </c>
      <c r="H47" s="245" t="str">
        <f t="shared" si="2"/>
        <v/>
      </c>
    </row>
    <row r="48" spans="1:8" x14ac:dyDescent="0.2">
      <c r="A48" s="232" t="str">
        <f t="shared" si="0"/>
        <v/>
      </c>
      <c r="B48" s="244" t="str">
        <f t="shared" si="3"/>
        <v/>
      </c>
      <c r="C48" s="245" t="str">
        <f t="shared" si="4"/>
        <v/>
      </c>
      <c r="D48" s="246"/>
      <c r="E48" s="245" t="str">
        <f t="shared" si="5"/>
        <v/>
      </c>
      <c r="F48" s="245" t="str">
        <f t="shared" si="1"/>
        <v/>
      </c>
      <c r="G48" s="245" t="str">
        <f t="shared" si="6"/>
        <v/>
      </c>
      <c r="H48" s="245" t="str">
        <f t="shared" si="2"/>
        <v/>
      </c>
    </row>
    <row r="49" spans="1:8" x14ac:dyDescent="0.2">
      <c r="A49" s="232" t="str">
        <f t="shared" si="0"/>
        <v/>
      </c>
      <c r="B49" s="244" t="str">
        <f t="shared" si="3"/>
        <v/>
      </c>
      <c r="C49" s="245" t="str">
        <f t="shared" si="4"/>
        <v/>
      </c>
      <c r="D49" s="246"/>
      <c r="E49" s="245" t="str">
        <f t="shared" si="5"/>
        <v/>
      </c>
      <c r="F49" s="245" t="str">
        <f t="shared" si="1"/>
        <v/>
      </c>
      <c r="G49" s="245" t="str">
        <f t="shared" si="6"/>
        <v/>
      </c>
      <c r="H49" s="245" t="str">
        <f t="shared" si="2"/>
        <v/>
      </c>
    </row>
    <row r="50" spans="1:8" x14ac:dyDescent="0.2">
      <c r="A50" s="232" t="str">
        <f t="shared" si="0"/>
        <v/>
      </c>
      <c r="B50" s="244" t="str">
        <f t="shared" si="3"/>
        <v/>
      </c>
      <c r="C50" s="245" t="str">
        <f t="shared" si="4"/>
        <v/>
      </c>
      <c r="D50" s="246"/>
      <c r="E50" s="245" t="str">
        <f t="shared" si="5"/>
        <v/>
      </c>
      <c r="F50" s="245" t="str">
        <f t="shared" si="1"/>
        <v/>
      </c>
      <c r="G50" s="245" t="str">
        <f t="shared" si="6"/>
        <v/>
      </c>
      <c r="H50" s="245" t="str">
        <f t="shared" si="2"/>
        <v/>
      </c>
    </row>
    <row r="51" spans="1:8" x14ac:dyDescent="0.2">
      <c r="A51" s="232" t="str">
        <f t="shared" si="0"/>
        <v/>
      </c>
      <c r="B51" s="244" t="str">
        <f t="shared" si="3"/>
        <v/>
      </c>
      <c r="C51" s="245" t="str">
        <f t="shared" si="4"/>
        <v/>
      </c>
      <c r="D51" s="246"/>
      <c r="E51" s="245" t="str">
        <f t="shared" si="5"/>
        <v/>
      </c>
      <c r="F51" s="245" t="str">
        <f t="shared" si="1"/>
        <v/>
      </c>
      <c r="G51" s="245" t="str">
        <f t="shared" si="6"/>
        <v/>
      </c>
      <c r="H51" s="245" t="str">
        <f t="shared" si="2"/>
        <v/>
      </c>
    </row>
    <row r="52" spans="1:8" x14ac:dyDescent="0.2">
      <c r="A52" s="232" t="str">
        <f t="shared" si="0"/>
        <v/>
      </c>
      <c r="B52" s="244" t="str">
        <f t="shared" si="3"/>
        <v/>
      </c>
      <c r="C52" s="245" t="str">
        <f t="shared" si="4"/>
        <v/>
      </c>
      <c r="D52" s="246"/>
      <c r="E52" s="245" t="str">
        <f t="shared" si="5"/>
        <v/>
      </c>
      <c r="F52" s="245" t="str">
        <f t="shared" si="1"/>
        <v/>
      </c>
      <c r="G52" s="245" t="str">
        <f t="shared" si="6"/>
        <v/>
      </c>
      <c r="H52" s="245" t="str">
        <f t="shared" si="2"/>
        <v/>
      </c>
    </row>
    <row r="53" spans="1:8" x14ac:dyDescent="0.2">
      <c r="A53" s="232" t="str">
        <f t="shared" si="0"/>
        <v/>
      </c>
      <c r="B53" s="244" t="str">
        <f t="shared" si="3"/>
        <v/>
      </c>
      <c r="C53" s="245" t="str">
        <f t="shared" si="4"/>
        <v/>
      </c>
      <c r="D53" s="246"/>
      <c r="E53" s="245" t="str">
        <f t="shared" si="5"/>
        <v/>
      </c>
      <c r="F53" s="245" t="str">
        <f t="shared" si="1"/>
        <v/>
      </c>
      <c r="G53" s="245" t="str">
        <f t="shared" si="6"/>
        <v/>
      </c>
      <c r="H53" s="245" t="str">
        <f t="shared" si="2"/>
        <v/>
      </c>
    </row>
    <row r="54" spans="1:8" x14ac:dyDescent="0.2">
      <c r="A54" s="232" t="str">
        <f t="shared" si="0"/>
        <v/>
      </c>
      <c r="B54" s="244" t="str">
        <f t="shared" si="3"/>
        <v/>
      </c>
      <c r="C54" s="245" t="str">
        <f t="shared" si="4"/>
        <v/>
      </c>
      <c r="D54" s="246"/>
      <c r="E54" s="245" t="str">
        <f t="shared" si="5"/>
        <v/>
      </c>
      <c r="F54" s="245" t="str">
        <f t="shared" si="1"/>
        <v/>
      </c>
      <c r="G54" s="245" t="str">
        <f t="shared" si="6"/>
        <v/>
      </c>
      <c r="H54" s="245" t="str">
        <f t="shared" si="2"/>
        <v/>
      </c>
    </row>
    <row r="55" spans="1:8" x14ac:dyDescent="0.2">
      <c r="A55" s="232" t="str">
        <f t="shared" si="0"/>
        <v/>
      </c>
      <c r="B55" s="244" t="str">
        <f t="shared" si="3"/>
        <v/>
      </c>
      <c r="C55" s="245" t="str">
        <f t="shared" si="4"/>
        <v/>
      </c>
      <c r="D55" s="246"/>
      <c r="E55" s="245" t="str">
        <f t="shared" si="5"/>
        <v/>
      </c>
      <c r="F55" s="245" t="str">
        <f t="shared" si="1"/>
        <v/>
      </c>
      <c r="G55" s="245" t="str">
        <f t="shared" si="6"/>
        <v/>
      </c>
      <c r="H55" s="245" t="str">
        <f t="shared" si="2"/>
        <v/>
      </c>
    </row>
    <row r="56" spans="1:8" x14ac:dyDescent="0.2">
      <c r="A56" s="232" t="str">
        <f t="shared" si="0"/>
        <v/>
      </c>
      <c r="B56" s="244" t="str">
        <f t="shared" si="3"/>
        <v/>
      </c>
      <c r="C56" s="245" t="str">
        <f t="shared" si="4"/>
        <v/>
      </c>
      <c r="D56" s="246"/>
      <c r="E56" s="245" t="str">
        <f t="shared" si="5"/>
        <v/>
      </c>
      <c r="F56" s="245" t="str">
        <f t="shared" si="1"/>
        <v/>
      </c>
      <c r="G56" s="245" t="str">
        <f t="shared" si="6"/>
        <v/>
      </c>
      <c r="H56" s="245" t="str">
        <f t="shared" si="2"/>
        <v/>
      </c>
    </row>
    <row r="57" spans="1:8" x14ac:dyDescent="0.2">
      <c r="A57" s="232" t="str">
        <f t="shared" si="0"/>
        <v/>
      </c>
      <c r="B57" s="244" t="str">
        <f t="shared" si="3"/>
        <v/>
      </c>
      <c r="C57" s="245" t="str">
        <f t="shared" si="4"/>
        <v/>
      </c>
      <c r="D57" s="246"/>
      <c r="E57" s="245" t="str">
        <f t="shared" si="5"/>
        <v/>
      </c>
      <c r="F57" s="245" t="str">
        <f t="shared" si="1"/>
        <v/>
      </c>
      <c r="G57" s="245" t="str">
        <f t="shared" si="6"/>
        <v/>
      </c>
      <c r="H57" s="245" t="str">
        <f t="shared" si="2"/>
        <v/>
      </c>
    </row>
    <row r="58" spans="1:8" x14ac:dyDescent="0.2">
      <c r="A58" s="232" t="str">
        <f t="shared" si="0"/>
        <v/>
      </c>
      <c r="B58" s="244" t="str">
        <f t="shared" si="3"/>
        <v/>
      </c>
      <c r="C58" s="245" t="str">
        <f t="shared" si="4"/>
        <v/>
      </c>
      <c r="D58" s="246"/>
      <c r="E58" s="245" t="str">
        <f t="shared" si="5"/>
        <v/>
      </c>
      <c r="F58" s="245" t="str">
        <f t="shared" si="1"/>
        <v/>
      </c>
      <c r="G58" s="245" t="str">
        <f t="shared" si="6"/>
        <v/>
      </c>
      <c r="H58" s="245" t="str">
        <f t="shared" si="2"/>
        <v/>
      </c>
    </row>
    <row r="59" spans="1:8" x14ac:dyDescent="0.2">
      <c r="A59" s="232" t="str">
        <f t="shared" si="0"/>
        <v/>
      </c>
      <c r="B59" s="244" t="str">
        <f t="shared" si="3"/>
        <v/>
      </c>
      <c r="C59" s="245" t="str">
        <f t="shared" si="4"/>
        <v/>
      </c>
      <c r="D59" s="246"/>
      <c r="E59" s="245" t="str">
        <f t="shared" si="5"/>
        <v/>
      </c>
      <c r="F59" s="245" t="str">
        <f t="shared" si="1"/>
        <v/>
      </c>
      <c r="G59" s="245" t="str">
        <f t="shared" si="6"/>
        <v/>
      </c>
      <c r="H59" s="245" t="str">
        <f t="shared" si="2"/>
        <v/>
      </c>
    </row>
    <row r="60" spans="1:8" x14ac:dyDescent="0.2">
      <c r="A60" s="232" t="str">
        <f t="shared" si="0"/>
        <v/>
      </c>
      <c r="B60" s="244" t="str">
        <f t="shared" si="3"/>
        <v/>
      </c>
      <c r="C60" s="245" t="str">
        <f t="shared" si="4"/>
        <v/>
      </c>
      <c r="D60" s="246"/>
      <c r="E60" s="245" t="str">
        <f t="shared" si="5"/>
        <v/>
      </c>
      <c r="F60" s="245" t="str">
        <f t="shared" si="1"/>
        <v/>
      </c>
      <c r="G60" s="245" t="str">
        <f t="shared" si="6"/>
        <v/>
      </c>
      <c r="H60" s="245" t="str">
        <f t="shared" si="2"/>
        <v/>
      </c>
    </row>
    <row r="61" spans="1:8" x14ac:dyDescent="0.2">
      <c r="A61" s="232" t="str">
        <f t="shared" si="0"/>
        <v/>
      </c>
      <c r="B61" s="244" t="str">
        <f t="shared" si="3"/>
        <v/>
      </c>
      <c r="C61" s="245" t="str">
        <f t="shared" si="4"/>
        <v/>
      </c>
      <c r="D61" s="246"/>
      <c r="E61" s="245" t="str">
        <f t="shared" si="5"/>
        <v/>
      </c>
      <c r="F61" s="245" t="str">
        <f t="shared" si="1"/>
        <v/>
      </c>
      <c r="G61" s="245" t="str">
        <f t="shared" si="6"/>
        <v/>
      </c>
      <c r="H61" s="245" t="str">
        <f t="shared" si="2"/>
        <v/>
      </c>
    </row>
    <row r="62" spans="1:8" x14ac:dyDescent="0.2">
      <c r="A62" s="232" t="str">
        <f t="shared" si="0"/>
        <v/>
      </c>
      <c r="B62" s="244" t="str">
        <f t="shared" si="3"/>
        <v/>
      </c>
      <c r="C62" s="245" t="str">
        <f t="shared" si="4"/>
        <v/>
      </c>
      <c r="D62" s="246"/>
      <c r="E62" s="245" t="str">
        <f t="shared" si="5"/>
        <v/>
      </c>
      <c r="F62" s="245" t="str">
        <f t="shared" si="1"/>
        <v/>
      </c>
      <c r="G62" s="245" t="str">
        <f t="shared" si="6"/>
        <v/>
      </c>
      <c r="H62" s="245" t="str">
        <f t="shared" si="2"/>
        <v/>
      </c>
    </row>
    <row r="63" spans="1:8" x14ac:dyDescent="0.2">
      <c r="A63" s="232" t="str">
        <f t="shared" si="0"/>
        <v/>
      </c>
      <c r="B63" s="244" t="str">
        <f t="shared" si="3"/>
        <v/>
      </c>
      <c r="C63" s="245" t="str">
        <f t="shared" si="4"/>
        <v/>
      </c>
      <c r="D63" s="246"/>
      <c r="E63" s="245" t="str">
        <f t="shared" si="5"/>
        <v/>
      </c>
      <c r="F63" s="245" t="str">
        <f t="shared" si="1"/>
        <v/>
      </c>
      <c r="G63" s="245" t="str">
        <f t="shared" si="6"/>
        <v/>
      </c>
      <c r="H63" s="245" t="str">
        <f t="shared" si="2"/>
        <v/>
      </c>
    </row>
    <row r="64" spans="1:8" x14ac:dyDescent="0.2">
      <c r="A64" s="232" t="str">
        <f t="shared" si="0"/>
        <v/>
      </c>
      <c r="B64" s="244" t="str">
        <f t="shared" si="3"/>
        <v/>
      </c>
      <c r="C64" s="245" t="str">
        <f t="shared" si="4"/>
        <v/>
      </c>
      <c r="D64" s="246"/>
      <c r="E64" s="245" t="str">
        <f t="shared" si="5"/>
        <v/>
      </c>
      <c r="F64" s="245" t="str">
        <f t="shared" si="1"/>
        <v/>
      </c>
      <c r="G64" s="245" t="str">
        <f t="shared" si="6"/>
        <v/>
      </c>
      <c r="H64" s="245" t="str">
        <f t="shared" si="2"/>
        <v/>
      </c>
    </row>
    <row r="65" spans="1:8" x14ac:dyDescent="0.2">
      <c r="A65" s="232" t="str">
        <f t="shared" si="0"/>
        <v/>
      </c>
      <c r="B65" s="244" t="str">
        <f t="shared" si="3"/>
        <v/>
      </c>
      <c r="C65" s="245" t="str">
        <f t="shared" si="4"/>
        <v/>
      </c>
      <c r="D65" s="246"/>
      <c r="E65" s="245" t="str">
        <f t="shared" si="5"/>
        <v/>
      </c>
      <c r="F65" s="245" t="str">
        <f t="shared" si="1"/>
        <v/>
      </c>
      <c r="G65" s="245" t="str">
        <f t="shared" si="6"/>
        <v/>
      </c>
      <c r="H65" s="245" t="str">
        <f t="shared" si="2"/>
        <v/>
      </c>
    </row>
    <row r="66" spans="1:8" x14ac:dyDescent="0.2">
      <c r="A66" s="232" t="str">
        <f t="shared" si="0"/>
        <v/>
      </c>
      <c r="B66" s="244" t="str">
        <f t="shared" si="3"/>
        <v/>
      </c>
      <c r="C66" s="245" t="str">
        <f t="shared" si="4"/>
        <v/>
      </c>
      <c r="D66" s="246"/>
      <c r="E66" s="245" t="str">
        <f t="shared" si="5"/>
        <v/>
      </c>
      <c r="F66" s="245" t="str">
        <f t="shared" si="1"/>
        <v/>
      </c>
      <c r="G66" s="245" t="str">
        <f t="shared" si="6"/>
        <v/>
      </c>
      <c r="H66" s="245" t="str">
        <f t="shared" si="2"/>
        <v/>
      </c>
    </row>
    <row r="67" spans="1:8" x14ac:dyDescent="0.2">
      <c r="A67" s="232" t="str">
        <f t="shared" si="0"/>
        <v/>
      </c>
      <c r="B67" s="244" t="str">
        <f t="shared" si="3"/>
        <v/>
      </c>
      <c r="C67" s="245" t="str">
        <f t="shared" si="4"/>
        <v/>
      </c>
      <c r="D67" s="246"/>
      <c r="E67" s="245" t="str">
        <f t="shared" si="5"/>
        <v/>
      </c>
      <c r="F67" s="245" t="str">
        <f t="shared" si="1"/>
        <v/>
      </c>
      <c r="G67" s="245" t="str">
        <f t="shared" si="6"/>
        <v/>
      </c>
      <c r="H67" s="245" t="str">
        <f t="shared" si="2"/>
        <v/>
      </c>
    </row>
    <row r="68" spans="1:8" x14ac:dyDescent="0.2">
      <c r="A68" s="232" t="str">
        <f t="shared" si="0"/>
        <v/>
      </c>
      <c r="B68" s="244" t="str">
        <f t="shared" si="3"/>
        <v/>
      </c>
      <c r="C68" s="245" t="str">
        <f t="shared" si="4"/>
        <v/>
      </c>
      <c r="D68" s="246"/>
      <c r="E68" s="245" t="str">
        <f t="shared" si="5"/>
        <v/>
      </c>
      <c r="F68" s="245" t="str">
        <f t="shared" si="1"/>
        <v/>
      </c>
      <c r="G68" s="245" t="str">
        <f t="shared" si="6"/>
        <v/>
      </c>
      <c r="H68" s="245" t="str">
        <f t="shared" si="2"/>
        <v/>
      </c>
    </row>
    <row r="69" spans="1:8" x14ac:dyDescent="0.2">
      <c r="A69" s="232" t="str">
        <f t="shared" si="0"/>
        <v/>
      </c>
      <c r="B69" s="244" t="str">
        <f t="shared" si="3"/>
        <v/>
      </c>
      <c r="C69" s="245" t="str">
        <f t="shared" si="4"/>
        <v/>
      </c>
      <c r="D69" s="246"/>
      <c r="E69" s="245" t="str">
        <f t="shared" si="5"/>
        <v/>
      </c>
      <c r="F69" s="245" t="str">
        <f t="shared" si="1"/>
        <v/>
      </c>
      <c r="G69" s="245" t="str">
        <f t="shared" si="6"/>
        <v/>
      </c>
      <c r="H69" s="245" t="str">
        <f t="shared" si="2"/>
        <v/>
      </c>
    </row>
    <row r="70" spans="1:8" x14ac:dyDescent="0.2">
      <c r="A70" s="232" t="str">
        <f t="shared" si="0"/>
        <v/>
      </c>
      <c r="B70" s="244" t="str">
        <f t="shared" si="3"/>
        <v/>
      </c>
      <c r="C70" s="245" t="str">
        <f t="shared" si="4"/>
        <v/>
      </c>
      <c r="D70" s="246"/>
      <c r="E70" s="245" t="str">
        <f t="shared" si="5"/>
        <v/>
      </c>
      <c r="F70" s="245" t="str">
        <f t="shared" si="1"/>
        <v/>
      </c>
      <c r="G70" s="245" t="str">
        <f t="shared" si="6"/>
        <v/>
      </c>
      <c r="H70" s="245" t="str">
        <f t="shared" si="2"/>
        <v/>
      </c>
    </row>
    <row r="71" spans="1:8" x14ac:dyDescent="0.2">
      <c r="A71" s="232" t="str">
        <f t="shared" si="0"/>
        <v/>
      </c>
      <c r="B71" s="244" t="str">
        <f t="shared" si="3"/>
        <v/>
      </c>
      <c r="C71" s="245" t="str">
        <f t="shared" si="4"/>
        <v/>
      </c>
      <c r="D71" s="246"/>
      <c r="E71" s="245" t="str">
        <f t="shared" si="5"/>
        <v/>
      </c>
      <c r="F71" s="245" t="str">
        <f t="shared" si="1"/>
        <v/>
      </c>
      <c r="G71" s="245" t="str">
        <f t="shared" si="6"/>
        <v/>
      </c>
      <c r="H71" s="245" t="str">
        <f t="shared" si="2"/>
        <v/>
      </c>
    </row>
    <row r="72" spans="1:8" x14ac:dyDescent="0.2">
      <c r="A72" s="232" t="str">
        <f t="shared" si="0"/>
        <v/>
      </c>
      <c r="B72" s="244" t="str">
        <f t="shared" si="3"/>
        <v/>
      </c>
      <c r="C72" s="245" t="str">
        <f t="shared" si="4"/>
        <v/>
      </c>
      <c r="D72" s="246"/>
      <c r="E72" s="245" t="str">
        <f t="shared" si="5"/>
        <v/>
      </c>
      <c r="F72" s="245" t="str">
        <f t="shared" si="1"/>
        <v/>
      </c>
      <c r="G72" s="245" t="str">
        <f t="shared" si="6"/>
        <v/>
      </c>
      <c r="H72" s="245" t="str">
        <f t="shared" si="2"/>
        <v/>
      </c>
    </row>
    <row r="73" spans="1:8" x14ac:dyDescent="0.2">
      <c r="A73" s="232" t="str">
        <f t="shared" si="0"/>
        <v/>
      </c>
      <c r="B73" s="244" t="str">
        <f t="shared" si="3"/>
        <v/>
      </c>
      <c r="C73" s="245" t="str">
        <f t="shared" si="4"/>
        <v/>
      </c>
      <c r="D73" s="246"/>
      <c r="E73" s="245" t="str">
        <f t="shared" si="5"/>
        <v/>
      </c>
      <c r="F73" s="245" t="str">
        <f t="shared" si="1"/>
        <v/>
      </c>
      <c r="G73" s="245" t="str">
        <f t="shared" si="6"/>
        <v/>
      </c>
      <c r="H73" s="245" t="str">
        <f t="shared" si="2"/>
        <v/>
      </c>
    </row>
    <row r="74" spans="1:8" x14ac:dyDescent="0.2">
      <c r="A74" s="232" t="str">
        <f t="shared" si="0"/>
        <v/>
      </c>
      <c r="B74" s="244" t="str">
        <f t="shared" si="3"/>
        <v/>
      </c>
      <c r="C74" s="245" t="str">
        <f t="shared" si="4"/>
        <v/>
      </c>
      <c r="D74" s="246"/>
      <c r="E74" s="245" t="str">
        <f t="shared" si="5"/>
        <v/>
      </c>
      <c r="F74" s="245" t="str">
        <f t="shared" si="1"/>
        <v/>
      </c>
      <c r="G74" s="245" t="str">
        <f t="shared" si="6"/>
        <v/>
      </c>
      <c r="H74" s="245" t="str">
        <f t="shared" si="2"/>
        <v/>
      </c>
    </row>
    <row r="75" spans="1:8" x14ac:dyDescent="0.2">
      <c r="A75" s="232" t="str">
        <f t="shared" si="0"/>
        <v/>
      </c>
      <c r="B75" s="244" t="str">
        <f t="shared" si="3"/>
        <v/>
      </c>
      <c r="C75" s="245" t="str">
        <f t="shared" si="4"/>
        <v/>
      </c>
      <c r="D75" s="246"/>
      <c r="E75" s="245" t="str">
        <f t="shared" si="5"/>
        <v/>
      </c>
      <c r="F75" s="245" t="str">
        <f t="shared" si="1"/>
        <v/>
      </c>
      <c r="G75" s="245" t="str">
        <f t="shared" si="6"/>
        <v/>
      </c>
      <c r="H75" s="245" t="str">
        <f t="shared" si="2"/>
        <v/>
      </c>
    </row>
    <row r="76" spans="1:8" x14ac:dyDescent="0.2">
      <c r="A76" s="232" t="str">
        <f t="shared" si="0"/>
        <v/>
      </c>
      <c r="B76" s="244" t="str">
        <f t="shared" si="3"/>
        <v/>
      </c>
      <c r="C76" s="245" t="str">
        <f t="shared" si="4"/>
        <v/>
      </c>
      <c r="D76" s="246"/>
      <c r="E76" s="245" t="str">
        <f t="shared" si="5"/>
        <v/>
      </c>
      <c r="F76" s="245" t="str">
        <f t="shared" si="1"/>
        <v/>
      </c>
      <c r="G76" s="245" t="str">
        <f t="shared" si="6"/>
        <v/>
      </c>
      <c r="H76" s="245" t="str">
        <f t="shared" si="2"/>
        <v/>
      </c>
    </row>
    <row r="77" spans="1:8" x14ac:dyDescent="0.2">
      <c r="A77" s="232" t="str">
        <f t="shared" si="0"/>
        <v/>
      </c>
      <c r="B77" s="244" t="str">
        <f t="shared" si="3"/>
        <v/>
      </c>
      <c r="C77" s="245" t="str">
        <f t="shared" si="4"/>
        <v/>
      </c>
      <c r="D77" s="246"/>
      <c r="E77" s="245" t="str">
        <f t="shared" si="5"/>
        <v/>
      </c>
      <c r="F77" s="245" t="str">
        <f t="shared" si="1"/>
        <v/>
      </c>
      <c r="G77" s="245" t="str">
        <f t="shared" si="6"/>
        <v/>
      </c>
      <c r="H77" s="245" t="str">
        <f t="shared" si="2"/>
        <v/>
      </c>
    </row>
    <row r="78" spans="1:8" x14ac:dyDescent="0.2">
      <c r="A78" s="232" t="str">
        <f t="shared" si="0"/>
        <v/>
      </c>
      <c r="B78" s="244" t="str">
        <f t="shared" si="3"/>
        <v/>
      </c>
      <c r="C78" s="245" t="str">
        <f t="shared" si="4"/>
        <v/>
      </c>
      <c r="D78" s="246"/>
      <c r="E78" s="245" t="str">
        <f t="shared" si="5"/>
        <v/>
      </c>
      <c r="F78" s="245" t="str">
        <f t="shared" si="1"/>
        <v/>
      </c>
      <c r="G78" s="245" t="str">
        <f t="shared" si="6"/>
        <v/>
      </c>
      <c r="H78" s="245" t="str">
        <f t="shared" si="2"/>
        <v/>
      </c>
    </row>
    <row r="79" spans="1:8" x14ac:dyDescent="0.2">
      <c r="A79" s="232" t="str">
        <f t="shared" si="0"/>
        <v/>
      </c>
      <c r="B79" s="244" t="str">
        <f t="shared" si="3"/>
        <v/>
      </c>
      <c r="C79" s="245" t="str">
        <f t="shared" si="4"/>
        <v/>
      </c>
      <c r="D79" s="246"/>
      <c r="E79" s="245" t="str">
        <f t="shared" si="5"/>
        <v/>
      </c>
      <c r="F79" s="245" t="str">
        <f t="shared" si="1"/>
        <v/>
      </c>
      <c r="G79" s="245" t="str">
        <f t="shared" si="6"/>
        <v/>
      </c>
      <c r="H79" s="245" t="str">
        <f t="shared" si="2"/>
        <v/>
      </c>
    </row>
    <row r="80" spans="1:8" x14ac:dyDescent="0.2">
      <c r="A80" s="232" t="str">
        <f t="shared" si="0"/>
        <v/>
      </c>
      <c r="B80" s="244" t="str">
        <f t="shared" si="3"/>
        <v/>
      </c>
      <c r="C80" s="245" t="str">
        <f t="shared" si="4"/>
        <v/>
      </c>
      <c r="D80" s="246"/>
      <c r="E80" s="245" t="str">
        <f t="shared" si="5"/>
        <v/>
      </c>
      <c r="F80" s="245" t="str">
        <f t="shared" si="1"/>
        <v/>
      </c>
      <c r="G80" s="245" t="str">
        <f t="shared" si="6"/>
        <v/>
      </c>
      <c r="H80" s="245" t="str">
        <f t="shared" si="2"/>
        <v/>
      </c>
    </row>
    <row r="81" spans="1:8" x14ac:dyDescent="0.2">
      <c r="A81" s="232" t="str">
        <f t="shared" si="0"/>
        <v/>
      </c>
      <c r="B81" s="244" t="str">
        <f t="shared" si="3"/>
        <v/>
      </c>
      <c r="C81" s="245" t="str">
        <f t="shared" si="4"/>
        <v/>
      </c>
      <c r="D81" s="246"/>
      <c r="E81" s="245" t="str">
        <f t="shared" si="5"/>
        <v/>
      </c>
      <c r="F81" s="245" t="str">
        <f t="shared" si="1"/>
        <v/>
      </c>
      <c r="G81" s="245" t="str">
        <f t="shared" si="6"/>
        <v/>
      </c>
      <c r="H81" s="245" t="str">
        <f t="shared" si="2"/>
        <v/>
      </c>
    </row>
    <row r="82" spans="1:8" x14ac:dyDescent="0.2">
      <c r="A82" s="232" t="str">
        <f t="shared" si="0"/>
        <v/>
      </c>
      <c r="B82" s="244" t="str">
        <f t="shared" si="3"/>
        <v/>
      </c>
      <c r="C82" s="245" t="str">
        <f t="shared" si="4"/>
        <v/>
      </c>
      <c r="D82" s="246"/>
      <c r="E82" s="245" t="str">
        <f t="shared" si="5"/>
        <v/>
      </c>
      <c r="F82" s="245" t="str">
        <f t="shared" si="1"/>
        <v/>
      </c>
      <c r="G82" s="245" t="str">
        <f t="shared" si="6"/>
        <v/>
      </c>
      <c r="H82" s="245" t="str">
        <f t="shared" si="2"/>
        <v/>
      </c>
    </row>
    <row r="83" spans="1:8" x14ac:dyDescent="0.2">
      <c r="A83" s="232" t="str">
        <f t="shared" si="0"/>
        <v/>
      </c>
      <c r="B83" s="244" t="str">
        <f t="shared" si="3"/>
        <v/>
      </c>
      <c r="C83" s="245" t="str">
        <f t="shared" si="4"/>
        <v/>
      </c>
      <c r="D83" s="246"/>
      <c r="E83" s="245" t="str">
        <f t="shared" si="5"/>
        <v/>
      </c>
      <c r="F83" s="245" t="str">
        <f t="shared" si="1"/>
        <v/>
      </c>
      <c r="G83" s="245" t="str">
        <f t="shared" si="6"/>
        <v/>
      </c>
      <c r="H83" s="245" t="str">
        <f t="shared" si="2"/>
        <v/>
      </c>
    </row>
    <row r="84" spans="1:8" x14ac:dyDescent="0.2">
      <c r="A84" s="232" t="str">
        <f t="shared" si="0"/>
        <v/>
      </c>
      <c r="B84" s="244" t="str">
        <f t="shared" si="3"/>
        <v/>
      </c>
      <c r="C84" s="245" t="str">
        <f t="shared" si="4"/>
        <v/>
      </c>
      <c r="D84" s="246"/>
      <c r="E84" s="245" t="str">
        <f t="shared" si="5"/>
        <v/>
      </c>
      <c r="F84" s="245" t="str">
        <f t="shared" si="1"/>
        <v/>
      </c>
      <c r="G84" s="245" t="str">
        <f t="shared" si="6"/>
        <v/>
      </c>
      <c r="H84" s="245" t="str">
        <f t="shared" si="2"/>
        <v/>
      </c>
    </row>
    <row r="85" spans="1:8" x14ac:dyDescent="0.2">
      <c r="A85" s="232" t="str">
        <f t="shared" si="0"/>
        <v/>
      </c>
      <c r="B85" s="244" t="str">
        <f t="shared" si="3"/>
        <v/>
      </c>
      <c r="C85" s="245" t="str">
        <f t="shared" si="4"/>
        <v/>
      </c>
      <c r="D85" s="246"/>
      <c r="E85" s="245" t="str">
        <f t="shared" si="5"/>
        <v/>
      </c>
      <c r="F85" s="245" t="str">
        <f t="shared" si="1"/>
        <v/>
      </c>
      <c r="G85" s="245" t="str">
        <f t="shared" si="6"/>
        <v/>
      </c>
      <c r="H85" s="245" t="str">
        <f t="shared" si="2"/>
        <v/>
      </c>
    </row>
    <row r="86" spans="1:8" x14ac:dyDescent="0.2">
      <c r="A86" s="232" t="str">
        <f t="shared" si="0"/>
        <v/>
      </c>
      <c r="B86" s="244" t="str">
        <f t="shared" si="3"/>
        <v/>
      </c>
      <c r="C86" s="245" t="str">
        <f t="shared" si="4"/>
        <v/>
      </c>
      <c r="D86" s="246"/>
      <c r="E86" s="245" t="str">
        <f t="shared" si="5"/>
        <v/>
      </c>
      <c r="F86" s="245" t="str">
        <f t="shared" si="1"/>
        <v/>
      </c>
      <c r="G86" s="245" t="str">
        <f t="shared" si="6"/>
        <v/>
      </c>
      <c r="H86" s="245" t="str">
        <f t="shared" si="2"/>
        <v/>
      </c>
    </row>
    <row r="87" spans="1:8" x14ac:dyDescent="0.2">
      <c r="A87" s="232" t="str">
        <f t="shared" ref="A87:A150" si="7">IF(A86="","",IF(H86&gt;0,A86+1,""))</f>
        <v/>
      </c>
      <c r="B87" s="244" t="str">
        <f t="shared" si="3"/>
        <v/>
      </c>
      <c r="C87" s="245" t="str">
        <f t="shared" ref="C87:C150" si="8">IF(A87="","",IF(ISBLANK($E$10),MIN(MAX($E$7*H86+IF(plusinterest,F87,0),$E$9),F87+H86),MIN($E$10,H86+F87)))</f>
        <v/>
      </c>
      <c r="D87" s="246"/>
      <c r="E87" s="245" t="str">
        <f t="shared" si="5"/>
        <v/>
      </c>
      <c r="F87" s="245" t="str">
        <f t="shared" ref="F87:F150" si="9">IF(A87="","",B87/12*H86)</f>
        <v/>
      </c>
      <c r="G87" s="245" t="str">
        <f t="shared" ref="G87:G150" si="10">IF(A87="","",C87+D87-F87)</f>
        <v/>
      </c>
      <c r="H87" s="245" t="str">
        <f t="shared" ref="H87:H150" si="11">IF(A87="","",H86-G87)</f>
        <v/>
      </c>
    </row>
    <row r="88" spans="1:8" x14ac:dyDescent="0.2">
      <c r="A88" s="232" t="str">
        <f t="shared" si="7"/>
        <v/>
      </c>
      <c r="B88" s="244" t="str">
        <f t="shared" ref="B88:B151" si="12">IF(A88="","",IF(A88&lt;=$E$11,0,$E$6))</f>
        <v/>
      </c>
      <c r="C88" s="245" t="str">
        <f t="shared" si="8"/>
        <v/>
      </c>
      <c r="D88" s="246"/>
      <c r="E88" s="245" t="str">
        <f t="shared" ref="E88:E151" si="13">IF(A88="","",C88+D88)</f>
        <v/>
      </c>
      <c r="F88" s="245" t="str">
        <f t="shared" si="9"/>
        <v/>
      </c>
      <c r="G88" s="245" t="str">
        <f t="shared" si="10"/>
        <v/>
      </c>
      <c r="H88" s="245" t="str">
        <f t="shared" si="11"/>
        <v/>
      </c>
    </row>
    <row r="89" spans="1:8" x14ac:dyDescent="0.2">
      <c r="A89" s="232" t="str">
        <f t="shared" si="7"/>
        <v/>
      </c>
      <c r="B89" s="244" t="str">
        <f t="shared" si="12"/>
        <v/>
      </c>
      <c r="C89" s="245" t="str">
        <f t="shared" si="8"/>
        <v/>
      </c>
      <c r="D89" s="246"/>
      <c r="E89" s="245" t="str">
        <f t="shared" si="13"/>
        <v/>
      </c>
      <c r="F89" s="245" t="str">
        <f t="shared" si="9"/>
        <v/>
      </c>
      <c r="G89" s="245" t="str">
        <f t="shared" si="10"/>
        <v/>
      </c>
      <c r="H89" s="245" t="str">
        <f t="shared" si="11"/>
        <v/>
      </c>
    </row>
    <row r="90" spans="1:8" x14ac:dyDescent="0.2">
      <c r="A90" s="232" t="str">
        <f t="shared" si="7"/>
        <v/>
      </c>
      <c r="B90" s="244" t="str">
        <f t="shared" si="12"/>
        <v/>
      </c>
      <c r="C90" s="245" t="str">
        <f t="shared" si="8"/>
        <v/>
      </c>
      <c r="D90" s="246"/>
      <c r="E90" s="245" t="str">
        <f t="shared" si="13"/>
        <v/>
      </c>
      <c r="F90" s="245" t="str">
        <f t="shared" si="9"/>
        <v/>
      </c>
      <c r="G90" s="245" t="str">
        <f t="shared" si="10"/>
        <v/>
      </c>
      <c r="H90" s="245" t="str">
        <f t="shared" si="11"/>
        <v/>
      </c>
    </row>
    <row r="91" spans="1:8" x14ac:dyDescent="0.2">
      <c r="A91" s="232" t="str">
        <f t="shared" si="7"/>
        <v/>
      </c>
      <c r="B91" s="244" t="str">
        <f t="shared" si="12"/>
        <v/>
      </c>
      <c r="C91" s="245" t="str">
        <f t="shared" si="8"/>
        <v/>
      </c>
      <c r="D91" s="246"/>
      <c r="E91" s="245" t="str">
        <f t="shared" si="13"/>
        <v/>
      </c>
      <c r="F91" s="245" t="str">
        <f t="shared" si="9"/>
        <v/>
      </c>
      <c r="G91" s="245" t="str">
        <f t="shared" si="10"/>
        <v/>
      </c>
      <c r="H91" s="245" t="str">
        <f t="shared" si="11"/>
        <v/>
      </c>
    </row>
    <row r="92" spans="1:8" x14ac:dyDescent="0.2">
      <c r="A92" s="232" t="str">
        <f t="shared" si="7"/>
        <v/>
      </c>
      <c r="B92" s="244" t="str">
        <f t="shared" si="12"/>
        <v/>
      </c>
      <c r="C92" s="245" t="str">
        <f t="shared" si="8"/>
        <v/>
      </c>
      <c r="D92" s="246"/>
      <c r="E92" s="245" t="str">
        <f t="shared" si="13"/>
        <v/>
      </c>
      <c r="F92" s="245" t="str">
        <f t="shared" si="9"/>
        <v/>
      </c>
      <c r="G92" s="245" t="str">
        <f t="shared" si="10"/>
        <v/>
      </c>
      <c r="H92" s="245" t="str">
        <f t="shared" si="11"/>
        <v/>
      </c>
    </row>
    <row r="93" spans="1:8" x14ac:dyDescent="0.2">
      <c r="A93" s="232" t="str">
        <f t="shared" si="7"/>
        <v/>
      </c>
      <c r="B93" s="244" t="str">
        <f t="shared" si="12"/>
        <v/>
      </c>
      <c r="C93" s="245" t="str">
        <f t="shared" si="8"/>
        <v/>
      </c>
      <c r="D93" s="246"/>
      <c r="E93" s="245" t="str">
        <f t="shared" si="13"/>
        <v/>
      </c>
      <c r="F93" s="245" t="str">
        <f t="shared" si="9"/>
        <v/>
      </c>
      <c r="G93" s="245" t="str">
        <f t="shared" si="10"/>
        <v/>
      </c>
      <c r="H93" s="245" t="str">
        <f t="shared" si="11"/>
        <v/>
      </c>
    </row>
    <row r="94" spans="1:8" x14ac:dyDescent="0.2">
      <c r="A94" s="232" t="str">
        <f t="shared" si="7"/>
        <v/>
      </c>
      <c r="B94" s="244" t="str">
        <f t="shared" si="12"/>
        <v/>
      </c>
      <c r="C94" s="245" t="str">
        <f t="shared" si="8"/>
        <v/>
      </c>
      <c r="D94" s="246"/>
      <c r="E94" s="245" t="str">
        <f t="shared" si="13"/>
        <v/>
      </c>
      <c r="F94" s="245" t="str">
        <f t="shared" si="9"/>
        <v/>
      </c>
      <c r="G94" s="245" t="str">
        <f t="shared" si="10"/>
        <v/>
      </c>
      <c r="H94" s="245" t="str">
        <f t="shared" si="11"/>
        <v/>
      </c>
    </row>
    <row r="95" spans="1:8" x14ac:dyDescent="0.2">
      <c r="A95" s="232" t="str">
        <f t="shared" si="7"/>
        <v/>
      </c>
      <c r="B95" s="244" t="str">
        <f t="shared" si="12"/>
        <v/>
      </c>
      <c r="C95" s="245" t="str">
        <f t="shared" si="8"/>
        <v/>
      </c>
      <c r="D95" s="246"/>
      <c r="E95" s="245" t="str">
        <f t="shared" si="13"/>
        <v/>
      </c>
      <c r="F95" s="245" t="str">
        <f t="shared" si="9"/>
        <v/>
      </c>
      <c r="G95" s="245" t="str">
        <f t="shared" si="10"/>
        <v/>
      </c>
      <c r="H95" s="245" t="str">
        <f t="shared" si="11"/>
        <v/>
      </c>
    </row>
    <row r="96" spans="1:8" x14ac:dyDescent="0.2">
      <c r="A96" s="232" t="str">
        <f t="shared" si="7"/>
        <v/>
      </c>
      <c r="B96" s="244" t="str">
        <f t="shared" si="12"/>
        <v/>
      </c>
      <c r="C96" s="245" t="str">
        <f t="shared" si="8"/>
        <v/>
      </c>
      <c r="D96" s="246"/>
      <c r="E96" s="245" t="str">
        <f t="shared" si="13"/>
        <v/>
      </c>
      <c r="F96" s="245" t="str">
        <f t="shared" si="9"/>
        <v/>
      </c>
      <c r="G96" s="245" t="str">
        <f t="shared" si="10"/>
        <v/>
      </c>
      <c r="H96" s="245" t="str">
        <f t="shared" si="11"/>
        <v/>
      </c>
    </row>
    <row r="97" spans="1:8" x14ac:dyDescent="0.2">
      <c r="A97" s="232" t="str">
        <f t="shared" si="7"/>
        <v/>
      </c>
      <c r="B97" s="244" t="str">
        <f t="shared" si="12"/>
        <v/>
      </c>
      <c r="C97" s="245" t="str">
        <f t="shared" si="8"/>
        <v/>
      </c>
      <c r="D97" s="246"/>
      <c r="E97" s="245" t="str">
        <f t="shared" si="13"/>
        <v/>
      </c>
      <c r="F97" s="245" t="str">
        <f t="shared" si="9"/>
        <v/>
      </c>
      <c r="G97" s="245" t="str">
        <f t="shared" si="10"/>
        <v/>
      </c>
      <c r="H97" s="245" t="str">
        <f t="shared" si="11"/>
        <v/>
      </c>
    </row>
    <row r="98" spans="1:8" x14ac:dyDescent="0.2">
      <c r="A98" s="232" t="str">
        <f t="shared" si="7"/>
        <v/>
      </c>
      <c r="B98" s="244" t="str">
        <f t="shared" si="12"/>
        <v/>
      </c>
      <c r="C98" s="245" t="str">
        <f t="shared" si="8"/>
        <v/>
      </c>
      <c r="D98" s="246"/>
      <c r="E98" s="245" t="str">
        <f t="shared" si="13"/>
        <v/>
      </c>
      <c r="F98" s="245" t="str">
        <f t="shared" si="9"/>
        <v/>
      </c>
      <c r="G98" s="245" t="str">
        <f t="shared" si="10"/>
        <v/>
      </c>
      <c r="H98" s="245" t="str">
        <f t="shared" si="11"/>
        <v/>
      </c>
    </row>
    <row r="99" spans="1:8" x14ac:dyDescent="0.2">
      <c r="A99" s="232" t="str">
        <f t="shared" si="7"/>
        <v/>
      </c>
      <c r="B99" s="244" t="str">
        <f t="shared" si="12"/>
        <v/>
      </c>
      <c r="C99" s="245" t="str">
        <f t="shared" si="8"/>
        <v/>
      </c>
      <c r="D99" s="246"/>
      <c r="E99" s="245" t="str">
        <f t="shared" si="13"/>
        <v/>
      </c>
      <c r="F99" s="245" t="str">
        <f t="shared" si="9"/>
        <v/>
      </c>
      <c r="G99" s="245" t="str">
        <f t="shared" si="10"/>
        <v/>
      </c>
      <c r="H99" s="245" t="str">
        <f t="shared" si="11"/>
        <v/>
      </c>
    </row>
    <row r="100" spans="1:8" x14ac:dyDescent="0.2">
      <c r="A100" s="232" t="str">
        <f t="shared" si="7"/>
        <v/>
      </c>
      <c r="B100" s="244" t="str">
        <f t="shared" si="12"/>
        <v/>
      </c>
      <c r="C100" s="245" t="str">
        <f t="shared" si="8"/>
        <v/>
      </c>
      <c r="D100" s="246"/>
      <c r="E100" s="245" t="str">
        <f t="shared" si="13"/>
        <v/>
      </c>
      <c r="F100" s="245" t="str">
        <f t="shared" si="9"/>
        <v/>
      </c>
      <c r="G100" s="245" t="str">
        <f t="shared" si="10"/>
        <v/>
      </c>
      <c r="H100" s="245" t="str">
        <f t="shared" si="11"/>
        <v/>
      </c>
    </row>
    <row r="101" spans="1:8" x14ac:dyDescent="0.2">
      <c r="A101" s="232" t="str">
        <f t="shared" si="7"/>
        <v/>
      </c>
      <c r="B101" s="244" t="str">
        <f t="shared" si="12"/>
        <v/>
      </c>
      <c r="C101" s="245" t="str">
        <f t="shared" si="8"/>
        <v/>
      </c>
      <c r="D101" s="246"/>
      <c r="E101" s="245" t="str">
        <f t="shared" si="13"/>
        <v/>
      </c>
      <c r="F101" s="245" t="str">
        <f t="shared" si="9"/>
        <v/>
      </c>
      <c r="G101" s="245" t="str">
        <f t="shared" si="10"/>
        <v/>
      </c>
      <c r="H101" s="245" t="str">
        <f t="shared" si="11"/>
        <v/>
      </c>
    </row>
    <row r="102" spans="1:8" x14ac:dyDescent="0.2">
      <c r="A102" s="232" t="str">
        <f t="shared" si="7"/>
        <v/>
      </c>
      <c r="B102" s="244" t="str">
        <f t="shared" si="12"/>
        <v/>
      </c>
      <c r="C102" s="245" t="str">
        <f t="shared" si="8"/>
        <v/>
      </c>
      <c r="D102" s="246"/>
      <c r="E102" s="245" t="str">
        <f t="shared" si="13"/>
        <v/>
      </c>
      <c r="F102" s="245" t="str">
        <f t="shared" si="9"/>
        <v/>
      </c>
      <c r="G102" s="245" t="str">
        <f t="shared" si="10"/>
        <v/>
      </c>
      <c r="H102" s="245" t="str">
        <f t="shared" si="11"/>
        <v/>
      </c>
    </row>
    <row r="103" spans="1:8" x14ac:dyDescent="0.2">
      <c r="A103" s="232" t="str">
        <f t="shared" si="7"/>
        <v/>
      </c>
      <c r="B103" s="244" t="str">
        <f t="shared" si="12"/>
        <v/>
      </c>
      <c r="C103" s="245" t="str">
        <f t="shared" si="8"/>
        <v/>
      </c>
      <c r="D103" s="246"/>
      <c r="E103" s="245" t="str">
        <f t="shared" si="13"/>
        <v/>
      </c>
      <c r="F103" s="245" t="str">
        <f t="shared" si="9"/>
        <v/>
      </c>
      <c r="G103" s="245" t="str">
        <f t="shared" si="10"/>
        <v/>
      </c>
      <c r="H103" s="245" t="str">
        <f t="shared" si="11"/>
        <v/>
      </c>
    </row>
    <row r="104" spans="1:8" x14ac:dyDescent="0.2">
      <c r="A104" s="232" t="str">
        <f t="shared" si="7"/>
        <v/>
      </c>
      <c r="B104" s="244" t="str">
        <f t="shared" si="12"/>
        <v/>
      </c>
      <c r="C104" s="245" t="str">
        <f t="shared" si="8"/>
        <v/>
      </c>
      <c r="D104" s="246"/>
      <c r="E104" s="245" t="str">
        <f t="shared" si="13"/>
        <v/>
      </c>
      <c r="F104" s="245" t="str">
        <f t="shared" si="9"/>
        <v/>
      </c>
      <c r="G104" s="245" t="str">
        <f t="shared" si="10"/>
        <v/>
      </c>
      <c r="H104" s="245" t="str">
        <f t="shared" si="11"/>
        <v/>
      </c>
    </row>
    <row r="105" spans="1:8" x14ac:dyDescent="0.2">
      <c r="A105" s="232" t="str">
        <f t="shared" si="7"/>
        <v/>
      </c>
      <c r="B105" s="244" t="str">
        <f t="shared" si="12"/>
        <v/>
      </c>
      <c r="C105" s="245" t="str">
        <f t="shared" si="8"/>
        <v/>
      </c>
      <c r="D105" s="246"/>
      <c r="E105" s="245" t="str">
        <f t="shared" si="13"/>
        <v/>
      </c>
      <c r="F105" s="245" t="str">
        <f t="shared" si="9"/>
        <v/>
      </c>
      <c r="G105" s="245" t="str">
        <f t="shared" si="10"/>
        <v/>
      </c>
      <c r="H105" s="245" t="str">
        <f t="shared" si="11"/>
        <v/>
      </c>
    </row>
    <row r="106" spans="1:8" x14ac:dyDescent="0.2">
      <c r="A106" s="232" t="str">
        <f t="shared" si="7"/>
        <v/>
      </c>
      <c r="B106" s="244" t="str">
        <f t="shared" si="12"/>
        <v/>
      </c>
      <c r="C106" s="245" t="str">
        <f t="shared" si="8"/>
        <v/>
      </c>
      <c r="D106" s="246"/>
      <c r="E106" s="245" t="str">
        <f t="shared" si="13"/>
        <v/>
      </c>
      <c r="F106" s="245" t="str">
        <f t="shared" si="9"/>
        <v/>
      </c>
      <c r="G106" s="245" t="str">
        <f t="shared" si="10"/>
        <v/>
      </c>
      <c r="H106" s="245" t="str">
        <f t="shared" si="11"/>
        <v/>
      </c>
    </row>
    <row r="107" spans="1:8" x14ac:dyDescent="0.2">
      <c r="A107" s="232" t="str">
        <f t="shared" si="7"/>
        <v/>
      </c>
      <c r="B107" s="244" t="str">
        <f t="shared" si="12"/>
        <v/>
      </c>
      <c r="C107" s="245" t="str">
        <f t="shared" si="8"/>
        <v/>
      </c>
      <c r="D107" s="246"/>
      <c r="E107" s="245" t="str">
        <f t="shared" si="13"/>
        <v/>
      </c>
      <c r="F107" s="245" t="str">
        <f t="shared" si="9"/>
        <v/>
      </c>
      <c r="G107" s="245" t="str">
        <f t="shared" si="10"/>
        <v/>
      </c>
      <c r="H107" s="245" t="str">
        <f t="shared" si="11"/>
        <v/>
      </c>
    </row>
    <row r="108" spans="1:8" x14ac:dyDescent="0.2">
      <c r="A108" s="232" t="str">
        <f t="shared" si="7"/>
        <v/>
      </c>
      <c r="B108" s="244" t="str">
        <f t="shared" si="12"/>
        <v/>
      </c>
      <c r="C108" s="245" t="str">
        <f t="shared" si="8"/>
        <v/>
      </c>
      <c r="D108" s="246"/>
      <c r="E108" s="245" t="str">
        <f t="shared" si="13"/>
        <v/>
      </c>
      <c r="F108" s="245" t="str">
        <f t="shared" si="9"/>
        <v/>
      </c>
      <c r="G108" s="245" t="str">
        <f t="shared" si="10"/>
        <v/>
      </c>
      <c r="H108" s="245" t="str">
        <f t="shared" si="11"/>
        <v/>
      </c>
    </row>
    <row r="109" spans="1:8" x14ac:dyDescent="0.2">
      <c r="A109" s="232" t="str">
        <f t="shared" si="7"/>
        <v/>
      </c>
      <c r="B109" s="244" t="str">
        <f t="shared" si="12"/>
        <v/>
      </c>
      <c r="C109" s="245" t="str">
        <f t="shared" si="8"/>
        <v/>
      </c>
      <c r="D109" s="246"/>
      <c r="E109" s="245" t="str">
        <f t="shared" si="13"/>
        <v/>
      </c>
      <c r="F109" s="245" t="str">
        <f t="shared" si="9"/>
        <v/>
      </c>
      <c r="G109" s="245" t="str">
        <f t="shared" si="10"/>
        <v/>
      </c>
      <c r="H109" s="245" t="str">
        <f t="shared" si="11"/>
        <v/>
      </c>
    </row>
    <row r="110" spans="1:8" x14ac:dyDescent="0.2">
      <c r="A110" s="232" t="str">
        <f t="shared" si="7"/>
        <v/>
      </c>
      <c r="B110" s="244" t="str">
        <f t="shared" si="12"/>
        <v/>
      </c>
      <c r="C110" s="245" t="str">
        <f t="shared" si="8"/>
        <v/>
      </c>
      <c r="D110" s="246"/>
      <c r="E110" s="245" t="str">
        <f t="shared" si="13"/>
        <v/>
      </c>
      <c r="F110" s="245" t="str">
        <f t="shared" si="9"/>
        <v/>
      </c>
      <c r="G110" s="245" t="str">
        <f t="shared" si="10"/>
        <v/>
      </c>
      <c r="H110" s="245" t="str">
        <f t="shared" si="11"/>
        <v/>
      </c>
    </row>
    <row r="111" spans="1:8" x14ac:dyDescent="0.2">
      <c r="A111" s="232" t="str">
        <f t="shared" si="7"/>
        <v/>
      </c>
      <c r="B111" s="244" t="str">
        <f t="shared" si="12"/>
        <v/>
      </c>
      <c r="C111" s="245" t="str">
        <f t="shared" si="8"/>
        <v/>
      </c>
      <c r="D111" s="246"/>
      <c r="E111" s="245" t="str">
        <f t="shared" si="13"/>
        <v/>
      </c>
      <c r="F111" s="245" t="str">
        <f t="shared" si="9"/>
        <v/>
      </c>
      <c r="G111" s="245" t="str">
        <f t="shared" si="10"/>
        <v/>
      </c>
      <c r="H111" s="245" t="str">
        <f t="shared" si="11"/>
        <v/>
      </c>
    </row>
    <row r="112" spans="1:8" x14ac:dyDescent="0.2">
      <c r="A112" s="232" t="str">
        <f t="shared" si="7"/>
        <v/>
      </c>
      <c r="B112" s="244" t="str">
        <f t="shared" si="12"/>
        <v/>
      </c>
      <c r="C112" s="245" t="str">
        <f t="shared" si="8"/>
        <v/>
      </c>
      <c r="D112" s="246"/>
      <c r="E112" s="245" t="str">
        <f t="shared" si="13"/>
        <v/>
      </c>
      <c r="F112" s="245" t="str">
        <f t="shared" si="9"/>
        <v/>
      </c>
      <c r="G112" s="245" t="str">
        <f t="shared" si="10"/>
        <v/>
      </c>
      <c r="H112" s="245" t="str">
        <f t="shared" si="11"/>
        <v/>
      </c>
    </row>
    <row r="113" spans="1:8" x14ac:dyDescent="0.2">
      <c r="A113" s="232" t="str">
        <f t="shared" si="7"/>
        <v/>
      </c>
      <c r="B113" s="244" t="str">
        <f t="shared" si="12"/>
        <v/>
      </c>
      <c r="C113" s="245" t="str">
        <f t="shared" si="8"/>
        <v/>
      </c>
      <c r="D113" s="246"/>
      <c r="E113" s="245" t="str">
        <f t="shared" si="13"/>
        <v/>
      </c>
      <c r="F113" s="245" t="str">
        <f t="shared" si="9"/>
        <v/>
      </c>
      <c r="G113" s="245" t="str">
        <f t="shared" si="10"/>
        <v/>
      </c>
      <c r="H113" s="245" t="str">
        <f t="shared" si="11"/>
        <v/>
      </c>
    </row>
    <row r="114" spans="1:8" x14ac:dyDescent="0.2">
      <c r="A114" s="232" t="str">
        <f t="shared" si="7"/>
        <v/>
      </c>
      <c r="B114" s="244" t="str">
        <f t="shared" si="12"/>
        <v/>
      </c>
      <c r="C114" s="245" t="str">
        <f t="shared" si="8"/>
        <v/>
      </c>
      <c r="D114" s="246"/>
      <c r="E114" s="245" t="str">
        <f t="shared" si="13"/>
        <v/>
      </c>
      <c r="F114" s="245" t="str">
        <f t="shared" si="9"/>
        <v/>
      </c>
      <c r="G114" s="245" t="str">
        <f t="shared" si="10"/>
        <v/>
      </c>
      <c r="H114" s="245" t="str">
        <f t="shared" si="11"/>
        <v/>
      </c>
    </row>
    <row r="115" spans="1:8" x14ac:dyDescent="0.2">
      <c r="A115" s="232" t="str">
        <f t="shared" si="7"/>
        <v/>
      </c>
      <c r="B115" s="244" t="str">
        <f t="shared" si="12"/>
        <v/>
      </c>
      <c r="C115" s="245" t="str">
        <f t="shared" si="8"/>
        <v/>
      </c>
      <c r="D115" s="246"/>
      <c r="E115" s="245" t="str">
        <f t="shared" si="13"/>
        <v/>
      </c>
      <c r="F115" s="245" t="str">
        <f t="shared" si="9"/>
        <v/>
      </c>
      <c r="G115" s="245" t="str">
        <f t="shared" si="10"/>
        <v/>
      </c>
      <c r="H115" s="245" t="str">
        <f t="shared" si="11"/>
        <v/>
      </c>
    </row>
    <row r="116" spans="1:8" x14ac:dyDescent="0.2">
      <c r="A116" s="232" t="str">
        <f t="shared" si="7"/>
        <v/>
      </c>
      <c r="B116" s="244" t="str">
        <f t="shared" si="12"/>
        <v/>
      </c>
      <c r="C116" s="245" t="str">
        <f t="shared" si="8"/>
        <v/>
      </c>
      <c r="D116" s="246"/>
      <c r="E116" s="245" t="str">
        <f t="shared" si="13"/>
        <v/>
      </c>
      <c r="F116" s="245" t="str">
        <f t="shared" si="9"/>
        <v/>
      </c>
      <c r="G116" s="245" t="str">
        <f t="shared" si="10"/>
        <v/>
      </c>
      <c r="H116" s="245" t="str">
        <f t="shared" si="11"/>
        <v/>
      </c>
    </row>
    <row r="117" spans="1:8" x14ac:dyDescent="0.2">
      <c r="A117" s="232" t="str">
        <f t="shared" si="7"/>
        <v/>
      </c>
      <c r="B117" s="244" t="str">
        <f t="shared" si="12"/>
        <v/>
      </c>
      <c r="C117" s="245" t="str">
        <f t="shared" si="8"/>
        <v/>
      </c>
      <c r="D117" s="246"/>
      <c r="E117" s="245" t="str">
        <f t="shared" si="13"/>
        <v/>
      </c>
      <c r="F117" s="245" t="str">
        <f t="shared" si="9"/>
        <v/>
      </c>
      <c r="G117" s="245" t="str">
        <f t="shared" si="10"/>
        <v/>
      </c>
      <c r="H117" s="245" t="str">
        <f t="shared" si="11"/>
        <v/>
      </c>
    </row>
    <row r="118" spans="1:8" x14ac:dyDescent="0.2">
      <c r="A118" s="232" t="str">
        <f t="shared" si="7"/>
        <v/>
      </c>
      <c r="B118" s="244" t="str">
        <f t="shared" si="12"/>
        <v/>
      </c>
      <c r="C118" s="245" t="str">
        <f t="shared" si="8"/>
        <v/>
      </c>
      <c r="D118" s="246"/>
      <c r="E118" s="245" t="str">
        <f t="shared" si="13"/>
        <v/>
      </c>
      <c r="F118" s="245" t="str">
        <f t="shared" si="9"/>
        <v/>
      </c>
      <c r="G118" s="245" t="str">
        <f t="shared" si="10"/>
        <v/>
      </c>
      <c r="H118" s="245" t="str">
        <f t="shared" si="11"/>
        <v/>
      </c>
    </row>
    <row r="119" spans="1:8" x14ac:dyDescent="0.2">
      <c r="A119" s="232" t="str">
        <f t="shared" si="7"/>
        <v/>
      </c>
      <c r="B119" s="244" t="str">
        <f t="shared" si="12"/>
        <v/>
      </c>
      <c r="C119" s="245" t="str">
        <f t="shared" si="8"/>
        <v/>
      </c>
      <c r="D119" s="246"/>
      <c r="E119" s="245" t="str">
        <f t="shared" si="13"/>
        <v/>
      </c>
      <c r="F119" s="245" t="str">
        <f t="shared" si="9"/>
        <v/>
      </c>
      <c r="G119" s="245" t="str">
        <f t="shared" si="10"/>
        <v/>
      </c>
      <c r="H119" s="245" t="str">
        <f t="shared" si="11"/>
        <v/>
      </c>
    </row>
    <row r="120" spans="1:8" x14ac:dyDescent="0.2">
      <c r="A120" s="232" t="str">
        <f t="shared" si="7"/>
        <v/>
      </c>
      <c r="B120" s="244" t="str">
        <f t="shared" si="12"/>
        <v/>
      </c>
      <c r="C120" s="245" t="str">
        <f t="shared" si="8"/>
        <v/>
      </c>
      <c r="D120" s="246"/>
      <c r="E120" s="245" t="str">
        <f t="shared" si="13"/>
        <v/>
      </c>
      <c r="F120" s="245" t="str">
        <f t="shared" si="9"/>
        <v/>
      </c>
      <c r="G120" s="245" t="str">
        <f t="shared" si="10"/>
        <v/>
      </c>
      <c r="H120" s="245" t="str">
        <f t="shared" si="11"/>
        <v/>
      </c>
    </row>
    <row r="121" spans="1:8" x14ac:dyDescent="0.2">
      <c r="A121" s="232" t="str">
        <f t="shared" si="7"/>
        <v/>
      </c>
      <c r="B121" s="244" t="str">
        <f t="shared" si="12"/>
        <v/>
      </c>
      <c r="C121" s="245" t="str">
        <f t="shared" si="8"/>
        <v/>
      </c>
      <c r="D121" s="246"/>
      <c r="E121" s="245" t="str">
        <f t="shared" si="13"/>
        <v/>
      </c>
      <c r="F121" s="245" t="str">
        <f t="shared" si="9"/>
        <v/>
      </c>
      <c r="G121" s="245" t="str">
        <f t="shared" si="10"/>
        <v/>
      </c>
      <c r="H121" s="245" t="str">
        <f t="shared" si="11"/>
        <v/>
      </c>
    </row>
    <row r="122" spans="1:8" x14ac:dyDescent="0.2">
      <c r="A122" s="232" t="str">
        <f t="shared" si="7"/>
        <v/>
      </c>
      <c r="B122" s="244" t="str">
        <f t="shared" si="12"/>
        <v/>
      </c>
      <c r="C122" s="245" t="str">
        <f t="shared" si="8"/>
        <v/>
      </c>
      <c r="D122" s="246"/>
      <c r="E122" s="245" t="str">
        <f t="shared" si="13"/>
        <v/>
      </c>
      <c r="F122" s="245" t="str">
        <f t="shared" si="9"/>
        <v/>
      </c>
      <c r="G122" s="245" t="str">
        <f t="shared" si="10"/>
        <v/>
      </c>
      <c r="H122" s="245" t="str">
        <f t="shared" si="11"/>
        <v/>
      </c>
    </row>
    <row r="123" spans="1:8" x14ac:dyDescent="0.2">
      <c r="A123" s="232" t="str">
        <f t="shared" si="7"/>
        <v/>
      </c>
      <c r="B123" s="244" t="str">
        <f t="shared" si="12"/>
        <v/>
      </c>
      <c r="C123" s="245" t="str">
        <f t="shared" si="8"/>
        <v/>
      </c>
      <c r="D123" s="246"/>
      <c r="E123" s="245" t="str">
        <f t="shared" si="13"/>
        <v/>
      </c>
      <c r="F123" s="245" t="str">
        <f t="shared" si="9"/>
        <v/>
      </c>
      <c r="G123" s="245" t="str">
        <f t="shared" si="10"/>
        <v/>
      </c>
      <c r="H123" s="245" t="str">
        <f t="shared" si="11"/>
        <v/>
      </c>
    </row>
    <row r="124" spans="1:8" x14ac:dyDescent="0.2">
      <c r="A124" s="232" t="str">
        <f t="shared" si="7"/>
        <v/>
      </c>
      <c r="B124" s="244" t="str">
        <f t="shared" si="12"/>
        <v/>
      </c>
      <c r="C124" s="245" t="str">
        <f t="shared" si="8"/>
        <v/>
      </c>
      <c r="D124" s="246"/>
      <c r="E124" s="245" t="str">
        <f t="shared" si="13"/>
        <v/>
      </c>
      <c r="F124" s="245" t="str">
        <f t="shared" si="9"/>
        <v/>
      </c>
      <c r="G124" s="245" t="str">
        <f t="shared" si="10"/>
        <v/>
      </c>
      <c r="H124" s="245" t="str">
        <f t="shared" si="11"/>
        <v/>
      </c>
    </row>
    <row r="125" spans="1:8" x14ac:dyDescent="0.2">
      <c r="A125" s="232" t="str">
        <f t="shared" si="7"/>
        <v/>
      </c>
      <c r="B125" s="244" t="str">
        <f t="shared" si="12"/>
        <v/>
      </c>
      <c r="C125" s="245" t="str">
        <f t="shared" si="8"/>
        <v/>
      </c>
      <c r="D125" s="246"/>
      <c r="E125" s="245" t="str">
        <f t="shared" si="13"/>
        <v/>
      </c>
      <c r="F125" s="245" t="str">
        <f t="shared" si="9"/>
        <v/>
      </c>
      <c r="G125" s="245" t="str">
        <f t="shared" si="10"/>
        <v/>
      </c>
      <c r="H125" s="245" t="str">
        <f t="shared" si="11"/>
        <v/>
      </c>
    </row>
    <row r="126" spans="1:8" x14ac:dyDescent="0.2">
      <c r="A126" s="232" t="str">
        <f t="shared" si="7"/>
        <v/>
      </c>
      <c r="B126" s="244" t="str">
        <f t="shared" si="12"/>
        <v/>
      </c>
      <c r="C126" s="245" t="str">
        <f t="shared" si="8"/>
        <v/>
      </c>
      <c r="D126" s="246"/>
      <c r="E126" s="245" t="str">
        <f t="shared" si="13"/>
        <v/>
      </c>
      <c r="F126" s="245" t="str">
        <f t="shared" si="9"/>
        <v/>
      </c>
      <c r="G126" s="245" t="str">
        <f t="shared" si="10"/>
        <v/>
      </c>
      <c r="H126" s="245" t="str">
        <f t="shared" si="11"/>
        <v/>
      </c>
    </row>
    <row r="127" spans="1:8" x14ac:dyDescent="0.2">
      <c r="A127" s="232" t="str">
        <f t="shared" si="7"/>
        <v/>
      </c>
      <c r="B127" s="244" t="str">
        <f t="shared" si="12"/>
        <v/>
      </c>
      <c r="C127" s="245" t="str">
        <f t="shared" si="8"/>
        <v/>
      </c>
      <c r="D127" s="246"/>
      <c r="E127" s="245" t="str">
        <f t="shared" si="13"/>
        <v/>
      </c>
      <c r="F127" s="245" t="str">
        <f t="shared" si="9"/>
        <v/>
      </c>
      <c r="G127" s="245" t="str">
        <f t="shared" si="10"/>
        <v/>
      </c>
      <c r="H127" s="245" t="str">
        <f t="shared" si="11"/>
        <v/>
      </c>
    </row>
    <row r="128" spans="1:8" x14ac:dyDescent="0.2">
      <c r="A128" s="232" t="str">
        <f t="shared" si="7"/>
        <v/>
      </c>
      <c r="B128" s="244" t="str">
        <f t="shared" si="12"/>
        <v/>
      </c>
      <c r="C128" s="245" t="str">
        <f t="shared" si="8"/>
        <v/>
      </c>
      <c r="D128" s="246"/>
      <c r="E128" s="245" t="str">
        <f t="shared" si="13"/>
        <v/>
      </c>
      <c r="F128" s="245" t="str">
        <f t="shared" si="9"/>
        <v/>
      </c>
      <c r="G128" s="245" t="str">
        <f t="shared" si="10"/>
        <v/>
      </c>
      <c r="H128" s="245" t="str">
        <f t="shared" si="11"/>
        <v/>
      </c>
    </row>
    <row r="129" spans="1:8" x14ac:dyDescent="0.2">
      <c r="A129" s="232" t="str">
        <f t="shared" si="7"/>
        <v/>
      </c>
      <c r="B129" s="244" t="str">
        <f t="shared" si="12"/>
        <v/>
      </c>
      <c r="C129" s="245" t="str">
        <f t="shared" si="8"/>
        <v/>
      </c>
      <c r="D129" s="246"/>
      <c r="E129" s="245" t="str">
        <f t="shared" si="13"/>
        <v/>
      </c>
      <c r="F129" s="245" t="str">
        <f t="shared" si="9"/>
        <v/>
      </c>
      <c r="G129" s="245" t="str">
        <f t="shared" si="10"/>
        <v/>
      </c>
      <c r="H129" s="245" t="str">
        <f t="shared" si="11"/>
        <v/>
      </c>
    </row>
    <row r="130" spans="1:8" x14ac:dyDescent="0.2">
      <c r="A130" s="232" t="str">
        <f t="shared" si="7"/>
        <v/>
      </c>
      <c r="B130" s="244" t="str">
        <f t="shared" si="12"/>
        <v/>
      </c>
      <c r="C130" s="245" t="str">
        <f t="shared" si="8"/>
        <v/>
      </c>
      <c r="D130" s="246"/>
      <c r="E130" s="245" t="str">
        <f t="shared" si="13"/>
        <v/>
      </c>
      <c r="F130" s="245" t="str">
        <f t="shared" si="9"/>
        <v/>
      </c>
      <c r="G130" s="245" t="str">
        <f t="shared" si="10"/>
        <v/>
      </c>
      <c r="H130" s="245" t="str">
        <f t="shared" si="11"/>
        <v/>
      </c>
    </row>
    <row r="131" spans="1:8" x14ac:dyDescent="0.2">
      <c r="A131" s="232" t="str">
        <f t="shared" si="7"/>
        <v/>
      </c>
      <c r="B131" s="244" t="str">
        <f t="shared" si="12"/>
        <v/>
      </c>
      <c r="C131" s="245" t="str">
        <f t="shared" si="8"/>
        <v/>
      </c>
      <c r="D131" s="246"/>
      <c r="E131" s="245" t="str">
        <f t="shared" si="13"/>
        <v/>
      </c>
      <c r="F131" s="245" t="str">
        <f t="shared" si="9"/>
        <v/>
      </c>
      <c r="G131" s="245" t="str">
        <f t="shared" si="10"/>
        <v/>
      </c>
      <c r="H131" s="245" t="str">
        <f t="shared" si="11"/>
        <v/>
      </c>
    </row>
    <row r="132" spans="1:8" x14ac:dyDescent="0.2">
      <c r="A132" s="232" t="str">
        <f t="shared" si="7"/>
        <v/>
      </c>
      <c r="B132" s="244" t="str">
        <f t="shared" si="12"/>
        <v/>
      </c>
      <c r="C132" s="245" t="str">
        <f t="shared" si="8"/>
        <v/>
      </c>
      <c r="D132" s="246"/>
      <c r="E132" s="245" t="str">
        <f t="shared" si="13"/>
        <v/>
      </c>
      <c r="F132" s="245" t="str">
        <f t="shared" si="9"/>
        <v/>
      </c>
      <c r="G132" s="245" t="str">
        <f t="shared" si="10"/>
        <v/>
      </c>
      <c r="H132" s="245" t="str">
        <f t="shared" si="11"/>
        <v/>
      </c>
    </row>
    <row r="133" spans="1:8" x14ac:dyDescent="0.2">
      <c r="A133" s="232" t="str">
        <f t="shared" si="7"/>
        <v/>
      </c>
      <c r="B133" s="244" t="str">
        <f t="shared" si="12"/>
        <v/>
      </c>
      <c r="C133" s="245" t="str">
        <f t="shared" si="8"/>
        <v/>
      </c>
      <c r="D133" s="246"/>
      <c r="E133" s="245" t="str">
        <f t="shared" si="13"/>
        <v/>
      </c>
      <c r="F133" s="245" t="str">
        <f t="shared" si="9"/>
        <v/>
      </c>
      <c r="G133" s="245" t="str">
        <f t="shared" si="10"/>
        <v/>
      </c>
      <c r="H133" s="245" t="str">
        <f t="shared" si="11"/>
        <v/>
      </c>
    </row>
    <row r="134" spans="1:8" x14ac:dyDescent="0.2">
      <c r="A134" s="232" t="str">
        <f t="shared" si="7"/>
        <v/>
      </c>
      <c r="B134" s="244" t="str">
        <f t="shared" si="12"/>
        <v/>
      </c>
      <c r="C134" s="245" t="str">
        <f t="shared" si="8"/>
        <v/>
      </c>
      <c r="D134" s="246"/>
      <c r="E134" s="245" t="str">
        <f t="shared" si="13"/>
        <v/>
      </c>
      <c r="F134" s="245" t="str">
        <f t="shared" si="9"/>
        <v/>
      </c>
      <c r="G134" s="245" t="str">
        <f t="shared" si="10"/>
        <v/>
      </c>
      <c r="H134" s="245" t="str">
        <f t="shared" si="11"/>
        <v/>
      </c>
    </row>
    <row r="135" spans="1:8" x14ac:dyDescent="0.2">
      <c r="A135" s="232" t="str">
        <f t="shared" si="7"/>
        <v/>
      </c>
      <c r="B135" s="244" t="str">
        <f t="shared" si="12"/>
        <v/>
      </c>
      <c r="C135" s="245" t="str">
        <f t="shared" si="8"/>
        <v/>
      </c>
      <c r="D135" s="246"/>
      <c r="E135" s="245" t="str">
        <f t="shared" si="13"/>
        <v/>
      </c>
      <c r="F135" s="245" t="str">
        <f t="shared" si="9"/>
        <v/>
      </c>
      <c r="G135" s="245" t="str">
        <f t="shared" si="10"/>
        <v/>
      </c>
      <c r="H135" s="245" t="str">
        <f t="shared" si="11"/>
        <v/>
      </c>
    </row>
    <row r="136" spans="1:8" x14ac:dyDescent="0.2">
      <c r="A136" s="232" t="str">
        <f t="shared" si="7"/>
        <v/>
      </c>
      <c r="B136" s="244" t="str">
        <f t="shared" si="12"/>
        <v/>
      </c>
      <c r="C136" s="245" t="str">
        <f t="shared" si="8"/>
        <v/>
      </c>
      <c r="D136" s="246"/>
      <c r="E136" s="245" t="str">
        <f t="shared" si="13"/>
        <v/>
      </c>
      <c r="F136" s="245" t="str">
        <f t="shared" si="9"/>
        <v/>
      </c>
      <c r="G136" s="245" t="str">
        <f t="shared" si="10"/>
        <v/>
      </c>
      <c r="H136" s="245" t="str">
        <f t="shared" si="11"/>
        <v/>
      </c>
    </row>
    <row r="137" spans="1:8" x14ac:dyDescent="0.2">
      <c r="A137" s="232" t="str">
        <f t="shared" si="7"/>
        <v/>
      </c>
      <c r="B137" s="244" t="str">
        <f t="shared" si="12"/>
        <v/>
      </c>
      <c r="C137" s="245" t="str">
        <f t="shared" si="8"/>
        <v/>
      </c>
      <c r="D137" s="246"/>
      <c r="E137" s="245" t="str">
        <f t="shared" si="13"/>
        <v/>
      </c>
      <c r="F137" s="245" t="str">
        <f t="shared" si="9"/>
        <v/>
      </c>
      <c r="G137" s="245" t="str">
        <f t="shared" si="10"/>
        <v/>
      </c>
      <c r="H137" s="245" t="str">
        <f t="shared" si="11"/>
        <v/>
      </c>
    </row>
    <row r="138" spans="1:8" x14ac:dyDescent="0.2">
      <c r="A138" s="232" t="str">
        <f t="shared" si="7"/>
        <v/>
      </c>
      <c r="B138" s="244" t="str">
        <f t="shared" si="12"/>
        <v/>
      </c>
      <c r="C138" s="245" t="str">
        <f t="shared" si="8"/>
        <v/>
      </c>
      <c r="D138" s="246"/>
      <c r="E138" s="245" t="str">
        <f t="shared" si="13"/>
        <v/>
      </c>
      <c r="F138" s="245" t="str">
        <f t="shared" si="9"/>
        <v/>
      </c>
      <c r="G138" s="245" t="str">
        <f t="shared" si="10"/>
        <v/>
      </c>
      <c r="H138" s="245" t="str">
        <f t="shared" si="11"/>
        <v/>
      </c>
    </row>
    <row r="139" spans="1:8" x14ac:dyDescent="0.2">
      <c r="A139" s="232" t="str">
        <f t="shared" si="7"/>
        <v/>
      </c>
      <c r="B139" s="244" t="str">
        <f t="shared" si="12"/>
        <v/>
      </c>
      <c r="C139" s="245" t="str">
        <f t="shared" si="8"/>
        <v/>
      </c>
      <c r="D139" s="246"/>
      <c r="E139" s="245" t="str">
        <f t="shared" si="13"/>
        <v/>
      </c>
      <c r="F139" s="245" t="str">
        <f t="shared" si="9"/>
        <v/>
      </c>
      <c r="G139" s="245" t="str">
        <f t="shared" si="10"/>
        <v/>
      </c>
      <c r="H139" s="245" t="str">
        <f t="shared" si="11"/>
        <v/>
      </c>
    </row>
    <row r="140" spans="1:8" x14ac:dyDescent="0.2">
      <c r="A140" s="232" t="str">
        <f t="shared" si="7"/>
        <v/>
      </c>
      <c r="B140" s="244" t="str">
        <f t="shared" si="12"/>
        <v/>
      </c>
      <c r="C140" s="245" t="str">
        <f t="shared" si="8"/>
        <v/>
      </c>
      <c r="D140" s="246"/>
      <c r="E140" s="245" t="str">
        <f t="shared" si="13"/>
        <v/>
      </c>
      <c r="F140" s="245" t="str">
        <f t="shared" si="9"/>
        <v/>
      </c>
      <c r="G140" s="245" t="str">
        <f t="shared" si="10"/>
        <v/>
      </c>
      <c r="H140" s="245" t="str">
        <f t="shared" si="11"/>
        <v/>
      </c>
    </row>
    <row r="141" spans="1:8" x14ac:dyDescent="0.2">
      <c r="A141" s="232" t="str">
        <f t="shared" si="7"/>
        <v/>
      </c>
      <c r="B141" s="244" t="str">
        <f t="shared" si="12"/>
        <v/>
      </c>
      <c r="C141" s="245" t="str">
        <f t="shared" si="8"/>
        <v/>
      </c>
      <c r="D141" s="246"/>
      <c r="E141" s="245" t="str">
        <f t="shared" si="13"/>
        <v/>
      </c>
      <c r="F141" s="245" t="str">
        <f t="shared" si="9"/>
        <v/>
      </c>
      <c r="G141" s="245" t="str">
        <f t="shared" si="10"/>
        <v/>
      </c>
      <c r="H141" s="245" t="str">
        <f t="shared" si="11"/>
        <v/>
      </c>
    </row>
    <row r="142" spans="1:8" x14ac:dyDescent="0.2">
      <c r="A142" s="232" t="str">
        <f t="shared" si="7"/>
        <v/>
      </c>
      <c r="B142" s="244" t="str">
        <f t="shared" si="12"/>
        <v/>
      </c>
      <c r="C142" s="245" t="str">
        <f t="shared" si="8"/>
        <v/>
      </c>
      <c r="D142" s="246"/>
      <c r="E142" s="245" t="str">
        <f t="shared" si="13"/>
        <v/>
      </c>
      <c r="F142" s="245" t="str">
        <f t="shared" si="9"/>
        <v/>
      </c>
      <c r="G142" s="245" t="str">
        <f t="shared" si="10"/>
        <v/>
      </c>
      <c r="H142" s="245" t="str">
        <f t="shared" si="11"/>
        <v/>
      </c>
    </row>
    <row r="143" spans="1:8" x14ac:dyDescent="0.2">
      <c r="A143" s="232" t="str">
        <f t="shared" si="7"/>
        <v/>
      </c>
      <c r="B143" s="244" t="str">
        <f t="shared" si="12"/>
        <v/>
      </c>
      <c r="C143" s="245" t="str">
        <f t="shared" si="8"/>
        <v/>
      </c>
      <c r="D143" s="246"/>
      <c r="E143" s="245" t="str">
        <f t="shared" si="13"/>
        <v/>
      </c>
      <c r="F143" s="245" t="str">
        <f t="shared" si="9"/>
        <v/>
      </c>
      <c r="G143" s="245" t="str">
        <f t="shared" si="10"/>
        <v/>
      </c>
      <c r="H143" s="245" t="str">
        <f t="shared" si="11"/>
        <v/>
      </c>
    </row>
    <row r="144" spans="1:8" x14ac:dyDescent="0.2">
      <c r="A144" s="232" t="str">
        <f t="shared" si="7"/>
        <v/>
      </c>
      <c r="B144" s="244" t="str">
        <f t="shared" si="12"/>
        <v/>
      </c>
      <c r="C144" s="245" t="str">
        <f t="shared" si="8"/>
        <v/>
      </c>
      <c r="D144" s="246"/>
      <c r="E144" s="245" t="str">
        <f t="shared" si="13"/>
        <v/>
      </c>
      <c r="F144" s="245" t="str">
        <f t="shared" si="9"/>
        <v/>
      </c>
      <c r="G144" s="245" t="str">
        <f t="shared" si="10"/>
        <v/>
      </c>
      <c r="H144" s="245" t="str">
        <f t="shared" si="11"/>
        <v/>
      </c>
    </row>
    <row r="145" spans="1:8" x14ac:dyDescent="0.2">
      <c r="A145" s="232" t="str">
        <f t="shared" si="7"/>
        <v/>
      </c>
      <c r="B145" s="244" t="str">
        <f t="shared" si="12"/>
        <v/>
      </c>
      <c r="C145" s="245" t="str">
        <f t="shared" si="8"/>
        <v/>
      </c>
      <c r="D145" s="246"/>
      <c r="E145" s="245" t="str">
        <f t="shared" si="13"/>
        <v/>
      </c>
      <c r="F145" s="245" t="str">
        <f t="shared" si="9"/>
        <v/>
      </c>
      <c r="G145" s="245" t="str">
        <f t="shared" si="10"/>
        <v/>
      </c>
      <c r="H145" s="245" t="str">
        <f t="shared" si="11"/>
        <v/>
      </c>
    </row>
    <row r="146" spans="1:8" x14ac:dyDescent="0.2">
      <c r="A146" s="232" t="str">
        <f t="shared" si="7"/>
        <v/>
      </c>
      <c r="B146" s="244" t="str">
        <f t="shared" si="12"/>
        <v/>
      </c>
      <c r="C146" s="245" t="str">
        <f t="shared" si="8"/>
        <v/>
      </c>
      <c r="D146" s="246"/>
      <c r="E146" s="245" t="str">
        <f t="shared" si="13"/>
        <v/>
      </c>
      <c r="F146" s="245" t="str">
        <f t="shared" si="9"/>
        <v/>
      </c>
      <c r="G146" s="245" t="str">
        <f t="shared" si="10"/>
        <v/>
      </c>
      <c r="H146" s="245" t="str">
        <f t="shared" si="11"/>
        <v/>
      </c>
    </row>
    <row r="147" spans="1:8" x14ac:dyDescent="0.2">
      <c r="A147" s="232" t="str">
        <f t="shared" si="7"/>
        <v/>
      </c>
      <c r="B147" s="244" t="str">
        <f t="shared" si="12"/>
        <v/>
      </c>
      <c r="C147" s="245" t="str">
        <f t="shared" si="8"/>
        <v/>
      </c>
      <c r="D147" s="246"/>
      <c r="E147" s="245" t="str">
        <f t="shared" si="13"/>
        <v/>
      </c>
      <c r="F147" s="245" t="str">
        <f t="shared" si="9"/>
        <v/>
      </c>
      <c r="G147" s="245" t="str">
        <f t="shared" si="10"/>
        <v/>
      </c>
      <c r="H147" s="245" t="str">
        <f t="shared" si="11"/>
        <v/>
      </c>
    </row>
    <row r="148" spans="1:8" x14ac:dyDescent="0.2">
      <c r="A148" s="232" t="str">
        <f t="shared" si="7"/>
        <v/>
      </c>
      <c r="B148" s="244" t="str">
        <f t="shared" si="12"/>
        <v/>
      </c>
      <c r="C148" s="245" t="str">
        <f t="shared" si="8"/>
        <v/>
      </c>
      <c r="D148" s="246"/>
      <c r="E148" s="245" t="str">
        <f t="shared" si="13"/>
        <v/>
      </c>
      <c r="F148" s="245" t="str">
        <f t="shared" si="9"/>
        <v/>
      </c>
      <c r="G148" s="245" t="str">
        <f t="shared" si="10"/>
        <v/>
      </c>
      <c r="H148" s="245" t="str">
        <f t="shared" si="11"/>
        <v/>
      </c>
    </row>
    <row r="149" spans="1:8" x14ac:dyDescent="0.2">
      <c r="A149" s="232" t="str">
        <f t="shared" si="7"/>
        <v/>
      </c>
      <c r="B149" s="244" t="str">
        <f t="shared" si="12"/>
        <v/>
      </c>
      <c r="C149" s="245" t="str">
        <f t="shared" si="8"/>
        <v/>
      </c>
      <c r="D149" s="246"/>
      <c r="E149" s="245" t="str">
        <f t="shared" si="13"/>
        <v/>
      </c>
      <c r="F149" s="245" t="str">
        <f t="shared" si="9"/>
        <v/>
      </c>
      <c r="G149" s="245" t="str">
        <f t="shared" si="10"/>
        <v/>
      </c>
      <c r="H149" s="245" t="str">
        <f t="shared" si="11"/>
        <v/>
      </c>
    </row>
    <row r="150" spans="1:8" x14ac:dyDescent="0.2">
      <c r="A150" s="232" t="str">
        <f t="shared" si="7"/>
        <v/>
      </c>
      <c r="B150" s="244" t="str">
        <f t="shared" si="12"/>
        <v/>
      </c>
      <c r="C150" s="245" t="str">
        <f t="shared" si="8"/>
        <v/>
      </c>
      <c r="D150" s="246"/>
      <c r="E150" s="245" t="str">
        <f t="shared" si="13"/>
        <v/>
      </c>
      <c r="F150" s="245" t="str">
        <f t="shared" si="9"/>
        <v/>
      </c>
      <c r="G150" s="245" t="str">
        <f t="shared" si="10"/>
        <v/>
      </c>
      <c r="H150" s="245" t="str">
        <f t="shared" si="11"/>
        <v/>
      </c>
    </row>
    <row r="151" spans="1:8" x14ac:dyDescent="0.2">
      <c r="A151" s="232" t="str">
        <f t="shared" ref="A151:A214" si="14">IF(A150="","",IF(H150&gt;0,A150+1,""))</f>
        <v/>
      </c>
      <c r="B151" s="244" t="str">
        <f t="shared" si="12"/>
        <v/>
      </c>
      <c r="C151" s="245" t="str">
        <f t="shared" ref="C151:C214" si="15">IF(A151="","",IF(ISBLANK($E$10),MIN(MAX($E$7*H150+IF(plusinterest,F151,0),$E$9),F151+H150),MIN($E$10,H150+F151)))</f>
        <v/>
      </c>
      <c r="D151" s="246"/>
      <c r="E151" s="245" t="str">
        <f t="shared" si="13"/>
        <v/>
      </c>
      <c r="F151" s="245" t="str">
        <f t="shared" ref="F151:F214" si="16">IF(A151="","",B151/12*H150)</f>
        <v/>
      </c>
      <c r="G151" s="245" t="str">
        <f t="shared" ref="G151:G214" si="17">IF(A151="","",C151+D151-F151)</f>
        <v/>
      </c>
      <c r="H151" s="245" t="str">
        <f t="shared" ref="H151:H214" si="18">IF(A151="","",H150-G151)</f>
        <v/>
      </c>
    </row>
    <row r="152" spans="1:8" x14ac:dyDescent="0.2">
      <c r="A152" s="232" t="str">
        <f t="shared" si="14"/>
        <v/>
      </c>
      <c r="B152" s="244" t="str">
        <f t="shared" ref="B152:B215" si="19">IF(A152="","",IF(A152&lt;=$E$11,0,$E$6))</f>
        <v/>
      </c>
      <c r="C152" s="245" t="str">
        <f t="shared" si="15"/>
        <v/>
      </c>
      <c r="D152" s="246"/>
      <c r="E152" s="245" t="str">
        <f t="shared" ref="E152:E215" si="20">IF(A152="","",C152+D152)</f>
        <v/>
      </c>
      <c r="F152" s="245" t="str">
        <f t="shared" si="16"/>
        <v/>
      </c>
      <c r="G152" s="245" t="str">
        <f t="shared" si="17"/>
        <v/>
      </c>
      <c r="H152" s="245" t="str">
        <f t="shared" si="18"/>
        <v/>
      </c>
    </row>
    <row r="153" spans="1:8" x14ac:dyDescent="0.2">
      <c r="A153" s="232" t="str">
        <f t="shared" si="14"/>
        <v/>
      </c>
      <c r="B153" s="244" t="str">
        <f t="shared" si="19"/>
        <v/>
      </c>
      <c r="C153" s="245" t="str">
        <f t="shared" si="15"/>
        <v/>
      </c>
      <c r="D153" s="246"/>
      <c r="E153" s="245" t="str">
        <f t="shared" si="20"/>
        <v/>
      </c>
      <c r="F153" s="245" t="str">
        <f t="shared" si="16"/>
        <v/>
      </c>
      <c r="G153" s="245" t="str">
        <f t="shared" si="17"/>
        <v/>
      </c>
      <c r="H153" s="245" t="str">
        <f t="shared" si="18"/>
        <v/>
      </c>
    </row>
    <row r="154" spans="1:8" x14ac:dyDescent="0.2">
      <c r="A154" s="232" t="str">
        <f t="shared" si="14"/>
        <v/>
      </c>
      <c r="B154" s="244" t="str">
        <f t="shared" si="19"/>
        <v/>
      </c>
      <c r="C154" s="245" t="str">
        <f t="shared" si="15"/>
        <v/>
      </c>
      <c r="D154" s="246"/>
      <c r="E154" s="245" t="str">
        <f t="shared" si="20"/>
        <v/>
      </c>
      <c r="F154" s="245" t="str">
        <f t="shared" si="16"/>
        <v/>
      </c>
      <c r="G154" s="245" t="str">
        <f t="shared" si="17"/>
        <v/>
      </c>
      <c r="H154" s="245" t="str">
        <f t="shared" si="18"/>
        <v/>
      </c>
    </row>
    <row r="155" spans="1:8" x14ac:dyDescent="0.2">
      <c r="A155" s="232" t="str">
        <f t="shared" si="14"/>
        <v/>
      </c>
      <c r="B155" s="244" t="str">
        <f t="shared" si="19"/>
        <v/>
      </c>
      <c r="C155" s="245" t="str">
        <f t="shared" si="15"/>
        <v/>
      </c>
      <c r="D155" s="246"/>
      <c r="E155" s="245" t="str">
        <f t="shared" si="20"/>
        <v/>
      </c>
      <c r="F155" s="245" t="str">
        <f t="shared" si="16"/>
        <v/>
      </c>
      <c r="G155" s="245" t="str">
        <f t="shared" si="17"/>
        <v/>
      </c>
      <c r="H155" s="245" t="str">
        <f t="shared" si="18"/>
        <v/>
      </c>
    </row>
    <row r="156" spans="1:8" x14ac:dyDescent="0.2">
      <c r="A156" s="232" t="str">
        <f t="shared" si="14"/>
        <v/>
      </c>
      <c r="B156" s="244" t="str">
        <f t="shared" si="19"/>
        <v/>
      </c>
      <c r="C156" s="245" t="str">
        <f t="shared" si="15"/>
        <v/>
      </c>
      <c r="D156" s="246"/>
      <c r="E156" s="245" t="str">
        <f t="shared" si="20"/>
        <v/>
      </c>
      <c r="F156" s="245" t="str">
        <f t="shared" si="16"/>
        <v/>
      </c>
      <c r="G156" s="245" t="str">
        <f t="shared" si="17"/>
        <v/>
      </c>
      <c r="H156" s="245" t="str">
        <f t="shared" si="18"/>
        <v/>
      </c>
    </row>
    <row r="157" spans="1:8" x14ac:dyDescent="0.2">
      <c r="A157" s="232" t="str">
        <f t="shared" si="14"/>
        <v/>
      </c>
      <c r="B157" s="244" t="str">
        <f t="shared" si="19"/>
        <v/>
      </c>
      <c r="C157" s="245" t="str">
        <f t="shared" si="15"/>
        <v/>
      </c>
      <c r="D157" s="246"/>
      <c r="E157" s="245" t="str">
        <f t="shared" si="20"/>
        <v/>
      </c>
      <c r="F157" s="245" t="str">
        <f t="shared" si="16"/>
        <v/>
      </c>
      <c r="G157" s="245" t="str">
        <f t="shared" si="17"/>
        <v/>
      </c>
      <c r="H157" s="245" t="str">
        <f t="shared" si="18"/>
        <v/>
      </c>
    </row>
    <row r="158" spans="1:8" x14ac:dyDescent="0.2">
      <c r="A158" s="232" t="str">
        <f t="shared" si="14"/>
        <v/>
      </c>
      <c r="B158" s="244" t="str">
        <f t="shared" si="19"/>
        <v/>
      </c>
      <c r="C158" s="245" t="str">
        <f t="shared" si="15"/>
        <v/>
      </c>
      <c r="D158" s="246"/>
      <c r="E158" s="245" t="str">
        <f t="shared" si="20"/>
        <v/>
      </c>
      <c r="F158" s="245" t="str">
        <f t="shared" si="16"/>
        <v/>
      </c>
      <c r="G158" s="245" t="str">
        <f t="shared" si="17"/>
        <v/>
      </c>
      <c r="H158" s="245" t="str">
        <f t="shared" si="18"/>
        <v/>
      </c>
    </row>
    <row r="159" spans="1:8" x14ac:dyDescent="0.2">
      <c r="A159" s="232" t="str">
        <f t="shared" si="14"/>
        <v/>
      </c>
      <c r="B159" s="244" t="str">
        <f t="shared" si="19"/>
        <v/>
      </c>
      <c r="C159" s="245" t="str">
        <f t="shared" si="15"/>
        <v/>
      </c>
      <c r="D159" s="246"/>
      <c r="E159" s="245" t="str">
        <f t="shared" si="20"/>
        <v/>
      </c>
      <c r="F159" s="245" t="str">
        <f t="shared" si="16"/>
        <v/>
      </c>
      <c r="G159" s="245" t="str">
        <f t="shared" si="17"/>
        <v/>
      </c>
      <c r="H159" s="245" t="str">
        <f t="shared" si="18"/>
        <v/>
      </c>
    </row>
    <row r="160" spans="1:8" x14ac:dyDescent="0.2">
      <c r="A160" s="232" t="str">
        <f t="shared" si="14"/>
        <v/>
      </c>
      <c r="B160" s="244" t="str">
        <f t="shared" si="19"/>
        <v/>
      </c>
      <c r="C160" s="245" t="str">
        <f t="shared" si="15"/>
        <v/>
      </c>
      <c r="D160" s="246"/>
      <c r="E160" s="245" t="str">
        <f t="shared" si="20"/>
        <v/>
      </c>
      <c r="F160" s="245" t="str">
        <f t="shared" si="16"/>
        <v/>
      </c>
      <c r="G160" s="245" t="str">
        <f t="shared" si="17"/>
        <v/>
      </c>
      <c r="H160" s="245" t="str">
        <f t="shared" si="18"/>
        <v/>
      </c>
    </row>
    <row r="161" spans="1:8" x14ac:dyDescent="0.2">
      <c r="A161" s="232" t="str">
        <f t="shared" si="14"/>
        <v/>
      </c>
      <c r="B161" s="244" t="str">
        <f t="shared" si="19"/>
        <v/>
      </c>
      <c r="C161" s="245" t="str">
        <f t="shared" si="15"/>
        <v/>
      </c>
      <c r="D161" s="246"/>
      <c r="E161" s="245" t="str">
        <f t="shared" si="20"/>
        <v/>
      </c>
      <c r="F161" s="245" t="str">
        <f t="shared" si="16"/>
        <v/>
      </c>
      <c r="G161" s="245" t="str">
        <f t="shared" si="17"/>
        <v/>
      </c>
      <c r="H161" s="245" t="str">
        <f t="shared" si="18"/>
        <v/>
      </c>
    </row>
    <row r="162" spans="1:8" x14ac:dyDescent="0.2">
      <c r="A162" s="232" t="str">
        <f t="shared" si="14"/>
        <v/>
      </c>
      <c r="B162" s="244" t="str">
        <f t="shared" si="19"/>
        <v/>
      </c>
      <c r="C162" s="245" t="str">
        <f t="shared" si="15"/>
        <v/>
      </c>
      <c r="D162" s="246"/>
      <c r="E162" s="245" t="str">
        <f t="shared" si="20"/>
        <v/>
      </c>
      <c r="F162" s="245" t="str">
        <f t="shared" si="16"/>
        <v/>
      </c>
      <c r="G162" s="245" t="str">
        <f t="shared" si="17"/>
        <v/>
      </c>
      <c r="H162" s="245" t="str">
        <f t="shared" si="18"/>
        <v/>
      </c>
    </row>
    <row r="163" spans="1:8" x14ac:dyDescent="0.2">
      <c r="A163" s="232" t="str">
        <f t="shared" si="14"/>
        <v/>
      </c>
      <c r="B163" s="244" t="str">
        <f t="shared" si="19"/>
        <v/>
      </c>
      <c r="C163" s="245" t="str">
        <f t="shared" si="15"/>
        <v/>
      </c>
      <c r="D163" s="246"/>
      <c r="E163" s="245" t="str">
        <f t="shared" si="20"/>
        <v/>
      </c>
      <c r="F163" s="245" t="str">
        <f t="shared" si="16"/>
        <v/>
      </c>
      <c r="G163" s="245" t="str">
        <f t="shared" si="17"/>
        <v/>
      </c>
      <c r="H163" s="245" t="str">
        <f t="shared" si="18"/>
        <v/>
      </c>
    </row>
    <row r="164" spans="1:8" x14ac:dyDescent="0.2">
      <c r="A164" s="232" t="str">
        <f t="shared" si="14"/>
        <v/>
      </c>
      <c r="B164" s="244" t="str">
        <f t="shared" si="19"/>
        <v/>
      </c>
      <c r="C164" s="245" t="str">
        <f t="shared" si="15"/>
        <v/>
      </c>
      <c r="D164" s="246"/>
      <c r="E164" s="245" t="str">
        <f t="shared" si="20"/>
        <v/>
      </c>
      <c r="F164" s="245" t="str">
        <f t="shared" si="16"/>
        <v/>
      </c>
      <c r="G164" s="245" t="str">
        <f t="shared" si="17"/>
        <v/>
      </c>
      <c r="H164" s="245" t="str">
        <f t="shared" si="18"/>
        <v/>
      </c>
    </row>
    <row r="165" spans="1:8" x14ac:dyDescent="0.2">
      <c r="A165" s="232" t="str">
        <f t="shared" si="14"/>
        <v/>
      </c>
      <c r="B165" s="244" t="str">
        <f t="shared" si="19"/>
        <v/>
      </c>
      <c r="C165" s="245" t="str">
        <f t="shared" si="15"/>
        <v/>
      </c>
      <c r="D165" s="246"/>
      <c r="E165" s="245" t="str">
        <f t="shared" si="20"/>
        <v/>
      </c>
      <c r="F165" s="245" t="str">
        <f t="shared" si="16"/>
        <v/>
      </c>
      <c r="G165" s="245" t="str">
        <f t="shared" si="17"/>
        <v/>
      </c>
      <c r="H165" s="245" t="str">
        <f t="shared" si="18"/>
        <v/>
      </c>
    </row>
    <row r="166" spans="1:8" x14ac:dyDescent="0.2">
      <c r="A166" s="232" t="str">
        <f t="shared" si="14"/>
        <v/>
      </c>
      <c r="B166" s="244" t="str">
        <f t="shared" si="19"/>
        <v/>
      </c>
      <c r="C166" s="245" t="str">
        <f t="shared" si="15"/>
        <v/>
      </c>
      <c r="D166" s="246"/>
      <c r="E166" s="245" t="str">
        <f t="shared" si="20"/>
        <v/>
      </c>
      <c r="F166" s="245" t="str">
        <f t="shared" si="16"/>
        <v/>
      </c>
      <c r="G166" s="245" t="str">
        <f t="shared" si="17"/>
        <v/>
      </c>
      <c r="H166" s="245" t="str">
        <f t="shared" si="18"/>
        <v/>
      </c>
    </row>
    <row r="167" spans="1:8" x14ac:dyDescent="0.2">
      <c r="A167" s="232" t="str">
        <f t="shared" si="14"/>
        <v/>
      </c>
      <c r="B167" s="244" t="str">
        <f t="shared" si="19"/>
        <v/>
      </c>
      <c r="C167" s="245" t="str">
        <f t="shared" si="15"/>
        <v/>
      </c>
      <c r="D167" s="246"/>
      <c r="E167" s="245" t="str">
        <f t="shared" si="20"/>
        <v/>
      </c>
      <c r="F167" s="245" t="str">
        <f t="shared" si="16"/>
        <v/>
      </c>
      <c r="G167" s="245" t="str">
        <f t="shared" si="17"/>
        <v/>
      </c>
      <c r="H167" s="245" t="str">
        <f t="shared" si="18"/>
        <v/>
      </c>
    </row>
    <row r="168" spans="1:8" x14ac:dyDescent="0.2">
      <c r="A168" s="232" t="str">
        <f t="shared" si="14"/>
        <v/>
      </c>
      <c r="B168" s="244" t="str">
        <f t="shared" si="19"/>
        <v/>
      </c>
      <c r="C168" s="245" t="str">
        <f t="shared" si="15"/>
        <v/>
      </c>
      <c r="D168" s="246"/>
      <c r="E168" s="245" t="str">
        <f t="shared" si="20"/>
        <v/>
      </c>
      <c r="F168" s="245" t="str">
        <f t="shared" si="16"/>
        <v/>
      </c>
      <c r="G168" s="245" t="str">
        <f t="shared" si="17"/>
        <v/>
      </c>
      <c r="H168" s="245" t="str">
        <f t="shared" si="18"/>
        <v/>
      </c>
    </row>
    <row r="169" spans="1:8" x14ac:dyDescent="0.2">
      <c r="A169" s="232" t="str">
        <f t="shared" si="14"/>
        <v/>
      </c>
      <c r="B169" s="244" t="str">
        <f t="shared" si="19"/>
        <v/>
      </c>
      <c r="C169" s="245" t="str">
        <f t="shared" si="15"/>
        <v/>
      </c>
      <c r="D169" s="246"/>
      <c r="E169" s="245" t="str">
        <f t="shared" si="20"/>
        <v/>
      </c>
      <c r="F169" s="245" t="str">
        <f t="shared" si="16"/>
        <v/>
      </c>
      <c r="G169" s="245" t="str">
        <f t="shared" si="17"/>
        <v/>
      </c>
      <c r="H169" s="245" t="str">
        <f t="shared" si="18"/>
        <v/>
      </c>
    </row>
    <row r="170" spans="1:8" x14ac:dyDescent="0.2">
      <c r="A170" s="232" t="str">
        <f t="shared" si="14"/>
        <v/>
      </c>
      <c r="B170" s="244" t="str">
        <f t="shared" si="19"/>
        <v/>
      </c>
      <c r="C170" s="245" t="str">
        <f t="shared" si="15"/>
        <v/>
      </c>
      <c r="D170" s="246"/>
      <c r="E170" s="245" t="str">
        <f t="shared" si="20"/>
        <v/>
      </c>
      <c r="F170" s="245" t="str">
        <f t="shared" si="16"/>
        <v/>
      </c>
      <c r="G170" s="245" t="str">
        <f t="shared" si="17"/>
        <v/>
      </c>
      <c r="H170" s="245" t="str">
        <f t="shared" si="18"/>
        <v/>
      </c>
    </row>
    <row r="171" spans="1:8" x14ac:dyDescent="0.2">
      <c r="A171" s="232" t="str">
        <f t="shared" si="14"/>
        <v/>
      </c>
      <c r="B171" s="244" t="str">
        <f t="shared" si="19"/>
        <v/>
      </c>
      <c r="C171" s="245" t="str">
        <f t="shared" si="15"/>
        <v/>
      </c>
      <c r="D171" s="246"/>
      <c r="E171" s="245" t="str">
        <f t="shared" si="20"/>
        <v/>
      </c>
      <c r="F171" s="245" t="str">
        <f t="shared" si="16"/>
        <v/>
      </c>
      <c r="G171" s="245" t="str">
        <f t="shared" si="17"/>
        <v/>
      </c>
      <c r="H171" s="245" t="str">
        <f t="shared" si="18"/>
        <v/>
      </c>
    </row>
    <row r="172" spans="1:8" x14ac:dyDescent="0.2">
      <c r="A172" s="232" t="str">
        <f t="shared" si="14"/>
        <v/>
      </c>
      <c r="B172" s="244" t="str">
        <f t="shared" si="19"/>
        <v/>
      </c>
      <c r="C172" s="245" t="str">
        <f t="shared" si="15"/>
        <v/>
      </c>
      <c r="D172" s="246"/>
      <c r="E172" s="245" t="str">
        <f t="shared" si="20"/>
        <v/>
      </c>
      <c r="F172" s="245" t="str">
        <f t="shared" si="16"/>
        <v/>
      </c>
      <c r="G172" s="245" t="str">
        <f t="shared" si="17"/>
        <v/>
      </c>
      <c r="H172" s="245" t="str">
        <f t="shared" si="18"/>
        <v/>
      </c>
    </row>
    <row r="173" spans="1:8" x14ac:dyDescent="0.2">
      <c r="A173" s="232" t="str">
        <f t="shared" si="14"/>
        <v/>
      </c>
      <c r="B173" s="244" t="str">
        <f t="shared" si="19"/>
        <v/>
      </c>
      <c r="C173" s="245" t="str">
        <f t="shared" si="15"/>
        <v/>
      </c>
      <c r="D173" s="246"/>
      <c r="E173" s="245" t="str">
        <f t="shared" si="20"/>
        <v/>
      </c>
      <c r="F173" s="245" t="str">
        <f t="shared" si="16"/>
        <v/>
      </c>
      <c r="G173" s="245" t="str">
        <f t="shared" si="17"/>
        <v/>
      </c>
      <c r="H173" s="245" t="str">
        <f t="shared" si="18"/>
        <v/>
      </c>
    </row>
    <row r="174" spans="1:8" x14ac:dyDescent="0.2">
      <c r="A174" s="232" t="str">
        <f t="shared" si="14"/>
        <v/>
      </c>
      <c r="B174" s="244" t="str">
        <f t="shared" si="19"/>
        <v/>
      </c>
      <c r="C174" s="245" t="str">
        <f t="shared" si="15"/>
        <v/>
      </c>
      <c r="D174" s="246"/>
      <c r="E174" s="245" t="str">
        <f t="shared" si="20"/>
        <v/>
      </c>
      <c r="F174" s="245" t="str">
        <f t="shared" si="16"/>
        <v/>
      </c>
      <c r="G174" s="245" t="str">
        <f t="shared" si="17"/>
        <v/>
      </c>
      <c r="H174" s="245" t="str">
        <f t="shared" si="18"/>
        <v/>
      </c>
    </row>
    <row r="175" spans="1:8" x14ac:dyDescent="0.2">
      <c r="A175" s="232" t="str">
        <f t="shared" si="14"/>
        <v/>
      </c>
      <c r="B175" s="244" t="str">
        <f t="shared" si="19"/>
        <v/>
      </c>
      <c r="C175" s="245" t="str">
        <f t="shared" si="15"/>
        <v/>
      </c>
      <c r="D175" s="246"/>
      <c r="E175" s="245" t="str">
        <f t="shared" si="20"/>
        <v/>
      </c>
      <c r="F175" s="245" t="str">
        <f t="shared" si="16"/>
        <v/>
      </c>
      <c r="G175" s="245" t="str">
        <f t="shared" si="17"/>
        <v/>
      </c>
      <c r="H175" s="245" t="str">
        <f t="shared" si="18"/>
        <v/>
      </c>
    </row>
    <row r="176" spans="1:8" x14ac:dyDescent="0.2">
      <c r="A176" s="232" t="str">
        <f t="shared" si="14"/>
        <v/>
      </c>
      <c r="B176" s="244" t="str">
        <f t="shared" si="19"/>
        <v/>
      </c>
      <c r="C176" s="245" t="str">
        <f t="shared" si="15"/>
        <v/>
      </c>
      <c r="D176" s="246"/>
      <c r="E176" s="245" t="str">
        <f t="shared" si="20"/>
        <v/>
      </c>
      <c r="F176" s="245" t="str">
        <f t="shared" si="16"/>
        <v/>
      </c>
      <c r="G176" s="245" t="str">
        <f t="shared" si="17"/>
        <v/>
      </c>
      <c r="H176" s="245" t="str">
        <f t="shared" si="18"/>
        <v/>
      </c>
    </row>
    <row r="177" spans="1:8" x14ac:dyDescent="0.2">
      <c r="A177" s="232" t="str">
        <f t="shared" si="14"/>
        <v/>
      </c>
      <c r="B177" s="244" t="str">
        <f t="shared" si="19"/>
        <v/>
      </c>
      <c r="C177" s="245" t="str">
        <f t="shared" si="15"/>
        <v/>
      </c>
      <c r="D177" s="246"/>
      <c r="E177" s="245" t="str">
        <f t="shared" si="20"/>
        <v/>
      </c>
      <c r="F177" s="245" t="str">
        <f t="shared" si="16"/>
        <v/>
      </c>
      <c r="G177" s="245" t="str">
        <f t="shared" si="17"/>
        <v/>
      </c>
      <c r="H177" s="245" t="str">
        <f t="shared" si="18"/>
        <v/>
      </c>
    </row>
    <row r="178" spans="1:8" x14ac:dyDescent="0.2">
      <c r="A178" s="232" t="str">
        <f t="shared" si="14"/>
        <v/>
      </c>
      <c r="B178" s="244" t="str">
        <f t="shared" si="19"/>
        <v/>
      </c>
      <c r="C178" s="245" t="str">
        <f t="shared" si="15"/>
        <v/>
      </c>
      <c r="D178" s="246"/>
      <c r="E178" s="245" t="str">
        <f t="shared" si="20"/>
        <v/>
      </c>
      <c r="F178" s="245" t="str">
        <f t="shared" si="16"/>
        <v/>
      </c>
      <c r="G178" s="245" t="str">
        <f t="shared" si="17"/>
        <v/>
      </c>
      <c r="H178" s="245" t="str">
        <f t="shared" si="18"/>
        <v/>
      </c>
    </row>
    <row r="179" spans="1:8" x14ac:dyDescent="0.2">
      <c r="A179" s="232" t="str">
        <f t="shared" si="14"/>
        <v/>
      </c>
      <c r="B179" s="244" t="str">
        <f t="shared" si="19"/>
        <v/>
      </c>
      <c r="C179" s="245" t="str">
        <f t="shared" si="15"/>
        <v/>
      </c>
      <c r="D179" s="246"/>
      <c r="E179" s="245" t="str">
        <f t="shared" si="20"/>
        <v/>
      </c>
      <c r="F179" s="245" t="str">
        <f t="shared" si="16"/>
        <v/>
      </c>
      <c r="G179" s="245" t="str">
        <f t="shared" si="17"/>
        <v/>
      </c>
      <c r="H179" s="245" t="str">
        <f t="shared" si="18"/>
        <v/>
      </c>
    </row>
    <row r="180" spans="1:8" x14ac:dyDescent="0.2">
      <c r="A180" s="232" t="str">
        <f t="shared" si="14"/>
        <v/>
      </c>
      <c r="B180" s="244" t="str">
        <f t="shared" si="19"/>
        <v/>
      </c>
      <c r="C180" s="245" t="str">
        <f t="shared" si="15"/>
        <v/>
      </c>
      <c r="D180" s="246"/>
      <c r="E180" s="245" t="str">
        <f t="shared" si="20"/>
        <v/>
      </c>
      <c r="F180" s="245" t="str">
        <f t="shared" si="16"/>
        <v/>
      </c>
      <c r="G180" s="245" t="str">
        <f t="shared" si="17"/>
        <v/>
      </c>
      <c r="H180" s="245" t="str">
        <f t="shared" si="18"/>
        <v/>
      </c>
    </row>
    <row r="181" spans="1:8" x14ac:dyDescent="0.2">
      <c r="A181" s="232" t="str">
        <f t="shared" si="14"/>
        <v/>
      </c>
      <c r="B181" s="244" t="str">
        <f t="shared" si="19"/>
        <v/>
      </c>
      <c r="C181" s="245" t="str">
        <f t="shared" si="15"/>
        <v/>
      </c>
      <c r="D181" s="246"/>
      <c r="E181" s="245" t="str">
        <f t="shared" si="20"/>
        <v/>
      </c>
      <c r="F181" s="245" t="str">
        <f t="shared" si="16"/>
        <v/>
      </c>
      <c r="G181" s="245" t="str">
        <f t="shared" si="17"/>
        <v/>
      </c>
      <c r="H181" s="245" t="str">
        <f t="shared" si="18"/>
        <v/>
      </c>
    </row>
    <row r="182" spans="1:8" x14ac:dyDescent="0.2">
      <c r="A182" s="232" t="str">
        <f t="shared" si="14"/>
        <v/>
      </c>
      <c r="B182" s="244" t="str">
        <f t="shared" si="19"/>
        <v/>
      </c>
      <c r="C182" s="245" t="str">
        <f t="shared" si="15"/>
        <v/>
      </c>
      <c r="D182" s="246"/>
      <c r="E182" s="245" t="str">
        <f t="shared" si="20"/>
        <v/>
      </c>
      <c r="F182" s="245" t="str">
        <f t="shared" si="16"/>
        <v/>
      </c>
      <c r="G182" s="245" t="str">
        <f t="shared" si="17"/>
        <v/>
      </c>
      <c r="H182" s="245" t="str">
        <f t="shared" si="18"/>
        <v/>
      </c>
    </row>
    <row r="183" spans="1:8" x14ac:dyDescent="0.2">
      <c r="A183" s="232" t="str">
        <f t="shared" si="14"/>
        <v/>
      </c>
      <c r="B183" s="244" t="str">
        <f t="shared" si="19"/>
        <v/>
      </c>
      <c r="C183" s="245" t="str">
        <f t="shared" si="15"/>
        <v/>
      </c>
      <c r="D183" s="246"/>
      <c r="E183" s="245" t="str">
        <f t="shared" si="20"/>
        <v/>
      </c>
      <c r="F183" s="245" t="str">
        <f t="shared" si="16"/>
        <v/>
      </c>
      <c r="G183" s="245" t="str">
        <f t="shared" si="17"/>
        <v/>
      </c>
      <c r="H183" s="245" t="str">
        <f t="shared" si="18"/>
        <v/>
      </c>
    </row>
    <row r="184" spans="1:8" x14ac:dyDescent="0.2">
      <c r="A184" s="232" t="str">
        <f t="shared" si="14"/>
        <v/>
      </c>
      <c r="B184" s="244" t="str">
        <f t="shared" si="19"/>
        <v/>
      </c>
      <c r="C184" s="245" t="str">
        <f t="shared" si="15"/>
        <v/>
      </c>
      <c r="D184" s="246"/>
      <c r="E184" s="245" t="str">
        <f t="shared" si="20"/>
        <v/>
      </c>
      <c r="F184" s="245" t="str">
        <f t="shared" si="16"/>
        <v/>
      </c>
      <c r="G184" s="245" t="str">
        <f t="shared" si="17"/>
        <v/>
      </c>
      <c r="H184" s="245" t="str">
        <f t="shared" si="18"/>
        <v/>
      </c>
    </row>
    <row r="185" spans="1:8" x14ac:dyDescent="0.2">
      <c r="A185" s="232" t="str">
        <f t="shared" si="14"/>
        <v/>
      </c>
      <c r="B185" s="244" t="str">
        <f t="shared" si="19"/>
        <v/>
      </c>
      <c r="C185" s="245" t="str">
        <f t="shared" si="15"/>
        <v/>
      </c>
      <c r="D185" s="246"/>
      <c r="E185" s="245" t="str">
        <f t="shared" si="20"/>
        <v/>
      </c>
      <c r="F185" s="245" t="str">
        <f t="shared" si="16"/>
        <v/>
      </c>
      <c r="G185" s="245" t="str">
        <f t="shared" si="17"/>
        <v/>
      </c>
      <c r="H185" s="245" t="str">
        <f t="shared" si="18"/>
        <v/>
      </c>
    </row>
    <row r="186" spans="1:8" x14ac:dyDescent="0.2">
      <c r="A186" s="232" t="str">
        <f t="shared" si="14"/>
        <v/>
      </c>
      <c r="B186" s="244" t="str">
        <f t="shared" si="19"/>
        <v/>
      </c>
      <c r="C186" s="245" t="str">
        <f t="shared" si="15"/>
        <v/>
      </c>
      <c r="D186" s="246"/>
      <c r="E186" s="245" t="str">
        <f t="shared" si="20"/>
        <v/>
      </c>
      <c r="F186" s="245" t="str">
        <f t="shared" si="16"/>
        <v/>
      </c>
      <c r="G186" s="245" t="str">
        <f t="shared" si="17"/>
        <v/>
      </c>
      <c r="H186" s="245" t="str">
        <f t="shared" si="18"/>
        <v/>
      </c>
    </row>
    <row r="187" spans="1:8" x14ac:dyDescent="0.2">
      <c r="A187" s="232" t="str">
        <f t="shared" si="14"/>
        <v/>
      </c>
      <c r="B187" s="244" t="str">
        <f t="shared" si="19"/>
        <v/>
      </c>
      <c r="C187" s="245" t="str">
        <f t="shared" si="15"/>
        <v/>
      </c>
      <c r="D187" s="246"/>
      <c r="E187" s="245" t="str">
        <f t="shared" si="20"/>
        <v/>
      </c>
      <c r="F187" s="245" t="str">
        <f t="shared" si="16"/>
        <v/>
      </c>
      <c r="G187" s="245" t="str">
        <f t="shared" si="17"/>
        <v/>
      </c>
      <c r="H187" s="245" t="str">
        <f t="shared" si="18"/>
        <v/>
      </c>
    </row>
    <row r="188" spans="1:8" x14ac:dyDescent="0.2">
      <c r="A188" s="232" t="str">
        <f t="shared" si="14"/>
        <v/>
      </c>
      <c r="B188" s="244" t="str">
        <f t="shared" si="19"/>
        <v/>
      </c>
      <c r="C188" s="245" t="str">
        <f t="shared" si="15"/>
        <v/>
      </c>
      <c r="D188" s="246"/>
      <c r="E188" s="245" t="str">
        <f t="shared" si="20"/>
        <v/>
      </c>
      <c r="F188" s="245" t="str">
        <f t="shared" si="16"/>
        <v/>
      </c>
      <c r="G188" s="245" t="str">
        <f t="shared" si="17"/>
        <v/>
      </c>
      <c r="H188" s="245" t="str">
        <f t="shared" si="18"/>
        <v/>
      </c>
    </row>
    <row r="189" spans="1:8" x14ac:dyDescent="0.2">
      <c r="A189" s="232" t="str">
        <f t="shared" si="14"/>
        <v/>
      </c>
      <c r="B189" s="244" t="str">
        <f t="shared" si="19"/>
        <v/>
      </c>
      <c r="C189" s="245" t="str">
        <f t="shared" si="15"/>
        <v/>
      </c>
      <c r="D189" s="246"/>
      <c r="E189" s="245" t="str">
        <f t="shared" si="20"/>
        <v/>
      </c>
      <c r="F189" s="245" t="str">
        <f t="shared" si="16"/>
        <v/>
      </c>
      <c r="G189" s="245" t="str">
        <f t="shared" si="17"/>
        <v/>
      </c>
      <c r="H189" s="245" t="str">
        <f t="shared" si="18"/>
        <v/>
      </c>
    </row>
    <row r="190" spans="1:8" x14ac:dyDescent="0.2">
      <c r="A190" s="232" t="str">
        <f t="shared" si="14"/>
        <v/>
      </c>
      <c r="B190" s="244" t="str">
        <f t="shared" si="19"/>
        <v/>
      </c>
      <c r="C190" s="245" t="str">
        <f t="shared" si="15"/>
        <v/>
      </c>
      <c r="D190" s="246"/>
      <c r="E190" s="245" t="str">
        <f t="shared" si="20"/>
        <v/>
      </c>
      <c r="F190" s="245" t="str">
        <f t="shared" si="16"/>
        <v/>
      </c>
      <c r="G190" s="245" t="str">
        <f t="shared" si="17"/>
        <v/>
      </c>
      <c r="H190" s="245" t="str">
        <f t="shared" si="18"/>
        <v/>
      </c>
    </row>
    <row r="191" spans="1:8" x14ac:dyDescent="0.2">
      <c r="A191" s="232" t="str">
        <f t="shared" si="14"/>
        <v/>
      </c>
      <c r="B191" s="244" t="str">
        <f t="shared" si="19"/>
        <v/>
      </c>
      <c r="C191" s="245" t="str">
        <f t="shared" si="15"/>
        <v/>
      </c>
      <c r="D191" s="246"/>
      <c r="E191" s="245" t="str">
        <f t="shared" si="20"/>
        <v/>
      </c>
      <c r="F191" s="245" t="str">
        <f t="shared" si="16"/>
        <v/>
      </c>
      <c r="G191" s="245" t="str">
        <f t="shared" si="17"/>
        <v/>
      </c>
      <c r="H191" s="245" t="str">
        <f t="shared" si="18"/>
        <v/>
      </c>
    </row>
    <row r="192" spans="1:8" x14ac:dyDescent="0.2">
      <c r="A192" s="232" t="str">
        <f t="shared" si="14"/>
        <v/>
      </c>
      <c r="B192" s="244" t="str">
        <f t="shared" si="19"/>
        <v/>
      </c>
      <c r="C192" s="245" t="str">
        <f t="shared" si="15"/>
        <v/>
      </c>
      <c r="D192" s="246"/>
      <c r="E192" s="245" t="str">
        <f t="shared" si="20"/>
        <v/>
      </c>
      <c r="F192" s="245" t="str">
        <f t="shared" si="16"/>
        <v/>
      </c>
      <c r="G192" s="245" t="str">
        <f t="shared" si="17"/>
        <v/>
      </c>
      <c r="H192" s="245" t="str">
        <f t="shared" si="18"/>
        <v/>
      </c>
    </row>
    <row r="193" spans="1:8" x14ac:dyDescent="0.2">
      <c r="A193" s="232" t="str">
        <f t="shared" si="14"/>
        <v/>
      </c>
      <c r="B193" s="244" t="str">
        <f t="shared" si="19"/>
        <v/>
      </c>
      <c r="C193" s="245" t="str">
        <f t="shared" si="15"/>
        <v/>
      </c>
      <c r="D193" s="246"/>
      <c r="E193" s="245" t="str">
        <f t="shared" si="20"/>
        <v/>
      </c>
      <c r="F193" s="245" t="str">
        <f t="shared" si="16"/>
        <v/>
      </c>
      <c r="G193" s="245" t="str">
        <f t="shared" si="17"/>
        <v/>
      </c>
      <c r="H193" s="245" t="str">
        <f t="shared" si="18"/>
        <v/>
      </c>
    </row>
    <row r="194" spans="1:8" x14ac:dyDescent="0.2">
      <c r="A194" s="232" t="str">
        <f t="shared" si="14"/>
        <v/>
      </c>
      <c r="B194" s="244" t="str">
        <f t="shared" si="19"/>
        <v/>
      </c>
      <c r="C194" s="245" t="str">
        <f t="shared" si="15"/>
        <v/>
      </c>
      <c r="D194" s="246"/>
      <c r="E194" s="245" t="str">
        <f t="shared" si="20"/>
        <v/>
      </c>
      <c r="F194" s="245" t="str">
        <f t="shared" si="16"/>
        <v/>
      </c>
      <c r="G194" s="245" t="str">
        <f t="shared" si="17"/>
        <v/>
      </c>
      <c r="H194" s="245" t="str">
        <f t="shared" si="18"/>
        <v/>
      </c>
    </row>
    <row r="195" spans="1:8" x14ac:dyDescent="0.2">
      <c r="A195" s="232" t="str">
        <f t="shared" si="14"/>
        <v/>
      </c>
      <c r="B195" s="244" t="str">
        <f t="shared" si="19"/>
        <v/>
      </c>
      <c r="C195" s="245" t="str">
        <f t="shared" si="15"/>
        <v/>
      </c>
      <c r="D195" s="246"/>
      <c r="E195" s="245" t="str">
        <f t="shared" si="20"/>
        <v/>
      </c>
      <c r="F195" s="245" t="str">
        <f t="shared" si="16"/>
        <v/>
      </c>
      <c r="G195" s="245" t="str">
        <f t="shared" si="17"/>
        <v/>
      </c>
      <c r="H195" s="245" t="str">
        <f t="shared" si="18"/>
        <v/>
      </c>
    </row>
    <row r="196" spans="1:8" x14ac:dyDescent="0.2">
      <c r="A196" s="232" t="str">
        <f t="shared" si="14"/>
        <v/>
      </c>
      <c r="B196" s="244" t="str">
        <f t="shared" si="19"/>
        <v/>
      </c>
      <c r="C196" s="245" t="str">
        <f t="shared" si="15"/>
        <v/>
      </c>
      <c r="D196" s="246"/>
      <c r="E196" s="245" t="str">
        <f t="shared" si="20"/>
        <v/>
      </c>
      <c r="F196" s="245" t="str">
        <f t="shared" si="16"/>
        <v/>
      </c>
      <c r="G196" s="245" t="str">
        <f t="shared" si="17"/>
        <v/>
      </c>
      <c r="H196" s="245" t="str">
        <f t="shared" si="18"/>
        <v/>
      </c>
    </row>
    <row r="197" spans="1:8" x14ac:dyDescent="0.2">
      <c r="A197" s="232" t="str">
        <f t="shared" si="14"/>
        <v/>
      </c>
      <c r="B197" s="244" t="str">
        <f t="shared" si="19"/>
        <v/>
      </c>
      <c r="C197" s="245" t="str">
        <f t="shared" si="15"/>
        <v/>
      </c>
      <c r="D197" s="246"/>
      <c r="E197" s="245" t="str">
        <f t="shared" si="20"/>
        <v/>
      </c>
      <c r="F197" s="245" t="str">
        <f t="shared" si="16"/>
        <v/>
      </c>
      <c r="G197" s="245" t="str">
        <f t="shared" si="17"/>
        <v/>
      </c>
      <c r="H197" s="245" t="str">
        <f t="shared" si="18"/>
        <v/>
      </c>
    </row>
    <row r="198" spans="1:8" x14ac:dyDescent="0.2">
      <c r="A198" s="232" t="str">
        <f t="shared" si="14"/>
        <v/>
      </c>
      <c r="B198" s="244" t="str">
        <f t="shared" si="19"/>
        <v/>
      </c>
      <c r="C198" s="245" t="str">
        <f t="shared" si="15"/>
        <v/>
      </c>
      <c r="D198" s="246"/>
      <c r="E198" s="245" t="str">
        <f t="shared" si="20"/>
        <v/>
      </c>
      <c r="F198" s="245" t="str">
        <f t="shared" si="16"/>
        <v/>
      </c>
      <c r="G198" s="245" t="str">
        <f t="shared" si="17"/>
        <v/>
      </c>
      <c r="H198" s="245" t="str">
        <f t="shared" si="18"/>
        <v/>
      </c>
    </row>
    <row r="199" spans="1:8" x14ac:dyDescent="0.2">
      <c r="A199" s="232" t="str">
        <f t="shared" si="14"/>
        <v/>
      </c>
      <c r="B199" s="244" t="str">
        <f t="shared" si="19"/>
        <v/>
      </c>
      <c r="C199" s="245" t="str">
        <f t="shared" si="15"/>
        <v/>
      </c>
      <c r="D199" s="246"/>
      <c r="E199" s="245" t="str">
        <f t="shared" si="20"/>
        <v/>
      </c>
      <c r="F199" s="245" t="str">
        <f t="shared" si="16"/>
        <v/>
      </c>
      <c r="G199" s="245" t="str">
        <f t="shared" si="17"/>
        <v/>
      </c>
      <c r="H199" s="245" t="str">
        <f t="shared" si="18"/>
        <v/>
      </c>
    </row>
    <row r="200" spans="1:8" x14ac:dyDescent="0.2">
      <c r="A200" s="232" t="str">
        <f t="shared" si="14"/>
        <v/>
      </c>
      <c r="B200" s="244" t="str">
        <f t="shared" si="19"/>
        <v/>
      </c>
      <c r="C200" s="245" t="str">
        <f t="shared" si="15"/>
        <v/>
      </c>
      <c r="D200" s="246"/>
      <c r="E200" s="245" t="str">
        <f t="shared" si="20"/>
        <v/>
      </c>
      <c r="F200" s="245" t="str">
        <f t="shared" si="16"/>
        <v/>
      </c>
      <c r="G200" s="245" t="str">
        <f t="shared" si="17"/>
        <v/>
      </c>
      <c r="H200" s="245" t="str">
        <f t="shared" si="18"/>
        <v/>
      </c>
    </row>
    <row r="201" spans="1:8" x14ac:dyDescent="0.2">
      <c r="A201" s="232" t="str">
        <f t="shared" si="14"/>
        <v/>
      </c>
      <c r="B201" s="244" t="str">
        <f t="shared" si="19"/>
        <v/>
      </c>
      <c r="C201" s="245" t="str">
        <f t="shared" si="15"/>
        <v/>
      </c>
      <c r="D201" s="246"/>
      <c r="E201" s="245" t="str">
        <f t="shared" si="20"/>
        <v/>
      </c>
      <c r="F201" s="245" t="str">
        <f t="shared" si="16"/>
        <v/>
      </c>
      <c r="G201" s="245" t="str">
        <f t="shared" si="17"/>
        <v/>
      </c>
      <c r="H201" s="245" t="str">
        <f t="shared" si="18"/>
        <v/>
      </c>
    </row>
    <row r="202" spans="1:8" x14ac:dyDescent="0.2">
      <c r="A202" s="232" t="str">
        <f t="shared" si="14"/>
        <v/>
      </c>
      <c r="B202" s="244" t="str">
        <f t="shared" si="19"/>
        <v/>
      </c>
      <c r="C202" s="245" t="str">
        <f t="shared" si="15"/>
        <v/>
      </c>
      <c r="D202" s="246"/>
      <c r="E202" s="245" t="str">
        <f t="shared" si="20"/>
        <v/>
      </c>
      <c r="F202" s="245" t="str">
        <f t="shared" si="16"/>
        <v/>
      </c>
      <c r="G202" s="245" t="str">
        <f t="shared" si="17"/>
        <v/>
      </c>
      <c r="H202" s="245" t="str">
        <f t="shared" si="18"/>
        <v/>
      </c>
    </row>
    <row r="203" spans="1:8" x14ac:dyDescent="0.2">
      <c r="A203" s="232" t="str">
        <f t="shared" si="14"/>
        <v/>
      </c>
      <c r="B203" s="244" t="str">
        <f t="shared" si="19"/>
        <v/>
      </c>
      <c r="C203" s="245" t="str">
        <f t="shared" si="15"/>
        <v/>
      </c>
      <c r="D203" s="246"/>
      <c r="E203" s="245" t="str">
        <f t="shared" si="20"/>
        <v/>
      </c>
      <c r="F203" s="245" t="str">
        <f t="shared" si="16"/>
        <v/>
      </c>
      <c r="G203" s="245" t="str">
        <f t="shared" si="17"/>
        <v/>
      </c>
      <c r="H203" s="245" t="str">
        <f t="shared" si="18"/>
        <v/>
      </c>
    </row>
    <row r="204" spans="1:8" x14ac:dyDescent="0.2">
      <c r="A204" s="232" t="str">
        <f t="shared" si="14"/>
        <v/>
      </c>
      <c r="B204" s="244" t="str">
        <f t="shared" si="19"/>
        <v/>
      </c>
      <c r="C204" s="245" t="str">
        <f t="shared" si="15"/>
        <v/>
      </c>
      <c r="D204" s="246"/>
      <c r="E204" s="245" t="str">
        <f t="shared" si="20"/>
        <v/>
      </c>
      <c r="F204" s="245" t="str">
        <f t="shared" si="16"/>
        <v/>
      </c>
      <c r="G204" s="245" t="str">
        <f t="shared" si="17"/>
        <v/>
      </c>
      <c r="H204" s="245" t="str">
        <f t="shared" si="18"/>
        <v/>
      </c>
    </row>
    <row r="205" spans="1:8" x14ac:dyDescent="0.2">
      <c r="A205" s="232" t="str">
        <f t="shared" si="14"/>
        <v/>
      </c>
      <c r="B205" s="244" t="str">
        <f t="shared" si="19"/>
        <v/>
      </c>
      <c r="C205" s="245" t="str">
        <f t="shared" si="15"/>
        <v/>
      </c>
      <c r="D205" s="246"/>
      <c r="E205" s="245" t="str">
        <f t="shared" si="20"/>
        <v/>
      </c>
      <c r="F205" s="245" t="str">
        <f t="shared" si="16"/>
        <v/>
      </c>
      <c r="G205" s="245" t="str">
        <f t="shared" si="17"/>
        <v/>
      </c>
      <c r="H205" s="245" t="str">
        <f t="shared" si="18"/>
        <v/>
      </c>
    </row>
    <row r="206" spans="1:8" x14ac:dyDescent="0.2">
      <c r="A206" s="232" t="str">
        <f t="shared" si="14"/>
        <v/>
      </c>
      <c r="B206" s="244" t="str">
        <f t="shared" si="19"/>
        <v/>
      </c>
      <c r="C206" s="245" t="str">
        <f t="shared" si="15"/>
        <v/>
      </c>
      <c r="D206" s="246"/>
      <c r="E206" s="245" t="str">
        <f t="shared" si="20"/>
        <v/>
      </c>
      <c r="F206" s="245" t="str">
        <f t="shared" si="16"/>
        <v/>
      </c>
      <c r="G206" s="245" t="str">
        <f t="shared" si="17"/>
        <v/>
      </c>
      <c r="H206" s="245" t="str">
        <f t="shared" si="18"/>
        <v/>
      </c>
    </row>
    <row r="207" spans="1:8" x14ac:dyDescent="0.2">
      <c r="A207" s="232" t="str">
        <f t="shared" si="14"/>
        <v/>
      </c>
      <c r="B207" s="244" t="str">
        <f t="shared" si="19"/>
        <v/>
      </c>
      <c r="C207" s="245" t="str">
        <f t="shared" si="15"/>
        <v/>
      </c>
      <c r="D207" s="246"/>
      <c r="E207" s="245" t="str">
        <f t="shared" si="20"/>
        <v/>
      </c>
      <c r="F207" s="245" t="str">
        <f t="shared" si="16"/>
        <v/>
      </c>
      <c r="G207" s="245" t="str">
        <f t="shared" si="17"/>
        <v/>
      </c>
      <c r="H207" s="245" t="str">
        <f t="shared" si="18"/>
        <v/>
      </c>
    </row>
    <row r="208" spans="1:8" x14ac:dyDescent="0.2">
      <c r="A208" s="232" t="str">
        <f t="shared" si="14"/>
        <v/>
      </c>
      <c r="B208" s="244" t="str">
        <f t="shared" si="19"/>
        <v/>
      </c>
      <c r="C208" s="245" t="str">
        <f t="shared" si="15"/>
        <v/>
      </c>
      <c r="D208" s="246"/>
      <c r="E208" s="245" t="str">
        <f t="shared" si="20"/>
        <v/>
      </c>
      <c r="F208" s="245" t="str">
        <f t="shared" si="16"/>
        <v/>
      </c>
      <c r="G208" s="245" t="str">
        <f t="shared" si="17"/>
        <v/>
      </c>
      <c r="H208" s="245" t="str">
        <f t="shared" si="18"/>
        <v/>
      </c>
    </row>
    <row r="209" spans="1:8" x14ac:dyDescent="0.2">
      <c r="A209" s="232" t="str">
        <f t="shared" si="14"/>
        <v/>
      </c>
      <c r="B209" s="244" t="str">
        <f t="shared" si="19"/>
        <v/>
      </c>
      <c r="C209" s="245" t="str">
        <f t="shared" si="15"/>
        <v/>
      </c>
      <c r="D209" s="246"/>
      <c r="E209" s="245" t="str">
        <f t="shared" si="20"/>
        <v/>
      </c>
      <c r="F209" s="245" t="str">
        <f t="shared" si="16"/>
        <v/>
      </c>
      <c r="G209" s="245" t="str">
        <f t="shared" si="17"/>
        <v/>
      </c>
      <c r="H209" s="245" t="str">
        <f t="shared" si="18"/>
        <v/>
      </c>
    </row>
    <row r="210" spans="1:8" x14ac:dyDescent="0.2">
      <c r="A210" s="232" t="str">
        <f t="shared" si="14"/>
        <v/>
      </c>
      <c r="B210" s="244" t="str">
        <f t="shared" si="19"/>
        <v/>
      </c>
      <c r="C210" s="245" t="str">
        <f t="shared" si="15"/>
        <v/>
      </c>
      <c r="D210" s="246"/>
      <c r="E210" s="245" t="str">
        <f t="shared" si="20"/>
        <v/>
      </c>
      <c r="F210" s="245" t="str">
        <f t="shared" si="16"/>
        <v/>
      </c>
      <c r="G210" s="245" t="str">
        <f t="shared" si="17"/>
        <v/>
      </c>
      <c r="H210" s="245" t="str">
        <f t="shared" si="18"/>
        <v/>
      </c>
    </row>
    <row r="211" spans="1:8" x14ac:dyDescent="0.2">
      <c r="A211" s="232" t="str">
        <f t="shared" si="14"/>
        <v/>
      </c>
      <c r="B211" s="244" t="str">
        <f t="shared" si="19"/>
        <v/>
      </c>
      <c r="C211" s="245" t="str">
        <f t="shared" si="15"/>
        <v/>
      </c>
      <c r="D211" s="246"/>
      <c r="E211" s="245" t="str">
        <f t="shared" si="20"/>
        <v/>
      </c>
      <c r="F211" s="245" t="str">
        <f t="shared" si="16"/>
        <v/>
      </c>
      <c r="G211" s="245" t="str">
        <f t="shared" si="17"/>
        <v/>
      </c>
      <c r="H211" s="245" t="str">
        <f t="shared" si="18"/>
        <v/>
      </c>
    </row>
    <row r="212" spans="1:8" x14ac:dyDescent="0.2">
      <c r="A212" s="232" t="str">
        <f t="shared" si="14"/>
        <v/>
      </c>
      <c r="B212" s="244" t="str">
        <f t="shared" si="19"/>
        <v/>
      </c>
      <c r="C212" s="245" t="str">
        <f t="shared" si="15"/>
        <v/>
      </c>
      <c r="D212" s="246"/>
      <c r="E212" s="245" t="str">
        <f t="shared" si="20"/>
        <v/>
      </c>
      <c r="F212" s="245" t="str">
        <f t="shared" si="16"/>
        <v/>
      </c>
      <c r="G212" s="245" t="str">
        <f t="shared" si="17"/>
        <v/>
      </c>
      <c r="H212" s="245" t="str">
        <f t="shared" si="18"/>
        <v/>
      </c>
    </row>
    <row r="213" spans="1:8" x14ac:dyDescent="0.2">
      <c r="A213" s="232" t="str">
        <f t="shared" si="14"/>
        <v/>
      </c>
      <c r="B213" s="244" t="str">
        <f t="shared" si="19"/>
        <v/>
      </c>
      <c r="C213" s="245" t="str">
        <f t="shared" si="15"/>
        <v/>
      </c>
      <c r="D213" s="246"/>
      <c r="E213" s="245" t="str">
        <f t="shared" si="20"/>
        <v/>
      </c>
      <c r="F213" s="245" t="str">
        <f t="shared" si="16"/>
        <v/>
      </c>
      <c r="G213" s="245" t="str">
        <f t="shared" si="17"/>
        <v/>
      </c>
      <c r="H213" s="245" t="str">
        <f t="shared" si="18"/>
        <v/>
      </c>
    </row>
    <row r="214" spans="1:8" x14ac:dyDescent="0.2">
      <c r="A214" s="232" t="str">
        <f t="shared" si="14"/>
        <v/>
      </c>
      <c r="B214" s="244" t="str">
        <f t="shared" si="19"/>
        <v/>
      </c>
      <c r="C214" s="245" t="str">
        <f t="shared" si="15"/>
        <v/>
      </c>
      <c r="D214" s="246"/>
      <c r="E214" s="245" t="str">
        <f t="shared" si="20"/>
        <v/>
      </c>
      <c r="F214" s="245" t="str">
        <f t="shared" si="16"/>
        <v/>
      </c>
      <c r="G214" s="245" t="str">
        <f t="shared" si="17"/>
        <v/>
      </c>
      <c r="H214" s="245" t="str">
        <f t="shared" si="18"/>
        <v/>
      </c>
    </row>
    <row r="215" spans="1:8" x14ac:dyDescent="0.2">
      <c r="A215" s="232" t="str">
        <f t="shared" ref="A215:A278" si="21">IF(A214="","",IF(H214&gt;0,A214+1,""))</f>
        <v/>
      </c>
      <c r="B215" s="244" t="str">
        <f t="shared" si="19"/>
        <v/>
      </c>
      <c r="C215" s="245" t="str">
        <f t="shared" ref="C215:C278" si="22">IF(A215="","",IF(ISBLANK($E$10),MIN(MAX($E$7*H214+IF(plusinterest,F215,0),$E$9),F215+H214),MIN($E$10,H214+F215)))</f>
        <v/>
      </c>
      <c r="D215" s="246"/>
      <c r="E215" s="245" t="str">
        <f t="shared" si="20"/>
        <v/>
      </c>
      <c r="F215" s="245" t="str">
        <f t="shared" ref="F215:F278" si="23">IF(A215="","",B215/12*H214)</f>
        <v/>
      </c>
      <c r="G215" s="245" t="str">
        <f t="shared" ref="G215:G278" si="24">IF(A215="","",C215+D215-F215)</f>
        <v/>
      </c>
      <c r="H215" s="245" t="str">
        <f t="shared" ref="H215:H278" si="25">IF(A215="","",H214-G215)</f>
        <v/>
      </c>
    </row>
    <row r="216" spans="1:8" x14ac:dyDescent="0.2">
      <c r="A216" s="232" t="str">
        <f t="shared" si="21"/>
        <v/>
      </c>
      <c r="B216" s="244" t="str">
        <f t="shared" ref="B216:B279" si="26">IF(A216="","",IF(A216&lt;=$E$11,0,$E$6))</f>
        <v/>
      </c>
      <c r="C216" s="245" t="str">
        <f t="shared" si="22"/>
        <v/>
      </c>
      <c r="D216" s="246"/>
      <c r="E216" s="245" t="str">
        <f t="shared" ref="E216:E279" si="27">IF(A216="","",C216+D216)</f>
        <v/>
      </c>
      <c r="F216" s="245" t="str">
        <f t="shared" si="23"/>
        <v/>
      </c>
      <c r="G216" s="245" t="str">
        <f t="shared" si="24"/>
        <v/>
      </c>
      <c r="H216" s="245" t="str">
        <f t="shared" si="25"/>
        <v/>
      </c>
    </row>
    <row r="217" spans="1:8" x14ac:dyDescent="0.2">
      <c r="A217" s="232" t="str">
        <f t="shared" si="21"/>
        <v/>
      </c>
      <c r="B217" s="244" t="str">
        <f t="shared" si="26"/>
        <v/>
      </c>
      <c r="C217" s="245" t="str">
        <f t="shared" si="22"/>
        <v/>
      </c>
      <c r="D217" s="246"/>
      <c r="E217" s="245" t="str">
        <f t="shared" si="27"/>
        <v/>
      </c>
      <c r="F217" s="245" t="str">
        <f t="shared" si="23"/>
        <v/>
      </c>
      <c r="G217" s="245" t="str">
        <f t="shared" si="24"/>
        <v/>
      </c>
      <c r="H217" s="245" t="str">
        <f t="shared" si="25"/>
        <v/>
      </c>
    </row>
    <row r="218" spans="1:8" x14ac:dyDescent="0.2">
      <c r="A218" s="232" t="str">
        <f t="shared" si="21"/>
        <v/>
      </c>
      <c r="B218" s="244" t="str">
        <f t="shared" si="26"/>
        <v/>
      </c>
      <c r="C218" s="245" t="str">
        <f t="shared" si="22"/>
        <v/>
      </c>
      <c r="D218" s="246"/>
      <c r="E218" s="245" t="str">
        <f t="shared" si="27"/>
        <v/>
      </c>
      <c r="F218" s="245" t="str">
        <f t="shared" si="23"/>
        <v/>
      </c>
      <c r="G218" s="245" t="str">
        <f t="shared" si="24"/>
        <v/>
      </c>
      <c r="H218" s="245" t="str">
        <f t="shared" si="25"/>
        <v/>
      </c>
    </row>
    <row r="219" spans="1:8" x14ac:dyDescent="0.2">
      <c r="A219" s="232" t="str">
        <f t="shared" si="21"/>
        <v/>
      </c>
      <c r="B219" s="244" t="str">
        <f t="shared" si="26"/>
        <v/>
      </c>
      <c r="C219" s="245" t="str">
        <f t="shared" si="22"/>
        <v/>
      </c>
      <c r="D219" s="246"/>
      <c r="E219" s="245" t="str">
        <f t="shared" si="27"/>
        <v/>
      </c>
      <c r="F219" s="245" t="str">
        <f t="shared" si="23"/>
        <v/>
      </c>
      <c r="G219" s="245" t="str">
        <f t="shared" si="24"/>
        <v/>
      </c>
      <c r="H219" s="245" t="str">
        <f t="shared" si="25"/>
        <v/>
      </c>
    </row>
    <row r="220" spans="1:8" x14ac:dyDescent="0.2">
      <c r="A220" s="232" t="str">
        <f t="shared" si="21"/>
        <v/>
      </c>
      <c r="B220" s="244" t="str">
        <f t="shared" si="26"/>
        <v/>
      </c>
      <c r="C220" s="245" t="str">
        <f t="shared" si="22"/>
        <v/>
      </c>
      <c r="D220" s="246"/>
      <c r="E220" s="245" t="str">
        <f t="shared" si="27"/>
        <v/>
      </c>
      <c r="F220" s="245" t="str">
        <f t="shared" si="23"/>
        <v/>
      </c>
      <c r="G220" s="245" t="str">
        <f t="shared" si="24"/>
        <v/>
      </c>
      <c r="H220" s="245" t="str">
        <f t="shared" si="25"/>
        <v/>
      </c>
    </row>
    <row r="221" spans="1:8" x14ac:dyDescent="0.2">
      <c r="A221" s="232" t="str">
        <f t="shared" si="21"/>
        <v/>
      </c>
      <c r="B221" s="244" t="str">
        <f t="shared" si="26"/>
        <v/>
      </c>
      <c r="C221" s="245" t="str">
        <f t="shared" si="22"/>
        <v/>
      </c>
      <c r="D221" s="246"/>
      <c r="E221" s="245" t="str">
        <f t="shared" si="27"/>
        <v/>
      </c>
      <c r="F221" s="245" t="str">
        <f t="shared" si="23"/>
        <v/>
      </c>
      <c r="G221" s="245" t="str">
        <f t="shared" si="24"/>
        <v/>
      </c>
      <c r="H221" s="245" t="str">
        <f t="shared" si="25"/>
        <v/>
      </c>
    </row>
    <row r="222" spans="1:8" x14ac:dyDescent="0.2">
      <c r="A222" s="232" t="str">
        <f t="shared" si="21"/>
        <v/>
      </c>
      <c r="B222" s="244" t="str">
        <f t="shared" si="26"/>
        <v/>
      </c>
      <c r="C222" s="245" t="str">
        <f t="shared" si="22"/>
        <v/>
      </c>
      <c r="D222" s="246"/>
      <c r="E222" s="245" t="str">
        <f t="shared" si="27"/>
        <v/>
      </c>
      <c r="F222" s="245" t="str">
        <f t="shared" si="23"/>
        <v/>
      </c>
      <c r="G222" s="245" t="str">
        <f t="shared" si="24"/>
        <v/>
      </c>
      <c r="H222" s="245" t="str">
        <f t="shared" si="25"/>
        <v/>
      </c>
    </row>
    <row r="223" spans="1:8" x14ac:dyDescent="0.2">
      <c r="A223" s="232" t="str">
        <f t="shared" si="21"/>
        <v/>
      </c>
      <c r="B223" s="244" t="str">
        <f t="shared" si="26"/>
        <v/>
      </c>
      <c r="C223" s="245" t="str">
        <f t="shared" si="22"/>
        <v/>
      </c>
      <c r="D223" s="246"/>
      <c r="E223" s="245" t="str">
        <f t="shared" si="27"/>
        <v/>
      </c>
      <c r="F223" s="245" t="str">
        <f t="shared" si="23"/>
        <v/>
      </c>
      <c r="G223" s="245" t="str">
        <f t="shared" si="24"/>
        <v/>
      </c>
      <c r="H223" s="245" t="str">
        <f t="shared" si="25"/>
        <v/>
      </c>
    </row>
    <row r="224" spans="1:8" x14ac:dyDescent="0.2">
      <c r="A224" s="232" t="str">
        <f t="shared" si="21"/>
        <v/>
      </c>
      <c r="B224" s="244" t="str">
        <f t="shared" si="26"/>
        <v/>
      </c>
      <c r="C224" s="245" t="str">
        <f t="shared" si="22"/>
        <v/>
      </c>
      <c r="D224" s="246"/>
      <c r="E224" s="245" t="str">
        <f t="shared" si="27"/>
        <v/>
      </c>
      <c r="F224" s="245" t="str">
        <f t="shared" si="23"/>
        <v/>
      </c>
      <c r="G224" s="245" t="str">
        <f t="shared" si="24"/>
        <v/>
      </c>
      <c r="H224" s="245" t="str">
        <f t="shared" si="25"/>
        <v/>
      </c>
    </row>
    <row r="225" spans="1:8" x14ac:dyDescent="0.2">
      <c r="A225" s="232" t="str">
        <f t="shared" si="21"/>
        <v/>
      </c>
      <c r="B225" s="244" t="str">
        <f t="shared" si="26"/>
        <v/>
      </c>
      <c r="C225" s="245" t="str">
        <f t="shared" si="22"/>
        <v/>
      </c>
      <c r="D225" s="246"/>
      <c r="E225" s="245" t="str">
        <f t="shared" si="27"/>
        <v/>
      </c>
      <c r="F225" s="245" t="str">
        <f t="shared" si="23"/>
        <v/>
      </c>
      <c r="G225" s="245" t="str">
        <f t="shared" si="24"/>
        <v/>
      </c>
      <c r="H225" s="245" t="str">
        <f t="shared" si="25"/>
        <v/>
      </c>
    </row>
    <row r="226" spans="1:8" x14ac:dyDescent="0.2">
      <c r="A226" s="232" t="str">
        <f t="shared" si="21"/>
        <v/>
      </c>
      <c r="B226" s="244" t="str">
        <f t="shared" si="26"/>
        <v/>
      </c>
      <c r="C226" s="245" t="str">
        <f t="shared" si="22"/>
        <v/>
      </c>
      <c r="D226" s="246"/>
      <c r="E226" s="245" t="str">
        <f t="shared" si="27"/>
        <v/>
      </c>
      <c r="F226" s="245" t="str">
        <f t="shared" si="23"/>
        <v/>
      </c>
      <c r="G226" s="245" t="str">
        <f t="shared" si="24"/>
        <v/>
      </c>
      <c r="H226" s="245" t="str">
        <f t="shared" si="25"/>
        <v/>
      </c>
    </row>
    <row r="227" spans="1:8" x14ac:dyDescent="0.2">
      <c r="A227" s="232" t="str">
        <f t="shared" si="21"/>
        <v/>
      </c>
      <c r="B227" s="244" t="str">
        <f t="shared" si="26"/>
        <v/>
      </c>
      <c r="C227" s="245" t="str">
        <f t="shared" si="22"/>
        <v/>
      </c>
      <c r="D227" s="246"/>
      <c r="E227" s="245" t="str">
        <f t="shared" si="27"/>
        <v/>
      </c>
      <c r="F227" s="245" t="str">
        <f t="shared" si="23"/>
        <v/>
      </c>
      <c r="G227" s="245" t="str">
        <f t="shared" si="24"/>
        <v/>
      </c>
      <c r="H227" s="245" t="str">
        <f t="shared" si="25"/>
        <v/>
      </c>
    </row>
    <row r="228" spans="1:8" x14ac:dyDescent="0.2">
      <c r="A228" s="232" t="str">
        <f t="shared" si="21"/>
        <v/>
      </c>
      <c r="B228" s="244" t="str">
        <f t="shared" si="26"/>
        <v/>
      </c>
      <c r="C228" s="245" t="str">
        <f t="shared" si="22"/>
        <v/>
      </c>
      <c r="D228" s="246"/>
      <c r="E228" s="245" t="str">
        <f t="shared" si="27"/>
        <v/>
      </c>
      <c r="F228" s="245" t="str">
        <f t="shared" si="23"/>
        <v/>
      </c>
      <c r="G228" s="245" t="str">
        <f t="shared" si="24"/>
        <v/>
      </c>
      <c r="H228" s="245" t="str">
        <f t="shared" si="25"/>
        <v/>
      </c>
    </row>
    <row r="229" spans="1:8" x14ac:dyDescent="0.2">
      <c r="A229" s="232" t="str">
        <f t="shared" si="21"/>
        <v/>
      </c>
      <c r="B229" s="244" t="str">
        <f t="shared" si="26"/>
        <v/>
      </c>
      <c r="C229" s="245" t="str">
        <f t="shared" si="22"/>
        <v/>
      </c>
      <c r="D229" s="246"/>
      <c r="E229" s="245" t="str">
        <f t="shared" si="27"/>
        <v/>
      </c>
      <c r="F229" s="245" t="str">
        <f t="shared" si="23"/>
        <v/>
      </c>
      <c r="G229" s="245" t="str">
        <f t="shared" si="24"/>
        <v/>
      </c>
      <c r="H229" s="245" t="str">
        <f t="shared" si="25"/>
        <v/>
      </c>
    </row>
    <row r="230" spans="1:8" x14ac:dyDescent="0.2">
      <c r="A230" s="232" t="str">
        <f t="shared" si="21"/>
        <v/>
      </c>
      <c r="B230" s="244" t="str">
        <f t="shared" si="26"/>
        <v/>
      </c>
      <c r="C230" s="245" t="str">
        <f t="shared" si="22"/>
        <v/>
      </c>
      <c r="D230" s="246"/>
      <c r="E230" s="245" t="str">
        <f t="shared" si="27"/>
        <v/>
      </c>
      <c r="F230" s="245" t="str">
        <f t="shared" si="23"/>
        <v/>
      </c>
      <c r="G230" s="245" t="str">
        <f t="shared" si="24"/>
        <v/>
      </c>
      <c r="H230" s="245" t="str">
        <f t="shared" si="25"/>
        <v/>
      </c>
    </row>
    <row r="231" spans="1:8" x14ac:dyDescent="0.2">
      <c r="A231" s="232" t="str">
        <f t="shared" si="21"/>
        <v/>
      </c>
      <c r="B231" s="244" t="str">
        <f t="shared" si="26"/>
        <v/>
      </c>
      <c r="C231" s="245" t="str">
        <f t="shared" si="22"/>
        <v/>
      </c>
      <c r="D231" s="246"/>
      <c r="E231" s="245" t="str">
        <f t="shared" si="27"/>
        <v/>
      </c>
      <c r="F231" s="245" t="str">
        <f t="shared" si="23"/>
        <v/>
      </c>
      <c r="G231" s="245" t="str">
        <f t="shared" si="24"/>
        <v/>
      </c>
      <c r="H231" s="245" t="str">
        <f t="shared" si="25"/>
        <v/>
      </c>
    </row>
    <row r="232" spans="1:8" x14ac:dyDescent="0.2">
      <c r="A232" s="232" t="str">
        <f t="shared" si="21"/>
        <v/>
      </c>
      <c r="B232" s="244" t="str">
        <f t="shared" si="26"/>
        <v/>
      </c>
      <c r="C232" s="245" t="str">
        <f t="shared" si="22"/>
        <v/>
      </c>
      <c r="D232" s="246"/>
      <c r="E232" s="245" t="str">
        <f t="shared" si="27"/>
        <v/>
      </c>
      <c r="F232" s="245" t="str">
        <f t="shared" si="23"/>
        <v/>
      </c>
      <c r="G232" s="245" t="str">
        <f t="shared" si="24"/>
        <v/>
      </c>
      <c r="H232" s="245" t="str">
        <f t="shared" si="25"/>
        <v/>
      </c>
    </row>
    <row r="233" spans="1:8" x14ac:dyDescent="0.2">
      <c r="A233" s="232" t="str">
        <f t="shared" si="21"/>
        <v/>
      </c>
      <c r="B233" s="244" t="str">
        <f t="shared" si="26"/>
        <v/>
      </c>
      <c r="C233" s="245" t="str">
        <f t="shared" si="22"/>
        <v/>
      </c>
      <c r="D233" s="246"/>
      <c r="E233" s="245" t="str">
        <f t="shared" si="27"/>
        <v/>
      </c>
      <c r="F233" s="245" t="str">
        <f t="shared" si="23"/>
        <v/>
      </c>
      <c r="G233" s="245" t="str">
        <f t="shared" si="24"/>
        <v/>
      </c>
      <c r="H233" s="245" t="str">
        <f t="shared" si="25"/>
        <v/>
      </c>
    </row>
    <row r="234" spans="1:8" x14ac:dyDescent="0.2">
      <c r="A234" s="232" t="str">
        <f t="shared" si="21"/>
        <v/>
      </c>
      <c r="B234" s="244" t="str">
        <f t="shared" si="26"/>
        <v/>
      </c>
      <c r="C234" s="245" t="str">
        <f t="shared" si="22"/>
        <v/>
      </c>
      <c r="D234" s="246"/>
      <c r="E234" s="245" t="str">
        <f t="shared" si="27"/>
        <v/>
      </c>
      <c r="F234" s="245" t="str">
        <f t="shared" si="23"/>
        <v/>
      </c>
      <c r="G234" s="245" t="str">
        <f t="shared" si="24"/>
        <v/>
      </c>
      <c r="H234" s="245" t="str">
        <f t="shared" si="25"/>
        <v/>
      </c>
    </row>
    <row r="235" spans="1:8" x14ac:dyDescent="0.2">
      <c r="A235" s="232" t="str">
        <f t="shared" si="21"/>
        <v/>
      </c>
      <c r="B235" s="244" t="str">
        <f t="shared" si="26"/>
        <v/>
      </c>
      <c r="C235" s="245" t="str">
        <f t="shared" si="22"/>
        <v/>
      </c>
      <c r="D235" s="246"/>
      <c r="E235" s="245" t="str">
        <f t="shared" si="27"/>
        <v/>
      </c>
      <c r="F235" s="245" t="str">
        <f t="shared" si="23"/>
        <v/>
      </c>
      <c r="G235" s="245" t="str">
        <f t="shared" si="24"/>
        <v/>
      </c>
      <c r="H235" s="245" t="str">
        <f t="shared" si="25"/>
        <v/>
      </c>
    </row>
    <row r="236" spans="1:8" x14ac:dyDescent="0.2">
      <c r="A236" s="232" t="str">
        <f t="shared" si="21"/>
        <v/>
      </c>
      <c r="B236" s="244" t="str">
        <f t="shared" si="26"/>
        <v/>
      </c>
      <c r="C236" s="245" t="str">
        <f t="shared" si="22"/>
        <v/>
      </c>
      <c r="D236" s="246"/>
      <c r="E236" s="245" t="str">
        <f t="shared" si="27"/>
        <v/>
      </c>
      <c r="F236" s="245" t="str">
        <f t="shared" si="23"/>
        <v/>
      </c>
      <c r="G236" s="245" t="str">
        <f t="shared" si="24"/>
        <v/>
      </c>
      <c r="H236" s="245" t="str">
        <f t="shared" si="25"/>
        <v/>
      </c>
    </row>
    <row r="237" spans="1:8" x14ac:dyDescent="0.2">
      <c r="A237" s="232" t="str">
        <f t="shared" si="21"/>
        <v/>
      </c>
      <c r="B237" s="244" t="str">
        <f t="shared" si="26"/>
        <v/>
      </c>
      <c r="C237" s="245" t="str">
        <f t="shared" si="22"/>
        <v/>
      </c>
      <c r="D237" s="246"/>
      <c r="E237" s="245" t="str">
        <f t="shared" si="27"/>
        <v/>
      </c>
      <c r="F237" s="245" t="str">
        <f t="shared" si="23"/>
        <v/>
      </c>
      <c r="G237" s="245" t="str">
        <f t="shared" si="24"/>
        <v/>
      </c>
      <c r="H237" s="245" t="str">
        <f t="shared" si="25"/>
        <v/>
      </c>
    </row>
    <row r="238" spans="1:8" x14ac:dyDescent="0.2">
      <c r="A238" s="232" t="str">
        <f t="shared" si="21"/>
        <v/>
      </c>
      <c r="B238" s="244" t="str">
        <f t="shared" si="26"/>
        <v/>
      </c>
      <c r="C238" s="245" t="str">
        <f t="shared" si="22"/>
        <v/>
      </c>
      <c r="D238" s="246"/>
      <c r="E238" s="245" t="str">
        <f t="shared" si="27"/>
        <v/>
      </c>
      <c r="F238" s="245" t="str">
        <f t="shared" si="23"/>
        <v/>
      </c>
      <c r="G238" s="245" t="str">
        <f t="shared" si="24"/>
        <v/>
      </c>
      <c r="H238" s="245" t="str">
        <f t="shared" si="25"/>
        <v/>
      </c>
    </row>
    <row r="239" spans="1:8" x14ac:dyDescent="0.2">
      <c r="A239" s="232" t="str">
        <f t="shared" si="21"/>
        <v/>
      </c>
      <c r="B239" s="244" t="str">
        <f t="shared" si="26"/>
        <v/>
      </c>
      <c r="C239" s="245" t="str">
        <f t="shared" si="22"/>
        <v/>
      </c>
      <c r="D239" s="246"/>
      <c r="E239" s="245" t="str">
        <f t="shared" si="27"/>
        <v/>
      </c>
      <c r="F239" s="245" t="str">
        <f t="shared" si="23"/>
        <v/>
      </c>
      <c r="G239" s="245" t="str">
        <f t="shared" si="24"/>
        <v/>
      </c>
      <c r="H239" s="245" t="str">
        <f t="shared" si="25"/>
        <v/>
      </c>
    </row>
    <row r="240" spans="1:8" x14ac:dyDescent="0.2">
      <c r="A240" s="232" t="str">
        <f t="shared" si="21"/>
        <v/>
      </c>
      <c r="B240" s="244" t="str">
        <f t="shared" si="26"/>
        <v/>
      </c>
      <c r="C240" s="245" t="str">
        <f t="shared" si="22"/>
        <v/>
      </c>
      <c r="D240" s="246"/>
      <c r="E240" s="245" t="str">
        <f t="shared" si="27"/>
        <v/>
      </c>
      <c r="F240" s="245" t="str">
        <f t="shared" si="23"/>
        <v/>
      </c>
      <c r="G240" s="245" t="str">
        <f t="shared" si="24"/>
        <v/>
      </c>
      <c r="H240" s="245" t="str">
        <f t="shared" si="25"/>
        <v/>
      </c>
    </row>
    <row r="241" spans="1:8" x14ac:dyDescent="0.2">
      <c r="A241" s="232" t="str">
        <f t="shared" si="21"/>
        <v/>
      </c>
      <c r="B241" s="244" t="str">
        <f t="shared" si="26"/>
        <v/>
      </c>
      <c r="C241" s="245" t="str">
        <f t="shared" si="22"/>
        <v/>
      </c>
      <c r="D241" s="246"/>
      <c r="E241" s="245" t="str">
        <f t="shared" si="27"/>
        <v/>
      </c>
      <c r="F241" s="245" t="str">
        <f t="shared" si="23"/>
        <v/>
      </c>
      <c r="G241" s="245" t="str">
        <f t="shared" si="24"/>
        <v/>
      </c>
      <c r="H241" s="245" t="str">
        <f t="shared" si="25"/>
        <v/>
      </c>
    </row>
    <row r="242" spans="1:8" x14ac:dyDescent="0.2">
      <c r="A242" s="232" t="str">
        <f t="shared" si="21"/>
        <v/>
      </c>
      <c r="B242" s="244" t="str">
        <f t="shared" si="26"/>
        <v/>
      </c>
      <c r="C242" s="245" t="str">
        <f t="shared" si="22"/>
        <v/>
      </c>
      <c r="D242" s="246"/>
      <c r="E242" s="245" t="str">
        <f t="shared" si="27"/>
        <v/>
      </c>
      <c r="F242" s="245" t="str">
        <f t="shared" si="23"/>
        <v/>
      </c>
      <c r="G242" s="245" t="str">
        <f t="shared" si="24"/>
        <v/>
      </c>
      <c r="H242" s="245" t="str">
        <f t="shared" si="25"/>
        <v/>
      </c>
    </row>
    <row r="243" spans="1:8" x14ac:dyDescent="0.2">
      <c r="A243" s="232" t="str">
        <f t="shared" si="21"/>
        <v/>
      </c>
      <c r="B243" s="244" t="str">
        <f t="shared" si="26"/>
        <v/>
      </c>
      <c r="C243" s="245" t="str">
        <f t="shared" si="22"/>
        <v/>
      </c>
      <c r="D243" s="246"/>
      <c r="E243" s="245" t="str">
        <f t="shared" si="27"/>
        <v/>
      </c>
      <c r="F243" s="245" t="str">
        <f t="shared" si="23"/>
        <v/>
      </c>
      <c r="G243" s="245" t="str">
        <f t="shared" si="24"/>
        <v/>
      </c>
      <c r="H243" s="245" t="str">
        <f t="shared" si="25"/>
        <v/>
      </c>
    </row>
    <row r="244" spans="1:8" x14ac:dyDescent="0.2">
      <c r="A244" s="232" t="str">
        <f t="shared" si="21"/>
        <v/>
      </c>
      <c r="B244" s="244" t="str">
        <f t="shared" si="26"/>
        <v/>
      </c>
      <c r="C244" s="245" t="str">
        <f t="shared" si="22"/>
        <v/>
      </c>
      <c r="D244" s="246"/>
      <c r="E244" s="245" t="str">
        <f t="shared" si="27"/>
        <v/>
      </c>
      <c r="F244" s="245" t="str">
        <f t="shared" si="23"/>
        <v/>
      </c>
      <c r="G244" s="245" t="str">
        <f t="shared" si="24"/>
        <v/>
      </c>
      <c r="H244" s="245" t="str">
        <f t="shared" si="25"/>
        <v/>
      </c>
    </row>
    <row r="245" spans="1:8" x14ac:dyDescent="0.2">
      <c r="A245" s="232" t="str">
        <f t="shared" si="21"/>
        <v/>
      </c>
      <c r="B245" s="244" t="str">
        <f t="shared" si="26"/>
        <v/>
      </c>
      <c r="C245" s="245" t="str">
        <f t="shared" si="22"/>
        <v/>
      </c>
      <c r="D245" s="246"/>
      <c r="E245" s="245" t="str">
        <f t="shared" si="27"/>
        <v/>
      </c>
      <c r="F245" s="245" t="str">
        <f t="shared" si="23"/>
        <v/>
      </c>
      <c r="G245" s="245" t="str">
        <f t="shared" si="24"/>
        <v/>
      </c>
      <c r="H245" s="245" t="str">
        <f t="shared" si="25"/>
        <v/>
      </c>
    </row>
    <row r="246" spans="1:8" x14ac:dyDescent="0.2">
      <c r="A246" s="232" t="str">
        <f t="shared" si="21"/>
        <v/>
      </c>
      <c r="B246" s="244" t="str">
        <f t="shared" si="26"/>
        <v/>
      </c>
      <c r="C246" s="245" t="str">
        <f t="shared" si="22"/>
        <v/>
      </c>
      <c r="D246" s="246"/>
      <c r="E246" s="245" t="str">
        <f t="shared" si="27"/>
        <v/>
      </c>
      <c r="F246" s="245" t="str">
        <f t="shared" si="23"/>
        <v/>
      </c>
      <c r="G246" s="245" t="str">
        <f t="shared" si="24"/>
        <v/>
      </c>
      <c r="H246" s="245" t="str">
        <f t="shared" si="25"/>
        <v/>
      </c>
    </row>
    <row r="247" spans="1:8" x14ac:dyDescent="0.2">
      <c r="A247" s="232" t="str">
        <f t="shared" si="21"/>
        <v/>
      </c>
      <c r="B247" s="244" t="str">
        <f t="shared" si="26"/>
        <v/>
      </c>
      <c r="C247" s="245" t="str">
        <f t="shared" si="22"/>
        <v/>
      </c>
      <c r="D247" s="246"/>
      <c r="E247" s="245" t="str">
        <f t="shared" si="27"/>
        <v/>
      </c>
      <c r="F247" s="245" t="str">
        <f t="shared" si="23"/>
        <v/>
      </c>
      <c r="G247" s="245" t="str">
        <f t="shared" si="24"/>
        <v/>
      </c>
      <c r="H247" s="245" t="str">
        <f t="shared" si="25"/>
        <v/>
      </c>
    </row>
    <row r="248" spans="1:8" x14ac:dyDescent="0.2">
      <c r="A248" s="232" t="str">
        <f t="shared" si="21"/>
        <v/>
      </c>
      <c r="B248" s="244" t="str">
        <f t="shared" si="26"/>
        <v/>
      </c>
      <c r="C248" s="245" t="str">
        <f t="shared" si="22"/>
        <v/>
      </c>
      <c r="D248" s="246"/>
      <c r="E248" s="245" t="str">
        <f t="shared" si="27"/>
        <v/>
      </c>
      <c r="F248" s="245" t="str">
        <f t="shared" si="23"/>
        <v/>
      </c>
      <c r="G248" s="245" t="str">
        <f t="shared" si="24"/>
        <v/>
      </c>
      <c r="H248" s="245" t="str">
        <f t="shared" si="25"/>
        <v/>
      </c>
    </row>
    <row r="249" spans="1:8" x14ac:dyDescent="0.2">
      <c r="A249" s="232" t="str">
        <f t="shared" si="21"/>
        <v/>
      </c>
      <c r="B249" s="244" t="str">
        <f t="shared" si="26"/>
        <v/>
      </c>
      <c r="C249" s="245" t="str">
        <f t="shared" si="22"/>
        <v/>
      </c>
      <c r="D249" s="246"/>
      <c r="E249" s="245" t="str">
        <f t="shared" si="27"/>
        <v/>
      </c>
      <c r="F249" s="245" t="str">
        <f t="shared" si="23"/>
        <v/>
      </c>
      <c r="G249" s="245" t="str">
        <f t="shared" si="24"/>
        <v/>
      </c>
      <c r="H249" s="245" t="str">
        <f t="shared" si="25"/>
        <v/>
      </c>
    </row>
    <row r="250" spans="1:8" x14ac:dyDescent="0.2">
      <c r="A250" s="232" t="str">
        <f t="shared" si="21"/>
        <v/>
      </c>
      <c r="B250" s="244" t="str">
        <f t="shared" si="26"/>
        <v/>
      </c>
      <c r="C250" s="245" t="str">
        <f t="shared" si="22"/>
        <v/>
      </c>
      <c r="D250" s="246"/>
      <c r="E250" s="245" t="str">
        <f t="shared" si="27"/>
        <v/>
      </c>
      <c r="F250" s="245" t="str">
        <f t="shared" si="23"/>
        <v/>
      </c>
      <c r="G250" s="245" t="str">
        <f t="shared" si="24"/>
        <v/>
      </c>
      <c r="H250" s="245" t="str">
        <f t="shared" si="25"/>
        <v/>
      </c>
    </row>
    <row r="251" spans="1:8" x14ac:dyDescent="0.2">
      <c r="A251" s="232" t="str">
        <f t="shared" si="21"/>
        <v/>
      </c>
      <c r="B251" s="244" t="str">
        <f t="shared" si="26"/>
        <v/>
      </c>
      <c r="C251" s="245" t="str">
        <f t="shared" si="22"/>
        <v/>
      </c>
      <c r="D251" s="246"/>
      <c r="E251" s="245" t="str">
        <f t="shared" si="27"/>
        <v/>
      </c>
      <c r="F251" s="245" t="str">
        <f t="shared" si="23"/>
        <v/>
      </c>
      <c r="G251" s="245" t="str">
        <f t="shared" si="24"/>
        <v/>
      </c>
      <c r="H251" s="245" t="str">
        <f t="shared" si="25"/>
        <v/>
      </c>
    </row>
    <row r="252" spans="1:8" x14ac:dyDescent="0.2">
      <c r="A252" s="232" t="str">
        <f t="shared" si="21"/>
        <v/>
      </c>
      <c r="B252" s="244" t="str">
        <f t="shared" si="26"/>
        <v/>
      </c>
      <c r="C252" s="245" t="str">
        <f t="shared" si="22"/>
        <v/>
      </c>
      <c r="D252" s="246"/>
      <c r="E252" s="245" t="str">
        <f t="shared" si="27"/>
        <v/>
      </c>
      <c r="F252" s="245" t="str">
        <f t="shared" si="23"/>
        <v/>
      </c>
      <c r="G252" s="245" t="str">
        <f t="shared" si="24"/>
        <v/>
      </c>
      <c r="H252" s="245" t="str">
        <f t="shared" si="25"/>
        <v/>
      </c>
    </row>
    <row r="253" spans="1:8" x14ac:dyDescent="0.2">
      <c r="A253" s="232" t="str">
        <f t="shared" si="21"/>
        <v/>
      </c>
      <c r="B253" s="244" t="str">
        <f t="shared" si="26"/>
        <v/>
      </c>
      <c r="C253" s="245" t="str">
        <f t="shared" si="22"/>
        <v/>
      </c>
      <c r="D253" s="246"/>
      <c r="E253" s="245" t="str">
        <f t="shared" si="27"/>
        <v/>
      </c>
      <c r="F253" s="245" t="str">
        <f t="shared" si="23"/>
        <v/>
      </c>
      <c r="G253" s="245" t="str">
        <f t="shared" si="24"/>
        <v/>
      </c>
      <c r="H253" s="245" t="str">
        <f t="shared" si="25"/>
        <v/>
      </c>
    </row>
    <row r="254" spans="1:8" x14ac:dyDescent="0.2">
      <c r="A254" s="232" t="str">
        <f t="shared" si="21"/>
        <v/>
      </c>
      <c r="B254" s="244" t="str">
        <f t="shared" si="26"/>
        <v/>
      </c>
      <c r="C254" s="245" t="str">
        <f t="shared" si="22"/>
        <v/>
      </c>
      <c r="D254" s="246"/>
      <c r="E254" s="245" t="str">
        <f t="shared" si="27"/>
        <v/>
      </c>
      <c r="F254" s="245" t="str">
        <f t="shared" si="23"/>
        <v/>
      </c>
      <c r="G254" s="245" t="str">
        <f t="shared" si="24"/>
        <v/>
      </c>
      <c r="H254" s="245" t="str">
        <f t="shared" si="25"/>
        <v/>
      </c>
    </row>
    <row r="255" spans="1:8" x14ac:dyDescent="0.2">
      <c r="A255" s="232" t="str">
        <f t="shared" si="21"/>
        <v/>
      </c>
      <c r="B255" s="244" t="str">
        <f t="shared" si="26"/>
        <v/>
      </c>
      <c r="C255" s="245" t="str">
        <f t="shared" si="22"/>
        <v/>
      </c>
      <c r="D255" s="246"/>
      <c r="E255" s="245" t="str">
        <f t="shared" si="27"/>
        <v/>
      </c>
      <c r="F255" s="245" t="str">
        <f t="shared" si="23"/>
        <v/>
      </c>
      <c r="G255" s="245" t="str">
        <f t="shared" si="24"/>
        <v/>
      </c>
      <c r="H255" s="245" t="str">
        <f t="shared" si="25"/>
        <v/>
      </c>
    </row>
    <row r="256" spans="1:8" x14ac:dyDescent="0.2">
      <c r="A256" s="232" t="str">
        <f t="shared" si="21"/>
        <v/>
      </c>
      <c r="B256" s="244" t="str">
        <f t="shared" si="26"/>
        <v/>
      </c>
      <c r="C256" s="245" t="str">
        <f t="shared" si="22"/>
        <v/>
      </c>
      <c r="D256" s="246"/>
      <c r="E256" s="245" t="str">
        <f t="shared" si="27"/>
        <v/>
      </c>
      <c r="F256" s="245" t="str">
        <f t="shared" si="23"/>
        <v/>
      </c>
      <c r="G256" s="245" t="str">
        <f t="shared" si="24"/>
        <v/>
      </c>
      <c r="H256" s="245" t="str">
        <f t="shared" si="25"/>
        <v/>
      </c>
    </row>
    <row r="257" spans="1:8" x14ac:dyDescent="0.2">
      <c r="A257" s="232" t="str">
        <f t="shared" si="21"/>
        <v/>
      </c>
      <c r="B257" s="244" t="str">
        <f t="shared" si="26"/>
        <v/>
      </c>
      <c r="C257" s="245" t="str">
        <f t="shared" si="22"/>
        <v/>
      </c>
      <c r="D257" s="246"/>
      <c r="E257" s="245" t="str">
        <f t="shared" si="27"/>
        <v/>
      </c>
      <c r="F257" s="245" t="str">
        <f t="shared" si="23"/>
        <v/>
      </c>
      <c r="G257" s="245" t="str">
        <f t="shared" si="24"/>
        <v/>
      </c>
      <c r="H257" s="245" t="str">
        <f t="shared" si="25"/>
        <v/>
      </c>
    </row>
    <row r="258" spans="1:8" x14ac:dyDescent="0.2">
      <c r="A258" s="232" t="str">
        <f t="shared" si="21"/>
        <v/>
      </c>
      <c r="B258" s="244" t="str">
        <f t="shared" si="26"/>
        <v/>
      </c>
      <c r="C258" s="245" t="str">
        <f t="shared" si="22"/>
        <v/>
      </c>
      <c r="D258" s="246"/>
      <c r="E258" s="245" t="str">
        <f t="shared" si="27"/>
        <v/>
      </c>
      <c r="F258" s="245" t="str">
        <f t="shared" si="23"/>
        <v/>
      </c>
      <c r="G258" s="245" t="str">
        <f t="shared" si="24"/>
        <v/>
      </c>
      <c r="H258" s="245" t="str">
        <f t="shared" si="25"/>
        <v/>
      </c>
    </row>
    <row r="259" spans="1:8" x14ac:dyDescent="0.2">
      <c r="A259" s="232" t="str">
        <f t="shared" si="21"/>
        <v/>
      </c>
      <c r="B259" s="244" t="str">
        <f t="shared" si="26"/>
        <v/>
      </c>
      <c r="C259" s="245" t="str">
        <f t="shared" si="22"/>
        <v/>
      </c>
      <c r="D259" s="246"/>
      <c r="E259" s="245" t="str">
        <f t="shared" si="27"/>
        <v/>
      </c>
      <c r="F259" s="245" t="str">
        <f t="shared" si="23"/>
        <v/>
      </c>
      <c r="G259" s="245" t="str">
        <f t="shared" si="24"/>
        <v/>
      </c>
      <c r="H259" s="245" t="str">
        <f t="shared" si="25"/>
        <v/>
      </c>
    </row>
    <row r="260" spans="1:8" x14ac:dyDescent="0.2">
      <c r="A260" s="232" t="str">
        <f t="shared" si="21"/>
        <v/>
      </c>
      <c r="B260" s="244" t="str">
        <f t="shared" si="26"/>
        <v/>
      </c>
      <c r="C260" s="245" t="str">
        <f t="shared" si="22"/>
        <v/>
      </c>
      <c r="D260" s="246"/>
      <c r="E260" s="245" t="str">
        <f t="shared" si="27"/>
        <v/>
      </c>
      <c r="F260" s="245" t="str">
        <f t="shared" si="23"/>
        <v/>
      </c>
      <c r="G260" s="245" t="str">
        <f t="shared" si="24"/>
        <v/>
      </c>
      <c r="H260" s="245" t="str">
        <f t="shared" si="25"/>
        <v/>
      </c>
    </row>
    <row r="261" spans="1:8" x14ac:dyDescent="0.2">
      <c r="A261" s="232" t="str">
        <f t="shared" si="21"/>
        <v/>
      </c>
      <c r="B261" s="244" t="str">
        <f t="shared" si="26"/>
        <v/>
      </c>
      <c r="C261" s="245" t="str">
        <f t="shared" si="22"/>
        <v/>
      </c>
      <c r="D261" s="246"/>
      <c r="E261" s="245" t="str">
        <f t="shared" si="27"/>
        <v/>
      </c>
      <c r="F261" s="245" t="str">
        <f t="shared" si="23"/>
        <v/>
      </c>
      <c r="G261" s="245" t="str">
        <f t="shared" si="24"/>
        <v/>
      </c>
      <c r="H261" s="245" t="str">
        <f t="shared" si="25"/>
        <v/>
      </c>
    </row>
    <row r="262" spans="1:8" x14ac:dyDescent="0.2">
      <c r="A262" s="232" t="str">
        <f t="shared" si="21"/>
        <v/>
      </c>
      <c r="B262" s="244" t="str">
        <f t="shared" si="26"/>
        <v/>
      </c>
      <c r="C262" s="245" t="str">
        <f t="shared" si="22"/>
        <v/>
      </c>
      <c r="D262" s="246"/>
      <c r="E262" s="245" t="str">
        <f t="shared" si="27"/>
        <v/>
      </c>
      <c r="F262" s="245" t="str">
        <f t="shared" si="23"/>
        <v/>
      </c>
      <c r="G262" s="245" t="str">
        <f t="shared" si="24"/>
        <v/>
      </c>
      <c r="H262" s="245" t="str">
        <f t="shared" si="25"/>
        <v/>
      </c>
    </row>
    <row r="263" spans="1:8" x14ac:dyDescent="0.2">
      <c r="A263" s="232" t="str">
        <f t="shared" si="21"/>
        <v/>
      </c>
      <c r="B263" s="244" t="str">
        <f t="shared" si="26"/>
        <v/>
      </c>
      <c r="C263" s="245" t="str">
        <f t="shared" si="22"/>
        <v/>
      </c>
      <c r="D263" s="246"/>
      <c r="E263" s="245" t="str">
        <f t="shared" si="27"/>
        <v/>
      </c>
      <c r="F263" s="245" t="str">
        <f t="shared" si="23"/>
        <v/>
      </c>
      <c r="G263" s="245" t="str">
        <f t="shared" si="24"/>
        <v/>
      </c>
      <c r="H263" s="245" t="str">
        <f t="shared" si="25"/>
        <v/>
      </c>
    </row>
    <row r="264" spans="1:8" x14ac:dyDescent="0.2">
      <c r="A264" s="232" t="str">
        <f t="shared" si="21"/>
        <v/>
      </c>
      <c r="B264" s="244" t="str">
        <f t="shared" si="26"/>
        <v/>
      </c>
      <c r="C264" s="245" t="str">
        <f t="shared" si="22"/>
        <v/>
      </c>
      <c r="D264" s="246"/>
      <c r="E264" s="245" t="str">
        <f t="shared" si="27"/>
        <v/>
      </c>
      <c r="F264" s="245" t="str">
        <f t="shared" si="23"/>
        <v/>
      </c>
      <c r="G264" s="245" t="str">
        <f t="shared" si="24"/>
        <v/>
      </c>
      <c r="H264" s="245" t="str">
        <f t="shared" si="25"/>
        <v/>
      </c>
    </row>
    <row r="265" spans="1:8" x14ac:dyDescent="0.2">
      <c r="A265" s="232" t="str">
        <f t="shared" si="21"/>
        <v/>
      </c>
      <c r="B265" s="244" t="str">
        <f t="shared" si="26"/>
        <v/>
      </c>
      <c r="C265" s="245" t="str">
        <f t="shared" si="22"/>
        <v/>
      </c>
      <c r="D265" s="246"/>
      <c r="E265" s="245" t="str">
        <f t="shared" si="27"/>
        <v/>
      </c>
      <c r="F265" s="245" t="str">
        <f t="shared" si="23"/>
        <v/>
      </c>
      <c r="G265" s="245" t="str">
        <f t="shared" si="24"/>
        <v/>
      </c>
      <c r="H265" s="245" t="str">
        <f t="shared" si="25"/>
        <v/>
      </c>
    </row>
    <row r="266" spans="1:8" x14ac:dyDescent="0.2">
      <c r="A266" s="232" t="str">
        <f t="shared" si="21"/>
        <v/>
      </c>
      <c r="B266" s="244" t="str">
        <f t="shared" si="26"/>
        <v/>
      </c>
      <c r="C266" s="245" t="str">
        <f t="shared" si="22"/>
        <v/>
      </c>
      <c r="D266" s="246"/>
      <c r="E266" s="245" t="str">
        <f t="shared" si="27"/>
        <v/>
      </c>
      <c r="F266" s="245" t="str">
        <f t="shared" si="23"/>
        <v/>
      </c>
      <c r="G266" s="245" t="str">
        <f t="shared" si="24"/>
        <v/>
      </c>
      <c r="H266" s="245" t="str">
        <f t="shared" si="25"/>
        <v/>
      </c>
    </row>
    <row r="267" spans="1:8" x14ac:dyDescent="0.2">
      <c r="A267" s="232" t="str">
        <f t="shared" si="21"/>
        <v/>
      </c>
      <c r="B267" s="244" t="str">
        <f t="shared" si="26"/>
        <v/>
      </c>
      <c r="C267" s="245" t="str">
        <f t="shared" si="22"/>
        <v/>
      </c>
      <c r="D267" s="246"/>
      <c r="E267" s="245" t="str">
        <f t="shared" si="27"/>
        <v/>
      </c>
      <c r="F267" s="245" t="str">
        <f t="shared" si="23"/>
        <v/>
      </c>
      <c r="G267" s="245" t="str">
        <f t="shared" si="24"/>
        <v/>
      </c>
      <c r="H267" s="245" t="str">
        <f t="shared" si="25"/>
        <v/>
      </c>
    </row>
    <row r="268" spans="1:8" x14ac:dyDescent="0.2">
      <c r="A268" s="232" t="str">
        <f t="shared" si="21"/>
        <v/>
      </c>
      <c r="B268" s="244" t="str">
        <f t="shared" si="26"/>
        <v/>
      </c>
      <c r="C268" s="245" t="str">
        <f t="shared" si="22"/>
        <v/>
      </c>
      <c r="D268" s="246"/>
      <c r="E268" s="245" t="str">
        <f t="shared" si="27"/>
        <v/>
      </c>
      <c r="F268" s="245" t="str">
        <f t="shared" si="23"/>
        <v/>
      </c>
      <c r="G268" s="245" t="str">
        <f t="shared" si="24"/>
        <v/>
      </c>
      <c r="H268" s="245" t="str">
        <f t="shared" si="25"/>
        <v/>
      </c>
    </row>
    <row r="269" spans="1:8" x14ac:dyDescent="0.2">
      <c r="A269" s="232" t="str">
        <f t="shared" si="21"/>
        <v/>
      </c>
      <c r="B269" s="244" t="str">
        <f t="shared" si="26"/>
        <v/>
      </c>
      <c r="C269" s="245" t="str">
        <f t="shared" si="22"/>
        <v/>
      </c>
      <c r="D269" s="246"/>
      <c r="E269" s="245" t="str">
        <f t="shared" si="27"/>
        <v/>
      </c>
      <c r="F269" s="245" t="str">
        <f t="shared" si="23"/>
        <v/>
      </c>
      <c r="G269" s="245" t="str">
        <f t="shared" si="24"/>
        <v/>
      </c>
      <c r="H269" s="245" t="str">
        <f t="shared" si="25"/>
        <v/>
      </c>
    </row>
    <row r="270" spans="1:8" x14ac:dyDescent="0.2">
      <c r="A270" s="232" t="str">
        <f t="shared" si="21"/>
        <v/>
      </c>
      <c r="B270" s="244" t="str">
        <f t="shared" si="26"/>
        <v/>
      </c>
      <c r="C270" s="245" t="str">
        <f t="shared" si="22"/>
        <v/>
      </c>
      <c r="D270" s="246"/>
      <c r="E270" s="245" t="str">
        <f t="shared" si="27"/>
        <v/>
      </c>
      <c r="F270" s="245" t="str">
        <f t="shared" si="23"/>
        <v/>
      </c>
      <c r="G270" s="245" t="str">
        <f t="shared" si="24"/>
        <v/>
      </c>
      <c r="H270" s="245" t="str">
        <f t="shared" si="25"/>
        <v/>
      </c>
    </row>
    <row r="271" spans="1:8" x14ac:dyDescent="0.2">
      <c r="A271" s="232" t="str">
        <f t="shared" si="21"/>
        <v/>
      </c>
      <c r="B271" s="244" t="str">
        <f t="shared" si="26"/>
        <v/>
      </c>
      <c r="C271" s="245" t="str">
        <f t="shared" si="22"/>
        <v/>
      </c>
      <c r="D271" s="246"/>
      <c r="E271" s="245" t="str">
        <f t="shared" si="27"/>
        <v/>
      </c>
      <c r="F271" s="245" t="str">
        <f t="shared" si="23"/>
        <v/>
      </c>
      <c r="G271" s="245" t="str">
        <f t="shared" si="24"/>
        <v/>
      </c>
      <c r="H271" s="245" t="str">
        <f t="shared" si="25"/>
        <v/>
      </c>
    </row>
    <row r="272" spans="1:8" x14ac:dyDescent="0.2">
      <c r="A272" s="232" t="str">
        <f t="shared" si="21"/>
        <v/>
      </c>
      <c r="B272" s="244" t="str">
        <f t="shared" si="26"/>
        <v/>
      </c>
      <c r="C272" s="245" t="str">
        <f t="shared" si="22"/>
        <v/>
      </c>
      <c r="D272" s="246"/>
      <c r="E272" s="245" t="str">
        <f t="shared" si="27"/>
        <v/>
      </c>
      <c r="F272" s="245" t="str">
        <f t="shared" si="23"/>
        <v/>
      </c>
      <c r="G272" s="245" t="str">
        <f t="shared" si="24"/>
        <v/>
      </c>
      <c r="H272" s="245" t="str">
        <f t="shared" si="25"/>
        <v/>
      </c>
    </row>
    <row r="273" spans="1:8" x14ac:dyDescent="0.2">
      <c r="A273" s="232" t="str">
        <f t="shared" si="21"/>
        <v/>
      </c>
      <c r="B273" s="244" t="str">
        <f t="shared" si="26"/>
        <v/>
      </c>
      <c r="C273" s="245" t="str">
        <f t="shared" si="22"/>
        <v/>
      </c>
      <c r="D273" s="246"/>
      <c r="E273" s="245" t="str">
        <f t="shared" si="27"/>
        <v/>
      </c>
      <c r="F273" s="245" t="str">
        <f t="shared" si="23"/>
        <v/>
      </c>
      <c r="G273" s="245" t="str">
        <f t="shared" si="24"/>
        <v/>
      </c>
      <c r="H273" s="245" t="str">
        <f t="shared" si="25"/>
        <v/>
      </c>
    </row>
    <row r="274" spans="1:8" x14ac:dyDescent="0.2">
      <c r="A274" s="232" t="str">
        <f t="shared" si="21"/>
        <v/>
      </c>
      <c r="B274" s="244" t="str">
        <f t="shared" si="26"/>
        <v/>
      </c>
      <c r="C274" s="245" t="str">
        <f t="shared" si="22"/>
        <v/>
      </c>
      <c r="D274" s="246"/>
      <c r="E274" s="245" t="str">
        <f t="shared" si="27"/>
        <v/>
      </c>
      <c r="F274" s="245" t="str">
        <f t="shared" si="23"/>
        <v/>
      </c>
      <c r="G274" s="245" t="str">
        <f t="shared" si="24"/>
        <v/>
      </c>
      <c r="H274" s="245" t="str">
        <f t="shared" si="25"/>
        <v/>
      </c>
    </row>
    <row r="275" spans="1:8" x14ac:dyDescent="0.2">
      <c r="A275" s="232" t="str">
        <f t="shared" si="21"/>
        <v/>
      </c>
      <c r="B275" s="244" t="str">
        <f t="shared" si="26"/>
        <v/>
      </c>
      <c r="C275" s="245" t="str">
        <f t="shared" si="22"/>
        <v/>
      </c>
      <c r="D275" s="246"/>
      <c r="E275" s="245" t="str">
        <f t="shared" si="27"/>
        <v/>
      </c>
      <c r="F275" s="245" t="str">
        <f t="shared" si="23"/>
        <v/>
      </c>
      <c r="G275" s="245" t="str">
        <f t="shared" si="24"/>
        <v/>
      </c>
      <c r="H275" s="245" t="str">
        <f t="shared" si="25"/>
        <v/>
      </c>
    </row>
    <row r="276" spans="1:8" x14ac:dyDescent="0.2">
      <c r="A276" s="232" t="str">
        <f t="shared" si="21"/>
        <v/>
      </c>
      <c r="B276" s="244" t="str">
        <f t="shared" si="26"/>
        <v/>
      </c>
      <c r="C276" s="245" t="str">
        <f t="shared" si="22"/>
        <v/>
      </c>
      <c r="D276" s="246"/>
      <c r="E276" s="245" t="str">
        <f t="shared" si="27"/>
        <v/>
      </c>
      <c r="F276" s="245" t="str">
        <f t="shared" si="23"/>
        <v/>
      </c>
      <c r="G276" s="245" t="str">
        <f t="shared" si="24"/>
        <v/>
      </c>
      <c r="H276" s="245" t="str">
        <f t="shared" si="25"/>
        <v/>
      </c>
    </row>
    <row r="277" spans="1:8" x14ac:dyDescent="0.2">
      <c r="A277" s="232" t="str">
        <f t="shared" si="21"/>
        <v/>
      </c>
      <c r="B277" s="244" t="str">
        <f t="shared" si="26"/>
        <v/>
      </c>
      <c r="C277" s="245" t="str">
        <f t="shared" si="22"/>
        <v/>
      </c>
      <c r="D277" s="246"/>
      <c r="E277" s="245" t="str">
        <f t="shared" si="27"/>
        <v/>
      </c>
      <c r="F277" s="245" t="str">
        <f t="shared" si="23"/>
        <v/>
      </c>
      <c r="G277" s="245" t="str">
        <f t="shared" si="24"/>
        <v/>
      </c>
      <c r="H277" s="245" t="str">
        <f t="shared" si="25"/>
        <v/>
      </c>
    </row>
    <row r="278" spans="1:8" x14ac:dyDescent="0.2">
      <c r="A278" s="232" t="str">
        <f t="shared" si="21"/>
        <v/>
      </c>
      <c r="B278" s="244" t="str">
        <f t="shared" si="26"/>
        <v/>
      </c>
      <c r="C278" s="245" t="str">
        <f t="shared" si="22"/>
        <v/>
      </c>
      <c r="D278" s="246"/>
      <c r="E278" s="245" t="str">
        <f t="shared" si="27"/>
        <v/>
      </c>
      <c r="F278" s="245" t="str">
        <f t="shared" si="23"/>
        <v/>
      </c>
      <c r="G278" s="245" t="str">
        <f t="shared" si="24"/>
        <v/>
      </c>
      <c r="H278" s="245" t="str">
        <f t="shared" si="25"/>
        <v/>
      </c>
    </row>
    <row r="279" spans="1:8" x14ac:dyDescent="0.2">
      <c r="A279" s="232" t="str">
        <f t="shared" ref="A279:A342" si="28">IF(A278="","",IF(H278&gt;0,A278+1,""))</f>
        <v/>
      </c>
      <c r="B279" s="244" t="str">
        <f t="shared" si="26"/>
        <v/>
      </c>
      <c r="C279" s="245" t="str">
        <f t="shared" ref="C279:C342" si="29">IF(A279="","",IF(ISBLANK($E$10),MIN(MAX($E$7*H278+IF(plusinterest,F279,0),$E$9),F279+H278),MIN($E$10,H278+F279)))</f>
        <v/>
      </c>
      <c r="D279" s="246"/>
      <c r="E279" s="245" t="str">
        <f t="shared" si="27"/>
        <v/>
      </c>
      <c r="F279" s="245" t="str">
        <f t="shared" ref="F279:F342" si="30">IF(A279="","",B279/12*H278)</f>
        <v/>
      </c>
      <c r="G279" s="245" t="str">
        <f t="shared" ref="G279:G342" si="31">IF(A279="","",C279+D279-F279)</f>
        <v/>
      </c>
      <c r="H279" s="245" t="str">
        <f t="shared" ref="H279:H342" si="32">IF(A279="","",H278-G279)</f>
        <v/>
      </c>
    </row>
    <row r="280" spans="1:8" x14ac:dyDescent="0.2">
      <c r="A280" s="232" t="str">
        <f t="shared" si="28"/>
        <v/>
      </c>
      <c r="B280" s="244" t="str">
        <f t="shared" ref="B280:B343" si="33">IF(A280="","",IF(A280&lt;=$E$11,0,$E$6))</f>
        <v/>
      </c>
      <c r="C280" s="245" t="str">
        <f t="shared" si="29"/>
        <v/>
      </c>
      <c r="D280" s="246"/>
      <c r="E280" s="245" t="str">
        <f t="shared" ref="E280:E343" si="34">IF(A280="","",C280+D280)</f>
        <v/>
      </c>
      <c r="F280" s="245" t="str">
        <f t="shared" si="30"/>
        <v/>
      </c>
      <c r="G280" s="245" t="str">
        <f t="shared" si="31"/>
        <v/>
      </c>
      <c r="H280" s="245" t="str">
        <f t="shared" si="32"/>
        <v/>
      </c>
    </row>
    <row r="281" spans="1:8" x14ac:dyDescent="0.2">
      <c r="A281" s="232" t="str">
        <f t="shared" si="28"/>
        <v/>
      </c>
      <c r="B281" s="244" t="str">
        <f t="shared" si="33"/>
        <v/>
      </c>
      <c r="C281" s="245" t="str">
        <f t="shared" si="29"/>
        <v/>
      </c>
      <c r="D281" s="246"/>
      <c r="E281" s="245" t="str">
        <f t="shared" si="34"/>
        <v/>
      </c>
      <c r="F281" s="245" t="str">
        <f t="shared" si="30"/>
        <v/>
      </c>
      <c r="G281" s="245" t="str">
        <f t="shared" si="31"/>
        <v/>
      </c>
      <c r="H281" s="245" t="str">
        <f t="shared" si="32"/>
        <v/>
      </c>
    </row>
    <row r="282" spans="1:8" x14ac:dyDescent="0.2">
      <c r="A282" s="232" t="str">
        <f t="shared" si="28"/>
        <v/>
      </c>
      <c r="B282" s="244" t="str">
        <f t="shared" si="33"/>
        <v/>
      </c>
      <c r="C282" s="245" t="str">
        <f t="shared" si="29"/>
        <v/>
      </c>
      <c r="D282" s="246"/>
      <c r="E282" s="245" t="str">
        <f t="shared" si="34"/>
        <v/>
      </c>
      <c r="F282" s="245" t="str">
        <f t="shared" si="30"/>
        <v/>
      </c>
      <c r="G282" s="245" t="str">
        <f t="shared" si="31"/>
        <v/>
      </c>
      <c r="H282" s="245" t="str">
        <f t="shared" si="32"/>
        <v/>
      </c>
    </row>
    <row r="283" spans="1:8" x14ac:dyDescent="0.2">
      <c r="A283" s="232" t="str">
        <f t="shared" si="28"/>
        <v/>
      </c>
      <c r="B283" s="244" t="str">
        <f t="shared" si="33"/>
        <v/>
      </c>
      <c r="C283" s="245" t="str">
        <f t="shared" si="29"/>
        <v/>
      </c>
      <c r="D283" s="246"/>
      <c r="E283" s="245" t="str">
        <f t="shared" si="34"/>
        <v/>
      </c>
      <c r="F283" s="245" t="str">
        <f t="shared" si="30"/>
        <v/>
      </c>
      <c r="G283" s="245" t="str">
        <f t="shared" si="31"/>
        <v/>
      </c>
      <c r="H283" s="245" t="str">
        <f t="shared" si="32"/>
        <v/>
      </c>
    </row>
    <row r="284" spans="1:8" x14ac:dyDescent="0.2">
      <c r="A284" s="232" t="str">
        <f t="shared" si="28"/>
        <v/>
      </c>
      <c r="B284" s="244" t="str">
        <f t="shared" si="33"/>
        <v/>
      </c>
      <c r="C284" s="245" t="str">
        <f t="shared" si="29"/>
        <v/>
      </c>
      <c r="D284" s="246"/>
      <c r="E284" s="245" t="str">
        <f t="shared" si="34"/>
        <v/>
      </c>
      <c r="F284" s="245" t="str">
        <f t="shared" si="30"/>
        <v/>
      </c>
      <c r="G284" s="245" t="str">
        <f t="shared" si="31"/>
        <v/>
      </c>
      <c r="H284" s="245" t="str">
        <f t="shared" si="32"/>
        <v/>
      </c>
    </row>
    <row r="285" spans="1:8" x14ac:dyDescent="0.2">
      <c r="A285" s="232" t="str">
        <f t="shared" si="28"/>
        <v/>
      </c>
      <c r="B285" s="244" t="str">
        <f t="shared" si="33"/>
        <v/>
      </c>
      <c r="C285" s="245" t="str">
        <f t="shared" si="29"/>
        <v/>
      </c>
      <c r="D285" s="246"/>
      <c r="E285" s="245" t="str">
        <f t="shared" si="34"/>
        <v/>
      </c>
      <c r="F285" s="245" t="str">
        <f t="shared" si="30"/>
        <v/>
      </c>
      <c r="G285" s="245" t="str">
        <f t="shared" si="31"/>
        <v/>
      </c>
      <c r="H285" s="245" t="str">
        <f t="shared" si="32"/>
        <v/>
      </c>
    </row>
    <row r="286" spans="1:8" x14ac:dyDescent="0.2">
      <c r="A286" s="232" t="str">
        <f t="shared" si="28"/>
        <v/>
      </c>
      <c r="B286" s="244" t="str">
        <f t="shared" si="33"/>
        <v/>
      </c>
      <c r="C286" s="245" t="str">
        <f t="shared" si="29"/>
        <v/>
      </c>
      <c r="D286" s="246"/>
      <c r="E286" s="245" t="str">
        <f t="shared" si="34"/>
        <v/>
      </c>
      <c r="F286" s="245" t="str">
        <f t="shared" si="30"/>
        <v/>
      </c>
      <c r="G286" s="245" t="str">
        <f t="shared" si="31"/>
        <v/>
      </c>
      <c r="H286" s="245" t="str">
        <f t="shared" si="32"/>
        <v/>
      </c>
    </row>
    <row r="287" spans="1:8" x14ac:dyDescent="0.2">
      <c r="A287" s="232" t="str">
        <f t="shared" si="28"/>
        <v/>
      </c>
      <c r="B287" s="244" t="str">
        <f t="shared" si="33"/>
        <v/>
      </c>
      <c r="C287" s="245" t="str">
        <f t="shared" si="29"/>
        <v/>
      </c>
      <c r="D287" s="246"/>
      <c r="E287" s="245" t="str">
        <f t="shared" si="34"/>
        <v/>
      </c>
      <c r="F287" s="245" t="str">
        <f t="shared" si="30"/>
        <v/>
      </c>
      <c r="G287" s="245" t="str">
        <f t="shared" si="31"/>
        <v/>
      </c>
      <c r="H287" s="245" t="str">
        <f t="shared" si="32"/>
        <v/>
      </c>
    </row>
    <row r="288" spans="1:8" x14ac:dyDescent="0.2">
      <c r="A288" s="232" t="str">
        <f t="shared" si="28"/>
        <v/>
      </c>
      <c r="B288" s="244" t="str">
        <f t="shared" si="33"/>
        <v/>
      </c>
      <c r="C288" s="245" t="str">
        <f t="shared" si="29"/>
        <v/>
      </c>
      <c r="D288" s="246"/>
      <c r="E288" s="245" t="str">
        <f t="shared" si="34"/>
        <v/>
      </c>
      <c r="F288" s="245" t="str">
        <f t="shared" si="30"/>
        <v/>
      </c>
      <c r="G288" s="245" t="str">
        <f t="shared" si="31"/>
        <v/>
      </c>
      <c r="H288" s="245" t="str">
        <f t="shared" si="32"/>
        <v/>
      </c>
    </row>
    <row r="289" spans="1:8" x14ac:dyDescent="0.2">
      <c r="A289" s="232" t="str">
        <f t="shared" si="28"/>
        <v/>
      </c>
      <c r="B289" s="244" t="str">
        <f t="shared" si="33"/>
        <v/>
      </c>
      <c r="C289" s="245" t="str">
        <f t="shared" si="29"/>
        <v/>
      </c>
      <c r="D289" s="246"/>
      <c r="E289" s="245" t="str">
        <f t="shared" si="34"/>
        <v/>
      </c>
      <c r="F289" s="245" t="str">
        <f t="shared" si="30"/>
        <v/>
      </c>
      <c r="G289" s="245" t="str">
        <f t="shared" si="31"/>
        <v/>
      </c>
      <c r="H289" s="245" t="str">
        <f t="shared" si="32"/>
        <v/>
      </c>
    </row>
    <row r="290" spans="1:8" x14ac:dyDescent="0.2">
      <c r="A290" s="232" t="str">
        <f t="shared" si="28"/>
        <v/>
      </c>
      <c r="B290" s="244" t="str">
        <f t="shared" si="33"/>
        <v/>
      </c>
      <c r="C290" s="245" t="str">
        <f t="shared" si="29"/>
        <v/>
      </c>
      <c r="D290" s="246"/>
      <c r="E290" s="245" t="str">
        <f t="shared" si="34"/>
        <v/>
      </c>
      <c r="F290" s="245" t="str">
        <f t="shared" si="30"/>
        <v/>
      </c>
      <c r="G290" s="245" t="str">
        <f t="shared" si="31"/>
        <v/>
      </c>
      <c r="H290" s="245" t="str">
        <f t="shared" si="32"/>
        <v/>
      </c>
    </row>
    <row r="291" spans="1:8" x14ac:dyDescent="0.2">
      <c r="A291" s="232" t="str">
        <f t="shared" si="28"/>
        <v/>
      </c>
      <c r="B291" s="244" t="str">
        <f t="shared" si="33"/>
        <v/>
      </c>
      <c r="C291" s="245" t="str">
        <f t="shared" si="29"/>
        <v/>
      </c>
      <c r="D291" s="246"/>
      <c r="E291" s="245" t="str">
        <f t="shared" si="34"/>
        <v/>
      </c>
      <c r="F291" s="245" t="str">
        <f t="shared" si="30"/>
        <v/>
      </c>
      <c r="G291" s="245" t="str">
        <f t="shared" si="31"/>
        <v/>
      </c>
      <c r="H291" s="245" t="str">
        <f t="shared" si="32"/>
        <v/>
      </c>
    </row>
    <row r="292" spans="1:8" x14ac:dyDescent="0.2">
      <c r="A292" s="232" t="str">
        <f t="shared" si="28"/>
        <v/>
      </c>
      <c r="B292" s="244" t="str">
        <f t="shared" si="33"/>
        <v/>
      </c>
      <c r="C292" s="245" t="str">
        <f t="shared" si="29"/>
        <v/>
      </c>
      <c r="D292" s="246"/>
      <c r="E292" s="245" t="str">
        <f t="shared" si="34"/>
        <v/>
      </c>
      <c r="F292" s="245" t="str">
        <f t="shared" si="30"/>
        <v/>
      </c>
      <c r="G292" s="245" t="str">
        <f t="shared" si="31"/>
        <v/>
      </c>
      <c r="H292" s="245" t="str">
        <f t="shared" si="32"/>
        <v/>
      </c>
    </row>
    <row r="293" spans="1:8" x14ac:dyDescent="0.2">
      <c r="A293" s="232" t="str">
        <f t="shared" si="28"/>
        <v/>
      </c>
      <c r="B293" s="244" t="str">
        <f t="shared" si="33"/>
        <v/>
      </c>
      <c r="C293" s="245" t="str">
        <f t="shared" si="29"/>
        <v/>
      </c>
      <c r="D293" s="246"/>
      <c r="E293" s="245" t="str">
        <f t="shared" si="34"/>
        <v/>
      </c>
      <c r="F293" s="245" t="str">
        <f t="shared" si="30"/>
        <v/>
      </c>
      <c r="G293" s="245" t="str">
        <f t="shared" si="31"/>
        <v/>
      </c>
      <c r="H293" s="245" t="str">
        <f t="shared" si="32"/>
        <v/>
      </c>
    </row>
    <row r="294" spans="1:8" x14ac:dyDescent="0.2">
      <c r="A294" s="232" t="str">
        <f t="shared" si="28"/>
        <v/>
      </c>
      <c r="B294" s="244" t="str">
        <f t="shared" si="33"/>
        <v/>
      </c>
      <c r="C294" s="245" t="str">
        <f t="shared" si="29"/>
        <v/>
      </c>
      <c r="D294" s="246"/>
      <c r="E294" s="245" t="str">
        <f t="shared" si="34"/>
        <v/>
      </c>
      <c r="F294" s="245" t="str">
        <f t="shared" si="30"/>
        <v/>
      </c>
      <c r="G294" s="245" t="str">
        <f t="shared" si="31"/>
        <v/>
      </c>
      <c r="H294" s="245" t="str">
        <f t="shared" si="32"/>
        <v/>
      </c>
    </row>
    <row r="295" spans="1:8" x14ac:dyDescent="0.2">
      <c r="A295" s="232" t="str">
        <f t="shared" si="28"/>
        <v/>
      </c>
      <c r="B295" s="244" t="str">
        <f t="shared" si="33"/>
        <v/>
      </c>
      <c r="C295" s="245" t="str">
        <f t="shared" si="29"/>
        <v/>
      </c>
      <c r="D295" s="246"/>
      <c r="E295" s="245" t="str">
        <f t="shared" si="34"/>
        <v/>
      </c>
      <c r="F295" s="245" t="str">
        <f t="shared" si="30"/>
        <v/>
      </c>
      <c r="G295" s="245" t="str">
        <f t="shared" si="31"/>
        <v/>
      </c>
      <c r="H295" s="245" t="str">
        <f t="shared" si="32"/>
        <v/>
      </c>
    </row>
    <row r="296" spans="1:8" x14ac:dyDescent="0.2">
      <c r="A296" s="232" t="str">
        <f t="shared" si="28"/>
        <v/>
      </c>
      <c r="B296" s="244" t="str">
        <f t="shared" si="33"/>
        <v/>
      </c>
      <c r="C296" s="245" t="str">
        <f t="shared" si="29"/>
        <v/>
      </c>
      <c r="D296" s="246"/>
      <c r="E296" s="245" t="str">
        <f t="shared" si="34"/>
        <v/>
      </c>
      <c r="F296" s="245" t="str">
        <f t="shared" si="30"/>
        <v/>
      </c>
      <c r="G296" s="245" t="str">
        <f t="shared" si="31"/>
        <v/>
      </c>
      <c r="H296" s="245" t="str">
        <f t="shared" si="32"/>
        <v/>
      </c>
    </row>
    <row r="297" spans="1:8" x14ac:dyDescent="0.2">
      <c r="A297" s="232" t="str">
        <f t="shared" si="28"/>
        <v/>
      </c>
      <c r="B297" s="244" t="str">
        <f t="shared" si="33"/>
        <v/>
      </c>
      <c r="C297" s="245" t="str">
        <f t="shared" si="29"/>
        <v/>
      </c>
      <c r="D297" s="246"/>
      <c r="E297" s="245" t="str">
        <f t="shared" si="34"/>
        <v/>
      </c>
      <c r="F297" s="245" t="str">
        <f t="shared" si="30"/>
        <v/>
      </c>
      <c r="G297" s="245" t="str">
        <f t="shared" si="31"/>
        <v/>
      </c>
      <c r="H297" s="245" t="str">
        <f t="shared" si="32"/>
        <v/>
      </c>
    </row>
    <row r="298" spans="1:8" x14ac:dyDescent="0.2">
      <c r="A298" s="232" t="str">
        <f t="shared" si="28"/>
        <v/>
      </c>
      <c r="B298" s="244" t="str">
        <f t="shared" si="33"/>
        <v/>
      </c>
      <c r="C298" s="245" t="str">
        <f t="shared" si="29"/>
        <v/>
      </c>
      <c r="D298" s="246"/>
      <c r="E298" s="245" t="str">
        <f t="shared" si="34"/>
        <v/>
      </c>
      <c r="F298" s="245" t="str">
        <f t="shared" si="30"/>
        <v/>
      </c>
      <c r="G298" s="245" t="str">
        <f t="shared" si="31"/>
        <v/>
      </c>
      <c r="H298" s="245" t="str">
        <f t="shared" si="32"/>
        <v/>
      </c>
    </row>
    <row r="299" spans="1:8" x14ac:dyDescent="0.2">
      <c r="A299" s="232" t="str">
        <f t="shared" si="28"/>
        <v/>
      </c>
      <c r="B299" s="244" t="str">
        <f t="shared" si="33"/>
        <v/>
      </c>
      <c r="C299" s="245" t="str">
        <f t="shared" si="29"/>
        <v/>
      </c>
      <c r="D299" s="246"/>
      <c r="E299" s="245" t="str">
        <f t="shared" si="34"/>
        <v/>
      </c>
      <c r="F299" s="245" t="str">
        <f t="shared" si="30"/>
        <v/>
      </c>
      <c r="G299" s="245" t="str">
        <f t="shared" si="31"/>
        <v/>
      </c>
      <c r="H299" s="245" t="str">
        <f t="shared" si="32"/>
        <v/>
      </c>
    </row>
    <row r="300" spans="1:8" x14ac:dyDescent="0.2">
      <c r="A300" s="232" t="str">
        <f t="shared" si="28"/>
        <v/>
      </c>
      <c r="B300" s="244" t="str">
        <f t="shared" si="33"/>
        <v/>
      </c>
      <c r="C300" s="245" t="str">
        <f t="shared" si="29"/>
        <v/>
      </c>
      <c r="D300" s="246"/>
      <c r="E300" s="245" t="str">
        <f t="shared" si="34"/>
        <v/>
      </c>
      <c r="F300" s="245" t="str">
        <f t="shared" si="30"/>
        <v/>
      </c>
      <c r="G300" s="245" t="str">
        <f t="shared" si="31"/>
        <v/>
      </c>
      <c r="H300" s="245" t="str">
        <f t="shared" si="32"/>
        <v/>
      </c>
    </row>
    <row r="301" spans="1:8" x14ac:dyDescent="0.2">
      <c r="A301" s="232" t="str">
        <f t="shared" si="28"/>
        <v/>
      </c>
      <c r="B301" s="244" t="str">
        <f t="shared" si="33"/>
        <v/>
      </c>
      <c r="C301" s="245" t="str">
        <f t="shared" si="29"/>
        <v/>
      </c>
      <c r="D301" s="246"/>
      <c r="E301" s="245" t="str">
        <f t="shared" si="34"/>
        <v/>
      </c>
      <c r="F301" s="245" t="str">
        <f t="shared" si="30"/>
        <v/>
      </c>
      <c r="G301" s="245" t="str">
        <f t="shared" si="31"/>
        <v/>
      </c>
      <c r="H301" s="245" t="str">
        <f t="shared" si="32"/>
        <v/>
      </c>
    </row>
    <row r="302" spans="1:8" x14ac:dyDescent="0.2">
      <c r="A302" s="232" t="str">
        <f t="shared" si="28"/>
        <v/>
      </c>
      <c r="B302" s="244" t="str">
        <f t="shared" si="33"/>
        <v/>
      </c>
      <c r="C302" s="245" t="str">
        <f t="shared" si="29"/>
        <v/>
      </c>
      <c r="D302" s="246"/>
      <c r="E302" s="245" t="str">
        <f t="shared" si="34"/>
        <v/>
      </c>
      <c r="F302" s="245" t="str">
        <f t="shared" si="30"/>
        <v/>
      </c>
      <c r="G302" s="245" t="str">
        <f t="shared" si="31"/>
        <v/>
      </c>
      <c r="H302" s="245" t="str">
        <f t="shared" si="32"/>
        <v/>
      </c>
    </row>
    <row r="303" spans="1:8" x14ac:dyDescent="0.2">
      <c r="A303" s="232" t="str">
        <f t="shared" si="28"/>
        <v/>
      </c>
      <c r="B303" s="244" t="str">
        <f t="shared" si="33"/>
        <v/>
      </c>
      <c r="C303" s="245" t="str">
        <f t="shared" si="29"/>
        <v/>
      </c>
      <c r="D303" s="246"/>
      <c r="E303" s="245" t="str">
        <f t="shared" si="34"/>
        <v/>
      </c>
      <c r="F303" s="245" t="str">
        <f t="shared" si="30"/>
        <v/>
      </c>
      <c r="G303" s="245" t="str">
        <f t="shared" si="31"/>
        <v/>
      </c>
      <c r="H303" s="245" t="str">
        <f t="shared" si="32"/>
        <v/>
      </c>
    </row>
    <row r="304" spans="1:8" x14ac:dyDescent="0.2">
      <c r="A304" s="232" t="str">
        <f t="shared" si="28"/>
        <v/>
      </c>
      <c r="B304" s="244" t="str">
        <f t="shared" si="33"/>
        <v/>
      </c>
      <c r="C304" s="245" t="str">
        <f t="shared" si="29"/>
        <v/>
      </c>
      <c r="D304" s="246"/>
      <c r="E304" s="245" t="str">
        <f t="shared" si="34"/>
        <v/>
      </c>
      <c r="F304" s="245" t="str">
        <f t="shared" si="30"/>
        <v/>
      </c>
      <c r="G304" s="245" t="str">
        <f t="shared" si="31"/>
        <v/>
      </c>
      <c r="H304" s="245" t="str">
        <f t="shared" si="32"/>
        <v/>
      </c>
    </row>
    <row r="305" spans="1:8" x14ac:dyDescent="0.2">
      <c r="A305" s="232" t="str">
        <f t="shared" si="28"/>
        <v/>
      </c>
      <c r="B305" s="244" t="str">
        <f t="shared" si="33"/>
        <v/>
      </c>
      <c r="C305" s="245" t="str">
        <f t="shared" si="29"/>
        <v/>
      </c>
      <c r="D305" s="246"/>
      <c r="E305" s="245" t="str">
        <f t="shared" si="34"/>
        <v/>
      </c>
      <c r="F305" s="245" t="str">
        <f t="shared" si="30"/>
        <v/>
      </c>
      <c r="G305" s="245" t="str">
        <f t="shared" si="31"/>
        <v/>
      </c>
      <c r="H305" s="245" t="str">
        <f t="shared" si="32"/>
        <v/>
      </c>
    </row>
    <row r="306" spans="1:8" x14ac:dyDescent="0.2">
      <c r="A306" s="232" t="str">
        <f t="shared" si="28"/>
        <v/>
      </c>
      <c r="B306" s="244" t="str">
        <f t="shared" si="33"/>
        <v/>
      </c>
      <c r="C306" s="245" t="str">
        <f t="shared" si="29"/>
        <v/>
      </c>
      <c r="D306" s="246"/>
      <c r="E306" s="245" t="str">
        <f t="shared" si="34"/>
        <v/>
      </c>
      <c r="F306" s="245" t="str">
        <f t="shared" si="30"/>
        <v/>
      </c>
      <c r="G306" s="245" t="str">
        <f t="shared" si="31"/>
        <v/>
      </c>
      <c r="H306" s="245" t="str">
        <f t="shared" si="32"/>
        <v/>
      </c>
    </row>
    <row r="307" spans="1:8" x14ac:dyDescent="0.2">
      <c r="A307" s="232" t="str">
        <f t="shared" si="28"/>
        <v/>
      </c>
      <c r="B307" s="244" t="str">
        <f t="shared" si="33"/>
        <v/>
      </c>
      <c r="C307" s="245" t="str">
        <f t="shared" si="29"/>
        <v/>
      </c>
      <c r="D307" s="246"/>
      <c r="E307" s="245" t="str">
        <f t="shared" si="34"/>
        <v/>
      </c>
      <c r="F307" s="245" t="str">
        <f t="shared" si="30"/>
        <v/>
      </c>
      <c r="G307" s="245" t="str">
        <f t="shared" si="31"/>
        <v/>
      </c>
      <c r="H307" s="245" t="str">
        <f t="shared" si="32"/>
        <v/>
      </c>
    </row>
    <row r="308" spans="1:8" x14ac:dyDescent="0.2">
      <c r="A308" s="232" t="str">
        <f t="shared" si="28"/>
        <v/>
      </c>
      <c r="B308" s="244" t="str">
        <f t="shared" si="33"/>
        <v/>
      </c>
      <c r="C308" s="245" t="str">
        <f t="shared" si="29"/>
        <v/>
      </c>
      <c r="D308" s="246"/>
      <c r="E308" s="245" t="str">
        <f t="shared" si="34"/>
        <v/>
      </c>
      <c r="F308" s="245" t="str">
        <f t="shared" si="30"/>
        <v/>
      </c>
      <c r="G308" s="245" t="str">
        <f t="shared" si="31"/>
        <v/>
      </c>
      <c r="H308" s="245" t="str">
        <f t="shared" si="32"/>
        <v/>
      </c>
    </row>
    <row r="309" spans="1:8" x14ac:dyDescent="0.2">
      <c r="A309" s="232" t="str">
        <f t="shared" si="28"/>
        <v/>
      </c>
      <c r="B309" s="244" t="str">
        <f t="shared" si="33"/>
        <v/>
      </c>
      <c r="C309" s="245" t="str">
        <f t="shared" si="29"/>
        <v/>
      </c>
      <c r="D309" s="246"/>
      <c r="E309" s="245" t="str">
        <f t="shared" si="34"/>
        <v/>
      </c>
      <c r="F309" s="245" t="str">
        <f t="shared" si="30"/>
        <v/>
      </c>
      <c r="G309" s="245" t="str">
        <f t="shared" si="31"/>
        <v/>
      </c>
      <c r="H309" s="245" t="str">
        <f t="shared" si="32"/>
        <v/>
      </c>
    </row>
    <row r="310" spans="1:8" x14ac:dyDescent="0.2">
      <c r="A310" s="232" t="str">
        <f t="shared" si="28"/>
        <v/>
      </c>
      <c r="B310" s="244" t="str">
        <f t="shared" si="33"/>
        <v/>
      </c>
      <c r="C310" s="245" t="str">
        <f t="shared" si="29"/>
        <v/>
      </c>
      <c r="D310" s="246"/>
      <c r="E310" s="245" t="str">
        <f t="shared" si="34"/>
        <v/>
      </c>
      <c r="F310" s="245" t="str">
        <f t="shared" si="30"/>
        <v/>
      </c>
      <c r="G310" s="245" t="str">
        <f t="shared" si="31"/>
        <v/>
      </c>
      <c r="H310" s="245" t="str">
        <f t="shared" si="32"/>
        <v/>
      </c>
    </row>
    <row r="311" spans="1:8" x14ac:dyDescent="0.2">
      <c r="A311" s="232" t="str">
        <f t="shared" si="28"/>
        <v/>
      </c>
      <c r="B311" s="244" t="str">
        <f t="shared" si="33"/>
        <v/>
      </c>
      <c r="C311" s="245" t="str">
        <f t="shared" si="29"/>
        <v/>
      </c>
      <c r="D311" s="246"/>
      <c r="E311" s="245" t="str">
        <f t="shared" si="34"/>
        <v/>
      </c>
      <c r="F311" s="245" t="str">
        <f t="shared" si="30"/>
        <v/>
      </c>
      <c r="G311" s="245" t="str">
        <f t="shared" si="31"/>
        <v/>
      </c>
      <c r="H311" s="245" t="str">
        <f t="shared" si="32"/>
        <v/>
      </c>
    </row>
    <row r="312" spans="1:8" x14ac:dyDescent="0.2">
      <c r="A312" s="232" t="str">
        <f t="shared" si="28"/>
        <v/>
      </c>
      <c r="B312" s="244" t="str">
        <f t="shared" si="33"/>
        <v/>
      </c>
      <c r="C312" s="245" t="str">
        <f t="shared" si="29"/>
        <v/>
      </c>
      <c r="D312" s="246"/>
      <c r="E312" s="245" t="str">
        <f t="shared" si="34"/>
        <v/>
      </c>
      <c r="F312" s="245" t="str">
        <f t="shared" si="30"/>
        <v/>
      </c>
      <c r="G312" s="245" t="str">
        <f t="shared" si="31"/>
        <v/>
      </c>
      <c r="H312" s="245" t="str">
        <f t="shared" si="32"/>
        <v/>
      </c>
    </row>
    <row r="313" spans="1:8" x14ac:dyDescent="0.2">
      <c r="A313" s="232" t="str">
        <f t="shared" si="28"/>
        <v/>
      </c>
      <c r="B313" s="244" t="str">
        <f t="shared" si="33"/>
        <v/>
      </c>
      <c r="C313" s="245" t="str">
        <f t="shared" si="29"/>
        <v/>
      </c>
      <c r="D313" s="246"/>
      <c r="E313" s="245" t="str">
        <f t="shared" si="34"/>
        <v/>
      </c>
      <c r="F313" s="245" t="str">
        <f t="shared" si="30"/>
        <v/>
      </c>
      <c r="G313" s="245" t="str">
        <f t="shared" si="31"/>
        <v/>
      </c>
      <c r="H313" s="245" t="str">
        <f t="shared" si="32"/>
        <v/>
      </c>
    </row>
    <row r="314" spans="1:8" x14ac:dyDescent="0.2">
      <c r="A314" s="232" t="str">
        <f t="shared" si="28"/>
        <v/>
      </c>
      <c r="B314" s="244" t="str">
        <f t="shared" si="33"/>
        <v/>
      </c>
      <c r="C314" s="245" t="str">
        <f t="shared" si="29"/>
        <v/>
      </c>
      <c r="D314" s="246"/>
      <c r="E314" s="245" t="str">
        <f t="shared" si="34"/>
        <v/>
      </c>
      <c r="F314" s="245" t="str">
        <f t="shared" si="30"/>
        <v/>
      </c>
      <c r="G314" s="245" t="str">
        <f t="shared" si="31"/>
        <v/>
      </c>
      <c r="H314" s="245" t="str">
        <f t="shared" si="32"/>
        <v/>
      </c>
    </row>
    <row r="315" spans="1:8" x14ac:dyDescent="0.2">
      <c r="A315" s="232" t="str">
        <f t="shared" si="28"/>
        <v/>
      </c>
      <c r="B315" s="244" t="str">
        <f t="shared" si="33"/>
        <v/>
      </c>
      <c r="C315" s="245" t="str">
        <f t="shared" si="29"/>
        <v/>
      </c>
      <c r="D315" s="246"/>
      <c r="E315" s="245" t="str">
        <f t="shared" si="34"/>
        <v/>
      </c>
      <c r="F315" s="245" t="str">
        <f t="shared" si="30"/>
        <v/>
      </c>
      <c r="G315" s="245" t="str">
        <f t="shared" si="31"/>
        <v/>
      </c>
      <c r="H315" s="245" t="str">
        <f t="shared" si="32"/>
        <v/>
      </c>
    </row>
    <row r="316" spans="1:8" x14ac:dyDescent="0.2">
      <c r="A316" s="232" t="str">
        <f t="shared" si="28"/>
        <v/>
      </c>
      <c r="B316" s="244" t="str">
        <f t="shared" si="33"/>
        <v/>
      </c>
      <c r="C316" s="245" t="str">
        <f t="shared" si="29"/>
        <v/>
      </c>
      <c r="D316" s="246"/>
      <c r="E316" s="245" t="str">
        <f t="shared" si="34"/>
        <v/>
      </c>
      <c r="F316" s="245" t="str">
        <f t="shared" si="30"/>
        <v/>
      </c>
      <c r="G316" s="245" t="str">
        <f t="shared" si="31"/>
        <v/>
      </c>
      <c r="H316" s="245" t="str">
        <f t="shared" si="32"/>
        <v/>
      </c>
    </row>
    <row r="317" spans="1:8" x14ac:dyDescent="0.2">
      <c r="A317" s="232" t="str">
        <f t="shared" si="28"/>
        <v/>
      </c>
      <c r="B317" s="244" t="str">
        <f t="shared" si="33"/>
        <v/>
      </c>
      <c r="C317" s="245" t="str">
        <f t="shared" si="29"/>
        <v/>
      </c>
      <c r="D317" s="246"/>
      <c r="E317" s="245" t="str">
        <f t="shared" si="34"/>
        <v/>
      </c>
      <c r="F317" s="245" t="str">
        <f t="shared" si="30"/>
        <v/>
      </c>
      <c r="G317" s="245" t="str">
        <f t="shared" si="31"/>
        <v/>
      </c>
      <c r="H317" s="245" t="str">
        <f t="shared" si="32"/>
        <v/>
      </c>
    </row>
    <row r="318" spans="1:8" x14ac:dyDescent="0.2">
      <c r="A318" s="232" t="str">
        <f t="shared" si="28"/>
        <v/>
      </c>
      <c r="B318" s="244" t="str">
        <f t="shared" si="33"/>
        <v/>
      </c>
      <c r="C318" s="245" t="str">
        <f t="shared" si="29"/>
        <v/>
      </c>
      <c r="D318" s="246"/>
      <c r="E318" s="245" t="str">
        <f t="shared" si="34"/>
        <v/>
      </c>
      <c r="F318" s="245" t="str">
        <f t="shared" si="30"/>
        <v/>
      </c>
      <c r="G318" s="245" t="str">
        <f t="shared" si="31"/>
        <v/>
      </c>
      <c r="H318" s="245" t="str">
        <f t="shared" si="32"/>
        <v/>
      </c>
    </row>
    <row r="319" spans="1:8" x14ac:dyDescent="0.2">
      <c r="A319" s="232" t="str">
        <f t="shared" si="28"/>
        <v/>
      </c>
      <c r="B319" s="244" t="str">
        <f t="shared" si="33"/>
        <v/>
      </c>
      <c r="C319" s="245" t="str">
        <f t="shared" si="29"/>
        <v/>
      </c>
      <c r="D319" s="246"/>
      <c r="E319" s="245" t="str">
        <f t="shared" si="34"/>
        <v/>
      </c>
      <c r="F319" s="245" t="str">
        <f t="shared" si="30"/>
        <v/>
      </c>
      <c r="G319" s="245" t="str">
        <f t="shared" si="31"/>
        <v/>
      </c>
      <c r="H319" s="245" t="str">
        <f t="shared" si="32"/>
        <v/>
      </c>
    </row>
    <row r="320" spans="1:8" x14ac:dyDescent="0.2">
      <c r="A320" s="232" t="str">
        <f t="shared" si="28"/>
        <v/>
      </c>
      <c r="B320" s="244" t="str">
        <f t="shared" si="33"/>
        <v/>
      </c>
      <c r="C320" s="245" t="str">
        <f t="shared" si="29"/>
        <v/>
      </c>
      <c r="D320" s="246"/>
      <c r="E320" s="245" t="str">
        <f t="shared" si="34"/>
        <v/>
      </c>
      <c r="F320" s="245" t="str">
        <f t="shared" si="30"/>
        <v/>
      </c>
      <c r="G320" s="245" t="str">
        <f t="shared" si="31"/>
        <v/>
      </c>
      <c r="H320" s="245" t="str">
        <f t="shared" si="32"/>
        <v/>
      </c>
    </row>
    <row r="321" spans="1:8" x14ac:dyDescent="0.2">
      <c r="A321" s="232" t="str">
        <f t="shared" si="28"/>
        <v/>
      </c>
      <c r="B321" s="244" t="str">
        <f t="shared" si="33"/>
        <v/>
      </c>
      <c r="C321" s="245" t="str">
        <f t="shared" si="29"/>
        <v/>
      </c>
      <c r="D321" s="246"/>
      <c r="E321" s="245" t="str">
        <f t="shared" si="34"/>
        <v/>
      </c>
      <c r="F321" s="245" t="str">
        <f t="shared" si="30"/>
        <v/>
      </c>
      <c r="G321" s="245" t="str">
        <f t="shared" si="31"/>
        <v/>
      </c>
      <c r="H321" s="245" t="str">
        <f t="shared" si="32"/>
        <v/>
      </c>
    </row>
    <row r="322" spans="1:8" x14ac:dyDescent="0.2">
      <c r="A322" s="232" t="str">
        <f t="shared" si="28"/>
        <v/>
      </c>
      <c r="B322" s="244" t="str">
        <f t="shared" si="33"/>
        <v/>
      </c>
      <c r="C322" s="245" t="str">
        <f t="shared" si="29"/>
        <v/>
      </c>
      <c r="D322" s="246"/>
      <c r="E322" s="245" t="str">
        <f t="shared" si="34"/>
        <v/>
      </c>
      <c r="F322" s="245" t="str">
        <f t="shared" si="30"/>
        <v/>
      </c>
      <c r="G322" s="245" t="str">
        <f t="shared" si="31"/>
        <v/>
      </c>
      <c r="H322" s="245" t="str">
        <f t="shared" si="32"/>
        <v/>
      </c>
    </row>
    <row r="323" spans="1:8" x14ac:dyDescent="0.2">
      <c r="A323" s="232" t="str">
        <f t="shared" si="28"/>
        <v/>
      </c>
      <c r="B323" s="244" t="str">
        <f t="shared" si="33"/>
        <v/>
      </c>
      <c r="C323" s="245" t="str">
        <f t="shared" si="29"/>
        <v/>
      </c>
      <c r="D323" s="246"/>
      <c r="E323" s="245" t="str">
        <f t="shared" si="34"/>
        <v/>
      </c>
      <c r="F323" s="245" t="str">
        <f t="shared" si="30"/>
        <v/>
      </c>
      <c r="G323" s="245" t="str">
        <f t="shared" si="31"/>
        <v/>
      </c>
      <c r="H323" s="245" t="str">
        <f t="shared" si="32"/>
        <v/>
      </c>
    </row>
    <row r="324" spans="1:8" x14ac:dyDescent="0.2">
      <c r="A324" s="232" t="str">
        <f t="shared" si="28"/>
        <v/>
      </c>
      <c r="B324" s="244" t="str">
        <f t="shared" si="33"/>
        <v/>
      </c>
      <c r="C324" s="245" t="str">
        <f t="shared" si="29"/>
        <v/>
      </c>
      <c r="D324" s="246"/>
      <c r="E324" s="245" t="str">
        <f t="shared" si="34"/>
        <v/>
      </c>
      <c r="F324" s="245" t="str">
        <f t="shared" si="30"/>
        <v/>
      </c>
      <c r="G324" s="245" t="str">
        <f t="shared" si="31"/>
        <v/>
      </c>
      <c r="H324" s="245" t="str">
        <f t="shared" si="32"/>
        <v/>
      </c>
    </row>
    <row r="325" spans="1:8" x14ac:dyDescent="0.2">
      <c r="A325" s="232" t="str">
        <f t="shared" si="28"/>
        <v/>
      </c>
      <c r="B325" s="244" t="str">
        <f t="shared" si="33"/>
        <v/>
      </c>
      <c r="C325" s="245" t="str">
        <f t="shared" si="29"/>
        <v/>
      </c>
      <c r="D325" s="246"/>
      <c r="E325" s="245" t="str">
        <f t="shared" si="34"/>
        <v/>
      </c>
      <c r="F325" s="245" t="str">
        <f t="shared" si="30"/>
        <v/>
      </c>
      <c r="G325" s="245" t="str">
        <f t="shared" si="31"/>
        <v/>
      </c>
      <c r="H325" s="245" t="str">
        <f t="shared" si="32"/>
        <v/>
      </c>
    </row>
    <row r="326" spans="1:8" x14ac:dyDescent="0.2">
      <c r="A326" s="232" t="str">
        <f t="shared" si="28"/>
        <v/>
      </c>
      <c r="B326" s="244" t="str">
        <f t="shared" si="33"/>
        <v/>
      </c>
      <c r="C326" s="245" t="str">
        <f t="shared" si="29"/>
        <v/>
      </c>
      <c r="D326" s="246"/>
      <c r="E326" s="245" t="str">
        <f t="shared" si="34"/>
        <v/>
      </c>
      <c r="F326" s="245" t="str">
        <f t="shared" si="30"/>
        <v/>
      </c>
      <c r="G326" s="245" t="str">
        <f t="shared" si="31"/>
        <v/>
      </c>
      <c r="H326" s="245" t="str">
        <f t="shared" si="32"/>
        <v/>
      </c>
    </row>
    <row r="327" spans="1:8" x14ac:dyDescent="0.2">
      <c r="A327" s="232" t="str">
        <f t="shared" si="28"/>
        <v/>
      </c>
      <c r="B327" s="244" t="str">
        <f t="shared" si="33"/>
        <v/>
      </c>
      <c r="C327" s="245" t="str">
        <f t="shared" si="29"/>
        <v/>
      </c>
      <c r="D327" s="246"/>
      <c r="E327" s="245" t="str">
        <f t="shared" si="34"/>
        <v/>
      </c>
      <c r="F327" s="245" t="str">
        <f t="shared" si="30"/>
        <v/>
      </c>
      <c r="G327" s="245" t="str">
        <f t="shared" si="31"/>
        <v/>
      </c>
      <c r="H327" s="245" t="str">
        <f t="shared" si="32"/>
        <v/>
      </c>
    </row>
    <row r="328" spans="1:8" x14ac:dyDescent="0.2">
      <c r="A328" s="232" t="str">
        <f t="shared" si="28"/>
        <v/>
      </c>
      <c r="B328" s="244" t="str">
        <f t="shared" si="33"/>
        <v/>
      </c>
      <c r="C328" s="245" t="str">
        <f t="shared" si="29"/>
        <v/>
      </c>
      <c r="D328" s="246"/>
      <c r="E328" s="245" t="str">
        <f t="shared" si="34"/>
        <v/>
      </c>
      <c r="F328" s="245" t="str">
        <f t="shared" si="30"/>
        <v/>
      </c>
      <c r="G328" s="245" t="str">
        <f t="shared" si="31"/>
        <v/>
      </c>
      <c r="H328" s="245" t="str">
        <f t="shared" si="32"/>
        <v/>
      </c>
    </row>
    <row r="329" spans="1:8" x14ac:dyDescent="0.2">
      <c r="A329" s="232" t="str">
        <f t="shared" si="28"/>
        <v/>
      </c>
      <c r="B329" s="244" t="str">
        <f t="shared" si="33"/>
        <v/>
      </c>
      <c r="C329" s="245" t="str">
        <f t="shared" si="29"/>
        <v/>
      </c>
      <c r="D329" s="246"/>
      <c r="E329" s="245" t="str">
        <f t="shared" si="34"/>
        <v/>
      </c>
      <c r="F329" s="245" t="str">
        <f t="shared" si="30"/>
        <v/>
      </c>
      <c r="G329" s="245" t="str">
        <f t="shared" si="31"/>
        <v/>
      </c>
      <c r="H329" s="245" t="str">
        <f t="shared" si="32"/>
        <v/>
      </c>
    </row>
    <row r="330" spans="1:8" x14ac:dyDescent="0.2">
      <c r="A330" s="232" t="str">
        <f t="shared" si="28"/>
        <v/>
      </c>
      <c r="B330" s="244" t="str">
        <f t="shared" si="33"/>
        <v/>
      </c>
      <c r="C330" s="245" t="str">
        <f t="shared" si="29"/>
        <v/>
      </c>
      <c r="D330" s="246"/>
      <c r="E330" s="245" t="str">
        <f t="shared" si="34"/>
        <v/>
      </c>
      <c r="F330" s="245" t="str">
        <f t="shared" si="30"/>
        <v/>
      </c>
      <c r="G330" s="245" t="str">
        <f t="shared" si="31"/>
        <v/>
      </c>
      <c r="H330" s="245" t="str">
        <f t="shared" si="32"/>
        <v/>
      </c>
    </row>
    <row r="331" spans="1:8" x14ac:dyDescent="0.2">
      <c r="A331" s="232" t="str">
        <f t="shared" si="28"/>
        <v/>
      </c>
      <c r="B331" s="244" t="str">
        <f t="shared" si="33"/>
        <v/>
      </c>
      <c r="C331" s="245" t="str">
        <f t="shared" si="29"/>
        <v/>
      </c>
      <c r="D331" s="246"/>
      <c r="E331" s="245" t="str">
        <f t="shared" si="34"/>
        <v/>
      </c>
      <c r="F331" s="245" t="str">
        <f t="shared" si="30"/>
        <v/>
      </c>
      <c r="G331" s="245" t="str">
        <f t="shared" si="31"/>
        <v/>
      </c>
      <c r="H331" s="245" t="str">
        <f t="shared" si="32"/>
        <v/>
      </c>
    </row>
    <row r="332" spans="1:8" x14ac:dyDescent="0.2">
      <c r="A332" s="232" t="str">
        <f t="shared" si="28"/>
        <v/>
      </c>
      <c r="B332" s="244" t="str">
        <f t="shared" si="33"/>
        <v/>
      </c>
      <c r="C332" s="245" t="str">
        <f t="shared" si="29"/>
        <v/>
      </c>
      <c r="D332" s="246"/>
      <c r="E332" s="245" t="str">
        <f t="shared" si="34"/>
        <v/>
      </c>
      <c r="F332" s="245" t="str">
        <f t="shared" si="30"/>
        <v/>
      </c>
      <c r="G332" s="245" t="str">
        <f t="shared" si="31"/>
        <v/>
      </c>
      <c r="H332" s="245" t="str">
        <f t="shared" si="32"/>
        <v/>
      </c>
    </row>
    <row r="333" spans="1:8" x14ac:dyDescent="0.2">
      <c r="A333" s="232" t="str">
        <f t="shared" si="28"/>
        <v/>
      </c>
      <c r="B333" s="244" t="str">
        <f t="shared" si="33"/>
        <v/>
      </c>
      <c r="C333" s="245" t="str">
        <f t="shared" si="29"/>
        <v/>
      </c>
      <c r="D333" s="246"/>
      <c r="E333" s="245" t="str">
        <f t="shared" si="34"/>
        <v/>
      </c>
      <c r="F333" s="245" t="str">
        <f t="shared" si="30"/>
        <v/>
      </c>
      <c r="G333" s="245" t="str">
        <f t="shared" si="31"/>
        <v/>
      </c>
      <c r="H333" s="245" t="str">
        <f t="shared" si="32"/>
        <v/>
      </c>
    </row>
    <row r="334" spans="1:8" x14ac:dyDescent="0.2">
      <c r="A334" s="232" t="str">
        <f t="shared" si="28"/>
        <v/>
      </c>
      <c r="B334" s="244" t="str">
        <f t="shared" si="33"/>
        <v/>
      </c>
      <c r="C334" s="245" t="str">
        <f t="shared" si="29"/>
        <v/>
      </c>
      <c r="D334" s="246"/>
      <c r="E334" s="245" t="str">
        <f t="shared" si="34"/>
        <v/>
      </c>
      <c r="F334" s="245" t="str">
        <f t="shared" si="30"/>
        <v/>
      </c>
      <c r="G334" s="245" t="str">
        <f t="shared" si="31"/>
        <v/>
      </c>
      <c r="H334" s="245" t="str">
        <f t="shared" si="32"/>
        <v/>
      </c>
    </row>
    <row r="335" spans="1:8" x14ac:dyDescent="0.2">
      <c r="A335" s="232" t="str">
        <f t="shared" si="28"/>
        <v/>
      </c>
      <c r="B335" s="244" t="str">
        <f t="shared" si="33"/>
        <v/>
      </c>
      <c r="C335" s="245" t="str">
        <f t="shared" si="29"/>
        <v/>
      </c>
      <c r="D335" s="246"/>
      <c r="E335" s="245" t="str">
        <f t="shared" si="34"/>
        <v/>
      </c>
      <c r="F335" s="245" t="str">
        <f t="shared" si="30"/>
        <v/>
      </c>
      <c r="G335" s="245" t="str">
        <f t="shared" si="31"/>
        <v/>
      </c>
      <c r="H335" s="245" t="str">
        <f t="shared" si="32"/>
        <v/>
      </c>
    </row>
    <row r="336" spans="1:8" x14ac:dyDescent="0.2">
      <c r="A336" s="232" t="str">
        <f t="shared" si="28"/>
        <v/>
      </c>
      <c r="B336" s="244" t="str">
        <f t="shared" si="33"/>
        <v/>
      </c>
      <c r="C336" s="245" t="str">
        <f t="shared" si="29"/>
        <v/>
      </c>
      <c r="D336" s="246"/>
      <c r="E336" s="245" t="str">
        <f t="shared" si="34"/>
        <v/>
      </c>
      <c r="F336" s="245" t="str">
        <f t="shared" si="30"/>
        <v/>
      </c>
      <c r="G336" s="245" t="str">
        <f t="shared" si="31"/>
        <v/>
      </c>
      <c r="H336" s="245" t="str">
        <f t="shared" si="32"/>
        <v/>
      </c>
    </row>
    <row r="337" spans="1:8" x14ac:dyDescent="0.2">
      <c r="A337" s="232" t="str">
        <f t="shared" si="28"/>
        <v/>
      </c>
      <c r="B337" s="244" t="str">
        <f t="shared" si="33"/>
        <v/>
      </c>
      <c r="C337" s="245" t="str">
        <f t="shared" si="29"/>
        <v/>
      </c>
      <c r="D337" s="246"/>
      <c r="E337" s="245" t="str">
        <f t="shared" si="34"/>
        <v/>
      </c>
      <c r="F337" s="245" t="str">
        <f t="shared" si="30"/>
        <v/>
      </c>
      <c r="G337" s="245" t="str">
        <f t="shared" si="31"/>
        <v/>
      </c>
      <c r="H337" s="245" t="str">
        <f t="shared" si="32"/>
        <v/>
      </c>
    </row>
    <row r="338" spans="1:8" x14ac:dyDescent="0.2">
      <c r="A338" s="232" t="str">
        <f t="shared" si="28"/>
        <v/>
      </c>
      <c r="B338" s="244" t="str">
        <f t="shared" si="33"/>
        <v/>
      </c>
      <c r="C338" s="245" t="str">
        <f t="shared" si="29"/>
        <v/>
      </c>
      <c r="D338" s="246"/>
      <c r="E338" s="245" t="str">
        <f t="shared" si="34"/>
        <v/>
      </c>
      <c r="F338" s="245" t="str">
        <f t="shared" si="30"/>
        <v/>
      </c>
      <c r="G338" s="245" t="str">
        <f t="shared" si="31"/>
        <v/>
      </c>
      <c r="H338" s="245" t="str">
        <f t="shared" si="32"/>
        <v/>
      </c>
    </row>
    <row r="339" spans="1:8" x14ac:dyDescent="0.2">
      <c r="A339" s="232" t="str">
        <f t="shared" si="28"/>
        <v/>
      </c>
      <c r="B339" s="244" t="str">
        <f t="shared" si="33"/>
        <v/>
      </c>
      <c r="C339" s="245" t="str">
        <f t="shared" si="29"/>
        <v/>
      </c>
      <c r="D339" s="246"/>
      <c r="E339" s="245" t="str">
        <f t="shared" si="34"/>
        <v/>
      </c>
      <c r="F339" s="245" t="str">
        <f t="shared" si="30"/>
        <v/>
      </c>
      <c r="G339" s="245" t="str">
        <f t="shared" si="31"/>
        <v/>
      </c>
      <c r="H339" s="245" t="str">
        <f t="shared" si="32"/>
        <v/>
      </c>
    </row>
    <row r="340" spans="1:8" x14ac:dyDescent="0.2">
      <c r="A340" s="232" t="str">
        <f t="shared" si="28"/>
        <v/>
      </c>
      <c r="B340" s="244" t="str">
        <f t="shared" si="33"/>
        <v/>
      </c>
      <c r="C340" s="245" t="str">
        <f t="shared" si="29"/>
        <v/>
      </c>
      <c r="D340" s="246"/>
      <c r="E340" s="245" t="str">
        <f t="shared" si="34"/>
        <v/>
      </c>
      <c r="F340" s="245" t="str">
        <f t="shared" si="30"/>
        <v/>
      </c>
      <c r="G340" s="245" t="str">
        <f t="shared" si="31"/>
        <v/>
      </c>
      <c r="H340" s="245" t="str">
        <f t="shared" si="32"/>
        <v/>
      </c>
    </row>
    <row r="341" spans="1:8" x14ac:dyDescent="0.2">
      <c r="A341" s="232" t="str">
        <f t="shared" si="28"/>
        <v/>
      </c>
      <c r="B341" s="244" t="str">
        <f t="shared" si="33"/>
        <v/>
      </c>
      <c r="C341" s="245" t="str">
        <f t="shared" si="29"/>
        <v/>
      </c>
      <c r="D341" s="246"/>
      <c r="E341" s="245" t="str">
        <f t="shared" si="34"/>
        <v/>
      </c>
      <c r="F341" s="245" t="str">
        <f t="shared" si="30"/>
        <v/>
      </c>
      <c r="G341" s="245" t="str">
        <f t="shared" si="31"/>
        <v/>
      </c>
      <c r="H341" s="245" t="str">
        <f t="shared" si="32"/>
        <v/>
      </c>
    </row>
    <row r="342" spans="1:8" x14ac:dyDescent="0.2">
      <c r="A342" s="232" t="str">
        <f t="shared" si="28"/>
        <v/>
      </c>
      <c r="B342" s="244" t="str">
        <f t="shared" si="33"/>
        <v/>
      </c>
      <c r="C342" s="245" t="str">
        <f t="shared" si="29"/>
        <v/>
      </c>
      <c r="D342" s="246"/>
      <c r="E342" s="245" t="str">
        <f t="shared" si="34"/>
        <v/>
      </c>
      <c r="F342" s="245" t="str">
        <f t="shared" si="30"/>
        <v/>
      </c>
      <c r="G342" s="245" t="str">
        <f t="shared" si="31"/>
        <v/>
      </c>
      <c r="H342" s="245" t="str">
        <f t="shared" si="32"/>
        <v/>
      </c>
    </row>
    <row r="343" spans="1:8" x14ac:dyDescent="0.2">
      <c r="A343" s="232" t="str">
        <f t="shared" ref="A343:A382" si="35">IF(A342="","",IF(H342&gt;0,A342+1,""))</f>
        <v/>
      </c>
      <c r="B343" s="244" t="str">
        <f t="shared" si="33"/>
        <v/>
      </c>
      <c r="C343" s="245" t="str">
        <f t="shared" ref="C343:C382" si="36">IF(A343="","",IF(ISBLANK($E$10),MIN(MAX($E$7*H342+IF(plusinterest,F343,0),$E$9),F343+H342),MIN($E$10,H342+F343)))</f>
        <v/>
      </c>
      <c r="D343" s="246"/>
      <c r="E343" s="245" t="str">
        <f t="shared" si="34"/>
        <v/>
      </c>
      <c r="F343" s="245" t="str">
        <f t="shared" ref="F343:F382" si="37">IF(A343="","",B343/12*H342)</f>
        <v/>
      </c>
      <c r="G343" s="245" t="str">
        <f t="shared" ref="G343:G382" si="38">IF(A343="","",C343+D343-F343)</f>
        <v/>
      </c>
      <c r="H343" s="245" t="str">
        <f t="shared" ref="H343:H382" si="39">IF(A343="","",H342-G343)</f>
        <v/>
      </c>
    </row>
    <row r="344" spans="1:8" x14ac:dyDescent="0.2">
      <c r="A344" s="232" t="str">
        <f t="shared" si="35"/>
        <v/>
      </c>
      <c r="B344" s="244" t="str">
        <f t="shared" ref="B344:B382" si="40">IF(A344="","",IF(A344&lt;=$E$11,0,$E$6))</f>
        <v/>
      </c>
      <c r="C344" s="245" t="str">
        <f t="shared" si="36"/>
        <v/>
      </c>
      <c r="D344" s="246"/>
      <c r="E344" s="245" t="str">
        <f t="shared" ref="E344:E382" si="41">IF(A344="","",C344+D344)</f>
        <v/>
      </c>
      <c r="F344" s="245" t="str">
        <f t="shared" si="37"/>
        <v/>
      </c>
      <c r="G344" s="245" t="str">
        <f t="shared" si="38"/>
        <v/>
      </c>
      <c r="H344" s="245" t="str">
        <f t="shared" si="39"/>
        <v/>
      </c>
    </row>
    <row r="345" spans="1:8" x14ac:dyDescent="0.2">
      <c r="A345" s="232" t="str">
        <f t="shared" si="35"/>
        <v/>
      </c>
      <c r="B345" s="244" t="str">
        <f t="shared" si="40"/>
        <v/>
      </c>
      <c r="C345" s="245" t="str">
        <f t="shared" si="36"/>
        <v/>
      </c>
      <c r="D345" s="246"/>
      <c r="E345" s="245" t="str">
        <f t="shared" si="41"/>
        <v/>
      </c>
      <c r="F345" s="245" t="str">
        <f t="shared" si="37"/>
        <v/>
      </c>
      <c r="G345" s="245" t="str">
        <f t="shared" si="38"/>
        <v/>
      </c>
      <c r="H345" s="245" t="str">
        <f t="shared" si="39"/>
        <v/>
      </c>
    </row>
    <row r="346" spans="1:8" x14ac:dyDescent="0.2">
      <c r="A346" s="232" t="str">
        <f t="shared" si="35"/>
        <v/>
      </c>
      <c r="B346" s="244" t="str">
        <f t="shared" si="40"/>
        <v/>
      </c>
      <c r="C346" s="245" t="str">
        <f t="shared" si="36"/>
        <v/>
      </c>
      <c r="D346" s="246"/>
      <c r="E346" s="245" t="str">
        <f t="shared" si="41"/>
        <v/>
      </c>
      <c r="F346" s="245" t="str">
        <f t="shared" si="37"/>
        <v/>
      </c>
      <c r="G346" s="245" t="str">
        <f t="shared" si="38"/>
        <v/>
      </c>
      <c r="H346" s="245" t="str">
        <f t="shared" si="39"/>
        <v/>
      </c>
    </row>
    <row r="347" spans="1:8" x14ac:dyDescent="0.2">
      <c r="A347" s="232" t="str">
        <f t="shared" si="35"/>
        <v/>
      </c>
      <c r="B347" s="244" t="str">
        <f t="shared" si="40"/>
        <v/>
      </c>
      <c r="C347" s="245" t="str">
        <f t="shared" si="36"/>
        <v/>
      </c>
      <c r="D347" s="246"/>
      <c r="E347" s="245" t="str">
        <f t="shared" si="41"/>
        <v/>
      </c>
      <c r="F347" s="245" t="str">
        <f t="shared" si="37"/>
        <v/>
      </c>
      <c r="G347" s="245" t="str">
        <f t="shared" si="38"/>
        <v/>
      </c>
      <c r="H347" s="245" t="str">
        <f t="shared" si="39"/>
        <v/>
      </c>
    </row>
    <row r="348" spans="1:8" x14ac:dyDescent="0.2">
      <c r="A348" s="232" t="str">
        <f t="shared" si="35"/>
        <v/>
      </c>
      <c r="B348" s="244" t="str">
        <f t="shared" si="40"/>
        <v/>
      </c>
      <c r="C348" s="245" t="str">
        <f t="shared" si="36"/>
        <v/>
      </c>
      <c r="D348" s="246"/>
      <c r="E348" s="245" t="str">
        <f t="shared" si="41"/>
        <v/>
      </c>
      <c r="F348" s="245" t="str">
        <f t="shared" si="37"/>
        <v/>
      </c>
      <c r="G348" s="245" t="str">
        <f t="shared" si="38"/>
        <v/>
      </c>
      <c r="H348" s="245" t="str">
        <f t="shared" si="39"/>
        <v/>
      </c>
    </row>
    <row r="349" spans="1:8" x14ac:dyDescent="0.2">
      <c r="A349" s="232" t="str">
        <f t="shared" si="35"/>
        <v/>
      </c>
      <c r="B349" s="244" t="str">
        <f t="shared" si="40"/>
        <v/>
      </c>
      <c r="C349" s="245" t="str">
        <f t="shared" si="36"/>
        <v/>
      </c>
      <c r="D349" s="246"/>
      <c r="E349" s="245" t="str">
        <f t="shared" si="41"/>
        <v/>
      </c>
      <c r="F349" s="245" t="str">
        <f t="shared" si="37"/>
        <v/>
      </c>
      <c r="G349" s="245" t="str">
        <f t="shared" si="38"/>
        <v/>
      </c>
      <c r="H349" s="245" t="str">
        <f t="shared" si="39"/>
        <v/>
      </c>
    </row>
    <row r="350" spans="1:8" x14ac:dyDescent="0.2">
      <c r="A350" s="232" t="str">
        <f t="shared" si="35"/>
        <v/>
      </c>
      <c r="B350" s="244" t="str">
        <f t="shared" si="40"/>
        <v/>
      </c>
      <c r="C350" s="245" t="str">
        <f t="shared" si="36"/>
        <v/>
      </c>
      <c r="D350" s="246"/>
      <c r="E350" s="245" t="str">
        <f t="shared" si="41"/>
        <v/>
      </c>
      <c r="F350" s="245" t="str">
        <f t="shared" si="37"/>
        <v/>
      </c>
      <c r="G350" s="245" t="str">
        <f t="shared" si="38"/>
        <v/>
      </c>
      <c r="H350" s="245" t="str">
        <f t="shared" si="39"/>
        <v/>
      </c>
    </row>
    <row r="351" spans="1:8" x14ac:dyDescent="0.2">
      <c r="A351" s="232" t="str">
        <f t="shared" si="35"/>
        <v/>
      </c>
      <c r="B351" s="244" t="str">
        <f t="shared" si="40"/>
        <v/>
      </c>
      <c r="C351" s="245" t="str">
        <f t="shared" si="36"/>
        <v/>
      </c>
      <c r="D351" s="246"/>
      <c r="E351" s="245" t="str">
        <f t="shared" si="41"/>
        <v/>
      </c>
      <c r="F351" s="245" t="str">
        <f t="shared" si="37"/>
        <v/>
      </c>
      <c r="G351" s="245" t="str">
        <f t="shared" si="38"/>
        <v/>
      </c>
      <c r="H351" s="245" t="str">
        <f t="shared" si="39"/>
        <v/>
      </c>
    </row>
    <row r="352" spans="1:8" x14ac:dyDescent="0.2">
      <c r="A352" s="232" t="str">
        <f t="shared" si="35"/>
        <v/>
      </c>
      <c r="B352" s="244" t="str">
        <f t="shared" si="40"/>
        <v/>
      </c>
      <c r="C352" s="245" t="str">
        <f t="shared" si="36"/>
        <v/>
      </c>
      <c r="D352" s="246"/>
      <c r="E352" s="245" t="str">
        <f t="shared" si="41"/>
        <v/>
      </c>
      <c r="F352" s="245" t="str">
        <f t="shared" si="37"/>
        <v/>
      </c>
      <c r="G352" s="245" t="str">
        <f t="shared" si="38"/>
        <v/>
      </c>
      <c r="H352" s="245" t="str">
        <f t="shared" si="39"/>
        <v/>
      </c>
    </row>
    <row r="353" spans="1:8" x14ac:dyDescent="0.2">
      <c r="A353" s="232" t="str">
        <f t="shared" si="35"/>
        <v/>
      </c>
      <c r="B353" s="244" t="str">
        <f t="shared" si="40"/>
        <v/>
      </c>
      <c r="C353" s="245" t="str">
        <f t="shared" si="36"/>
        <v/>
      </c>
      <c r="D353" s="246"/>
      <c r="E353" s="245" t="str">
        <f t="shared" si="41"/>
        <v/>
      </c>
      <c r="F353" s="245" t="str">
        <f t="shared" si="37"/>
        <v/>
      </c>
      <c r="G353" s="245" t="str">
        <f t="shared" si="38"/>
        <v/>
      </c>
      <c r="H353" s="245" t="str">
        <f t="shared" si="39"/>
        <v/>
      </c>
    </row>
    <row r="354" spans="1:8" x14ac:dyDescent="0.2">
      <c r="A354" s="232" t="str">
        <f t="shared" si="35"/>
        <v/>
      </c>
      <c r="B354" s="244" t="str">
        <f t="shared" si="40"/>
        <v/>
      </c>
      <c r="C354" s="245" t="str">
        <f t="shared" si="36"/>
        <v/>
      </c>
      <c r="D354" s="246"/>
      <c r="E354" s="245" t="str">
        <f t="shared" si="41"/>
        <v/>
      </c>
      <c r="F354" s="245" t="str">
        <f t="shared" si="37"/>
        <v/>
      </c>
      <c r="G354" s="245" t="str">
        <f t="shared" si="38"/>
        <v/>
      </c>
      <c r="H354" s="245" t="str">
        <f t="shared" si="39"/>
        <v/>
      </c>
    </row>
    <row r="355" spans="1:8" x14ac:dyDescent="0.2">
      <c r="A355" s="232" t="str">
        <f t="shared" si="35"/>
        <v/>
      </c>
      <c r="B355" s="244" t="str">
        <f t="shared" si="40"/>
        <v/>
      </c>
      <c r="C355" s="245" t="str">
        <f t="shared" si="36"/>
        <v/>
      </c>
      <c r="D355" s="246"/>
      <c r="E355" s="245" t="str">
        <f t="shared" si="41"/>
        <v/>
      </c>
      <c r="F355" s="245" t="str">
        <f t="shared" si="37"/>
        <v/>
      </c>
      <c r="G355" s="245" t="str">
        <f t="shared" si="38"/>
        <v/>
      </c>
      <c r="H355" s="245" t="str">
        <f t="shared" si="39"/>
        <v/>
      </c>
    </row>
    <row r="356" spans="1:8" x14ac:dyDescent="0.2">
      <c r="A356" s="232" t="str">
        <f t="shared" si="35"/>
        <v/>
      </c>
      <c r="B356" s="244" t="str">
        <f t="shared" si="40"/>
        <v/>
      </c>
      <c r="C356" s="245" t="str">
        <f t="shared" si="36"/>
        <v/>
      </c>
      <c r="D356" s="246"/>
      <c r="E356" s="245" t="str">
        <f t="shared" si="41"/>
        <v/>
      </c>
      <c r="F356" s="245" t="str">
        <f t="shared" si="37"/>
        <v/>
      </c>
      <c r="G356" s="245" t="str">
        <f t="shared" si="38"/>
        <v/>
      </c>
      <c r="H356" s="245" t="str">
        <f t="shared" si="39"/>
        <v/>
      </c>
    </row>
    <row r="357" spans="1:8" x14ac:dyDescent="0.2">
      <c r="A357" s="232" t="str">
        <f t="shared" si="35"/>
        <v/>
      </c>
      <c r="B357" s="244" t="str">
        <f t="shared" si="40"/>
        <v/>
      </c>
      <c r="C357" s="245" t="str">
        <f t="shared" si="36"/>
        <v/>
      </c>
      <c r="D357" s="246"/>
      <c r="E357" s="245" t="str">
        <f t="shared" si="41"/>
        <v/>
      </c>
      <c r="F357" s="245" t="str">
        <f t="shared" si="37"/>
        <v/>
      </c>
      <c r="G357" s="245" t="str">
        <f t="shared" si="38"/>
        <v/>
      </c>
      <c r="H357" s="245" t="str">
        <f t="shared" si="39"/>
        <v/>
      </c>
    </row>
    <row r="358" spans="1:8" x14ac:dyDescent="0.2">
      <c r="A358" s="232" t="str">
        <f t="shared" si="35"/>
        <v/>
      </c>
      <c r="B358" s="244" t="str">
        <f t="shared" si="40"/>
        <v/>
      </c>
      <c r="C358" s="245" t="str">
        <f t="shared" si="36"/>
        <v/>
      </c>
      <c r="D358" s="246"/>
      <c r="E358" s="245" t="str">
        <f t="shared" si="41"/>
        <v/>
      </c>
      <c r="F358" s="245" t="str">
        <f t="shared" si="37"/>
        <v/>
      </c>
      <c r="G358" s="245" t="str">
        <f t="shared" si="38"/>
        <v/>
      </c>
      <c r="H358" s="245" t="str">
        <f t="shared" si="39"/>
        <v/>
      </c>
    </row>
    <row r="359" spans="1:8" x14ac:dyDescent="0.2">
      <c r="A359" s="232" t="str">
        <f t="shared" si="35"/>
        <v/>
      </c>
      <c r="B359" s="244" t="str">
        <f t="shared" si="40"/>
        <v/>
      </c>
      <c r="C359" s="245" t="str">
        <f t="shared" si="36"/>
        <v/>
      </c>
      <c r="D359" s="246"/>
      <c r="E359" s="245" t="str">
        <f t="shared" si="41"/>
        <v/>
      </c>
      <c r="F359" s="245" t="str">
        <f t="shared" si="37"/>
        <v/>
      </c>
      <c r="G359" s="245" t="str">
        <f t="shared" si="38"/>
        <v/>
      </c>
      <c r="H359" s="245" t="str">
        <f t="shared" si="39"/>
        <v/>
      </c>
    </row>
    <row r="360" spans="1:8" x14ac:dyDescent="0.2">
      <c r="A360" s="232" t="str">
        <f t="shared" si="35"/>
        <v/>
      </c>
      <c r="B360" s="244" t="str">
        <f t="shared" si="40"/>
        <v/>
      </c>
      <c r="C360" s="245" t="str">
        <f t="shared" si="36"/>
        <v/>
      </c>
      <c r="D360" s="246"/>
      <c r="E360" s="245" t="str">
        <f t="shared" si="41"/>
        <v/>
      </c>
      <c r="F360" s="245" t="str">
        <f t="shared" si="37"/>
        <v/>
      </c>
      <c r="G360" s="245" t="str">
        <f t="shared" si="38"/>
        <v/>
      </c>
      <c r="H360" s="245" t="str">
        <f t="shared" si="39"/>
        <v/>
      </c>
    </row>
    <row r="361" spans="1:8" x14ac:dyDescent="0.2">
      <c r="A361" s="232" t="str">
        <f t="shared" si="35"/>
        <v/>
      </c>
      <c r="B361" s="244" t="str">
        <f t="shared" si="40"/>
        <v/>
      </c>
      <c r="C361" s="245" t="str">
        <f t="shared" si="36"/>
        <v/>
      </c>
      <c r="D361" s="246"/>
      <c r="E361" s="245" t="str">
        <f t="shared" si="41"/>
        <v/>
      </c>
      <c r="F361" s="245" t="str">
        <f t="shared" si="37"/>
        <v/>
      </c>
      <c r="G361" s="245" t="str">
        <f t="shared" si="38"/>
        <v/>
      </c>
      <c r="H361" s="245" t="str">
        <f t="shared" si="39"/>
        <v/>
      </c>
    </row>
    <row r="362" spans="1:8" x14ac:dyDescent="0.2">
      <c r="A362" s="232" t="str">
        <f t="shared" si="35"/>
        <v/>
      </c>
      <c r="B362" s="244" t="str">
        <f t="shared" si="40"/>
        <v/>
      </c>
      <c r="C362" s="245" t="str">
        <f t="shared" si="36"/>
        <v/>
      </c>
      <c r="D362" s="246"/>
      <c r="E362" s="245" t="str">
        <f t="shared" si="41"/>
        <v/>
      </c>
      <c r="F362" s="245" t="str">
        <f t="shared" si="37"/>
        <v/>
      </c>
      <c r="G362" s="245" t="str">
        <f t="shared" si="38"/>
        <v/>
      </c>
      <c r="H362" s="245" t="str">
        <f t="shared" si="39"/>
        <v/>
      </c>
    </row>
    <row r="363" spans="1:8" x14ac:dyDescent="0.2">
      <c r="A363" s="232" t="str">
        <f t="shared" si="35"/>
        <v/>
      </c>
      <c r="B363" s="244" t="str">
        <f t="shared" si="40"/>
        <v/>
      </c>
      <c r="C363" s="245" t="str">
        <f t="shared" si="36"/>
        <v/>
      </c>
      <c r="D363" s="246"/>
      <c r="E363" s="245" t="str">
        <f t="shared" si="41"/>
        <v/>
      </c>
      <c r="F363" s="245" t="str">
        <f t="shared" si="37"/>
        <v/>
      </c>
      <c r="G363" s="245" t="str">
        <f t="shared" si="38"/>
        <v/>
      </c>
      <c r="H363" s="245" t="str">
        <f t="shared" si="39"/>
        <v/>
      </c>
    </row>
    <row r="364" spans="1:8" x14ac:dyDescent="0.2">
      <c r="A364" s="232" t="str">
        <f t="shared" si="35"/>
        <v/>
      </c>
      <c r="B364" s="244" t="str">
        <f t="shared" si="40"/>
        <v/>
      </c>
      <c r="C364" s="245" t="str">
        <f t="shared" si="36"/>
        <v/>
      </c>
      <c r="D364" s="246"/>
      <c r="E364" s="245" t="str">
        <f t="shared" si="41"/>
        <v/>
      </c>
      <c r="F364" s="245" t="str">
        <f t="shared" si="37"/>
        <v/>
      </c>
      <c r="G364" s="245" t="str">
        <f t="shared" si="38"/>
        <v/>
      </c>
      <c r="H364" s="245" t="str">
        <f t="shared" si="39"/>
        <v/>
      </c>
    </row>
    <row r="365" spans="1:8" x14ac:dyDescent="0.2">
      <c r="A365" s="232" t="str">
        <f t="shared" si="35"/>
        <v/>
      </c>
      <c r="B365" s="244" t="str">
        <f t="shared" si="40"/>
        <v/>
      </c>
      <c r="C365" s="245" t="str">
        <f t="shared" si="36"/>
        <v/>
      </c>
      <c r="D365" s="246"/>
      <c r="E365" s="245" t="str">
        <f t="shared" si="41"/>
        <v/>
      </c>
      <c r="F365" s="245" t="str">
        <f t="shared" si="37"/>
        <v/>
      </c>
      <c r="G365" s="245" t="str">
        <f t="shared" si="38"/>
        <v/>
      </c>
      <c r="H365" s="245" t="str">
        <f t="shared" si="39"/>
        <v/>
      </c>
    </row>
    <row r="366" spans="1:8" x14ac:dyDescent="0.2">
      <c r="A366" s="232" t="str">
        <f t="shared" si="35"/>
        <v/>
      </c>
      <c r="B366" s="244" t="str">
        <f t="shared" si="40"/>
        <v/>
      </c>
      <c r="C366" s="245" t="str">
        <f t="shared" si="36"/>
        <v/>
      </c>
      <c r="D366" s="246"/>
      <c r="E366" s="245" t="str">
        <f t="shared" si="41"/>
        <v/>
      </c>
      <c r="F366" s="245" t="str">
        <f t="shared" si="37"/>
        <v/>
      </c>
      <c r="G366" s="245" t="str">
        <f t="shared" si="38"/>
        <v/>
      </c>
      <c r="H366" s="245" t="str">
        <f t="shared" si="39"/>
        <v/>
      </c>
    </row>
    <row r="367" spans="1:8" x14ac:dyDescent="0.2">
      <c r="A367" s="232" t="str">
        <f t="shared" si="35"/>
        <v/>
      </c>
      <c r="B367" s="244" t="str">
        <f t="shared" si="40"/>
        <v/>
      </c>
      <c r="C367" s="245" t="str">
        <f t="shared" si="36"/>
        <v/>
      </c>
      <c r="D367" s="246"/>
      <c r="E367" s="245" t="str">
        <f t="shared" si="41"/>
        <v/>
      </c>
      <c r="F367" s="245" t="str">
        <f t="shared" si="37"/>
        <v/>
      </c>
      <c r="G367" s="245" t="str">
        <f t="shared" si="38"/>
        <v/>
      </c>
      <c r="H367" s="245" t="str">
        <f t="shared" si="39"/>
        <v/>
      </c>
    </row>
    <row r="368" spans="1:8" x14ac:dyDescent="0.2">
      <c r="A368" s="232" t="str">
        <f t="shared" si="35"/>
        <v/>
      </c>
      <c r="B368" s="244" t="str">
        <f t="shared" si="40"/>
        <v/>
      </c>
      <c r="C368" s="245" t="str">
        <f t="shared" si="36"/>
        <v/>
      </c>
      <c r="D368" s="246"/>
      <c r="E368" s="245" t="str">
        <f t="shared" si="41"/>
        <v/>
      </c>
      <c r="F368" s="245" t="str">
        <f t="shared" si="37"/>
        <v/>
      </c>
      <c r="G368" s="245" t="str">
        <f t="shared" si="38"/>
        <v/>
      </c>
      <c r="H368" s="245" t="str">
        <f t="shared" si="39"/>
        <v/>
      </c>
    </row>
    <row r="369" spans="1:8" x14ac:dyDescent="0.2">
      <c r="A369" s="232" t="str">
        <f t="shared" si="35"/>
        <v/>
      </c>
      <c r="B369" s="244" t="str">
        <f t="shared" si="40"/>
        <v/>
      </c>
      <c r="C369" s="245" t="str">
        <f t="shared" si="36"/>
        <v/>
      </c>
      <c r="D369" s="246"/>
      <c r="E369" s="245" t="str">
        <f t="shared" si="41"/>
        <v/>
      </c>
      <c r="F369" s="245" t="str">
        <f t="shared" si="37"/>
        <v/>
      </c>
      <c r="G369" s="245" t="str">
        <f t="shared" si="38"/>
        <v/>
      </c>
      <c r="H369" s="245" t="str">
        <f t="shared" si="39"/>
        <v/>
      </c>
    </row>
    <row r="370" spans="1:8" x14ac:dyDescent="0.2">
      <c r="A370" s="232" t="str">
        <f t="shared" si="35"/>
        <v/>
      </c>
      <c r="B370" s="244" t="str">
        <f t="shared" si="40"/>
        <v/>
      </c>
      <c r="C370" s="245" t="str">
        <f t="shared" si="36"/>
        <v/>
      </c>
      <c r="D370" s="246"/>
      <c r="E370" s="245" t="str">
        <f t="shared" si="41"/>
        <v/>
      </c>
      <c r="F370" s="245" t="str">
        <f t="shared" si="37"/>
        <v/>
      </c>
      <c r="G370" s="245" t="str">
        <f t="shared" si="38"/>
        <v/>
      </c>
      <c r="H370" s="245" t="str">
        <f t="shared" si="39"/>
        <v/>
      </c>
    </row>
    <row r="371" spans="1:8" x14ac:dyDescent="0.2">
      <c r="A371" s="232" t="str">
        <f t="shared" si="35"/>
        <v/>
      </c>
      <c r="B371" s="244" t="str">
        <f t="shared" si="40"/>
        <v/>
      </c>
      <c r="C371" s="245" t="str">
        <f t="shared" si="36"/>
        <v/>
      </c>
      <c r="D371" s="246"/>
      <c r="E371" s="245" t="str">
        <f t="shared" si="41"/>
        <v/>
      </c>
      <c r="F371" s="245" t="str">
        <f t="shared" si="37"/>
        <v/>
      </c>
      <c r="G371" s="245" t="str">
        <f t="shared" si="38"/>
        <v/>
      </c>
      <c r="H371" s="245" t="str">
        <f t="shared" si="39"/>
        <v/>
      </c>
    </row>
    <row r="372" spans="1:8" x14ac:dyDescent="0.2">
      <c r="A372" s="232" t="str">
        <f t="shared" si="35"/>
        <v/>
      </c>
      <c r="B372" s="244" t="str">
        <f t="shared" si="40"/>
        <v/>
      </c>
      <c r="C372" s="245" t="str">
        <f t="shared" si="36"/>
        <v/>
      </c>
      <c r="D372" s="246"/>
      <c r="E372" s="245" t="str">
        <f t="shared" si="41"/>
        <v/>
      </c>
      <c r="F372" s="245" t="str">
        <f t="shared" si="37"/>
        <v/>
      </c>
      <c r="G372" s="245" t="str">
        <f t="shared" si="38"/>
        <v/>
      </c>
      <c r="H372" s="245" t="str">
        <f t="shared" si="39"/>
        <v/>
      </c>
    </row>
    <row r="373" spans="1:8" x14ac:dyDescent="0.2">
      <c r="A373" s="232" t="str">
        <f t="shared" si="35"/>
        <v/>
      </c>
      <c r="B373" s="244" t="str">
        <f t="shared" si="40"/>
        <v/>
      </c>
      <c r="C373" s="245" t="str">
        <f t="shared" si="36"/>
        <v/>
      </c>
      <c r="D373" s="246"/>
      <c r="E373" s="245" t="str">
        <f t="shared" si="41"/>
        <v/>
      </c>
      <c r="F373" s="245" t="str">
        <f t="shared" si="37"/>
        <v/>
      </c>
      <c r="G373" s="245" t="str">
        <f t="shared" si="38"/>
        <v/>
      </c>
      <c r="H373" s="245" t="str">
        <f t="shared" si="39"/>
        <v/>
      </c>
    </row>
    <row r="374" spans="1:8" x14ac:dyDescent="0.2">
      <c r="A374" s="232" t="str">
        <f t="shared" si="35"/>
        <v/>
      </c>
      <c r="B374" s="244" t="str">
        <f t="shared" si="40"/>
        <v/>
      </c>
      <c r="C374" s="245" t="str">
        <f t="shared" si="36"/>
        <v/>
      </c>
      <c r="D374" s="246"/>
      <c r="E374" s="245" t="str">
        <f t="shared" si="41"/>
        <v/>
      </c>
      <c r="F374" s="245" t="str">
        <f t="shared" si="37"/>
        <v/>
      </c>
      <c r="G374" s="245" t="str">
        <f t="shared" si="38"/>
        <v/>
      </c>
      <c r="H374" s="245" t="str">
        <f t="shared" si="39"/>
        <v/>
      </c>
    </row>
    <row r="375" spans="1:8" x14ac:dyDescent="0.2">
      <c r="A375" s="232" t="str">
        <f t="shared" si="35"/>
        <v/>
      </c>
      <c r="B375" s="244" t="str">
        <f t="shared" si="40"/>
        <v/>
      </c>
      <c r="C375" s="245" t="str">
        <f t="shared" si="36"/>
        <v/>
      </c>
      <c r="D375" s="246"/>
      <c r="E375" s="245" t="str">
        <f t="shared" si="41"/>
        <v/>
      </c>
      <c r="F375" s="245" t="str">
        <f t="shared" si="37"/>
        <v/>
      </c>
      <c r="G375" s="245" t="str">
        <f t="shared" si="38"/>
        <v/>
      </c>
      <c r="H375" s="245" t="str">
        <f t="shared" si="39"/>
        <v/>
      </c>
    </row>
    <row r="376" spans="1:8" x14ac:dyDescent="0.2">
      <c r="A376" s="232" t="str">
        <f t="shared" si="35"/>
        <v/>
      </c>
      <c r="B376" s="244" t="str">
        <f t="shared" si="40"/>
        <v/>
      </c>
      <c r="C376" s="245" t="str">
        <f t="shared" si="36"/>
        <v/>
      </c>
      <c r="D376" s="246"/>
      <c r="E376" s="245" t="str">
        <f t="shared" si="41"/>
        <v/>
      </c>
      <c r="F376" s="245" t="str">
        <f t="shared" si="37"/>
        <v/>
      </c>
      <c r="G376" s="245" t="str">
        <f t="shared" si="38"/>
        <v/>
      </c>
      <c r="H376" s="245" t="str">
        <f t="shared" si="39"/>
        <v/>
      </c>
    </row>
    <row r="377" spans="1:8" x14ac:dyDescent="0.2">
      <c r="A377" s="232" t="str">
        <f t="shared" si="35"/>
        <v/>
      </c>
      <c r="B377" s="244" t="str">
        <f t="shared" si="40"/>
        <v/>
      </c>
      <c r="C377" s="245" t="str">
        <f t="shared" si="36"/>
        <v/>
      </c>
      <c r="D377" s="246"/>
      <c r="E377" s="245" t="str">
        <f t="shared" si="41"/>
        <v/>
      </c>
      <c r="F377" s="245" t="str">
        <f t="shared" si="37"/>
        <v/>
      </c>
      <c r="G377" s="245" t="str">
        <f t="shared" si="38"/>
        <v/>
      </c>
      <c r="H377" s="245" t="str">
        <f t="shared" si="39"/>
        <v/>
      </c>
    </row>
    <row r="378" spans="1:8" x14ac:dyDescent="0.2">
      <c r="A378" s="232" t="str">
        <f t="shared" si="35"/>
        <v/>
      </c>
      <c r="B378" s="244" t="str">
        <f t="shared" si="40"/>
        <v/>
      </c>
      <c r="C378" s="245" t="str">
        <f t="shared" si="36"/>
        <v/>
      </c>
      <c r="D378" s="246"/>
      <c r="E378" s="245" t="str">
        <f t="shared" si="41"/>
        <v/>
      </c>
      <c r="F378" s="245" t="str">
        <f t="shared" si="37"/>
        <v/>
      </c>
      <c r="G378" s="245" t="str">
        <f t="shared" si="38"/>
        <v/>
      </c>
      <c r="H378" s="245" t="str">
        <f t="shared" si="39"/>
        <v/>
      </c>
    </row>
    <row r="379" spans="1:8" x14ac:dyDescent="0.2">
      <c r="A379" s="232" t="str">
        <f t="shared" si="35"/>
        <v/>
      </c>
      <c r="B379" s="244" t="str">
        <f t="shared" si="40"/>
        <v/>
      </c>
      <c r="C379" s="245" t="str">
        <f t="shared" si="36"/>
        <v/>
      </c>
      <c r="D379" s="246"/>
      <c r="E379" s="245" t="str">
        <f t="shared" si="41"/>
        <v/>
      </c>
      <c r="F379" s="245" t="str">
        <f t="shared" si="37"/>
        <v/>
      </c>
      <c r="G379" s="245" t="str">
        <f t="shared" si="38"/>
        <v/>
      </c>
      <c r="H379" s="245" t="str">
        <f t="shared" si="39"/>
        <v/>
      </c>
    </row>
    <row r="380" spans="1:8" x14ac:dyDescent="0.2">
      <c r="A380" s="232" t="str">
        <f t="shared" si="35"/>
        <v/>
      </c>
      <c r="B380" s="244" t="str">
        <f t="shared" si="40"/>
        <v/>
      </c>
      <c r="C380" s="245" t="str">
        <f t="shared" si="36"/>
        <v/>
      </c>
      <c r="D380" s="246"/>
      <c r="E380" s="245" t="str">
        <f t="shared" si="41"/>
        <v/>
      </c>
      <c r="F380" s="245" t="str">
        <f t="shared" si="37"/>
        <v/>
      </c>
      <c r="G380" s="245" t="str">
        <f t="shared" si="38"/>
        <v/>
      </c>
      <c r="H380" s="245" t="str">
        <f t="shared" si="39"/>
        <v/>
      </c>
    </row>
    <row r="381" spans="1:8" x14ac:dyDescent="0.2">
      <c r="A381" s="232" t="str">
        <f t="shared" si="35"/>
        <v/>
      </c>
      <c r="B381" s="244" t="str">
        <f t="shared" si="40"/>
        <v/>
      </c>
      <c r="C381" s="245" t="str">
        <f t="shared" si="36"/>
        <v/>
      </c>
      <c r="D381" s="246"/>
      <c r="E381" s="245" t="str">
        <f t="shared" si="41"/>
        <v/>
      </c>
      <c r="F381" s="245" t="str">
        <f t="shared" si="37"/>
        <v/>
      </c>
      <c r="G381" s="245" t="str">
        <f t="shared" si="38"/>
        <v/>
      </c>
      <c r="H381" s="245" t="str">
        <f t="shared" si="39"/>
        <v/>
      </c>
    </row>
    <row r="382" spans="1:8" x14ac:dyDescent="0.2">
      <c r="A382" s="232" t="str">
        <f t="shared" si="35"/>
        <v/>
      </c>
      <c r="B382" s="244" t="str">
        <f t="shared" si="40"/>
        <v/>
      </c>
      <c r="C382" s="245" t="str">
        <f t="shared" si="36"/>
        <v/>
      </c>
      <c r="D382" s="246"/>
      <c r="E382" s="245" t="str">
        <f t="shared" si="41"/>
        <v/>
      </c>
      <c r="F382" s="245" t="str">
        <f t="shared" si="37"/>
        <v/>
      </c>
      <c r="G382" s="245" t="str">
        <f t="shared" si="38"/>
        <v/>
      </c>
      <c r="H382" s="245" t="str">
        <f t="shared" si="39"/>
        <v/>
      </c>
    </row>
    <row r="383" spans="1:8" x14ac:dyDescent="0.2">
      <c r="A383" s="247"/>
      <c r="B383" s="248"/>
      <c r="C383" s="243"/>
      <c r="D383" s="243"/>
      <c r="E383" s="243"/>
      <c r="F383" s="243"/>
      <c r="G383" s="243"/>
      <c r="H383" s="243"/>
    </row>
  </sheetData>
  <mergeCells count="1">
    <mergeCell ref="A2:F2"/>
  </mergeCells>
  <dataValidations count="2">
    <dataValidation type="list" allowBlank="1" showInputMessage="1" showErrorMessage="1" sqref="E8" xr:uid="{2848259E-00C9-436A-B909-383B54A4084F}">
      <formula1>"Yes,No"</formula1>
    </dataValidation>
    <dataValidation type="decimal" errorStyle="information" operator="greaterThan" allowBlank="1" showInputMessage="1" showErrorMessage="1" errorTitle="Payment Too Low" error="The amount entered is too low to pay off your current credit balance. It must be greater than the interest-only amount." sqref="A16:C16" xr:uid="{C30A7353-2215-4808-A5EE-4274A601C4FA}">
      <formula1>#REF!/12*#REF!</formula1>
    </dataValidation>
  </dataValidations>
  <hyperlinks>
    <hyperlink ref="A2" r:id="rId1" xr:uid="{411D108D-D323-4BD9-A767-279993DE1611}"/>
  </hyperlinks>
  <pageMargins left="0.5" right="0.5" top="0.5" bottom="0.6" header="0.5" footer="0.25"/>
  <pageSetup scale="90" fitToHeight="0" orientation="portrait" r:id="rId2"/>
  <headerFooter scaleWithDoc="0">
    <oddFooter>&amp;L&amp;"Arial,Regular"&amp;8https://www.vertex42.com/Calculators/credit-card-payment-calculator.html&amp;R&amp;"Arial,Regular"&amp;8Page &amp;P of &amp;N</oddFooter>
    <firstFooter>&amp;R&amp;"Arial,Regular"&amp;8Page &amp;P of &amp;N</firstFooter>
  </headerFooter>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36EC-4842-4DF0-8FB9-1461D0CC09B0}">
  <sheetPr>
    <pageSetUpPr fitToPage="1"/>
  </sheetPr>
  <dimension ref="A1:I383"/>
  <sheetViews>
    <sheetView showGridLines="0" workbookViewId="0">
      <selection activeCell="F8" sqref="F8"/>
    </sheetView>
  </sheetViews>
  <sheetFormatPr defaultColWidth="10.6640625" defaultRowHeight="12.75" x14ac:dyDescent="0.2"/>
  <cols>
    <col min="1" max="1" width="6.83203125" style="207" customWidth="1"/>
    <col min="2" max="2" width="11.6640625" style="232" customWidth="1"/>
    <col min="3" max="3" width="12.1640625" style="207" customWidth="1"/>
    <col min="4" max="4" width="15" style="207" customWidth="1"/>
    <col min="5" max="5" width="15.6640625" style="207" customWidth="1"/>
    <col min="6" max="7" width="14.1640625" style="207" customWidth="1"/>
    <col min="8" max="8" width="16.83203125" style="207" customWidth="1"/>
    <col min="9" max="9" width="21.5" style="207" customWidth="1"/>
    <col min="10" max="16384" width="10.6640625" style="207"/>
  </cols>
  <sheetData>
    <row r="1" spans="1:9" ht="30" customHeight="1" x14ac:dyDescent="0.2">
      <c r="A1" s="204" t="s">
        <v>1104</v>
      </c>
      <c r="B1" s="205"/>
      <c r="C1" s="206"/>
      <c r="D1" s="206"/>
      <c r="E1" s="206"/>
      <c r="F1" s="206"/>
      <c r="G1" s="206"/>
      <c r="H1" s="206"/>
      <c r="I1" s="206"/>
    </row>
    <row r="2" spans="1:9" x14ac:dyDescent="0.2">
      <c r="A2" s="264" t="s">
        <v>1105</v>
      </c>
      <c r="B2" s="264"/>
      <c r="C2" s="264"/>
      <c r="D2" s="264"/>
      <c r="E2" s="264"/>
      <c r="F2" s="264"/>
      <c r="G2" s="208"/>
      <c r="H2" s="208"/>
      <c r="I2" s="209" t="str">
        <f ca="1">"© 2010-" &amp; YEAR(TODAY()) &amp; " Vertex42 LLC"</f>
        <v>© 2010-2021 Vertex42 LLC</v>
      </c>
    </row>
    <row r="4" spans="1:9" ht="17.25" customHeight="1" x14ac:dyDescent="0.2">
      <c r="A4" s="210" t="s">
        <v>1106</v>
      </c>
      <c r="B4" s="211"/>
      <c r="C4" s="210"/>
      <c r="D4" s="210"/>
      <c r="E4" s="210"/>
      <c r="F4" s="210"/>
    </row>
    <row r="5" spans="1:9" ht="15" x14ac:dyDescent="0.2">
      <c r="A5" s="212"/>
      <c r="B5" s="213"/>
      <c r="C5" s="214"/>
      <c r="D5" s="214" t="s">
        <v>1107</v>
      </c>
      <c r="E5" s="215">
        <v>2378.52</v>
      </c>
      <c r="F5" s="212"/>
    </row>
    <row r="6" spans="1:9" ht="15" x14ac:dyDescent="0.2">
      <c r="A6" s="212"/>
      <c r="B6" s="213"/>
      <c r="C6" s="214"/>
      <c r="D6" s="214" t="s">
        <v>1108</v>
      </c>
      <c r="E6" s="216">
        <v>0.25240000000000001</v>
      </c>
      <c r="F6" s="212"/>
    </row>
    <row r="7" spans="1:9" ht="15.75" x14ac:dyDescent="0.25">
      <c r="A7" s="217"/>
      <c r="B7" s="218"/>
      <c r="C7" s="217"/>
      <c r="D7" s="214" t="s">
        <v>1109</v>
      </c>
      <c r="E7" s="219">
        <v>0.02</v>
      </c>
      <c r="F7" s="249">
        <f>E7*E5</f>
        <v>47.570399999999999</v>
      </c>
    </row>
    <row r="8" spans="1:9" ht="15.75" x14ac:dyDescent="0.25">
      <c r="A8" s="217"/>
      <c r="B8" s="218"/>
      <c r="C8" s="217"/>
      <c r="D8" s="214" t="s">
        <v>1110</v>
      </c>
      <c r="E8" s="220" t="s">
        <v>314</v>
      </c>
      <c r="F8" s="221" t="b">
        <f>IF(E8="Yes",TRUE,FALSE)</f>
        <v>1</v>
      </c>
    </row>
    <row r="9" spans="1:9" ht="15.75" x14ac:dyDescent="0.25">
      <c r="A9" s="217"/>
      <c r="B9" s="218"/>
      <c r="C9" s="217"/>
      <c r="D9" s="214" t="s">
        <v>1111</v>
      </c>
      <c r="E9" s="222">
        <v>35</v>
      </c>
      <c r="F9" s="212"/>
    </row>
    <row r="10" spans="1:9" ht="15" x14ac:dyDescent="0.2">
      <c r="A10" s="212"/>
      <c r="B10" s="223"/>
      <c r="C10" s="212"/>
      <c r="D10" s="214" t="s">
        <v>1112</v>
      </c>
      <c r="E10" s="224">
        <v>200</v>
      </c>
      <c r="F10" s="225" t="s">
        <v>1113</v>
      </c>
    </row>
    <row r="11" spans="1:9" ht="15.75" x14ac:dyDescent="0.25">
      <c r="A11" s="217"/>
      <c r="B11" s="218"/>
      <c r="C11" s="217"/>
      <c r="D11" s="214" t="s">
        <v>1114</v>
      </c>
      <c r="E11" s="226">
        <v>0</v>
      </c>
      <c r="F11" s="212" t="s">
        <v>1115</v>
      </c>
    </row>
    <row r="12" spans="1:9" ht="15.75" x14ac:dyDescent="0.25">
      <c r="A12" s="217"/>
      <c r="B12" s="218"/>
      <c r="C12" s="217"/>
      <c r="D12" s="217"/>
      <c r="E12" s="217"/>
      <c r="F12" s="212"/>
    </row>
    <row r="13" spans="1:9" ht="17.25" customHeight="1" x14ac:dyDescent="0.2">
      <c r="A13" s="210" t="s">
        <v>1116</v>
      </c>
      <c r="B13" s="211"/>
      <c r="C13" s="210"/>
      <c r="D13" s="210"/>
      <c r="E13" s="210"/>
      <c r="F13" s="210"/>
    </row>
    <row r="14" spans="1:9" ht="15.75" x14ac:dyDescent="0.25">
      <c r="A14" s="217"/>
      <c r="B14" s="218"/>
      <c r="C14" s="217"/>
      <c r="D14" s="214" t="s">
        <v>1117</v>
      </c>
      <c r="E14" s="227">
        <f>E23</f>
        <v>200</v>
      </c>
      <c r="F14" s="212"/>
    </row>
    <row r="15" spans="1:9" ht="15.75" x14ac:dyDescent="0.25">
      <c r="A15" s="217"/>
      <c r="B15" s="218"/>
      <c r="C15" s="217"/>
      <c r="D15" s="214" t="s">
        <v>1118</v>
      </c>
      <c r="E15" s="227">
        <f>MAX(E21:E383)</f>
        <v>200</v>
      </c>
      <c r="F15" s="212"/>
    </row>
    <row r="16" spans="1:9" ht="15.75" x14ac:dyDescent="0.25">
      <c r="A16" s="217"/>
      <c r="B16" s="218"/>
      <c r="C16" s="217"/>
      <c r="D16" s="214" t="s">
        <v>1119</v>
      </c>
      <c r="E16" s="228">
        <f>MAX(A22:A383,1)</f>
        <v>14</v>
      </c>
      <c r="F16" s="229" t="str">
        <f>"("&amp;ROUND(E16/12,2)&amp;" years)"</f>
        <v>(1.17 years)</v>
      </c>
    </row>
    <row r="17" spans="1:9" ht="15.75" x14ac:dyDescent="0.25">
      <c r="A17" s="212"/>
      <c r="B17" s="223"/>
      <c r="C17" s="212"/>
      <c r="D17" s="214" t="s">
        <v>1120</v>
      </c>
      <c r="E17" s="227">
        <f>SUM(F23:F382)</f>
        <v>387.73570928977853</v>
      </c>
      <c r="F17" s="212"/>
      <c r="I17" s="230" t="s">
        <v>1121</v>
      </c>
    </row>
    <row r="18" spans="1:9" x14ac:dyDescent="0.2">
      <c r="A18" s="212"/>
      <c r="B18" s="223"/>
      <c r="C18" s="212"/>
      <c r="D18" s="212"/>
      <c r="E18" s="212"/>
      <c r="F18" s="212"/>
    </row>
    <row r="19" spans="1:9" x14ac:dyDescent="0.2">
      <c r="A19" s="231" t="str">
        <f ca="1">IF(AND(OFFSET(H383,-1,0)&lt;&gt;"",OFFSET(H383,-1,0)&gt;0),"Error: Not Enough Rows in Table",".")</f>
        <v>.</v>
      </c>
      <c r="C19" s="233"/>
      <c r="D19" s="233"/>
      <c r="E19" s="233"/>
    </row>
    <row r="20" spans="1:9" ht="15.75" x14ac:dyDescent="0.25">
      <c r="A20" s="234" t="s">
        <v>1122</v>
      </c>
      <c r="B20" s="235"/>
      <c r="C20" s="236"/>
      <c r="D20" s="236"/>
      <c r="E20" s="236"/>
      <c r="F20" s="237"/>
    </row>
    <row r="21" spans="1:9" ht="25.5" x14ac:dyDescent="0.2">
      <c r="A21" s="238" t="s">
        <v>1123</v>
      </c>
      <c r="B21" s="238" t="s">
        <v>1124</v>
      </c>
      <c r="C21" s="239" t="s">
        <v>31</v>
      </c>
      <c r="D21" s="239" t="s">
        <v>1125</v>
      </c>
      <c r="E21" s="239" t="s">
        <v>1126</v>
      </c>
      <c r="F21" s="240" t="s">
        <v>1127</v>
      </c>
      <c r="G21" s="240" t="s">
        <v>1128</v>
      </c>
      <c r="H21" s="241" t="s">
        <v>525</v>
      </c>
    </row>
    <row r="22" spans="1:9" x14ac:dyDescent="0.2">
      <c r="A22" s="242">
        <v>0</v>
      </c>
      <c r="B22" s="242"/>
      <c r="C22" s="243"/>
      <c r="D22" s="243"/>
      <c r="E22" s="243"/>
      <c r="F22" s="243"/>
      <c r="G22" s="243"/>
      <c r="H22" s="243">
        <f>E5</f>
        <v>2378.52</v>
      </c>
    </row>
    <row r="23" spans="1:9" x14ac:dyDescent="0.2">
      <c r="A23" s="232">
        <f t="shared" ref="A23:A86" si="0">IF(A22="","",IF(H22&gt;0,A22+1,""))</f>
        <v>1</v>
      </c>
      <c r="B23" s="244">
        <f>IF(A23="","",IF(A23&lt;=$E$11,0,$E$6))</f>
        <v>0.25240000000000001</v>
      </c>
      <c r="C23" s="245">
        <f>IF(A23="","",IF(ISBLANK($E$10),MIN(MAX($E$7*H22+IF(plusinterest,F23,0),$E$9),F23+H22),MIN($E$10,H22+F23)))</f>
        <v>200</v>
      </c>
      <c r="D23" s="246"/>
      <c r="E23" s="245">
        <f>IF(A23="","",C23+D23)</f>
        <v>200</v>
      </c>
      <c r="F23" s="245">
        <f t="shared" ref="F23:F86" si="1">IF(A23="","",B23/12*H22)</f>
        <v>50.028204000000002</v>
      </c>
      <c r="G23" s="245">
        <f t="shared" ref="G23:G86" si="2">IF(A23="","",C23+D23-F23)</f>
        <v>149.97179599999998</v>
      </c>
      <c r="H23" s="245">
        <f t="shared" ref="H23:H86" si="3">IF(A23="","",H22-G23)</f>
        <v>2228.5482040000002</v>
      </c>
    </row>
    <row r="24" spans="1:9" x14ac:dyDescent="0.2">
      <c r="A24" s="232">
        <f t="shared" si="0"/>
        <v>2</v>
      </c>
      <c r="B24" s="244">
        <f t="shared" ref="B24:B87" si="4">IF(A24="","",IF(A24&lt;=$E$11,0,$E$6))</f>
        <v>0.25240000000000001</v>
      </c>
      <c r="C24" s="245">
        <f t="shared" ref="C24:C86" si="5">IF(A24="","",IF(ISBLANK($E$10),MIN(MAX($E$7*H23+IF(plusinterest,F24,0),$E$9),F24+H23),MIN($E$10,H23+F24)))</f>
        <v>200</v>
      </c>
      <c r="D24" s="246"/>
      <c r="E24" s="245">
        <f t="shared" ref="E24:E87" si="6">IF(A24="","",C24+D24)</f>
        <v>200</v>
      </c>
      <c r="F24" s="245">
        <f t="shared" si="1"/>
        <v>46.873797224133341</v>
      </c>
      <c r="G24" s="245">
        <f t="shared" si="2"/>
        <v>153.12620277586666</v>
      </c>
      <c r="H24" s="245">
        <f t="shared" si="3"/>
        <v>2075.4220012241335</v>
      </c>
    </row>
    <row r="25" spans="1:9" x14ac:dyDescent="0.2">
      <c r="A25" s="232">
        <f t="shared" si="0"/>
        <v>3</v>
      </c>
      <c r="B25" s="244">
        <f t="shared" si="4"/>
        <v>0.25240000000000001</v>
      </c>
      <c r="C25" s="245">
        <f t="shared" si="5"/>
        <v>200</v>
      </c>
      <c r="D25" s="246"/>
      <c r="E25" s="245">
        <f t="shared" si="6"/>
        <v>200</v>
      </c>
      <c r="F25" s="245">
        <f t="shared" si="1"/>
        <v>43.653042759080947</v>
      </c>
      <c r="G25" s="245">
        <f t="shared" si="2"/>
        <v>156.34695724091904</v>
      </c>
      <c r="H25" s="245">
        <f t="shared" si="3"/>
        <v>1919.0750439832145</v>
      </c>
    </row>
    <row r="26" spans="1:9" x14ac:dyDescent="0.2">
      <c r="A26" s="232">
        <f t="shared" si="0"/>
        <v>4</v>
      </c>
      <c r="B26" s="244">
        <f t="shared" si="4"/>
        <v>0.25240000000000001</v>
      </c>
      <c r="C26" s="245">
        <f t="shared" si="5"/>
        <v>200</v>
      </c>
      <c r="D26" s="246"/>
      <c r="E26" s="245">
        <f t="shared" si="6"/>
        <v>200</v>
      </c>
      <c r="F26" s="245">
        <f t="shared" si="1"/>
        <v>40.364545091780279</v>
      </c>
      <c r="G26" s="245">
        <f t="shared" si="2"/>
        <v>159.63545490821971</v>
      </c>
      <c r="H26" s="245">
        <f t="shared" si="3"/>
        <v>1759.4395890749947</v>
      </c>
    </row>
    <row r="27" spans="1:9" x14ac:dyDescent="0.2">
      <c r="A27" s="232">
        <f t="shared" si="0"/>
        <v>5</v>
      </c>
      <c r="B27" s="244">
        <f t="shared" si="4"/>
        <v>0.25240000000000001</v>
      </c>
      <c r="C27" s="245">
        <f t="shared" si="5"/>
        <v>200</v>
      </c>
      <c r="D27" s="246"/>
      <c r="E27" s="245">
        <f t="shared" si="6"/>
        <v>200</v>
      </c>
      <c r="F27" s="245">
        <f t="shared" si="1"/>
        <v>37.006879356877391</v>
      </c>
      <c r="G27" s="245">
        <f t="shared" si="2"/>
        <v>162.99312064312261</v>
      </c>
      <c r="H27" s="245">
        <f t="shared" si="3"/>
        <v>1596.4464684318721</v>
      </c>
    </row>
    <row r="28" spans="1:9" x14ac:dyDescent="0.2">
      <c r="A28" s="232">
        <f t="shared" si="0"/>
        <v>6</v>
      </c>
      <c r="B28" s="244">
        <f t="shared" si="4"/>
        <v>0.25240000000000001</v>
      </c>
      <c r="C28" s="245">
        <f t="shared" si="5"/>
        <v>200</v>
      </c>
      <c r="D28" s="246"/>
      <c r="E28" s="245">
        <f t="shared" si="6"/>
        <v>200</v>
      </c>
      <c r="F28" s="245">
        <f t="shared" si="1"/>
        <v>33.57859071935038</v>
      </c>
      <c r="G28" s="245">
        <f t="shared" si="2"/>
        <v>166.42140928064961</v>
      </c>
      <c r="H28" s="245">
        <f t="shared" si="3"/>
        <v>1430.0250591512224</v>
      </c>
    </row>
    <row r="29" spans="1:9" x14ac:dyDescent="0.2">
      <c r="A29" s="232">
        <f t="shared" si="0"/>
        <v>7</v>
      </c>
      <c r="B29" s="244">
        <f t="shared" si="4"/>
        <v>0.25240000000000001</v>
      </c>
      <c r="C29" s="245">
        <f t="shared" si="5"/>
        <v>200</v>
      </c>
      <c r="D29" s="246"/>
      <c r="E29" s="245">
        <f t="shared" si="6"/>
        <v>200</v>
      </c>
      <c r="F29" s="245">
        <f t="shared" si="1"/>
        <v>30.078193744147381</v>
      </c>
      <c r="G29" s="245">
        <f t="shared" si="2"/>
        <v>169.92180625585263</v>
      </c>
      <c r="H29" s="245">
        <f t="shared" si="3"/>
        <v>1260.1032528953697</v>
      </c>
    </row>
    <row r="30" spans="1:9" x14ac:dyDescent="0.2">
      <c r="A30" s="232">
        <f t="shared" si="0"/>
        <v>8</v>
      </c>
      <c r="B30" s="244">
        <f t="shared" si="4"/>
        <v>0.25240000000000001</v>
      </c>
      <c r="C30" s="245">
        <f t="shared" si="5"/>
        <v>200</v>
      </c>
      <c r="D30" s="246"/>
      <c r="E30" s="245">
        <f t="shared" si="6"/>
        <v>200</v>
      </c>
      <c r="F30" s="245">
        <f t="shared" si="1"/>
        <v>26.504171752565945</v>
      </c>
      <c r="G30" s="245">
        <f t="shared" si="2"/>
        <v>173.49582824743405</v>
      </c>
      <c r="H30" s="245">
        <f t="shared" si="3"/>
        <v>1086.6074246479357</v>
      </c>
    </row>
    <row r="31" spans="1:9" x14ac:dyDescent="0.2">
      <c r="A31" s="232">
        <f t="shared" si="0"/>
        <v>9</v>
      </c>
      <c r="B31" s="244">
        <f t="shared" si="4"/>
        <v>0.25240000000000001</v>
      </c>
      <c r="C31" s="245">
        <f t="shared" si="5"/>
        <v>200</v>
      </c>
      <c r="D31" s="246"/>
      <c r="E31" s="245">
        <f t="shared" si="6"/>
        <v>200</v>
      </c>
      <c r="F31" s="245">
        <f t="shared" si="1"/>
        <v>22.854976165094914</v>
      </c>
      <c r="G31" s="245">
        <f t="shared" si="2"/>
        <v>177.14502383490509</v>
      </c>
      <c r="H31" s="245">
        <f t="shared" si="3"/>
        <v>909.46240081303063</v>
      </c>
    </row>
    <row r="32" spans="1:9" x14ac:dyDescent="0.2">
      <c r="A32" s="232">
        <f t="shared" si="0"/>
        <v>10</v>
      </c>
      <c r="B32" s="244">
        <f t="shared" si="4"/>
        <v>0.25240000000000001</v>
      </c>
      <c r="C32" s="245">
        <f t="shared" si="5"/>
        <v>200</v>
      </c>
      <c r="D32" s="246"/>
      <c r="E32" s="245">
        <f t="shared" si="6"/>
        <v>200</v>
      </c>
      <c r="F32" s="245">
        <f t="shared" si="1"/>
        <v>19.129025830434077</v>
      </c>
      <c r="G32" s="245">
        <f t="shared" si="2"/>
        <v>180.87097416956593</v>
      </c>
      <c r="H32" s="245">
        <f t="shared" si="3"/>
        <v>728.59142664346473</v>
      </c>
    </row>
    <row r="33" spans="1:8" x14ac:dyDescent="0.2">
      <c r="A33" s="232">
        <f t="shared" si="0"/>
        <v>11</v>
      </c>
      <c r="B33" s="244">
        <f t="shared" si="4"/>
        <v>0.25240000000000001</v>
      </c>
      <c r="C33" s="245">
        <f t="shared" si="5"/>
        <v>200</v>
      </c>
      <c r="D33" s="246"/>
      <c r="E33" s="245">
        <f t="shared" si="6"/>
        <v>200</v>
      </c>
      <c r="F33" s="245">
        <f t="shared" si="1"/>
        <v>15.324706340400876</v>
      </c>
      <c r="G33" s="245">
        <f t="shared" si="2"/>
        <v>184.67529365959913</v>
      </c>
      <c r="H33" s="245">
        <f t="shared" si="3"/>
        <v>543.91613298386562</v>
      </c>
    </row>
    <row r="34" spans="1:8" x14ac:dyDescent="0.2">
      <c r="A34" s="232">
        <f t="shared" si="0"/>
        <v>12</v>
      </c>
      <c r="B34" s="244">
        <f t="shared" si="4"/>
        <v>0.25240000000000001</v>
      </c>
      <c r="C34" s="245">
        <f t="shared" si="5"/>
        <v>200</v>
      </c>
      <c r="D34" s="246"/>
      <c r="E34" s="245">
        <f t="shared" si="6"/>
        <v>200</v>
      </c>
      <c r="F34" s="245">
        <f t="shared" si="1"/>
        <v>11.440369330427307</v>
      </c>
      <c r="G34" s="245">
        <f t="shared" si="2"/>
        <v>188.5596306695727</v>
      </c>
      <c r="H34" s="245">
        <f t="shared" si="3"/>
        <v>355.35650231429292</v>
      </c>
    </row>
    <row r="35" spans="1:8" x14ac:dyDescent="0.2">
      <c r="A35" s="232">
        <f t="shared" si="0"/>
        <v>13</v>
      </c>
      <c r="B35" s="244">
        <f t="shared" si="4"/>
        <v>0.25240000000000001</v>
      </c>
      <c r="C35" s="245">
        <f t="shared" si="5"/>
        <v>200</v>
      </c>
      <c r="D35" s="246"/>
      <c r="E35" s="245">
        <f t="shared" si="6"/>
        <v>200</v>
      </c>
      <c r="F35" s="245">
        <f t="shared" si="1"/>
        <v>7.4743317653439618</v>
      </c>
      <c r="G35" s="245">
        <f t="shared" si="2"/>
        <v>192.52566823465605</v>
      </c>
      <c r="H35" s="245">
        <f t="shared" si="3"/>
        <v>162.83083407963687</v>
      </c>
    </row>
    <row r="36" spans="1:8" x14ac:dyDescent="0.2">
      <c r="A36" s="232">
        <f t="shared" si="0"/>
        <v>14</v>
      </c>
      <c r="B36" s="244">
        <f t="shared" si="4"/>
        <v>0.25240000000000001</v>
      </c>
      <c r="C36" s="245">
        <f t="shared" si="5"/>
        <v>166.25570928977857</v>
      </c>
      <c r="D36" s="246"/>
      <c r="E36" s="245">
        <f t="shared" si="6"/>
        <v>166.25570928977857</v>
      </c>
      <c r="F36" s="245">
        <f t="shared" si="1"/>
        <v>3.4248752101416957</v>
      </c>
      <c r="G36" s="245">
        <f t="shared" si="2"/>
        <v>162.83083407963687</v>
      </c>
      <c r="H36" s="245">
        <f t="shared" si="3"/>
        <v>0</v>
      </c>
    </row>
    <row r="37" spans="1:8" x14ac:dyDescent="0.2">
      <c r="A37" s="232" t="str">
        <f t="shared" si="0"/>
        <v/>
      </c>
      <c r="B37" s="244" t="str">
        <f t="shared" si="4"/>
        <v/>
      </c>
      <c r="C37" s="245" t="str">
        <f t="shared" si="5"/>
        <v/>
      </c>
      <c r="D37" s="246"/>
      <c r="E37" s="245" t="str">
        <f t="shared" si="6"/>
        <v/>
      </c>
      <c r="F37" s="245" t="str">
        <f t="shared" si="1"/>
        <v/>
      </c>
      <c r="G37" s="245" t="str">
        <f t="shared" si="2"/>
        <v/>
      </c>
      <c r="H37" s="245" t="str">
        <f t="shared" si="3"/>
        <v/>
      </c>
    </row>
    <row r="38" spans="1:8" x14ac:dyDescent="0.2">
      <c r="A38" s="232" t="str">
        <f t="shared" si="0"/>
        <v/>
      </c>
      <c r="B38" s="244" t="str">
        <f t="shared" si="4"/>
        <v/>
      </c>
      <c r="C38" s="245" t="str">
        <f t="shared" si="5"/>
        <v/>
      </c>
      <c r="D38" s="246"/>
      <c r="E38" s="245" t="str">
        <f t="shared" si="6"/>
        <v/>
      </c>
      <c r="F38" s="245" t="str">
        <f t="shared" si="1"/>
        <v/>
      </c>
      <c r="G38" s="245" t="str">
        <f t="shared" si="2"/>
        <v/>
      </c>
      <c r="H38" s="245" t="str">
        <f t="shared" si="3"/>
        <v/>
      </c>
    </row>
    <row r="39" spans="1:8" x14ac:dyDescent="0.2">
      <c r="A39" s="232" t="str">
        <f t="shared" si="0"/>
        <v/>
      </c>
      <c r="B39" s="244" t="str">
        <f t="shared" si="4"/>
        <v/>
      </c>
      <c r="C39" s="245" t="str">
        <f t="shared" si="5"/>
        <v/>
      </c>
      <c r="D39" s="246"/>
      <c r="E39" s="245" t="str">
        <f t="shared" si="6"/>
        <v/>
      </c>
      <c r="F39" s="245" t="str">
        <f t="shared" si="1"/>
        <v/>
      </c>
      <c r="G39" s="245" t="str">
        <f t="shared" si="2"/>
        <v/>
      </c>
      <c r="H39" s="245" t="str">
        <f t="shared" si="3"/>
        <v/>
      </c>
    </row>
    <row r="40" spans="1:8" x14ac:dyDescent="0.2">
      <c r="A40" s="232" t="str">
        <f t="shared" si="0"/>
        <v/>
      </c>
      <c r="B40" s="244" t="str">
        <f t="shared" si="4"/>
        <v/>
      </c>
      <c r="C40" s="245" t="str">
        <f t="shared" si="5"/>
        <v/>
      </c>
      <c r="D40" s="246"/>
      <c r="E40" s="245" t="str">
        <f t="shared" si="6"/>
        <v/>
      </c>
      <c r="F40" s="245" t="str">
        <f t="shared" si="1"/>
        <v/>
      </c>
      <c r="G40" s="245" t="str">
        <f t="shared" si="2"/>
        <v/>
      </c>
      <c r="H40" s="245" t="str">
        <f t="shared" si="3"/>
        <v/>
      </c>
    </row>
    <row r="41" spans="1:8" x14ac:dyDescent="0.2">
      <c r="A41" s="232" t="str">
        <f t="shared" si="0"/>
        <v/>
      </c>
      <c r="B41" s="244" t="str">
        <f t="shared" si="4"/>
        <v/>
      </c>
      <c r="C41" s="245" t="str">
        <f t="shared" si="5"/>
        <v/>
      </c>
      <c r="D41" s="246"/>
      <c r="E41" s="245" t="str">
        <f t="shared" si="6"/>
        <v/>
      </c>
      <c r="F41" s="245" t="str">
        <f t="shared" si="1"/>
        <v/>
      </c>
      <c r="G41" s="245" t="str">
        <f t="shared" si="2"/>
        <v/>
      </c>
      <c r="H41" s="245" t="str">
        <f t="shared" si="3"/>
        <v/>
      </c>
    </row>
    <row r="42" spans="1:8" x14ac:dyDescent="0.2">
      <c r="A42" s="232" t="str">
        <f t="shared" si="0"/>
        <v/>
      </c>
      <c r="B42" s="244" t="str">
        <f t="shared" si="4"/>
        <v/>
      </c>
      <c r="C42" s="245" t="str">
        <f t="shared" si="5"/>
        <v/>
      </c>
      <c r="D42" s="246"/>
      <c r="E42" s="245" t="str">
        <f t="shared" si="6"/>
        <v/>
      </c>
      <c r="F42" s="245" t="str">
        <f t="shared" si="1"/>
        <v/>
      </c>
      <c r="G42" s="245" t="str">
        <f t="shared" si="2"/>
        <v/>
      </c>
      <c r="H42" s="245" t="str">
        <f t="shared" si="3"/>
        <v/>
      </c>
    </row>
    <row r="43" spans="1:8" x14ac:dyDescent="0.2">
      <c r="A43" s="232" t="str">
        <f t="shared" si="0"/>
        <v/>
      </c>
      <c r="B43" s="244" t="str">
        <f t="shared" si="4"/>
        <v/>
      </c>
      <c r="C43" s="245" t="str">
        <f t="shared" si="5"/>
        <v/>
      </c>
      <c r="D43" s="246"/>
      <c r="E43" s="245" t="str">
        <f t="shared" si="6"/>
        <v/>
      </c>
      <c r="F43" s="245" t="str">
        <f t="shared" si="1"/>
        <v/>
      </c>
      <c r="G43" s="245" t="str">
        <f t="shared" si="2"/>
        <v/>
      </c>
      <c r="H43" s="245" t="str">
        <f t="shared" si="3"/>
        <v/>
      </c>
    </row>
    <row r="44" spans="1:8" x14ac:dyDescent="0.2">
      <c r="A44" s="232" t="str">
        <f t="shared" si="0"/>
        <v/>
      </c>
      <c r="B44" s="244" t="str">
        <f t="shared" si="4"/>
        <v/>
      </c>
      <c r="C44" s="245" t="str">
        <f t="shared" si="5"/>
        <v/>
      </c>
      <c r="D44" s="246"/>
      <c r="E44" s="245" t="str">
        <f t="shared" si="6"/>
        <v/>
      </c>
      <c r="F44" s="245" t="str">
        <f t="shared" si="1"/>
        <v/>
      </c>
      <c r="G44" s="245" t="str">
        <f t="shared" si="2"/>
        <v/>
      </c>
      <c r="H44" s="245" t="str">
        <f t="shared" si="3"/>
        <v/>
      </c>
    </row>
    <row r="45" spans="1:8" x14ac:dyDescent="0.2">
      <c r="A45" s="232" t="str">
        <f t="shared" si="0"/>
        <v/>
      </c>
      <c r="B45" s="244" t="str">
        <f t="shared" si="4"/>
        <v/>
      </c>
      <c r="C45" s="245" t="str">
        <f t="shared" si="5"/>
        <v/>
      </c>
      <c r="D45" s="246"/>
      <c r="E45" s="245" t="str">
        <f t="shared" si="6"/>
        <v/>
      </c>
      <c r="F45" s="245" t="str">
        <f t="shared" si="1"/>
        <v/>
      </c>
      <c r="G45" s="245" t="str">
        <f t="shared" si="2"/>
        <v/>
      </c>
      <c r="H45" s="245" t="str">
        <f t="shared" si="3"/>
        <v/>
      </c>
    </row>
    <row r="46" spans="1:8" x14ac:dyDescent="0.2">
      <c r="A46" s="232" t="str">
        <f t="shared" si="0"/>
        <v/>
      </c>
      <c r="B46" s="244" t="str">
        <f t="shared" si="4"/>
        <v/>
      </c>
      <c r="C46" s="245" t="str">
        <f t="shared" si="5"/>
        <v/>
      </c>
      <c r="D46" s="246"/>
      <c r="E46" s="245" t="str">
        <f t="shared" si="6"/>
        <v/>
      </c>
      <c r="F46" s="245" t="str">
        <f t="shared" si="1"/>
        <v/>
      </c>
      <c r="G46" s="245" t="str">
        <f t="shared" si="2"/>
        <v/>
      </c>
      <c r="H46" s="245" t="str">
        <f t="shared" si="3"/>
        <v/>
      </c>
    </row>
    <row r="47" spans="1:8" x14ac:dyDescent="0.2">
      <c r="A47" s="232" t="str">
        <f t="shared" si="0"/>
        <v/>
      </c>
      <c r="B47" s="244" t="str">
        <f t="shared" si="4"/>
        <v/>
      </c>
      <c r="C47" s="245" t="str">
        <f t="shared" si="5"/>
        <v/>
      </c>
      <c r="D47" s="246"/>
      <c r="E47" s="245" t="str">
        <f t="shared" si="6"/>
        <v/>
      </c>
      <c r="F47" s="245" t="str">
        <f t="shared" si="1"/>
        <v/>
      </c>
      <c r="G47" s="245" t="str">
        <f t="shared" si="2"/>
        <v/>
      </c>
      <c r="H47" s="245" t="str">
        <f t="shared" si="3"/>
        <v/>
      </c>
    </row>
    <row r="48" spans="1:8" x14ac:dyDescent="0.2">
      <c r="A48" s="232" t="str">
        <f t="shared" si="0"/>
        <v/>
      </c>
      <c r="B48" s="244" t="str">
        <f t="shared" si="4"/>
        <v/>
      </c>
      <c r="C48" s="245" t="str">
        <f t="shared" si="5"/>
        <v/>
      </c>
      <c r="D48" s="246"/>
      <c r="E48" s="245" t="str">
        <f t="shared" si="6"/>
        <v/>
      </c>
      <c r="F48" s="245" t="str">
        <f t="shared" si="1"/>
        <v/>
      </c>
      <c r="G48" s="245" t="str">
        <f t="shared" si="2"/>
        <v/>
      </c>
      <c r="H48" s="245" t="str">
        <f t="shared" si="3"/>
        <v/>
      </c>
    </row>
    <row r="49" spans="1:8" x14ac:dyDescent="0.2">
      <c r="A49" s="232" t="str">
        <f t="shared" si="0"/>
        <v/>
      </c>
      <c r="B49" s="244" t="str">
        <f t="shared" si="4"/>
        <v/>
      </c>
      <c r="C49" s="245" t="str">
        <f t="shared" si="5"/>
        <v/>
      </c>
      <c r="D49" s="246"/>
      <c r="E49" s="245" t="str">
        <f t="shared" si="6"/>
        <v/>
      </c>
      <c r="F49" s="245" t="str">
        <f t="shared" si="1"/>
        <v/>
      </c>
      <c r="G49" s="245" t="str">
        <f t="shared" si="2"/>
        <v/>
      </c>
      <c r="H49" s="245" t="str">
        <f t="shared" si="3"/>
        <v/>
      </c>
    </row>
    <row r="50" spans="1:8" x14ac:dyDescent="0.2">
      <c r="A50" s="232" t="str">
        <f t="shared" si="0"/>
        <v/>
      </c>
      <c r="B50" s="244" t="str">
        <f t="shared" si="4"/>
        <v/>
      </c>
      <c r="C50" s="245" t="str">
        <f t="shared" si="5"/>
        <v/>
      </c>
      <c r="D50" s="246"/>
      <c r="E50" s="245" t="str">
        <f t="shared" si="6"/>
        <v/>
      </c>
      <c r="F50" s="245" t="str">
        <f t="shared" si="1"/>
        <v/>
      </c>
      <c r="G50" s="245" t="str">
        <f t="shared" si="2"/>
        <v/>
      </c>
      <c r="H50" s="245" t="str">
        <f t="shared" si="3"/>
        <v/>
      </c>
    </row>
    <row r="51" spans="1:8" x14ac:dyDescent="0.2">
      <c r="A51" s="232" t="str">
        <f t="shared" si="0"/>
        <v/>
      </c>
      <c r="B51" s="244" t="str">
        <f t="shared" si="4"/>
        <v/>
      </c>
      <c r="C51" s="245" t="str">
        <f t="shared" si="5"/>
        <v/>
      </c>
      <c r="D51" s="246"/>
      <c r="E51" s="245" t="str">
        <f t="shared" si="6"/>
        <v/>
      </c>
      <c r="F51" s="245" t="str">
        <f t="shared" si="1"/>
        <v/>
      </c>
      <c r="G51" s="245" t="str">
        <f t="shared" si="2"/>
        <v/>
      </c>
      <c r="H51" s="245" t="str">
        <f t="shared" si="3"/>
        <v/>
      </c>
    </row>
    <row r="52" spans="1:8" x14ac:dyDescent="0.2">
      <c r="A52" s="232" t="str">
        <f t="shared" si="0"/>
        <v/>
      </c>
      <c r="B52" s="244" t="str">
        <f t="shared" si="4"/>
        <v/>
      </c>
      <c r="C52" s="245" t="str">
        <f t="shared" si="5"/>
        <v/>
      </c>
      <c r="D52" s="246"/>
      <c r="E52" s="245" t="str">
        <f t="shared" si="6"/>
        <v/>
      </c>
      <c r="F52" s="245" t="str">
        <f t="shared" si="1"/>
        <v/>
      </c>
      <c r="G52" s="245" t="str">
        <f t="shared" si="2"/>
        <v/>
      </c>
      <c r="H52" s="245" t="str">
        <f t="shared" si="3"/>
        <v/>
      </c>
    </row>
    <row r="53" spans="1:8" x14ac:dyDescent="0.2">
      <c r="A53" s="232" t="str">
        <f t="shared" si="0"/>
        <v/>
      </c>
      <c r="B53" s="244" t="str">
        <f t="shared" si="4"/>
        <v/>
      </c>
      <c r="C53" s="245" t="str">
        <f t="shared" si="5"/>
        <v/>
      </c>
      <c r="D53" s="246"/>
      <c r="E53" s="245" t="str">
        <f t="shared" si="6"/>
        <v/>
      </c>
      <c r="F53" s="245" t="str">
        <f t="shared" si="1"/>
        <v/>
      </c>
      <c r="G53" s="245" t="str">
        <f t="shared" si="2"/>
        <v/>
      </c>
      <c r="H53" s="245" t="str">
        <f t="shared" si="3"/>
        <v/>
      </c>
    </row>
    <row r="54" spans="1:8" x14ac:dyDescent="0.2">
      <c r="A54" s="232" t="str">
        <f t="shared" si="0"/>
        <v/>
      </c>
      <c r="B54" s="244" t="str">
        <f t="shared" si="4"/>
        <v/>
      </c>
      <c r="C54" s="245" t="str">
        <f t="shared" si="5"/>
        <v/>
      </c>
      <c r="D54" s="246"/>
      <c r="E54" s="245" t="str">
        <f t="shared" si="6"/>
        <v/>
      </c>
      <c r="F54" s="245" t="str">
        <f t="shared" si="1"/>
        <v/>
      </c>
      <c r="G54" s="245" t="str">
        <f t="shared" si="2"/>
        <v/>
      </c>
      <c r="H54" s="245" t="str">
        <f t="shared" si="3"/>
        <v/>
      </c>
    </row>
    <row r="55" spans="1:8" x14ac:dyDescent="0.2">
      <c r="A55" s="232" t="str">
        <f t="shared" si="0"/>
        <v/>
      </c>
      <c r="B55" s="244" t="str">
        <f t="shared" si="4"/>
        <v/>
      </c>
      <c r="C55" s="245" t="str">
        <f t="shared" si="5"/>
        <v/>
      </c>
      <c r="D55" s="246"/>
      <c r="E55" s="245" t="str">
        <f t="shared" si="6"/>
        <v/>
      </c>
      <c r="F55" s="245" t="str">
        <f t="shared" si="1"/>
        <v/>
      </c>
      <c r="G55" s="245" t="str">
        <f t="shared" si="2"/>
        <v/>
      </c>
      <c r="H55" s="245" t="str">
        <f t="shared" si="3"/>
        <v/>
      </c>
    </row>
    <row r="56" spans="1:8" x14ac:dyDescent="0.2">
      <c r="A56" s="232" t="str">
        <f t="shared" si="0"/>
        <v/>
      </c>
      <c r="B56" s="244" t="str">
        <f t="shared" si="4"/>
        <v/>
      </c>
      <c r="C56" s="245" t="str">
        <f t="shared" si="5"/>
        <v/>
      </c>
      <c r="D56" s="246"/>
      <c r="E56" s="245" t="str">
        <f t="shared" si="6"/>
        <v/>
      </c>
      <c r="F56" s="245" t="str">
        <f t="shared" si="1"/>
        <v/>
      </c>
      <c r="G56" s="245" t="str">
        <f t="shared" si="2"/>
        <v/>
      </c>
      <c r="H56" s="245" t="str">
        <f t="shared" si="3"/>
        <v/>
      </c>
    </row>
    <row r="57" spans="1:8" x14ac:dyDescent="0.2">
      <c r="A57" s="232" t="str">
        <f t="shared" si="0"/>
        <v/>
      </c>
      <c r="B57" s="244" t="str">
        <f t="shared" si="4"/>
        <v/>
      </c>
      <c r="C57" s="245" t="str">
        <f t="shared" si="5"/>
        <v/>
      </c>
      <c r="D57" s="246"/>
      <c r="E57" s="245" t="str">
        <f t="shared" si="6"/>
        <v/>
      </c>
      <c r="F57" s="245" t="str">
        <f t="shared" si="1"/>
        <v/>
      </c>
      <c r="G57" s="245" t="str">
        <f t="shared" si="2"/>
        <v/>
      </c>
      <c r="H57" s="245" t="str">
        <f t="shared" si="3"/>
        <v/>
      </c>
    </row>
    <row r="58" spans="1:8" x14ac:dyDescent="0.2">
      <c r="A58" s="232" t="str">
        <f t="shared" si="0"/>
        <v/>
      </c>
      <c r="B58" s="244" t="str">
        <f t="shared" si="4"/>
        <v/>
      </c>
      <c r="C58" s="245" t="str">
        <f t="shared" si="5"/>
        <v/>
      </c>
      <c r="D58" s="246"/>
      <c r="E58" s="245" t="str">
        <f t="shared" si="6"/>
        <v/>
      </c>
      <c r="F58" s="245" t="str">
        <f t="shared" si="1"/>
        <v/>
      </c>
      <c r="G58" s="245" t="str">
        <f t="shared" si="2"/>
        <v/>
      </c>
      <c r="H58" s="245" t="str">
        <f t="shared" si="3"/>
        <v/>
      </c>
    </row>
    <row r="59" spans="1:8" x14ac:dyDescent="0.2">
      <c r="A59" s="232" t="str">
        <f t="shared" si="0"/>
        <v/>
      </c>
      <c r="B59" s="244" t="str">
        <f t="shared" si="4"/>
        <v/>
      </c>
      <c r="C59" s="245" t="str">
        <f t="shared" si="5"/>
        <v/>
      </c>
      <c r="D59" s="246"/>
      <c r="E59" s="245" t="str">
        <f t="shared" si="6"/>
        <v/>
      </c>
      <c r="F59" s="245" t="str">
        <f t="shared" si="1"/>
        <v/>
      </c>
      <c r="G59" s="245" t="str">
        <f t="shared" si="2"/>
        <v/>
      </c>
      <c r="H59" s="245" t="str">
        <f t="shared" si="3"/>
        <v/>
      </c>
    </row>
    <row r="60" spans="1:8" x14ac:dyDescent="0.2">
      <c r="A60" s="232" t="str">
        <f t="shared" si="0"/>
        <v/>
      </c>
      <c r="B60" s="244" t="str">
        <f t="shared" si="4"/>
        <v/>
      </c>
      <c r="C60" s="245" t="str">
        <f t="shared" si="5"/>
        <v/>
      </c>
      <c r="D60" s="246"/>
      <c r="E60" s="245" t="str">
        <f t="shared" si="6"/>
        <v/>
      </c>
      <c r="F60" s="245" t="str">
        <f t="shared" si="1"/>
        <v/>
      </c>
      <c r="G60" s="245" t="str">
        <f t="shared" si="2"/>
        <v/>
      </c>
      <c r="H60" s="245" t="str">
        <f t="shared" si="3"/>
        <v/>
      </c>
    </row>
    <row r="61" spans="1:8" x14ac:dyDescent="0.2">
      <c r="A61" s="232" t="str">
        <f t="shared" si="0"/>
        <v/>
      </c>
      <c r="B61" s="244" t="str">
        <f t="shared" si="4"/>
        <v/>
      </c>
      <c r="C61" s="245" t="str">
        <f t="shared" si="5"/>
        <v/>
      </c>
      <c r="D61" s="246"/>
      <c r="E61" s="245" t="str">
        <f t="shared" si="6"/>
        <v/>
      </c>
      <c r="F61" s="245" t="str">
        <f t="shared" si="1"/>
        <v/>
      </c>
      <c r="G61" s="245" t="str">
        <f t="shared" si="2"/>
        <v/>
      </c>
      <c r="H61" s="245" t="str">
        <f t="shared" si="3"/>
        <v/>
      </c>
    </row>
    <row r="62" spans="1:8" x14ac:dyDescent="0.2">
      <c r="A62" s="232" t="str">
        <f t="shared" si="0"/>
        <v/>
      </c>
      <c r="B62" s="244" t="str">
        <f t="shared" si="4"/>
        <v/>
      </c>
      <c r="C62" s="245" t="str">
        <f t="shared" si="5"/>
        <v/>
      </c>
      <c r="D62" s="246"/>
      <c r="E62" s="245" t="str">
        <f t="shared" si="6"/>
        <v/>
      </c>
      <c r="F62" s="245" t="str">
        <f t="shared" si="1"/>
        <v/>
      </c>
      <c r="G62" s="245" t="str">
        <f t="shared" si="2"/>
        <v/>
      </c>
      <c r="H62" s="245" t="str">
        <f t="shared" si="3"/>
        <v/>
      </c>
    </row>
    <row r="63" spans="1:8" x14ac:dyDescent="0.2">
      <c r="A63" s="232" t="str">
        <f t="shared" si="0"/>
        <v/>
      </c>
      <c r="B63" s="244" t="str">
        <f t="shared" si="4"/>
        <v/>
      </c>
      <c r="C63" s="245" t="str">
        <f t="shared" si="5"/>
        <v/>
      </c>
      <c r="D63" s="246"/>
      <c r="E63" s="245" t="str">
        <f t="shared" si="6"/>
        <v/>
      </c>
      <c r="F63" s="245" t="str">
        <f t="shared" si="1"/>
        <v/>
      </c>
      <c r="G63" s="245" t="str">
        <f t="shared" si="2"/>
        <v/>
      </c>
      <c r="H63" s="245" t="str">
        <f t="shared" si="3"/>
        <v/>
      </c>
    </row>
    <row r="64" spans="1:8" x14ac:dyDescent="0.2">
      <c r="A64" s="232" t="str">
        <f t="shared" si="0"/>
        <v/>
      </c>
      <c r="B64" s="244" t="str">
        <f t="shared" si="4"/>
        <v/>
      </c>
      <c r="C64" s="245" t="str">
        <f t="shared" si="5"/>
        <v/>
      </c>
      <c r="D64" s="246"/>
      <c r="E64" s="245" t="str">
        <f t="shared" si="6"/>
        <v/>
      </c>
      <c r="F64" s="245" t="str">
        <f t="shared" si="1"/>
        <v/>
      </c>
      <c r="G64" s="245" t="str">
        <f t="shared" si="2"/>
        <v/>
      </c>
      <c r="H64" s="245" t="str">
        <f t="shared" si="3"/>
        <v/>
      </c>
    </row>
    <row r="65" spans="1:8" x14ac:dyDescent="0.2">
      <c r="A65" s="232" t="str">
        <f t="shared" si="0"/>
        <v/>
      </c>
      <c r="B65" s="244" t="str">
        <f t="shared" si="4"/>
        <v/>
      </c>
      <c r="C65" s="245" t="str">
        <f t="shared" si="5"/>
        <v/>
      </c>
      <c r="D65" s="246"/>
      <c r="E65" s="245" t="str">
        <f t="shared" si="6"/>
        <v/>
      </c>
      <c r="F65" s="245" t="str">
        <f t="shared" si="1"/>
        <v/>
      </c>
      <c r="G65" s="245" t="str">
        <f t="shared" si="2"/>
        <v/>
      </c>
      <c r="H65" s="245" t="str">
        <f t="shared" si="3"/>
        <v/>
      </c>
    </row>
    <row r="66" spans="1:8" x14ac:dyDescent="0.2">
      <c r="A66" s="232" t="str">
        <f t="shared" si="0"/>
        <v/>
      </c>
      <c r="B66" s="244" t="str">
        <f t="shared" si="4"/>
        <v/>
      </c>
      <c r="C66" s="245" t="str">
        <f t="shared" si="5"/>
        <v/>
      </c>
      <c r="D66" s="246"/>
      <c r="E66" s="245" t="str">
        <f t="shared" si="6"/>
        <v/>
      </c>
      <c r="F66" s="245" t="str">
        <f t="shared" si="1"/>
        <v/>
      </c>
      <c r="G66" s="245" t="str">
        <f t="shared" si="2"/>
        <v/>
      </c>
      <c r="H66" s="245" t="str">
        <f t="shared" si="3"/>
        <v/>
      </c>
    </row>
    <row r="67" spans="1:8" x14ac:dyDescent="0.2">
      <c r="A67" s="232" t="str">
        <f t="shared" si="0"/>
        <v/>
      </c>
      <c r="B67" s="244" t="str">
        <f t="shared" si="4"/>
        <v/>
      </c>
      <c r="C67" s="245" t="str">
        <f t="shared" si="5"/>
        <v/>
      </c>
      <c r="D67" s="246"/>
      <c r="E67" s="245" t="str">
        <f t="shared" si="6"/>
        <v/>
      </c>
      <c r="F67" s="245" t="str">
        <f t="shared" si="1"/>
        <v/>
      </c>
      <c r="G67" s="245" t="str">
        <f t="shared" si="2"/>
        <v/>
      </c>
      <c r="H67" s="245" t="str">
        <f t="shared" si="3"/>
        <v/>
      </c>
    </row>
    <row r="68" spans="1:8" x14ac:dyDescent="0.2">
      <c r="A68" s="232" t="str">
        <f t="shared" si="0"/>
        <v/>
      </c>
      <c r="B68" s="244" t="str">
        <f t="shared" si="4"/>
        <v/>
      </c>
      <c r="C68" s="245" t="str">
        <f t="shared" si="5"/>
        <v/>
      </c>
      <c r="D68" s="246"/>
      <c r="E68" s="245" t="str">
        <f t="shared" si="6"/>
        <v/>
      </c>
      <c r="F68" s="245" t="str">
        <f t="shared" si="1"/>
        <v/>
      </c>
      <c r="G68" s="245" t="str">
        <f t="shared" si="2"/>
        <v/>
      </c>
      <c r="H68" s="245" t="str">
        <f t="shared" si="3"/>
        <v/>
      </c>
    </row>
    <row r="69" spans="1:8" x14ac:dyDescent="0.2">
      <c r="A69" s="232" t="str">
        <f t="shared" si="0"/>
        <v/>
      </c>
      <c r="B69" s="244" t="str">
        <f t="shared" si="4"/>
        <v/>
      </c>
      <c r="C69" s="245" t="str">
        <f t="shared" si="5"/>
        <v/>
      </c>
      <c r="D69" s="246"/>
      <c r="E69" s="245" t="str">
        <f t="shared" si="6"/>
        <v/>
      </c>
      <c r="F69" s="245" t="str">
        <f t="shared" si="1"/>
        <v/>
      </c>
      <c r="G69" s="245" t="str">
        <f t="shared" si="2"/>
        <v/>
      </c>
      <c r="H69" s="245" t="str">
        <f t="shared" si="3"/>
        <v/>
      </c>
    </row>
    <row r="70" spans="1:8" x14ac:dyDescent="0.2">
      <c r="A70" s="232" t="str">
        <f t="shared" si="0"/>
        <v/>
      </c>
      <c r="B70" s="244" t="str">
        <f t="shared" si="4"/>
        <v/>
      </c>
      <c r="C70" s="245" t="str">
        <f t="shared" si="5"/>
        <v/>
      </c>
      <c r="D70" s="246"/>
      <c r="E70" s="245" t="str">
        <f t="shared" si="6"/>
        <v/>
      </c>
      <c r="F70" s="245" t="str">
        <f t="shared" si="1"/>
        <v/>
      </c>
      <c r="G70" s="245" t="str">
        <f t="shared" si="2"/>
        <v/>
      </c>
      <c r="H70" s="245" t="str">
        <f t="shared" si="3"/>
        <v/>
      </c>
    </row>
    <row r="71" spans="1:8" x14ac:dyDescent="0.2">
      <c r="A71" s="232" t="str">
        <f t="shared" si="0"/>
        <v/>
      </c>
      <c r="B71" s="244" t="str">
        <f t="shared" si="4"/>
        <v/>
      </c>
      <c r="C71" s="245" t="str">
        <f t="shared" si="5"/>
        <v/>
      </c>
      <c r="D71" s="246"/>
      <c r="E71" s="245" t="str">
        <f t="shared" si="6"/>
        <v/>
      </c>
      <c r="F71" s="245" t="str">
        <f t="shared" si="1"/>
        <v/>
      </c>
      <c r="G71" s="245" t="str">
        <f t="shared" si="2"/>
        <v/>
      </c>
      <c r="H71" s="245" t="str">
        <f t="shared" si="3"/>
        <v/>
      </c>
    </row>
    <row r="72" spans="1:8" x14ac:dyDescent="0.2">
      <c r="A72" s="232" t="str">
        <f t="shared" si="0"/>
        <v/>
      </c>
      <c r="B72" s="244" t="str">
        <f t="shared" si="4"/>
        <v/>
      </c>
      <c r="C72" s="245" t="str">
        <f t="shared" si="5"/>
        <v/>
      </c>
      <c r="D72" s="246"/>
      <c r="E72" s="245" t="str">
        <f t="shared" si="6"/>
        <v/>
      </c>
      <c r="F72" s="245" t="str">
        <f t="shared" si="1"/>
        <v/>
      </c>
      <c r="G72" s="245" t="str">
        <f t="shared" si="2"/>
        <v/>
      </c>
      <c r="H72" s="245" t="str">
        <f t="shared" si="3"/>
        <v/>
      </c>
    </row>
    <row r="73" spans="1:8" x14ac:dyDescent="0.2">
      <c r="A73" s="232" t="str">
        <f t="shared" si="0"/>
        <v/>
      </c>
      <c r="B73" s="244" t="str">
        <f t="shared" si="4"/>
        <v/>
      </c>
      <c r="C73" s="245" t="str">
        <f t="shared" si="5"/>
        <v/>
      </c>
      <c r="D73" s="246"/>
      <c r="E73" s="245" t="str">
        <f t="shared" si="6"/>
        <v/>
      </c>
      <c r="F73" s="245" t="str">
        <f t="shared" si="1"/>
        <v/>
      </c>
      <c r="G73" s="245" t="str">
        <f t="shared" si="2"/>
        <v/>
      </c>
      <c r="H73" s="245" t="str">
        <f t="shared" si="3"/>
        <v/>
      </c>
    </row>
    <row r="74" spans="1:8" x14ac:dyDescent="0.2">
      <c r="A74" s="232" t="str">
        <f t="shared" si="0"/>
        <v/>
      </c>
      <c r="B74" s="244" t="str">
        <f t="shared" si="4"/>
        <v/>
      </c>
      <c r="C74" s="245" t="str">
        <f t="shared" si="5"/>
        <v/>
      </c>
      <c r="D74" s="246"/>
      <c r="E74" s="245" t="str">
        <f t="shared" si="6"/>
        <v/>
      </c>
      <c r="F74" s="245" t="str">
        <f t="shared" si="1"/>
        <v/>
      </c>
      <c r="G74" s="245" t="str">
        <f t="shared" si="2"/>
        <v/>
      </c>
      <c r="H74" s="245" t="str">
        <f t="shared" si="3"/>
        <v/>
      </c>
    </row>
    <row r="75" spans="1:8" x14ac:dyDescent="0.2">
      <c r="A75" s="232" t="str">
        <f t="shared" si="0"/>
        <v/>
      </c>
      <c r="B75" s="244" t="str">
        <f t="shared" si="4"/>
        <v/>
      </c>
      <c r="C75" s="245" t="str">
        <f t="shared" si="5"/>
        <v/>
      </c>
      <c r="D75" s="246"/>
      <c r="E75" s="245" t="str">
        <f t="shared" si="6"/>
        <v/>
      </c>
      <c r="F75" s="245" t="str">
        <f t="shared" si="1"/>
        <v/>
      </c>
      <c r="G75" s="245" t="str">
        <f t="shared" si="2"/>
        <v/>
      </c>
      <c r="H75" s="245" t="str">
        <f t="shared" si="3"/>
        <v/>
      </c>
    </row>
    <row r="76" spans="1:8" x14ac:dyDescent="0.2">
      <c r="A76" s="232" t="str">
        <f t="shared" si="0"/>
        <v/>
      </c>
      <c r="B76" s="244" t="str">
        <f t="shared" si="4"/>
        <v/>
      </c>
      <c r="C76" s="245" t="str">
        <f t="shared" si="5"/>
        <v/>
      </c>
      <c r="D76" s="246"/>
      <c r="E76" s="245" t="str">
        <f t="shared" si="6"/>
        <v/>
      </c>
      <c r="F76" s="245" t="str">
        <f t="shared" si="1"/>
        <v/>
      </c>
      <c r="G76" s="245" t="str">
        <f t="shared" si="2"/>
        <v/>
      </c>
      <c r="H76" s="245" t="str">
        <f t="shared" si="3"/>
        <v/>
      </c>
    </row>
    <row r="77" spans="1:8" x14ac:dyDescent="0.2">
      <c r="A77" s="232" t="str">
        <f t="shared" si="0"/>
        <v/>
      </c>
      <c r="B77" s="244" t="str">
        <f t="shared" si="4"/>
        <v/>
      </c>
      <c r="C77" s="245" t="str">
        <f t="shared" si="5"/>
        <v/>
      </c>
      <c r="D77" s="246"/>
      <c r="E77" s="245" t="str">
        <f t="shared" si="6"/>
        <v/>
      </c>
      <c r="F77" s="245" t="str">
        <f t="shared" si="1"/>
        <v/>
      </c>
      <c r="G77" s="245" t="str">
        <f t="shared" si="2"/>
        <v/>
      </c>
      <c r="H77" s="245" t="str">
        <f t="shared" si="3"/>
        <v/>
      </c>
    </row>
    <row r="78" spans="1:8" x14ac:dyDescent="0.2">
      <c r="A78" s="232" t="str">
        <f t="shared" si="0"/>
        <v/>
      </c>
      <c r="B78" s="244" t="str">
        <f t="shared" si="4"/>
        <v/>
      </c>
      <c r="C78" s="245" t="str">
        <f t="shared" si="5"/>
        <v/>
      </c>
      <c r="D78" s="246"/>
      <c r="E78" s="245" t="str">
        <f t="shared" si="6"/>
        <v/>
      </c>
      <c r="F78" s="245" t="str">
        <f t="shared" si="1"/>
        <v/>
      </c>
      <c r="G78" s="245" t="str">
        <f t="shared" si="2"/>
        <v/>
      </c>
      <c r="H78" s="245" t="str">
        <f t="shared" si="3"/>
        <v/>
      </c>
    </row>
    <row r="79" spans="1:8" x14ac:dyDescent="0.2">
      <c r="A79" s="232" t="str">
        <f t="shared" si="0"/>
        <v/>
      </c>
      <c r="B79" s="244" t="str">
        <f t="shared" si="4"/>
        <v/>
      </c>
      <c r="C79" s="245" t="str">
        <f t="shared" si="5"/>
        <v/>
      </c>
      <c r="D79" s="246"/>
      <c r="E79" s="245" t="str">
        <f t="shared" si="6"/>
        <v/>
      </c>
      <c r="F79" s="245" t="str">
        <f t="shared" si="1"/>
        <v/>
      </c>
      <c r="G79" s="245" t="str">
        <f t="shared" si="2"/>
        <v/>
      </c>
      <c r="H79" s="245" t="str">
        <f t="shared" si="3"/>
        <v/>
      </c>
    </row>
    <row r="80" spans="1:8" x14ac:dyDescent="0.2">
      <c r="A80" s="232" t="str">
        <f t="shared" si="0"/>
        <v/>
      </c>
      <c r="B80" s="244" t="str">
        <f t="shared" si="4"/>
        <v/>
      </c>
      <c r="C80" s="245" t="str">
        <f t="shared" si="5"/>
        <v/>
      </c>
      <c r="D80" s="246"/>
      <c r="E80" s="245" t="str">
        <f t="shared" si="6"/>
        <v/>
      </c>
      <c r="F80" s="245" t="str">
        <f t="shared" si="1"/>
        <v/>
      </c>
      <c r="G80" s="245" t="str">
        <f t="shared" si="2"/>
        <v/>
      </c>
      <c r="H80" s="245" t="str">
        <f t="shared" si="3"/>
        <v/>
      </c>
    </row>
    <row r="81" spans="1:8" x14ac:dyDescent="0.2">
      <c r="A81" s="232" t="str">
        <f t="shared" si="0"/>
        <v/>
      </c>
      <c r="B81" s="244" t="str">
        <f t="shared" si="4"/>
        <v/>
      </c>
      <c r="C81" s="245" t="str">
        <f t="shared" si="5"/>
        <v/>
      </c>
      <c r="D81" s="246"/>
      <c r="E81" s="245" t="str">
        <f t="shared" si="6"/>
        <v/>
      </c>
      <c r="F81" s="245" t="str">
        <f t="shared" si="1"/>
        <v/>
      </c>
      <c r="G81" s="245" t="str">
        <f t="shared" si="2"/>
        <v/>
      </c>
      <c r="H81" s="245" t="str">
        <f t="shared" si="3"/>
        <v/>
      </c>
    </row>
    <row r="82" spans="1:8" x14ac:dyDescent="0.2">
      <c r="A82" s="232" t="str">
        <f t="shared" si="0"/>
        <v/>
      </c>
      <c r="B82" s="244" t="str">
        <f t="shared" si="4"/>
        <v/>
      </c>
      <c r="C82" s="245" t="str">
        <f t="shared" si="5"/>
        <v/>
      </c>
      <c r="D82" s="246"/>
      <c r="E82" s="245" t="str">
        <f t="shared" si="6"/>
        <v/>
      </c>
      <c r="F82" s="245" t="str">
        <f t="shared" si="1"/>
        <v/>
      </c>
      <c r="G82" s="245" t="str">
        <f t="shared" si="2"/>
        <v/>
      </c>
      <c r="H82" s="245" t="str">
        <f t="shared" si="3"/>
        <v/>
      </c>
    </row>
    <row r="83" spans="1:8" x14ac:dyDescent="0.2">
      <c r="A83" s="232" t="str">
        <f t="shared" si="0"/>
        <v/>
      </c>
      <c r="B83" s="244" t="str">
        <f t="shared" si="4"/>
        <v/>
      </c>
      <c r="C83" s="245" t="str">
        <f t="shared" si="5"/>
        <v/>
      </c>
      <c r="D83" s="246"/>
      <c r="E83" s="245" t="str">
        <f t="shared" si="6"/>
        <v/>
      </c>
      <c r="F83" s="245" t="str">
        <f t="shared" si="1"/>
        <v/>
      </c>
      <c r="G83" s="245" t="str">
        <f t="shared" si="2"/>
        <v/>
      </c>
      <c r="H83" s="245" t="str">
        <f t="shared" si="3"/>
        <v/>
      </c>
    </row>
    <row r="84" spans="1:8" x14ac:dyDescent="0.2">
      <c r="A84" s="232" t="str">
        <f t="shared" si="0"/>
        <v/>
      </c>
      <c r="B84" s="244" t="str">
        <f t="shared" si="4"/>
        <v/>
      </c>
      <c r="C84" s="245" t="str">
        <f t="shared" si="5"/>
        <v/>
      </c>
      <c r="D84" s="246"/>
      <c r="E84" s="245" t="str">
        <f t="shared" si="6"/>
        <v/>
      </c>
      <c r="F84" s="245" t="str">
        <f t="shared" si="1"/>
        <v/>
      </c>
      <c r="G84" s="245" t="str">
        <f t="shared" si="2"/>
        <v/>
      </c>
      <c r="H84" s="245" t="str">
        <f t="shared" si="3"/>
        <v/>
      </c>
    </row>
    <row r="85" spans="1:8" x14ac:dyDescent="0.2">
      <c r="A85" s="232" t="str">
        <f t="shared" si="0"/>
        <v/>
      </c>
      <c r="B85" s="244" t="str">
        <f t="shared" si="4"/>
        <v/>
      </c>
      <c r="C85" s="245" t="str">
        <f t="shared" si="5"/>
        <v/>
      </c>
      <c r="D85" s="246"/>
      <c r="E85" s="245" t="str">
        <f t="shared" si="6"/>
        <v/>
      </c>
      <c r="F85" s="245" t="str">
        <f t="shared" si="1"/>
        <v/>
      </c>
      <c r="G85" s="245" t="str">
        <f t="shared" si="2"/>
        <v/>
      </c>
      <c r="H85" s="245" t="str">
        <f t="shared" si="3"/>
        <v/>
      </c>
    </row>
    <row r="86" spans="1:8" x14ac:dyDescent="0.2">
      <c r="A86" s="232" t="str">
        <f t="shared" si="0"/>
        <v/>
      </c>
      <c r="B86" s="244" t="str">
        <f t="shared" si="4"/>
        <v/>
      </c>
      <c r="C86" s="245" t="str">
        <f t="shared" si="5"/>
        <v/>
      </c>
      <c r="D86" s="246"/>
      <c r="E86" s="245" t="str">
        <f t="shared" si="6"/>
        <v/>
      </c>
      <c r="F86" s="245" t="str">
        <f t="shared" si="1"/>
        <v/>
      </c>
      <c r="G86" s="245" t="str">
        <f t="shared" si="2"/>
        <v/>
      </c>
      <c r="H86" s="245" t="str">
        <f t="shared" si="3"/>
        <v/>
      </c>
    </row>
    <row r="87" spans="1:8" x14ac:dyDescent="0.2">
      <c r="A87" s="232" t="str">
        <f t="shared" ref="A87:A150" si="7">IF(A86="","",IF(H86&gt;0,A86+1,""))</f>
        <v/>
      </c>
      <c r="B87" s="244" t="str">
        <f t="shared" si="4"/>
        <v/>
      </c>
      <c r="C87" s="245" t="str">
        <f t="shared" ref="C87:C150" si="8">IF(A87="","",IF(ISBLANK($E$10),MIN(MAX($E$7*H86+IF(plusinterest,F87,0),$E$9),F87+H86),MIN($E$10,H86+F87)))</f>
        <v/>
      </c>
      <c r="D87" s="246"/>
      <c r="E87" s="245" t="str">
        <f t="shared" si="6"/>
        <v/>
      </c>
      <c r="F87" s="245" t="str">
        <f t="shared" ref="F87:F150" si="9">IF(A87="","",B87/12*H86)</f>
        <v/>
      </c>
      <c r="G87" s="245" t="str">
        <f t="shared" ref="G87:G150" si="10">IF(A87="","",C87+D87-F87)</f>
        <v/>
      </c>
      <c r="H87" s="245" t="str">
        <f t="shared" ref="H87:H150" si="11">IF(A87="","",H86-G87)</f>
        <v/>
      </c>
    </row>
    <row r="88" spans="1:8" x14ac:dyDescent="0.2">
      <c r="A88" s="232" t="str">
        <f t="shared" si="7"/>
        <v/>
      </c>
      <c r="B88" s="244" t="str">
        <f t="shared" ref="B88:B151" si="12">IF(A88="","",IF(A88&lt;=$E$11,0,$E$6))</f>
        <v/>
      </c>
      <c r="C88" s="245" t="str">
        <f t="shared" si="8"/>
        <v/>
      </c>
      <c r="D88" s="246"/>
      <c r="E88" s="245" t="str">
        <f t="shared" ref="E88:E151" si="13">IF(A88="","",C88+D88)</f>
        <v/>
      </c>
      <c r="F88" s="245" t="str">
        <f t="shared" si="9"/>
        <v/>
      </c>
      <c r="G88" s="245" t="str">
        <f t="shared" si="10"/>
        <v/>
      </c>
      <c r="H88" s="245" t="str">
        <f t="shared" si="11"/>
        <v/>
      </c>
    </row>
    <row r="89" spans="1:8" x14ac:dyDescent="0.2">
      <c r="A89" s="232" t="str">
        <f t="shared" si="7"/>
        <v/>
      </c>
      <c r="B89" s="244" t="str">
        <f t="shared" si="12"/>
        <v/>
      </c>
      <c r="C89" s="245" t="str">
        <f t="shared" si="8"/>
        <v/>
      </c>
      <c r="D89" s="246"/>
      <c r="E89" s="245" t="str">
        <f t="shared" si="13"/>
        <v/>
      </c>
      <c r="F89" s="245" t="str">
        <f t="shared" si="9"/>
        <v/>
      </c>
      <c r="G89" s="245" t="str">
        <f t="shared" si="10"/>
        <v/>
      </c>
      <c r="H89" s="245" t="str">
        <f t="shared" si="11"/>
        <v/>
      </c>
    </row>
    <row r="90" spans="1:8" x14ac:dyDescent="0.2">
      <c r="A90" s="232" t="str">
        <f t="shared" si="7"/>
        <v/>
      </c>
      <c r="B90" s="244" t="str">
        <f t="shared" si="12"/>
        <v/>
      </c>
      <c r="C90" s="245" t="str">
        <f t="shared" si="8"/>
        <v/>
      </c>
      <c r="D90" s="246"/>
      <c r="E90" s="245" t="str">
        <f t="shared" si="13"/>
        <v/>
      </c>
      <c r="F90" s="245" t="str">
        <f t="shared" si="9"/>
        <v/>
      </c>
      <c r="G90" s="245" t="str">
        <f t="shared" si="10"/>
        <v/>
      </c>
      <c r="H90" s="245" t="str">
        <f t="shared" si="11"/>
        <v/>
      </c>
    </row>
    <row r="91" spans="1:8" x14ac:dyDescent="0.2">
      <c r="A91" s="232" t="str">
        <f t="shared" si="7"/>
        <v/>
      </c>
      <c r="B91" s="244" t="str">
        <f t="shared" si="12"/>
        <v/>
      </c>
      <c r="C91" s="245" t="str">
        <f t="shared" si="8"/>
        <v/>
      </c>
      <c r="D91" s="246"/>
      <c r="E91" s="245" t="str">
        <f t="shared" si="13"/>
        <v/>
      </c>
      <c r="F91" s="245" t="str">
        <f t="shared" si="9"/>
        <v/>
      </c>
      <c r="G91" s="245" t="str">
        <f t="shared" si="10"/>
        <v/>
      </c>
      <c r="H91" s="245" t="str">
        <f t="shared" si="11"/>
        <v/>
      </c>
    </row>
    <row r="92" spans="1:8" x14ac:dyDescent="0.2">
      <c r="A92" s="232" t="str">
        <f t="shared" si="7"/>
        <v/>
      </c>
      <c r="B92" s="244" t="str">
        <f t="shared" si="12"/>
        <v/>
      </c>
      <c r="C92" s="245" t="str">
        <f t="shared" si="8"/>
        <v/>
      </c>
      <c r="D92" s="246"/>
      <c r="E92" s="245" t="str">
        <f t="shared" si="13"/>
        <v/>
      </c>
      <c r="F92" s="245" t="str">
        <f t="shared" si="9"/>
        <v/>
      </c>
      <c r="G92" s="245" t="str">
        <f t="shared" si="10"/>
        <v/>
      </c>
      <c r="H92" s="245" t="str">
        <f t="shared" si="11"/>
        <v/>
      </c>
    </row>
    <row r="93" spans="1:8" x14ac:dyDescent="0.2">
      <c r="A93" s="232" t="str">
        <f t="shared" si="7"/>
        <v/>
      </c>
      <c r="B93" s="244" t="str">
        <f t="shared" si="12"/>
        <v/>
      </c>
      <c r="C93" s="245" t="str">
        <f t="shared" si="8"/>
        <v/>
      </c>
      <c r="D93" s="246"/>
      <c r="E93" s="245" t="str">
        <f t="shared" si="13"/>
        <v/>
      </c>
      <c r="F93" s="245" t="str">
        <f t="shared" si="9"/>
        <v/>
      </c>
      <c r="G93" s="245" t="str">
        <f t="shared" si="10"/>
        <v/>
      </c>
      <c r="H93" s="245" t="str">
        <f t="shared" si="11"/>
        <v/>
      </c>
    </row>
    <row r="94" spans="1:8" x14ac:dyDescent="0.2">
      <c r="A94" s="232" t="str">
        <f t="shared" si="7"/>
        <v/>
      </c>
      <c r="B94" s="244" t="str">
        <f t="shared" si="12"/>
        <v/>
      </c>
      <c r="C94" s="245" t="str">
        <f t="shared" si="8"/>
        <v/>
      </c>
      <c r="D94" s="246"/>
      <c r="E94" s="245" t="str">
        <f t="shared" si="13"/>
        <v/>
      </c>
      <c r="F94" s="245" t="str">
        <f t="shared" si="9"/>
        <v/>
      </c>
      <c r="G94" s="245" t="str">
        <f t="shared" si="10"/>
        <v/>
      </c>
      <c r="H94" s="245" t="str">
        <f t="shared" si="11"/>
        <v/>
      </c>
    </row>
    <row r="95" spans="1:8" x14ac:dyDescent="0.2">
      <c r="A95" s="232" t="str">
        <f t="shared" si="7"/>
        <v/>
      </c>
      <c r="B95" s="244" t="str">
        <f t="shared" si="12"/>
        <v/>
      </c>
      <c r="C95" s="245" t="str">
        <f t="shared" si="8"/>
        <v/>
      </c>
      <c r="D95" s="246"/>
      <c r="E95" s="245" t="str">
        <f t="shared" si="13"/>
        <v/>
      </c>
      <c r="F95" s="245" t="str">
        <f t="shared" si="9"/>
        <v/>
      </c>
      <c r="G95" s="245" t="str">
        <f t="shared" si="10"/>
        <v/>
      </c>
      <c r="H95" s="245" t="str">
        <f t="shared" si="11"/>
        <v/>
      </c>
    </row>
    <row r="96" spans="1:8" x14ac:dyDescent="0.2">
      <c r="A96" s="232" t="str">
        <f t="shared" si="7"/>
        <v/>
      </c>
      <c r="B96" s="244" t="str">
        <f t="shared" si="12"/>
        <v/>
      </c>
      <c r="C96" s="245" t="str">
        <f t="shared" si="8"/>
        <v/>
      </c>
      <c r="D96" s="246"/>
      <c r="E96" s="245" t="str">
        <f t="shared" si="13"/>
        <v/>
      </c>
      <c r="F96" s="245" t="str">
        <f t="shared" si="9"/>
        <v/>
      </c>
      <c r="G96" s="245" t="str">
        <f t="shared" si="10"/>
        <v/>
      </c>
      <c r="H96" s="245" t="str">
        <f t="shared" si="11"/>
        <v/>
      </c>
    </row>
    <row r="97" spans="1:8" x14ac:dyDescent="0.2">
      <c r="A97" s="232" t="str">
        <f t="shared" si="7"/>
        <v/>
      </c>
      <c r="B97" s="244" t="str">
        <f t="shared" si="12"/>
        <v/>
      </c>
      <c r="C97" s="245" t="str">
        <f t="shared" si="8"/>
        <v/>
      </c>
      <c r="D97" s="246"/>
      <c r="E97" s="245" t="str">
        <f t="shared" si="13"/>
        <v/>
      </c>
      <c r="F97" s="245" t="str">
        <f t="shared" si="9"/>
        <v/>
      </c>
      <c r="G97" s="245" t="str">
        <f t="shared" si="10"/>
        <v/>
      </c>
      <c r="H97" s="245" t="str">
        <f t="shared" si="11"/>
        <v/>
      </c>
    </row>
    <row r="98" spans="1:8" x14ac:dyDescent="0.2">
      <c r="A98" s="232" t="str">
        <f t="shared" si="7"/>
        <v/>
      </c>
      <c r="B98" s="244" t="str">
        <f t="shared" si="12"/>
        <v/>
      </c>
      <c r="C98" s="245" t="str">
        <f t="shared" si="8"/>
        <v/>
      </c>
      <c r="D98" s="246"/>
      <c r="E98" s="245" t="str">
        <f t="shared" si="13"/>
        <v/>
      </c>
      <c r="F98" s="245" t="str">
        <f t="shared" si="9"/>
        <v/>
      </c>
      <c r="G98" s="245" t="str">
        <f t="shared" si="10"/>
        <v/>
      </c>
      <c r="H98" s="245" t="str">
        <f t="shared" si="11"/>
        <v/>
      </c>
    </row>
    <row r="99" spans="1:8" x14ac:dyDescent="0.2">
      <c r="A99" s="232" t="str">
        <f t="shared" si="7"/>
        <v/>
      </c>
      <c r="B99" s="244" t="str">
        <f t="shared" si="12"/>
        <v/>
      </c>
      <c r="C99" s="245" t="str">
        <f t="shared" si="8"/>
        <v/>
      </c>
      <c r="D99" s="246"/>
      <c r="E99" s="245" t="str">
        <f t="shared" si="13"/>
        <v/>
      </c>
      <c r="F99" s="245" t="str">
        <f t="shared" si="9"/>
        <v/>
      </c>
      <c r="G99" s="245" t="str">
        <f t="shared" si="10"/>
        <v/>
      </c>
      <c r="H99" s="245" t="str">
        <f t="shared" si="11"/>
        <v/>
      </c>
    </row>
    <row r="100" spans="1:8" x14ac:dyDescent="0.2">
      <c r="A100" s="232" t="str">
        <f t="shared" si="7"/>
        <v/>
      </c>
      <c r="B100" s="244" t="str">
        <f t="shared" si="12"/>
        <v/>
      </c>
      <c r="C100" s="245" t="str">
        <f t="shared" si="8"/>
        <v/>
      </c>
      <c r="D100" s="246"/>
      <c r="E100" s="245" t="str">
        <f t="shared" si="13"/>
        <v/>
      </c>
      <c r="F100" s="245" t="str">
        <f t="shared" si="9"/>
        <v/>
      </c>
      <c r="G100" s="245" t="str">
        <f t="shared" si="10"/>
        <v/>
      </c>
      <c r="H100" s="245" t="str">
        <f t="shared" si="11"/>
        <v/>
      </c>
    </row>
    <row r="101" spans="1:8" x14ac:dyDescent="0.2">
      <c r="A101" s="232" t="str">
        <f t="shared" si="7"/>
        <v/>
      </c>
      <c r="B101" s="244" t="str">
        <f t="shared" si="12"/>
        <v/>
      </c>
      <c r="C101" s="245" t="str">
        <f t="shared" si="8"/>
        <v/>
      </c>
      <c r="D101" s="246"/>
      <c r="E101" s="245" t="str">
        <f t="shared" si="13"/>
        <v/>
      </c>
      <c r="F101" s="245" t="str">
        <f t="shared" si="9"/>
        <v/>
      </c>
      <c r="G101" s="245" t="str">
        <f t="shared" si="10"/>
        <v/>
      </c>
      <c r="H101" s="245" t="str">
        <f t="shared" si="11"/>
        <v/>
      </c>
    </row>
    <row r="102" spans="1:8" x14ac:dyDescent="0.2">
      <c r="A102" s="232" t="str">
        <f t="shared" si="7"/>
        <v/>
      </c>
      <c r="B102" s="244" t="str">
        <f t="shared" si="12"/>
        <v/>
      </c>
      <c r="C102" s="245" t="str">
        <f t="shared" si="8"/>
        <v/>
      </c>
      <c r="D102" s="246"/>
      <c r="E102" s="245" t="str">
        <f t="shared" si="13"/>
        <v/>
      </c>
      <c r="F102" s="245" t="str">
        <f t="shared" si="9"/>
        <v/>
      </c>
      <c r="G102" s="245" t="str">
        <f t="shared" si="10"/>
        <v/>
      </c>
      <c r="H102" s="245" t="str">
        <f t="shared" si="11"/>
        <v/>
      </c>
    </row>
    <row r="103" spans="1:8" x14ac:dyDescent="0.2">
      <c r="A103" s="232" t="str">
        <f t="shared" si="7"/>
        <v/>
      </c>
      <c r="B103" s="244" t="str">
        <f t="shared" si="12"/>
        <v/>
      </c>
      <c r="C103" s="245" t="str">
        <f t="shared" si="8"/>
        <v/>
      </c>
      <c r="D103" s="246"/>
      <c r="E103" s="245" t="str">
        <f t="shared" si="13"/>
        <v/>
      </c>
      <c r="F103" s="245" t="str">
        <f t="shared" si="9"/>
        <v/>
      </c>
      <c r="G103" s="245" t="str">
        <f t="shared" si="10"/>
        <v/>
      </c>
      <c r="H103" s="245" t="str">
        <f t="shared" si="11"/>
        <v/>
      </c>
    </row>
    <row r="104" spans="1:8" x14ac:dyDescent="0.2">
      <c r="A104" s="232" t="str">
        <f t="shared" si="7"/>
        <v/>
      </c>
      <c r="B104" s="244" t="str">
        <f t="shared" si="12"/>
        <v/>
      </c>
      <c r="C104" s="245" t="str">
        <f t="shared" si="8"/>
        <v/>
      </c>
      <c r="D104" s="246"/>
      <c r="E104" s="245" t="str">
        <f t="shared" si="13"/>
        <v/>
      </c>
      <c r="F104" s="245" t="str">
        <f t="shared" si="9"/>
        <v/>
      </c>
      <c r="G104" s="245" t="str">
        <f t="shared" si="10"/>
        <v/>
      </c>
      <c r="H104" s="245" t="str">
        <f t="shared" si="11"/>
        <v/>
      </c>
    </row>
    <row r="105" spans="1:8" x14ac:dyDescent="0.2">
      <c r="A105" s="232" t="str">
        <f t="shared" si="7"/>
        <v/>
      </c>
      <c r="B105" s="244" t="str">
        <f t="shared" si="12"/>
        <v/>
      </c>
      <c r="C105" s="245" t="str">
        <f t="shared" si="8"/>
        <v/>
      </c>
      <c r="D105" s="246"/>
      <c r="E105" s="245" t="str">
        <f t="shared" si="13"/>
        <v/>
      </c>
      <c r="F105" s="245" t="str">
        <f t="shared" si="9"/>
        <v/>
      </c>
      <c r="G105" s="245" t="str">
        <f t="shared" si="10"/>
        <v/>
      </c>
      <c r="H105" s="245" t="str">
        <f t="shared" si="11"/>
        <v/>
      </c>
    </row>
    <row r="106" spans="1:8" x14ac:dyDescent="0.2">
      <c r="A106" s="232" t="str">
        <f t="shared" si="7"/>
        <v/>
      </c>
      <c r="B106" s="244" t="str">
        <f t="shared" si="12"/>
        <v/>
      </c>
      <c r="C106" s="245" t="str">
        <f t="shared" si="8"/>
        <v/>
      </c>
      <c r="D106" s="246"/>
      <c r="E106" s="245" t="str">
        <f t="shared" si="13"/>
        <v/>
      </c>
      <c r="F106" s="245" t="str">
        <f t="shared" si="9"/>
        <v/>
      </c>
      <c r="G106" s="245" t="str">
        <f t="shared" si="10"/>
        <v/>
      </c>
      <c r="H106" s="245" t="str">
        <f t="shared" si="11"/>
        <v/>
      </c>
    </row>
    <row r="107" spans="1:8" x14ac:dyDescent="0.2">
      <c r="A107" s="232" t="str">
        <f t="shared" si="7"/>
        <v/>
      </c>
      <c r="B107" s="244" t="str">
        <f t="shared" si="12"/>
        <v/>
      </c>
      <c r="C107" s="245" t="str">
        <f t="shared" si="8"/>
        <v/>
      </c>
      <c r="D107" s="246"/>
      <c r="E107" s="245" t="str">
        <f t="shared" si="13"/>
        <v/>
      </c>
      <c r="F107" s="245" t="str">
        <f t="shared" si="9"/>
        <v/>
      </c>
      <c r="G107" s="245" t="str">
        <f t="shared" si="10"/>
        <v/>
      </c>
      <c r="H107" s="245" t="str">
        <f t="shared" si="11"/>
        <v/>
      </c>
    </row>
    <row r="108" spans="1:8" x14ac:dyDescent="0.2">
      <c r="A108" s="232" t="str">
        <f t="shared" si="7"/>
        <v/>
      </c>
      <c r="B108" s="244" t="str">
        <f t="shared" si="12"/>
        <v/>
      </c>
      <c r="C108" s="245" t="str">
        <f t="shared" si="8"/>
        <v/>
      </c>
      <c r="D108" s="246"/>
      <c r="E108" s="245" t="str">
        <f t="shared" si="13"/>
        <v/>
      </c>
      <c r="F108" s="245" t="str">
        <f t="shared" si="9"/>
        <v/>
      </c>
      <c r="G108" s="245" t="str">
        <f t="shared" si="10"/>
        <v/>
      </c>
      <c r="H108" s="245" t="str">
        <f t="shared" si="11"/>
        <v/>
      </c>
    </row>
    <row r="109" spans="1:8" x14ac:dyDescent="0.2">
      <c r="A109" s="232" t="str">
        <f t="shared" si="7"/>
        <v/>
      </c>
      <c r="B109" s="244" t="str">
        <f t="shared" si="12"/>
        <v/>
      </c>
      <c r="C109" s="245" t="str">
        <f t="shared" si="8"/>
        <v/>
      </c>
      <c r="D109" s="246"/>
      <c r="E109" s="245" t="str">
        <f t="shared" si="13"/>
        <v/>
      </c>
      <c r="F109" s="245" t="str">
        <f t="shared" si="9"/>
        <v/>
      </c>
      <c r="G109" s="245" t="str">
        <f t="shared" si="10"/>
        <v/>
      </c>
      <c r="H109" s="245" t="str">
        <f t="shared" si="11"/>
        <v/>
      </c>
    </row>
    <row r="110" spans="1:8" x14ac:dyDescent="0.2">
      <c r="A110" s="232" t="str">
        <f t="shared" si="7"/>
        <v/>
      </c>
      <c r="B110" s="244" t="str">
        <f t="shared" si="12"/>
        <v/>
      </c>
      <c r="C110" s="245" t="str">
        <f t="shared" si="8"/>
        <v/>
      </c>
      <c r="D110" s="246"/>
      <c r="E110" s="245" t="str">
        <f t="shared" si="13"/>
        <v/>
      </c>
      <c r="F110" s="245" t="str">
        <f t="shared" si="9"/>
        <v/>
      </c>
      <c r="G110" s="245" t="str">
        <f t="shared" si="10"/>
        <v/>
      </c>
      <c r="H110" s="245" t="str">
        <f t="shared" si="11"/>
        <v/>
      </c>
    </row>
    <row r="111" spans="1:8" x14ac:dyDescent="0.2">
      <c r="A111" s="232" t="str">
        <f t="shared" si="7"/>
        <v/>
      </c>
      <c r="B111" s="244" t="str">
        <f t="shared" si="12"/>
        <v/>
      </c>
      <c r="C111" s="245" t="str">
        <f t="shared" si="8"/>
        <v/>
      </c>
      <c r="D111" s="246"/>
      <c r="E111" s="245" t="str">
        <f t="shared" si="13"/>
        <v/>
      </c>
      <c r="F111" s="245" t="str">
        <f t="shared" si="9"/>
        <v/>
      </c>
      <c r="G111" s="245" t="str">
        <f t="shared" si="10"/>
        <v/>
      </c>
      <c r="H111" s="245" t="str">
        <f t="shared" si="11"/>
        <v/>
      </c>
    </row>
    <row r="112" spans="1:8" x14ac:dyDescent="0.2">
      <c r="A112" s="232" t="str">
        <f t="shared" si="7"/>
        <v/>
      </c>
      <c r="B112" s="244" t="str">
        <f t="shared" si="12"/>
        <v/>
      </c>
      <c r="C112" s="245" t="str">
        <f t="shared" si="8"/>
        <v/>
      </c>
      <c r="D112" s="246"/>
      <c r="E112" s="245" t="str">
        <f t="shared" si="13"/>
        <v/>
      </c>
      <c r="F112" s="245" t="str">
        <f t="shared" si="9"/>
        <v/>
      </c>
      <c r="G112" s="245" t="str">
        <f t="shared" si="10"/>
        <v/>
      </c>
      <c r="H112" s="245" t="str">
        <f t="shared" si="11"/>
        <v/>
      </c>
    </row>
    <row r="113" spans="1:8" x14ac:dyDescent="0.2">
      <c r="A113" s="232" t="str">
        <f t="shared" si="7"/>
        <v/>
      </c>
      <c r="B113" s="244" t="str">
        <f t="shared" si="12"/>
        <v/>
      </c>
      <c r="C113" s="245" t="str">
        <f t="shared" si="8"/>
        <v/>
      </c>
      <c r="D113" s="246"/>
      <c r="E113" s="245" t="str">
        <f t="shared" si="13"/>
        <v/>
      </c>
      <c r="F113" s="245" t="str">
        <f t="shared" si="9"/>
        <v/>
      </c>
      <c r="G113" s="245" t="str">
        <f t="shared" si="10"/>
        <v/>
      </c>
      <c r="H113" s="245" t="str">
        <f t="shared" si="11"/>
        <v/>
      </c>
    </row>
    <row r="114" spans="1:8" x14ac:dyDescent="0.2">
      <c r="A114" s="232" t="str">
        <f t="shared" si="7"/>
        <v/>
      </c>
      <c r="B114" s="244" t="str">
        <f t="shared" si="12"/>
        <v/>
      </c>
      <c r="C114" s="245" t="str">
        <f t="shared" si="8"/>
        <v/>
      </c>
      <c r="D114" s="246"/>
      <c r="E114" s="245" t="str">
        <f t="shared" si="13"/>
        <v/>
      </c>
      <c r="F114" s="245" t="str">
        <f t="shared" si="9"/>
        <v/>
      </c>
      <c r="G114" s="245" t="str">
        <f t="shared" si="10"/>
        <v/>
      </c>
      <c r="H114" s="245" t="str">
        <f t="shared" si="11"/>
        <v/>
      </c>
    </row>
    <row r="115" spans="1:8" x14ac:dyDescent="0.2">
      <c r="A115" s="232" t="str">
        <f t="shared" si="7"/>
        <v/>
      </c>
      <c r="B115" s="244" t="str">
        <f t="shared" si="12"/>
        <v/>
      </c>
      <c r="C115" s="245" t="str">
        <f t="shared" si="8"/>
        <v/>
      </c>
      <c r="D115" s="246"/>
      <c r="E115" s="245" t="str">
        <f t="shared" si="13"/>
        <v/>
      </c>
      <c r="F115" s="245" t="str">
        <f t="shared" si="9"/>
        <v/>
      </c>
      <c r="G115" s="245" t="str">
        <f t="shared" si="10"/>
        <v/>
      </c>
      <c r="H115" s="245" t="str">
        <f t="shared" si="11"/>
        <v/>
      </c>
    </row>
    <row r="116" spans="1:8" x14ac:dyDescent="0.2">
      <c r="A116" s="232" t="str">
        <f t="shared" si="7"/>
        <v/>
      </c>
      <c r="B116" s="244" t="str">
        <f t="shared" si="12"/>
        <v/>
      </c>
      <c r="C116" s="245" t="str">
        <f t="shared" si="8"/>
        <v/>
      </c>
      <c r="D116" s="246"/>
      <c r="E116" s="245" t="str">
        <f t="shared" si="13"/>
        <v/>
      </c>
      <c r="F116" s="245" t="str">
        <f t="shared" si="9"/>
        <v/>
      </c>
      <c r="G116" s="245" t="str">
        <f t="shared" si="10"/>
        <v/>
      </c>
      <c r="H116" s="245" t="str">
        <f t="shared" si="11"/>
        <v/>
      </c>
    </row>
    <row r="117" spans="1:8" x14ac:dyDescent="0.2">
      <c r="A117" s="232" t="str">
        <f t="shared" si="7"/>
        <v/>
      </c>
      <c r="B117" s="244" t="str">
        <f t="shared" si="12"/>
        <v/>
      </c>
      <c r="C117" s="245" t="str">
        <f t="shared" si="8"/>
        <v/>
      </c>
      <c r="D117" s="246"/>
      <c r="E117" s="245" t="str">
        <f t="shared" si="13"/>
        <v/>
      </c>
      <c r="F117" s="245" t="str">
        <f t="shared" si="9"/>
        <v/>
      </c>
      <c r="G117" s="245" t="str">
        <f t="shared" si="10"/>
        <v/>
      </c>
      <c r="H117" s="245" t="str">
        <f t="shared" si="11"/>
        <v/>
      </c>
    </row>
    <row r="118" spans="1:8" x14ac:dyDescent="0.2">
      <c r="A118" s="232" t="str">
        <f t="shared" si="7"/>
        <v/>
      </c>
      <c r="B118" s="244" t="str">
        <f t="shared" si="12"/>
        <v/>
      </c>
      <c r="C118" s="245" t="str">
        <f t="shared" si="8"/>
        <v/>
      </c>
      <c r="D118" s="246"/>
      <c r="E118" s="245" t="str">
        <f t="shared" si="13"/>
        <v/>
      </c>
      <c r="F118" s="245" t="str">
        <f t="shared" si="9"/>
        <v/>
      </c>
      <c r="G118" s="245" t="str">
        <f t="shared" si="10"/>
        <v/>
      </c>
      <c r="H118" s="245" t="str">
        <f t="shared" si="11"/>
        <v/>
      </c>
    </row>
    <row r="119" spans="1:8" x14ac:dyDescent="0.2">
      <c r="A119" s="232" t="str">
        <f t="shared" si="7"/>
        <v/>
      </c>
      <c r="B119" s="244" t="str">
        <f t="shared" si="12"/>
        <v/>
      </c>
      <c r="C119" s="245" t="str">
        <f t="shared" si="8"/>
        <v/>
      </c>
      <c r="D119" s="246"/>
      <c r="E119" s="245" t="str">
        <f t="shared" si="13"/>
        <v/>
      </c>
      <c r="F119" s="245" t="str">
        <f t="shared" si="9"/>
        <v/>
      </c>
      <c r="G119" s="245" t="str">
        <f t="shared" si="10"/>
        <v/>
      </c>
      <c r="H119" s="245" t="str">
        <f t="shared" si="11"/>
        <v/>
      </c>
    </row>
    <row r="120" spans="1:8" x14ac:dyDescent="0.2">
      <c r="A120" s="232" t="str">
        <f t="shared" si="7"/>
        <v/>
      </c>
      <c r="B120" s="244" t="str">
        <f t="shared" si="12"/>
        <v/>
      </c>
      <c r="C120" s="245" t="str">
        <f t="shared" si="8"/>
        <v/>
      </c>
      <c r="D120" s="246"/>
      <c r="E120" s="245" t="str">
        <f t="shared" si="13"/>
        <v/>
      </c>
      <c r="F120" s="245" t="str">
        <f t="shared" si="9"/>
        <v/>
      </c>
      <c r="G120" s="245" t="str">
        <f t="shared" si="10"/>
        <v/>
      </c>
      <c r="H120" s="245" t="str">
        <f t="shared" si="11"/>
        <v/>
      </c>
    </row>
    <row r="121" spans="1:8" x14ac:dyDescent="0.2">
      <c r="A121" s="232" t="str">
        <f t="shared" si="7"/>
        <v/>
      </c>
      <c r="B121" s="244" t="str">
        <f t="shared" si="12"/>
        <v/>
      </c>
      <c r="C121" s="245" t="str">
        <f t="shared" si="8"/>
        <v/>
      </c>
      <c r="D121" s="246"/>
      <c r="E121" s="245" t="str">
        <f t="shared" si="13"/>
        <v/>
      </c>
      <c r="F121" s="245" t="str">
        <f t="shared" si="9"/>
        <v/>
      </c>
      <c r="G121" s="245" t="str">
        <f t="shared" si="10"/>
        <v/>
      </c>
      <c r="H121" s="245" t="str">
        <f t="shared" si="11"/>
        <v/>
      </c>
    </row>
    <row r="122" spans="1:8" x14ac:dyDescent="0.2">
      <c r="A122" s="232" t="str">
        <f t="shared" si="7"/>
        <v/>
      </c>
      <c r="B122" s="244" t="str">
        <f t="shared" si="12"/>
        <v/>
      </c>
      <c r="C122" s="245" t="str">
        <f t="shared" si="8"/>
        <v/>
      </c>
      <c r="D122" s="246"/>
      <c r="E122" s="245" t="str">
        <f t="shared" si="13"/>
        <v/>
      </c>
      <c r="F122" s="245" t="str">
        <f t="shared" si="9"/>
        <v/>
      </c>
      <c r="G122" s="245" t="str">
        <f t="shared" si="10"/>
        <v/>
      </c>
      <c r="H122" s="245" t="str">
        <f t="shared" si="11"/>
        <v/>
      </c>
    </row>
    <row r="123" spans="1:8" x14ac:dyDescent="0.2">
      <c r="A123" s="232" t="str">
        <f t="shared" si="7"/>
        <v/>
      </c>
      <c r="B123" s="244" t="str">
        <f t="shared" si="12"/>
        <v/>
      </c>
      <c r="C123" s="245" t="str">
        <f t="shared" si="8"/>
        <v/>
      </c>
      <c r="D123" s="246"/>
      <c r="E123" s="245" t="str">
        <f t="shared" si="13"/>
        <v/>
      </c>
      <c r="F123" s="245" t="str">
        <f t="shared" si="9"/>
        <v/>
      </c>
      <c r="G123" s="245" t="str">
        <f t="shared" si="10"/>
        <v/>
      </c>
      <c r="H123" s="245" t="str">
        <f t="shared" si="11"/>
        <v/>
      </c>
    </row>
    <row r="124" spans="1:8" x14ac:dyDescent="0.2">
      <c r="A124" s="232" t="str">
        <f t="shared" si="7"/>
        <v/>
      </c>
      <c r="B124" s="244" t="str">
        <f t="shared" si="12"/>
        <v/>
      </c>
      <c r="C124" s="245" t="str">
        <f t="shared" si="8"/>
        <v/>
      </c>
      <c r="D124" s="246"/>
      <c r="E124" s="245" t="str">
        <f t="shared" si="13"/>
        <v/>
      </c>
      <c r="F124" s="245" t="str">
        <f t="shared" si="9"/>
        <v/>
      </c>
      <c r="G124" s="245" t="str">
        <f t="shared" si="10"/>
        <v/>
      </c>
      <c r="H124" s="245" t="str">
        <f t="shared" si="11"/>
        <v/>
      </c>
    </row>
    <row r="125" spans="1:8" x14ac:dyDescent="0.2">
      <c r="A125" s="232" t="str">
        <f t="shared" si="7"/>
        <v/>
      </c>
      <c r="B125" s="244" t="str">
        <f t="shared" si="12"/>
        <v/>
      </c>
      <c r="C125" s="245" t="str">
        <f t="shared" si="8"/>
        <v/>
      </c>
      <c r="D125" s="246"/>
      <c r="E125" s="245" t="str">
        <f t="shared" si="13"/>
        <v/>
      </c>
      <c r="F125" s="245" t="str">
        <f t="shared" si="9"/>
        <v/>
      </c>
      <c r="G125" s="245" t="str">
        <f t="shared" si="10"/>
        <v/>
      </c>
      <c r="H125" s="245" t="str">
        <f t="shared" si="11"/>
        <v/>
      </c>
    </row>
    <row r="126" spans="1:8" x14ac:dyDescent="0.2">
      <c r="A126" s="232" t="str">
        <f t="shared" si="7"/>
        <v/>
      </c>
      <c r="B126" s="244" t="str">
        <f t="shared" si="12"/>
        <v/>
      </c>
      <c r="C126" s="245" t="str">
        <f t="shared" si="8"/>
        <v/>
      </c>
      <c r="D126" s="246"/>
      <c r="E126" s="245" t="str">
        <f t="shared" si="13"/>
        <v/>
      </c>
      <c r="F126" s="245" t="str">
        <f t="shared" si="9"/>
        <v/>
      </c>
      <c r="G126" s="245" t="str">
        <f t="shared" si="10"/>
        <v/>
      </c>
      <c r="H126" s="245" t="str">
        <f t="shared" si="11"/>
        <v/>
      </c>
    </row>
    <row r="127" spans="1:8" x14ac:dyDescent="0.2">
      <c r="A127" s="232" t="str">
        <f t="shared" si="7"/>
        <v/>
      </c>
      <c r="B127" s="244" t="str">
        <f t="shared" si="12"/>
        <v/>
      </c>
      <c r="C127" s="245" t="str">
        <f t="shared" si="8"/>
        <v/>
      </c>
      <c r="D127" s="246"/>
      <c r="E127" s="245" t="str">
        <f t="shared" si="13"/>
        <v/>
      </c>
      <c r="F127" s="245" t="str">
        <f t="shared" si="9"/>
        <v/>
      </c>
      <c r="G127" s="245" t="str">
        <f t="shared" si="10"/>
        <v/>
      </c>
      <c r="H127" s="245" t="str">
        <f t="shared" si="11"/>
        <v/>
      </c>
    </row>
    <row r="128" spans="1:8" x14ac:dyDescent="0.2">
      <c r="A128" s="232" t="str">
        <f t="shared" si="7"/>
        <v/>
      </c>
      <c r="B128" s="244" t="str">
        <f t="shared" si="12"/>
        <v/>
      </c>
      <c r="C128" s="245" t="str">
        <f t="shared" si="8"/>
        <v/>
      </c>
      <c r="D128" s="246"/>
      <c r="E128" s="245" t="str">
        <f t="shared" si="13"/>
        <v/>
      </c>
      <c r="F128" s="245" t="str">
        <f t="shared" si="9"/>
        <v/>
      </c>
      <c r="G128" s="245" t="str">
        <f t="shared" si="10"/>
        <v/>
      </c>
      <c r="H128" s="245" t="str">
        <f t="shared" si="11"/>
        <v/>
      </c>
    </row>
    <row r="129" spans="1:8" x14ac:dyDescent="0.2">
      <c r="A129" s="232" t="str">
        <f t="shared" si="7"/>
        <v/>
      </c>
      <c r="B129" s="244" t="str">
        <f t="shared" si="12"/>
        <v/>
      </c>
      <c r="C129" s="245" t="str">
        <f t="shared" si="8"/>
        <v/>
      </c>
      <c r="D129" s="246"/>
      <c r="E129" s="245" t="str">
        <f t="shared" si="13"/>
        <v/>
      </c>
      <c r="F129" s="245" t="str">
        <f t="shared" si="9"/>
        <v/>
      </c>
      <c r="G129" s="245" t="str">
        <f t="shared" si="10"/>
        <v/>
      </c>
      <c r="H129" s="245" t="str">
        <f t="shared" si="11"/>
        <v/>
      </c>
    </row>
    <row r="130" spans="1:8" x14ac:dyDescent="0.2">
      <c r="A130" s="232" t="str">
        <f t="shared" si="7"/>
        <v/>
      </c>
      <c r="B130" s="244" t="str">
        <f t="shared" si="12"/>
        <v/>
      </c>
      <c r="C130" s="245" t="str">
        <f t="shared" si="8"/>
        <v/>
      </c>
      <c r="D130" s="246"/>
      <c r="E130" s="245" t="str">
        <f t="shared" si="13"/>
        <v/>
      </c>
      <c r="F130" s="245" t="str">
        <f t="shared" si="9"/>
        <v/>
      </c>
      <c r="G130" s="245" t="str">
        <f t="shared" si="10"/>
        <v/>
      </c>
      <c r="H130" s="245" t="str">
        <f t="shared" si="11"/>
        <v/>
      </c>
    </row>
    <row r="131" spans="1:8" x14ac:dyDescent="0.2">
      <c r="A131" s="232" t="str">
        <f t="shared" si="7"/>
        <v/>
      </c>
      <c r="B131" s="244" t="str">
        <f t="shared" si="12"/>
        <v/>
      </c>
      <c r="C131" s="245" t="str">
        <f t="shared" si="8"/>
        <v/>
      </c>
      <c r="D131" s="246"/>
      <c r="E131" s="245" t="str">
        <f t="shared" si="13"/>
        <v/>
      </c>
      <c r="F131" s="245" t="str">
        <f t="shared" si="9"/>
        <v/>
      </c>
      <c r="G131" s="245" t="str">
        <f t="shared" si="10"/>
        <v/>
      </c>
      <c r="H131" s="245" t="str">
        <f t="shared" si="11"/>
        <v/>
      </c>
    </row>
    <row r="132" spans="1:8" x14ac:dyDescent="0.2">
      <c r="A132" s="232" t="str">
        <f t="shared" si="7"/>
        <v/>
      </c>
      <c r="B132" s="244" t="str">
        <f t="shared" si="12"/>
        <v/>
      </c>
      <c r="C132" s="245" t="str">
        <f t="shared" si="8"/>
        <v/>
      </c>
      <c r="D132" s="246"/>
      <c r="E132" s="245" t="str">
        <f t="shared" si="13"/>
        <v/>
      </c>
      <c r="F132" s="245" t="str">
        <f t="shared" si="9"/>
        <v/>
      </c>
      <c r="G132" s="245" t="str">
        <f t="shared" si="10"/>
        <v/>
      </c>
      <c r="H132" s="245" t="str">
        <f t="shared" si="11"/>
        <v/>
      </c>
    </row>
    <row r="133" spans="1:8" x14ac:dyDescent="0.2">
      <c r="A133" s="232" t="str">
        <f t="shared" si="7"/>
        <v/>
      </c>
      <c r="B133" s="244" t="str">
        <f t="shared" si="12"/>
        <v/>
      </c>
      <c r="C133" s="245" t="str">
        <f t="shared" si="8"/>
        <v/>
      </c>
      <c r="D133" s="246"/>
      <c r="E133" s="245" t="str">
        <f t="shared" si="13"/>
        <v/>
      </c>
      <c r="F133" s="245" t="str">
        <f t="shared" si="9"/>
        <v/>
      </c>
      <c r="G133" s="245" t="str">
        <f t="shared" si="10"/>
        <v/>
      </c>
      <c r="H133" s="245" t="str">
        <f t="shared" si="11"/>
        <v/>
      </c>
    </row>
    <row r="134" spans="1:8" x14ac:dyDescent="0.2">
      <c r="A134" s="232" t="str">
        <f t="shared" si="7"/>
        <v/>
      </c>
      <c r="B134" s="244" t="str">
        <f t="shared" si="12"/>
        <v/>
      </c>
      <c r="C134" s="245" t="str">
        <f t="shared" si="8"/>
        <v/>
      </c>
      <c r="D134" s="246"/>
      <c r="E134" s="245" t="str">
        <f t="shared" si="13"/>
        <v/>
      </c>
      <c r="F134" s="245" t="str">
        <f t="shared" si="9"/>
        <v/>
      </c>
      <c r="G134" s="245" t="str">
        <f t="shared" si="10"/>
        <v/>
      </c>
      <c r="H134" s="245" t="str">
        <f t="shared" si="11"/>
        <v/>
      </c>
    </row>
    <row r="135" spans="1:8" x14ac:dyDescent="0.2">
      <c r="A135" s="232" t="str">
        <f t="shared" si="7"/>
        <v/>
      </c>
      <c r="B135" s="244" t="str">
        <f t="shared" si="12"/>
        <v/>
      </c>
      <c r="C135" s="245" t="str">
        <f t="shared" si="8"/>
        <v/>
      </c>
      <c r="D135" s="246"/>
      <c r="E135" s="245" t="str">
        <f t="shared" si="13"/>
        <v/>
      </c>
      <c r="F135" s="245" t="str">
        <f t="shared" si="9"/>
        <v/>
      </c>
      <c r="G135" s="245" t="str">
        <f t="shared" si="10"/>
        <v/>
      </c>
      <c r="H135" s="245" t="str">
        <f t="shared" si="11"/>
        <v/>
      </c>
    </row>
    <row r="136" spans="1:8" x14ac:dyDescent="0.2">
      <c r="A136" s="232" t="str">
        <f t="shared" si="7"/>
        <v/>
      </c>
      <c r="B136" s="244" t="str">
        <f t="shared" si="12"/>
        <v/>
      </c>
      <c r="C136" s="245" t="str">
        <f t="shared" si="8"/>
        <v/>
      </c>
      <c r="D136" s="246"/>
      <c r="E136" s="245" t="str">
        <f t="shared" si="13"/>
        <v/>
      </c>
      <c r="F136" s="245" t="str">
        <f t="shared" si="9"/>
        <v/>
      </c>
      <c r="G136" s="245" t="str">
        <f t="shared" si="10"/>
        <v/>
      </c>
      <c r="H136" s="245" t="str">
        <f t="shared" si="11"/>
        <v/>
      </c>
    </row>
    <row r="137" spans="1:8" x14ac:dyDescent="0.2">
      <c r="A137" s="232" t="str">
        <f t="shared" si="7"/>
        <v/>
      </c>
      <c r="B137" s="244" t="str">
        <f t="shared" si="12"/>
        <v/>
      </c>
      <c r="C137" s="245" t="str">
        <f t="shared" si="8"/>
        <v/>
      </c>
      <c r="D137" s="246"/>
      <c r="E137" s="245" t="str">
        <f t="shared" si="13"/>
        <v/>
      </c>
      <c r="F137" s="245" t="str">
        <f t="shared" si="9"/>
        <v/>
      </c>
      <c r="G137" s="245" t="str">
        <f t="shared" si="10"/>
        <v/>
      </c>
      <c r="H137" s="245" t="str">
        <f t="shared" si="11"/>
        <v/>
      </c>
    </row>
    <row r="138" spans="1:8" x14ac:dyDescent="0.2">
      <c r="A138" s="232" t="str">
        <f t="shared" si="7"/>
        <v/>
      </c>
      <c r="B138" s="244" t="str">
        <f t="shared" si="12"/>
        <v/>
      </c>
      <c r="C138" s="245" t="str">
        <f t="shared" si="8"/>
        <v/>
      </c>
      <c r="D138" s="246"/>
      <c r="E138" s="245" t="str">
        <f t="shared" si="13"/>
        <v/>
      </c>
      <c r="F138" s="245" t="str">
        <f t="shared" si="9"/>
        <v/>
      </c>
      <c r="G138" s="245" t="str">
        <f t="shared" si="10"/>
        <v/>
      </c>
      <c r="H138" s="245" t="str">
        <f t="shared" si="11"/>
        <v/>
      </c>
    </row>
    <row r="139" spans="1:8" x14ac:dyDescent="0.2">
      <c r="A139" s="232" t="str">
        <f t="shared" si="7"/>
        <v/>
      </c>
      <c r="B139" s="244" t="str">
        <f t="shared" si="12"/>
        <v/>
      </c>
      <c r="C139" s="245" t="str">
        <f t="shared" si="8"/>
        <v/>
      </c>
      <c r="D139" s="246"/>
      <c r="E139" s="245" t="str">
        <f t="shared" si="13"/>
        <v/>
      </c>
      <c r="F139" s="245" t="str">
        <f t="shared" si="9"/>
        <v/>
      </c>
      <c r="G139" s="245" t="str">
        <f t="shared" si="10"/>
        <v/>
      </c>
      <c r="H139" s="245" t="str">
        <f t="shared" si="11"/>
        <v/>
      </c>
    </row>
    <row r="140" spans="1:8" x14ac:dyDescent="0.2">
      <c r="A140" s="232" t="str">
        <f t="shared" si="7"/>
        <v/>
      </c>
      <c r="B140" s="244" t="str">
        <f t="shared" si="12"/>
        <v/>
      </c>
      <c r="C140" s="245" t="str">
        <f t="shared" si="8"/>
        <v/>
      </c>
      <c r="D140" s="246"/>
      <c r="E140" s="245" t="str">
        <f t="shared" si="13"/>
        <v/>
      </c>
      <c r="F140" s="245" t="str">
        <f t="shared" si="9"/>
        <v/>
      </c>
      <c r="G140" s="245" t="str">
        <f t="shared" si="10"/>
        <v/>
      </c>
      <c r="H140" s="245" t="str">
        <f t="shared" si="11"/>
        <v/>
      </c>
    </row>
    <row r="141" spans="1:8" x14ac:dyDescent="0.2">
      <c r="A141" s="232" t="str">
        <f t="shared" si="7"/>
        <v/>
      </c>
      <c r="B141" s="244" t="str">
        <f t="shared" si="12"/>
        <v/>
      </c>
      <c r="C141" s="245" t="str">
        <f t="shared" si="8"/>
        <v/>
      </c>
      <c r="D141" s="246"/>
      <c r="E141" s="245" t="str">
        <f t="shared" si="13"/>
        <v/>
      </c>
      <c r="F141" s="245" t="str">
        <f t="shared" si="9"/>
        <v/>
      </c>
      <c r="G141" s="245" t="str">
        <f t="shared" si="10"/>
        <v/>
      </c>
      <c r="H141" s="245" t="str">
        <f t="shared" si="11"/>
        <v/>
      </c>
    </row>
    <row r="142" spans="1:8" x14ac:dyDescent="0.2">
      <c r="A142" s="232" t="str">
        <f t="shared" si="7"/>
        <v/>
      </c>
      <c r="B142" s="244" t="str">
        <f t="shared" si="12"/>
        <v/>
      </c>
      <c r="C142" s="245" t="str">
        <f t="shared" si="8"/>
        <v/>
      </c>
      <c r="D142" s="246"/>
      <c r="E142" s="245" t="str">
        <f t="shared" si="13"/>
        <v/>
      </c>
      <c r="F142" s="245" t="str">
        <f t="shared" si="9"/>
        <v/>
      </c>
      <c r="G142" s="245" t="str">
        <f t="shared" si="10"/>
        <v/>
      </c>
      <c r="H142" s="245" t="str">
        <f t="shared" si="11"/>
        <v/>
      </c>
    </row>
    <row r="143" spans="1:8" x14ac:dyDescent="0.2">
      <c r="A143" s="232" t="str">
        <f t="shared" si="7"/>
        <v/>
      </c>
      <c r="B143" s="244" t="str">
        <f t="shared" si="12"/>
        <v/>
      </c>
      <c r="C143" s="245" t="str">
        <f t="shared" si="8"/>
        <v/>
      </c>
      <c r="D143" s="246"/>
      <c r="E143" s="245" t="str">
        <f t="shared" si="13"/>
        <v/>
      </c>
      <c r="F143" s="245" t="str">
        <f t="shared" si="9"/>
        <v/>
      </c>
      <c r="G143" s="245" t="str">
        <f t="shared" si="10"/>
        <v/>
      </c>
      <c r="H143" s="245" t="str">
        <f t="shared" si="11"/>
        <v/>
      </c>
    </row>
    <row r="144" spans="1:8" x14ac:dyDescent="0.2">
      <c r="A144" s="232" t="str">
        <f t="shared" si="7"/>
        <v/>
      </c>
      <c r="B144" s="244" t="str">
        <f t="shared" si="12"/>
        <v/>
      </c>
      <c r="C144" s="245" t="str">
        <f t="shared" si="8"/>
        <v/>
      </c>
      <c r="D144" s="246"/>
      <c r="E144" s="245" t="str">
        <f t="shared" si="13"/>
        <v/>
      </c>
      <c r="F144" s="245" t="str">
        <f t="shared" si="9"/>
        <v/>
      </c>
      <c r="G144" s="245" t="str">
        <f t="shared" si="10"/>
        <v/>
      </c>
      <c r="H144" s="245" t="str">
        <f t="shared" si="11"/>
        <v/>
      </c>
    </row>
    <row r="145" spans="1:8" x14ac:dyDescent="0.2">
      <c r="A145" s="232" t="str">
        <f t="shared" si="7"/>
        <v/>
      </c>
      <c r="B145" s="244" t="str">
        <f t="shared" si="12"/>
        <v/>
      </c>
      <c r="C145" s="245" t="str">
        <f t="shared" si="8"/>
        <v/>
      </c>
      <c r="D145" s="246"/>
      <c r="E145" s="245" t="str">
        <f t="shared" si="13"/>
        <v/>
      </c>
      <c r="F145" s="245" t="str">
        <f t="shared" si="9"/>
        <v/>
      </c>
      <c r="G145" s="245" t="str">
        <f t="shared" si="10"/>
        <v/>
      </c>
      <c r="H145" s="245" t="str">
        <f t="shared" si="11"/>
        <v/>
      </c>
    </row>
    <row r="146" spans="1:8" x14ac:dyDescent="0.2">
      <c r="A146" s="232" t="str">
        <f t="shared" si="7"/>
        <v/>
      </c>
      <c r="B146" s="244" t="str">
        <f t="shared" si="12"/>
        <v/>
      </c>
      <c r="C146" s="245" t="str">
        <f t="shared" si="8"/>
        <v/>
      </c>
      <c r="D146" s="246"/>
      <c r="E146" s="245" t="str">
        <f t="shared" si="13"/>
        <v/>
      </c>
      <c r="F146" s="245" t="str">
        <f t="shared" si="9"/>
        <v/>
      </c>
      <c r="G146" s="245" t="str">
        <f t="shared" si="10"/>
        <v/>
      </c>
      <c r="H146" s="245" t="str">
        <f t="shared" si="11"/>
        <v/>
      </c>
    </row>
    <row r="147" spans="1:8" x14ac:dyDescent="0.2">
      <c r="A147" s="232" t="str">
        <f t="shared" si="7"/>
        <v/>
      </c>
      <c r="B147" s="244" t="str">
        <f t="shared" si="12"/>
        <v/>
      </c>
      <c r="C147" s="245" t="str">
        <f t="shared" si="8"/>
        <v/>
      </c>
      <c r="D147" s="246"/>
      <c r="E147" s="245" t="str">
        <f t="shared" si="13"/>
        <v/>
      </c>
      <c r="F147" s="245" t="str">
        <f t="shared" si="9"/>
        <v/>
      </c>
      <c r="G147" s="245" t="str">
        <f t="shared" si="10"/>
        <v/>
      </c>
      <c r="H147" s="245" t="str">
        <f t="shared" si="11"/>
        <v/>
      </c>
    </row>
    <row r="148" spans="1:8" x14ac:dyDescent="0.2">
      <c r="A148" s="232" t="str">
        <f t="shared" si="7"/>
        <v/>
      </c>
      <c r="B148" s="244" t="str">
        <f t="shared" si="12"/>
        <v/>
      </c>
      <c r="C148" s="245" t="str">
        <f t="shared" si="8"/>
        <v/>
      </c>
      <c r="D148" s="246"/>
      <c r="E148" s="245" t="str">
        <f t="shared" si="13"/>
        <v/>
      </c>
      <c r="F148" s="245" t="str">
        <f t="shared" si="9"/>
        <v/>
      </c>
      <c r="G148" s="245" t="str">
        <f t="shared" si="10"/>
        <v/>
      </c>
      <c r="H148" s="245" t="str">
        <f t="shared" si="11"/>
        <v/>
      </c>
    </row>
    <row r="149" spans="1:8" x14ac:dyDescent="0.2">
      <c r="A149" s="232" t="str">
        <f t="shared" si="7"/>
        <v/>
      </c>
      <c r="B149" s="244" t="str">
        <f t="shared" si="12"/>
        <v/>
      </c>
      <c r="C149" s="245" t="str">
        <f t="shared" si="8"/>
        <v/>
      </c>
      <c r="D149" s="246"/>
      <c r="E149" s="245" t="str">
        <f t="shared" si="13"/>
        <v/>
      </c>
      <c r="F149" s="245" t="str">
        <f t="shared" si="9"/>
        <v/>
      </c>
      <c r="G149" s="245" t="str">
        <f t="shared" si="10"/>
        <v/>
      </c>
      <c r="H149" s="245" t="str">
        <f t="shared" si="11"/>
        <v/>
      </c>
    </row>
    <row r="150" spans="1:8" x14ac:dyDescent="0.2">
      <c r="A150" s="232" t="str">
        <f t="shared" si="7"/>
        <v/>
      </c>
      <c r="B150" s="244" t="str">
        <f t="shared" si="12"/>
        <v/>
      </c>
      <c r="C150" s="245" t="str">
        <f t="shared" si="8"/>
        <v/>
      </c>
      <c r="D150" s="246"/>
      <c r="E150" s="245" t="str">
        <f t="shared" si="13"/>
        <v/>
      </c>
      <c r="F150" s="245" t="str">
        <f t="shared" si="9"/>
        <v/>
      </c>
      <c r="G150" s="245" t="str">
        <f t="shared" si="10"/>
        <v/>
      </c>
      <c r="H150" s="245" t="str">
        <f t="shared" si="11"/>
        <v/>
      </c>
    </row>
    <row r="151" spans="1:8" x14ac:dyDescent="0.2">
      <c r="A151" s="232" t="str">
        <f t="shared" ref="A151:A214" si="14">IF(A150="","",IF(H150&gt;0,A150+1,""))</f>
        <v/>
      </c>
      <c r="B151" s="244" t="str">
        <f t="shared" si="12"/>
        <v/>
      </c>
      <c r="C151" s="245" t="str">
        <f t="shared" ref="C151:C214" si="15">IF(A151="","",IF(ISBLANK($E$10),MIN(MAX($E$7*H150+IF(plusinterest,F151,0),$E$9),F151+H150),MIN($E$10,H150+F151)))</f>
        <v/>
      </c>
      <c r="D151" s="246"/>
      <c r="E151" s="245" t="str">
        <f t="shared" si="13"/>
        <v/>
      </c>
      <c r="F151" s="245" t="str">
        <f t="shared" ref="F151:F214" si="16">IF(A151="","",B151/12*H150)</f>
        <v/>
      </c>
      <c r="G151" s="245" t="str">
        <f t="shared" ref="G151:G214" si="17">IF(A151="","",C151+D151-F151)</f>
        <v/>
      </c>
      <c r="H151" s="245" t="str">
        <f t="shared" ref="H151:H214" si="18">IF(A151="","",H150-G151)</f>
        <v/>
      </c>
    </row>
    <row r="152" spans="1:8" x14ac:dyDescent="0.2">
      <c r="A152" s="232" t="str">
        <f t="shared" si="14"/>
        <v/>
      </c>
      <c r="B152" s="244" t="str">
        <f t="shared" ref="B152:B215" si="19">IF(A152="","",IF(A152&lt;=$E$11,0,$E$6))</f>
        <v/>
      </c>
      <c r="C152" s="245" t="str">
        <f t="shared" si="15"/>
        <v/>
      </c>
      <c r="D152" s="246"/>
      <c r="E152" s="245" t="str">
        <f t="shared" ref="E152:E215" si="20">IF(A152="","",C152+D152)</f>
        <v/>
      </c>
      <c r="F152" s="245" t="str">
        <f t="shared" si="16"/>
        <v/>
      </c>
      <c r="G152" s="245" t="str">
        <f t="shared" si="17"/>
        <v/>
      </c>
      <c r="H152" s="245" t="str">
        <f t="shared" si="18"/>
        <v/>
      </c>
    </row>
    <row r="153" spans="1:8" x14ac:dyDescent="0.2">
      <c r="A153" s="232" t="str">
        <f t="shared" si="14"/>
        <v/>
      </c>
      <c r="B153" s="244" t="str">
        <f t="shared" si="19"/>
        <v/>
      </c>
      <c r="C153" s="245" t="str">
        <f t="shared" si="15"/>
        <v/>
      </c>
      <c r="D153" s="246"/>
      <c r="E153" s="245" t="str">
        <f t="shared" si="20"/>
        <v/>
      </c>
      <c r="F153" s="245" t="str">
        <f t="shared" si="16"/>
        <v/>
      </c>
      <c r="G153" s="245" t="str">
        <f t="shared" si="17"/>
        <v/>
      </c>
      <c r="H153" s="245" t="str">
        <f t="shared" si="18"/>
        <v/>
      </c>
    </row>
    <row r="154" spans="1:8" x14ac:dyDescent="0.2">
      <c r="A154" s="232" t="str">
        <f t="shared" si="14"/>
        <v/>
      </c>
      <c r="B154" s="244" t="str">
        <f t="shared" si="19"/>
        <v/>
      </c>
      <c r="C154" s="245" t="str">
        <f t="shared" si="15"/>
        <v/>
      </c>
      <c r="D154" s="246"/>
      <c r="E154" s="245" t="str">
        <f t="shared" si="20"/>
        <v/>
      </c>
      <c r="F154" s="245" t="str">
        <f t="shared" si="16"/>
        <v/>
      </c>
      <c r="G154" s="245" t="str">
        <f t="shared" si="17"/>
        <v/>
      </c>
      <c r="H154" s="245" t="str">
        <f t="shared" si="18"/>
        <v/>
      </c>
    </row>
    <row r="155" spans="1:8" x14ac:dyDescent="0.2">
      <c r="A155" s="232" t="str">
        <f t="shared" si="14"/>
        <v/>
      </c>
      <c r="B155" s="244" t="str">
        <f t="shared" si="19"/>
        <v/>
      </c>
      <c r="C155" s="245" t="str">
        <f t="shared" si="15"/>
        <v/>
      </c>
      <c r="D155" s="246"/>
      <c r="E155" s="245" t="str">
        <f t="shared" si="20"/>
        <v/>
      </c>
      <c r="F155" s="245" t="str">
        <f t="shared" si="16"/>
        <v/>
      </c>
      <c r="G155" s="245" t="str">
        <f t="shared" si="17"/>
        <v/>
      </c>
      <c r="H155" s="245" t="str">
        <f t="shared" si="18"/>
        <v/>
      </c>
    </row>
    <row r="156" spans="1:8" x14ac:dyDescent="0.2">
      <c r="A156" s="232" t="str">
        <f t="shared" si="14"/>
        <v/>
      </c>
      <c r="B156" s="244" t="str">
        <f t="shared" si="19"/>
        <v/>
      </c>
      <c r="C156" s="245" t="str">
        <f t="shared" si="15"/>
        <v/>
      </c>
      <c r="D156" s="246"/>
      <c r="E156" s="245" t="str">
        <f t="shared" si="20"/>
        <v/>
      </c>
      <c r="F156" s="245" t="str">
        <f t="shared" si="16"/>
        <v/>
      </c>
      <c r="G156" s="245" t="str">
        <f t="shared" si="17"/>
        <v/>
      </c>
      <c r="H156" s="245" t="str">
        <f t="shared" si="18"/>
        <v/>
      </c>
    </row>
    <row r="157" spans="1:8" x14ac:dyDescent="0.2">
      <c r="A157" s="232" t="str">
        <f t="shared" si="14"/>
        <v/>
      </c>
      <c r="B157" s="244" t="str">
        <f t="shared" si="19"/>
        <v/>
      </c>
      <c r="C157" s="245" t="str">
        <f t="shared" si="15"/>
        <v/>
      </c>
      <c r="D157" s="246"/>
      <c r="E157" s="245" t="str">
        <f t="shared" si="20"/>
        <v/>
      </c>
      <c r="F157" s="245" t="str">
        <f t="shared" si="16"/>
        <v/>
      </c>
      <c r="G157" s="245" t="str">
        <f t="shared" si="17"/>
        <v/>
      </c>
      <c r="H157" s="245" t="str">
        <f t="shared" si="18"/>
        <v/>
      </c>
    </row>
    <row r="158" spans="1:8" x14ac:dyDescent="0.2">
      <c r="A158" s="232" t="str">
        <f t="shared" si="14"/>
        <v/>
      </c>
      <c r="B158" s="244" t="str">
        <f t="shared" si="19"/>
        <v/>
      </c>
      <c r="C158" s="245" t="str">
        <f t="shared" si="15"/>
        <v/>
      </c>
      <c r="D158" s="246"/>
      <c r="E158" s="245" t="str">
        <f t="shared" si="20"/>
        <v/>
      </c>
      <c r="F158" s="245" t="str">
        <f t="shared" si="16"/>
        <v/>
      </c>
      <c r="G158" s="245" t="str">
        <f t="shared" si="17"/>
        <v/>
      </c>
      <c r="H158" s="245" t="str">
        <f t="shared" si="18"/>
        <v/>
      </c>
    </row>
    <row r="159" spans="1:8" x14ac:dyDescent="0.2">
      <c r="A159" s="232" t="str">
        <f t="shared" si="14"/>
        <v/>
      </c>
      <c r="B159" s="244" t="str">
        <f t="shared" si="19"/>
        <v/>
      </c>
      <c r="C159" s="245" t="str">
        <f t="shared" si="15"/>
        <v/>
      </c>
      <c r="D159" s="246"/>
      <c r="E159" s="245" t="str">
        <f t="shared" si="20"/>
        <v/>
      </c>
      <c r="F159" s="245" t="str">
        <f t="shared" si="16"/>
        <v/>
      </c>
      <c r="G159" s="245" t="str">
        <f t="shared" si="17"/>
        <v/>
      </c>
      <c r="H159" s="245" t="str">
        <f t="shared" si="18"/>
        <v/>
      </c>
    </row>
    <row r="160" spans="1:8" x14ac:dyDescent="0.2">
      <c r="A160" s="232" t="str">
        <f t="shared" si="14"/>
        <v/>
      </c>
      <c r="B160" s="244" t="str">
        <f t="shared" si="19"/>
        <v/>
      </c>
      <c r="C160" s="245" t="str">
        <f t="shared" si="15"/>
        <v/>
      </c>
      <c r="D160" s="246"/>
      <c r="E160" s="245" t="str">
        <f t="shared" si="20"/>
        <v/>
      </c>
      <c r="F160" s="245" t="str">
        <f t="shared" si="16"/>
        <v/>
      </c>
      <c r="G160" s="245" t="str">
        <f t="shared" si="17"/>
        <v/>
      </c>
      <c r="H160" s="245" t="str">
        <f t="shared" si="18"/>
        <v/>
      </c>
    </row>
    <row r="161" spans="1:8" x14ac:dyDescent="0.2">
      <c r="A161" s="232" t="str">
        <f t="shared" si="14"/>
        <v/>
      </c>
      <c r="B161" s="244" t="str">
        <f t="shared" si="19"/>
        <v/>
      </c>
      <c r="C161" s="245" t="str">
        <f t="shared" si="15"/>
        <v/>
      </c>
      <c r="D161" s="246"/>
      <c r="E161" s="245" t="str">
        <f t="shared" si="20"/>
        <v/>
      </c>
      <c r="F161" s="245" t="str">
        <f t="shared" si="16"/>
        <v/>
      </c>
      <c r="G161" s="245" t="str">
        <f t="shared" si="17"/>
        <v/>
      </c>
      <c r="H161" s="245" t="str">
        <f t="shared" si="18"/>
        <v/>
      </c>
    </row>
    <row r="162" spans="1:8" x14ac:dyDescent="0.2">
      <c r="A162" s="232" t="str">
        <f t="shared" si="14"/>
        <v/>
      </c>
      <c r="B162" s="244" t="str">
        <f t="shared" si="19"/>
        <v/>
      </c>
      <c r="C162" s="245" t="str">
        <f t="shared" si="15"/>
        <v/>
      </c>
      <c r="D162" s="246"/>
      <c r="E162" s="245" t="str">
        <f t="shared" si="20"/>
        <v/>
      </c>
      <c r="F162" s="245" t="str">
        <f t="shared" si="16"/>
        <v/>
      </c>
      <c r="G162" s="245" t="str">
        <f t="shared" si="17"/>
        <v/>
      </c>
      <c r="H162" s="245" t="str">
        <f t="shared" si="18"/>
        <v/>
      </c>
    </row>
    <row r="163" spans="1:8" x14ac:dyDescent="0.2">
      <c r="A163" s="232" t="str">
        <f t="shared" si="14"/>
        <v/>
      </c>
      <c r="B163" s="244" t="str">
        <f t="shared" si="19"/>
        <v/>
      </c>
      <c r="C163" s="245" t="str">
        <f t="shared" si="15"/>
        <v/>
      </c>
      <c r="D163" s="246"/>
      <c r="E163" s="245" t="str">
        <f t="shared" si="20"/>
        <v/>
      </c>
      <c r="F163" s="245" t="str">
        <f t="shared" si="16"/>
        <v/>
      </c>
      <c r="G163" s="245" t="str">
        <f t="shared" si="17"/>
        <v/>
      </c>
      <c r="H163" s="245" t="str">
        <f t="shared" si="18"/>
        <v/>
      </c>
    </row>
    <row r="164" spans="1:8" x14ac:dyDescent="0.2">
      <c r="A164" s="232" t="str">
        <f t="shared" si="14"/>
        <v/>
      </c>
      <c r="B164" s="244" t="str">
        <f t="shared" si="19"/>
        <v/>
      </c>
      <c r="C164" s="245" t="str">
        <f t="shared" si="15"/>
        <v/>
      </c>
      <c r="D164" s="246"/>
      <c r="E164" s="245" t="str">
        <f t="shared" si="20"/>
        <v/>
      </c>
      <c r="F164" s="245" t="str">
        <f t="shared" si="16"/>
        <v/>
      </c>
      <c r="G164" s="245" t="str">
        <f t="shared" si="17"/>
        <v/>
      </c>
      <c r="H164" s="245" t="str">
        <f t="shared" si="18"/>
        <v/>
      </c>
    </row>
    <row r="165" spans="1:8" x14ac:dyDescent="0.2">
      <c r="A165" s="232" t="str">
        <f t="shared" si="14"/>
        <v/>
      </c>
      <c r="B165" s="244" t="str">
        <f t="shared" si="19"/>
        <v/>
      </c>
      <c r="C165" s="245" t="str">
        <f t="shared" si="15"/>
        <v/>
      </c>
      <c r="D165" s="246"/>
      <c r="E165" s="245" t="str">
        <f t="shared" si="20"/>
        <v/>
      </c>
      <c r="F165" s="245" t="str">
        <f t="shared" si="16"/>
        <v/>
      </c>
      <c r="G165" s="245" t="str">
        <f t="shared" si="17"/>
        <v/>
      </c>
      <c r="H165" s="245" t="str">
        <f t="shared" si="18"/>
        <v/>
      </c>
    </row>
    <row r="166" spans="1:8" x14ac:dyDescent="0.2">
      <c r="A166" s="232" t="str">
        <f t="shared" si="14"/>
        <v/>
      </c>
      <c r="B166" s="244" t="str">
        <f t="shared" si="19"/>
        <v/>
      </c>
      <c r="C166" s="245" t="str">
        <f t="shared" si="15"/>
        <v/>
      </c>
      <c r="D166" s="246"/>
      <c r="E166" s="245" t="str">
        <f t="shared" si="20"/>
        <v/>
      </c>
      <c r="F166" s="245" t="str">
        <f t="shared" si="16"/>
        <v/>
      </c>
      <c r="G166" s="245" t="str">
        <f t="shared" si="17"/>
        <v/>
      </c>
      <c r="H166" s="245" t="str">
        <f t="shared" si="18"/>
        <v/>
      </c>
    </row>
    <row r="167" spans="1:8" x14ac:dyDescent="0.2">
      <c r="A167" s="232" t="str">
        <f t="shared" si="14"/>
        <v/>
      </c>
      <c r="B167" s="244" t="str">
        <f t="shared" si="19"/>
        <v/>
      </c>
      <c r="C167" s="245" t="str">
        <f t="shared" si="15"/>
        <v/>
      </c>
      <c r="D167" s="246"/>
      <c r="E167" s="245" t="str">
        <f t="shared" si="20"/>
        <v/>
      </c>
      <c r="F167" s="245" t="str">
        <f t="shared" si="16"/>
        <v/>
      </c>
      <c r="G167" s="245" t="str">
        <f t="shared" si="17"/>
        <v/>
      </c>
      <c r="H167" s="245" t="str">
        <f t="shared" si="18"/>
        <v/>
      </c>
    </row>
    <row r="168" spans="1:8" x14ac:dyDescent="0.2">
      <c r="A168" s="232" t="str">
        <f t="shared" si="14"/>
        <v/>
      </c>
      <c r="B168" s="244" t="str">
        <f t="shared" si="19"/>
        <v/>
      </c>
      <c r="C168" s="245" t="str">
        <f t="shared" si="15"/>
        <v/>
      </c>
      <c r="D168" s="246"/>
      <c r="E168" s="245" t="str">
        <f t="shared" si="20"/>
        <v/>
      </c>
      <c r="F168" s="245" t="str">
        <f t="shared" si="16"/>
        <v/>
      </c>
      <c r="G168" s="245" t="str">
        <f t="shared" si="17"/>
        <v/>
      </c>
      <c r="H168" s="245" t="str">
        <f t="shared" si="18"/>
        <v/>
      </c>
    </row>
    <row r="169" spans="1:8" x14ac:dyDescent="0.2">
      <c r="A169" s="232" t="str">
        <f t="shared" si="14"/>
        <v/>
      </c>
      <c r="B169" s="244" t="str">
        <f t="shared" si="19"/>
        <v/>
      </c>
      <c r="C169" s="245" t="str">
        <f t="shared" si="15"/>
        <v/>
      </c>
      <c r="D169" s="246"/>
      <c r="E169" s="245" t="str">
        <f t="shared" si="20"/>
        <v/>
      </c>
      <c r="F169" s="245" t="str">
        <f t="shared" si="16"/>
        <v/>
      </c>
      <c r="G169" s="245" t="str">
        <f t="shared" si="17"/>
        <v/>
      </c>
      <c r="H169" s="245" t="str">
        <f t="shared" si="18"/>
        <v/>
      </c>
    </row>
    <row r="170" spans="1:8" x14ac:dyDescent="0.2">
      <c r="A170" s="232" t="str">
        <f t="shared" si="14"/>
        <v/>
      </c>
      <c r="B170" s="244" t="str">
        <f t="shared" si="19"/>
        <v/>
      </c>
      <c r="C170" s="245" t="str">
        <f t="shared" si="15"/>
        <v/>
      </c>
      <c r="D170" s="246"/>
      <c r="E170" s="245" t="str">
        <f t="shared" si="20"/>
        <v/>
      </c>
      <c r="F170" s="245" t="str">
        <f t="shared" si="16"/>
        <v/>
      </c>
      <c r="G170" s="245" t="str">
        <f t="shared" si="17"/>
        <v/>
      </c>
      <c r="H170" s="245" t="str">
        <f t="shared" si="18"/>
        <v/>
      </c>
    </row>
    <row r="171" spans="1:8" x14ac:dyDescent="0.2">
      <c r="A171" s="232" t="str">
        <f t="shared" si="14"/>
        <v/>
      </c>
      <c r="B171" s="244" t="str">
        <f t="shared" si="19"/>
        <v/>
      </c>
      <c r="C171" s="245" t="str">
        <f t="shared" si="15"/>
        <v/>
      </c>
      <c r="D171" s="246"/>
      <c r="E171" s="245" t="str">
        <f t="shared" si="20"/>
        <v/>
      </c>
      <c r="F171" s="245" t="str">
        <f t="shared" si="16"/>
        <v/>
      </c>
      <c r="G171" s="245" t="str">
        <f t="shared" si="17"/>
        <v/>
      </c>
      <c r="H171" s="245" t="str">
        <f t="shared" si="18"/>
        <v/>
      </c>
    </row>
    <row r="172" spans="1:8" x14ac:dyDescent="0.2">
      <c r="A172" s="232" t="str">
        <f t="shared" si="14"/>
        <v/>
      </c>
      <c r="B172" s="244" t="str">
        <f t="shared" si="19"/>
        <v/>
      </c>
      <c r="C172" s="245" t="str">
        <f t="shared" si="15"/>
        <v/>
      </c>
      <c r="D172" s="246"/>
      <c r="E172" s="245" t="str">
        <f t="shared" si="20"/>
        <v/>
      </c>
      <c r="F172" s="245" t="str">
        <f t="shared" si="16"/>
        <v/>
      </c>
      <c r="G172" s="245" t="str">
        <f t="shared" si="17"/>
        <v/>
      </c>
      <c r="H172" s="245" t="str">
        <f t="shared" si="18"/>
        <v/>
      </c>
    </row>
    <row r="173" spans="1:8" x14ac:dyDescent="0.2">
      <c r="A173" s="232" t="str">
        <f t="shared" si="14"/>
        <v/>
      </c>
      <c r="B173" s="244" t="str">
        <f t="shared" si="19"/>
        <v/>
      </c>
      <c r="C173" s="245" t="str">
        <f t="shared" si="15"/>
        <v/>
      </c>
      <c r="D173" s="246"/>
      <c r="E173" s="245" t="str">
        <f t="shared" si="20"/>
        <v/>
      </c>
      <c r="F173" s="245" t="str">
        <f t="shared" si="16"/>
        <v/>
      </c>
      <c r="G173" s="245" t="str">
        <f t="shared" si="17"/>
        <v/>
      </c>
      <c r="H173" s="245" t="str">
        <f t="shared" si="18"/>
        <v/>
      </c>
    </row>
    <row r="174" spans="1:8" x14ac:dyDescent="0.2">
      <c r="A174" s="232" t="str">
        <f t="shared" si="14"/>
        <v/>
      </c>
      <c r="B174" s="244" t="str">
        <f t="shared" si="19"/>
        <v/>
      </c>
      <c r="C174" s="245" t="str">
        <f t="shared" si="15"/>
        <v/>
      </c>
      <c r="D174" s="246"/>
      <c r="E174" s="245" t="str">
        <f t="shared" si="20"/>
        <v/>
      </c>
      <c r="F174" s="245" t="str">
        <f t="shared" si="16"/>
        <v/>
      </c>
      <c r="G174" s="245" t="str">
        <f t="shared" si="17"/>
        <v/>
      </c>
      <c r="H174" s="245" t="str">
        <f t="shared" si="18"/>
        <v/>
      </c>
    </row>
    <row r="175" spans="1:8" x14ac:dyDescent="0.2">
      <c r="A175" s="232" t="str">
        <f t="shared" si="14"/>
        <v/>
      </c>
      <c r="B175" s="244" t="str">
        <f t="shared" si="19"/>
        <v/>
      </c>
      <c r="C175" s="245" t="str">
        <f t="shared" si="15"/>
        <v/>
      </c>
      <c r="D175" s="246"/>
      <c r="E175" s="245" t="str">
        <f t="shared" si="20"/>
        <v/>
      </c>
      <c r="F175" s="245" t="str">
        <f t="shared" si="16"/>
        <v/>
      </c>
      <c r="G175" s="245" t="str">
        <f t="shared" si="17"/>
        <v/>
      </c>
      <c r="H175" s="245" t="str">
        <f t="shared" si="18"/>
        <v/>
      </c>
    </row>
    <row r="176" spans="1:8" x14ac:dyDescent="0.2">
      <c r="A176" s="232" t="str">
        <f t="shared" si="14"/>
        <v/>
      </c>
      <c r="B176" s="244" t="str">
        <f t="shared" si="19"/>
        <v/>
      </c>
      <c r="C176" s="245" t="str">
        <f t="shared" si="15"/>
        <v/>
      </c>
      <c r="D176" s="246"/>
      <c r="E176" s="245" t="str">
        <f t="shared" si="20"/>
        <v/>
      </c>
      <c r="F176" s="245" t="str">
        <f t="shared" si="16"/>
        <v/>
      </c>
      <c r="G176" s="245" t="str">
        <f t="shared" si="17"/>
        <v/>
      </c>
      <c r="H176" s="245" t="str">
        <f t="shared" si="18"/>
        <v/>
      </c>
    </row>
    <row r="177" spans="1:8" x14ac:dyDescent="0.2">
      <c r="A177" s="232" t="str">
        <f t="shared" si="14"/>
        <v/>
      </c>
      <c r="B177" s="244" t="str">
        <f t="shared" si="19"/>
        <v/>
      </c>
      <c r="C177" s="245" t="str">
        <f t="shared" si="15"/>
        <v/>
      </c>
      <c r="D177" s="246"/>
      <c r="E177" s="245" t="str">
        <f t="shared" si="20"/>
        <v/>
      </c>
      <c r="F177" s="245" t="str">
        <f t="shared" si="16"/>
        <v/>
      </c>
      <c r="G177" s="245" t="str">
        <f t="shared" si="17"/>
        <v/>
      </c>
      <c r="H177" s="245" t="str">
        <f t="shared" si="18"/>
        <v/>
      </c>
    </row>
    <row r="178" spans="1:8" x14ac:dyDescent="0.2">
      <c r="A178" s="232" t="str">
        <f t="shared" si="14"/>
        <v/>
      </c>
      <c r="B178" s="244" t="str">
        <f t="shared" si="19"/>
        <v/>
      </c>
      <c r="C178" s="245" t="str">
        <f t="shared" si="15"/>
        <v/>
      </c>
      <c r="D178" s="246"/>
      <c r="E178" s="245" t="str">
        <f t="shared" si="20"/>
        <v/>
      </c>
      <c r="F178" s="245" t="str">
        <f t="shared" si="16"/>
        <v/>
      </c>
      <c r="G178" s="245" t="str">
        <f t="shared" si="17"/>
        <v/>
      </c>
      <c r="H178" s="245" t="str">
        <f t="shared" si="18"/>
        <v/>
      </c>
    </row>
    <row r="179" spans="1:8" x14ac:dyDescent="0.2">
      <c r="A179" s="232" t="str">
        <f t="shared" si="14"/>
        <v/>
      </c>
      <c r="B179" s="244" t="str">
        <f t="shared" si="19"/>
        <v/>
      </c>
      <c r="C179" s="245" t="str">
        <f t="shared" si="15"/>
        <v/>
      </c>
      <c r="D179" s="246"/>
      <c r="E179" s="245" t="str">
        <f t="shared" si="20"/>
        <v/>
      </c>
      <c r="F179" s="245" t="str">
        <f t="shared" si="16"/>
        <v/>
      </c>
      <c r="G179" s="245" t="str">
        <f t="shared" si="17"/>
        <v/>
      </c>
      <c r="H179" s="245" t="str">
        <f t="shared" si="18"/>
        <v/>
      </c>
    </row>
    <row r="180" spans="1:8" x14ac:dyDescent="0.2">
      <c r="A180" s="232" t="str">
        <f t="shared" si="14"/>
        <v/>
      </c>
      <c r="B180" s="244" t="str">
        <f t="shared" si="19"/>
        <v/>
      </c>
      <c r="C180" s="245" t="str">
        <f t="shared" si="15"/>
        <v/>
      </c>
      <c r="D180" s="246"/>
      <c r="E180" s="245" t="str">
        <f t="shared" si="20"/>
        <v/>
      </c>
      <c r="F180" s="245" t="str">
        <f t="shared" si="16"/>
        <v/>
      </c>
      <c r="G180" s="245" t="str">
        <f t="shared" si="17"/>
        <v/>
      </c>
      <c r="H180" s="245" t="str">
        <f t="shared" si="18"/>
        <v/>
      </c>
    </row>
    <row r="181" spans="1:8" x14ac:dyDescent="0.2">
      <c r="A181" s="232" t="str">
        <f t="shared" si="14"/>
        <v/>
      </c>
      <c r="B181" s="244" t="str">
        <f t="shared" si="19"/>
        <v/>
      </c>
      <c r="C181" s="245" t="str">
        <f t="shared" si="15"/>
        <v/>
      </c>
      <c r="D181" s="246"/>
      <c r="E181" s="245" t="str">
        <f t="shared" si="20"/>
        <v/>
      </c>
      <c r="F181" s="245" t="str">
        <f t="shared" si="16"/>
        <v/>
      </c>
      <c r="G181" s="245" t="str">
        <f t="shared" si="17"/>
        <v/>
      </c>
      <c r="H181" s="245" t="str">
        <f t="shared" si="18"/>
        <v/>
      </c>
    </row>
    <row r="182" spans="1:8" x14ac:dyDescent="0.2">
      <c r="A182" s="232" t="str">
        <f t="shared" si="14"/>
        <v/>
      </c>
      <c r="B182" s="244" t="str">
        <f t="shared" si="19"/>
        <v/>
      </c>
      <c r="C182" s="245" t="str">
        <f t="shared" si="15"/>
        <v/>
      </c>
      <c r="D182" s="246"/>
      <c r="E182" s="245" t="str">
        <f t="shared" si="20"/>
        <v/>
      </c>
      <c r="F182" s="245" t="str">
        <f t="shared" si="16"/>
        <v/>
      </c>
      <c r="G182" s="245" t="str">
        <f t="shared" si="17"/>
        <v/>
      </c>
      <c r="H182" s="245" t="str">
        <f t="shared" si="18"/>
        <v/>
      </c>
    </row>
    <row r="183" spans="1:8" x14ac:dyDescent="0.2">
      <c r="A183" s="232" t="str">
        <f t="shared" si="14"/>
        <v/>
      </c>
      <c r="B183" s="244" t="str">
        <f t="shared" si="19"/>
        <v/>
      </c>
      <c r="C183" s="245" t="str">
        <f t="shared" si="15"/>
        <v/>
      </c>
      <c r="D183" s="246"/>
      <c r="E183" s="245" t="str">
        <f t="shared" si="20"/>
        <v/>
      </c>
      <c r="F183" s="245" t="str">
        <f t="shared" si="16"/>
        <v/>
      </c>
      <c r="G183" s="245" t="str">
        <f t="shared" si="17"/>
        <v/>
      </c>
      <c r="H183" s="245" t="str">
        <f t="shared" si="18"/>
        <v/>
      </c>
    </row>
    <row r="184" spans="1:8" x14ac:dyDescent="0.2">
      <c r="A184" s="232" t="str">
        <f t="shared" si="14"/>
        <v/>
      </c>
      <c r="B184" s="244" t="str">
        <f t="shared" si="19"/>
        <v/>
      </c>
      <c r="C184" s="245" t="str">
        <f t="shared" si="15"/>
        <v/>
      </c>
      <c r="D184" s="246"/>
      <c r="E184" s="245" t="str">
        <f t="shared" si="20"/>
        <v/>
      </c>
      <c r="F184" s="245" t="str">
        <f t="shared" si="16"/>
        <v/>
      </c>
      <c r="G184" s="245" t="str">
        <f t="shared" si="17"/>
        <v/>
      </c>
      <c r="H184" s="245" t="str">
        <f t="shared" si="18"/>
        <v/>
      </c>
    </row>
    <row r="185" spans="1:8" x14ac:dyDescent="0.2">
      <c r="A185" s="232" t="str">
        <f t="shared" si="14"/>
        <v/>
      </c>
      <c r="B185" s="244" t="str">
        <f t="shared" si="19"/>
        <v/>
      </c>
      <c r="C185" s="245" t="str">
        <f t="shared" si="15"/>
        <v/>
      </c>
      <c r="D185" s="246"/>
      <c r="E185" s="245" t="str">
        <f t="shared" si="20"/>
        <v/>
      </c>
      <c r="F185" s="245" t="str">
        <f t="shared" si="16"/>
        <v/>
      </c>
      <c r="G185" s="245" t="str">
        <f t="shared" si="17"/>
        <v/>
      </c>
      <c r="H185" s="245" t="str">
        <f t="shared" si="18"/>
        <v/>
      </c>
    </row>
    <row r="186" spans="1:8" x14ac:dyDescent="0.2">
      <c r="A186" s="232" t="str">
        <f t="shared" si="14"/>
        <v/>
      </c>
      <c r="B186" s="244" t="str">
        <f t="shared" si="19"/>
        <v/>
      </c>
      <c r="C186" s="245" t="str">
        <f t="shared" si="15"/>
        <v/>
      </c>
      <c r="D186" s="246"/>
      <c r="E186" s="245" t="str">
        <f t="shared" si="20"/>
        <v/>
      </c>
      <c r="F186" s="245" t="str">
        <f t="shared" si="16"/>
        <v/>
      </c>
      <c r="G186" s="245" t="str">
        <f t="shared" si="17"/>
        <v/>
      </c>
      <c r="H186" s="245" t="str">
        <f t="shared" si="18"/>
        <v/>
      </c>
    </row>
    <row r="187" spans="1:8" x14ac:dyDescent="0.2">
      <c r="A187" s="232" t="str">
        <f t="shared" si="14"/>
        <v/>
      </c>
      <c r="B187" s="244" t="str">
        <f t="shared" si="19"/>
        <v/>
      </c>
      <c r="C187" s="245" t="str">
        <f t="shared" si="15"/>
        <v/>
      </c>
      <c r="D187" s="246"/>
      <c r="E187" s="245" t="str">
        <f t="shared" si="20"/>
        <v/>
      </c>
      <c r="F187" s="245" t="str">
        <f t="shared" si="16"/>
        <v/>
      </c>
      <c r="G187" s="245" t="str">
        <f t="shared" si="17"/>
        <v/>
      </c>
      <c r="H187" s="245" t="str">
        <f t="shared" si="18"/>
        <v/>
      </c>
    </row>
    <row r="188" spans="1:8" x14ac:dyDescent="0.2">
      <c r="A188" s="232" t="str">
        <f t="shared" si="14"/>
        <v/>
      </c>
      <c r="B188" s="244" t="str">
        <f t="shared" si="19"/>
        <v/>
      </c>
      <c r="C188" s="245" t="str">
        <f t="shared" si="15"/>
        <v/>
      </c>
      <c r="D188" s="246"/>
      <c r="E188" s="245" t="str">
        <f t="shared" si="20"/>
        <v/>
      </c>
      <c r="F188" s="245" t="str">
        <f t="shared" si="16"/>
        <v/>
      </c>
      <c r="G188" s="245" t="str">
        <f t="shared" si="17"/>
        <v/>
      </c>
      <c r="H188" s="245" t="str">
        <f t="shared" si="18"/>
        <v/>
      </c>
    </row>
    <row r="189" spans="1:8" x14ac:dyDescent="0.2">
      <c r="A189" s="232" t="str">
        <f t="shared" si="14"/>
        <v/>
      </c>
      <c r="B189" s="244" t="str">
        <f t="shared" si="19"/>
        <v/>
      </c>
      <c r="C189" s="245" t="str">
        <f t="shared" si="15"/>
        <v/>
      </c>
      <c r="D189" s="246"/>
      <c r="E189" s="245" t="str">
        <f t="shared" si="20"/>
        <v/>
      </c>
      <c r="F189" s="245" t="str">
        <f t="shared" si="16"/>
        <v/>
      </c>
      <c r="G189" s="245" t="str">
        <f t="shared" si="17"/>
        <v/>
      </c>
      <c r="H189" s="245" t="str">
        <f t="shared" si="18"/>
        <v/>
      </c>
    </row>
    <row r="190" spans="1:8" x14ac:dyDescent="0.2">
      <c r="A190" s="232" t="str">
        <f t="shared" si="14"/>
        <v/>
      </c>
      <c r="B190" s="244" t="str">
        <f t="shared" si="19"/>
        <v/>
      </c>
      <c r="C190" s="245" t="str">
        <f t="shared" si="15"/>
        <v/>
      </c>
      <c r="D190" s="246"/>
      <c r="E190" s="245" t="str">
        <f t="shared" si="20"/>
        <v/>
      </c>
      <c r="F190" s="245" t="str">
        <f t="shared" si="16"/>
        <v/>
      </c>
      <c r="G190" s="245" t="str">
        <f t="shared" si="17"/>
        <v/>
      </c>
      <c r="H190" s="245" t="str">
        <f t="shared" si="18"/>
        <v/>
      </c>
    </row>
    <row r="191" spans="1:8" x14ac:dyDescent="0.2">
      <c r="A191" s="232" t="str">
        <f t="shared" si="14"/>
        <v/>
      </c>
      <c r="B191" s="244" t="str">
        <f t="shared" si="19"/>
        <v/>
      </c>
      <c r="C191" s="245" t="str">
        <f t="shared" si="15"/>
        <v/>
      </c>
      <c r="D191" s="246"/>
      <c r="E191" s="245" t="str">
        <f t="shared" si="20"/>
        <v/>
      </c>
      <c r="F191" s="245" t="str">
        <f t="shared" si="16"/>
        <v/>
      </c>
      <c r="G191" s="245" t="str">
        <f t="shared" si="17"/>
        <v/>
      </c>
      <c r="H191" s="245" t="str">
        <f t="shared" si="18"/>
        <v/>
      </c>
    </row>
    <row r="192" spans="1:8" x14ac:dyDescent="0.2">
      <c r="A192" s="232" t="str">
        <f t="shared" si="14"/>
        <v/>
      </c>
      <c r="B192" s="244" t="str">
        <f t="shared" si="19"/>
        <v/>
      </c>
      <c r="C192" s="245" t="str">
        <f t="shared" si="15"/>
        <v/>
      </c>
      <c r="D192" s="246"/>
      <c r="E192" s="245" t="str">
        <f t="shared" si="20"/>
        <v/>
      </c>
      <c r="F192" s="245" t="str">
        <f t="shared" si="16"/>
        <v/>
      </c>
      <c r="G192" s="245" t="str">
        <f t="shared" si="17"/>
        <v/>
      </c>
      <c r="H192" s="245" t="str">
        <f t="shared" si="18"/>
        <v/>
      </c>
    </row>
    <row r="193" spans="1:8" x14ac:dyDescent="0.2">
      <c r="A193" s="232" t="str">
        <f t="shared" si="14"/>
        <v/>
      </c>
      <c r="B193" s="244" t="str">
        <f t="shared" si="19"/>
        <v/>
      </c>
      <c r="C193" s="245" t="str">
        <f t="shared" si="15"/>
        <v/>
      </c>
      <c r="D193" s="246"/>
      <c r="E193" s="245" t="str">
        <f t="shared" si="20"/>
        <v/>
      </c>
      <c r="F193" s="245" t="str">
        <f t="shared" si="16"/>
        <v/>
      </c>
      <c r="G193" s="245" t="str">
        <f t="shared" si="17"/>
        <v/>
      </c>
      <c r="H193" s="245" t="str">
        <f t="shared" si="18"/>
        <v/>
      </c>
    </row>
    <row r="194" spans="1:8" x14ac:dyDescent="0.2">
      <c r="A194" s="232" t="str">
        <f t="shared" si="14"/>
        <v/>
      </c>
      <c r="B194" s="244" t="str">
        <f t="shared" si="19"/>
        <v/>
      </c>
      <c r="C194" s="245" t="str">
        <f t="shared" si="15"/>
        <v/>
      </c>
      <c r="D194" s="246"/>
      <c r="E194" s="245" t="str">
        <f t="shared" si="20"/>
        <v/>
      </c>
      <c r="F194" s="245" t="str">
        <f t="shared" si="16"/>
        <v/>
      </c>
      <c r="G194" s="245" t="str">
        <f t="shared" si="17"/>
        <v/>
      </c>
      <c r="H194" s="245" t="str">
        <f t="shared" si="18"/>
        <v/>
      </c>
    </row>
    <row r="195" spans="1:8" x14ac:dyDescent="0.2">
      <c r="A195" s="232" t="str">
        <f t="shared" si="14"/>
        <v/>
      </c>
      <c r="B195" s="244" t="str">
        <f t="shared" si="19"/>
        <v/>
      </c>
      <c r="C195" s="245" t="str">
        <f t="shared" si="15"/>
        <v/>
      </c>
      <c r="D195" s="246"/>
      <c r="E195" s="245" t="str">
        <f t="shared" si="20"/>
        <v/>
      </c>
      <c r="F195" s="245" t="str">
        <f t="shared" si="16"/>
        <v/>
      </c>
      <c r="G195" s="245" t="str">
        <f t="shared" si="17"/>
        <v/>
      </c>
      <c r="H195" s="245" t="str">
        <f t="shared" si="18"/>
        <v/>
      </c>
    </row>
    <row r="196" spans="1:8" x14ac:dyDescent="0.2">
      <c r="A196" s="232" t="str">
        <f t="shared" si="14"/>
        <v/>
      </c>
      <c r="B196" s="244" t="str">
        <f t="shared" si="19"/>
        <v/>
      </c>
      <c r="C196" s="245" t="str">
        <f t="shared" si="15"/>
        <v/>
      </c>
      <c r="D196" s="246"/>
      <c r="E196" s="245" t="str">
        <f t="shared" si="20"/>
        <v/>
      </c>
      <c r="F196" s="245" t="str">
        <f t="shared" si="16"/>
        <v/>
      </c>
      <c r="G196" s="245" t="str">
        <f t="shared" si="17"/>
        <v/>
      </c>
      <c r="H196" s="245" t="str">
        <f t="shared" si="18"/>
        <v/>
      </c>
    </row>
    <row r="197" spans="1:8" x14ac:dyDescent="0.2">
      <c r="A197" s="232" t="str">
        <f t="shared" si="14"/>
        <v/>
      </c>
      <c r="B197" s="244" t="str">
        <f t="shared" si="19"/>
        <v/>
      </c>
      <c r="C197" s="245" t="str">
        <f t="shared" si="15"/>
        <v/>
      </c>
      <c r="D197" s="246"/>
      <c r="E197" s="245" t="str">
        <f t="shared" si="20"/>
        <v/>
      </c>
      <c r="F197" s="245" t="str">
        <f t="shared" si="16"/>
        <v/>
      </c>
      <c r="G197" s="245" t="str">
        <f t="shared" si="17"/>
        <v/>
      </c>
      <c r="H197" s="245" t="str">
        <f t="shared" si="18"/>
        <v/>
      </c>
    </row>
    <row r="198" spans="1:8" x14ac:dyDescent="0.2">
      <c r="A198" s="232" t="str">
        <f t="shared" si="14"/>
        <v/>
      </c>
      <c r="B198" s="244" t="str">
        <f t="shared" si="19"/>
        <v/>
      </c>
      <c r="C198" s="245" t="str">
        <f t="shared" si="15"/>
        <v/>
      </c>
      <c r="D198" s="246"/>
      <c r="E198" s="245" t="str">
        <f t="shared" si="20"/>
        <v/>
      </c>
      <c r="F198" s="245" t="str">
        <f t="shared" si="16"/>
        <v/>
      </c>
      <c r="G198" s="245" t="str">
        <f t="shared" si="17"/>
        <v/>
      </c>
      <c r="H198" s="245" t="str">
        <f t="shared" si="18"/>
        <v/>
      </c>
    </row>
    <row r="199" spans="1:8" x14ac:dyDescent="0.2">
      <c r="A199" s="232" t="str">
        <f t="shared" si="14"/>
        <v/>
      </c>
      <c r="B199" s="244" t="str">
        <f t="shared" si="19"/>
        <v/>
      </c>
      <c r="C199" s="245" t="str">
        <f t="shared" si="15"/>
        <v/>
      </c>
      <c r="D199" s="246"/>
      <c r="E199" s="245" t="str">
        <f t="shared" si="20"/>
        <v/>
      </c>
      <c r="F199" s="245" t="str">
        <f t="shared" si="16"/>
        <v/>
      </c>
      <c r="G199" s="245" t="str">
        <f t="shared" si="17"/>
        <v/>
      </c>
      <c r="H199" s="245" t="str">
        <f t="shared" si="18"/>
        <v/>
      </c>
    </row>
    <row r="200" spans="1:8" x14ac:dyDescent="0.2">
      <c r="A200" s="232" t="str">
        <f t="shared" si="14"/>
        <v/>
      </c>
      <c r="B200" s="244" t="str">
        <f t="shared" si="19"/>
        <v/>
      </c>
      <c r="C200" s="245" t="str">
        <f t="shared" si="15"/>
        <v/>
      </c>
      <c r="D200" s="246"/>
      <c r="E200" s="245" t="str">
        <f t="shared" si="20"/>
        <v/>
      </c>
      <c r="F200" s="245" t="str">
        <f t="shared" si="16"/>
        <v/>
      </c>
      <c r="G200" s="245" t="str">
        <f t="shared" si="17"/>
        <v/>
      </c>
      <c r="H200" s="245" t="str">
        <f t="shared" si="18"/>
        <v/>
      </c>
    </row>
    <row r="201" spans="1:8" x14ac:dyDescent="0.2">
      <c r="A201" s="232" t="str">
        <f t="shared" si="14"/>
        <v/>
      </c>
      <c r="B201" s="244" t="str">
        <f t="shared" si="19"/>
        <v/>
      </c>
      <c r="C201" s="245" t="str">
        <f t="shared" si="15"/>
        <v/>
      </c>
      <c r="D201" s="246"/>
      <c r="E201" s="245" t="str">
        <f t="shared" si="20"/>
        <v/>
      </c>
      <c r="F201" s="245" t="str">
        <f t="shared" si="16"/>
        <v/>
      </c>
      <c r="G201" s="245" t="str">
        <f t="shared" si="17"/>
        <v/>
      </c>
      <c r="H201" s="245" t="str">
        <f t="shared" si="18"/>
        <v/>
      </c>
    </row>
    <row r="202" spans="1:8" x14ac:dyDescent="0.2">
      <c r="A202" s="232" t="str">
        <f t="shared" si="14"/>
        <v/>
      </c>
      <c r="B202" s="244" t="str">
        <f t="shared" si="19"/>
        <v/>
      </c>
      <c r="C202" s="245" t="str">
        <f t="shared" si="15"/>
        <v/>
      </c>
      <c r="D202" s="246"/>
      <c r="E202" s="245" t="str">
        <f t="shared" si="20"/>
        <v/>
      </c>
      <c r="F202" s="245" t="str">
        <f t="shared" si="16"/>
        <v/>
      </c>
      <c r="G202" s="245" t="str">
        <f t="shared" si="17"/>
        <v/>
      </c>
      <c r="H202" s="245" t="str">
        <f t="shared" si="18"/>
        <v/>
      </c>
    </row>
    <row r="203" spans="1:8" x14ac:dyDescent="0.2">
      <c r="A203" s="232" t="str">
        <f t="shared" si="14"/>
        <v/>
      </c>
      <c r="B203" s="244" t="str">
        <f t="shared" si="19"/>
        <v/>
      </c>
      <c r="C203" s="245" t="str">
        <f t="shared" si="15"/>
        <v/>
      </c>
      <c r="D203" s="246"/>
      <c r="E203" s="245" t="str">
        <f t="shared" si="20"/>
        <v/>
      </c>
      <c r="F203" s="245" t="str">
        <f t="shared" si="16"/>
        <v/>
      </c>
      <c r="G203" s="245" t="str">
        <f t="shared" si="17"/>
        <v/>
      </c>
      <c r="H203" s="245" t="str">
        <f t="shared" si="18"/>
        <v/>
      </c>
    </row>
    <row r="204" spans="1:8" x14ac:dyDescent="0.2">
      <c r="A204" s="232" t="str">
        <f t="shared" si="14"/>
        <v/>
      </c>
      <c r="B204" s="244" t="str">
        <f t="shared" si="19"/>
        <v/>
      </c>
      <c r="C204" s="245" t="str">
        <f t="shared" si="15"/>
        <v/>
      </c>
      <c r="D204" s="246"/>
      <c r="E204" s="245" t="str">
        <f t="shared" si="20"/>
        <v/>
      </c>
      <c r="F204" s="245" t="str">
        <f t="shared" si="16"/>
        <v/>
      </c>
      <c r="G204" s="245" t="str">
        <f t="shared" si="17"/>
        <v/>
      </c>
      <c r="H204" s="245" t="str">
        <f t="shared" si="18"/>
        <v/>
      </c>
    </row>
    <row r="205" spans="1:8" x14ac:dyDescent="0.2">
      <c r="A205" s="232" t="str">
        <f t="shared" si="14"/>
        <v/>
      </c>
      <c r="B205" s="244" t="str">
        <f t="shared" si="19"/>
        <v/>
      </c>
      <c r="C205" s="245" t="str">
        <f t="shared" si="15"/>
        <v/>
      </c>
      <c r="D205" s="246"/>
      <c r="E205" s="245" t="str">
        <f t="shared" si="20"/>
        <v/>
      </c>
      <c r="F205" s="245" t="str">
        <f t="shared" si="16"/>
        <v/>
      </c>
      <c r="G205" s="245" t="str">
        <f t="shared" si="17"/>
        <v/>
      </c>
      <c r="H205" s="245" t="str">
        <f t="shared" si="18"/>
        <v/>
      </c>
    </row>
    <row r="206" spans="1:8" x14ac:dyDescent="0.2">
      <c r="A206" s="232" t="str">
        <f t="shared" si="14"/>
        <v/>
      </c>
      <c r="B206" s="244" t="str">
        <f t="shared" si="19"/>
        <v/>
      </c>
      <c r="C206" s="245" t="str">
        <f t="shared" si="15"/>
        <v/>
      </c>
      <c r="D206" s="246"/>
      <c r="E206" s="245" t="str">
        <f t="shared" si="20"/>
        <v/>
      </c>
      <c r="F206" s="245" t="str">
        <f t="shared" si="16"/>
        <v/>
      </c>
      <c r="G206" s="245" t="str">
        <f t="shared" si="17"/>
        <v/>
      </c>
      <c r="H206" s="245" t="str">
        <f t="shared" si="18"/>
        <v/>
      </c>
    </row>
    <row r="207" spans="1:8" x14ac:dyDescent="0.2">
      <c r="A207" s="232" t="str">
        <f t="shared" si="14"/>
        <v/>
      </c>
      <c r="B207" s="244" t="str">
        <f t="shared" si="19"/>
        <v/>
      </c>
      <c r="C207" s="245" t="str">
        <f t="shared" si="15"/>
        <v/>
      </c>
      <c r="D207" s="246"/>
      <c r="E207" s="245" t="str">
        <f t="shared" si="20"/>
        <v/>
      </c>
      <c r="F207" s="245" t="str">
        <f t="shared" si="16"/>
        <v/>
      </c>
      <c r="G207" s="245" t="str">
        <f t="shared" si="17"/>
        <v/>
      </c>
      <c r="H207" s="245" t="str">
        <f t="shared" si="18"/>
        <v/>
      </c>
    </row>
    <row r="208" spans="1:8" x14ac:dyDescent="0.2">
      <c r="A208" s="232" t="str">
        <f t="shared" si="14"/>
        <v/>
      </c>
      <c r="B208" s="244" t="str">
        <f t="shared" si="19"/>
        <v/>
      </c>
      <c r="C208" s="245" t="str">
        <f t="shared" si="15"/>
        <v/>
      </c>
      <c r="D208" s="246"/>
      <c r="E208" s="245" t="str">
        <f t="shared" si="20"/>
        <v/>
      </c>
      <c r="F208" s="245" t="str">
        <f t="shared" si="16"/>
        <v/>
      </c>
      <c r="G208" s="245" t="str">
        <f t="shared" si="17"/>
        <v/>
      </c>
      <c r="H208" s="245" t="str">
        <f t="shared" si="18"/>
        <v/>
      </c>
    </row>
    <row r="209" spans="1:8" x14ac:dyDescent="0.2">
      <c r="A209" s="232" t="str">
        <f t="shared" si="14"/>
        <v/>
      </c>
      <c r="B209" s="244" t="str">
        <f t="shared" si="19"/>
        <v/>
      </c>
      <c r="C209" s="245" t="str">
        <f t="shared" si="15"/>
        <v/>
      </c>
      <c r="D209" s="246"/>
      <c r="E209" s="245" t="str">
        <f t="shared" si="20"/>
        <v/>
      </c>
      <c r="F209" s="245" t="str">
        <f t="shared" si="16"/>
        <v/>
      </c>
      <c r="G209" s="245" t="str">
        <f t="shared" si="17"/>
        <v/>
      </c>
      <c r="H209" s="245" t="str">
        <f t="shared" si="18"/>
        <v/>
      </c>
    </row>
    <row r="210" spans="1:8" x14ac:dyDescent="0.2">
      <c r="A210" s="232" t="str">
        <f t="shared" si="14"/>
        <v/>
      </c>
      <c r="B210" s="244" t="str">
        <f t="shared" si="19"/>
        <v/>
      </c>
      <c r="C210" s="245" t="str">
        <f t="shared" si="15"/>
        <v/>
      </c>
      <c r="D210" s="246"/>
      <c r="E210" s="245" t="str">
        <f t="shared" si="20"/>
        <v/>
      </c>
      <c r="F210" s="245" t="str">
        <f t="shared" si="16"/>
        <v/>
      </c>
      <c r="G210" s="245" t="str">
        <f t="shared" si="17"/>
        <v/>
      </c>
      <c r="H210" s="245" t="str">
        <f t="shared" si="18"/>
        <v/>
      </c>
    </row>
    <row r="211" spans="1:8" x14ac:dyDescent="0.2">
      <c r="A211" s="232" t="str">
        <f t="shared" si="14"/>
        <v/>
      </c>
      <c r="B211" s="244" t="str">
        <f t="shared" si="19"/>
        <v/>
      </c>
      <c r="C211" s="245" t="str">
        <f t="shared" si="15"/>
        <v/>
      </c>
      <c r="D211" s="246"/>
      <c r="E211" s="245" t="str">
        <f t="shared" si="20"/>
        <v/>
      </c>
      <c r="F211" s="245" t="str">
        <f t="shared" si="16"/>
        <v/>
      </c>
      <c r="G211" s="245" t="str">
        <f t="shared" si="17"/>
        <v/>
      </c>
      <c r="H211" s="245" t="str">
        <f t="shared" si="18"/>
        <v/>
      </c>
    </row>
    <row r="212" spans="1:8" x14ac:dyDescent="0.2">
      <c r="A212" s="232" t="str">
        <f t="shared" si="14"/>
        <v/>
      </c>
      <c r="B212" s="244" t="str">
        <f t="shared" si="19"/>
        <v/>
      </c>
      <c r="C212" s="245" t="str">
        <f t="shared" si="15"/>
        <v/>
      </c>
      <c r="D212" s="246"/>
      <c r="E212" s="245" t="str">
        <f t="shared" si="20"/>
        <v/>
      </c>
      <c r="F212" s="245" t="str">
        <f t="shared" si="16"/>
        <v/>
      </c>
      <c r="G212" s="245" t="str">
        <f t="shared" si="17"/>
        <v/>
      </c>
      <c r="H212" s="245" t="str">
        <f t="shared" si="18"/>
        <v/>
      </c>
    </row>
    <row r="213" spans="1:8" x14ac:dyDescent="0.2">
      <c r="A213" s="232" t="str">
        <f t="shared" si="14"/>
        <v/>
      </c>
      <c r="B213" s="244" t="str">
        <f t="shared" si="19"/>
        <v/>
      </c>
      <c r="C213" s="245" t="str">
        <f t="shared" si="15"/>
        <v/>
      </c>
      <c r="D213" s="246"/>
      <c r="E213" s="245" t="str">
        <f t="shared" si="20"/>
        <v/>
      </c>
      <c r="F213" s="245" t="str">
        <f t="shared" si="16"/>
        <v/>
      </c>
      <c r="G213" s="245" t="str">
        <f t="shared" si="17"/>
        <v/>
      </c>
      <c r="H213" s="245" t="str">
        <f t="shared" si="18"/>
        <v/>
      </c>
    </row>
    <row r="214" spans="1:8" x14ac:dyDescent="0.2">
      <c r="A214" s="232" t="str">
        <f t="shared" si="14"/>
        <v/>
      </c>
      <c r="B214" s="244" t="str">
        <f t="shared" si="19"/>
        <v/>
      </c>
      <c r="C214" s="245" t="str">
        <f t="shared" si="15"/>
        <v/>
      </c>
      <c r="D214" s="246"/>
      <c r="E214" s="245" t="str">
        <f t="shared" si="20"/>
        <v/>
      </c>
      <c r="F214" s="245" t="str">
        <f t="shared" si="16"/>
        <v/>
      </c>
      <c r="G214" s="245" t="str">
        <f t="shared" si="17"/>
        <v/>
      </c>
      <c r="H214" s="245" t="str">
        <f t="shared" si="18"/>
        <v/>
      </c>
    </row>
    <row r="215" spans="1:8" x14ac:dyDescent="0.2">
      <c r="A215" s="232" t="str">
        <f t="shared" ref="A215:A278" si="21">IF(A214="","",IF(H214&gt;0,A214+1,""))</f>
        <v/>
      </c>
      <c r="B215" s="244" t="str">
        <f t="shared" si="19"/>
        <v/>
      </c>
      <c r="C215" s="245" t="str">
        <f t="shared" ref="C215:C278" si="22">IF(A215="","",IF(ISBLANK($E$10),MIN(MAX($E$7*H214+IF(plusinterest,F215,0),$E$9),F215+H214),MIN($E$10,H214+F215)))</f>
        <v/>
      </c>
      <c r="D215" s="246"/>
      <c r="E215" s="245" t="str">
        <f t="shared" si="20"/>
        <v/>
      </c>
      <c r="F215" s="245" t="str">
        <f t="shared" ref="F215:F278" si="23">IF(A215="","",B215/12*H214)</f>
        <v/>
      </c>
      <c r="G215" s="245" t="str">
        <f t="shared" ref="G215:G278" si="24">IF(A215="","",C215+D215-F215)</f>
        <v/>
      </c>
      <c r="H215" s="245" t="str">
        <f t="shared" ref="H215:H278" si="25">IF(A215="","",H214-G215)</f>
        <v/>
      </c>
    </row>
    <row r="216" spans="1:8" x14ac:dyDescent="0.2">
      <c r="A216" s="232" t="str">
        <f t="shared" si="21"/>
        <v/>
      </c>
      <c r="B216" s="244" t="str">
        <f t="shared" ref="B216:B279" si="26">IF(A216="","",IF(A216&lt;=$E$11,0,$E$6))</f>
        <v/>
      </c>
      <c r="C216" s="245" t="str">
        <f t="shared" si="22"/>
        <v/>
      </c>
      <c r="D216" s="246"/>
      <c r="E216" s="245" t="str">
        <f t="shared" ref="E216:E279" si="27">IF(A216="","",C216+D216)</f>
        <v/>
      </c>
      <c r="F216" s="245" t="str">
        <f t="shared" si="23"/>
        <v/>
      </c>
      <c r="G216" s="245" t="str">
        <f t="shared" si="24"/>
        <v/>
      </c>
      <c r="H216" s="245" t="str">
        <f t="shared" si="25"/>
        <v/>
      </c>
    </row>
    <row r="217" spans="1:8" x14ac:dyDescent="0.2">
      <c r="A217" s="232" t="str">
        <f t="shared" si="21"/>
        <v/>
      </c>
      <c r="B217" s="244" t="str">
        <f t="shared" si="26"/>
        <v/>
      </c>
      <c r="C217" s="245" t="str">
        <f t="shared" si="22"/>
        <v/>
      </c>
      <c r="D217" s="246"/>
      <c r="E217" s="245" t="str">
        <f t="shared" si="27"/>
        <v/>
      </c>
      <c r="F217" s="245" t="str">
        <f t="shared" si="23"/>
        <v/>
      </c>
      <c r="G217" s="245" t="str">
        <f t="shared" si="24"/>
        <v/>
      </c>
      <c r="H217" s="245" t="str">
        <f t="shared" si="25"/>
        <v/>
      </c>
    </row>
    <row r="218" spans="1:8" x14ac:dyDescent="0.2">
      <c r="A218" s="232" t="str">
        <f t="shared" si="21"/>
        <v/>
      </c>
      <c r="B218" s="244" t="str">
        <f t="shared" si="26"/>
        <v/>
      </c>
      <c r="C218" s="245" t="str">
        <f t="shared" si="22"/>
        <v/>
      </c>
      <c r="D218" s="246"/>
      <c r="E218" s="245" t="str">
        <f t="shared" si="27"/>
        <v/>
      </c>
      <c r="F218" s="245" t="str">
        <f t="shared" si="23"/>
        <v/>
      </c>
      <c r="G218" s="245" t="str">
        <f t="shared" si="24"/>
        <v/>
      </c>
      <c r="H218" s="245" t="str">
        <f t="shared" si="25"/>
        <v/>
      </c>
    </row>
    <row r="219" spans="1:8" x14ac:dyDescent="0.2">
      <c r="A219" s="232" t="str">
        <f t="shared" si="21"/>
        <v/>
      </c>
      <c r="B219" s="244" t="str">
        <f t="shared" si="26"/>
        <v/>
      </c>
      <c r="C219" s="245" t="str">
        <f t="shared" si="22"/>
        <v/>
      </c>
      <c r="D219" s="246"/>
      <c r="E219" s="245" t="str">
        <f t="shared" si="27"/>
        <v/>
      </c>
      <c r="F219" s="245" t="str">
        <f t="shared" si="23"/>
        <v/>
      </c>
      <c r="G219" s="245" t="str">
        <f t="shared" si="24"/>
        <v/>
      </c>
      <c r="H219" s="245" t="str">
        <f t="shared" si="25"/>
        <v/>
      </c>
    </row>
    <row r="220" spans="1:8" x14ac:dyDescent="0.2">
      <c r="A220" s="232" t="str">
        <f t="shared" si="21"/>
        <v/>
      </c>
      <c r="B220" s="244" t="str">
        <f t="shared" si="26"/>
        <v/>
      </c>
      <c r="C220" s="245" t="str">
        <f t="shared" si="22"/>
        <v/>
      </c>
      <c r="D220" s="246"/>
      <c r="E220" s="245" t="str">
        <f t="shared" si="27"/>
        <v/>
      </c>
      <c r="F220" s="245" t="str">
        <f t="shared" si="23"/>
        <v/>
      </c>
      <c r="G220" s="245" t="str">
        <f t="shared" si="24"/>
        <v/>
      </c>
      <c r="H220" s="245" t="str">
        <f t="shared" si="25"/>
        <v/>
      </c>
    </row>
    <row r="221" spans="1:8" x14ac:dyDescent="0.2">
      <c r="A221" s="232" t="str">
        <f t="shared" si="21"/>
        <v/>
      </c>
      <c r="B221" s="244" t="str">
        <f t="shared" si="26"/>
        <v/>
      </c>
      <c r="C221" s="245" t="str">
        <f t="shared" si="22"/>
        <v/>
      </c>
      <c r="D221" s="246"/>
      <c r="E221" s="245" t="str">
        <f t="shared" si="27"/>
        <v/>
      </c>
      <c r="F221" s="245" t="str">
        <f t="shared" si="23"/>
        <v/>
      </c>
      <c r="G221" s="245" t="str">
        <f t="shared" si="24"/>
        <v/>
      </c>
      <c r="H221" s="245" t="str">
        <f t="shared" si="25"/>
        <v/>
      </c>
    </row>
    <row r="222" spans="1:8" x14ac:dyDescent="0.2">
      <c r="A222" s="232" t="str">
        <f t="shared" si="21"/>
        <v/>
      </c>
      <c r="B222" s="244" t="str">
        <f t="shared" si="26"/>
        <v/>
      </c>
      <c r="C222" s="245" t="str">
        <f t="shared" si="22"/>
        <v/>
      </c>
      <c r="D222" s="246"/>
      <c r="E222" s="245" t="str">
        <f t="shared" si="27"/>
        <v/>
      </c>
      <c r="F222" s="245" t="str">
        <f t="shared" si="23"/>
        <v/>
      </c>
      <c r="G222" s="245" t="str">
        <f t="shared" si="24"/>
        <v/>
      </c>
      <c r="H222" s="245" t="str">
        <f t="shared" si="25"/>
        <v/>
      </c>
    </row>
    <row r="223" spans="1:8" x14ac:dyDescent="0.2">
      <c r="A223" s="232" t="str">
        <f t="shared" si="21"/>
        <v/>
      </c>
      <c r="B223" s="244" t="str">
        <f t="shared" si="26"/>
        <v/>
      </c>
      <c r="C223" s="245" t="str">
        <f t="shared" si="22"/>
        <v/>
      </c>
      <c r="D223" s="246"/>
      <c r="E223" s="245" t="str">
        <f t="shared" si="27"/>
        <v/>
      </c>
      <c r="F223" s="245" t="str">
        <f t="shared" si="23"/>
        <v/>
      </c>
      <c r="G223" s="245" t="str">
        <f t="shared" si="24"/>
        <v/>
      </c>
      <c r="H223" s="245" t="str">
        <f t="shared" si="25"/>
        <v/>
      </c>
    </row>
    <row r="224" spans="1:8" x14ac:dyDescent="0.2">
      <c r="A224" s="232" t="str">
        <f t="shared" si="21"/>
        <v/>
      </c>
      <c r="B224" s="244" t="str">
        <f t="shared" si="26"/>
        <v/>
      </c>
      <c r="C224" s="245" t="str">
        <f t="shared" si="22"/>
        <v/>
      </c>
      <c r="D224" s="246"/>
      <c r="E224" s="245" t="str">
        <f t="shared" si="27"/>
        <v/>
      </c>
      <c r="F224" s="245" t="str">
        <f t="shared" si="23"/>
        <v/>
      </c>
      <c r="G224" s="245" t="str">
        <f t="shared" si="24"/>
        <v/>
      </c>
      <c r="H224" s="245" t="str">
        <f t="shared" si="25"/>
        <v/>
      </c>
    </row>
    <row r="225" spans="1:8" x14ac:dyDescent="0.2">
      <c r="A225" s="232" t="str">
        <f t="shared" si="21"/>
        <v/>
      </c>
      <c r="B225" s="244" t="str">
        <f t="shared" si="26"/>
        <v/>
      </c>
      <c r="C225" s="245" t="str">
        <f t="shared" si="22"/>
        <v/>
      </c>
      <c r="D225" s="246"/>
      <c r="E225" s="245" t="str">
        <f t="shared" si="27"/>
        <v/>
      </c>
      <c r="F225" s="245" t="str">
        <f t="shared" si="23"/>
        <v/>
      </c>
      <c r="G225" s="245" t="str">
        <f t="shared" si="24"/>
        <v/>
      </c>
      <c r="H225" s="245" t="str">
        <f t="shared" si="25"/>
        <v/>
      </c>
    </row>
    <row r="226" spans="1:8" x14ac:dyDescent="0.2">
      <c r="A226" s="232" t="str">
        <f t="shared" si="21"/>
        <v/>
      </c>
      <c r="B226" s="244" t="str">
        <f t="shared" si="26"/>
        <v/>
      </c>
      <c r="C226" s="245" t="str">
        <f t="shared" si="22"/>
        <v/>
      </c>
      <c r="D226" s="246"/>
      <c r="E226" s="245" t="str">
        <f t="shared" si="27"/>
        <v/>
      </c>
      <c r="F226" s="245" t="str">
        <f t="shared" si="23"/>
        <v/>
      </c>
      <c r="G226" s="245" t="str">
        <f t="shared" si="24"/>
        <v/>
      </c>
      <c r="H226" s="245" t="str">
        <f t="shared" si="25"/>
        <v/>
      </c>
    </row>
    <row r="227" spans="1:8" x14ac:dyDescent="0.2">
      <c r="A227" s="232" t="str">
        <f t="shared" si="21"/>
        <v/>
      </c>
      <c r="B227" s="244" t="str">
        <f t="shared" si="26"/>
        <v/>
      </c>
      <c r="C227" s="245" t="str">
        <f t="shared" si="22"/>
        <v/>
      </c>
      <c r="D227" s="246"/>
      <c r="E227" s="245" t="str">
        <f t="shared" si="27"/>
        <v/>
      </c>
      <c r="F227" s="245" t="str">
        <f t="shared" si="23"/>
        <v/>
      </c>
      <c r="G227" s="245" t="str">
        <f t="shared" si="24"/>
        <v/>
      </c>
      <c r="H227" s="245" t="str">
        <f t="shared" si="25"/>
        <v/>
      </c>
    </row>
    <row r="228" spans="1:8" x14ac:dyDescent="0.2">
      <c r="A228" s="232" t="str">
        <f t="shared" si="21"/>
        <v/>
      </c>
      <c r="B228" s="244" t="str">
        <f t="shared" si="26"/>
        <v/>
      </c>
      <c r="C228" s="245" t="str">
        <f t="shared" si="22"/>
        <v/>
      </c>
      <c r="D228" s="246"/>
      <c r="E228" s="245" t="str">
        <f t="shared" si="27"/>
        <v/>
      </c>
      <c r="F228" s="245" t="str">
        <f t="shared" si="23"/>
        <v/>
      </c>
      <c r="G228" s="245" t="str">
        <f t="shared" si="24"/>
        <v/>
      </c>
      <c r="H228" s="245" t="str">
        <f t="shared" si="25"/>
        <v/>
      </c>
    </row>
    <row r="229" spans="1:8" x14ac:dyDescent="0.2">
      <c r="A229" s="232" t="str">
        <f t="shared" si="21"/>
        <v/>
      </c>
      <c r="B229" s="244" t="str">
        <f t="shared" si="26"/>
        <v/>
      </c>
      <c r="C229" s="245" t="str">
        <f t="shared" si="22"/>
        <v/>
      </c>
      <c r="D229" s="246"/>
      <c r="E229" s="245" t="str">
        <f t="shared" si="27"/>
        <v/>
      </c>
      <c r="F229" s="245" t="str">
        <f t="shared" si="23"/>
        <v/>
      </c>
      <c r="G229" s="245" t="str">
        <f t="shared" si="24"/>
        <v/>
      </c>
      <c r="H229" s="245" t="str">
        <f t="shared" si="25"/>
        <v/>
      </c>
    </row>
    <row r="230" spans="1:8" x14ac:dyDescent="0.2">
      <c r="A230" s="232" t="str">
        <f t="shared" si="21"/>
        <v/>
      </c>
      <c r="B230" s="244" t="str">
        <f t="shared" si="26"/>
        <v/>
      </c>
      <c r="C230" s="245" t="str">
        <f t="shared" si="22"/>
        <v/>
      </c>
      <c r="D230" s="246"/>
      <c r="E230" s="245" t="str">
        <f t="shared" si="27"/>
        <v/>
      </c>
      <c r="F230" s="245" t="str">
        <f t="shared" si="23"/>
        <v/>
      </c>
      <c r="G230" s="245" t="str">
        <f t="shared" si="24"/>
        <v/>
      </c>
      <c r="H230" s="245" t="str">
        <f t="shared" si="25"/>
        <v/>
      </c>
    </row>
    <row r="231" spans="1:8" x14ac:dyDescent="0.2">
      <c r="A231" s="232" t="str">
        <f t="shared" si="21"/>
        <v/>
      </c>
      <c r="B231" s="244" t="str">
        <f t="shared" si="26"/>
        <v/>
      </c>
      <c r="C231" s="245" t="str">
        <f t="shared" si="22"/>
        <v/>
      </c>
      <c r="D231" s="246"/>
      <c r="E231" s="245" t="str">
        <f t="shared" si="27"/>
        <v/>
      </c>
      <c r="F231" s="245" t="str">
        <f t="shared" si="23"/>
        <v/>
      </c>
      <c r="G231" s="245" t="str">
        <f t="shared" si="24"/>
        <v/>
      </c>
      <c r="H231" s="245" t="str">
        <f t="shared" si="25"/>
        <v/>
      </c>
    </row>
    <row r="232" spans="1:8" x14ac:dyDescent="0.2">
      <c r="A232" s="232" t="str">
        <f t="shared" si="21"/>
        <v/>
      </c>
      <c r="B232" s="244" t="str">
        <f t="shared" si="26"/>
        <v/>
      </c>
      <c r="C232" s="245" t="str">
        <f t="shared" si="22"/>
        <v/>
      </c>
      <c r="D232" s="246"/>
      <c r="E232" s="245" t="str">
        <f t="shared" si="27"/>
        <v/>
      </c>
      <c r="F232" s="245" t="str">
        <f t="shared" si="23"/>
        <v/>
      </c>
      <c r="G232" s="245" t="str">
        <f t="shared" si="24"/>
        <v/>
      </c>
      <c r="H232" s="245" t="str">
        <f t="shared" si="25"/>
        <v/>
      </c>
    </row>
    <row r="233" spans="1:8" x14ac:dyDescent="0.2">
      <c r="A233" s="232" t="str">
        <f t="shared" si="21"/>
        <v/>
      </c>
      <c r="B233" s="244" t="str">
        <f t="shared" si="26"/>
        <v/>
      </c>
      <c r="C233" s="245" t="str">
        <f t="shared" si="22"/>
        <v/>
      </c>
      <c r="D233" s="246"/>
      <c r="E233" s="245" t="str">
        <f t="shared" si="27"/>
        <v/>
      </c>
      <c r="F233" s="245" t="str">
        <f t="shared" si="23"/>
        <v/>
      </c>
      <c r="G233" s="245" t="str">
        <f t="shared" si="24"/>
        <v/>
      </c>
      <c r="H233" s="245" t="str">
        <f t="shared" si="25"/>
        <v/>
      </c>
    </row>
    <row r="234" spans="1:8" x14ac:dyDescent="0.2">
      <c r="A234" s="232" t="str">
        <f t="shared" si="21"/>
        <v/>
      </c>
      <c r="B234" s="244" t="str">
        <f t="shared" si="26"/>
        <v/>
      </c>
      <c r="C234" s="245" t="str">
        <f t="shared" si="22"/>
        <v/>
      </c>
      <c r="D234" s="246"/>
      <c r="E234" s="245" t="str">
        <f t="shared" si="27"/>
        <v/>
      </c>
      <c r="F234" s="245" t="str">
        <f t="shared" si="23"/>
        <v/>
      </c>
      <c r="G234" s="245" t="str">
        <f t="shared" si="24"/>
        <v/>
      </c>
      <c r="H234" s="245" t="str">
        <f t="shared" si="25"/>
        <v/>
      </c>
    </row>
    <row r="235" spans="1:8" x14ac:dyDescent="0.2">
      <c r="A235" s="232" t="str">
        <f t="shared" si="21"/>
        <v/>
      </c>
      <c r="B235" s="244" t="str">
        <f t="shared" si="26"/>
        <v/>
      </c>
      <c r="C235" s="245" t="str">
        <f t="shared" si="22"/>
        <v/>
      </c>
      <c r="D235" s="246"/>
      <c r="E235" s="245" t="str">
        <f t="shared" si="27"/>
        <v/>
      </c>
      <c r="F235" s="245" t="str">
        <f t="shared" si="23"/>
        <v/>
      </c>
      <c r="G235" s="245" t="str">
        <f t="shared" si="24"/>
        <v/>
      </c>
      <c r="H235" s="245" t="str">
        <f t="shared" si="25"/>
        <v/>
      </c>
    </row>
    <row r="236" spans="1:8" x14ac:dyDescent="0.2">
      <c r="A236" s="232" t="str">
        <f t="shared" si="21"/>
        <v/>
      </c>
      <c r="B236" s="244" t="str">
        <f t="shared" si="26"/>
        <v/>
      </c>
      <c r="C236" s="245" t="str">
        <f t="shared" si="22"/>
        <v/>
      </c>
      <c r="D236" s="246"/>
      <c r="E236" s="245" t="str">
        <f t="shared" si="27"/>
        <v/>
      </c>
      <c r="F236" s="245" t="str">
        <f t="shared" si="23"/>
        <v/>
      </c>
      <c r="G236" s="245" t="str">
        <f t="shared" si="24"/>
        <v/>
      </c>
      <c r="H236" s="245" t="str">
        <f t="shared" si="25"/>
        <v/>
      </c>
    </row>
    <row r="237" spans="1:8" x14ac:dyDescent="0.2">
      <c r="A237" s="232" t="str">
        <f t="shared" si="21"/>
        <v/>
      </c>
      <c r="B237" s="244" t="str">
        <f t="shared" si="26"/>
        <v/>
      </c>
      <c r="C237" s="245" t="str">
        <f t="shared" si="22"/>
        <v/>
      </c>
      <c r="D237" s="246"/>
      <c r="E237" s="245" t="str">
        <f t="shared" si="27"/>
        <v/>
      </c>
      <c r="F237" s="245" t="str">
        <f t="shared" si="23"/>
        <v/>
      </c>
      <c r="G237" s="245" t="str">
        <f t="shared" si="24"/>
        <v/>
      </c>
      <c r="H237" s="245" t="str">
        <f t="shared" si="25"/>
        <v/>
      </c>
    </row>
    <row r="238" spans="1:8" x14ac:dyDescent="0.2">
      <c r="A238" s="232" t="str">
        <f t="shared" si="21"/>
        <v/>
      </c>
      <c r="B238" s="244" t="str">
        <f t="shared" si="26"/>
        <v/>
      </c>
      <c r="C238" s="245" t="str">
        <f t="shared" si="22"/>
        <v/>
      </c>
      <c r="D238" s="246"/>
      <c r="E238" s="245" t="str">
        <f t="shared" si="27"/>
        <v/>
      </c>
      <c r="F238" s="245" t="str">
        <f t="shared" si="23"/>
        <v/>
      </c>
      <c r="G238" s="245" t="str">
        <f t="shared" si="24"/>
        <v/>
      </c>
      <c r="H238" s="245" t="str">
        <f t="shared" si="25"/>
        <v/>
      </c>
    </row>
    <row r="239" spans="1:8" x14ac:dyDescent="0.2">
      <c r="A239" s="232" t="str">
        <f t="shared" si="21"/>
        <v/>
      </c>
      <c r="B239" s="244" t="str">
        <f t="shared" si="26"/>
        <v/>
      </c>
      <c r="C239" s="245" t="str">
        <f t="shared" si="22"/>
        <v/>
      </c>
      <c r="D239" s="246"/>
      <c r="E239" s="245" t="str">
        <f t="shared" si="27"/>
        <v/>
      </c>
      <c r="F239" s="245" t="str">
        <f t="shared" si="23"/>
        <v/>
      </c>
      <c r="G239" s="245" t="str">
        <f t="shared" si="24"/>
        <v/>
      </c>
      <c r="H239" s="245" t="str">
        <f t="shared" si="25"/>
        <v/>
      </c>
    </row>
    <row r="240" spans="1:8" x14ac:dyDescent="0.2">
      <c r="A240" s="232" t="str">
        <f t="shared" si="21"/>
        <v/>
      </c>
      <c r="B240" s="244" t="str">
        <f t="shared" si="26"/>
        <v/>
      </c>
      <c r="C240" s="245" t="str">
        <f t="shared" si="22"/>
        <v/>
      </c>
      <c r="D240" s="246"/>
      <c r="E240" s="245" t="str">
        <f t="shared" si="27"/>
        <v/>
      </c>
      <c r="F240" s="245" t="str">
        <f t="shared" si="23"/>
        <v/>
      </c>
      <c r="G240" s="245" t="str">
        <f t="shared" si="24"/>
        <v/>
      </c>
      <c r="H240" s="245" t="str">
        <f t="shared" si="25"/>
        <v/>
      </c>
    </row>
    <row r="241" spans="1:8" x14ac:dyDescent="0.2">
      <c r="A241" s="232" t="str">
        <f t="shared" si="21"/>
        <v/>
      </c>
      <c r="B241" s="244" t="str">
        <f t="shared" si="26"/>
        <v/>
      </c>
      <c r="C241" s="245" t="str">
        <f t="shared" si="22"/>
        <v/>
      </c>
      <c r="D241" s="246"/>
      <c r="E241" s="245" t="str">
        <f t="shared" si="27"/>
        <v/>
      </c>
      <c r="F241" s="245" t="str">
        <f t="shared" si="23"/>
        <v/>
      </c>
      <c r="G241" s="245" t="str">
        <f t="shared" si="24"/>
        <v/>
      </c>
      <c r="H241" s="245" t="str">
        <f t="shared" si="25"/>
        <v/>
      </c>
    </row>
    <row r="242" spans="1:8" x14ac:dyDescent="0.2">
      <c r="A242" s="232" t="str">
        <f t="shared" si="21"/>
        <v/>
      </c>
      <c r="B242" s="244" t="str">
        <f t="shared" si="26"/>
        <v/>
      </c>
      <c r="C242" s="245" t="str">
        <f t="shared" si="22"/>
        <v/>
      </c>
      <c r="D242" s="246"/>
      <c r="E242" s="245" t="str">
        <f t="shared" si="27"/>
        <v/>
      </c>
      <c r="F242" s="245" t="str">
        <f t="shared" si="23"/>
        <v/>
      </c>
      <c r="G242" s="245" t="str">
        <f t="shared" si="24"/>
        <v/>
      </c>
      <c r="H242" s="245" t="str">
        <f t="shared" si="25"/>
        <v/>
      </c>
    </row>
    <row r="243" spans="1:8" x14ac:dyDescent="0.2">
      <c r="A243" s="232" t="str">
        <f t="shared" si="21"/>
        <v/>
      </c>
      <c r="B243" s="244" t="str">
        <f t="shared" si="26"/>
        <v/>
      </c>
      <c r="C243" s="245" t="str">
        <f t="shared" si="22"/>
        <v/>
      </c>
      <c r="D243" s="246"/>
      <c r="E243" s="245" t="str">
        <f t="shared" si="27"/>
        <v/>
      </c>
      <c r="F243" s="245" t="str">
        <f t="shared" si="23"/>
        <v/>
      </c>
      <c r="G243" s="245" t="str">
        <f t="shared" si="24"/>
        <v/>
      </c>
      <c r="H243" s="245" t="str">
        <f t="shared" si="25"/>
        <v/>
      </c>
    </row>
    <row r="244" spans="1:8" x14ac:dyDescent="0.2">
      <c r="A244" s="232" t="str">
        <f t="shared" si="21"/>
        <v/>
      </c>
      <c r="B244" s="244" t="str">
        <f t="shared" si="26"/>
        <v/>
      </c>
      <c r="C244" s="245" t="str">
        <f t="shared" si="22"/>
        <v/>
      </c>
      <c r="D244" s="246"/>
      <c r="E244" s="245" t="str">
        <f t="shared" si="27"/>
        <v/>
      </c>
      <c r="F244" s="245" t="str">
        <f t="shared" si="23"/>
        <v/>
      </c>
      <c r="G244" s="245" t="str">
        <f t="shared" si="24"/>
        <v/>
      </c>
      <c r="H244" s="245" t="str">
        <f t="shared" si="25"/>
        <v/>
      </c>
    </row>
    <row r="245" spans="1:8" x14ac:dyDescent="0.2">
      <c r="A245" s="232" t="str">
        <f t="shared" si="21"/>
        <v/>
      </c>
      <c r="B245" s="244" t="str">
        <f t="shared" si="26"/>
        <v/>
      </c>
      <c r="C245" s="245" t="str">
        <f t="shared" si="22"/>
        <v/>
      </c>
      <c r="D245" s="246"/>
      <c r="E245" s="245" t="str">
        <f t="shared" si="27"/>
        <v/>
      </c>
      <c r="F245" s="245" t="str">
        <f t="shared" si="23"/>
        <v/>
      </c>
      <c r="G245" s="245" t="str">
        <f t="shared" si="24"/>
        <v/>
      </c>
      <c r="H245" s="245" t="str">
        <f t="shared" si="25"/>
        <v/>
      </c>
    </row>
    <row r="246" spans="1:8" x14ac:dyDescent="0.2">
      <c r="A246" s="232" t="str">
        <f t="shared" si="21"/>
        <v/>
      </c>
      <c r="B246" s="244" t="str">
        <f t="shared" si="26"/>
        <v/>
      </c>
      <c r="C246" s="245" t="str">
        <f t="shared" si="22"/>
        <v/>
      </c>
      <c r="D246" s="246"/>
      <c r="E246" s="245" t="str">
        <f t="shared" si="27"/>
        <v/>
      </c>
      <c r="F246" s="245" t="str">
        <f t="shared" si="23"/>
        <v/>
      </c>
      <c r="G246" s="245" t="str">
        <f t="shared" si="24"/>
        <v/>
      </c>
      <c r="H246" s="245" t="str">
        <f t="shared" si="25"/>
        <v/>
      </c>
    </row>
    <row r="247" spans="1:8" x14ac:dyDescent="0.2">
      <c r="A247" s="232" t="str">
        <f t="shared" si="21"/>
        <v/>
      </c>
      <c r="B247" s="244" t="str">
        <f t="shared" si="26"/>
        <v/>
      </c>
      <c r="C247" s="245" t="str">
        <f t="shared" si="22"/>
        <v/>
      </c>
      <c r="D247" s="246"/>
      <c r="E247" s="245" t="str">
        <f t="shared" si="27"/>
        <v/>
      </c>
      <c r="F247" s="245" t="str">
        <f t="shared" si="23"/>
        <v/>
      </c>
      <c r="G247" s="245" t="str">
        <f t="shared" si="24"/>
        <v/>
      </c>
      <c r="H247" s="245" t="str">
        <f t="shared" si="25"/>
        <v/>
      </c>
    </row>
    <row r="248" spans="1:8" x14ac:dyDescent="0.2">
      <c r="A248" s="232" t="str">
        <f t="shared" si="21"/>
        <v/>
      </c>
      <c r="B248" s="244" t="str">
        <f t="shared" si="26"/>
        <v/>
      </c>
      <c r="C248" s="245" t="str">
        <f t="shared" si="22"/>
        <v/>
      </c>
      <c r="D248" s="246"/>
      <c r="E248" s="245" t="str">
        <f t="shared" si="27"/>
        <v/>
      </c>
      <c r="F248" s="245" t="str">
        <f t="shared" si="23"/>
        <v/>
      </c>
      <c r="G248" s="245" t="str">
        <f t="shared" si="24"/>
        <v/>
      </c>
      <c r="H248" s="245" t="str">
        <f t="shared" si="25"/>
        <v/>
      </c>
    </row>
    <row r="249" spans="1:8" x14ac:dyDescent="0.2">
      <c r="A249" s="232" t="str">
        <f t="shared" si="21"/>
        <v/>
      </c>
      <c r="B249" s="244" t="str">
        <f t="shared" si="26"/>
        <v/>
      </c>
      <c r="C249" s="245" t="str">
        <f t="shared" si="22"/>
        <v/>
      </c>
      <c r="D249" s="246"/>
      <c r="E249" s="245" t="str">
        <f t="shared" si="27"/>
        <v/>
      </c>
      <c r="F249" s="245" t="str">
        <f t="shared" si="23"/>
        <v/>
      </c>
      <c r="G249" s="245" t="str">
        <f t="shared" si="24"/>
        <v/>
      </c>
      <c r="H249" s="245" t="str">
        <f t="shared" si="25"/>
        <v/>
      </c>
    </row>
    <row r="250" spans="1:8" x14ac:dyDescent="0.2">
      <c r="A250" s="232" t="str">
        <f t="shared" si="21"/>
        <v/>
      </c>
      <c r="B250" s="244" t="str">
        <f t="shared" si="26"/>
        <v/>
      </c>
      <c r="C250" s="245" t="str">
        <f t="shared" si="22"/>
        <v/>
      </c>
      <c r="D250" s="246"/>
      <c r="E250" s="245" t="str">
        <f t="shared" si="27"/>
        <v/>
      </c>
      <c r="F250" s="245" t="str">
        <f t="shared" si="23"/>
        <v/>
      </c>
      <c r="G250" s="245" t="str">
        <f t="shared" si="24"/>
        <v/>
      </c>
      <c r="H250" s="245" t="str">
        <f t="shared" si="25"/>
        <v/>
      </c>
    </row>
    <row r="251" spans="1:8" x14ac:dyDescent="0.2">
      <c r="A251" s="232" t="str">
        <f t="shared" si="21"/>
        <v/>
      </c>
      <c r="B251" s="244" t="str">
        <f t="shared" si="26"/>
        <v/>
      </c>
      <c r="C251" s="245" t="str">
        <f t="shared" si="22"/>
        <v/>
      </c>
      <c r="D251" s="246"/>
      <c r="E251" s="245" t="str">
        <f t="shared" si="27"/>
        <v/>
      </c>
      <c r="F251" s="245" t="str">
        <f t="shared" si="23"/>
        <v/>
      </c>
      <c r="G251" s="245" t="str">
        <f t="shared" si="24"/>
        <v/>
      </c>
      <c r="H251" s="245" t="str">
        <f t="shared" si="25"/>
        <v/>
      </c>
    </row>
    <row r="252" spans="1:8" x14ac:dyDescent="0.2">
      <c r="A252" s="232" t="str">
        <f t="shared" si="21"/>
        <v/>
      </c>
      <c r="B252" s="244" t="str">
        <f t="shared" si="26"/>
        <v/>
      </c>
      <c r="C252" s="245" t="str">
        <f t="shared" si="22"/>
        <v/>
      </c>
      <c r="D252" s="246"/>
      <c r="E252" s="245" t="str">
        <f t="shared" si="27"/>
        <v/>
      </c>
      <c r="F252" s="245" t="str">
        <f t="shared" si="23"/>
        <v/>
      </c>
      <c r="G252" s="245" t="str">
        <f t="shared" si="24"/>
        <v/>
      </c>
      <c r="H252" s="245" t="str">
        <f t="shared" si="25"/>
        <v/>
      </c>
    </row>
    <row r="253" spans="1:8" x14ac:dyDescent="0.2">
      <c r="A253" s="232" t="str">
        <f t="shared" si="21"/>
        <v/>
      </c>
      <c r="B253" s="244" t="str">
        <f t="shared" si="26"/>
        <v/>
      </c>
      <c r="C253" s="245" t="str">
        <f t="shared" si="22"/>
        <v/>
      </c>
      <c r="D253" s="246"/>
      <c r="E253" s="245" t="str">
        <f t="shared" si="27"/>
        <v/>
      </c>
      <c r="F253" s="245" t="str">
        <f t="shared" si="23"/>
        <v/>
      </c>
      <c r="G253" s="245" t="str">
        <f t="shared" si="24"/>
        <v/>
      </c>
      <c r="H253" s="245" t="str">
        <f t="shared" si="25"/>
        <v/>
      </c>
    </row>
    <row r="254" spans="1:8" x14ac:dyDescent="0.2">
      <c r="A254" s="232" t="str">
        <f t="shared" si="21"/>
        <v/>
      </c>
      <c r="B254" s="244" t="str">
        <f t="shared" si="26"/>
        <v/>
      </c>
      <c r="C254" s="245" t="str">
        <f t="shared" si="22"/>
        <v/>
      </c>
      <c r="D254" s="246"/>
      <c r="E254" s="245" t="str">
        <f t="shared" si="27"/>
        <v/>
      </c>
      <c r="F254" s="245" t="str">
        <f t="shared" si="23"/>
        <v/>
      </c>
      <c r="G254" s="245" t="str">
        <f t="shared" si="24"/>
        <v/>
      </c>
      <c r="H254" s="245" t="str">
        <f t="shared" si="25"/>
        <v/>
      </c>
    </row>
    <row r="255" spans="1:8" x14ac:dyDescent="0.2">
      <c r="A255" s="232" t="str">
        <f t="shared" si="21"/>
        <v/>
      </c>
      <c r="B255" s="244" t="str">
        <f t="shared" si="26"/>
        <v/>
      </c>
      <c r="C255" s="245" t="str">
        <f t="shared" si="22"/>
        <v/>
      </c>
      <c r="D255" s="246"/>
      <c r="E255" s="245" t="str">
        <f t="shared" si="27"/>
        <v/>
      </c>
      <c r="F255" s="245" t="str">
        <f t="shared" si="23"/>
        <v/>
      </c>
      <c r="G255" s="245" t="str">
        <f t="shared" si="24"/>
        <v/>
      </c>
      <c r="H255" s="245" t="str">
        <f t="shared" si="25"/>
        <v/>
      </c>
    </row>
    <row r="256" spans="1:8" x14ac:dyDescent="0.2">
      <c r="A256" s="232" t="str">
        <f t="shared" si="21"/>
        <v/>
      </c>
      <c r="B256" s="244" t="str">
        <f t="shared" si="26"/>
        <v/>
      </c>
      <c r="C256" s="245" t="str">
        <f t="shared" si="22"/>
        <v/>
      </c>
      <c r="D256" s="246"/>
      <c r="E256" s="245" t="str">
        <f t="shared" si="27"/>
        <v/>
      </c>
      <c r="F256" s="245" t="str">
        <f t="shared" si="23"/>
        <v/>
      </c>
      <c r="G256" s="245" t="str">
        <f t="shared" si="24"/>
        <v/>
      </c>
      <c r="H256" s="245" t="str">
        <f t="shared" si="25"/>
        <v/>
      </c>
    </row>
    <row r="257" spans="1:8" x14ac:dyDescent="0.2">
      <c r="A257" s="232" t="str">
        <f t="shared" si="21"/>
        <v/>
      </c>
      <c r="B257" s="244" t="str">
        <f t="shared" si="26"/>
        <v/>
      </c>
      <c r="C257" s="245" t="str">
        <f t="shared" si="22"/>
        <v/>
      </c>
      <c r="D257" s="246"/>
      <c r="E257" s="245" t="str">
        <f t="shared" si="27"/>
        <v/>
      </c>
      <c r="F257" s="245" t="str">
        <f t="shared" si="23"/>
        <v/>
      </c>
      <c r="G257" s="245" t="str">
        <f t="shared" si="24"/>
        <v/>
      </c>
      <c r="H257" s="245" t="str">
        <f t="shared" si="25"/>
        <v/>
      </c>
    </row>
    <row r="258" spans="1:8" x14ac:dyDescent="0.2">
      <c r="A258" s="232" t="str">
        <f t="shared" si="21"/>
        <v/>
      </c>
      <c r="B258" s="244" t="str">
        <f t="shared" si="26"/>
        <v/>
      </c>
      <c r="C258" s="245" t="str">
        <f t="shared" si="22"/>
        <v/>
      </c>
      <c r="D258" s="246"/>
      <c r="E258" s="245" t="str">
        <f t="shared" si="27"/>
        <v/>
      </c>
      <c r="F258" s="245" t="str">
        <f t="shared" si="23"/>
        <v/>
      </c>
      <c r="G258" s="245" t="str">
        <f t="shared" si="24"/>
        <v/>
      </c>
      <c r="H258" s="245" t="str">
        <f t="shared" si="25"/>
        <v/>
      </c>
    </row>
    <row r="259" spans="1:8" x14ac:dyDescent="0.2">
      <c r="A259" s="232" t="str">
        <f t="shared" si="21"/>
        <v/>
      </c>
      <c r="B259" s="244" t="str">
        <f t="shared" si="26"/>
        <v/>
      </c>
      <c r="C259" s="245" t="str">
        <f t="shared" si="22"/>
        <v/>
      </c>
      <c r="D259" s="246"/>
      <c r="E259" s="245" t="str">
        <f t="shared" si="27"/>
        <v/>
      </c>
      <c r="F259" s="245" t="str">
        <f t="shared" si="23"/>
        <v/>
      </c>
      <c r="G259" s="245" t="str">
        <f t="shared" si="24"/>
        <v/>
      </c>
      <c r="H259" s="245" t="str">
        <f t="shared" si="25"/>
        <v/>
      </c>
    </row>
    <row r="260" spans="1:8" x14ac:dyDescent="0.2">
      <c r="A260" s="232" t="str">
        <f t="shared" si="21"/>
        <v/>
      </c>
      <c r="B260" s="244" t="str">
        <f t="shared" si="26"/>
        <v/>
      </c>
      <c r="C260" s="245" t="str">
        <f t="shared" si="22"/>
        <v/>
      </c>
      <c r="D260" s="246"/>
      <c r="E260" s="245" t="str">
        <f t="shared" si="27"/>
        <v/>
      </c>
      <c r="F260" s="245" t="str">
        <f t="shared" si="23"/>
        <v/>
      </c>
      <c r="G260" s="245" t="str">
        <f t="shared" si="24"/>
        <v/>
      </c>
      <c r="H260" s="245" t="str">
        <f t="shared" si="25"/>
        <v/>
      </c>
    </row>
    <row r="261" spans="1:8" x14ac:dyDescent="0.2">
      <c r="A261" s="232" t="str">
        <f t="shared" si="21"/>
        <v/>
      </c>
      <c r="B261" s="244" t="str">
        <f t="shared" si="26"/>
        <v/>
      </c>
      <c r="C261" s="245" t="str">
        <f t="shared" si="22"/>
        <v/>
      </c>
      <c r="D261" s="246"/>
      <c r="E261" s="245" t="str">
        <f t="shared" si="27"/>
        <v/>
      </c>
      <c r="F261" s="245" t="str">
        <f t="shared" si="23"/>
        <v/>
      </c>
      <c r="G261" s="245" t="str">
        <f t="shared" si="24"/>
        <v/>
      </c>
      <c r="H261" s="245" t="str">
        <f t="shared" si="25"/>
        <v/>
      </c>
    </row>
    <row r="262" spans="1:8" x14ac:dyDescent="0.2">
      <c r="A262" s="232" t="str">
        <f t="shared" si="21"/>
        <v/>
      </c>
      <c r="B262" s="244" t="str">
        <f t="shared" si="26"/>
        <v/>
      </c>
      <c r="C262" s="245" t="str">
        <f t="shared" si="22"/>
        <v/>
      </c>
      <c r="D262" s="246"/>
      <c r="E262" s="245" t="str">
        <f t="shared" si="27"/>
        <v/>
      </c>
      <c r="F262" s="245" t="str">
        <f t="shared" si="23"/>
        <v/>
      </c>
      <c r="G262" s="245" t="str">
        <f t="shared" si="24"/>
        <v/>
      </c>
      <c r="H262" s="245" t="str">
        <f t="shared" si="25"/>
        <v/>
      </c>
    </row>
    <row r="263" spans="1:8" x14ac:dyDescent="0.2">
      <c r="A263" s="232" t="str">
        <f t="shared" si="21"/>
        <v/>
      </c>
      <c r="B263" s="244" t="str">
        <f t="shared" si="26"/>
        <v/>
      </c>
      <c r="C263" s="245" t="str">
        <f t="shared" si="22"/>
        <v/>
      </c>
      <c r="D263" s="246"/>
      <c r="E263" s="245" t="str">
        <f t="shared" si="27"/>
        <v/>
      </c>
      <c r="F263" s="245" t="str">
        <f t="shared" si="23"/>
        <v/>
      </c>
      <c r="G263" s="245" t="str">
        <f t="shared" si="24"/>
        <v/>
      </c>
      <c r="H263" s="245" t="str">
        <f t="shared" si="25"/>
        <v/>
      </c>
    </row>
    <row r="264" spans="1:8" x14ac:dyDescent="0.2">
      <c r="A264" s="232" t="str">
        <f t="shared" si="21"/>
        <v/>
      </c>
      <c r="B264" s="244" t="str">
        <f t="shared" si="26"/>
        <v/>
      </c>
      <c r="C264" s="245" t="str">
        <f t="shared" si="22"/>
        <v/>
      </c>
      <c r="D264" s="246"/>
      <c r="E264" s="245" t="str">
        <f t="shared" si="27"/>
        <v/>
      </c>
      <c r="F264" s="245" t="str">
        <f t="shared" si="23"/>
        <v/>
      </c>
      <c r="G264" s="245" t="str">
        <f t="shared" si="24"/>
        <v/>
      </c>
      <c r="H264" s="245" t="str">
        <f t="shared" si="25"/>
        <v/>
      </c>
    </row>
    <row r="265" spans="1:8" x14ac:dyDescent="0.2">
      <c r="A265" s="232" t="str">
        <f t="shared" si="21"/>
        <v/>
      </c>
      <c r="B265" s="244" t="str">
        <f t="shared" si="26"/>
        <v/>
      </c>
      <c r="C265" s="245" t="str">
        <f t="shared" si="22"/>
        <v/>
      </c>
      <c r="D265" s="246"/>
      <c r="E265" s="245" t="str">
        <f t="shared" si="27"/>
        <v/>
      </c>
      <c r="F265" s="245" t="str">
        <f t="shared" si="23"/>
        <v/>
      </c>
      <c r="G265" s="245" t="str">
        <f t="shared" si="24"/>
        <v/>
      </c>
      <c r="H265" s="245" t="str">
        <f t="shared" si="25"/>
        <v/>
      </c>
    </row>
    <row r="266" spans="1:8" x14ac:dyDescent="0.2">
      <c r="A266" s="232" t="str">
        <f t="shared" si="21"/>
        <v/>
      </c>
      <c r="B266" s="244" t="str">
        <f t="shared" si="26"/>
        <v/>
      </c>
      <c r="C266" s="245" t="str">
        <f t="shared" si="22"/>
        <v/>
      </c>
      <c r="D266" s="246"/>
      <c r="E266" s="245" t="str">
        <f t="shared" si="27"/>
        <v/>
      </c>
      <c r="F266" s="245" t="str">
        <f t="shared" si="23"/>
        <v/>
      </c>
      <c r="G266" s="245" t="str">
        <f t="shared" si="24"/>
        <v/>
      </c>
      <c r="H266" s="245" t="str">
        <f t="shared" si="25"/>
        <v/>
      </c>
    </row>
    <row r="267" spans="1:8" x14ac:dyDescent="0.2">
      <c r="A267" s="232" t="str">
        <f t="shared" si="21"/>
        <v/>
      </c>
      <c r="B267" s="244" t="str">
        <f t="shared" si="26"/>
        <v/>
      </c>
      <c r="C267" s="245" t="str">
        <f t="shared" si="22"/>
        <v/>
      </c>
      <c r="D267" s="246"/>
      <c r="E267" s="245" t="str">
        <f t="shared" si="27"/>
        <v/>
      </c>
      <c r="F267" s="245" t="str">
        <f t="shared" si="23"/>
        <v/>
      </c>
      <c r="G267" s="245" t="str">
        <f t="shared" si="24"/>
        <v/>
      </c>
      <c r="H267" s="245" t="str">
        <f t="shared" si="25"/>
        <v/>
      </c>
    </row>
    <row r="268" spans="1:8" x14ac:dyDescent="0.2">
      <c r="A268" s="232" t="str">
        <f t="shared" si="21"/>
        <v/>
      </c>
      <c r="B268" s="244" t="str">
        <f t="shared" si="26"/>
        <v/>
      </c>
      <c r="C268" s="245" t="str">
        <f t="shared" si="22"/>
        <v/>
      </c>
      <c r="D268" s="246"/>
      <c r="E268" s="245" t="str">
        <f t="shared" si="27"/>
        <v/>
      </c>
      <c r="F268" s="245" t="str">
        <f t="shared" si="23"/>
        <v/>
      </c>
      <c r="G268" s="245" t="str">
        <f t="shared" si="24"/>
        <v/>
      </c>
      <c r="H268" s="245" t="str">
        <f t="shared" si="25"/>
        <v/>
      </c>
    </row>
    <row r="269" spans="1:8" x14ac:dyDescent="0.2">
      <c r="A269" s="232" t="str">
        <f t="shared" si="21"/>
        <v/>
      </c>
      <c r="B269" s="244" t="str">
        <f t="shared" si="26"/>
        <v/>
      </c>
      <c r="C269" s="245" t="str">
        <f t="shared" si="22"/>
        <v/>
      </c>
      <c r="D269" s="246"/>
      <c r="E269" s="245" t="str">
        <f t="shared" si="27"/>
        <v/>
      </c>
      <c r="F269" s="245" t="str">
        <f t="shared" si="23"/>
        <v/>
      </c>
      <c r="G269" s="245" t="str">
        <f t="shared" si="24"/>
        <v/>
      </c>
      <c r="H269" s="245" t="str">
        <f t="shared" si="25"/>
        <v/>
      </c>
    </row>
    <row r="270" spans="1:8" x14ac:dyDescent="0.2">
      <c r="A270" s="232" t="str">
        <f t="shared" si="21"/>
        <v/>
      </c>
      <c r="B270" s="244" t="str">
        <f t="shared" si="26"/>
        <v/>
      </c>
      <c r="C270" s="245" t="str">
        <f t="shared" si="22"/>
        <v/>
      </c>
      <c r="D270" s="246"/>
      <c r="E270" s="245" t="str">
        <f t="shared" si="27"/>
        <v/>
      </c>
      <c r="F270" s="245" t="str">
        <f t="shared" si="23"/>
        <v/>
      </c>
      <c r="G270" s="245" t="str">
        <f t="shared" si="24"/>
        <v/>
      </c>
      <c r="H270" s="245" t="str">
        <f t="shared" si="25"/>
        <v/>
      </c>
    </row>
    <row r="271" spans="1:8" x14ac:dyDescent="0.2">
      <c r="A271" s="232" t="str">
        <f t="shared" si="21"/>
        <v/>
      </c>
      <c r="B271" s="244" t="str">
        <f t="shared" si="26"/>
        <v/>
      </c>
      <c r="C271" s="245" t="str">
        <f t="shared" si="22"/>
        <v/>
      </c>
      <c r="D271" s="246"/>
      <c r="E271" s="245" t="str">
        <f t="shared" si="27"/>
        <v/>
      </c>
      <c r="F271" s="245" t="str">
        <f t="shared" si="23"/>
        <v/>
      </c>
      <c r="G271" s="245" t="str">
        <f t="shared" si="24"/>
        <v/>
      </c>
      <c r="H271" s="245" t="str">
        <f t="shared" si="25"/>
        <v/>
      </c>
    </row>
    <row r="272" spans="1:8" x14ac:dyDescent="0.2">
      <c r="A272" s="232" t="str">
        <f t="shared" si="21"/>
        <v/>
      </c>
      <c r="B272" s="244" t="str">
        <f t="shared" si="26"/>
        <v/>
      </c>
      <c r="C272" s="245" t="str">
        <f t="shared" si="22"/>
        <v/>
      </c>
      <c r="D272" s="246"/>
      <c r="E272" s="245" t="str">
        <f t="shared" si="27"/>
        <v/>
      </c>
      <c r="F272" s="245" t="str">
        <f t="shared" si="23"/>
        <v/>
      </c>
      <c r="G272" s="245" t="str">
        <f t="shared" si="24"/>
        <v/>
      </c>
      <c r="H272" s="245" t="str">
        <f t="shared" si="25"/>
        <v/>
      </c>
    </row>
    <row r="273" spans="1:8" x14ac:dyDescent="0.2">
      <c r="A273" s="232" t="str">
        <f t="shared" si="21"/>
        <v/>
      </c>
      <c r="B273" s="244" t="str">
        <f t="shared" si="26"/>
        <v/>
      </c>
      <c r="C273" s="245" t="str">
        <f t="shared" si="22"/>
        <v/>
      </c>
      <c r="D273" s="246"/>
      <c r="E273" s="245" t="str">
        <f t="shared" si="27"/>
        <v/>
      </c>
      <c r="F273" s="245" t="str">
        <f t="shared" si="23"/>
        <v/>
      </c>
      <c r="G273" s="245" t="str">
        <f t="shared" si="24"/>
        <v/>
      </c>
      <c r="H273" s="245" t="str">
        <f t="shared" si="25"/>
        <v/>
      </c>
    </row>
    <row r="274" spans="1:8" x14ac:dyDescent="0.2">
      <c r="A274" s="232" t="str">
        <f t="shared" si="21"/>
        <v/>
      </c>
      <c r="B274" s="244" t="str">
        <f t="shared" si="26"/>
        <v/>
      </c>
      <c r="C274" s="245" t="str">
        <f t="shared" si="22"/>
        <v/>
      </c>
      <c r="D274" s="246"/>
      <c r="E274" s="245" t="str">
        <f t="shared" si="27"/>
        <v/>
      </c>
      <c r="F274" s="245" t="str">
        <f t="shared" si="23"/>
        <v/>
      </c>
      <c r="G274" s="245" t="str">
        <f t="shared" si="24"/>
        <v/>
      </c>
      <c r="H274" s="245" t="str">
        <f t="shared" si="25"/>
        <v/>
      </c>
    </row>
    <row r="275" spans="1:8" x14ac:dyDescent="0.2">
      <c r="A275" s="232" t="str">
        <f t="shared" si="21"/>
        <v/>
      </c>
      <c r="B275" s="244" t="str">
        <f t="shared" si="26"/>
        <v/>
      </c>
      <c r="C275" s="245" t="str">
        <f t="shared" si="22"/>
        <v/>
      </c>
      <c r="D275" s="246"/>
      <c r="E275" s="245" t="str">
        <f t="shared" si="27"/>
        <v/>
      </c>
      <c r="F275" s="245" t="str">
        <f t="shared" si="23"/>
        <v/>
      </c>
      <c r="G275" s="245" t="str">
        <f t="shared" si="24"/>
        <v/>
      </c>
      <c r="H275" s="245" t="str">
        <f t="shared" si="25"/>
        <v/>
      </c>
    </row>
    <row r="276" spans="1:8" x14ac:dyDescent="0.2">
      <c r="A276" s="232" t="str">
        <f t="shared" si="21"/>
        <v/>
      </c>
      <c r="B276" s="244" t="str">
        <f t="shared" si="26"/>
        <v/>
      </c>
      <c r="C276" s="245" t="str">
        <f t="shared" si="22"/>
        <v/>
      </c>
      <c r="D276" s="246"/>
      <c r="E276" s="245" t="str">
        <f t="shared" si="27"/>
        <v/>
      </c>
      <c r="F276" s="245" t="str">
        <f t="shared" si="23"/>
        <v/>
      </c>
      <c r="G276" s="245" t="str">
        <f t="shared" si="24"/>
        <v/>
      </c>
      <c r="H276" s="245" t="str">
        <f t="shared" si="25"/>
        <v/>
      </c>
    </row>
    <row r="277" spans="1:8" x14ac:dyDescent="0.2">
      <c r="A277" s="232" t="str">
        <f t="shared" si="21"/>
        <v/>
      </c>
      <c r="B277" s="244" t="str">
        <f t="shared" si="26"/>
        <v/>
      </c>
      <c r="C277" s="245" t="str">
        <f t="shared" si="22"/>
        <v/>
      </c>
      <c r="D277" s="246"/>
      <c r="E277" s="245" t="str">
        <f t="shared" si="27"/>
        <v/>
      </c>
      <c r="F277" s="245" t="str">
        <f t="shared" si="23"/>
        <v/>
      </c>
      <c r="G277" s="245" t="str">
        <f t="shared" si="24"/>
        <v/>
      </c>
      <c r="H277" s="245" t="str">
        <f t="shared" si="25"/>
        <v/>
      </c>
    </row>
    <row r="278" spans="1:8" x14ac:dyDescent="0.2">
      <c r="A278" s="232" t="str">
        <f t="shared" si="21"/>
        <v/>
      </c>
      <c r="B278" s="244" t="str">
        <f t="shared" si="26"/>
        <v/>
      </c>
      <c r="C278" s="245" t="str">
        <f t="shared" si="22"/>
        <v/>
      </c>
      <c r="D278" s="246"/>
      <c r="E278" s="245" t="str">
        <f t="shared" si="27"/>
        <v/>
      </c>
      <c r="F278" s="245" t="str">
        <f t="shared" si="23"/>
        <v/>
      </c>
      <c r="G278" s="245" t="str">
        <f t="shared" si="24"/>
        <v/>
      </c>
      <c r="H278" s="245" t="str">
        <f t="shared" si="25"/>
        <v/>
      </c>
    </row>
    <row r="279" spans="1:8" x14ac:dyDescent="0.2">
      <c r="A279" s="232" t="str">
        <f t="shared" ref="A279:A342" si="28">IF(A278="","",IF(H278&gt;0,A278+1,""))</f>
        <v/>
      </c>
      <c r="B279" s="244" t="str">
        <f t="shared" si="26"/>
        <v/>
      </c>
      <c r="C279" s="245" t="str">
        <f t="shared" ref="C279:C342" si="29">IF(A279="","",IF(ISBLANK($E$10),MIN(MAX($E$7*H278+IF(plusinterest,F279,0),$E$9),F279+H278),MIN($E$10,H278+F279)))</f>
        <v/>
      </c>
      <c r="D279" s="246"/>
      <c r="E279" s="245" t="str">
        <f t="shared" si="27"/>
        <v/>
      </c>
      <c r="F279" s="245" t="str">
        <f t="shared" ref="F279:F342" si="30">IF(A279="","",B279/12*H278)</f>
        <v/>
      </c>
      <c r="G279" s="245" t="str">
        <f t="shared" ref="G279:G342" si="31">IF(A279="","",C279+D279-F279)</f>
        <v/>
      </c>
      <c r="H279" s="245" t="str">
        <f t="shared" ref="H279:H342" si="32">IF(A279="","",H278-G279)</f>
        <v/>
      </c>
    </row>
    <row r="280" spans="1:8" x14ac:dyDescent="0.2">
      <c r="A280" s="232" t="str">
        <f t="shared" si="28"/>
        <v/>
      </c>
      <c r="B280" s="244" t="str">
        <f t="shared" ref="B280:B343" si="33">IF(A280="","",IF(A280&lt;=$E$11,0,$E$6))</f>
        <v/>
      </c>
      <c r="C280" s="245" t="str">
        <f t="shared" si="29"/>
        <v/>
      </c>
      <c r="D280" s="246"/>
      <c r="E280" s="245" t="str">
        <f t="shared" ref="E280:E343" si="34">IF(A280="","",C280+D280)</f>
        <v/>
      </c>
      <c r="F280" s="245" t="str">
        <f t="shared" si="30"/>
        <v/>
      </c>
      <c r="G280" s="245" t="str">
        <f t="shared" si="31"/>
        <v/>
      </c>
      <c r="H280" s="245" t="str">
        <f t="shared" si="32"/>
        <v/>
      </c>
    </row>
    <row r="281" spans="1:8" x14ac:dyDescent="0.2">
      <c r="A281" s="232" t="str">
        <f t="shared" si="28"/>
        <v/>
      </c>
      <c r="B281" s="244" t="str">
        <f t="shared" si="33"/>
        <v/>
      </c>
      <c r="C281" s="245" t="str">
        <f t="shared" si="29"/>
        <v/>
      </c>
      <c r="D281" s="246"/>
      <c r="E281" s="245" t="str">
        <f t="shared" si="34"/>
        <v/>
      </c>
      <c r="F281" s="245" t="str">
        <f t="shared" si="30"/>
        <v/>
      </c>
      <c r="G281" s="245" t="str">
        <f t="shared" si="31"/>
        <v/>
      </c>
      <c r="H281" s="245" t="str">
        <f t="shared" si="32"/>
        <v/>
      </c>
    </row>
    <row r="282" spans="1:8" x14ac:dyDescent="0.2">
      <c r="A282" s="232" t="str">
        <f t="shared" si="28"/>
        <v/>
      </c>
      <c r="B282" s="244" t="str">
        <f t="shared" si="33"/>
        <v/>
      </c>
      <c r="C282" s="245" t="str">
        <f t="shared" si="29"/>
        <v/>
      </c>
      <c r="D282" s="246"/>
      <c r="E282" s="245" t="str">
        <f t="shared" si="34"/>
        <v/>
      </c>
      <c r="F282" s="245" t="str">
        <f t="shared" si="30"/>
        <v/>
      </c>
      <c r="G282" s="245" t="str">
        <f t="shared" si="31"/>
        <v/>
      </c>
      <c r="H282" s="245" t="str">
        <f t="shared" si="32"/>
        <v/>
      </c>
    </row>
    <row r="283" spans="1:8" x14ac:dyDescent="0.2">
      <c r="A283" s="232" t="str">
        <f t="shared" si="28"/>
        <v/>
      </c>
      <c r="B283" s="244" t="str">
        <f t="shared" si="33"/>
        <v/>
      </c>
      <c r="C283" s="245" t="str">
        <f t="shared" si="29"/>
        <v/>
      </c>
      <c r="D283" s="246"/>
      <c r="E283" s="245" t="str">
        <f t="shared" si="34"/>
        <v/>
      </c>
      <c r="F283" s="245" t="str">
        <f t="shared" si="30"/>
        <v/>
      </c>
      <c r="G283" s="245" t="str">
        <f t="shared" si="31"/>
        <v/>
      </c>
      <c r="H283" s="245" t="str">
        <f t="shared" si="32"/>
        <v/>
      </c>
    </row>
    <row r="284" spans="1:8" x14ac:dyDescent="0.2">
      <c r="A284" s="232" t="str">
        <f t="shared" si="28"/>
        <v/>
      </c>
      <c r="B284" s="244" t="str">
        <f t="shared" si="33"/>
        <v/>
      </c>
      <c r="C284" s="245" t="str">
        <f t="shared" si="29"/>
        <v/>
      </c>
      <c r="D284" s="246"/>
      <c r="E284" s="245" t="str">
        <f t="shared" si="34"/>
        <v/>
      </c>
      <c r="F284" s="245" t="str">
        <f t="shared" si="30"/>
        <v/>
      </c>
      <c r="G284" s="245" t="str">
        <f t="shared" si="31"/>
        <v/>
      </c>
      <c r="H284" s="245" t="str">
        <f t="shared" si="32"/>
        <v/>
      </c>
    </row>
    <row r="285" spans="1:8" x14ac:dyDescent="0.2">
      <c r="A285" s="232" t="str">
        <f t="shared" si="28"/>
        <v/>
      </c>
      <c r="B285" s="244" t="str">
        <f t="shared" si="33"/>
        <v/>
      </c>
      <c r="C285" s="245" t="str">
        <f t="shared" si="29"/>
        <v/>
      </c>
      <c r="D285" s="246"/>
      <c r="E285" s="245" t="str">
        <f t="shared" si="34"/>
        <v/>
      </c>
      <c r="F285" s="245" t="str">
        <f t="shared" si="30"/>
        <v/>
      </c>
      <c r="G285" s="245" t="str">
        <f t="shared" si="31"/>
        <v/>
      </c>
      <c r="H285" s="245" t="str">
        <f t="shared" si="32"/>
        <v/>
      </c>
    </row>
    <row r="286" spans="1:8" x14ac:dyDescent="0.2">
      <c r="A286" s="232" t="str">
        <f t="shared" si="28"/>
        <v/>
      </c>
      <c r="B286" s="244" t="str">
        <f t="shared" si="33"/>
        <v/>
      </c>
      <c r="C286" s="245" t="str">
        <f t="shared" si="29"/>
        <v/>
      </c>
      <c r="D286" s="246"/>
      <c r="E286" s="245" t="str">
        <f t="shared" si="34"/>
        <v/>
      </c>
      <c r="F286" s="245" t="str">
        <f t="shared" si="30"/>
        <v/>
      </c>
      <c r="G286" s="245" t="str">
        <f t="shared" si="31"/>
        <v/>
      </c>
      <c r="H286" s="245" t="str">
        <f t="shared" si="32"/>
        <v/>
      </c>
    </row>
    <row r="287" spans="1:8" x14ac:dyDescent="0.2">
      <c r="A287" s="232" t="str">
        <f t="shared" si="28"/>
        <v/>
      </c>
      <c r="B287" s="244" t="str">
        <f t="shared" si="33"/>
        <v/>
      </c>
      <c r="C287" s="245" t="str">
        <f t="shared" si="29"/>
        <v/>
      </c>
      <c r="D287" s="246"/>
      <c r="E287" s="245" t="str">
        <f t="shared" si="34"/>
        <v/>
      </c>
      <c r="F287" s="245" t="str">
        <f t="shared" si="30"/>
        <v/>
      </c>
      <c r="G287" s="245" t="str">
        <f t="shared" si="31"/>
        <v/>
      </c>
      <c r="H287" s="245" t="str">
        <f t="shared" si="32"/>
        <v/>
      </c>
    </row>
    <row r="288" spans="1:8" x14ac:dyDescent="0.2">
      <c r="A288" s="232" t="str">
        <f t="shared" si="28"/>
        <v/>
      </c>
      <c r="B288" s="244" t="str">
        <f t="shared" si="33"/>
        <v/>
      </c>
      <c r="C288" s="245" t="str">
        <f t="shared" si="29"/>
        <v/>
      </c>
      <c r="D288" s="246"/>
      <c r="E288" s="245" t="str">
        <f t="shared" si="34"/>
        <v/>
      </c>
      <c r="F288" s="245" t="str">
        <f t="shared" si="30"/>
        <v/>
      </c>
      <c r="G288" s="245" t="str">
        <f t="shared" si="31"/>
        <v/>
      </c>
      <c r="H288" s="245" t="str">
        <f t="shared" si="32"/>
        <v/>
      </c>
    </row>
    <row r="289" spans="1:8" x14ac:dyDescent="0.2">
      <c r="A289" s="232" t="str">
        <f t="shared" si="28"/>
        <v/>
      </c>
      <c r="B289" s="244" t="str">
        <f t="shared" si="33"/>
        <v/>
      </c>
      <c r="C289" s="245" t="str">
        <f t="shared" si="29"/>
        <v/>
      </c>
      <c r="D289" s="246"/>
      <c r="E289" s="245" t="str">
        <f t="shared" si="34"/>
        <v/>
      </c>
      <c r="F289" s="245" t="str">
        <f t="shared" si="30"/>
        <v/>
      </c>
      <c r="G289" s="245" t="str">
        <f t="shared" si="31"/>
        <v/>
      </c>
      <c r="H289" s="245" t="str">
        <f t="shared" si="32"/>
        <v/>
      </c>
    </row>
    <row r="290" spans="1:8" x14ac:dyDescent="0.2">
      <c r="A290" s="232" t="str">
        <f t="shared" si="28"/>
        <v/>
      </c>
      <c r="B290" s="244" t="str">
        <f t="shared" si="33"/>
        <v/>
      </c>
      <c r="C290" s="245" t="str">
        <f t="shared" si="29"/>
        <v/>
      </c>
      <c r="D290" s="246"/>
      <c r="E290" s="245" t="str">
        <f t="shared" si="34"/>
        <v/>
      </c>
      <c r="F290" s="245" t="str">
        <f t="shared" si="30"/>
        <v/>
      </c>
      <c r="G290" s="245" t="str">
        <f t="shared" si="31"/>
        <v/>
      </c>
      <c r="H290" s="245" t="str">
        <f t="shared" si="32"/>
        <v/>
      </c>
    </row>
    <row r="291" spans="1:8" x14ac:dyDescent="0.2">
      <c r="A291" s="232" t="str">
        <f t="shared" si="28"/>
        <v/>
      </c>
      <c r="B291" s="244" t="str">
        <f t="shared" si="33"/>
        <v/>
      </c>
      <c r="C291" s="245" t="str">
        <f t="shared" si="29"/>
        <v/>
      </c>
      <c r="D291" s="246"/>
      <c r="E291" s="245" t="str">
        <f t="shared" si="34"/>
        <v/>
      </c>
      <c r="F291" s="245" t="str">
        <f t="shared" si="30"/>
        <v/>
      </c>
      <c r="G291" s="245" t="str">
        <f t="shared" si="31"/>
        <v/>
      </c>
      <c r="H291" s="245" t="str">
        <f t="shared" si="32"/>
        <v/>
      </c>
    </row>
    <row r="292" spans="1:8" x14ac:dyDescent="0.2">
      <c r="A292" s="232" t="str">
        <f t="shared" si="28"/>
        <v/>
      </c>
      <c r="B292" s="244" t="str">
        <f t="shared" si="33"/>
        <v/>
      </c>
      <c r="C292" s="245" t="str">
        <f t="shared" si="29"/>
        <v/>
      </c>
      <c r="D292" s="246"/>
      <c r="E292" s="245" t="str">
        <f t="shared" si="34"/>
        <v/>
      </c>
      <c r="F292" s="245" t="str">
        <f t="shared" si="30"/>
        <v/>
      </c>
      <c r="G292" s="245" t="str">
        <f t="shared" si="31"/>
        <v/>
      </c>
      <c r="H292" s="245" t="str">
        <f t="shared" si="32"/>
        <v/>
      </c>
    </row>
    <row r="293" spans="1:8" x14ac:dyDescent="0.2">
      <c r="A293" s="232" t="str">
        <f t="shared" si="28"/>
        <v/>
      </c>
      <c r="B293" s="244" t="str">
        <f t="shared" si="33"/>
        <v/>
      </c>
      <c r="C293" s="245" t="str">
        <f t="shared" si="29"/>
        <v/>
      </c>
      <c r="D293" s="246"/>
      <c r="E293" s="245" t="str">
        <f t="shared" si="34"/>
        <v/>
      </c>
      <c r="F293" s="245" t="str">
        <f t="shared" si="30"/>
        <v/>
      </c>
      <c r="G293" s="245" t="str">
        <f t="shared" si="31"/>
        <v/>
      </c>
      <c r="H293" s="245" t="str">
        <f t="shared" si="32"/>
        <v/>
      </c>
    </row>
    <row r="294" spans="1:8" x14ac:dyDescent="0.2">
      <c r="A294" s="232" t="str">
        <f t="shared" si="28"/>
        <v/>
      </c>
      <c r="B294" s="244" t="str">
        <f t="shared" si="33"/>
        <v/>
      </c>
      <c r="C294" s="245" t="str">
        <f t="shared" si="29"/>
        <v/>
      </c>
      <c r="D294" s="246"/>
      <c r="E294" s="245" t="str">
        <f t="shared" si="34"/>
        <v/>
      </c>
      <c r="F294" s="245" t="str">
        <f t="shared" si="30"/>
        <v/>
      </c>
      <c r="G294" s="245" t="str">
        <f t="shared" si="31"/>
        <v/>
      </c>
      <c r="H294" s="245" t="str">
        <f t="shared" si="32"/>
        <v/>
      </c>
    </row>
    <row r="295" spans="1:8" x14ac:dyDescent="0.2">
      <c r="A295" s="232" t="str">
        <f t="shared" si="28"/>
        <v/>
      </c>
      <c r="B295" s="244" t="str">
        <f t="shared" si="33"/>
        <v/>
      </c>
      <c r="C295" s="245" t="str">
        <f t="shared" si="29"/>
        <v/>
      </c>
      <c r="D295" s="246"/>
      <c r="E295" s="245" t="str">
        <f t="shared" si="34"/>
        <v/>
      </c>
      <c r="F295" s="245" t="str">
        <f t="shared" si="30"/>
        <v/>
      </c>
      <c r="G295" s="245" t="str">
        <f t="shared" si="31"/>
        <v/>
      </c>
      <c r="H295" s="245" t="str">
        <f t="shared" si="32"/>
        <v/>
      </c>
    </row>
    <row r="296" spans="1:8" x14ac:dyDescent="0.2">
      <c r="A296" s="232" t="str">
        <f t="shared" si="28"/>
        <v/>
      </c>
      <c r="B296" s="244" t="str">
        <f t="shared" si="33"/>
        <v/>
      </c>
      <c r="C296" s="245" t="str">
        <f t="shared" si="29"/>
        <v/>
      </c>
      <c r="D296" s="246"/>
      <c r="E296" s="245" t="str">
        <f t="shared" si="34"/>
        <v/>
      </c>
      <c r="F296" s="245" t="str">
        <f t="shared" si="30"/>
        <v/>
      </c>
      <c r="G296" s="245" t="str">
        <f t="shared" si="31"/>
        <v/>
      </c>
      <c r="H296" s="245" t="str">
        <f t="shared" si="32"/>
        <v/>
      </c>
    </row>
    <row r="297" spans="1:8" x14ac:dyDescent="0.2">
      <c r="A297" s="232" t="str">
        <f t="shared" si="28"/>
        <v/>
      </c>
      <c r="B297" s="244" t="str">
        <f t="shared" si="33"/>
        <v/>
      </c>
      <c r="C297" s="245" t="str">
        <f t="shared" si="29"/>
        <v/>
      </c>
      <c r="D297" s="246"/>
      <c r="E297" s="245" t="str">
        <f t="shared" si="34"/>
        <v/>
      </c>
      <c r="F297" s="245" t="str">
        <f t="shared" si="30"/>
        <v/>
      </c>
      <c r="G297" s="245" t="str">
        <f t="shared" si="31"/>
        <v/>
      </c>
      <c r="H297" s="245" t="str">
        <f t="shared" si="32"/>
        <v/>
      </c>
    </row>
    <row r="298" spans="1:8" x14ac:dyDescent="0.2">
      <c r="A298" s="232" t="str">
        <f t="shared" si="28"/>
        <v/>
      </c>
      <c r="B298" s="244" t="str">
        <f t="shared" si="33"/>
        <v/>
      </c>
      <c r="C298" s="245" t="str">
        <f t="shared" si="29"/>
        <v/>
      </c>
      <c r="D298" s="246"/>
      <c r="E298" s="245" t="str">
        <f t="shared" si="34"/>
        <v/>
      </c>
      <c r="F298" s="245" t="str">
        <f t="shared" si="30"/>
        <v/>
      </c>
      <c r="G298" s="245" t="str">
        <f t="shared" si="31"/>
        <v/>
      </c>
      <c r="H298" s="245" t="str">
        <f t="shared" si="32"/>
        <v/>
      </c>
    </row>
    <row r="299" spans="1:8" x14ac:dyDescent="0.2">
      <c r="A299" s="232" t="str">
        <f t="shared" si="28"/>
        <v/>
      </c>
      <c r="B299" s="244" t="str">
        <f t="shared" si="33"/>
        <v/>
      </c>
      <c r="C299" s="245" t="str">
        <f t="shared" si="29"/>
        <v/>
      </c>
      <c r="D299" s="246"/>
      <c r="E299" s="245" t="str">
        <f t="shared" si="34"/>
        <v/>
      </c>
      <c r="F299" s="245" t="str">
        <f t="shared" si="30"/>
        <v/>
      </c>
      <c r="G299" s="245" t="str">
        <f t="shared" si="31"/>
        <v/>
      </c>
      <c r="H299" s="245" t="str">
        <f t="shared" si="32"/>
        <v/>
      </c>
    </row>
    <row r="300" spans="1:8" x14ac:dyDescent="0.2">
      <c r="A300" s="232" t="str">
        <f t="shared" si="28"/>
        <v/>
      </c>
      <c r="B300" s="244" t="str">
        <f t="shared" si="33"/>
        <v/>
      </c>
      <c r="C300" s="245" t="str">
        <f t="shared" si="29"/>
        <v/>
      </c>
      <c r="D300" s="246"/>
      <c r="E300" s="245" t="str">
        <f t="shared" si="34"/>
        <v/>
      </c>
      <c r="F300" s="245" t="str">
        <f t="shared" si="30"/>
        <v/>
      </c>
      <c r="G300" s="245" t="str">
        <f t="shared" si="31"/>
        <v/>
      </c>
      <c r="H300" s="245" t="str">
        <f t="shared" si="32"/>
        <v/>
      </c>
    </row>
    <row r="301" spans="1:8" x14ac:dyDescent="0.2">
      <c r="A301" s="232" t="str">
        <f t="shared" si="28"/>
        <v/>
      </c>
      <c r="B301" s="244" t="str">
        <f t="shared" si="33"/>
        <v/>
      </c>
      <c r="C301" s="245" t="str">
        <f t="shared" si="29"/>
        <v/>
      </c>
      <c r="D301" s="246"/>
      <c r="E301" s="245" t="str">
        <f t="shared" si="34"/>
        <v/>
      </c>
      <c r="F301" s="245" t="str">
        <f t="shared" si="30"/>
        <v/>
      </c>
      <c r="G301" s="245" t="str">
        <f t="shared" si="31"/>
        <v/>
      </c>
      <c r="H301" s="245" t="str">
        <f t="shared" si="32"/>
        <v/>
      </c>
    </row>
    <row r="302" spans="1:8" x14ac:dyDescent="0.2">
      <c r="A302" s="232" t="str">
        <f t="shared" si="28"/>
        <v/>
      </c>
      <c r="B302" s="244" t="str">
        <f t="shared" si="33"/>
        <v/>
      </c>
      <c r="C302" s="245" t="str">
        <f t="shared" si="29"/>
        <v/>
      </c>
      <c r="D302" s="246"/>
      <c r="E302" s="245" t="str">
        <f t="shared" si="34"/>
        <v/>
      </c>
      <c r="F302" s="245" t="str">
        <f t="shared" si="30"/>
        <v/>
      </c>
      <c r="G302" s="245" t="str">
        <f t="shared" si="31"/>
        <v/>
      </c>
      <c r="H302" s="245" t="str">
        <f t="shared" si="32"/>
        <v/>
      </c>
    </row>
    <row r="303" spans="1:8" x14ac:dyDescent="0.2">
      <c r="A303" s="232" t="str">
        <f t="shared" si="28"/>
        <v/>
      </c>
      <c r="B303" s="244" t="str">
        <f t="shared" si="33"/>
        <v/>
      </c>
      <c r="C303" s="245" t="str">
        <f t="shared" si="29"/>
        <v/>
      </c>
      <c r="D303" s="246"/>
      <c r="E303" s="245" t="str">
        <f t="shared" si="34"/>
        <v/>
      </c>
      <c r="F303" s="245" t="str">
        <f t="shared" si="30"/>
        <v/>
      </c>
      <c r="G303" s="245" t="str">
        <f t="shared" si="31"/>
        <v/>
      </c>
      <c r="H303" s="245" t="str">
        <f t="shared" si="32"/>
        <v/>
      </c>
    </row>
    <row r="304" spans="1:8" x14ac:dyDescent="0.2">
      <c r="A304" s="232" t="str">
        <f t="shared" si="28"/>
        <v/>
      </c>
      <c r="B304" s="244" t="str">
        <f t="shared" si="33"/>
        <v/>
      </c>
      <c r="C304" s="245" t="str">
        <f t="shared" si="29"/>
        <v/>
      </c>
      <c r="D304" s="246"/>
      <c r="E304" s="245" t="str">
        <f t="shared" si="34"/>
        <v/>
      </c>
      <c r="F304" s="245" t="str">
        <f t="shared" si="30"/>
        <v/>
      </c>
      <c r="G304" s="245" t="str">
        <f t="shared" si="31"/>
        <v/>
      </c>
      <c r="H304" s="245" t="str">
        <f t="shared" si="32"/>
        <v/>
      </c>
    </row>
    <row r="305" spans="1:8" x14ac:dyDescent="0.2">
      <c r="A305" s="232" t="str">
        <f t="shared" si="28"/>
        <v/>
      </c>
      <c r="B305" s="244" t="str">
        <f t="shared" si="33"/>
        <v/>
      </c>
      <c r="C305" s="245" t="str">
        <f t="shared" si="29"/>
        <v/>
      </c>
      <c r="D305" s="246"/>
      <c r="E305" s="245" t="str">
        <f t="shared" si="34"/>
        <v/>
      </c>
      <c r="F305" s="245" t="str">
        <f t="shared" si="30"/>
        <v/>
      </c>
      <c r="G305" s="245" t="str">
        <f t="shared" si="31"/>
        <v/>
      </c>
      <c r="H305" s="245" t="str">
        <f t="shared" si="32"/>
        <v/>
      </c>
    </row>
    <row r="306" spans="1:8" x14ac:dyDescent="0.2">
      <c r="A306" s="232" t="str">
        <f t="shared" si="28"/>
        <v/>
      </c>
      <c r="B306" s="244" t="str">
        <f t="shared" si="33"/>
        <v/>
      </c>
      <c r="C306" s="245" t="str">
        <f t="shared" si="29"/>
        <v/>
      </c>
      <c r="D306" s="246"/>
      <c r="E306" s="245" t="str">
        <f t="shared" si="34"/>
        <v/>
      </c>
      <c r="F306" s="245" t="str">
        <f t="shared" si="30"/>
        <v/>
      </c>
      <c r="G306" s="245" t="str">
        <f t="shared" si="31"/>
        <v/>
      </c>
      <c r="H306" s="245" t="str">
        <f t="shared" si="32"/>
        <v/>
      </c>
    </row>
    <row r="307" spans="1:8" x14ac:dyDescent="0.2">
      <c r="A307" s="232" t="str">
        <f t="shared" si="28"/>
        <v/>
      </c>
      <c r="B307" s="244" t="str">
        <f t="shared" si="33"/>
        <v/>
      </c>
      <c r="C307" s="245" t="str">
        <f t="shared" si="29"/>
        <v/>
      </c>
      <c r="D307" s="246"/>
      <c r="E307" s="245" t="str">
        <f t="shared" si="34"/>
        <v/>
      </c>
      <c r="F307" s="245" t="str">
        <f t="shared" si="30"/>
        <v/>
      </c>
      <c r="G307" s="245" t="str">
        <f t="shared" si="31"/>
        <v/>
      </c>
      <c r="H307" s="245" t="str">
        <f t="shared" si="32"/>
        <v/>
      </c>
    </row>
    <row r="308" spans="1:8" x14ac:dyDescent="0.2">
      <c r="A308" s="232" t="str">
        <f t="shared" si="28"/>
        <v/>
      </c>
      <c r="B308" s="244" t="str">
        <f t="shared" si="33"/>
        <v/>
      </c>
      <c r="C308" s="245" t="str">
        <f t="shared" si="29"/>
        <v/>
      </c>
      <c r="D308" s="246"/>
      <c r="E308" s="245" t="str">
        <f t="shared" si="34"/>
        <v/>
      </c>
      <c r="F308" s="245" t="str">
        <f t="shared" si="30"/>
        <v/>
      </c>
      <c r="G308" s="245" t="str">
        <f t="shared" si="31"/>
        <v/>
      </c>
      <c r="H308" s="245" t="str">
        <f t="shared" si="32"/>
        <v/>
      </c>
    </row>
    <row r="309" spans="1:8" x14ac:dyDescent="0.2">
      <c r="A309" s="232" t="str">
        <f t="shared" si="28"/>
        <v/>
      </c>
      <c r="B309" s="244" t="str">
        <f t="shared" si="33"/>
        <v/>
      </c>
      <c r="C309" s="245" t="str">
        <f t="shared" si="29"/>
        <v/>
      </c>
      <c r="D309" s="246"/>
      <c r="E309" s="245" t="str">
        <f t="shared" si="34"/>
        <v/>
      </c>
      <c r="F309" s="245" t="str">
        <f t="shared" si="30"/>
        <v/>
      </c>
      <c r="G309" s="245" t="str">
        <f t="shared" si="31"/>
        <v/>
      </c>
      <c r="H309" s="245" t="str">
        <f t="shared" si="32"/>
        <v/>
      </c>
    </row>
    <row r="310" spans="1:8" x14ac:dyDescent="0.2">
      <c r="A310" s="232" t="str">
        <f t="shared" si="28"/>
        <v/>
      </c>
      <c r="B310" s="244" t="str">
        <f t="shared" si="33"/>
        <v/>
      </c>
      <c r="C310" s="245" t="str">
        <f t="shared" si="29"/>
        <v/>
      </c>
      <c r="D310" s="246"/>
      <c r="E310" s="245" t="str">
        <f t="shared" si="34"/>
        <v/>
      </c>
      <c r="F310" s="245" t="str">
        <f t="shared" si="30"/>
        <v/>
      </c>
      <c r="G310" s="245" t="str">
        <f t="shared" si="31"/>
        <v/>
      </c>
      <c r="H310" s="245" t="str">
        <f t="shared" si="32"/>
        <v/>
      </c>
    </row>
    <row r="311" spans="1:8" x14ac:dyDescent="0.2">
      <c r="A311" s="232" t="str">
        <f t="shared" si="28"/>
        <v/>
      </c>
      <c r="B311" s="244" t="str">
        <f t="shared" si="33"/>
        <v/>
      </c>
      <c r="C311" s="245" t="str">
        <f t="shared" si="29"/>
        <v/>
      </c>
      <c r="D311" s="246"/>
      <c r="E311" s="245" t="str">
        <f t="shared" si="34"/>
        <v/>
      </c>
      <c r="F311" s="245" t="str">
        <f t="shared" si="30"/>
        <v/>
      </c>
      <c r="G311" s="245" t="str">
        <f t="shared" si="31"/>
        <v/>
      </c>
      <c r="H311" s="245" t="str">
        <f t="shared" si="32"/>
        <v/>
      </c>
    </row>
    <row r="312" spans="1:8" x14ac:dyDescent="0.2">
      <c r="A312" s="232" t="str">
        <f t="shared" si="28"/>
        <v/>
      </c>
      <c r="B312" s="244" t="str">
        <f t="shared" si="33"/>
        <v/>
      </c>
      <c r="C312" s="245" t="str">
        <f t="shared" si="29"/>
        <v/>
      </c>
      <c r="D312" s="246"/>
      <c r="E312" s="245" t="str">
        <f t="shared" si="34"/>
        <v/>
      </c>
      <c r="F312" s="245" t="str">
        <f t="shared" si="30"/>
        <v/>
      </c>
      <c r="G312" s="245" t="str">
        <f t="shared" si="31"/>
        <v/>
      </c>
      <c r="H312" s="245" t="str">
        <f t="shared" si="32"/>
        <v/>
      </c>
    </row>
    <row r="313" spans="1:8" x14ac:dyDescent="0.2">
      <c r="A313" s="232" t="str">
        <f t="shared" si="28"/>
        <v/>
      </c>
      <c r="B313" s="244" t="str">
        <f t="shared" si="33"/>
        <v/>
      </c>
      <c r="C313" s="245" t="str">
        <f t="shared" si="29"/>
        <v/>
      </c>
      <c r="D313" s="246"/>
      <c r="E313" s="245" t="str">
        <f t="shared" si="34"/>
        <v/>
      </c>
      <c r="F313" s="245" t="str">
        <f t="shared" si="30"/>
        <v/>
      </c>
      <c r="G313" s="245" t="str">
        <f t="shared" si="31"/>
        <v/>
      </c>
      <c r="H313" s="245" t="str">
        <f t="shared" si="32"/>
        <v/>
      </c>
    </row>
    <row r="314" spans="1:8" x14ac:dyDescent="0.2">
      <c r="A314" s="232" t="str">
        <f t="shared" si="28"/>
        <v/>
      </c>
      <c r="B314" s="244" t="str">
        <f t="shared" si="33"/>
        <v/>
      </c>
      <c r="C314" s="245" t="str">
        <f t="shared" si="29"/>
        <v/>
      </c>
      <c r="D314" s="246"/>
      <c r="E314" s="245" t="str">
        <f t="shared" si="34"/>
        <v/>
      </c>
      <c r="F314" s="245" t="str">
        <f t="shared" si="30"/>
        <v/>
      </c>
      <c r="G314" s="245" t="str">
        <f t="shared" si="31"/>
        <v/>
      </c>
      <c r="H314" s="245" t="str">
        <f t="shared" si="32"/>
        <v/>
      </c>
    </row>
    <row r="315" spans="1:8" x14ac:dyDescent="0.2">
      <c r="A315" s="232" t="str">
        <f t="shared" si="28"/>
        <v/>
      </c>
      <c r="B315" s="244" t="str">
        <f t="shared" si="33"/>
        <v/>
      </c>
      <c r="C315" s="245" t="str">
        <f t="shared" si="29"/>
        <v/>
      </c>
      <c r="D315" s="246"/>
      <c r="E315" s="245" t="str">
        <f t="shared" si="34"/>
        <v/>
      </c>
      <c r="F315" s="245" t="str">
        <f t="shared" si="30"/>
        <v/>
      </c>
      <c r="G315" s="245" t="str">
        <f t="shared" si="31"/>
        <v/>
      </c>
      <c r="H315" s="245" t="str">
        <f t="shared" si="32"/>
        <v/>
      </c>
    </row>
    <row r="316" spans="1:8" x14ac:dyDescent="0.2">
      <c r="A316" s="232" t="str">
        <f t="shared" si="28"/>
        <v/>
      </c>
      <c r="B316" s="244" t="str">
        <f t="shared" si="33"/>
        <v/>
      </c>
      <c r="C316" s="245" t="str">
        <f t="shared" si="29"/>
        <v/>
      </c>
      <c r="D316" s="246"/>
      <c r="E316" s="245" t="str">
        <f t="shared" si="34"/>
        <v/>
      </c>
      <c r="F316" s="245" t="str">
        <f t="shared" si="30"/>
        <v/>
      </c>
      <c r="G316" s="245" t="str">
        <f t="shared" si="31"/>
        <v/>
      </c>
      <c r="H316" s="245" t="str">
        <f t="shared" si="32"/>
        <v/>
      </c>
    </row>
    <row r="317" spans="1:8" x14ac:dyDescent="0.2">
      <c r="A317" s="232" t="str">
        <f t="shared" si="28"/>
        <v/>
      </c>
      <c r="B317" s="244" t="str">
        <f t="shared" si="33"/>
        <v/>
      </c>
      <c r="C317" s="245" t="str">
        <f t="shared" si="29"/>
        <v/>
      </c>
      <c r="D317" s="246"/>
      <c r="E317" s="245" t="str">
        <f t="shared" si="34"/>
        <v/>
      </c>
      <c r="F317" s="245" t="str">
        <f t="shared" si="30"/>
        <v/>
      </c>
      <c r="G317" s="245" t="str">
        <f t="shared" si="31"/>
        <v/>
      </c>
      <c r="H317" s="245" t="str">
        <f t="shared" si="32"/>
        <v/>
      </c>
    </row>
    <row r="318" spans="1:8" x14ac:dyDescent="0.2">
      <c r="A318" s="232" t="str">
        <f t="shared" si="28"/>
        <v/>
      </c>
      <c r="B318" s="244" t="str">
        <f t="shared" si="33"/>
        <v/>
      </c>
      <c r="C318" s="245" t="str">
        <f t="shared" si="29"/>
        <v/>
      </c>
      <c r="D318" s="246"/>
      <c r="E318" s="245" t="str">
        <f t="shared" si="34"/>
        <v/>
      </c>
      <c r="F318" s="245" t="str">
        <f t="shared" si="30"/>
        <v/>
      </c>
      <c r="G318" s="245" t="str">
        <f t="shared" si="31"/>
        <v/>
      </c>
      <c r="H318" s="245" t="str">
        <f t="shared" si="32"/>
        <v/>
      </c>
    </row>
    <row r="319" spans="1:8" x14ac:dyDescent="0.2">
      <c r="A319" s="232" t="str">
        <f t="shared" si="28"/>
        <v/>
      </c>
      <c r="B319" s="244" t="str">
        <f t="shared" si="33"/>
        <v/>
      </c>
      <c r="C319" s="245" t="str">
        <f t="shared" si="29"/>
        <v/>
      </c>
      <c r="D319" s="246"/>
      <c r="E319" s="245" t="str">
        <f t="shared" si="34"/>
        <v/>
      </c>
      <c r="F319" s="245" t="str">
        <f t="shared" si="30"/>
        <v/>
      </c>
      <c r="G319" s="245" t="str">
        <f t="shared" si="31"/>
        <v/>
      </c>
      <c r="H319" s="245" t="str">
        <f t="shared" si="32"/>
        <v/>
      </c>
    </row>
    <row r="320" spans="1:8" x14ac:dyDescent="0.2">
      <c r="A320" s="232" t="str">
        <f t="shared" si="28"/>
        <v/>
      </c>
      <c r="B320" s="244" t="str">
        <f t="shared" si="33"/>
        <v/>
      </c>
      <c r="C320" s="245" t="str">
        <f t="shared" si="29"/>
        <v/>
      </c>
      <c r="D320" s="246"/>
      <c r="E320" s="245" t="str">
        <f t="shared" si="34"/>
        <v/>
      </c>
      <c r="F320" s="245" t="str">
        <f t="shared" si="30"/>
        <v/>
      </c>
      <c r="G320" s="245" t="str">
        <f t="shared" si="31"/>
        <v/>
      </c>
      <c r="H320" s="245" t="str">
        <f t="shared" si="32"/>
        <v/>
      </c>
    </row>
    <row r="321" spans="1:8" x14ac:dyDescent="0.2">
      <c r="A321" s="232" t="str">
        <f t="shared" si="28"/>
        <v/>
      </c>
      <c r="B321" s="244" t="str">
        <f t="shared" si="33"/>
        <v/>
      </c>
      <c r="C321" s="245" t="str">
        <f t="shared" si="29"/>
        <v/>
      </c>
      <c r="D321" s="246"/>
      <c r="E321" s="245" t="str">
        <f t="shared" si="34"/>
        <v/>
      </c>
      <c r="F321" s="245" t="str">
        <f t="shared" si="30"/>
        <v/>
      </c>
      <c r="G321" s="245" t="str">
        <f t="shared" si="31"/>
        <v/>
      </c>
      <c r="H321" s="245" t="str">
        <f t="shared" si="32"/>
        <v/>
      </c>
    </row>
    <row r="322" spans="1:8" x14ac:dyDescent="0.2">
      <c r="A322" s="232" t="str">
        <f t="shared" si="28"/>
        <v/>
      </c>
      <c r="B322" s="244" t="str">
        <f t="shared" si="33"/>
        <v/>
      </c>
      <c r="C322" s="245" t="str">
        <f t="shared" si="29"/>
        <v/>
      </c>
      <c r="D322" s="246"/>
      <c r="E322" s="245" t="str">
        <f t="shared" si="34"/>
        <v/>
      </c>
      <c r="F322" s="245" t="str">
        <f t="shared" si="30"/>
        <v/>
      </c>
      <c r="G322" s="245" t="str">
        <f t="shared" si="31"/>
        <v/>
      </c>
      <c r="H322" s="245" t="str">
        <f t="shared" si="32"/>
        <v/>
      </c>
    </row>
    <row r="323" spans="1:8" x14ac:dyDescent="0.2">
      <c r="A323" s="232" t="str">
        <f t="shared" si="28"/>
        <v/>
      </c>
      <c r="B323" s="244" t="str">
        <f t="shared" si="33"/>
        <v/>
      </c>
      <c r="C323" s="245" t="str">
        <f t="shared" si="29"/>
        <v/>
      </c>
      <c r="D323" s="246"/>
      <c r="E323" s="245" t="str">
        <f t="shared" si="34"/>
        <v/>
      </c>
      <c r="F323" s="245" t="str">
        <f t="shared" si="30"/>
        <v/>
      </c>
      <c r="G323" s="245" t="str">
        <f t="shared" si="31"/>
        <v/>
      </c>
      <c r="H323" s="245" t="str">
        <f t="shared" si="32"/>
        <v/>
      </c>
    </row>
    <row r="324" spans="1:8" x14ac:dyDescent="0.2">
      <c r="A324" s="232" t="str">
        <f t="shared" si="28"/>
        <v/>
      </c>
      <c r="B324" s="244" t="str">
        <f t="shared" si="33"/>
        <v/>
      </c>
      <c r="C324" s="245" t="str">
        <f t="shared" si="29"/>
        <v/>
      </c>
      <c r="D324" s="246"/>
      <c r="E324" s="245" t="str">
        <f t="shared" si="34"/>
        <v/>
      </c>
      <c r="F324" s="245" t="str">
        <f t="shared" si="30"/>
        <v/>
      </c>
      <c r="G324" s="245" t="str">
        <f t="shared" si="31"/>
        <v/>
      </c>
      <c r="H324" s="245" t="str">
        <f t="shared" si="32"/>
        <v/>
      </c>
    </row>
    <row r="325" spans="1:8" x14ac:dyDescent="0.2">
      <c r="A325" s="232" t="str">
        <f t="shared" si="28"/>
        <v/>
      </c>
      <c r="B325" s="244" t="str">
        <f t="shared" si="33"/>
        <v/>
      </c>
      <c r="C325" s="245" t="str">
        <f t="shared" si="29"/>
        <v/>
      </c>
      <c r="D325" s="246"/>
      <c r="E325" s="245" t="str">
        <f t="shared" si="34"/>
        <v/>
      </c>
      <c r="F325" s="245" t="str">
        <f t="shared" si="30"/>
        <v/>
      </c>
      <c r="G325" s="245" t="str">
        <f t="shared" si="31"/>
        <v/>
      </c>
      <c r="H325" s="245" t="str">
        <f t="shared" si="32"/>
        <v/>
      </c>
    </row>
    <row r="326" spans="1:8" x14ac:dyDescent="0.2">
      <c r="A326" s="232" t="str">
        <f t="shared" si="28"/>
        <v/>
      </c>
      <c r="B326" s="244" t="str">
        <f t="shared" si="33"/>
        <v/>
      </c>
      <c r="C326" s="245" t="str">
        <f t="shared" si="29"/>
        <v/>
      </c>
      <c r="D326" s="246"/>
      <c r="E326" s="245" t="str">
        <f t="shared" si="34"/>
        <v/>
      </c>
      <c r="F326" s="245" t="str">
        <f t="shared" si="30"/>
        <v/>
      </c>
      <c r="G326" s="245" t="str">
        <f t="shared" si="31"/>
        <v/>
      </c>
      <c r="H326" s="245" t="str">
        <f t="shared" si="32"/>
        <v/>
      </c>
    </row>
    <row r="327" spans="1:8" x14ac:dyDescent="0.2">
      <c r="A327" s="232" t="str">
        <f t="shared" si="28"/>
        <v/>
      </c>
      <c r="B327" s="244" t="str">
        <f t="shared" si="33"/>
        <v/>
      </c>
      <c r="C327" s="245" t="str">
        <f t="shared" si="29"/>
        <v/>
      </c>
      <c r="D327" s="246"/>
      <c r="E327" s="245" t="str">
        <f t="shared" si="34"/>
        <v/>
      </c>
      <c r="F327" s="245" t="str">
        <f t="shared" si="30"/>
        <v/>
      </c>
      <c r="G327" s="245" t="str">
        <f t="shared" si="31"/>
        <v/>
      </c>
      <c r="H327" s="245" t="str">
        <f t="shared" si="32"/>
        <v/>
      </c>
    </row>
    <row r="328" spans="1:8" x14ac:dyDescent="0.2">
      <c r="A328" s="232" t="str">
        <f t="shared" si="28"/>
        <v/>
      </c>
      <c r="B328" s="244" t="str">
        <f t="shared" si="33"/>
        <v/>
      </c>
      <c r="C328" s="245" t="str">
        <f t="shared" si="29"/>
        <v/>
      </c>
      <c r="D328" s="246"/>
      <c r="E328" s="245" t="str">
        <f t="shared" si="34"/>
        <v/>
      </c>
      <c r="F328" s="245" t="str">
        <f t="shared" si="30"/>
        <v/>
      </c>
      <c r="G328" s="245" t="str">
        <f t="shared" si="31"/>
        <v/>
      </c>
      <c r="H328" s="245" t="str">
        <f t="shared" si="32"/>
        <v/>
      </c>
    </row>
    <row r="329" spans="1:8" x14ac:dyDescent="0.2">
      <c r="A329" s="232" t="str">
        <f t="shared" si="28"/>
        <v/>
      </c>
      <c r="B329" s="244" t="str">
        <f t="shared" si="33"/>
        <v/>
      </c>
      <c r="C329" s="245" t="str">
        <f t="shared" si="29"/>
        <v/>
      </c>
      <c r="D329" s="246"/>
      <c r="E329" s="245" t="str">
        <f t="shared" si="34"/>
        <v/>
      </c>
      <c r="F329" s="245" t="str">
        <f t="shared" si="30"/>
        <v/>
      </c>
      <c r="G329" s="245" t="str">
        <f t="shared" si="31"/>
        <v/>
      </c>
      <c r="H329" s="245" t="str">
        <f t="shared" si="32"/>
        <v/>
      </c>
    </row>
    <row r="330" spans="1:8" x14ac:dyDescent="0.2">
      <c r="A330" s="232" t="str">
        <f t="shared" si="28"/>
        <v/>
      </c>
      <c r="B330" s="244" t="str">
        <f t="shared" si="33"/>
        <v/>
      </c>
      <c r="C330" s="245" t="str">
        <f t="shared" si="29"/>
        <v/>
      </c>
      <c r="D330" s="246"/>
      <c r="E330" s="245" t="str">
        <f t="shared" si="34"/>
        <v/>
      </c>
      <c r="F330" s="245" t="str">
        <f t="shared" si="30"/>
        <v/>
      </c>
      <c r="G330" s="245" t="str">
        <f t="shared" si="31"/>
        <v/>
      </c>
      <c r="H330" s="245" t="str">
        <f t="shared" si="32"/>
        <v/>
      </c>
    </row>
    <row r="331" spans="1:8" x14ac:dyDescent="0.2">
      <c r="A331" s="232" t="str">
        <f t="shared" si="28"/>
        <v/>
      </c>
      <c r="B331" s="244" t="str">
        <f t="shared" si="33"/>
        <v/>
      </c>
      <c r="C331" s="245" t="str">
        <f t="shared" si="29"/>
        <v/>
      </c>
      <c r="D331" s="246"/>
      <c r="E331" s="245" t="str">
        <f t="shared" si="34"/>
        <v/>
      </c>
      <c r="F331" s="245" t="str">
        <f t="shared" si="30"/>
        <v/>
      </c>
      <c r="G331" s="245" t="str">
        <f t="shared" si="31"/>
        <v/>
      </c>
      <c r="H331" s="245" t="str">
        <f t="shared" si="32"/>
        <v/>
      </c>
    </row>
    <row r="332" spans="1:8" x14ac:dyDescent="0.2">
      <c r="A332" s="232" t="str">
        <f t="shared" si="28"/>
        <v/>
      </c>
      <c r="B332" s="244" t="str">
        <f t="shared" si="33"/>
        <v/>
      </c>
      <c r="C332" s="245" t="str">
        <f t="shared" si="29"/>
        <v/>
      </c>
      <c r="D332" s="246"/>
      <c r="E332" s="245" t="str">
        <f t="shared" si="34"/>
        <v/>
      </c>
      <c r="F332" s="245" t="str">
        <f t="shared" si="30"/>
        <v/>
      </c>
      <c r="G332" s="245" t="str">
        <f t="shared" si="31"/>
        <v/>
      </c>
      <c r="H332" s="245" t="str">
        <f t="shared" si="32"/>
        <v/>
      </c>
    </row>
    <row r="333" spans="1:8" x14ac:dyDescent="0.2">
      <c r="A333" s="232" t="str">
        <f t="shared" si="28"/>
        <v/>
      </c>
      <c r="B333" s="244" t="str">
        <f t="shared" si="33"/>
        <v/>
      </c>
      <c r="C333" s="245" t="str">
        <f t="shared" si="29"/>
        <v/>
      </c>
      <c r="D333" s="246"/>
      <c r="E333" s="245" t="str">
        <f t="shared" si="34"/>
        <v/>
      </c>
      <c r="F333" s="245" t="str">
        <f t="shared" si="30"/>
        <v/>
      </c>
      <c r="G333" s="245" t="str">
        <f t="shared" si="31"/>
        <v/>
      </c>
      <c r="H333" s="245" t="str">
        <f t="shared" si="32"/>
        <v/>
      </c>
    </row>
    <row r="334" spans="1:8" x14ac:dyDescent="0.2">
      <c r="A334" s="232" t="str">
        <f t="shared" si="28"/>
        <v/>
      </c>
      <c r="B334" s="244" t="str">
        <f t="shared" si="33"/>
        <v/>
      </c>
      <c r="C334" s="245" t="str">
        <f t="shared" si="29"/>
        <v/>
      </c>
      <c r="D334" s="246"/>
      <c r="E334" s="245" t="str">
        <f t="shared" si="34"/>
        <v/>
      </c>
      <c r="F334" s="245" t="str">
        <f t="shared" si="30"/>
        <v/>
      </c>
      <c r="G334" s="245" t="str">
        <f t="shared" si="31"/>
        <v/>
      </c>
      <c r="H334" s="245" t="str">
        <f t="shared" si="32"/>
        <v/>
      </c>
    </row>
    <row r="335" spans="1:8" x14ac:dyDescent="0.2">
      <c r="A335" s="232" t="str">
        <f t="shared" si="28"/>
        <v/>
      </c>
      <c r="B335" s="244" t="str">
        <f t="shared" si="33"/>
        <v/>
      </c>
      <c r="C335" s="245" t="str">
        <f t="shared" si="29"/>
        <v/>
      </c>
      <c r="D335" s="246"/>
      <c r="E335" s="245" t="str">
        <f t="shared" si="34"/>
        <v/>
      </c>
      <c r="F335" s="245" t="str">
        <f t="shared" si="30"/>
        <v/>
      </c>
      <c r="G335" s="245" t="str">
        <f t="shared" si="31"/>
        <v/>
      </c>
      <c r="H335" s="245" t="str">
        <f t="shared" si="32"/>
        <v/>
      </c>
    </row>
    <row r="336" spans="1:8" x14ac:dyDescent="0.2">
      <c r="A336" s="232" t="str">
        <f t="shared" si="28"/>
        <v/>
      </c>
      <c r="B336" s="244" t="str">
        <f t="shared" si="33"/>
        <v/>
      </c>
      <c r="C336" s="245" t="str">
        <f t="shared" si="29"/>
        <v/>
      </c>
      <c r="D336" s="246"/>
      <c r="E336" s="245" t="str">
        <f t="shared" si="34"/>
        <v/>
      </c>
      <c r="F336" s="245" t="str">
        <f t="shared" si="30"/>
        <v/>
      </c>
      <c r="G336" s="245" t="str">
        <f t="shared" si="31"/>
        <v/>
      </c>
      <c r="H336" s="245" t="str">
        <f t="shared" si="32"/>
        <v/>
      </c>
    </row>
    <row r="337" spans="1:8" x14ac:dyDescent="0.2">
      <c r="A337" s="232" t="str">
        <f t="shared" si="28"/>
        <v/>
      </c>
      <c r="B337" s="244" t="str">
        <f t="shared" si="33"/>
        <v/>
      </c>
      <c r="C337" s="245" t="str">
        <f t="shared" si="29"/>
        <v/>
      </c>
      <c r="D337" s="246"/>
      <c r="E337" s="245" t="str">
        <f t="shared" si="34"/>
        <v/>
      </c>
      <c r="F337" s="245" t="str">
        <f t="shared" si="30"/>
        <v/>
      </c>
      <c r="G337" s="245" t="str">
        <f t="shared" si="31"/>
        <v/>
      </c>
      <c r="H337" s="245" t="str">
        <f t="shared" si="32"/>
        <v/>
      </c>
    </row>
    <row r="338" spans="1:8" x14ac:dyDescent="0.2">
      <c r="A338" s="232" t="str">
        <f t="shared" si="28"/>
        <v/>
      </c>
      <c r="B338" s="244" t="str">
        <f t="shared" si="33"/>
        <v/>
      </c>
      <c r="C338" s="245" t="str">
        <f t="shared" si="29"/>
        <v/>
      </c>
      <c r="D338" s="246"/>
      <c r="E338" s="245" t="str">
        <f t="shared" si="34"/>
        <v/>
      </c>
      <c r="F338" s="245" t="str">
        <f t="shared" si="30"/>
        <v/>
      </c>
      <c r="G338" s="245" t="str">
        <f t="shared" si="31"/>
        <v/>
      </c>
      <c r="H338" s="245" t="str">
        <f t="shared" si="32"/>
        <v/>
      </c>
    </row>
    <row r="339" spans="1:8" x14ac:dyDescent="0.2">
      <c r="A339" s="232" t="str">
        <f t="shared" si="28"/>
        <v/>
      </c>
      <c r="B339" s="244" t="str">
        <f t="shared" si="33"/>
        <v/>
      </c>
      <c r="C339" s="245" t="str">
        <f t="shared" si="29"/>
        <v/>
      </c>
      <c r="D339" s="246"/>
      <c r="E339" s="245" t="str">
        <f t="shared" si="34"/>
        <v/>
      </c>
      <c r="F339" s="245" t="str">
        <f t="shared" si="30"/>
        <v/>
      </c>
      <c r="G339" s="245" t="str">
        <f t="shared" si="31"/>
        <v/>
      </c>
      <c r="H339" s="245" t="str">
        <f t="shared" si="32"/>
        <v/>
      </c>
    </row>
    <row r="340" spans="1:8" x14ac:dyDescent="0.2">
      <c r="A340" s="232" t="str">
        <f t="shared" si="28"/>
        <v/>
      </c>
      <c r="B340" s="244" t="str">
        <f t="shared" si="33"/>
        <v/>
      </c>
      <c r="C340" s="245" t="str">
        <f t="shared" si="29"/>
        <v/>
      </c>
      <c r="D340" s="246"/>
      <c r="E340" s="245" t="str">
        <f t="shared" si="34"/>
        <v/>
      </c>
      <c r="F340" s="245" t="str">
        <f t="shared" si="30"/>
        <v/>
      </c>
      <c r="G340" s="245" t="str">
        <f t="shared" si="31"/>
        <v/>
      </c>
      <c r="H340" s="245" t="str">
        <f t="shared" si="32"/>
        <v/>
      </c>
    </row>
    <row r="341" spans="1:8" x14ac:dyDescent="0.2">
      <c r="A341" s="232" t="str">
        <f t="shared" si="28"/>
        <v/>
      </c>
      <c r="B341" s="244" t="str">
        <f t="shared" si="33"/>
        <v/>
      </c>
      <c r="C341" s="245" t="str">
        <f t="shared" si="29"/>
        <v/>
      </c>
      <c r="D341" s="246"/>
      <c r="E341" s="245" t="str">
        <f t="shared" si="34"/>
        <v/>
      </c>
      <c r="F341" s="245" t="str">
        <f t="shared" si="30"/>
        <v/>
      </c>
      <c r="G341" s="245" t="str">
        <f t="shared" si="31"/>
        <v/>
      </c>
      <c r="H341" s="245" t="str">
        <f t="shared" si="32"/>
        <v/>
      </c>
    </row>
    <row r="342" spans="1:8" x14ac:dyDescent="0.2">
      <c r="A342" s="232" t="str">
        <f t="shared" si="28"/>
        <v/>
      </c>
      <c r="B342" s="244" t="str">
        <f t="shared" si="33"/>
        <v/>
      </c>
      <c r="C342" s="245" t="str">
        <f t="shared" si="29"/>
        <v/>
      </c>
      <c r="D342" s="246"/>
      <c r="E342" s="245" t="str">
        <f t="shared" si="34"/>
        <v/>
      </c>
      <c r="F342" s="245" t="str">
        <f t="shared" si="30"/>
        <v/>
      </c>
      <c r="G342" s="245" t="str">
        <f t="shared" si="31"/>
        <v/>
      </c>
      <c r="H342" s="245" t="str">
        <f t="shared" si="32"/>
        <v/>
      </c>
    </row>
    <row r="343" spans="1:8" x14ac:dyDescent="0.2">
      <c r="A343" s="232" t="str">
        <f t="shared" ref="A343:A382" si="35">IF(A342="","",IF(H342&gt;0,A342+1,""))</f>
        <v/>
      </c>
      <c r="B343" s="244" t="str">
        <f t="shared" si="33"/>
        <v/>
      </c>
      <c r="C343" s="245" t="str">
        <f t="shared" ref="C343:C382" si="36">IF(A343="","",IF(ISBLANK($E$10),MIN(MAX($E$7*H342+IF(plusinterest,F343,0),$E$9),F343+H342),MIN($E$10,H342+F343)))</f>
        <v/>
      </c>
      <c r="D343" s="246"/>
      <c r="E343" s="245" t="str">
        <f t="shared" si="34"/>
        <v/>
      </c>
      <c r="F343" s="245" t="str">
        <f t="shared" ref="F343:F382" si="37">IF(A343="","",B343/12*H342)</f>
        <v/>
      </c>
      <c r="G343" s="245" t="str">
        <f t="shared" ref="G343:G382" si="38">IF(A343="","",C343+D343-F343)</f>
        <v/>
      </c>
      <c r="H343" s="245" t="str">
        <f t="shared" ref="H343:H382" si="39">IF(A343="","",H342-G343)</f>
        <v/>
      </c>
    </row>
    <row r="344" spans="1:8" x14ac:dyDescent="0.2">
      <c r="A344" s="232" t="str">
        <f t="shared" si="35"/>
        <v/>
      </c>
      <c r="B344" s="244" t="str">
        <f t="shared" ref="B344:B382" si="40">IF(A344="","",IF(A344&lt;=$E$11,0,$E$6))</f>
        <v/>
      </c>
      <c r="C344" s="245" t="str">
        <f t="shared" si="36"/>
        <v/>
      </c>
      <c r="D344" s="246"/>
      <c r="E344" s="245" t="str">
        <f t="shared" ref="E344:E382" si="41">IF(A344="","",C344+D344)</f>
        <v/>
      </c>
      <c r="F344" s="245" t="str">
        <f t="shared" si="37"/>
        <v/>
      </c>
      <c r="G344" s="245" t="str">
        <f t="shared" si="38"/>
        <v/>
      </c>
      <c r="H344" s="245" t="str">
        <f t="shared" si="39"/>
        <v/>
      </c>
    </row>
    <row r="345" spans="1:8" x14ac:dyDescent="0.2">
      <c r="A345" s="232" t="str">
        <f t="shared" si="35"/>
        <v/>
      </c>
      <c r="B345" s="244" t="str">
        <f t="shared" si="40"/>
        <v/>
      </c>
      <c r="C345" s="245" t="str">
        <f t="shared" si="36"/>
        <v/>
      </c>
      <c r="D345" s="246"/>
      <c r="E345" s="245" t="str">
        <f t="shared" si="41"/>
        <v/>
      </c>
      <c r="F345" s="245" t="str">
        <f t="shared" si="37"/>
        <v/>
      </c>
      <c r="G345" s="245" t="str">
        <f t="shared" si="38"/>
        <v/>
      </c>
      <c r="H345" s="245" t="str">
        <f t="shared" si="39"/>
        <v/>
      </c>
    </row>
    <row r="346" spans="1:8" x14ac:dyDescent="0.2">
      <c r="A346" s="232" t="str">
        <f t="shared" si="35"/>
        <v/>
      </c>
      <c r="B346" s="244" t="str">
        <f t="shared" si="40"/>
        <v/>
      </c>
      <c r="C346" s="245" t="str">
        <f t="shared" si="36"/>
        <v/>
      </c>
      <c r="D346" s="246"/>
      <c r="E346" s="245" t="str">
        <f t="shared" si="41"/>
        <v/>
      </c>
      <c r="F346" s="245" t="str">
        <f t="shared" si="37"/>
        <v/>
      </c>
      <c r="G346" s="245" t="str">
        <f t="shared" si="38"/>
        <v/>
      </c>
      <c r="H346" s="245" t="str">
        <f t="shared" si="39"/>
        <v/>
      </c>
    </row>
    <row r="347" spans="1:8" x14ac:dyDescent="0.2">
      <c r="A347" s="232" t="str">
        <f t="shared" si="35"/>
        <v/>
      </c>
      <c r="B347" s="244" t="str">
        <f t="shared" si="40"/>
        <v/>
      </c>
      <c r="C347" s="245" t="str">
        <f t="shared" si="36"/>
        <v/>
      </c>
      <c r="D347" s="246"/>
      <c r="E347" s="245" t="str">
        <f t="shared" si="41"/>
        <v/>
      </c>
      <c r="F347" s="245" t="str">
        <f t="shared" si="37"/>
        <v/>
      </c>
      <c r="G347" s="245" t="str">
        <f t="shared" si="38"/>
        <v/>
      </c>
      <c r="H347" s="245" t="str">
        <f t="shared" si="39"/>
        <v/>
      </c>
    </row>
    <row r="348" spans="1:8" x14ac:dyDescent="0.2">
      <c r="A348" s="232" t="str">
        <f t="shared" si="35"/>
        <v/>
      </c>
      <c r="B348" s="244" t="str">
        <f t="shared" si="40"/>
        <v/>
      </c>
      <c r="C348" s="245" t="str">
        <f t="shared" si="36"/>
        <v/>
      </c>
      <c r="D348" s="246"/>
      <c r="E348" s="245" t="str">
        <f t="shared" si="41"/>
        <v/>
      </c>
      <c r="F348" s="245" t="str">
        <f t="shared" si="37"/>
        <v/>
      </c>
      <c r="G348" s="245" t="str">
        <f t="shared" si="38"/>
        <v/>
      </c>
      <c r="H348" s="245" t="str">
        <f t="shared" si="39"/>
        <v/>
      </c>
    </row>
    <row r="349" spans="1:8" x14ac:dyDescent="0.2">
      <c r="A349" s="232" t="str">
        <f t="shared" si="35"/>
        <v/>
      </c>
      <c r="B349" s="244" t="str">
        <f t="shared" si="40"/>
        <v/>
      </c>
      <c r="C349" s="245" t="str">
        <f t="shared" si="36"/>
        <v/>
      </c>
      <c r="D349" s="246"/>
      <c r="E349" s="245" t="str">
        <f t="shared" si="41"/>
        <v/>
      </c>
      <c r="F349" s="245" t="str">
        <f t="shared" si="37"/>
        <v/>
      </c>
      <c r="G349" s="245" t="str">
        <f t="shared" si="38"/>
        <v/>
      </c>
      <c r="H349" s="245" t="str">
        <f t="shared" si="39"/>
        <v/>
      </c>
    </row>
    <row r="350" spans="1:8" x14ac:dyDescent="0.2">
      <c r="A350" s="232" t="str">
        <f t="shared" si="35"/>
        <v/>
      </c>
      <c r="B350" s="244" t="str">
        <f t="shared" si="40"/>
        <v/>
      </c>
      <c r="C350" s="245" t="str">
        <f t="shared" si="36"/>
        <v/>
      </c>
      <c r="D350" s="246"/>
      <c r="E350" s="245" t="str">
        <f t="shared" si="41"/>
        <v/>
      </c>
      <c r="F350" s="245" t="str">
        <f t="shared" si="37"/>
        <v/>
      </c>
      <c r="G350" s="245" t="str">
        <f t="shared" si="38"/>
        <v/>
      </c>
      <c r="H350" s="245" t="str">
        <f t="shared" si="39"/>
        <v/>
      </c>
    </row>
    <row r="351" spans="1:8" x14ac:dyDescent="0.2">
      <c r="A351" s="232" t="str">
        <f t="shared" si="35"/>
        <v/>
      </c>
      <c r="B351" s="244" t="str">
        <f t="shared" si="40"/>
        <v/>
      </c>
      <c r="C351" s="245" t="str">
        <f t="shared" si="36"/>
        <v/>
      </c>
      <c r="D351" s="246"/>
      <c r="E351" s="245" t="str">
        <f t="shared" si="41"/>
        <v/>
      </c>
      <c r="F351" s="245" t="str">
        <f t="shared" si="37"/>
        <v/>
      </c>
      <c r="G351" s="245" t="str">
        <f t="shared" si="38"/>
        <v/>
      </c>
      <c r="H351" s="245" t="str">
        <f t="shared" si="39"/>
        <v/>
      </c>
    </row>
    <row r="352" spans="1:8" x14ac:dyDescent="0.2">
      <c r="A352" s="232" t="str">
        <f t="shared" si="35"/>
        <v/>
      </c>
      <c r="B352" s="244" t="str">
        <f t="shared" si="40"/>
        <v/>
      </c>
      <c r="C352" s="245" t="str">
        <f t="shared" si="36"/>
        <v/>
      </c>
      <c r="D352" s="246"/>
      <c r="E352" s="245" t="str">
        <f t="shared" si="41"/>
        <v/>
      </c>
      <c r="F352" s="245" t="str">
        <f t="shared" si="37"/>
        <v/>
      </c>
      <c r="G352" s="245" t="str">
        <f t="shared" si="38"/>
        <v/>
      </c>
      <c r="H352" s="245" t="str">
        <f t="shared" si="39"/>
        <v/>
      </c>
    </row>
    <row r="353" spans="1:8" x14ac:dyDescent="0.2">
      <c r="A353" s="232" t="str">
        <f t="shared" si="35"/>
        <v/>
      </c>
      <c r="B353" s="244" t="str">
        <f t="shared" si="40"/>
        <v/>
      </c>
      <c r="C353" s="245" t="str">
        <f t="shared" si="36"/>
        <v/>
      </c>
      <c r="D353" s="246"/>
      <c r="E353" s="245" t="str">
        <f t="shared" si="41"/>
        <v/>
      </c>
      <c r="F353" s="245" t="str">
        <f t="shared" si="37"/>
        <v/>
      </c>
      <c r="G353" s="245" t="str">
        <f t="shared" si="38"/>
        <v/>
      </c>
      <c r="H353" s="245" t="str">
        <f t="shared" si="39"/>
        <v/>
      </c>
    </row>
    <row r="354" spans="1:8" x14ac:dyDescent="0.2">
      <c r="A354" s="232" t="str">
        <f t="shared" si="35"/>
        <v/>
      </c>
      <c r="B354" s="244" t="str">
        <f t="shared" si="40"/>
        <v/>
      </c>
      <c r="C354" s="245" t="str">
        <f t="shared" si="36"/>
        <v/>
      </c>
      <c r="D354" s="246"/>
      <c r="E354" s="245" t="str">
        <f t="shared" si="41"/>
        <v/>
      </c>
      <c r="F354" s="245" t="str">
        <f t="shared" si="37"/>
        <v/>
      </c>
      <c r="G354" s="245" t="str">
        <f t="shared" si="38"/>
        <v/>
      </c>
      <c r="H354" s="245" t="str">
        <f t="shared" si="39"/>
        <v/>
      </c>
    </row>
    <row r="355" spans="1:8" x14ac:dyDescent="0.2">
      <c r="A355" s="232" t="str">
        <f t="shared" si="35"/>
        <v/>
      </c>
      <c r="B355" s="244" t="str">
        <f t="shared" si="40"/>
        <v/>
      </c>
      <c r="C355" s="245" t="str">
        <f t="shared" si="36"/>
        <v/>
      </c>
      <c r="D355" s="246"/>
      <c r="E355" s="245" t="str">
        <f t="shared" si="41"/>
        <v/>
      </c>
      <c r="F355" s="245" t="str">
        <f t="shared" si="37"/>
        <v/>
      </c>
      <c r="G355" s="245" t="str">
        <f t="shared" si="38"/>
        <v/>
      </c>
      <c r="H355" s="245" t="str">
        <f t="shared" si="39"/>
        <v/>
      </c>
    </row>
    <row r="356" spans="1:8" x14ac:dyDescent="0.2">
      <c r="A356" s="232" t="str">
        <f t="shared" si="35"/>
        <v/>
      </c>
      <c r="B356" s="244" t="str">
        <f t="shared" si="40"/>
        <v/>
      </c>
      <c r="C356" s="245" t="str">
        <f t="shared" si="36"/>
        <v/>
      </c>
      <c r="D356" s="246"/>
      <c r="E356" s="245" t="str">
        <f t="shared" si="41"/>
        <v/>
      </c>
      <c r="F356" s="245" t="str">
        <f t="shared" si="37"/>
        <v/>
      </c>
      <c r="G356" s="245" t="str">
        <f t="shared" si="38"/>
        <v/>
      </c>
      <c r="H356" s="245" t="str">
        <f t="shared" si="39"/>
        <v/>
      </c>
    </row>
    <row r="357" spans="1:8" x14ac:dyDescent="0.2">
      <c r="A357" s="232" t="str">
        <f t="shared" si="35"/>
        <v/>
      </c>
      <c r="B357" s="244" t="str">
        <f t="shared" si="40"/>
        <v/>
      </c>
      <c r="C357" s="245" t="str">
        <f t="shared" si="36"/>
        <v/>
      </c>
      <c r="D357" s="246"/>
      <c r="E357" s="245" t="str">
        <f t="shared" si="41"/>
        <v/>
      </c>
      <c r="F357" s="245" t="str">
        <f t="shared" si="37"/>
        <v/>
      </c>
      <c r="G357" s="245" t="str">
        <f t="shared" si="38"/>
        <v/>
      </c>
      <c r="H357" s="245" t="str">
        <f t="shared" si="39"/>
        <v/>
      </c>
    </row>
    <row r="358" spans="1:8" x14ac:dyDescent="0.2">
      <c r="A358" s="232" t="str">
        <f t="shared" si="35"/>
        <v/>
      </c>
      <c r="B358" s="244" t="str">
        <f t="shared" si="40"/>
        <v/>
      </c>
      <c r="C358" s="245" t="str">
        <f t="shared" si="36"/>
        <v/>
      </c>
      <c r="D358" s="246"/>
      <c r="E358" s="245" t="str">
        <f t="shared" si="41"/>
        <v/>
      </c>
      <c r="F358" s="245" t="str">
        <f t="shared" si="37"/>
        <v/>
      </c>
      <c r="G358" s="245" t="str">
        <f t="shared" si="38"/>
        <v/>
      </c>
      <c r="H358" s="245" t="str">
        <f t="shared" si="39"/>
        <v/>
      </c>
    </row>
    <row r="359" spans="1:8" x14ac:dyDescent="0.2">
      <c r="A359" s="232" t="str">
        <f t="shared" si="35"/>
        <v/>
      </c>
      <c r="B359" s="244" t="str">
        <f t="shared" si="40"/>
        <v/>
      </c>
      <c r="C359" s="245" t="str">
        <f t="shared" si="36"/>
        <v/>
      </c>
      <c r="D359" s="246"/>
      <c r="E359" s="245" t="str">
        <f t="shared" si="41"/>
        <v/>
      </c>
      <c r="F359" s="245" t="str">
        <f t="shared" si="37"/>
        <v/>
      </c>
      <c r="G359" s="245" t="str">
        <f t="shared" si="38"/>
        <v/>
      </c>
      <c r="H359" s="245" t="str">
        <f t="shared" si="39"/>
        <v/>
      </c>
    </row>
    <row r="360" spans="1:8" x14ac:dyDescent="0.2">
      <c r="A360" s="232" t="str">
        <f t="shared" si="35"/>
        <v/>
      </c>
      <c r="B360" s="244" t="str">
        <f t="shared" si="40"/>
        <v/>
      </c>
      <c r="C360" s="245" t="str">
        <f t="shared" si="36"/>
        <v/>
      </c>
      <c r="D360" s="246"/>
      <c r="E360" s="245" t="str">
        <f t="shared" si="41"/>
        <v/>
      </c>
      <c r="F360" s="245" t="str">
        <f t="shared" si="37"/>
        <v/>
      </c>
      <c r="G360" s="245" t="str">
        <f t="shared" si="38"/>
        <v/>
      </c>
      <c r="H360" s="245" t="str">
        <f t="shared" si="39"/>
        <v/>
      </c>
    </row>
    <row r="361" spans="1:8" x14ac:dyDescent="0.2">
      <c r="A361" s="232" t="str">
        <f t="shared" si="35"/>
        <v/>
      </c>
      <c r="B361" s="244" t="str">
        <f t="shared" si="40"/>
        <v/>
      </c>
      <c r="C361" s="245" t="str">
        <f t="shared" si="36"/>
        <v/>
      </c>
      <c r="D361" s="246"/>
      <c r="E361" s="245" t="str">
        <f t="shared" si="41"/>
        <v/>
      </c>
      <c r="F361" s="245" t="str">
        <f t="shared" si="37"/>
        <v/>
      </c>
      <c r="G361" s="245" t="str">
        <f t="shared" si="38"/>
        <v/>
      </c>
      <c r="H361" s="245" t="str">
        <f t="shared" si="39"/>
        <v/>
      </c>
    </row>
    <row r="362" spans="1:8" x14ac:dyDescent="0.2">
      <c r="A362" s="232" t="str">
        <f t="shared" si="35"/>
        <v/>
      </c>
      <c r="B362" s="244" t="str">
        <f t="shared" si="40"/>
        <v/>
      </c>
      <c r="C362" s="245" t="str">
        <f t="shared" si="36"/>
        <v/>
      </c>
      <c r="D362" s="246"/>
      <c r="E362" s="245" t="str">
        <f t="shared" si="41"/>
        <v/>
      </c>
      <c r="F362" s="245" t="str">
        <f t="shared" si="37"/>
        <v/>
      </c>
      <c r="G362" s="245" t="str">
        <f t="shared" si="38"/>
        <v/>
      </c>
      <c r="H362" s="245" t="str">
        <f t="shared" si="39"/>
        <v/>
      </c>
    </row>
    <row r="363" spans="1:8" x14ac:dyDescent="0.2">
      <c r="A363" s="232" t="str">
        <f t="shared" si="35"/>
        <v/>
      </c>
      <c r="B363" s="244" t="str">
        <f t="shared" si="40"/>
        <v/>
      </c>
      <c r="C363" s="245" t="str">
        <f t="shared" si="36"/>
        <v/>
      </c>
      <c r="D363" s="246"/>
      <c r="E363" s="245" t="str">
        <f t="shared" si="41"/>
        <v/>
      </c>
      <c r="F363" s="245" t="str">
        <f t="shared" si="37"/>
        <v/>
      </c>
      <c r="G363" s="245" t="str">
        <f t="shared" si="38"/>
        <v/>
      </c>
      <c r="H363" s="245" t="str">
        <f t="shared" si="39"/>
        <v/>
      </c>
    </row>
    <row r="364" spans="1:8" x14ac:dyDescent="0.2">
      <c r="A364" s="232" t="str">
        <f t="shared" si="35"/>
        <v/>
      </c>
      <c r="B364" s="244" t="str">
        <f t="shared" si="40"/>
        <v/>
      </c>
      <c r="C364" s="245" t="str">
        <f t="shared" si="36"/>
        <v/>
      </c>
      <c r="D364" s="246"/>
      <c r="E364" s="245" t="str">
        <f t="shared" si="41"/>
        <v/>
      </c>
      <c r="F364" s="245" t="str">
        <f t="shared" si="37"/>
        <v/>
      </c>
      <c r="G364" s="245" t="str">
        <f t="shared" si="38"/>
        <v/>
      </c>
      <c r="H364" s="245" t="str">
        <f t="shared" si="39"/>
        <v/>
      </c>
    </row>
    <row r="365" spans="1:8" x14ac:dyDescent="0.2">
      <c r="A365" s="232" t="str">
        <f t="shared" si="35"/>
        <v/>
      </c>
      <c r="B365" s="244" t="str">
        <f t="shared" si="40"/>
        <v/>
      </c>
      <c r="C365" s="245" t="str">
        <f t="shared" si="36"/>
        <v/>
      </c>
      <c r="D365" s="246"/>
      <c r="E365" s="245" t="str">
        <f t="shared" si="41"/>
        <v/>
      </c>
      <c r="F365" s="245" t="str">
        <f t="shared" si="37"/>
        <v/>
      </c>
      <c r="G365" s="245" t="str">
        <f t="shared" si="38"/>
        <v/>
      </c>
      <c r="H365" s="245" t="str">
        <f t="shared" si="39"/>
        <v/>
      </c>
    </row>
    <row r="366" spans="1:8" x14ac:dyDescent="0.2">
      <c r="A366" s="232" t="str">
        <f t="shared" si="35"/>
        <v/>
      </c>
      <c r="B366" s="244" t="str">
        <f t="shared" si="40"/>
        <v/>
      </c>
      <c r="C366" s="245" t="str">
        <f t="shared" si="36"/>
        <v/>
      </c>
      <c r="D366" s="246"/>
      <c r="E366" s="245" t="str">
        <f t="shared" si="41"/>
        <v/>
      </c>
      <c r="F366" s="245" t="str">
        <f t="shared" si="37"/>
        <v/>
      </c>
      <c r="G366" s="245" t="str">
        <f t="shared" si="38"/>
        <v/>
      </c>
      <c r="H366" s="245" t="str">
        <f t="shared" si="39"/>
        <v/>
      </c>
    </row>
    <row r="367" spans="1:8" x14ac:dyDescent="0.2">
      <c r="A367" s="232" t="str">
        <f t="shared" si="35"/>
        <v/>
      </c>
      <c r="B367" s="244" t="str">
        <f t="shared" si="40"/>
        <v/>
      </c>
      <c r="C367" s="245" t="str">
        <f t="shared" si="36"/>
        <v/>
      </c>
      <c r="D367" s="246"/>
      <c r="E367" s="245" t="str">
        <f t="shared" si="41"/>
        <v/>
      </c>
      <c r="F367" s="245" t="str">
        <f t="shared" si="37"/>
        <v/>
      </c>
      <c r="G367" s="245" t="str">
        <f t="shared" si="38"/>
        <v/>
      </c>
      <c r="H367" s="245" t="str">
        <f t="shared" si="39"/>
        <v/>
      </c>
    </row>
    <row r="368" spans="1:8" x14ac:dyDescent="0.2">
      <c r="A368" s="232" t="str">
        <f t="shared" si="35"/>
        <v/>
      </c>
      <c r="B368" s="244" t="str">
        <f t="shared" si="40"/>
        <v/>
      </c>
      <c r="C368" s="245" t="str">
        <f t="shared" si="36"/>
        <v/>
      </c>
      <c r="D368" s="246"/>
      <c r="E368" s="245" t="str">
        <f t="shared" si="41"/>
        <v/>
      </c>
      <c r="F368" s="245" t="str">
        <f t="shared" si="37"/>
        <v/>
      </c>
      <c r="G368" s="245" t="str">
        <f t="shared" si="38"/>
        <v/>
      </c>
      <c r="H368" s="245" t="str">
        <f t="shared" si="39"/>
        <v/>
      </c>
    </row>
    <row r="369" spans="1:8" x14ac:dyDescent="0.2">
      <c r="A369" s="232" t="str">
        <f t="shared" si="35"/>
        <v/>
      </c>
      <c r="B369" s="244" t="str">
        <f t="shared" si="40"/>
        <v/>
      </c>
      <c r="C369" s="245" t="str">
        <f t="shared" si="36"/>
        <v/>
      </c>
      <c r="D369" s="246"/>
      <c r="E369" s="245" t="str">
        <f t="shared" si="41"/>
        <v/>
      </c>
      <c r="F369" s="245" t="str">
        <f t="shared" si="37"/>
        <v/>
      </c>
      <c r="G369" s="245" t="str">
        <f t="shared" si="38"/>
        <v/>
      </c>
      <c r="H369" s="245" t="str">
        <f t="shared" si="39"/>
        <v/>
      </c>
    </row>
    <row r="370" spans="1:8" x14ac:dyDescent="0.2">
      <c r="A370" s="232" t="str">
        <f t="shared" si="35"/>
        <v/>
      </c>
      <c r="B370" s="244" t="str">
        <f t="shared" si="40"/>
        <v/>
      </c>
      <c r="C370" s="245" t="str">
        <f t="shared" si="36"/>
        <v/>
      </c>
      <c r="D370" s="246"/>
      <c r="E370" s="245" t="str">
        <f t="shared" si="41"/>
        <v/>
      </c>
      <c r="F370" s="245" t="str">
        <f t="shared" si="37"/>
        <v/>
      </c>
      <c r="G370" s="245" t="str">
        <f t="shared" si="38"/>
        <v/>
      </c>
      <c r="H370" s="245" t="str">
        <f t="shared" si="39"/>
        <v/>
      </c>
    </row>
    <row r="371" spans="1:8" x14ac:dyDescent="0.2">
      <c r="A371" s="232" t="str">
        <f t="shared" si="35"/>
        <v/>
      </c>
      <c r="B371" s="244" t="str">
        <f t="shared" si="40"/>
        <v/>
      </c>
      <c r="C371" s="245" t="str">
        <f t="shared" si="36"/>
        <v/>
      </c>
      <c r="D371" s="246"/>
      <c r="E371" s="245" t="str">
        <f t="shared" si="41"/>
        <v/>
      </c>
      <c r="F371" s="245" t="str">
        <f t="shared" si="37"/>
        <v/>
      </c>
      <c r="G371" s="245" t="str">
        <f t="shared" si="38"/>
        <v/>
      </c>
      <c r="H371" s="245" t="str">
        <f t="shared" si="39"/>
        <v/>
      </c>
    </row>
    <row r="372" spans="1:8" x14ac:dyDescent="0.2">
      <c r="A372" s="232" t="str">
        <f t="shared" si="35"/>
        <v/>
      </c>
      <c r="B372" s="244" t="str">
        <f t="shared" si="40"/>
        <v/>
      </c>
      <c r="C372" s="245" t="str">
        <f t="shared" si="36"/>
        <v/>
      </c>
      <c r="D372" s="246"/>
      <c r="E372" s="245" t="str">
        <f t="shared" si="41"/>
        <v/>
      </c>
      <c r="F372" s="245" t="str">
        <f t="shared" si="37"/>
        <v/>
      </c>
      <c r="G372" s="245" t="str">
        <f t="shared" si="38"/>
        <v/>
      </c>
      <c r="H372" s="245" t="str">
        <f t="shared" si="39"/>
        <v/>
      </c>
    </row>
    <row r="373" spans="1:8" x14ac:dyDescent="0.2">
      <c r="A373" s="232" t="str">
        <f t="shared" si="35"/>
        <v/>
      </c>
      <c r="B373" s="244" t="str">
        <f t="shared" si="40"/>
        <v/>
      </c>
      <c r="C373" s="245" t="str">
        <f t="shared" si="36"/>
        <v/>
      </c>
      <c r="D373" s="246"/>
      <c r="E373" s="245" t="str">
        <f t="shared" si="41"/>
        <v/>
      </c>
      <c r="F373" s="245" t="str">
        <f t="shared" si="37"/>
        <v/>
      </c>
      <c r="G373" s="245" t="str">
        <f t="shared" si="38"/>
        <v/>
      </c>
      <c r="H373" s="245" t="str">
        <f t="shared" si="39"/>
        <v/>
      </c>
    </row>
    <row r="374" spans="1:8" x14ac:dyDescent="0.2">
      <c r="A374" s="232" t="str">
        <f t="shared" si="35"/>
        <v/>
      </c>
      <c r="B374" s="244" t="str">
        <f t="shared" si="40"/>
        <v/>
      </c>
      <c r="C374" s="245" t="str">
        <f t="shared" si="36"/>
        <v/>
      </c>
      <c r="D374" s="246"/>
      <c r="E374" s="245" t="str">
        <f t="shared" si="41"/>
        <v/>
      </c>
      <c r="F374" s="245" t="str">
        <f t="shared" si="37"/>
        <v/>
      </c>
      <c r="G374" s="245" t="str">
        <f t="shared" si="38"/>
        <v/>
      </c>
      <c r="H374" s="245" t="str">
        <f t="shared" si="39"/>
        <v/>
      </c>
    </row>
    <row r="375" spans="1:8" x14ac:dyDescent="0.2">
      <c r="A375" s="232" t="str">
        <f t="shared" si="35"/>
        <v/>
      </c>
      <c r="B375" s="244" t="str">
        <f t="shared" si="40"/>
        <v/>
      </c>
      <c r="C375" s="245" t="str">
        <f t="shared" si="36"/>
        <v/>
      </c>
      <c r="D375" s="246"/>
      <c r="E375" s="245" t="str">
        <f t="shared" si="41"/>
        <v/>
      </c>
      <c r="F375" s="245" t="str">
        <f t="shared" si="37"/>
        <v/>
      </c>
      <c r="G375" s="245" t="str">
        <f t="shared" si="38"/>
        <v/>
      </c>
      <c r="H375" s="245" t="str">
        <f t="shared" si="39"/>
        <v/>
      </c>
    </row>
    <row r="376" spans="1:8" x14ac:dyDescent="0.2">
      <c r="A376" s="232" t="str">
        <f t="shared" si="35"/>
        <v/>
      </c>
      <c r="B376" s="244" t="str">
        <f t="shared" si="40"/>
        <v/>
      </c>
      <c r="C376" s="245" t="str">
        <f t="shared" si="36"/>
        <v/>
      </c>
      <c r="D376" s="246"/>
      <c r="E376" s="245" t="str">
        <f t="shared" si="41"/>
        <v/>
      </c>
      <c r="F376" s="245" t="str">
        <f t="shared" si="37"/>
        <v/>
      </c>
      <c r="G376" s="245" t="str">
        <f t="shared" si="38"/>
        <v/>
      </c>
      <c r="H376" s="245" t="str">
        <f t="shared" si="39"/>
        <v/>
      </c>
    </row>
    <row r="377" spans="1:8" x14ac:dyDescent="0.2">
      <c r="A377" s="232" t="str">
        <f t="shared" si="35"/>
        <v/>
      </c>
      <c r="B377" s="244" t="str">
        <f t="shared" si="40"/>
        <v/>
      </c>
      <c r="C377" s="245" t="str">
        <f t="shared" si="36"/>
        <v/>
      </c>
      <c r="D377" s="246"/>
      <c r="E377" s="245" t="str">
        <f t="shared" si="41"/>
        <v/>
      </c>
      <c r="F377" s="245" t="str">
        <f t="shared" si="37"/>
        <v/>
      </c>
      <c r="G377" s="245" t="str">
        <f t="shared" si="38"/>
        <v/>
      </c>
      <c r="H377" s="245" t="str">
        <f t="shared" si="39"/>
        <v/>
      </c>
    </row>
    <row r="378" spans="1:8" x14ac:dyDescent="0.2">
      <c r="A378" s="232" t="str">
        <f t="shared" si="35"/>
        <v/>
      </c>
      <c r="B378" s="244" t="str">
        <f t="shared" si="40"/>
        <v/>
      </c>
      <c r="C378" s="245" t="str">
        <f t="shared" si="36"/>
        <v/>
      </c>
      <c r="D378" s="246"/>
      <c r="E378" s="245" t="str">
        <f t="shared" si="41"/>
        <v/>
      </c>
      <c r="F378" s="245" t="str">
        <f t="shared" si="37"/>
        <v/>
      </c>
      <c r="G378" s="245" t="str">
        <f t="shared" si="38"/>
        <v/>
      </c>
      <c r="H378" s="245" t="str">
        <f t="shared" si="39"/>
        <v/>
      </c>
    </row>
    <row r="379" spans="1:8" x14ac:dyDescent="0.2">
      <c r="A379" s="232" t="str">
        <f t="shared" si="35"/>
        <v/>
      </c>
      <c r="B379" s="244" t="str">
        <f t="shared" si="40"/>
        <v/>
      </c>
      <c r="C379" s="245" t="str">
        <f t="shared" si="36"/>
        <v/>
      </c>
      <c r="D379" s="246"/>
      <c r="E379" s="245" t="str">
        <f t="shared" si="41"/>
        <v/>
      </c>
      <c r="F379" s="245" t="str">
        <f t="shared" si="37"/>
        <v/>
      </c>
      <c r="G379" s="245" t="str">
        <f t="shared" si="38"/>
        <v/>
      </c>
      <c r="H379" s="245" t="str">
        <f t="shared" si="39"/>
        <v/>
      </c>
    </row>
    <row r="380" spans="1:8" x14ac:dyDescent="0.2">
      <c r="A380" s="232" t="str">
        <f t="shared" si="35"/>
        <v/>
      </c>
      <c r="B380" s="244" t="str">
        <f t="shared" si="40"/>
        <v/>
      </c>
      <c r="C380" s="245" t="str">
        <f t="shared" si="36"/>
        <v/>
      </c>
      <c r="D380" s="246"/>
      <c r="E380" s="245" t="str">
        <f t="shared" si="41"/>
        <v/>
      </c>
      <c r="F380" s="245" t="str">
        <f t="shared" si="37"/>
        <v/>
      </c>
      <c r="G380" s="245" t="str">
        <f t="shared" si="38"/>
        <v/>
      </c>
      <c r="H380" s="245" t="str">
        <f t="shared" si="39"/>
        <v/>
      </c>
    </row>
    <row r="381" spans="1:8" x14ac:dyDescent="0.2">
      <c r="A381" s="232" t="str">
        <f t="shared" si="35"/>
        <v/>
      </c>
      <c r="B381" s="244" t="str">
        <f t="shared" si="40"/>
        <v/>
      </c>
      <c r="C381" s="245" t="str">
        <f t="shared" si="36"/>
        <v/>
      </c>
      <c r="D381" s="246"/>
      <c r="E381" s="245" t="str">
        <f t="shared" si="41"/>
        <v/>
      </c>
      <c r="F381" s="245" t="str">
        <f t="shared" si="37"/>
        <v/>
      </c>
      <c r="G381" s="245" t="str">
        <f t="shared" si="38"/>
        <v/>
      </c>
      <c r="H381" s="245" t="str">
        <f t="shared" si="39"/>
        <v/>
      </c>
    </row>
    <row r="382" spans="1:8" x14ac:dyDescent="0.2">
      <c r="A382" s="232" t="str">
        <f t="shared" si="35"/>
        <v/>
      </c>
      <c r="B382" s="244" t="str">
        <f t="shared" si="40"/>
        <v/>
      </c>
      <c r="C382" s="245" t="str">
        <f t="shared" si="36"/>
        <v/>
      </c>
      <c r="D382" s="246"/>
      <c r="E382" s="245" t="str">
        <f t="shared" si="41"/>
        <v/>
      </c>
      <c r="F382" s="245" t="str">
        <f t="shared" si="37"/>
        <v/>
      </c>
      <c r="G382" s="245" t="str">
        <f t="shared" si="38"/>
        <v/>
      </c>
      <c r="H382" s="245" t="str">
        <f t="shared" si="39"/>
        <v/>
      </c>
    </row>
    <row r="383" spans="1:8" x14ac:dyDescent="0.2">
      <c r="A383" s="247"/>
      <c r="B383" s="248"/>
      <c r="C383" s="243"/>
      <c r="D383" s="243"/>
      <c r="E383" s="243"/>
      <c r="F383" s="243"/>
      <c r="G383" s="243"/>
      <c r="H383" s="243"/>
    </row>
  </sheetData>
  <mergeCells count="1">
    <mergeCell ref="A2:F2"/>
  </mergeCells>
  <dataValidations count="2">
    <dataValidation type="list" allowBlank="1" showInputMessage="1" showErrorMessage="1" sqref="E8" xr:uid="{CFD08723-E42B-403B-BE27-E63C3D713E30}">
      <formula1>"Yes,No"</formula1>
    </dataValidation>
    <dataValidation type="decimal" errorStyle="information" operator="greaterThan" allowBlank="1" showInputMessage="1" showErrorMessage="1" errorTitle="Payment Too Low" error="The amount entered is too low to pay off your current credit balance. It must be greater than the interest-only amount." sqref="A16:C16" xr:uid="{C45E9F07-7DE7-4531-95B9-0F81958ACE8E}">
      <formula1>#REF!/12*#REF!</formula1>
    </dataValidation>
  </dataValidations>
  <hyperlinks>
    <hyperlink ref="A2" r:id="rId1" xr:uid="{7BC0BAA0-1A6D-42FF-8ED9-CC8386027AAA}"/>
  </hyperlinks>
  <pageMargins left="0.5" right="0.5" top="0.5" bottom="0.6" header="0.5" footer="0.25"/>
  <pageSetup scale="90" fitToHeight="0" orientation="portrait" r:id="rId2"/>
  <headerFooter scaleWithDoc="0">
    <oddFooter>&amp;L&amp;"Arial,Regular"&amp;8https://www.vertex42.com/Calculators/credit-card-payment-calculator.html&amp;R&amp;"Arial,Regular"&amp;8Page &amp;P of &amp;N</oddFooter>
    <firstFooter>&amp;R&amp;"Arial,Regular"&amp;8Page &amp;P of &amp;N</firstFooter>
  </headerFooter>
  <drawing r:id="rId3"/>
  <legacyDrawing r:id="rId4"/>
</worksheet>
</file>

<file path=docProps/app.xml><?xml version="1.0" encoding="utf-8"?>
<Properties xmlns="http://schemas.openxmlformats.org/officeDocument/2006/extended-properties" xmlns:vt="http://schemas.openxmlformats.org/officeDocument/2006/docPropsVTypes">
  <Template>TM02930058</Template>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Wells Fargo</vt:lpstr>
      <vt:lpstr>Discover</vt:lpstr>
      <vt:lpstr>Subscriptions</vt:lpstr>
      <vt:lpstr>Cash Flow</vt:lpstr>
      <vt:lpstr>Waterfall</vt:lpstr>
      <vt:lpstr>Debts</vt:lpstr>
      <vt:lpstr>Avidia Deposits</vt:lpstr>
      <vt:lpstr>Retirement</vt:lpstr>
      <vt:lpstr>Compare Periods</vt:lpstr>
      <vt:lpstr>Categories - WIP</vt:lpstr>
      <vt:lpstr>PERSONAL BUDGET - WIP</vt:lpstr>
      <vt:lpstr>DiscoverPayment Calculator</vt:lpstr>
      <vt:lpstr>BestBuyPaymentCalc</vt:lpstr>
      <vt:lpstr>Expense_Categories</vt:lpstr>
      <vt:lpstr>Expense_Lookup</vt:lpstr>
      <vt:lpstr>BestBuyPaymentCalc!plusinterest</vt:lpstr>
      <vt:lpstr>plusinterest</vt:lpstr>
      <vt:lpstr>BestBuyPaymentCalc!Print_Titles</vt:lpstr>
      <vt:lpstr>'DiscoverPayment Calculator'!Print_Titles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Sean</dc:creator>
  <cp:keywords/>
  <cp:lastModifiedBy>Sean</cp:lastModifiedBy>
  <cp:lastPrinted>2021-01-24T15:55:36Z</cp:lastPrinted>
  <dcterms:created xsi:type="dcterms:W3CDTF">2018-06-25T05:33:20Z</dcterms:created>
  <dcterms:modified xsi:type="dcterms:W3CDTF">2021-10-04T16:04:44Z</dcterms:modified>
  <cp:version/>
</cp:coreProperties>
</file>